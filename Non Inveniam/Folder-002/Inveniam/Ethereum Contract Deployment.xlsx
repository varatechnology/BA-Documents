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<sst xmlns="http://schemas.openxmlformats.org/spreadsheetml/2006/main" count="26" uniqueCount="18">
  <si>
    <t>Activities</t>
  </si>
  <si>
    <t xml:space="preserve">Total Gas Unit (Required) </t>
  </si>
  <si>
    <t>Gas Price (GWEI) * 3</t>
  </si>
  <si>
    <t>Approx fees (GWEI)
(Gas Unit * Gas Price)</t>
  </si>
  <si>
    <t>Unit</t>
  </si>
  <si>
    <t>Contract Migration</t>
  </si>
  <si>
    <t>GWei</t>
  </si>
  <si>
    <t>Data Anchoring</t>
  </si>
  <si>
    <t>Testing Register</t>
  </si>
  <si>
    <t>Testing Deploy</t>
  </si>
  <si>
    <t>Testing Sync Scenario 1</t>
  </si>
  <si>
    <t>Testing Sync Scenario 2</t>
  </si>
  <si>
    <t>Testing Edit Total Supply</t>
  </si>
  <si>
    <t>Testing Distribute</t>
  </si>
  <si>
    <t>Total</t>
  </si>
  <si>
    <t>1 gwei</t>
  </si>
  <si>
    <t>OM</t>
  </si>
  <si>
    <t>Final (+ 50% Buffer)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</si>
</sst>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rgb="FF222222"/>
      <name val="Arial"/>
    </font>
    <font>
      <b/>
      <sz val="11.0"/>
      <color rgb="FF222222"/>
      <name val="Calibri"/>
    </font>
    <font>
      <color rgb="FF222222"/>
      <name val="Arial"/>
    </font>
    <font>
      <sz val="11.0"/>
      <color rgb="FF222222"/>
      <name val="Calibri"/>
    </font>
    <font>
      <color theme="1"/>
      <name val="Arial"/>
      <scheme val="minor"/>
    </font>
    <font/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2" fontId="2" numFmtId="0" xfId="0" applyAlignment="1" applyBorder="1" applyFill="1" applyFont="1">
      <alignment readingOrder="0" vertical="bottom"/>
    </xf>
    <xf borderId="1" fillId="2" fontId="3" numFmtId="0" xfId="0" applyAlignment="1" applyBorder="1" applyFont="1">
      <alignment horizontal="center" readingOrder="0" vertical="bottom"/>
    </xf>
    <xf borderId="1" fillId="2" fontId="2" numFmtId="0" xfId="0" applyAlignment="1" applyBorder="1" applyFont="1">
      <alignment horizontal="center" readingOrder="0" vertical="bottom"/>
    </xf>
    <xf borderId="1" fillId="0" fontId="1" numFmtId="0" xfId="0" applyAlignment="1" applyBorder="1" applyFont="1">
      <alignment horizontal="center" readingOrder="0"/>
    </xf>
    <xf borderId="1" fillId="2" fontId="4" numFmtId="0" xfId="0" applyAlignment="1" applyBorder="1" applyFont="1">
      <alignment vertical="bottom"/>
    </xf>
    <xf borderId="1" fillId="2" fontId="5" numFmtId="0" xfId="0" applyAlignment="1" applyBorder="1" applyFont="1">
      <alignment horizontal="right" readingOrder="0" vertical="bottom"/>
    </xf>
    <xf borderId="1" fillId="2" fontId="4" numFmtId="0" xfId="0" applyAlignment="1" applyBorder="1" applyFont="1">
      <alignment horizontal="right" readingOrder="0" vertical="bottom"/>
    </xf>
    <xf borderId="1" fillId="0" fontId="6" numFmtId="0" xfId="0" applyAlignment="1" applyBorder="1" applyFont="1">
      <alignment horizontal="center" readingOrder="0"/>
    </xf>
    <xf borderId="2" fillId="2" fontId="3" numFmtId="0" xfId="0" applyAlignment="1" applyBorder="1" applyFont="1">
      <alignment horizontal="center" readingOrder="0"/>
    </xf>
    <xf borderId="1" fillId="2" fontId="4" numFmtId="0" xfId="0" applyAlignment="1" applyBorder="1" applyFont="1">
      <alignment readingOrder="0" vertical="bottom"/>
    </xf>
    <xf borderId="3" fillId="0" fontId="7" numFmtId="0" xfId="0" applyBorder="1" applyFont="1"/>
    <xf borderId="4" fillId="0" fontId="7" numFmtId="0" xfId="0" applyBorder="1" applyFont="1"/>
    <xf borderId="1" fillId="2" fontId="3" numFmtId="0" xfId="0" applyAlignment="1" applyBorder="1" applyFont="1">
      <alignment horizontal="center"/>
    </xf>
    <xf borderId="1" fillId="2" fontId="5" numFmtId="0" xfId="0" applyAlignment="1" applyBorder="1" applyFont="1">
      <alignment horizontal="right" vertical="bottom"/>
    </xf>
    <xf borderId="1" fillId="2" fontId="4" numFmtId="0" xfId="0" applyAlignment="1" applyBorder="1" applyFont="1">
      <alignment horizontal="right" vertical="bottom"/>
    </xf>
    <xf borderId="1" fillId="0" fontId="6" numFmtId="0" xfId="0" applyAlignment="1" applyBorder="1" applyFont="1">
      <alignment horizontal="center"/>
    </xf>
    <xf borderId="1" fillId="2" fontId="3" numFmtId="0" xfId="0" applyAlignment="1" applyBorder="1" applyFont="1">
      <alignment readingOrder="0" vertical="bottom"/>
    </xf>
    <xf borderId="1" fillId="3" fontId="2" numFmtId="0" xfId="0" applyAlignment="1" applyBorder="1" applyFill="1" applyFont="1">
      <alignment horizontal="right" readingOrder="0" vertical="bottom"/>
    </xf>
    <xf borderId="1" fillId="3" fontId="6" numFmtId="0" xfId="0" applyAlignment="1" applyBorder="1" applyFont="1">
      <alignment horizontal="center" readingOrder="0"/>
    </xf>
    <xf borderId="1" fillId="2" fontId="3" numFmtId="0" xfId="0" applyAlignment="1" applyBorder="1" applyFont="1">
      <alignment vertical="bottom"/>
    </xf>
    <xf borderId="1" fillId="2" fontId="2" numFmtId="0" xfId="0" applyAlignment="1" applyBorder="1" applyFont="1">
      <alignment horizontal="right" readingOrder="0" vertical="bottom"/>
    </xf>
    <xf borderId="1" fillId="4" fontId="2" numFmtId="0" xfId="0" applyAlignment="1" applyBorder="1" applyFill="1" applyFont="1">
      <alignment horizontal="right" readingOrder="0" vertical="bottom"/>
    </xf>
    <xf borderId="1" fillId="4" fontId="6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75"/>
    <col customWidth="1" min="3" max="3" width="19.13"/>
    <col customWidth="1" min="4" max="4" width="20.5"/>
    <col customWidth="1" min="5" max="5" width="18.25"/>
    <col customWidth="1" min="6" max="6" width="21.75"/>
  </cols>
  <sheetData>
    <row r="2">
      <c r="B2" s="1"/>
      <c r="C2" s="2" t="s">
        <v>0</v>
      </c>
      <c r="D2" s="3" t="s">
        <v>1</v>
      </c>
      <c r="E2" s="4" t="s">
        <v>2</v>
      </c>
      <c r="F2" s="4" t="s">
        <v>3</v>
      </c>
      <c r="G2" s="5" t="s">
        <v>4</v>
      </c>
    </row>
    <row r="3">
      <c r="B3" s="4" t="s">
        <v>5</v>
      </c>
      <c r="C3" s="6"/>
      <c r="D3" s="7">
        <v>7.6364859E7</v>
      </c>
      <c r="E3" s="8">
        <f t="shared" ref="E3:E9" si="1">15*3</f>
        <v>45</v>
      </c>
      <c r="F3" s="8">
        <f t="shared" ref="F3:F9" si="2">D3*E3</f>
        <v>3436418655</v>
      </c>
      <c r="G3" s="9" t="s">
        <v>6</v>
      </c>
    </row>
    <row r="4">
      <c r="B4" s="10" t="s">
        <v>7</v>
      </c>
      <c r="C4" s="11" t="s">
        <v>8</v>
      </c>
      <c r="D4" s="7">
        <v>135448.0</v>
      </c>
      <c r="E4" s="8">
        <f t="shared" si="1"/>
        <v>45</v>
      </c>
      <c r="F4" s="8">
        <f t="shared" si="2"/>
        <v>6095160</v>
      </c>
      <c r="G4" s="9" t="s">
        <v>6</v>
      </c>
    </row>
    <row r="5">
      <c r="B5" s="12"/>
      <c r="C5" s="11" t="s">
        <v>9</v>
      </c>
      <c r="D5" s="7">
        <v>5932636.0</v>
      </c>
      <c r="E5" s="8">
        <f t="shared" si="1"/>
        <v>45</v>
      </c>
      <c r="F5" s="8">
        <f t="shared" si="2"/>
        <v>266968620</v>
      </c>
      <c r="G5" s="9" t="s">
        <v>6</v>
      </c>
    </row>
    <row r="6">
      <c r="B6" s="12"/>
      <c r="C6" s="11" t="s">
        <v>10</v>
      </c>
      <c r="D6" s="7">
        <v>462175.0</v>
      </c>
      <c r="E6" s="8">
        <f t="shared" si="1"/>
        <v>45</v>
      </c>
      <c r="F6" s="8">
        <f t="shared" si="2"/>
        <v>20797875</v>
      </c>
      <c r="G6" s="9" t="s">
        <v>6</v>
      </c>
    </row>
    <row r="7">
      <c r="B7" s="12"/>
      <c r="C7" s="11" t="s">
        <v>11</v>
      </c>
      <c r="D7" s="7">
        <v>462175.0</v>
      </c>
      <c r="E7" s="8">
        <f t="shared" si="1"/>
        <v>45</v>
      </c>
      <c r="F7" s="8">
        <f t="shared" si="2"/>
        <v>20797875</v>
      </c>
      <c r="G7" s="9" t="s">
        <v>6</v>
      </c>
    </row>
    <row r="8">
      <c r="B8" s="12"/>
      <c r="C8" s="11" t="s">
        <v>12</v>
      </c>
      <c r="D8" s="7">
        <v>78319.0</v>
      </c>
      <c r="E8" s="8">
        <f t="shared" si="1"/>
        <v>45</v>
      </c>
      <c r="F8" s="8">
        <f t="shared" si="2"/>
        <v>3524355</v>
      </c>
      <c r="G8" s="9" t="s">
        <v>6</v>
      </c>
    </row>
    <row r="9">
      <c r="B9" s="13"/>
      <c r="C9" s="11" t="s">
        <v>13</v>
      </c>
      <c r="D9" s="7">
        <v>219075.0</v>
      </c>
      <c r="E9" s="8">
        <f t="shared" si="1"/>
        <v>45</v>
      </c>
      <c r="F9" s="8">
        <f t="shared" si="2"/>
        <v>9858375</v>
      </c>
      <c r="G9" s="9" t="s">
        <v>6</v>
      </c>
    </row>
    <row r="10">
      <c r="B10" s="14"/>
      <c r="C10" s="6"/>
      <c r="D10" s="15"/>
      <c r="E10" s="16"/>
      <c r="F10" s="16"/>
      <c r="G10" s="17"/>
    </row>
    <row r="11">
      <c r="B11" s="6"/>
      <c r="C11" s="18" t="s">
        <v>14</v>
      </c>
      <c r="D11" s="8">
        <f>SUM(D3:D9)</f>
        <v>83654687</v>
      </c>
      <c r="E11" s="16"/>
      <c r="F11" s="19">
        <f>SUM(F3:F9)</f>
        <v>3764460915</v>
      </c>
      <c r="G11" s="20" t="s">
        <v>6</v>
      </c>
    </row>
    <row r="12">
      <c r="B12" s="6"/>
      <c r="C12" s="2" t="s">
        <v>15</v>
      </c>
      <c r="D12" s="15"/>
      <c r="E12" s="11">
        <f>10^-8</f>
        <v>0.00000001</v>
      </c>
      <c r="F12" s="6">
        <f>F$11*E$12</f>
        <v>37.64460915</v>
      </c>
      <c r="G12" s="9" t="s">
        <v>16</v>
      </c>
    </row>
    <row r="13">
      <c r="B13" s="21"/>
      <c r="C13" s="18" t="s">
        <v>17</v>
      </c>
      <c r="D13" s="6"/>
      <c r="E13" s="22">
        <v>1.5</v>
      </c>
      <c r="F13" s="23">
        <f>F$12*E$13</f>
        <v>56.46691373</v>
      </c>
      <c r="G13" s="24" t="s">
        <v>16</v>
      </c>
    </row>
  </sheetData>
  <mergeCells count="1">
    <mergeCell ref="B4:B9"/>
  </mergeCells>
  <drawing r:id="rId1"/>
</worksheet>
</file>