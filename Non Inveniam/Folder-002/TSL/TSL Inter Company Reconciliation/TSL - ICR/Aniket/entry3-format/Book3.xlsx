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530"/>
  <workbookPr defaultThemeVersion="166925"/>
  <xr:revisionPtr revIDLastSave="0" documentId="8_{C7105B88-B0BC-48C6-9AA2-0B00CC604971}" xr6:coauthVersionLast="46" xr6:coauthVersionMax="46" xr10:uidLastSave="{00000000-0000-0000-0000-000000000000}"/>
  <bookViews>
    <workbookView xWindow="-120" yWindow="-120" windowWidth="20730" windowHeight="11160" xr2:uid="{85692CFB-47AE-48E6-9B28-651ABED1ED20}"/>
  </bookViews>
  <sheets>
    <sheet name="Sheet1" sheetId="1" r:id="rId1"/>
  </sheets>
  <externalReferences>
    <externalReference r:id="rId2"/>
  </externalReferences>
  <definedNames>
    <definedName name="_xlnm._FilterDatabase" localSheetId="0" hidden="1">Sheet1!$C$3:$BO$25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I14" i="1" l="1"/>
  <c r="BI15" i="1"/>
  <c r="BI21" i="1"/>
  <c r="BI22" i="1"/>
  <c r="BI23" i="1"/>
  <c r="BI24" i="1"/>
  <c r="BI13" i="1"/>
  <c r="BI12" i="1"/>
  <c r="BI11" i="1"/>
  <c r="BI10" i="1"/>
  <c r="BI9" i="1"/>
  <c r="BI8" i="1"/>
  <c r="BI7" i="1"/>
  <c r="BI6" i="1"/>
  <c r="BI5" i="1"/>
  <c r="BI4" i="1"/>
  <c r="BF12" i="1"/>
  <c r="BF11" i="1"/>
  <c r="BF10" i="1"/>
  <c r="BF13" i="1"/>
  <c r="BF14" i="1"/>
  <c r="BF15" i="1"/>
  <c r="BF21" i="1"/>
  <c r="BF22" i="1"/>
  <c r="BF23" i="1"/>
  <c r="BF24" i="1"/>
  <c r="BF9" i="1"/>
  <c r="BF8" i="1"/>
  <c r="BF7" i="1"/>
  <c r="BF6" i="1"/>
  <c r="BF5" i="1"/>
  <c r="BF4" i="1"/>
</calcChain>
</file>

<file path=xl/sharedStrings.xml><?xml version="1.0" encoding="utf-8"?>
<sst xmlns="http://schemas.openxmlformats.org/spreadsheetml/2006/main" count="720" uniqueCount="89">
  <si>
    <t>KGSSL</t>
  </si>
  <si>
    <t>Tata Bluescope Steel Ltd | India</t>
  </si>
  <si>
    <t>Joint Venture</t>
  </si>
  <si>
    <t>Purchase of Goods</t>
  </si>
  <si>
    <t>No Load</t>
  </si>
  <si>
    <t>Purchase of Fixed Assets</t>
  </si>
  <si>
    <t>Outstanding Payables</t>
  </si>
  <si>
    <t>Outstanding Receivables - Advance</t>
  </si>
  <si>
    <t>Sale of Goods</t>
  </si>
  <si>
    <t>Rendering of Services</t>
  </si>
  <si>
    <t>Outstanding Receivables</t>
  </si>
  <si>
    <t>Outstanding Payables - Advance</t>
  </si>
  <si>
    <t>Stores Consumed</t>
  </si>
  <si>
    <t>ACTUAL_INDAS_MTD</t>
  </si>
  <si>
    <t>Mar</t>
  </si>
  <si>
    <t>YTD</t>
  </si>
  <si>
    <t>TS_STLJSR</t>
  </si>
  <si>
    <t>&lt;Entity Currency&gt;</t>
  </si>
  <si>
    <t>4141000000</t>
  </si>
  <si>
    <t>[ICP None]</t>
  </si>
  <si>
    <t>Pub_INDAS_IC_Inp</t>
  </si>
  <si>
    <t>OOPC</t>
  </si>
  <si>
    <t>JT001</t>
  </si>
  <si>
    <t>[None]</t>
  </si>
  <si>
    <t/>
  </si>
  <si>
    <t>ACTUAL_INDAS_QTD</t>
  </si>
  <si>
    <t>Q4</t>
  </si>
  <si>
    <t>HT001</t>
  </si>
  <si>
    <t>Other Expenses</t>
  </si>
  <si>
    <t>4181819000</t>
  </si>
  <si>
    <t>Repairs to Buildings</t>
  </si>
  <si>
    <t>4143000000</t>
  </si>
  <si>
    <t>Other Operating Income</t>
  </si>
  <si>
    <t>3110000000</t>
  </si>
  <si>
    <t>OTHOPINC</t>
  </si>
  <si>
    <t>Exp trfd to capital account</t>
  </si>
  <si>
    <t>4130000000</t>
  </si>
  <si>
    <t>Crs for supplies / services</t>
  </si>
  <si>
    <t>1223010000</t>
  </si>
  <si>
    <t>M999</t>
  </si>
  <si>
    <t>Purchase of Power</t>
  </si>
  <si>
    <t>4151200000</t>
  </si>
  <si>
    <t>Sale of Products</t>
  </si>
  <si>
    <t>PRODUCTS</t>
  </si>
  <si>
    <t>Purchase of finished, semi-finished and other products</t>
  </si>
  <si>
    <t>4111000000</t>
  </si>
  <si>
    <t>Raw Materials Consumed</t>
  </si>
  <si>
    <t>4112000000</t>
  </si>
  <si>
    <t>Rent</t>
  </si>
  <si>
    <t>4181000000</t>
  </si>
  <si>
    <t>Security Deposits &gt; 1 Yr</t>
  </si>
  <si>
    <t>1118012150</t>
  </si>
  <si>
    <t>Division</t>
  </si>
  <si>
    <t>Name of the Company</t>
  </si>
  <si>
    <t>Relationship</t>
  </si>
  <si>
    <t>Nature of transactions</t>
  </si>
  <si>
    <t>Trans / Elim TSL</t>
  </si>
  <si>
    <t>Tata Steel</t>
  </si>
  <si>
    <t>RP Trans Curr</t>
  </si>
  <si>
    <t>RP INR</t>
  </si>
  <si>
    <t>Related Party (EC)</t>
  </si>
  <si>
    <t>Diffence (INR)</t>
  </si>
  <si>
    <t>Trans / Elim RP</t>
  </si>
  <si>
    <t>TS A/c</t>
  </si>
  <si>
    <t>RP Account</t>
  </si>
  <si>
    <t>MIT</t>
  </si>
  <si>
    <t>RIT</t>
  </si>
  <si>
    <t>TDS</t>
  </si>
  <si>
    <t>BD</t>
  </si>
  <si>
    <t>Disputed</t>
  </si>
  <si>
    <t>Others</t>
  </si>
  <si>
    <t>Comments</t>
  </si>
  <si>
    <t>Scenario</t>
  </si>
  <si>
    <t>Year</t>
  </si>
  <si>
    <t>Month</t>
  </si>
  <si>
    <t>View</t>
  </si>
  <si>
    <t>Entity</t>
  </si>
  <si>
    <t>Value</t>
  </si>
  <si>
    <t>Account</t>
  </si>
  <si>
    <t>ICP</t>
  </si>
  <si>
    <t>Custom1</t>
  </si>
  <si>
    <t>Custom2</t>
  </si>
  <si>
    <t>Custom3</t>
  </si>
  <si>
    <t>Custom4</t>
  </si>
  <si>
    <t>Amount</t>
  </si>
  <si>
    <t>!DATA</t>
  </si>
  <si>
    <t>Sundry Debtors - Others</t>
  </si>
  <si>
    <t>1128011120</t>
  </si>
  <si>
    <t>Other financial assets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</si>
</sst>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_(* #,##0.00_);_(* \(#,##0.00\);_(* &quot;-&quot;??_);_(@_)"/>
    <numFmt numFmtId="165" formatCode="_(* #,##0_);_(* \(#,##0\);_(* &quot;-&quot;??_);_(@_)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Trebuchet MS"/>
      <family val="2"/>
    </font>
    <font>
      <sz val="10"/>
      <color indexed="8"/>
      <name val="Trebuchet MS"/>
      <family val="2"/>
    </font>
    <font>
      <sz val="10"/>
      <name val="Trebuchet MS"/>
      <family val="2"/>
    </font>
    <font>
      <sz val="10"/>
      <name val="Arial"/>
      <family val="2"/>
    </font>
    <font>
      <b/>
      <sz val="10"/>
      <color theme="0"/>
      <name val="Trebuchet MS"/>
      <family val="2"/>
    </font>
    <font>
      <b/>
      <sz val="10"/>
      <name val="Trebuchet MS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5" fillId="0" borderId="0" applyFont="0" applyFill="0" applyBorder="0" applyAlignment="0" applyProtection="0"/>
  </cellStyleXfs>
  <cellXfs count="29">
    <xf numFmtId="0" fontId="0" fillId="0" borderId="0" xfId="0"/>
    <xf numFmtId="43" fontId="4" fillId="0" borderId="1" xfId="1" applyFont="1" applyFill="1" applyBorder="1" applyAlignment="1">
      <alignment horizontal="right" vertical="center"/>
    </xf>
    <xf numFmtId="43" fontId="3" fillId="0" borderId="1" xfId="1" applyFont="1" applyFill="1" applyBorder="1" applyAlignment="1">
      <alignment horizontal="right" vertical="center"/>
    </xf>
    <xf numFmtId="165" fontId="4" fillId="0" borderId="1" xfId="1" applyNumberFormat="1" applyFont="1" applyFill="1" applyBorder="1" applyAlignment="1">
      <alignment horizontal="right" vertical="center"/>
    </xf>
    <xf numFmtId="43" fontId="4" fillId="0" borderId="2" xfId="1" applyFont="1" applyFill="1" applyBorder="1" applyAlignment="1">
      <alignment horizontal="left" vertical="center"/>
    </xf>
    <xf numFmtId="165" fontId="3" fillId="0" borderId="3" xfId="1" applyNumberFormat="1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left" vertical="center"/>
    </xf>
    <xf numFmtId="43" fontId="6" fillId="2" borderId="5" xfId="1" applyFont="1" applyFill="1" applyBorder="1" applyAlignment="1">
      <alignment horizontal="center" vertical="center"/>
    </xf>
    <xf numFmtId="0" fontId="3" fillId="2" borderId="0" xfId="0" applyFont="1" applyFill="1" applyAlignment="1">
      <alignment vertical="center"/>
    </xf>
    <xf numFmtId="164" fontId="7" fillId="2" borderId="0" xfId="2" applyFont="1" applyFill="1" applyAlignment="1">
      <alignment horizontal="center" vertical="center"/>
    </xf>
    <xf numFmtId="164" fontId="7" fillId="2" borderId="0" xfId="2" applyFont="1" applyFill="1" applyAlignment="1">
      <alignment horizontal="right" vertical="center"/>
    </xf>
    <xf numFmtId="164" fontId="7" fillId="2" borderId="0" xfId="2" applyFont="1" applyFill="1" applyAlignment="1">
      <alignment vertical="center"/>
    </xf>
    <xf numFmtId="0" fontId="7" fillId="2" borderId="0" xfId="2" applyNumberFormat="1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3" fillId="0" borderId="1" xfId="0" applyFont="1" applyFill="1" applyBorder="1" applyAlignment="1">
      <alignment vertical="center"/>
    </xf>
    <xf numFmtId="2" fontId="4" fillId="0" borderId="1" xfId="0" applyNumberFormat="1" applyFont="1" applyFill="1" applyBorder="1" applyAlignment="1">
      <alignment vertical="center"/>
    </xf>
    <xf numFmtId="0" fontId="3" fillId="0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right" vertical="center"/>
    </xf>
    <xf numFmtId="0" fontId="3" fillId="0" borderId="1" xfId="0" applyFont="1" applyFill="1" applyBorder="1" applyAlignment="1">
      <alignment vertical="center" wrapText="1"/>
    </xf>
    <xf numFmtId="0" fontId="3" fillId="0" borderId="0" xfId="0" applyFont="1" applyFill="1" applyAlignment="1">
      <alignment vertical="center"/>
    </xf>
    <xf numFmtId="164" fontId="4" fillId="0" borderId="0" xfId="2" applyFont="1" applyFill="1" applyBorder="1" applyAlignment="1">
      <alignment horizontal="center" vertical="center"/>
    </xf>
    <xf numFmtId="0" fontId="4" fillId="0" borderId="0" xfId="2" applyNumberFormat="1" applyFont="1" applyFill="1" applyBorder="1" applyAlignment="1">
      <alignment horizontal="center" vertical="center"/>
    </xf>
    <xf numFmtId="164" fontId="4" fillId="0" borderId="0" xfId="2" applyFont="1" applyFill="1" applyBorder="1" applyAlignment="1">
      <alignment horizontal="right" vertical="center"/>
    </xf>
    <xf numFmtId="164" fontId="4" fillId="0" borderId="0" xfId="2" applyFont="1" applyFill="1" applyBorder="1" applyAlignment="1">
      <alignment vertical="center"/>
    </xf>
    <xf numFmtId="0" fontId="4" fillId="0" borderId="0" xfId="2" applyNumberFormat="1" applyFont="1" applyFill="1" applyBorder="1" applyAlignment="1">
      <alignment vertical="center"/>
    </xf>
    <xf numFmtId="43" fontId="3" fillId="0" borderId="0" xfId="0" applyNumberFormat="1" applyFont="1" applyFill="1" applyAlignment="1">
      <alignment vertical="center"/>
    </xf>
    <xf numFmtId="0" fontId="0" fillId="0" borderId="0" xfId="0" applyFill="1"/>
  </cellXfs>
  <cellStyles count="3">
    <cellStyle name="Comma" xfId="1" builtinId="3"/>
    <cellStyle name="Comma 2" xfId="2" xr:uid="{41AF97B6-4783-4DF2-A0ED-91D1AC12E924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Tata%20Steel%20Limited\FAG%20DATABASE%20-%20Documents\02%20QUARTERLY%20ACTIVITY\10%20RELATED%20PARTY%20RECONCILIATION\FY%2020\Disclosure\Standalone_Entry%203%20for_March'2020_26042020%20-%20Cop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Pivot"/>
      <sheetName val="Sheet2"/>
      <sheetName val="AR Pivot_ Hardcore"/>
      <sheetName val="AR Pivot"/>
      <sheetName val="Sheet6"/>
      <sheetName val="Sheet7"/>
      <sheetName val="Annual Report Disclosure"/>
      <sheetName val="Sheet3"/>
      <sheetName val="Sheet5"/>
      <sheetName val="Detail Final"/>
      <sheetName val="Sheet4"/>
      <sheetName val="Entry 3 Blackline manual"/>
      <sheetName val="Tables"/>
      <sheetName val="Exchange Rat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2">
          <cell r="W2" t="str">
            <v>Account</v>
          </cell>
          <cell r="X2" t="str">
            <v>Code</v>
          </cell>
          <cell r="Y2" t="str">
            <v>Custom2</v>
          </cell>
        </row>
        <row r="3">
          <cell r="W3" t="str">
            <v>Provision for doubtful debts</v>
          </cell>
          <cell r="X3">
            <v>1128011200</v>
          </cell>
          <cell r="Y3" t="str">
            <v>M999</v>
          </cell>
        </row>
        <row r="4">
          <cell r="W4" t="str">
            <v>Security Deposits &gt; 1 Yr</v>
          </cell>
          <cell r="X4" t="str">
            <v>1118012150</v>
          </cell>
          <cell r="Y4" t="str">
            <v>M999</v>
          </cell>
        </row>
        <row r="5">
          <cell r="W5" t="str">
            <v>Security Deposits &lt; 1 Yr</v>
          </cell>
          <cell r="X5">
            <v>1128012150</v>
          </cell>
          <cell r="Y5" t="str">
            <v>M999</v>
          </cell>
        </row>
        <row r="6">
          <cell r="W6" t="str">
            <v>Capital Advances &gt; 1 Yr</v>
          </cell>
          <cell r="X6" t="str">
            <v>1118012350</v>
          </cell>
          <cell r="Y6" t="str">
            <v>M999</v>
          </cell>
        </row>
        <row r="7">
          <cell r="W7" t="str">
            <v>Capital Advances &lt; 1 Yr</v>
          </cell>
          <cell r="X7">
            <v>1128012350</v>
          </cell>
          <cell r="Y7" t="str">
            <v>M999</v>
          </cell>
        </row>
        <row r="8">
          <cell r="W8" t="str">
            <v>Other financial assets</v>
          </cell>
          <cell r="X8">
            <v>1118017000</v>
          </cell>
          <cell r="Y8" t="str">
            <v>M999</v>
          </cell>
        </row>
        <row r="9">
          <cell r="W9" t="str">
            <v>Advance against equity</v>
          </cell>
          <cell r="X9" t="str">
            <v>1118012200</v>
          </cell>
          <cell r="Y9" t="str">
            <v>M999</v>
          </cell>
        </row>
        <row r="10">
          <cell r="W10" t="str">
            <v>Advance in the nature of loan (Non-current)</v>
          </cell>
          <cell r="X10" t="str">
            <v>1118012300</v>
          </cell>
          <cell r="Y10" t="str">
            <v>M999</v>
          </cell>
        </row>
        <row r="12">
          <cell r="W12" t="str">
            <v>Sundry Debtors - Others</v>
          </cell>
          <cell r="X12" t="str">
            <v>1128011120</v>
          </cell>
          <cell r="Y12" t="str">
            <v>M999</v>
          </cell>
        </row>
        <row r="13">
          <cell r="W13" t="str">
            <v>Sundry Debtors - More than six months</v>
          </cell>
          <cell r="X13" t="str">
            <v>1128011110</v>
          </cell>
          <cell r="Y13" t="str">
            <v>M999</v>
          </cell>
        </row>
        <row r="14">
          <cell r="W14" t="str">
            <v>Advance in the nature of loan (Current)</v>
          </cell>
          <cell r="X14" t="str">
            <v>1128012300</v>
          </cell>
          <cell r="Y14" t="str">
            <v>M999</v>
          </cell>
        </row>
        <row r="15">
          <cell r="W15" t="str">
            <v>Other Advances</v>
          </cell>
          <cell r="X15" t="str">
            <v>1128012400</v>
          </cell>
          <cell r="Y15" t="str">
            <v>M999</v>
          </cell>
        </row>
        <row r="16">
          <cell r="W16" t="str">
            <v>Interest receivable on loans, advs &amp; deposits</v>
          </cell>
          <cell r="X16" t="str">
            <v>1128012750</v>
          </cell>
          <cell r="Y16" t="str">
            <v>M999</v>
          </cell>
        </row>
        <row r="17">
          <cell r="W17" t="str">
            <v>Provision for doubtful advances</v>
          </cell>
          <cell r="X17" t="str">
            <v>1128012900</v>
          </cell>
          <cell r="Y17" t="str">
            <v>M999</v>
          </cell>
        </row>
        <row r="18">
          <cell r="W18" t="str">
            <v>Inter-corporate Deposits LT &gt; 1 Yr</v>
          </cell>
          <cell r="X18" t="str">
            <v>1211071200</v>
          </cell>
          <cell r="Y18" t="str">
            <v>M999</v>
          </cell>
        </row>
        <row r="19">
          <cell r="W19" t="str">
            <v>Inter-corporate Deposits LT &lt; 1 Yr</v>
          </cell>
          <cell r="X19" t="str">
            <v>1221571200</v>
          </cell>
          <cell r="Y19" t="str">
            <v>M999</v>
          </cell>
        </row>
        <row r="20">
          <cell r="W20" t="str">
            <v>Inter-corporate Deposits ST &lt; 1 Yr</v>
          </cell>
          <cell r="X20" t="str">
            <v>1221071200</v>
          </cell>
          <cell r="Y20" t="str">
            <v>M999</v>
          </cell>
        </row>
        <row r="21">
          <cell r="W21" t="str">
            <v>Crs for supplies / services</v>
          </cell>
          <cell r="X21" t="str">
            <v>1223010000</v>
          </cell>
          <cell r="Y21" t="str">
            <v>M999</v>
          </cell>
        </row>
        <row r="22">
          <cell r="W22" t="str">
            <v>Creditors for accrued wages and salaries</v>
          </cell>
          <cell r="X22" t="str">
            <v>1223020000</v>
          </cell>
          <cell r="Y22" t="str">
            <v>M999</v>
          </cell>
        </row>
        <row r="23">
          <cell r="W23" t="str">
            <v>Other Credit Balances &lt; 1 Yr</v>
          </cell>
          <cell r="X23">
            <v>1223030200</v>
          </cell>
          <cell r="Y23" t="str">
            <v>M999</v>
          </cell>
        </row>
        <row r="24">
          <cell r="W24" t="str">
            <v>Other Credit Balances &gt; 1 Yr</v>
          </cell>
          <cell r="X24">
            <v>1213030200</v>
          </cell>
          <cell r="Y24" t="str">
            <v>M999</v>
          </cell>
        </row>
        <row r="25">
          <cell r="W25" t="str">
            <v>Contract Asset</v>
          </cell>
          <cell r="X25">
            <v>1128012250</v>
          </cell>
          <cell r="Y25" t="str">
            <v>M999</v>
          </cell>
        </row>
        <row r="26">
          <cell r="W26" t="str">
            <v>Advance received from customers</v>
          </cell>
          <cell r="X26" t="str">
            <v>1223030400</v>
          </cell>
          <cell r="Y26" t="str">
            <v>M999</v>
          </cell>
        </row>
        <row r="27">
          <cell r="W27" t="str">
            <v>Other credit balances</v>
          </cell>
          <cell r="X27">
            <v>1213030330</v>
          </cell>
          <cell r="Y27" t="str">
            <v>M999</v>
          </cell>
        </row>
        <row r="28">
          <cell r="W28" t="str">
            <v>Finance lease receivable</v>
          </cell>
          <cell r="X28">
            <v>1118013100</v>
          </cell>
          <cell r="Y28" t="str">
            <v>M999</v>
          </cell>
        </row>
        <row r="29">
          <cell r="W29" t="str">
            <v>Income from town, medical and other services</v>
          </cell>
          <cell r="X29" t="str">
            <v>3110000000</v>
          </cell>
          <cell r="Y29" t="str">
            <v>SERVICES</v>
          </cell>
        </row>
        <row r="30">
          <cell r="W30" t="str">
            <v>Other Operating Income</v>
          </cell>
          <cell r="X30" t="str">
            <v>3110000000</v>
          </cell>
          <cell r="Y30" t="str">
            <v>OTHOPINC</v>
          </cell>
        </row>
        <row r="31">
          <cell r="W31" t="str">
            <v>Sale of Power and Water</v>
          </cell>
          <cell r="X31" t="str">
            <v>3110000000</v>
          </cell>
          <cell r="Y31" t="str">
            <v>POWWAT</v>
          </cell>
        </row>
        <row r="32">
          <cell r="W32" t="str">
            <v>Sale of Products</v>
          </cell>
          <cell r="X32" t="str">
            <v>3110000000</v>
          </cell>
          <cell r="Y32" t="str">
            <v>PRODUCTS</v>
          </cell>
        </row>
        <row r="33">
          <cell r="W33" t="str">
            <v>Excise duty recovered on sales</v>
          </cell>
          <cell r="X33">
            <v>4181800000</v>
          </cell>
          <cell r="Y33" t="str">
            <v>OOPC</v>
          </cell>
        </row>
        <row r="34">
          <cell r="W34" t="str">
            <v>Purchase of finished, semi-finished and other products</v>
          </cell>
          <cell r="X34" t="str">
            <v>4111000000</v>
          </cell>
          <cell r="Y34" t="str">
            <v>OOPC</v>
          </cell>
        </row>
        <row r="35">
          <cell r="W35" t="str">
            <v>Raw materials consumed</v>
          </cell>
          <cell r="X35" t="str">
            <v>4112000000</v>
          </cell>
          <cell r="Y35" t="str">
            <v>OOPC</v>
          </cell>
        </row>
        <row r="36">
          <cell r="W36" t="str">
            <v>Exp trfd to capital account</v>
          </cell>
          <cell r="X36" t="str">
            <v>4130000000</v>
          </cell>
          <cell r="Y36" t="str">
            <v>OOPC</v>
          </cell>
        </row>
        <row r="37">
          <cell r="W37" t="str">
            <v>Stores Consumed</v>
          </cell>
          <cell r="X37" t="str">
            <v>4141000000</v>
          </cell>
          <cell r="Y37" t="str">
            <v>OOPC</v>
          </cell>
        </row>
        <row r="38">
          <cell r="W38" t="str">
            <v>Repairs to Machinery</v>
          </cell>
          <cell r="X38" t="str">
            <v>4142000000</v>
          </cell>
          <cell r="Y38" t="str">
            <v>OOPC</v>
          </cell>
        </row>
        <row r="39">
          <cell r="W39" t="str">
            <v>Repairs to Buildings</v>
          </cell>
          <cell r="X39" t="str">
            <v>4143000000</v>
          </cell>
          <cell r="Y39" t="str">
            <v>OOPC</v>
          </cell>
        </row>
        <row r="40">
          <cell r="W40" t="str">
            <v>Purchase of Power</v>
          </cell>
          <cell r="X40" t="str">
            <v>4151200000</v>
          </cell>
          <cell r="Y40" t="str">
            <v>OOPC</v>
          </cell>
        </row>
        <row r="41">
          <cell r="W41" t="str">
            <v>Conversion Charges</v>
          </cell>
          <cell r="X41" t="str">
            <v>4152000000</v>
          </cell>
          <cell r="Y41" t="str">
            <v>OOPC</v>
          </cell>
        </row>
        <row r="42">
          <cell r="W42" t="str">
            <v>Freight and Handling Charges</v>
          </cell>
          <cell r="X42" t="str">
            <v>4153000000</v>
          </cell>
          <cell r="Y42" t="str">
            <v>OOPC</v>
          </cell>
        </row>
        <row r="43">
          <cell r="W43" t="str">
            <v>Rent</v>
          </cell>
          <cell r="X43" t="str">
            <v>4181000000</v>
          </cell>
          <cell r="Y43" t="str">
            <v>OOPC</v>
          </cell>
        </row>
        <row r="44">
          <cell r="W44" t="str">
            <v>Commission, discounts and rebates</v>
          </cell>
          <cell r="X44" t="str">
            <v>4181400000</v>
          </cell>
          <cell r="Y44" t="str">
            <v>OOPC</v>
          </cell>
        </row>
        <row r="45">
          <cell r="W45" t="str">
            <v>Other Expenses</v>
          </cell>
          <cell r="X45" t="str">
            <v>4181819000</v>
          </cell>
          <cell r="Y45" t="str">
            <v>OOPC</v>
          </cell>
        </row>
        <row r="46">
          <cell r="W46" t="str">
            <v>Dividend income</v>
          </cell>
          <cell r="X46" t="str">
            <v>4311010000</v>
          </cell>
          <cell r="Y46" t="str">
            <v>[None]</v>
          </cell>
        </row>
        <row r="47">
          <cell r="W47" t="str">
            <v>Crs for capital supplies/services &gt;1Yr</v>
          </cell>
          <cell r="X47" t="str">
            <v>1213015000</v>
          </cell>
          <cell r="Y47" t="str">
            <v>M999</v>
          </cell>
        </row>
        <row r="48">
          <cell r="W48" t="str">
            <v>Crs for capital supplies/services &lt;1Yr</v>
          </cell>
          <cell r="X48" t="str">
            <v>1223015000</v>
          </cell>
          <cell r="Y48" t="str">
            <v>M999</v>
          </cell>
        </row>
        <row r="49">
          <cell r="W49" t="str">
            <v>Interest Expense - Others</v>
          </cell>
          <cell r="X49" t="str">
            <v>4321020000</v>
          </cell>
          <cell r="Y49" t="str">
            <v>[None]</v>
          </cell>
        </row>
        <row r="50">
          <cell r="W50" t="str">
            <v>Other current assets &lt; 1 Yr</v>
          </cell>
          <cell r="X50" t="str">
            <v>1128012550</v>
          </cell>
          <cell r="Y50" t="str">
            <v>M999</v>
          </cell>
        </row>
        <row r="51">
          <cell r="W51" t="str">
            <v>P/(L) on sale of capital assets (net of assets scrapped)</v>
          </cell>
          <cell r="X51">
            <v>4213000000</v>
          </cell>
          <cell r="Y51" t="str">
            <v>[None]</v>
          </cell>
        </row>
        <row r="52">
          <cell r="W52" t="str">
            <v>Interest Income received</v>
          </cell>
          <cell r="X52" t="str">
            <v>4312010000</v>
          </cell>
          <cell r="Y52" t="str">
            <v>[None]</v>
          </cell>
        </row>
      </sheetData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1A0D8-9463-45FB-96CD-CDBF7141E726}">
  <dimension ref="B1:BO25"/>
  <sheetViews>
    <sheetView tabSelected="1" workbookViewId="0">
      <selection activeCell="C2" sqref="C2"/>
    </sheetView>
  </sheetViews>
  <sheetFormatPr defaultRowHeight="15" x14ac:dyDescent="0.25"/>
  <cols>
    <col min="1" max="2" width="9.140625" style="28"/>
    <col min="3" max="3" width="12.42578125" style="28" bestFit="1" customWidth="1"/>
    <col min="4" max="4" width="28.42578125" style="28" bestFit="1" customWidth="1"/>
    <col min="5" max="5" width="16.42578125" style="28" bestFit="1" customWidth="1"/>
    <col min="6" max="6" width="31.140625" style="28" bestFit="1" customWidth="1"/>
    <col min="7" max="7" width="17.7109375" style="28" bestFit="1" customWidth="1"/>
    <col min="8" max="9" width="19" style="28" bestFit="1" customWidth="1"/>
    <col min="10" max="10" width="16.42578125" style="28" bestFit="1" customWidth="1"/>
    <col min="11" max="11" width="21.85546875" style="28" bestFit="1" customWidth="1"/>
    <col min="12" max="12" width="18" style="28" bestFit="1" customWidth="1"/>
    <col min="13" max="13" width="19.140625" style="28" bestFit="1" customWidth="1"/>
    <col min="14" max="14" width="23.5703125" style="28" bestFit="1" customWidth="1"/>
    <col min="15" max="15" width="48.28515625" style="28" bestFit="1" customWidth="1"/>
    <col min="16" max="16" width="8.7109375" style="28" bestFit="1" customWidth="1"/>
    <col min="17" max="17" width="8.42578125" style="28" bestFit="1" customWidth="1"/>
    <col min="18" max="18" width="8.85546875" style="28" bestFit="1" customWidth="1"/>
    <col min="19" max="19" width="7.85546875" style="28" bestFit="1" customWidth="1"/>
    <col min="20" max="20" width="13.28515625" style="28" bestFit="1" customWidth="1"/>
    <col min="21" max="21" width="16.140625" style="28" bestFit="1" customWidth="1"/>
    <col min="22" max="22" width="14.5703125" style="28" bestFit="1" customWidth="1"/>
    <col min="23" max="25" width="0" style="28" hidden="1" customWidth="1"/>
    <col min="26" max="26" width="20.140625" style="28" bestFit="1" customWidth="1"/>
    <col min="27" max="27" width="11.140625" style="28" bestFit="1" customWidth="1"/>
    <col min="28" max="28" width="12.42578125" style="28" bestFit="1" customWidth="1"/>
    <col min="29" max="29" width="11.140625" style="28" bestFit="1" customWidth="1"/>
    <col min="30" max="30" width="12.140625" style="28" bestFit="1" customWidth="1"/>
    <col min="31" max="31" width="17.42578125" style="28" bestFit="1" customWidth="1"/>
    <col min="32" max="32" width="14.140625" style="28" bestFit="1" customWidth="1"/>
    <col min="33" max="33" width="11.28515625" style="28" bestFit="1" customWidth="1"/>
    <col min="34" max="34" width="18" style="28" bestFit="1" customWidth="1"/>
    <col min="35" max="37" width="14.5703125" style="28" bestFit="1" customWidth="1"/>
    <col min="38" max="38" width="19.28515625" style="28" bestFit="1" customWidth="1"/>
    <col min="39" max="39" width="9.140625" style="28"/>
    <col min="40" max="40" width="8.5703125" style="28" bestFit="1" customWidth="1"/>
    <col min="41" max="51" width="9.140625" style="28"/>
    <col min="52" max="52" width="20" style="28" bestFit="1" customWidth="1"/>
    <col min="53" max="53" width="11.140625" style="28" bestFit="1" customWidth="1"/>
    <col min="54" max="54" width="12.42578125" style="28" bestFit="1" customWidth="1"/>
    <col min="55" max="55" width="11.140625" style="28" bestFit="1" customWidth="1"/>
    <col min="56" max="56" width="12.140625" style="28" bestFit="1" customWidth="1"/>
    <col min="57" max="57" width="17.42578125" style="28" bestFit="1" customWidth="1"/>
    <col min="58" max="58" width="14.140625" style="28" bestFit="1" customWidth="1"/>
    <col min="59" max="59" width="11.7109375" style="28" bestFit="1" customWidth="1"/>
    <col min="60" max="60" width="18" style="28" bestFit="1" customWidth="1"/>
    <col min="61" max="63" width="14.5703125" style="28" bestFit="1" customWidth="1"/>
    <col min="64" max="64" width="19.28515625" style="28" bestFit="1" customWidth="1"/>
    <col min="65" max="65" width="9.140625" style="28"/>
    <col min="66" max="66" width="8.5703125" style="28" bestFit="1" customWidth="1"/>
    <col min="67" max="16384" width="9.140625" style="28"/>
  </cols>
  <sheetData>
    <row r="1" spans="2:67" customFormat="1" x14ac:dyDescent="0.25"/>
    <row r="2" spans="2:67" customFormat="1" x14ac:dyDescent="0.25"/>
    <row r="3" spans="2:67" customFormat="1" x14ac:dyDescent="0.25">
      <c r="C3" s="6" t="s">
        <v>52</v>
      </c>
      <c r="D3" s="6" t="s">
        <v>53</v>
      </c>
      <c r="E3" s="7" t="s">
        <v>54</v>
      </c>
      <c r="F3" s="7" t="s">
        <v>55</v>
      </c>
      <c r="G3" s="8" t="s">
        <v>56</v>
      </c>
      <c r="H3" s="9" t="s">
        <v>57</v>
      </c>
      <c r="I3" s="7" t="s">
        <v>58</v>
      </c>
      <c r="J3" s="7" t="s">
        <v>59</v>
      </c>
      <c r="K3" s="7" t="s">
        <v>60</v>
      </c>
      <c r="L3" s="7" t="s">
        <v>61</v>
      </c>
      <c r="M3" s="7" t="s">
        <v>62</v>
      </c>
      <c r="N3" s="7" t="s">
        <v>63</v>
      </c>
      <c r="O3" s="7" t="s">
        <v>64</v>
      </c>
      <c r="P3" s="7" t="s">
        <v>65</v>
      </c>
      <c r="Q3" s="7" t="s">
        <v>66</v>
      </c>
      <c r="R3" s="7" t="s">
        <v>67</v>
      </c>
      <c r="S3" s="7" t="s">
        <v>68</v>
      </c>
      <c r="T3" s="7" t="s">
        <v>69</v>
      </c>
      <c r="U3" s="7" t="s">
        <v>70</v>
      </c>
      <c r="V3" s="7" t="s">
        <v>71</v>
      </c>
      <c r="W3" s="10"/>
      <c r="X3" s="10"/>
      <c r="Y3" s="10"/>
      <c r="Z3" s="11" t="s">
        <v>72</v>
      </c>
      <c r="AA3" s="11" t="s">
        <v>73</v>
      </c>
      <c r="AB3" s="11" t="s">
        <v>74</v>
      </c>
      <c r="AC3" s="11" t="s">
        <v>75</v>
      </c>
      <c r="AD3" s="11" t="s">
        <v>76</v>
      </c>
      <c r="AE3" s="11" t="s">
        <v>77</v>
      </c>
      <c r="AF3" s="11" t="s">
        <v>78</v>
      </c>
      <c r="AG3" s="11" t="s">
        <v>79</v>
      </c>
      <c r="AH3" s="11" t="s">
        <v>80</v>
      </c>
      <c r="AI3" s="11" t="s">
        <v>81</v>
      </c>
      <c r="AJ3" s="11" t="s">
        <v>82</v>
      </c>
      <c r="AK3" s="11" t="s">
        <v>83</v>
      </c>
      <c r="AL3" s="12" t="s">
        <v>84</v>
      </c>
      <c r="AM3" s="13"/>
      <c r="AN3" s="14" t="s">
        <v>85</v>
      </c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1" t="s">
        <v>72</v>
      </c>
      <c r="BA3" s="11" t="s">
        <v>73</v>
      </c>
      <c r="BB3" s="11" t="s">
        <v>74</v>
      </c>
      <c r="BC3" s="11" t="s">
        <v>75</v>
      </c>
      <c r="BD3" s="11" t="s">
        <v>76</v>
      </c>
      <c r="BE3" s="11" t="s">
        <v>77</v>
      </c>
      <c r="BF3" s="11" t="s">
        <v>78</v>
      </c>
      <c r="BG3" s="11" t="s">
        <v>79</v>
      </c>
      <c r="BH3" s="11" t="s">
        <v>80</v>
      </c>
      <c r="BI3" s="11" t="s">
        <v>81</v>
      </c>
      <c r="BJ3" s="11" t="s">
        <v>82</v>
      </c>
      <c r="BK3" s="11" t="s">
        <v>83</v>
      </c>
      <c r="BL3" s="12" t="s">
        <v>84</v>
      </c>
      <c r="BM3" s="13"/>
      <c r="BN3" s="14" t="s">
        <v>85</v>
      </c>
      <c r="BO3" s="10"/>
    </row>
    <row r="4" spans="2:67" x14ac:dyDescent="0.25">
      <c r="B4" s="15"/>
      <c r="C4" s="16" t="s">
        <v>0</v>
      </c>
      <c r="D4" s="16" t="s">
        <v>1</v>
      </c>
      <c r="E4" s="17" t="s">
        <v>2</v>
      </c>
      <c r="F4" s="16" t="s">
        <v>3</v>
      </c>
      <c r="G4" s="18" t="s">
        <v>4</v>
      </c>
      <c r="H4" s="1">
        <v>64723190.450000003</v>
      </c>
      <c r="I4" s="2">
        <v>259788389.73999998</v>
      </c>
      <c r="J4" s="3">
        <v>259788389.73999998</v>
      </c>
      <c r="K4" s="3">
        <v>259788389.73999998</v>
      </c>
      <c r="L4" s="3">
        <v>195065199.28999996</v>
      </c>
      <c r="M4" s="18" t="s">
        <v>4</v>
      </c>
      <c r="N4" s="4" t="s">
        <v>12</v>
      </c>
      <c r="O4" s="16" t="s">
        <v>42</v>
      </c>
      <c r="P4" s="19"/>
      <c r="Q4" s="19"/>
      <c r="R4" s="19"/>
      <c r="S4" s="19"/>
      <c r="T4" s="19"/>
      <c r="U4" s="5">
        <v>195065199.28999996</v>
      </c>
      <c r="V4" s="20"/>
      <c r="W4" s="21"/>
      <c r="X4" s="21"/>
      <c r="Y4" s="21"/>
      <c r="Z4" s="22" t="s">
        <v>13</v>
      </c>
      <c r="AA4" s="23">
        <v>2020</v>
      </c>
      <c r="AB4" s="22" t="s">
        <v>14</v>
      </c>
      <c r="AC4" s="22" t="s">
        <v>15</v>
      </c>
      <c r="AD4" s="22" t="s">
        <v>16</v>
      </c>
      <c r="AE4" s="22" t="s">
        <v>17</v>
      </c>
      <c r="AF4" s="23" t="s">
        <v>18</v>
      </c>
      <c r="AG4" s="22" t="s">
        <v>19</v>
      </c>
      <c r="AH4" s="22" t="s">
        <v>20</v>
      </c>
      <c r="AI4" s="22" t="s">
        <v>21</v>
      </c>
      <c r="AJ4" s="22" t="s">
        <v>22</v>
      </c>
      <c r="AK4" s="22" t="s">
        <v>23</v>
      </c>
      <c r="AL4" s="24">
        <v>64723190.450000003</v>
      </c>
      <c r="AM4" s="25"/>
      <c r="AN4" s="26" t="s">
        <v>24</v>
      </c>
      <c r="AO4" s="21"/>
      <c r="AP4" s="27"/>
      <c r="AQ4" s="21"/>
      <c r="AR4" s="21"/>
      <c r="AS4" s="21"/>
      <c r="AT4" s="21"/>
      <c r="AU4" s="21"/>
      <c r="AV4" s="21"/>
      <c r="AW4" s="27"/>
      <c r="AX4" s="21"/>
      <c r="AY4" s="21"/>
      <c r="AZ4" s="22" t="s">
        <v>25</v>
      </c>
      <c r="BA4" s="23">
        <v>2020</v>
      </c>
      <c r="BB4" s="22" t="s">
        <v>26</v>
      </c>
      <c r="BC4" s="22" t="s">
        <v>15</v>
      </c>
      <c r="BD4" s="22" t="s">
        <v>19</v>
      </c>
      <c r="BE4" s="22" t="s">
        <v>17</v>
      </c>
      <c r="BF4" s="23" t="str">
        <f>VLOOKUP(O:O,[1]Tables!$W:$X,2,0)</f>
        <v>3110000000</v>
      </c>
      <c r="BG4" s="22" t="s">
        <v>16</v>
      </c>
      <c r="BH4" s="22" t="s">
        <v>20</v>
      </c>
      <c r="BI4" s="22" t="str">
        <f>VLOOKUP(O:O,[1]Tables!$W:$Y,3,0)</f>
        <v>PRODUCTS</v>
      </c>
      <c r="BJ4" s="22" t="s">
        <v>27</v>
      </c>
      <c r="BK4" s="22" t="s">
        <v>23</v>
      </c>
      <c r="BL4" s="24">
        <v>259788389.74000001</v>
      </c>
      <c r="BM4" s="25"/>
      <c r="BN4" s="26" t="s">
        <v>24</v>
      </c>
      <c r="BO4" s="21"/>
    </row>
    <row r="5" spans="2:67" x14ac:dyDescent="0.25">
      <c r="B5" s="15"/>
      <c r="C5" s="16" t="s">
        <v>0</v>
      </c>
      <c r="D5" s="16" t="s">
        <v>1</v>
      </c>
      <c r="E5" s="17" t="s">
        <v>2</v>
      </c>
      <c r="F5" s="16" t="s">
        <v>3</v>
      </c>
      <c r="G5" s="18" t="s">
        <v>4</v>
      </c>
      <c r="H5" s="1">
        <v>18308577.719999999</v>
      </c>
      <c r="I5" s="2">
        <v>0</v>
      </c>
      <c r="J5" s="3">
        <v>0</v>
      </c>
      <c r="K5" s="3">
        <v>0</v>
      </c>
      <c r="L5" s="3">
        <v>-18308577.719999999</v>
      </c>
      <c r="M5" s="18" t="s">
        <v>4</v>
      </c>
      <c r="N5" s="16" t="s">
        <v>28</v>
      </c>
      <c r="O5" s="16" t="s">
        <v>44</v>
      </c>
      <c r="P5" s="19"/>
      <c r="Q5" s="19"/>
      <c r="R5" s="19"/>
      <c r="S5" s="19"/>
      <c r="T5" s="19"/>
      <c r="U5" s="5">
        <v>-18308577.719999999</v>
      </c>
      <c r="V5" s="20"/>
      <c r="W5" s="21"/>
      <c r="X5" s="21"/>
      <c r="Y5" s="21"/>
      <c r="Z5" s="22" t="s">
        <v>13</v>
      </c>
      <c r="AA5" s="23">
        <v>2020</v>
      </c>
      <c r="AB5" s="22" t="s">
        <v>14</v>
      </c>
      <c r="AC5" s="22" t="s">
        <v>15</v>
      </c>
      <c r="AD5" s="22" t="s">
        <v>16</v>
      </c>
      <c r="AE5" s="22" t="s">
        <v>17</v>
      </c>
      <c r="AF5" s="23" t="s">
        <v>29</v>
      </c>
      <c r="AG5" s="22" t="s">
        <v>19</v>
      </c>
      <c r="AH5" s="22" t="s">
        <v>20</v>
      </c>
      <c r="AI5" s="22" t="s">
        <v>21</v>
      </c>
      <c r="AJ5" s="22" t="s">
        <v>22</v>
      </c>
      <c r="AK5" s="22" t="s">
        <v>23</v>
      </c>
      <c r="AL5" s="24">
        <v>18308577.719999999</v>
      </c>
      <c r="AM5" s="25"/>
      <c r="AN5" s="26" t="s">
        <v>24</v>
      </c>
      <c r="AO5" s="21"/>
      <c r="AP5" s="27"/>
      <c r="AQ5" s="21"/>
      <c r="AR5" s="21"/>
      <c r="AS5" s="21"/>
      <c r="AT5" s="21"/>
      <c r="AU5" s="21"/>
      <c r="AV5" s="21"/>
      <c r="AW5" s="27"/>
      <c r="AX5" s="21"/>
      <c r="AY5" s="21"/>
      <c r="AZ5" s="22" t="s">
        <v>25</v>
      </c>
      <c r="BA5" s="23">
        <v>2020</v>
      </c>
      <c r="BB5" s="22" t="s">
        <v>26</v>
      </c>
      <c r="BC5" s="22" t="s">
        <v>15</v>
      </c>
      <c r="BD5" s="22" t="s">
        <v>19</v>
      </c>
      <c r="BE5" s="22" t="s">
        <v>17</v>
      </c>
      <c r="BF5" s="23" t="str">
        <f>VLOOKUP(O:O,[1]Tables!$W:$X,2,0)</f>
        <v>4111000000</v>
      </c>
      <c r="BG5" s="22" t="s">
        <v>16</v>
      </c>
      <c r="BH5" s="22" t="s">
        <v>20</v>
      </c>
      <c r="BI5" s="22" t="str">
        <f>VLOOKUP(O:O,[1]Tables!$W:$Y,3,0)</f>
        <v>OOPC</v>
      </c>
      <c r="BJ5" s="22" t="s">
        <v>27</v>
      </c>
      <c r="BK5" s="22" t="s">
        <v>23</v>
      </c>
      <c r="BL5" s="24">
        <v>0</v>
      </c>
      <c r="BM5" s="25"/>
      <c r="BN5" s="26" t="s">
        <v>24</v>
      </c>
      <c r="BO5" s="21"/>
    </row>
    <row r="6" spans="2:67" x14ac:dyDescent="0.25">
      <c r="B6" s="15"/>
      <c r="C6" s="16" t="s">
        <v>0</v>
      </c>
      <c r="D6" s="16" t="s">
        <v>1</v>
      </c>
      <c r="E6" s="17" t="s">
        <v>2</v>
      </c>
      <c r="F6" s="16" t="s">
        <v>3</v>
      </c>
      <c r="G6" s="18" t="s">
        <v>4</v>
      </c>
      <c r="H6" s="1">
        <v>1656605.55</v>
      </c>
      <c r="I6" s="2">
        <v>0</v>
      </c>
      <c r="J6" s="3">
        <v>0</v>
      </c>
      <c r="K6" s="3">
        <v>0</v>
      </c>
      <c r="L6" s="3">
        <v>-1656605.55</v>
      </c>
      <c r="M6" s="18" t="s">
        <v>4</v>
      </c>
      <c r="N6" s="16" t="s">
        <v>30</v>
      </c>
      <c r="O6" s="16" t="s">
        <v>32</v>
      </c>
      <c r="P6" s="19"/>
      <c r="Q6" s="19"/>
      <c r="R6" s="19"/>
      <c r="S6" s="19"/>
      <c r="T6" s="19"/>
      <c r="U6" s="5">
        <v>-1656605.55</v>
      </c>
      <c r="V6" s="20"/>
      <c r="W6" s="21"/>
      <c r="X6" s="21"/>
      <c r="Y6" s="21"/>
      <c r="Z6" s="22" t="s">
        <v>13</v>
      </c>
      <c r="AA6" s="23">
        <v>2020</v>
      </c>
      <c r="AB6" s="22" t="s">
        <v>14</v>
      </c>
      <c r="AC6" s="22" t="s">
        <v>15</v>
      </c>
      <c r="AD6" s="22" t="s">
        <v>16</v>
      </c>
      <c r="AE6" s="22" t="s">
        <v>17</v>
      </c>
      <c r="AF6" s="23" t="s">
        <v>31</v>
      </c>
      <c r="AG6" s="22" t="s">
        <v>19</v>
      </c>
      <c r="AH6" s="22" t="s">
        <v>20</v>
      </c>
      <c r="AI6" s="22" t="s">
        <v>21</v>
      </c>
      <c r="AJ6" s="22" t="s">
        <v>22</v>
      </c>
      <c r="AK6" s="22" t="s">
        <v>23</v>
      </c>
      <c r="AL6" s="24">
        <v>1656605.55</v>
      </c>
      <c r="AM6" s="25"/>
      <c r="AN6" s="26" t="s">
        <v>24</v>
      </c>
      <c r="AO6" s="21"/>
      <c r="AP6" s="27"/>
      <c r="AQ6" s="21"/>
      <c r="AR6" s="21"/>
      <c r="AS6" s="21"/>
      <c r="AT6" s="21"/>
      <c r="AU6" s="21"/>
      <c r="AV6" s="21"/>
      <c r="AW6" s="27"/>
      <c r="AX6" s="21"/>
      <c r="AY6" s="21"/>
      <c r="AZ6" s="22" t="s">
        <v>25</v>
      </c>
      <c r="BA6" s="23">
        <v>2020</v>
      </c>
      <c r="BB6" s="22" t="s">
        <v>26</v>
      </c>
      <c r="BC6" s="22" t="s">
        <v>15</v>
      </c>
      <c r="BD6" s="22" t="s">
        <v>19</v>
      </c>
      <c r="BE6" s="22" t="s">
        <v>17</v>
      </c>
      <c r="BF6" s="23" t="str">
        <f>VLOOKUP(O:O,[1]Tables!$W:$X,2,0)</f>
        <v>3110000000</v>
      </c>
      <c r="BG6" s="22" t="s">
        <v>16</v>
      </c>
      <c r="BH6" s="22" t="s">
        <v>20</v>
      </c>
      <c r="BI6" s="22" t="str">
        <f>VLOOKUP(O:O,[1]Tables!$W:$Y,3,0)</f>
        <v>OTHOPINC</v>
      </c>
      <c r="BJ6" s="22" t="s">
        <v>27</v>
      </c>
      <c r="BK6" s="22" t="s">
        <v>23</v>
      </c>
      <c r="BL6" s="24">
        <v>0</v>
      </c>
      <c r="BM6" s="25"/>
      <c r="BN6" s="26" t="s">
        <v>24</v>
      </c>
      <c r="BO6" s="21"/>
    </row>
    <row r="7" spans="2:67" x14ac:dyDescent="0.25">
      <c r="B7" s="15"/>
      <c r="C7" s="16" t="s">
        <v>0</v>
      </c>
      <c r="D7" s="16" t="s">
        <v>1</v>
      </c>
      <c r="E7" s="17" t="s">
        <v>2</v>
      </c>
      <c r="F7" s="16" t="s">
        <v>3</v>
      </c>
      <c r="G7" s="18" t="s">
        <v>4</v>
      </c>
      <c r="H7" s="1">
        <v>-11841.52</v>
      </c>
      <c r="I7" s="2">
        <v>9963.14</v>
      </c>
      <c r="J7" s="3">
        <v>9963.14</v>
      </c>
      <c r="K7" s="3">
        <v>9963.14</v>
      </c>
      <c r="L7" s="3">
        <v>21804.66</v>
      </c>
      <c r="M7" s="18" t="s">
        <v>4</v>
      </c>
      <c r="N7" s="16" t="s">
        <v>32</v>
      </c>
      <c r="O7" s="16" t="s">
        <v>28</v>
      </c>
      <c r="P7" s="19"/>
      <c r="Q7" s="19"/>
      <c r="R7" s="19"/>
      <c r="S7" s="19"/>
      <c r="T7" s="19"/>
      <c r="U7" s="5">
        <v>21804.66</v>
      </c>
      <c r="V7" s="20"/>
      <c r="W7" s="21"/>
      <c r="X7" s="21"/>
      <c r="Y7" s="21"/>
      <c r="Z7" s="22" t="s">
        <v>13</v>
      </c>
      <c r="AA7" s="23">
        <v>2020</v>
      </c>
      <c r="AB7" s="22" t="s">
        <v>14</v>
      </c>
      <c r="AC7" s="22" t="s">
        <v>15</v>
      </c>
      <c r="AD7" s="22" t="s">
        <v>16</v>
      </c>
      <c r="AE7" s="22" t="s">
        <v>17</v>
      </c>
      <c r="AF7" s="23" t="s">
        <v>33</v>
      </c>
      <c r="AG7" s="22" t="s">
        <v>19</v>
      </c>
      <c r="AH7" s="22" t="s">
        <v>20</v>
      </c>
      <c r="AI7" s="22" t="s">
        <v>34</v>
      </c>
      <c r="AJ7" s="22" t="s">
        <v>22</v>
      </c>
      <c r="AK7" s="22" t="s">
        <v>23</v>
      </c>
      <c r="AL7" s="24">
        <v>-11841.52</v>
      </c>
      <c r="AM7" s="25"/>
      <c r="AN7" s="26" t="s">
        <v>24</v>
      </c>
      <c r="AO7" s="21"/>
      <c r="AP7" s="27"/>
      <c r="AQ7" s="21"/>
      <c r="AR7" s="21"/>
      <c r="AS7" s="21"/>
      <c r="AT7" s="21"/>
      <c r="AU7" s="21"/>
      <c r="AV7" s="21"/>
      <c r="AW7" s="27"/>
      <c r="AX7" s="21"/>
      <c r="AY7" s="21"/>
      <c r="AZ7" s="22" t="s">
        <v>25</v>
      </c>
      <c r="BA7" s="23">
        <v>2020</v>
      </c>
      <c r="BB7" s="22" t="s">
        <v>26</v>
      </c>
      <c r="BC7" s="22" t="s">
        <v>15</v>
      </c>
      <c r="BD7" s="22" t="s">
        <v>19</v>
      </c>
      <c r="BE7" s="22" t="s">
        <v>17</v>
      </c>
      <c r="BF7" s="23" t="str">
        <f>VLOOKUP(O:O,[1]Tables!$W:$X,2,0)</f>
        <v>4181819000</v>
      </c>
      <c r="BG7" s="22" t="s">
        <v>16</v>
      </c>
      <c r="BH7" s="22" t="s">
        <v>20</v>
      </c>
      <c r="BI7" s="22" t="str">
        <f>VLOOKUP(O:O,[1]Tables!$W:$Y,3,0)</f>
        <v>OOPC</v>
      </c>
      <c r="BJ7" s="22" t="s">
        <v>27</v>
      </c>
      <c r="BK7" s="22" t="s">
        <v>23</v>
      </c>
      <c r="BL7" s="24">
        <v>9963.14</v>
      </c>
      <c r="BM7" s="25"/>
      <c r="BN7" s="26" t="s">
        <v>24</v>
      </c>
      <c r="BO7" s="21"/>
    </row>
    <row r="8" spans="2:67" x14ac:dyDescent="0.25">
      <c r="B8" s="15"/>
      <c r="C8" s="16" t="s">
        <v>0</v>
      </c>
      <c r="D8" s="16" t="s">
        <v>1</v>
      </c>
      <c r="E8" s="17" t="s">
        <v>2</v>
      </c>
      <c r="F8" s="16" t="s">
        <v>3</v>
      </c>
      <c r="G8" s="18" t="s">
        <v>4</v>
      </c>
      <c r="H8" s="1">
        <v>138480923.47999999</v>
      </c>
      <c r="I8" s="2"/>
      <c r="J8" s="3">
        <v>0</v>
      </c>
      <c r="K8" s="3">
        <v>0</v>
      </c>
      <c r="L8" s="3">
        <v>-138480923.47999999</v>
      </c>
      <c r="M8" s="18" t="s">
        <v>4</v>
      </c>
      <c r="N8" s="16" t="s">
        <v>35</v>
      </c>
      <c r="O8" s="16" t="s">
        <v>42</v>
      </c>
      <c r="P8" s="19"/>
      <c r="Q8" s="19"/>
      <c r="R8" s="19"/>
      <c r="S8" s="19"/>
      <c r="T8" s="19"/>
      <c r="U8" s="5">
        <v>-138480923.47999999</v>
      </c>
      <c r="V8" s="20"/>
      <c r="W8" s="21"/>
      <c r="X8" s="21"/>
      <c r="Y8" s="21"/>
      <c r="Z8" s="22" t="s">
        <v>13</v>
      </c>
      <c r="AA8" s="23">
        <v>2020</v>
      </c>
      <c r="AB8" s="22" t="s">
        <v>14</v>
      </c>
      <c r="AC8" s="22" t="s">
        <v>15</v>
      </c>
      <c r="AD8" s="22" t="s">
        <v>16</v>
      </c>
      <c r="AE8" s="22" t="s">
        <v>17</v>
      </c>
      <c r="AF8" s="23" t="s">
        <v>36</v>
      </c>
      <c r="AG8" s="22" t="s">
        <v>19</v>
      </c>
      <c r="AH8" s="22" t="s">
        <v>20</v>
      </c>
      <c r="AI8" s="22" t="s">
        <v>21</v>
      </c>
      <c r="AJ8" s="22" t="s">
        <v>22</v>
      </c>
      <c r="AK8" s="22" t="s">
        <v>23</v>
      </c>
      <c r="AL8" s="24">
        <v>138480923.47999999</v>
      </c>
      <c r="AM8" s="25"/>
      <c r="AN8" s="26" t="s">
        <v>24</v>
      </c>
      <c r="AO8" s="21"/>
      <c r="AP8" s="27"/>
      <c r="AQ8" s="21"/>
      <c r="AR8" s="21"/>
      <c r="AS8" s="21"/>
      <c r="AT8" s="21"/>
      <c r="AU8" s="21"/>
      <c r="AV8" s="21"/>
      <c r="AW8" s="27"/>
      <c r="AX8" s="21"/>
      <c r="AY8" s="21"/>
      <c r="AZ8" s="22" t="s">
        <v>25</v>
      </c>
      <c r="BA8" s="23">
        <v>2020</v>
      </c>
      <c r="BB8" s="22" t="s">
        <v>26</v>
      </c>
      <c r="BC8" s="22" t="s">
        <v>15</v>
      </c>
      <c r="BD8" s="22" t="s">
        <v>19</v>
      </c>
      <c r="BE8" s="22" t="s">
        <v>17</v>
      </c>
      <c r="BF8" s="23" t="str">
        <f>VLOOKUP(O:O,[1]Tables!$W:$X,2,0)</f>
        <v>3110000000</v>
      </c>
      <c r="BG8" s="22" t="s">
        <v>16</v>
      </c>
      <c r="BH8" s="22" t="s">
        <v>20</v>
      </c>
      <c r="BI8" s="22" t="str">
        <f>VLOOKUP(O:O,[1]Tables!$W:$Y,3,0)</f>
        <v>PRODUCTS</v>
      </c>
      <c r="BJ8" s="22" t="s">
        <v>27</v>
      </c>
      <c r="BK8" s="22" t="s">
        <v>23</v>
      </c>
      <c r="BL8" s="24">
        <v>0</v>
      </c>
      <c r="BM8" s="25"/>
      <c r="BN8" s="26" t="s">
        <v>24</v>
      </c>
      <c r="BO8" s="21"/>
    </row>
    <row r="9" spans="2:67" x14ac:dyDescent="0.25">
      <c r="B9" s="15"/>
      <c r="C9" s="16" t="s">
        <v>0</v>
      </c>
      <c r="D9" s="16" t="s">
        <v>1</v>
      </c>
      <c r="E9" s="17" t="s">
        <v>2</v>
      </c>
      <c r="F9" s="16" t="s">
        <v>5</v>
      </c>
      <c r="G9" s="18" t="s">
        <v>4</v>
      </c>
      <c r="H9" s="1"/>
      <c r="I9" s="2"/>
      <c r="J9" s="3">
        <v>0</v>
      </c>
      <c r="K9" s="3">
        <v>0</v>
      </c>
      <c r="L9" s="3">
        <v>0</v>
      </c>
      <c r="M9" s="18" t="s">
        <v>4</v>
      </c>
      <c r="N9" s="16" t="s">
        <v>35</v>
      </c>
      <c r="O9" s="16" t="s">
        <v>42</v>
      </c>
      <c r="P9" s="19"/>
      <c r="Q9" s="19"/>
      <c r="R9" s="19"/>
      <c r="S9" s="19"/>
      <c r="T9" s="19"/>
      <c r="U9" s="5">
        <v>0</v>
      </c>
      <c r="V9" s="20"/>
      <c r="W9" s="21"/>
      <c r="X9" s="21"/>
      <c r="Y9" s="21"/>
      <c r="Z9" s="22" t="s">
        <v>13</v>
      </c>
      <c r="AA9" s="23">
        <v>2020</v>
      </c>
      <c r="AB9" s="22" t="s">
        <v>14</v>
      </c>
      <c r="AC9" s="22" t="s">
        <v>15</v>
      </c>
      <c r="AD9" s="22" t="s">
        <v>16</v>
      </c>
      <c r="AE9" s="22" t="s">
        <v>17</v>
      </c>
      <c r="AF9" s="23" t="s">
        <v>36</v>
      </c>
      <c r="AG9" s="22" t="s">
        <v>19</v>
      </c>
      <c r="AH9" s="22" t="s">
        <v>20</v>
      </c>
      <c r="AI9" s="22" t="s">
        <v>21</v>
      </c>
      <c r="AJ9" s="22" t="s">
        <v>22</v>
      </c>
      <c r="AK9" s="22" t="s">
        <v>23</v>
      </c>
      <c r="AL9" s="24">
        <v>0</v>
      </c>
      <c r="AM9" s="25"/>
      <c r="AN9" s="26" t="s">
        <v>24</v>
      </c>
      <c r="AO9" s="21"/>
      <c r="AP9" s="27"/>
      <c r="AQ9" s="21"/>
      <c r="AR9" s="21"/>
      <c r="AS9" s="21"/>
      <c r="AT9" s="21"/>
      <c r="AU9" s="21"/>
      <c r="AV9" s="21"/>
      <c r="AW9" s="27"/>
      <c r="AX9" s="21"/>
      <c r="AY9" s="21"/>
      <c r="AZ9" s="22" t="s">
        <v>25</v>
      </c>
      <c r="BA9" s="23">
        <v>2020</v>
      </c>
      <c r="BB9" s="22" t="s">
        <v>26</v>
      </c>
      <c r="BC9" s="22" t="s">
        <v>15</v>
      </c>
      <c r="BD9" s="22" t="s">
        <v>19</v>
      </c>
      <c r="BE9" s="22" t="s">
        <v>17</v>
      </c>
      <c r="BF9" s="23" t="str">
        <f>VLOOKUP(O:O,[1]Tables!$W:$X,2,0)</f>
        <v>3110000000</v>
      </c>
      <c r="BG9" s="22" t="s">
        <v>16</v>
      </c>
      <c r="BH9" s="22" t="s">
        <v>20</v>
      </c>
      <c r="BI9" s="22" t="str">
        <f>VLOOKUP(O:O,[1]Tables!$W:$Y,3,0)</f>
        <v>PRODUCTS</v>
      </c>
      <c r="BJ9" s="22" t="s">
        <v>27</v>
      </c>
      <c r="BK9" s="22" t="s">
        <v>23</v>
      </c>
      <c r="BL9" s="24">
        <v>0</v>
      </c>
      <c r="BM9" s="25"/>
      <c r="BN9" s="26" t="s">
        <v>24</v>
      </c>
      <c r="BO9" s="21"/>
    </row>
    <row r="10" spans="2:67" x14ac:dyDescent="0.25">
      <c r="B10" s="15"/>
      <c r="C10" s="16" t="s">
        <v>0</v>
      </c>
      <c r="D10" s="16" t="s">
        <v>1</v>
      </c>
      <c r="E10" s="17" t="s">
        <v>2</v>
      </c>
      <c r="F10" s="16" t="s">
        <v>6</v>
      </c>
      <c r="G10" s="18" t="s">
        <v>4</v>
      </c>
      <c r="H10" s="1">
        <v>60765052.99000001</v>
      </c>
      <c r="I10" s="2">
        <v>76387905.140000001</v>
      </c>
      <c r="J10" s="3">
        <v>76387905.140000001</v>
      </c>
      <c r="K10" s="3">
        <v>76387905.140000001</v>
      </c>
      <c r="L10" s="3">
        <v>15622852.149999991</v>
      </c>
      <c r="M10" s="18" t="s">
        <v>4</v>
      </c>
      <c r="N10" s="16" t="s">
        <v>37</v>
      </c>
      <c r="O10" s="16" t="s">
        <v>86</v>
      </c>
      <c r="P10" s="19"/>
      <c r="Q10" s="19"/>
      <c r="R10" s="19"/>
      <c r="S10" s="19"/>
      <c r="T10" s="19"/>
      <c r="U10" s="5">
        <v>15622852.149999991</v>
      </c>
      <c r="V10" s="20"/>
      <c r="W10" s="21"/>
      <c r="X10" s="21"/>
      <c r="Y10" s="21"/>
      <c r="Z10" s="22" t="s">
        <v>13</v>
      </c>
      <c r="AA10" s="23">
        <v>2020</v>
      </c>
      <c r="AB10" s="22" t="s">
        <v>14</v>
      </c>
      <c r="AC10" s="22" t="s">
        <v>15</v>
      </c>
      <c r="AD10" s="22" t="s">
        <v>16</v>
      </c>
      <c r="AE10" s="22" t="s">
        <v>17</v>
      </c>
      <c r="AF10" s="23" t="s">
        <v>38</v>
      </c>
      <c r="AG10" s="22" t="s">
        <v>19</v>
      </c>
      <c r="AH10" s="22" t="s">
        <v>20</v>
      </c>
      <c r="AI10" s="22" t="s">
        <v>39</v>
      </c>
      <c r="AJ10" s="22" t="s">
        <v>22</v>
      </c>
      <c r="AK10" s="22" t="s">
        <v>23</v>
      </c>
      <c r="AL10" s="24">
        <v>60765052.990000002</v>
      </c>
      <c r="AM10" s="25"/>
      <c r="AN10" s="26" t="s">
        <v>24</v>
      </c>
      <c r="AO10" s="21"/>
      <c r="AP10" s="27"/>
      <c r="AQ10" s="21"/>
      <c r="AR10" s="21"/>
      <c r="AS10" s="21"/>
      <c r="AT10" s="21"/>
      <c r="AU10" s="21"/>
      <c r="AV10" s="21"/>
      <c r="AW10" s="27"/>
      <c r="AX10" s="21"/>
      <c r="AY10" s="21"/>
      <c r="AZ10" s="22" t="s">
        <v>25</v>
      </c>
      <c r="BA10" s="23">
        <v>2020</v>
      </c>
      <c r="BB10" s="22" t="s">
        <v>26</v>
      </c>
      <c r="BC10" s="22" t="s">
        <v>15</v>
      </c>
      <c r="BD10" s="22" t="s">
        <v>19</v>
      </c>
      <c r="BE10" s="22" t="s">
        <v>17</v>
      </c>
      <c r="BF10" s="23" t="str">
        <f>VLOOKUP(O:O,[1]Tables!$W:$X,2,0)</f>
        <v>1128011120</v>
      </c>
      <c r="BG10" s="22" t="s">
        <v>16</v>
      </c>
      <c r="BH10" s="22" t="s">
        <v>20</v>
      </c>
      <c r="BI10" s="22" t="str">
        <f>VLOOKUP(O:O,[1]Tables!$W:$Y,3,0)</f>
        <v>M999</v>
      </c>
      <c r="BJ10" s="22" t="s">
        <v>27</v>
      </c>
      <c r="BK10" s="22" t="s">
        <v>23</v>
      </c>
      <c r="BL10" s="24">
        <v>76387905.140000001</v>
      </c>
      <c r="BM10" s="25"/>
      <c r="BN10" s="26" t="s">
        <v>24</v>
      </c>
      <c r="BO10" s="21"/>
    </row>
    <row r="11" spans="2:67" x14ac:dyDescent="0.25">
      <c r="B11" s="15"/>
      <c r="C11" s="16" t="s">
        <v>0</v>
      </c>
      <c r="D11" s="16" t="s">
        <v>1</v>
      </c>
      <c r="E11" s="17" t="s">
        <v>2</v>
      </c>
      <c r="F11" s="16" t="s">
        <v>7</v>
      </c>
      <c r="G11" s="18" t="s">
        <v>4</v>
      </c>
      <c r="H11" s="1"/>
      <c r="I11" s="2">
        <v>220301.86</v>
      </c>
      <c r="J11" s="3">
        <v>220301.86</v>
      </c>
      <c r="K11" s="3">
        <v>220301.86</v>
      </c>
      <c r="L11" s="3">
        <v>220301.86</v>
      </c>
      <c r="M11" s="18" t="s">
        <v>4</v>
      </c>
      <c r="N11" s="16" t="s">
        <v>86</v>
      </c>
      <c r="O11" s="16" t="s">
        <v>37</v>
      </c>
      <c r="P11" s="19"/>
      <c r="Q11" s="19"/>
      <c r="R11" s="19"/>
      <c r="S11" s="19"/>
      <c r="T11" s="19"/>
      <c r="U11" s="5">
        <v>220301.86</v>
      </c>
      <c r="V11" s="20"/>
      <c r="W11" s="21"/>
      <c r="X11" s="21"/>
      <c r="Y11" s="21"/>
      <c r="Z11" s="22" t="s">
        <v>13</v>
      </c>
      <c r="AA11" s="23">
        <v>2020</v>
      </c>
      <c r="AB11" s="22" t="s">
        <v>14</v>
      </c>
      <c r="AC11" s="22" t="s">
        <v>15</v>
      </c>
      <c r="AD11" s="22" t="s">
        <v>16</v>
      </c>
      <c r="AE11" s="22" t="s">
        <v>17</v>
      </c>
      <c r="AF11" s="23" t="s">
        <v>87</v>
      </c>
      <c r="AG11" s="22" t="s">
        <v>19</v>
      </c>
      <c r="AH11" s="22" t="s">
        <v>20</v>
      </c>
      <c r="AI11" s="22" t="s">
        <v>39</v>
      </c>
      <c r="AJ11" s="22" t="s">
        <v>22</v>
      </c>
      <c r="AK11" s="22" t="s">
        <v>23</v>
      </c>
      <c r="AL11" s="24">
        <v>0</v>
      </c>
      <c r="AM11" s="25"/>
      <c r="AN11" s="26" t="s">
        <v>24</v>
      </c>
      <c r="AO11" s="21"/>
      <c r="AP11" s="27"/>
      <c r="AQ11" s="21"/>
      <c r="AR11" s="21"/>
      <c r="AS11" s="21"/>
      <c r="AT11" s="21"/>
      <c r="AU11" s="21"/>
      <c r="AV11" s="21"/>
      <c r="AW11" s="27"/>
      <c r="AX11" s="21"/>
      <c r="AY11" s="21"/>
      <c r="AZ11" s="22" t="s">
        <v>25</v>
      </c>
      <c r="BA11" s="23">
        <v>2020</v>
      </c>
      <c r="BB11" s="22" t="s">
        <v>26</v>
      </c>
      <c r="BC11" s="22" t="s">
        <v>15</v>
      </c>
      <c r="BD11" s="22" t="s">
        <v>19</v>
      </c>
      <c r="BE11" s="22" t="s">
        <v>17</v>
      </c>
      <c r="BF11" s="23" t="str">
        <f>VLOOKUP(O:O,[1]Tables!$W:$X,2,0)</f>
        <v>1223010000</v>
      </c>
      <c r="BG11" s="22" t="s">
        <v>16</v>
      </c>
      <c r="BH11" s="22" t="s">
        <v>20</v>
      </c>
      <c r="BI11" s="22" t="str">
        <f>VLOOKUP(O:O,[1]Tables!$W:$Y,3,0)</f>
        <v>M999</v>
      </c>
      <c r="BJ11" s="22" t="s">
        <v>27</v>
      </c>
      <c r="BK11" s="22" t="s">
        <v>23</v>
      </c>
      <c r="BL11" s="24">
        <v>220301.86</v>
      </c>
      <c r="BM11" s="25"/>
      <c r="BN11" s="26" t="s">
        <v>24</v>
      </c>
      <c r="BO11" s="21"/>
    </row>
    <row r="12" spans="2:67" x14ac:dyDescent="0.25">
      <c r="B12" s="15"/>
      <c r="C12" s="16" t="s">
        <v>0</v>
      </c>
      <c r="D12" s="16" t="s">
        <v>1</v>
      </c>
      <c r="E12" s="17" t="s">
        <v>2</v>
      </c>
      <c r="F12" s="16" t="s">
        <v>8</v>
      </c>
      <c r="G12" s="18" t="s">
        <v>4</v>
      </c>
      <c r="H12" s="1">
        <v>20150.21</v>
      </c>
      <c r="I12" s="2"/>
      <c r="J12" s="3">
        <v>0</v>
      </c>
      <c r="K12" s="3">
        <v>0</v>
      </c>
      <c r="L12" s="3">
        <v>-20150.21</v>
      </c>
      <c r="M12" s="18" t="s">
        <v>4</v>
      </c>
      <c r="N12" s="16" t="s">
        <v>40</v>
      </c>
      <c r="O12" s="16" t="s">
        <v>32</v>
      </c>
      <c r="P12" s="19"/>
      <c r="Q12" s="19"/>
      <c r="R12" s="19"/>
      <c r="S12" s="19"/>
      <c r="T12" s="19"/>
      <c r="U12" s="5">
        <v>-20150.21</v>
      </c>
      <c r="V12" s="20"/>
      <c r="W12" s="21"/>
      <c r="X12" s="21"/>
      <c r="Y12" s="21"/>
      <c r="Z12" s="22" t="s">
        <v>13</v>
      </c>
      <c r="AA12" s="23">
        <v>2020</v>
      </c>
      <c r="AB12" s="22" t="s">
        <v>14</v>
      </c>
      <c r="AC12" s="22" t="s">
        <v>15</v>
      </c>
      <c r="AD12" s="22" t="s">
        <v>16</v>
      </c>
      <c r="AE12" s="22" t="s">
        <v>17</v>
      </c>
      <c r="AF12" s="23" t="s">
        <v>41</v>
      </c>
      <c r="AG12" s="22" t="s">
        <v>19</v>
      </c>
      <c r="AH12" s="22" t="s">
        <v>20</v>
      </c>
      <c r="AI12" s="22" t="s">
        <v>21</v>
      </c>
      <c r="AJ12" s="22" t="s">
        <v>22</v>
      </c>
      <c r="AK12" s="22" t="s">
        <v>23</v>
      </c>
      <c r="AL12" s="24">
        <v>20150.21</v>
      </c>
      <c r="AM12" s="25"/>
      <c r="AN12" s="26" t="s">
        <v>24</v>
      </c>
      <c r="AO12" s="21"/>
      <c r="AP12" s="27"/>
      <c r="AQ12" s="21"/>
      <c r="AR12" s="21"/>
      <c r="AS12" s="21"/>
      <c r="AT12" s="21"/>
      <c r="AU12" s="21"/>
      <c r="AV12" s="21"/>
      <c r="AW12" s="27"/>
      <c r="AX12" s="21"/>
      <c r="AY12" s="21"/>
      <c r="AZ12" s="22" t="s">
        <v>25</v>
      </c>
      <c r="BA12" s="23">
        <v>2020</v>
      </c>
      <c r="BB12" s="22" t="s">
        <v>26</v>
      </c>
      <c r="BC12" s="22" t="s">
        <v>15</v>
      </c>
      <c r="BD12" s="22" t="s">
        <v>19</v>
      </c>
      <c r="BE12" s="22" t="s">
        <v>17</v>
      </c>
      <c r="BF12" s="23" t="str">
        <f>VLOOKUP(O:O,[1]Tables!$W:$X,2,0)</f>
        <v>3110000000</v>
      </c>
      <c r="BG12" s="22" t="s">
        <v>16</v>
      </c>
      <c r="BH12" s="22" t="s">
        <v>20</v>
      </c>
      <c r="BI12" s="22" t="str">
        <f>VLOOKUP(O:O,[1]Tables!$W:$Y,3,0)</f>
        <v>OTHOPINC</v>
      </c>
      <c r="BJ12" s="22" t="s">
        <v>27</v>
      </c>
      <c r="BK12" s="22" t="s">
        <v>23</v>
      </c>
      <c r="BL12" s="24">
        <v>0</v>
      </c>
      <c r="BM12" s="25"/>
      <c r="BN12" s="26" t="s">
        <v>24</v>
      </c>
      <c r="BO12" s="21"/>
    </row>
    <row r="13" spans="2:67" x14ac:dyDescent="0.25">
      <c r="B13" s="15"/>
      <c r="C13" s="16" t="s">
        <v>0</v>
      </c>
      <c r="D13" s="16" t="s">
        <v>1</v>
      </c>
      <c r="E13" s="17" t="s">
        <v>2</v>
      </c>
      <c r="F13" s="16" t="s">
        <v>8</v>
      </c>
      <c r="G13" s="18" t="s">
        <v>4</v>
      </c>
      <c r="H13" s="1">
        <v>2.36</v>
      </c>
      <c r="I13" s="2"/>
      <c r="J13" s="3">
        <v>0</v>
      </c>
      <c r="K13" s="3">
        <v>0</v>
      </c>
      <c r="L13" s="3">
        <v>-2.36</v>
      </c>
      <c r="M13" s="18" t="s">
        <v>4</v>
      </c>
      <c r="N13" s="16" t="s">
        <v>28</v>
      </c>
      <c r="O13" s="16" t="s">
        <v>32</v>
      </c>
      <c r="P13" s="19"/>
      <c r="Q13" s="19"/>
      <c r="R13" s="19"/>
      <c r="S13" s="19"/>
      <c r="T13" s="19"/>
      <c r="U13" s="5">
        <v>-2.36</v>
      </c>
      <c r="V13" s="20"/>
      <c r="W13" s="21"/>
      <c r="X13" s="21"/>
      <c r="Y13" s="21"/>
      <c r="Z13" s="22" t="s">
        <v>13</v>
      </c>
      <c r="AA13" s="23">
        <v>2020</v>
      </c>
      <c r="AB13" s="22" t="s">
        <v>14</v>
      </c>
      <c r="AC13" s="22" t="s">
        <v>15</v>
      </c>
      <c r="AD13" s="22" t="s">
        <v>16</v>
      </c>
      <c r="AE13" s="22" t="s">
        <v>17</v>
      </c>
      <c r="AF13" s="23" t="s">
        <v>29</v>
      </c>
      <c r="AG13" s="22" t="s">
        <v>19</v>
      </c>
      <c r="AH13" s="22" t="s">
        <v>20</v>
      </c>
      <c r="AI13" s="22" t="s">
        <v>21</v>
      </c>
      <c r="AJ13" s="22" t="s">
        <v>22</v>
      </c>
      <c r="AK13" s="22" t="s">
        <v>23</v>
      </c>
      <c r="AL13" s="24">
        <v>2.36</v>
      </c>
      <c r="AM13" s="25"/>
      <c r="AN13" s="26" t="s">
        <v>24</v>
      </c>
      <c r="AO13" s="21"/>
      <c r="AP13" s="27"/>
      <c r="AQ13" s="21"/>
      <c r="AR13" s="21"/>
      <c r="AS13" s="21"/>
      <c r="AT13" s="21"/>
      <c r="AU13" s="21"/>
      <c r="AV13" s="21"/>
      <c r="AW13" s="27"/>
      <c r="AX13" s="21"/>
      <c r="AY13" s="21"/>
      <c r="AZ13" s="22" t="s">
        <v>25</v>
      </c>
      <c r="BA13" s="23">
        <v>2020</v>
      </c>
      <c r="BB13" s="22" t="s">
        <v>26</v>
      </c>
      <c r="BC13" s="22" t="s">
        <v>15</v>
      </c>
      <c r="BD13" s="22" t="s">
        <v>19</v>
      </c>
      <c r="BE13" s="22" t="s">
        <v>17</v>
      </c>
      <c r="BF13" s="23" t="str">
        <f>VLOOKUP(O:O,[1]Tables!$W:$X,2,0)</f>
        <v>3110000000</v>
      </c>
      <c r="BG13" s="22" t="s">
        <v>16</v>
      </c>
      <c r="BH13" s="22" t="s">
        <v>20</v>
      </c>
      <c r="BI13" s="22" t="str">
        <f>VLOOKUP(O:O,[1]Tables!$W:$Y,3,0)</f>
        <v>OTHOPINC</v>
      </c>
      <c r="BJ13" s="22" t="s">
        <v>27</v>
      </c>
      <c r="BK13" s="22" t="s">
        <v>23</v>
      </c>
      <c r="BL13" s="24">
        <v>0</v>
      </c>
      <c r="BM13" s="25"/>
      <c r="BN13" s="26" t="s">
        <v>24</v>
      </c>
      <c r="BO13" s="21"/>
    </row>
    <row r="14" spans="2:67" x14ac:dyDescent="0.25">
      <c r="B14" s="15"/>
      <c r="C14" s="16" t="s">
        <v>0</v>
      </c>
      <c r="D14" s="16" t="s">
        <v>1</v>
      </c>
      <c r="E14" s="17" t="s">
        <v>2</v>
      </c>
      <c r="F14" s="16" t="s">
        <v>8</v>
      </c>
      <c r="G14" s="18" t="s">
        <v>4</v>
      </c>
      <c r="H14" s="1">
        <v>329972268.69</v>
      </c>
      <c r="I14" s="2"/>
      <c r="J14" s="3">
        <v>0</v>
      </c>
      <c r="K14" s="3">
        <v>0</v>
      </c>
      <c r="L14" s="3">
        <v>-329972268.69</v>
      </c>
      <c r="M14" s="18" t="s">
        <v>4</v>
      </c>
      <c r="N14" s="16" t="s">
        <v>42</v>
      </c>
      <c r="O14" s="16" t="s">
        <v>44</v>
      </c>
      <c r="P14" s="19"/>
      <c r="Q14" s="19"/>
      <c r="R14" s="19"/>
      <c r="S14" s="19"/>
      <c r="T14" s="19"/>
      <c r="U14" s="5">
        <v>-329972268.69</v>
      </c>
      <c r="V14" s="20"/>
      <c r="W14" s="21"/>
      <c r="X14" s="21"/>
      <c r="Y14" s="21"/>
      <c r="Z14" s="22" t="s">
        <v>13</v>
      </c>
      <c r="AA14" s="23">
        <v>2020</v>
      </c>
      <c r="AB14" s="22" t="s">
        <v>14</v>
      </c>
      <c r="AC14" s="22" t="s">
        <v>15</v>
      </c>
      <c r="AD14" s="22" t="s">
        <v>16</v>
      </c>
      <c r="AE14" s="22" t="s">
        <v>17</v>
      </c>
      <c r="AF14" s="23" t="s">
        <v>33</v>
      </c>
      <c r="AG14" s="22" t="s">
        <v>19</v>
      </c>
      <c r="AH14" s="22" t="s">
        <v>20</v>
      </c>
      <c r="AI14" s="22" t="s">
        <v>43</v>
      </c>
      <c r="AJ14" s="22" t="s">
        <v>22</v>
      </c>
      <c r="AK14" s="22" t="s">
        <v>23</v>
      </c>
      <c r="AL14" s="24">
        <v>329972268.69</v>
      </c>
      <c r="AM14" s="25"/>
      <c r="AN14" s="26" t="s">
        <v>24</v>
      </c>
      <c r="AO14" s="21"/>
      <c r="AP14" s="27"/>
      <c r="AQ14" s="21"/>
      <c r="AR14" s="21"/>
      <c r="AS14" s="21"/>
      <c r="AT14" s="21"/>
      <c r="AU14" s="21"/>
      <c r="AV14" s="21"/>
      <c r="AW14" s="27"/>
      <c r="AX14" s="21"/>
      <c r="AY14" s="21"/>
      <c r="AZ14" s="22" t="s">
        <v>25</v>
      </c>
      <c r="BA14" s="23">
        <v>2020</v>
      </c>
      <c r="BB14" s="22" t="s">
        <v>26</v>
      </c>
      <c r="BC14" s="22" t="s">
        <v>15</v>
      </c>
      <c r="BD14" s="22" t="s">
        <v>19</v>
      </c>
      <c r="BE14" s="22" t="s">
        <v>17</v>
      </c>
      <c r="BF14" s="23" t="str">
        <f>VLOOKUP(O:O,[1]Tables!$W:$X,2,0)</f>
        <v>4111000000</v>
      </c>
      <c r="BG14" s="22" t="s">
        <v>16</v>
      </c>
      <c r="BH14" s="22" t="s">
        <v>20</v>
      </c>
      <c r="BI14" s="22" t="str">
        <f>VLOOKUP(O:O,[1]Tables!$W:$Y,3,0)</f>
        <v>OOPC</v>
      </c>
      <c r="BJ14" s="22" t="s">
        <v>27</v>
      </c>
      <c r="BK14" s="22" t="s">
        <v>23</v>
      </c>
      <c r="BL14" s="24">
        <v>0</v>
      </c>
      <c r="BM14" s="25"/>
      <c r="BN14" s="26" t="s">
        <v>24</v>
      </c>
      <c r="BO14" s="21"/>
    </row>
    <row r="15" spans="2:67" x14ac:dyDescent="0.25">
      <c r="B15" s="15"/>
      <c r="C15" s="16" t="s">
        <v>0</v>
      </c>
      <c r="D15" s="16" t="s">
        <v>1</v>
      </c>
      <c r="E15" s="17" t="s">
        <v>2</v>
      </c>
      <c r="F15" s="16" t="s">
        <v>8</v>
      </c>
      <c r="G15" s="18" t="s">
        <v>4</v>
      </c>
      <c r="H15" s="1">
        <v>84046751.189999998</v>
      </c>
      <c r="I15" s="2"/>
      <c r="J15" s="3">
        <v>0</v>
      </c>
      <c r="K15" s="3">
        <v>0</v>
      </c>
      <c r="L15" s="3">
        <v>-84046751.189999998</v>
      </c>
      <c r="M15" s="18" t="s">
        <v>4</v>
      </c>
      <c r="N15" s="16" t="s">
        <v>32</v>
      </c>
      <c r="O15" s="16" t="s">
        <v>44</v>
      </c>
      <c r="P15" s="19"/>
      <c r="Q15" s="19"/>
      <c r="R15" s="19"/>
      <c r="S15" s="19"/>
      <c r="T15" s="19"/>
      <c r="U15" s="5">
        <v>-84046751.189999998</v>
      </c>
      <c r="V15" s="20"/>
      <c r="W15" s="21"/>
      <c r="X15" s="21"/>
      <c r="Y15" s="21"/>
      <c r="Z15" s="22" t="s">
        <v>13</v>
      </c>
      <c r="AA15" s="23">
        <v>2020</v>
      </c>
      <c r="AB15" s="22" t="s">
        <v>14</v>
      </c>
      <c r="AC15" s="22" t="s">
        <v>15</v>
      </c>
      <c r="AD15" s="22" t="s">
        <v>16</v>
      </c>
      <c r="AE15" s="22" t="s">
        <v>17</v>
      </c>
      <c r="AF15" s="23" t="s">
        <v>33</v>
      </c>
      <c r="AG15" s="22" t="s">
        <v>19</v>
      </c>
      <c r="AH15" s="22" t="s">
        <v>20</v>
      </c>
      <c r="AI15" s="22" t="s">
        <v>34</v>
      </c>
      <c r="AJ15" s="22" t="s">
        <v>22</v>
      </c>
      <c r="AK15" s="22" t="s">
        <v>23</v>
      </c>
      <c r="AL15" s="24">
        <v>84046751.189999998</v>
      </c>
      <c r="AM15" s="25"/>
      <c r="AN15" s="26" t="s">
        <v>24</v>
      </c>
      <c r="AO15" s="21"/>
      <c r="AP15" s="27"/>
      <c r="AQ15" s="21"/>
      <c r="AR15" s="21"/>
      <c r="AS15" s="21"/>
      <c r="AT15" s="21"/>
      <c r="AU15" s="21"/>
      <c r="AV15" s="21"/>
      <c r="AW15" s="27"/>
      <c r="AX15" s="21"/>
      <c r="AY15" s="21"/>
      <c r="AZ15" s="22" t="s">
        <v>25</v>
      </c>
      <c r="BA15" s="23">
        <v>2020</v>
      </c>
      <c r="BB15" s="22" t="s">
        <v>26</v>
      </c>
      <c r="BC15" s="22" t="s">
        <v>15</v>
      </c>
      <c r="BD15" s="22" t="s">
        <v>19</v>
      </c>
      <c r="BE15" s="22" t="s">
        <v>17</v>
      </c>
      <c r="BF15" s="23" t="str">
        <f>VLOOKUP(O:O,[1]Tables!$W:$X,2,0)</f>
        <v>4111000000</v>
      </c>
      <c r="BG15" s="22" t="s">
        <v>16</v>
      </c>
      <c r="BH15" s="22" t="s">
        <v>20</v>
      </c>
      <c r="BI15" s="22" t="str">
        <f>VLOOKUP(O:O,[1]Tables!$W:$Y,3,0)</f>
        <v>OOPC</v>
      </c>
      <c r="BJ15" s="22" t="s">
        <v>27</v>
      </c>
      <c r="BK15" s="22" t="s">
        <v>23</v>
      </c>
      <c r="BL15" s="24">
        <v>0</v>
      </c>
      <c r="BM15" s="25"/>
      <c r="BN15" s="26" t="s">
        <v>24</v>
      </c>
      <c r="BO15" s="21"/>
    </row>
    <row r="16" spans="2:67" x14ac:dyDescent="0.25">
      <c r="B16" s="15"/>
      <c r="C16" s="16" t="s">
        <v>0</v>
      </c>
      <c r="D16" s="16" t="s">
        <v>1</v>
      </c>
      <c r="E16" s="17" t="s">
        <v>2</v>
      </c>
      <c r="F16" s="16" t="s">
        <v>8</v>
      </c>
      <c r="G16" s="18" t="s">
        <v>4</v>
      </c>
      <c r="H16" s="2">
        <v>10914389064.819901</v>
      </c>
      <c r="I16" s="2">
        <v>10895408834.32</v>
      </c>
      <c r="J16" s="3">
        <v>10895408834.32</v>
      </c>
      <c r="K16" s="3">
        <v>10895408834.32</v>
      </c>
      <c r="L16" s="3">
        <v>-1651675100.8700993</v>
      </c>
      <c r="M16" s="18" t="s">
        <v>4</v>
      </c>
      <c r="N16" s="16" t="s">
        <v>42</v>
      </c>
      <c r="O16" s="16" t="s">
        <v>40</v>
      </c>
      <c r="P16" s="19"/>
      <c r="Q16" s="19"/>
      <c r="R16" s="19"/>
      <c r="S16" s="19"/>
      <c r="T16" s="19"/>
      <c r="U16" s="5">
        <v>-1651675100.8700993</v>
      </c>
      <c r="V16" s="20"/>
      <c r="W16" s="21"/>
      <c r="X16" s="21"/>
      <c r="Y16" s="21"/>
      <c r="Z16" s="22" t="s">
        <v>13</v>
      </c>
      <c r="AA16" s="23">
        <v>2020</v>
      </c>
      <c r="AB16" s="22" t="s">
        <v>14</v>
      </c>
      <c r="AC16" s="22" t="s">
        <v>15</v>
      </c>
      <c r="AD16" s="22" t="s">
        <v>16</v>
      </c>
      <c r="AE16" s="22" t="s">
        <v>17</v>
      </c>
      <c r="AF16" s="23" t="s">
        <v>33</v>
      </c>
      <c r="AG16" s="22" t="s">
        <v>19</v>
      </c>
      <c r="AH16" s="22" t="s">
        <v>20</v>
      </c>
      <c r="AI16" s="22" t="s">
        <v>43</v>
      </c>
      <c r="AJ16" s="22" t="s">
        <v>22</v>
      </c>
      <c r="AK16" s="22" t="s">
        <v>23</v>
      </c>
      <c r="AL16" s="24">
        <v>10914389064.82</v>
      </c>
      <c r="AM16" s="25"/>
      <c r="AN16" s="26" t="s">
        <v>24</v>
      </c>
      <c r="AO16" s="21"/>
      <c r="AP16" s="27"/>
      <c r="AQ16" s="21"/>
      <c r="AR16" s="21"/>
      <c r="AS16" s="21"/>
      <c r="AT16" s="21"/>
      <c r="AU16" s="21"/>
      <c r="AV16" s="21"/>
      <c r="AW16" s="27"/>
      <c r="AX16" s="21"/>
      <c r="AY16" s="21"/>
      <c r="AZ16" s="22" t="s">
        <v>25</v>
      </c>
      <c r="BA16" s="23">
        <v>2020</v>
      </c>
      <c r="BB16" s="22" t="s">
        <v>26</v>
      </c>
      <c r="BC16" s="22" t="s">
        <v>15</v>
      </c>
      <c r="BD16" s="22" t="s">
        <v>19</v>
      </c>
      <c r="BE16" s="22" t="s">
        <v>17</v>
      </c>
      <c r="BF16" s="23" t="s">
        <v>41</v>
      </c>
      <c r="BG16" s="22" t="s">
        <v>16</v>
      </c>
      <c r="BH16" s="22" t="s">
        <v>20</v>
      </c>
      <c r="BI16" s="22" t="s">
        <v>21</v>
      </c>
      <c r="BJ16" s="22" t="s">
        <v>27</v>
      </c>
      <c r="BK16" s="22" t="s">
        <v>23</v>
      </c>
      <c r="BL16" s="24">
        <v>10895408834.32</v>
      </c>
      <c r="BM16" s="25"/>
      <c r="BN16" s="26" t="s">
        <v>24</v>
      </c>
      <c r="BO16" s="21"/>
    </row>
    <row r="17" spans="2:67" x14ac:dyDescent="0.25">
      <c r="B17" s="15"/>
      <c r="C17" s="16" t="s">
        <v>0</v>
      </c>
      <c r="D17" s="16" t="s">
        <v>1</v>
      </c>
      <c r="E17" s="17" t="s">
        <v>2</v>
      </c>
      <c r="F17" s="16" t="s">
        <v>5</v>
      </c>
      <c r="G17" s="18" t="s">
        <v>4</v>
      </c>
      <c r="H17" s="1">
        <v>1631967071.4300001</v>
      </c>
      <c r="I17" s="2">
        <v>4553.9400000000005</v>
      </c>
      <c r="J17" s="3">
        <v>4553.9400000000005</v>
      </c>
      <c r="K17" s="3">
        <v>4553.9400000000005</v>
      </c>
      <c r="L17" s="3">
        <v>0</v>
      </c>
      <c r="M17" s="18" t="s">
        <v>4</v>
      </c>
      <c r="N17" s="16" t="s">
        <v>35</v>
      </c>
      <c r="O17" s="16" t="s">
        <v>44</v>
      </c>
      <c r="P17" s="19"/>
      <c r="Q17" s="19"/>
      <c r="R17" s="19"/>
      <c r="S17" s="19"/>
      <c r="T17" s="19"/>
      <c r="U17" s="5">
        <v>0</v>
      </c>
      <c r="V17" s="20"/>
      <c r="W17" s="21"/>
      <c r="X17" s="21"/>
      <c r="Y17" s="21"/>
      <c r="Z17" s="22" t="s">
        <v>13</v>
      </c>
      <c r="AA17" s="23">
        <v>2020</v>
      </c>
      <c r="AB17" s="22" t="s">
        <v>14</v>
      </c>
      <c r="AC17" s="22" t="s">
        <v>15</v>
      </c>
      <c r="AD17" s="22" t="s">
        <v>16</v>
      </c>
      <c r="AE17" s="22" t="s">
        <v>17</v>
      </c>
      <c r="AF17" s="23" t="s">
        <v>36</v>
      </c>
      <c r="AG17" s="22" t="s">
        <v>19</v>
      </c>
      <c r="AH17" s="22" t="s">
        <v>20</v>
      </c>
      <c r="AI17" s="22" t="s">
        <v>21</v>
      </c>
      <c r="AJ17" s="22" t="s">
        <v>22</v>
      </c>
      <c r="AK17" s="22" t="s">
        <v>23</v>
      </c>
      <c r="AL17" s="24">
        <v>1631967071.4300001</v>
      </c>
      <c r="AM17" s="25"/>
      <c r="AN17" s="26" t="s">
        <v>24</v>
      </c>
      <c r="AO17" s="21"/>
      <c r="AP17" s="27"/>
      <c r="AQ17" s="21"/>
      <c r="AR17" s="21"/>
      <c r="AS17" s="21"/>
      <c r="AT17" s="21"/>
      <c r="AU17" s="21"/>
      <c r="AV17" s="21"/>
      <c r="AW17" s="27"/>
      <c r="AX17" s="21"/>
      <c r="AY17" s="21"/>
      <c r="AZ17" s="22" t="s">
        <v>25</v>
      </c>
      <c r="BA17" s="23">
        <v>2020</v>
      </c>
      <c r="BB17" s="22" t="s">
        <v>26</v>
      </c>
      <c r="BC17" s="22" t="s">
        <v>15</v>
      </c>
      <c r="BD17" s="22" t="s">
        <v>19</v>
      </c>
      <c r="BE17" s="22" t="s">
        <v>17</v>
      </c>
      <c r="BF17" s="23" t="s">
        <v>45</v>
      </c>
      <c r="BG17" s="22" t="s">
        <v>16</v>
      </c>
      <c r="BH17" s="22" t="s">
        <v>20</v>
      </c>
      <c r="BI17" s="22" t="s">
        <v>21</v>
      </c>
      <c r="BJ17" s="22" t="s">
        <v>27</v>
      </c>
      <c r="BK17" s="22" t="s">
        <v>23</v>
      </c>
      <c r="BL17" s="24">
        <v>4553.9399999999996</v>
      </c>
      <c r="BM17" s="25"/>
      <c r="BN17" s="26" t="s">
        <v>24</v>
      </c>
      <c r="BO17" s="21"/>
    </row>
    <row r="18" spans="2:67" x14ac:dyDescent="0.25">
      <c r="B18" s="15"/>
      <c r="C18" s="16" t="s">
        <v>0</v>
      </c>
      <c r="D18" s="16" t="s">
        <v>1</v>
      </c>
      <c r="E18" s="17" t="s">
        <v>2</v>
      </c>
      <c r="F18" s="16" t="s">
        <v>8</v>
      </c>
      <c r="G18" s="18" t="s">
        <v>4</v>
      </c>
      <c r="H18" s="1">
        <v>0</v>
      </c>
      <c r="I18" s="2">
        <v>38683706</v>
      </c>
      <c r="J18" s="3">
        <v>38683706</v>
      </c>
      <c r="K18" s="3">
        <v>38683706</v>
      </c>
      <c r="L18" s="3">
        <v>0</v>
      </c>
      <c r="M18" s="18" t="s">
        <v>4</v>
      </c>
      <c r="N18" s="16" t="s">
        <v>32</v>
      </c>
      <c r="O18" s="16" t="s">
        <v>12</v>
      </c>
      <c r="P18" s="19"/>
      <c r="Q18" s="19"/>
      <c r="R18" s="19"/>
      <c r="S18" s="19"/>
      <c r="T18" s="19"/>
      <c r="U18" s="5">
        <v>0</v>
      </c>
      <c r="V18" s="20"/>
      <c r="W18" s="21"/>
      <c r="X18" s="21"/>
      <c r="Y18" s="21"/>
      <c r="Z18" s="22" t="s">
        <v>13</v>
      </c>
      <c r="AA18" s="23">
        <v>2020</v>
      </c>
      <c r="AB18" s="22" t="s">
        <v>14</v>
      </c>
      <c r="AC18" s="22" t="s">
        <v>15</v>
      </c>
      <c r="AD18" s="22" t="s">
        <v>16</v>
      </c>
      <c r="AE18" s="22" t="s">
        <v>17</v>
      </c>
      <c r="AF18" s="23" t="s">
        <v>33</v>
      </c>
      <c r="AG18" s="22" t="s">
        <v>19</v>
      </c>
      <c r="AH18" s="22" t="s">
        <v>20</v>
      </c>
      <c r="AI18" s="22" t="s">
        <v>34</v>
      </c>
      <c r="AJ18" s="22" t="s">
        <v>22</v>
      </c>
      <c r="AK18" s="22" t="s">
        <v>23</v>
      </c>
      <c r="AL18" s="24">
        <v>0</v>
      </c>
      <c r="AM18" s="25"/>
      <c r="AN18" s="26" t="s">
        <v>24</v>
      </c>
      <c r="AO18" s="21"/>
      <c r="AP18" s="27"/>
      <c r="AQ18" s="21"/>
      <c r="AR18" s="21"/>
      <c r="AS18" s="21"/>
      <c r="AT18" s="21"/>
      <c r="AU18" s="21"/>
      <c r="AV18" s="21"/>
      <c r="AW18" s="27"/>
      <c r="AX18" s="21"/>
      <c r="AY18" s="21"/>
      <c r="AZ18" s="22" t="s">
        <v>25</v>
      </c>
      <c r="BA18" s="23">
        <v>2020</v>
      </c>
      <c r="BB18" s="22" t="s">
        <v>26</v>
      </c>
      <c r="BC18" s="22" t="s">
        <v>15</v>
      </c>
      <c r="BD18" s="22" t="s">
        <v>19</v>
      </c>
      <c r="BE18" s="22" t="s">
        <v>17</v>
      </c>
      <c r="BF18" s="23" t="s">
        <v>18</v>
      </c>
      <c r="BG18" s="22" t="s">
        <v>16</v>
      </c>
      <c r="BH18" s="22" t="s">
        <v>20</v>
      </c>
      <c r="BI18" s="22" t="s">
        <v>21</v>
      </c>
      <c r="BJ18" s="22" t="s">
        <v>27</v>
      </c>
      <c r="BK18" s="22" t="s">
        <v>23</v>
      </c>
      <c r="BL18" s="24">
        <v>38683706</v>
      </c>
      <c r="BM18" s="25"/>
      <c r="BN18" s="26" t="s">
        <v>24</v>
      </c>
      <c r="BO18" s="21"/>
    </row>
    <row r="19" spans="2:67" x14ac:dyDescent="0.25">
      <c r="B19" s="15"/>
      <c r="C19" s="16" t="s">
        <v>0</v>
      </c>
      <c r="D19" s="16" t="s">
        <v>1</v>
      </c>
      <c r="E19" s="17" t="s">
        <v>2</v>
      </c>
      <c r="F19" s="16" t="s">
        <v>8</v>
      </c>
      <c r="G19" s="18" t="s">
        <v>4</v>
      </c>
      <c r="H19" s="1">
        <v>0</v>
      </c>
      <c r="I19" s="2"/>
      <c r="J19" s="3">
        <v>0</v>
      </c>
      <c r="K19" s="3">
        <v>0</v>
      </c>
      <c r="L19" s="3">
        <v>0</v>
      </c>
      <c r="M19" s="18" t="s">
        <v>4</v>
      </c>
      <c r="N19" s="16" t="s">
        <v>42</v>
      </c>
      <c r="O19" s="16" t="s">
        <v>46</v>
      </c>
      <c r="P19" s="19"/>
      <c r="Q19" s="19"/>
      <c r="R19" s="19"/>
      <c r="S19" s="19"/>
      <c r="T19" s="19"/>
      <c r="U19" s="5">
        <v>0</v>
      </c>
      <c r="V19" s="20"/>
      <c r="W19" s="21"/>
      <c r="X19" s="21"/>
      <c r="Y19" s="21"/>
      <c r="Z19" s="22" t="s">
        <v>13</v>
      </c>
      <c r="AA19" s="23">
        <v>2020</v>
      </c>
      <c r="AB19" s="22" t="s">
        <v>14</v>
      </c>
      <c r="AC19" s="22" t="s">
        <v>15</v>
      </c>
      <c r="AD19" s="22" t="s">
        <v>16</v>
      </c>
      <c r="AE19" s="22" t="s">
        <v>17</v>
      </c>
      <c r="AF19" s="23" t="s">
        <v>33</v>
      </c>
      <c r="AG19" s="22" t="s">
        <v>19</v>
      </c>
      <c r="AH19" s="22" t="s">
        <v>20</v>
      </c>
      <c r="AI19" s="22" t="s">
        <v>43</v>
      </c>
      <c r="AJ19" s="22" t="s">
        <v>22</v>
      </c>
      <c r="AK19" s="22" t="s">
        <v>23</v>
      </c>
      <c r="AL19" s="24">
        <v>0</v>
      </c>
      <c r="AM19" s="25"/>
      <c r="AN19" s="26" t="s">
        <v>24</v>
      </c>
      <c r="AO19" s="21"/>
      <c r="AP19" s="27"/>
      <c r="AQ19" s="21"/>
      <c r="AR19" s="21"/>
      <c r="AS19" s="21"/>
      <c r="AT19" s="21"/>
      <c r="AU19" s="21"/>
      <c r="AV19" s="21"/>
      <c r="AW19" s="27"/>
      <c r="AX19" s="21"/>
      <c r="AY19" s="21"/>
      <c r="AZ19" s="22" t="s">
        <v>25</v>
      </c>
      <c r="BA19" s="23">
        <v>2020</v>
      </c>
      <c r="BB19" s="22" t="s">
        <v>26</v>
      </c>
      <c r="BC19" s="22" t="s">
        <v>15</v>
      </c>
      <c r="BD19" s="22" t="s">
        <v>19</v>
      </c>
      <c r="BE19" s="22" t="s">
        <v>17</v>
      </c>
      <c r="BF19" s="23" t="s">
        <v>47</v>
      </c>
      <c r="BG19" s="22" t="s">
        <v>16</v>
      </c>
      <c r="BH19" s="22" t="s">
        <v>20</v>
      </c>
      <c r="BI19" s="22" t="s">
        <v>21</v>
      </c>
      <c r="BJ19" s="22" t="s">
        <v>27</v>
      </c>
      <c r="BK19" s="22" t="s">
        <v>23</v>
      </c>
      <c r="BL19" s="24">
        <v>0</v>
      </c>
      <c r="BM19" s="25"/>
      <c r="BN19" s="26" t="s">
        <v>24</v>
      </c>
      <c r="BO19" s="21"/>
    </row>
    <row r="20" spans="2:67" x14ac:dyDescent="0.25">
      <c r="B20" s="15"/>
      <c r="C20" s="16" t="s">
        <v>0</v>
      </c>
      <c r="D20" s="16" t="s">
        <v>1</v>
      </c>
      <c r="E20" s="17" t="s">
        <v>2</v>
      </c>
      <c r="F20" s="16" t="s">
        <v>9</v>
      </c>
      <c r="G20" s="18" t="s">
        <v>4</v>
      </c>
      <c r="H20" s="1"/>
      <c r="I20" s="2"/>
      <c r="J20" s="3">
        <v>0</v>
      </c>
      <c r="K20" s="3">
        <v>0</v>
      </c>
      <c r="L20" s="3">
        <v>0</v>
      </c>
      <c r="M20" s="18" t="s">
        <v>4</v>
      </c>
      <c r="N20" s="16" t="s">
        <v>32</v>
      </c>
      <c r="O20" s="16" t="s">
        <v>48</v>
      </c>
      <c r="P20" s="19"/>
      <c r="Q20" s="19"/>
      <c r="R20" s="19"/>
      <c r="S20" s="19"/>
      <c r="T20" s="19"/>
      <c r="U20" s="5">
        <v>0</v>
      </c>
      <c r="V20" s="20"/>
      <c r="W20" s="21"/>
      <c r="X20" s="21"/>
      <c r="Y20" s="21"/>
      <c r="Z20" s="22" t="s">
        <v>13</v>
      </c>
      <c r="AA20" s="23">
        <v>2020</v>
      </c>
      <c r="AB20" s="22" t="s">
        <v>14</v>
      </c>
      <c r="AC20" s="22" t="s">
        <v>15</v>
      </c>
      <c r="AD20" s="22" t="s">
        <v>16</v>
      </c>
      <c r="AE20" s="22" t="s">
        <v>17</v>
      </c>
      <c r="AF20" s="23" t="s">
        <v>33</v>
      </c>
      <c r="AG20" s="22" t="s">
        <v>19</v>
      </c>
      <c r="AH20" s="22" t="s">
        <v>20</v>
      </c>
      <c r="AI20" s="22" t="s">
        <v>34</v>
      </c>
      <c r="AJ20" s="22" t="s">
        <v>22</v>
      </c>
      <c r="AK20" s="22" t="s">
        <v>23</v>
      </c>
      <c r="AL20" s="24">
        <v>0</v>
      </c>
      <c r="AM20" s="25"/>
      <c r="AN20" s="26" t="s">
        <v>24</v>
      </c>
      <c r="AO20" s="21"/>
      <c r="AP20" s="27"/>
      <c r="AQ20" s="21"/>
      <c r="AR20" s="21"/>
      <c r="AS20" s="21"/>
      <c r="AT20" s="21"/>
      <c r="AU20" s="21"/>
      <c r="AV20" s="21"/>
      <c r="AW20" s="27"/>
      <c r="AX20" s="21"/>
      <c r="AY20" s="21"/>
      <c r="AZ20" s="22" t="s">
        <v>25</v>
      </c>
      <c r="BA20" s="23">
        <v>2020</v>
      </c>
      <c r="BB20" s="22" t="s">
        <v>26</v>
      </c>
      <c r="BC20" s="22" t="s">
        <v>15</v>
      </c>
      <c r="BD20" s="22" t="s">
        <v>19</v>
      </c>
      <c r="BE20" s="22" t="s">
        <v>17</v>
      </c>
      <c r="BF20" s="23" t="s">
        <v>49</v>
      </c>
      <c r="BG20" s="22" t="s">
        <v>16</v>
      </c>
      <c r="BH20" s="22" t="s">
        <v>20</v>
      </c>
      <c r="BI20" s="22" t="s">
        <v>21</v>
      </c>
      <c r="BJ20" s="22" t="s">
        <v>27</v>
      </c>
      <c r="BK20" s="22" t="s">
        <v>23</v>
      </c>
      <c r="BL20" s="24">
        <v>0</v>
      </c>
      <c r="BM20" s="25"/>
      <c r="BN20" s="26" t="s">
        <v>24</v>
      </c>
      <c r="BO20" s="21"/>
    </row>
    <row r="21" spans="2:67" x14ac:dyDescent="0.25">
      <c r="B21" s="15"/>
      <c r="C21" s="16" t="s">
        <v>0</v>
      </c>
      <c r="D21" s="16" t="s">
        <v>1</v>
      </c>
      <c r="E21" s="17" t="s">
        <v>2</v>
      </c>
      <c r="F21" s="16" t="s">
        <v>9</v>
      </c>
      <c r="G21" s="18" t="s">
        <v>4</v>
      </c>
      <c r="H21" s="1"/>
      <c r="I21" s="2"/>
      <c r="J21" s="3">
        <v>0</v>
      </c>
      <c r="K21" s="3">
        <v>0</v>
      </c>
      <c r="L21" s="3">
        <v>0</v>
      </c>
      <c r="M21" s="18" t="s">
        <v>4</v>
      </c>
      <c r="N21" s="16" t="s">
        <v>32</v>
      </c>
      <c r="O21" s="16" t="s">
        <v>28</v>
      </c>
      <c r="P21" s="19"/>
      <c r="Q21" s="19"/>
      <c r="R21" s="19"/>
      <c r="S21" s="19"/>
      <c r="T21" s="19"/>
      <c r="U21" s="5">
        <v>0</v>
      </c>
      <c r="V21" s="20"/>
      <c r="W21" s="21"/>
      <c r="X21" s="21"/>
      <c r="Y21" s="21"/>
      <c r="Z21" s="22" t="s">
        <v>13</v>
      </c>
      <c r="AA21" s="23">
        <v>2020</v>
      </c>
      <c r="AB21" s="22" t="s">
        <v>14</v>
      </c>
      <c r="AC21" s="22" t="s">
        <v>15</v>
      </c>
      <c r="AD21" s="22" t="s">
        <v>16</v>
      </c>
      <c r="AE21" s="22" t="s">
        <v>17</v>
      </c>
      <c r="AF21" s="23" t="s">
        <v>33</v>
      </c>
      <c r="AG21" s="22" t="s">
        <v>19</v>
      </c>
      <c r="AH21" s="22" t="s">
        <v>20</v>
      </c>
      <c r="AI21" s="22" t="s">
        <v>34</v>
      </c>
      <c r="AJ21" s="22" t="s">
        <v>22</v>
      </c>
      <c r="AK21" s="22" t="s">
        <v>23</v>
      </c>
      <c r="AL21" s="24">
        <v>0</v>
      </c>
      <c r="AM21" s="25"/>
      <c r="AN21" s="26" t="s">
        <v>24</v>
      </c>
      <c r="AO21" s="21"/>
      <c r="AP21" s="27"/>
      <c r="AQ21" s="21"/>
      <c r="AR21" s="21"/>
      <c r="AS21" s="21"/>
      <c r="AT21" s="21"/>
      <c r="AU21" s="21"/>
      <c r="AV21" s="21"/>
      <c r="AW21" s="27"/>
      <c r="AX21" s="21"/>
      <c r="AY21" s="21"/>
      <c r="AZ21" s="22" t="s">
        <v>25</v>
      </c>
      <c r="BA21" s="23">
        <v>2020</v>
      </c>
      <c r="BB21" s="22" t="s">
        <v>26</v>
      </c>
      <c r="BC21" s="22" t="s">
        <v>15</v>
      </c>
      <c r="BD21" s="22" t="s">
        <v>19</v>
      </c>
      <c r="BE21" s="22" t="s">
        <v>17</v>
      </c>
      <c r="BF21" s="23" t="str">
        <f>VLOOKUP(O:O,[1]Tables!$W:$X,2,0)</f>
        <v>4181819000</v>
      </c>
      <c r="BG21" s="22" t="s">
        <v>16</v>
      </c>
      <c r="BH21" s="22" t="s">
        <v>20</v>
      </c>
      <c r="BI21" s="22" t="str">
        <f>VLOOKUP(O:O,[1]Tables!$W:$Y,3,0)</f>
        <v>OOPC</v>
      </c>
      <c r="BJ21" s="22" t="s">
        <v>27</v>
      </c>
      <c r="BK21" s="22" t="s">
        <v>23</v>
      </c>
      <c r="BL21" s="24">
        <v>0</v>
      </c>
      <c r="BM21" s="25"/>
      <c r="BN21" s="26" t="s">
        <v>24</v>
      </c>
      <c r="BO21" s="21"/>
    </row>
    <row r="22" spans="2:67" x14ac:dyDescent="0.25">
      <c r="B22" s="15"/>
      <c r="C22" s="16" t="s">
        <v>0</v>
      </c>
      <c r="D22" s="16" t="s">
        <v>1</v>
      </c>
      <c r="E22" s="17" t="s">
        <v>2</v>
      </c>
      <c r="F22" s="16" t="s">
        <v>9</v>
      </c>
      <c r="G22" s="18" t="s">
        <v>4</v>
      </c>
      <c r="H22" s="1"/>
      <c r="I22" s="2"/>
      <c r="J22" s="3">
        <v>0</v>
      </c>
      <c r="K22" s="3">
        <v>0</v>
      </c>
      <c r="L22" s="3">
        <v>0</v>
      </c>
      <c r="M22" s="18" t="s">
        <v>4</v>
      </c>
      <c r="N22" s="16" t="s">
        <v>32</v>
      </c>
      <c r="O22" s="16" t="s">
        <v>28</v>
      </c>
      <c r="P22" s="19"/>
      <c r="Q22" s="19"/>
      <c r="R22" s="19"/>
      <c r="S22" s="19"/>
      <c r="T22" s="19"/>
      <c r="U22" s="5">
        <v>0</v>
      </c>
      <c r="V22" s="20"/>
      <c r="W22" s="21"/>
      <c r="X22" s="21"/>
      <c r="Y22" s="21"/>
      <c r="Z22" s="22" t="s">
        <v>13</v>
      </c>
      <c r="AA22" s="23">
        <v>2020</v>
      </c>
      <c r="AB22" s="22" t="s">
        <v>14</v>
      </c>
      <c r="AC22" s="22" t="s">
        <v>15</v>
      </c>
      <c r="AD22" s="22" t="s">
        <v>16</v>
      </c>
      <c r="AE22" s="22" t="s">
        <v>17</v>
      </c>
      <c r="AF22" s="23" t="s">
        <v>33</v>
      </c>
      <c r="AG22" s="22" t="s">
        <v>19</v>
      </c>
      <c r="AH22" s="22" t="s">
        <v>20</v>
      </c>
      <c r="AI22" s="22" t="s">
        <v>34</v>
      </c>
      <c r="AJ22" s="22" t="s">
        <v>22</v>
      </c>
      <c r="AK22" s="22" t="s">
        <v>23</v>
      </c>
      <c r="AL22" s="24">
        <v>0</v>
      </c>
      <c r="AM22" s="25"/>
      <c r="AN22" s="26" t="s">
        <v>24</v>
      </c>
      <c r="AO22" s="21"/>
      <c r="AP22" s="27"/>
      <c r="AQ22" s="21"/>
      <c r="AR22" s="21"/>
      <c r="AS22" s="21"/>
      <c r="AT22" s="21"/>
      <c r="AU22" s="21"/>
      <c r="AV22" s="21"/>
      <c r="AW22" s="27"/>
      <c r="AX22" s="21"/>
      <c r="AY22" s="21"/>
      <c r="AZ22" s="22" t="s">
        <v>25</v>
      </c>
      <c r="BA22" s="23">
        <v>2020</v>
      </c>
      <c r="BB22" s="22" t="s">
        <v>26</v>
      </c>
      <c r="BC22" s="22" t="s">
        <v>15</v>
      </c>
      <c r="BD22" s="22" t="s">
        <v>19</v>
      </c>
      <c r="BE22" s="22" t="s">
        <v>17</v>
      </c>
      <c r="BF22" s="23" t="str">
        <f>VLOOKUP(O:O,[1]Tables!$W:$X,2,0)</f>
        <v>4181819000</v>
      </c>
      <c r="BG22" s="22" t="s">
        <v>16</v>
      </c>
      <c r="BH22" s="22" t="s">
        <v>20</v>
      </c>
      <c r="BI22" s="22" t="str">
        <f>VLOOKUP(O:O,[1]Tables!$W:$Y,3,0)</f>
        <v>OOPC</v>
      </c>
      <c r="BJ22" s="22" t="s">
        <v>27</v>
      </c>
      <c r="BK22" s="22" t="s">
        <v>23</v>
      </c>
      <c r="BL22" s="24">
        <v>0</v>
      </c>
      <c r="BM22" s="25"/>
      <c r="BN22" s="26" t="s">
        <v>24</v>
      </c>
      <c r="BO22" s="21"/>
    </row>
    <row r="23" spans="2:67" x14ac:dyDescent="0.25">
      <c r="B23" s="15"/>
      <c r="C23" s="16" t="s">
        <v>0</v>
      </c>
      <c r="D23" s="16" t="s">
        <v>1</v>
      </c>
      <c r="E23" s="17" t="s">
        <v>2</v>
      </c>
      <c r="F23" s="16" t="s">
        <v>10</v>
      </c>
      <c r="G23" s="18" t="s">
        <v>4</v>
      </c>
      <c r="H23" s="2">
        <v>21088890.129999995</v>
      </c>
      <c r="I23" s="2">
        <v>81433170.430000007</v>
      </c>
      <c r="J23" s="3">
        <v>81433170.430000007</v>
      </c>
      <c r="K23" s="3">
        <v>81433170.430000007</v>
      </c>
      <c r="L23" s="3">
        <v>60344280.300000012</v>
      </c>
      <c r="M23" s="18" t="s">
        <v>4</v>
      </c>
      <c r="N23" s="16" t="s">
        <v>86</v>
      </c>
      <c r="O23" s="16" t="s">
        <v>37</v>
      </c>
      <c r="P23" s="19"/>
      <c r="Q23" s="19"/>
      <c r="R23" s="19"/>
      <c r="S23" s="19"/>
      <c r="T23" s="19"/>
      <c r="U23" s="5">
        <v>60344280.300000012</v>
      </c>
      <c r="V23" s="20"/>
      <c r="W23" s="21"/>
      <c r="X23" s="21"/>
      <c r="Y23" s="21"/>
      <c r="Z23" s="22" t="s">
        <v>13</v>
      </c>
      <c r="AA23" s="23">
        <v>2020</v>
      </c>
      <c r="AB23" s="22" t="s">
        <v>14</v>
      </c>
      <c r="AC23" s="22" t="s">
        <v>15</v>
      </c>
      <c r="AD23" s="22" t="s">
        <v>16</v>
      </c>
      <c r="AE23" s="22" t="s">
        <v>17</v>
      </c>
      <c r="AF23" s="23" t="s">
        <v>87</v>
      </c>
      <c r="AG23" s="22" t="s">
        <v>19</v>
      </c>
      <c r="AH23" s="22" t="s">
        <v>20</v>
      </c>
      <c r="AI23" s="22" t="s">
        <v>39</v>
      </c>
      <c r="AJ23" s="22" t="s">
        <v>22</v>
      </c>
      <c r="AK23" s="22" t="s">
        <v>23</v>
      </c>
      <c r="AL23" s="24">
        <v>21088890.129999999</v>
      </c>
      <c r="AM23" s="25"/>
      <c r="AN23" s="26" t="s">
        <v>24</v>
      </c>
      <c r="AO23" s="21"/>
      <c r="AP23" s="27"/>
      <c r="AQ23" s="21"/>
      <c r="AR23" s="21"/>
      <c r="AS23" s="21"/>
      <c r="AT23" s="21"/>
      <c r="AU23" s="21"/>
      <c r="AV23" s="21"/>
      <c r="AW23" s="27"/>
      <c r="AX23" s="21"/>
      <c r="AY23" s="21"/>
      <c r="AZ23" s="22" t="s">
        <v>25</v>
      </c>
      <c r="BA23" s="23">
        <v>2020</v>
      </c>
      <c r="BB23" s="22" t="s">
        <v>26</v>
      </c>
      <c r="BC23" s="22" t="s">
        <v>15</v>
      </c>
      <c r="BD23" s="22" t="s">
        <v>19</v>
      </c>
      <c r="BE23" s="22" t="s">
        <v>17</v>
      </c>
      <c r="BF23" s="23" t="str">
        <f>VLOOKUP(O:O,[1]Tables!$W:$X,2,0)</f>
        <v>1223010000</v>
      </c>
      <c r="BG23" s="22" t="s">
        <v>16</v>
      </c>
      <c r="BH23" s="22" t="s">
        <v>20</v>
      </c>
      <c r="BI23" s="22" t="str">
        <f>VLOOKUP(O:O,[1]Tables!$W:$Y,3,0)</f>
        <v>M999</v>
      </c>
      <c r="BJ23" s="22" t="s">
        <v>27</v>
      </c>
      <c r="BK23" s="22" t="s">
        <v>23</v>
      </c>
      <c r="BL23" s="24">
        <v>81433170.430000007</v>
      </c>
      <c r="BM23" s="25"/>
      <c r="BN23" s="26" t="s">
        <v>24</v>
      </c>
      <c r="BO23" s="21"/>
    </row>
    <row r="24" spans="2:67" x14ac:dyDescent="0.25">
      <c r="B24" s="15"/>
      <c r="C24" s="16" t="s">
        <v>0</v>
      </c>
      <c r="D24" s="16" t="s">
        <v>1</v>
      </c>
      <c r="E24" s="17" t="s">
        <v>2</v>
      </c>
      <c r="F24" s="16" t="s">
        <v>11</v>
      </c>
      <c r="G24" s="18" t="s">
        <v>4</v>
      </c>
      <c r="H24" s="1"/>
      <c r="I24" s="2">
        <v>72687875.900000006</v>
      </c>
      <c r="J24" s="3">
        <v>72687875.900000006</v>
      </c>
      <c r="K24" s="3">
        <v>72687875.900000006</v>
      </c>
      <c r="L24" s="3">
        <v>72687875.900000006</v>
      </c>
      <c r="M24" s="18" t="s">
        <v>4</v>
      </c>
      <c r="N24" s="16" t="s">
        <v>37</v>
      </c>
      <c r="O24" s="16" t="s">
        <v>88</v>
      </c>
      <c r="P24" s="19"/>
      <c r="Q24" s="19"/>
      <c r="R24" s="19"/>
      <c r="S24" s="19"/>
      <c r="T24" s="19"/>
      <c r="U24" s="5">
        <v>72687875.900000006</v>
      </c>
      <c r="V24" s="20"/>
      <c r="W24" s="21"/>
      <c r="X24" s="21"/>
      <c r="Y24" s="21"/>
      <c r="Z24" s="22" t="s">
        <v>13</v>
      </c>
      <c r="AA24" s="23">
        <v>2020</v>
      </c>
      <c r="AB24" s="22" t="s">
        <v>14</v>
      </c>
      <c r="AC24" s="22" t="s">
        <v>15</v>
      </c>
      <c r="AD24" s="22" t="s">
        <v>16</v>
      </c>
      <c r="AE24" s="22" t="s">
        <v>17</v>
      </c>
      <c r="AF24" s="23" t="s">
        <v>38</v>
      </c>
      <c r="AG24" s="22" t="s">
        <v>19</v>
      </c>
      <c r="AH24" s="22" t="s">
        <v>20</v>
      </c>
      <c r="AI24" s="22" t="s">
        <v>39</v>
      </c>
      <c r="AJ24" s="22" t="s">
        <v>22</v>
      </c>
      <c r="AK24" s="22" t="s">
        <v>23</v>
      </c>
      <c r="AL24" s="24">
        <v>0</v>
      </c>
      <c r="AM24" s="25"/>
      <c r="AN24" s="26" t="s">
        <v>24</v>
      </c>
      <c r="AO24" s="21"/>
      <c r="AP24" s="27"/>
      <c r="AQ24" s="21"/>
      <c r="AR24" s="21"/>
      <c r="AS24" s="21"/>
      <c r="AT24" s="21"/>
      <c r="AU24" s="21"/>
      <c r="AV24" s="21"/>
      <c r="AW24" s="27"/>
      <c r="AX24" s="21"/>
      <c r="AY24" s="21"/>
      <c r="AZ24" s="22" t="s">
        <v>25</v>
      </c>
      <c r="BA24" s="23">
        <v>2020</v>
      </c>
      <c r="BB24" s="22" t="s">
        <v>26</v>
      </c>
      <c r="BC24" s="22" t="s">
        <v>15</v>
      </c>
      <c r="BD24" s="22" t="s">
        <v>19</v>
      </c>
      <c r="BE24" s="22" t="s">
        <v>17</v>
      </c>
      <c r="BF24" s="23">
        <f>VLOOKUP(O:O,[1]Tables!$W:$X,2,0)</f>
        <v>1118017000</v>
      </c>
      <c r="BG24" s="22" t="s">
        <v>16</v>
      </c>
      <c r="BH24" s="22" t="s">
        <v>20</v>
      </c>
      <c r="BI24" s="22" t="str">
        <f>VLOOKUP(O:O,[1]Tables!$W:$Y,3,0)</f>
        <v>M999</v>
      </c>
      <c r="BJ24" s="22" t="s">
        <v>27</v>
      </c>
      <c r="BK24" s="22" t="s">
        <v>23</v>
      </c>
      <c r="BL24" s="24">
        <v>72687875.900000006</v>
      </c>
      <c r="BM24" s="25"/>
      <c r="BN24" s="26" t="s">
        <v>24</v>
      </c>
      <c r="BO24" s="21"/>
    </row>
    <row r="25" spans="2:67" x14ac:dyDescent="0.25">
      <c r="B25" s="15"/>
      <c r="C25" s="16" t="s">
        <v>0</v>
      </c>
      <c r="D25" s="16" t="s">
        <v>1</v>
      </c>
      <c r="E25" s="17" t="s">
        <v>2</v>
      </c>
      <c r="F25" s="16" t="s">
        <v>11</v>
      </c>
      <c r="G25" s="18" t="s">
        <v>4</v>
      </c>
      <c r="H25" s="1"/>
      <c r="I25" s="2"/>
      <c r="J25" s="3">
        <v>0</v>
      </c>
      <c r="K25" s="3">
        <v>0</v>
      </c>
      <c r="L25" s="3">
        <v>0</v>
      </c>
      <c r="M25" s="18" t="s">
        <v>4</v>
      </c>
      <c r="N25" s="16" t="s">
        <v>37</v>
      </c>
      <c r="O25" s="16" t="s">
        <v>50</v>
      </c>
      <c r="P25" s="19"/>
      <c r="Q25" s="19"/>
      <c r="R25" s="19"/>
      <c r="S25" s="19"/>
      <c r="T25" s="19"/>
      <c r="U25" s="5">
        <v>0</v>
      </c>
      <c r="V25" s="20"/>
      <c r="W25" s="21"/>
      <c r="X25" s="21"/>
      <c r="Y25" s="21"/>
      <c r="Z25" s="22" t="s">
        <v>13</v>
      </c>
      <c r="AA25" s="23">
        <v>2020</v>
      </c>
      <c r="AB25" s="22" t="s">
        <v>14</v>
      </c>
      <c r="AC25" s="22" t="s">
        <v>15</v>
      </c>
      <c r="AD25" s="22" t="s">
        <v>16</v>
      </c>
      <c r="AE25" s="22" t="s">
        <v>17</v>
      </c>
      <c r="AF25" s="23" t="s">
        <v>38</v>
      </c>
      <c r="AG25" s="22" t="s">
        <v>19</v>
      </c>
      <c r="AH25" s="22" t="s">
        <v>20</v>
      </c>
      <c r="AI25" s="22" t="s">
        <v>39</v>
      </c>
      <c r="AJ25" s="22" t="s">
        <v>22</v>
      </c>
      <c r="AK25" s="22" t="s">
        <v>23</v>
      </c>
      <c r="AL25" s="24">
        <v>0</v>
      </c>
      <c r="AM25" s="25"/>
      <c r="AN25" s="26" t="s">
        <v>24</v>
      </c>
      <c r="AO25" s="21"/>
      <c r="AP25" s="27"/>
      <c r="AQ25" s="21"/>
      <c r="AR25" s="21"/>
      <c r="AS25" s="21"/>
      <c r="AT25" s="21"/>
      <c r="AU25" s="21"/>
      <c r="AV25" s="21"/>
      <c r="AW25" s="27"/>
      <c r="AX25" s="21"/>
      <c r="AY25" s="21"/>
      <c r="AZ25" s="22" t="s">
        <v>25</v>
      </c>
      <c r="BA25" s="23">
        <v>2020</v>
      </c>
      <c r="BB25" s="22" t="s">
        <v>26</v>
      </c>
      <c r="BC25" s="22" t="s">
        <v>15</v>
      </c>
      <c r="BD25" s="22" t="s">
        <v>19</v>
      </c>
      <c r="BE25" s="22" t="s">
        <v>17</v>
      </c>
      <c r="BF25" s="23" t="s">
        <v>51</v>
      </c>
      <c r="BG25" s="22" t="s">
        <v>16</v>
      </c>
      <c r="BH25" s="22" t="s">
        <v>20</v>
      </c>
      <c r="BI25" s="22" t="s">
        <v>39</v>
      </c>
      <c r="BJ25" s="22" t="s">
        <v>27</v>
      </c>
      <c r="BK25" s="22" t="s">
        <v>23</v>
      </c>
      <c r="BL25" s="24">
        <v>0</v>
      </c>
      <c r="BM25" s="25"/>
      <c r="BN25" s="26" t="s">
        <v>24</v>
      </c>
      <c r="BO25" s="21"/>
    </row>
  </sheetData>
  <autoFilter ref="C3:BO25" xr:uid="{0913062E-4DB6-48BA-B7C0-30D3401F3D6A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Priyansh Chandak</dc:creator>
  <cp:lastModifiedBy>Priyansh Chandak</cp:lastModifiedBy>
  <dcterms:created xsi:type="dcterms:W3CDTF">2021-02-08T16:33:33Z</dcterms:created>
  <dcterms:modified xsi:type="dcterms:W3CDTF">2021-02-08T16:42:47Z</dcterms:modified>
</cp:coreProperties>
</file>