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A-TSL Payable" sheetId="1" state="visible" r:id="rId2"/>
    <sheet name="Form 2 TSL Payable" sheetId="2" state="visible" r:id="rId3"/>
    <sheet name="Transaction reco-TSL Pay" sheetId="3" state="visible" r:id="rId4"/>
    <sheet name="TSL" sheetId="4" state="visible" r:id="rId5"/>
    <sheet name="TBSL" sheetId="5" state="visible" r:id="rId6"/>
    <sheet name="Last year Items" sheetId="6" state="visible" r:id="rId7"/>
    <sheet name="MIT" sheetId="7" state="visible" r:id="rId8"/>
    <sheet name="Short provi" sheetId="8" state="visible" r:id="rId9"/>
    <sheet name="Invoice Diff" sheetId="9" state="visible" r:id="rId10"/>
    <sheet name="Invoice diff in GRIR" sheetId="10" state="visible" r:id="rId11"/>
    <sheet name="Balances" sheetId="11" state="visible" r:id="rId12"/>
    <sheet name="DPCache_Export.7e82ad88-5cac-44a3-a70b-" sheetId="12" state="hidden" r:id="rId13"/>
  </sheets>
  <externalReferences>
    <externalReference r:id="rId14"/>
  </externalReferences>
  <definedNames>
    <definedName function="false" hidden="false" localSheetId="1" name="_xlnm.Print_Area" vbProcedure="false">'Form 2 TSL Payable'!$A$1:$F$48</definedName>
    <definedName function="false" hidden="true" localSheetId="6" name="_xlnm._FilterDatabase" vbProcedure="false">MIT!$A$2:$Q$2</definedName>
    <definedName function="false" hidden="false" localSheetId="0" name="_xlnm.Print_Area" vbProcedure="false">'SOA-TSL Payable'!$A$1:$E$13</definedName>
    <definedName function="false" hidden="false" localSheetId="4" name="_xlnm.Print_Area" vbProcedure="false">TBSL!$1:$1</definedName>
    <definedName function="false" hidden="true" localSheetId="4" name="_xlnm._FilterDatabase" vbProcedure="false">TBSL!$A$1:$AX$1490</definedName>
    <definedName function="false" hidden="false" localSheetId="2" name="_xlnm.Print_Area" vbProcedure="false">'Transaction reco-TSL Pay'!$B$1:$E$18</definedName>
    <definedName function="false" hidden="true" localSheetId="3" name="_xlnm._FilterDatabase" vbProcedure="false">TSL!$A$1:$AX$667</definedName>
    <definedName function="false" hidden="false" name="Aging_dollars" vbProcedure="false">#REF!</definedName>
    <definedName function="false" hidden="false" name="Aging_percent" vbProcedure="false">#REF!,#REF!</definedName>
    <definedName function="false" hidden="false" name="Allowance_to_Receivables" vbProcedure="false">#REF!,#REF!</definedName>
    <definedName function="false" hidden="false" name="Allowance_to_Sales" vbProcedure="false">#REF!,#REF!</definedName>
    <definedName function="false" hidden="false" name="AS2DocOpenMode" vbProcedure="false">"AS2DocumentEdit"</definedName>
    <definedName function="false" hidden="false" name="B" vbProcedure="false">'[1]f.a.sch.' #REF!</definedName>
    <definedName function="false" hidden="false" name="cmb_TDS2.StateCode" vbProcedure="false">[1]IT_FBT_DDTP!$H$65:$H$100</definedName>
    <definedName function="false" hidden="false" name="D" vbProcedure="false">'[1]f.a.sch.' #REF!</definedName>
    <definedName function="false" hidden="false" name="DATA10" vbProcedure="false">#REF!sheet1 #REF!</definedName>
    <definedName function="false" hidden="false" name="Days_in_Receivables" vbProcedure="false">#REF!,#REF!</definedName>
    <definedName function="false" hidden="false" name="Debt_Exp_to_Sales" vbProcedure="false">#REF!,#REF!</definedName>
    <definedName function="false" hidden="false" name="E" vbProcedure="false">'[1]f.a.sch.' #REF!</definedName>
    <definedName function="false" hidden="false" name="f" vbProcedure="false">'[1]f.a.sch.' #REF!</definedName>
    <definedName function="false" hidden="false" name="Form2" vbProcedure="false">#REF!,#REF!</definedName>
    <definedName function="false" hidden="false" name="HE" vbProcedure="false">#REF!selection $D$5</definedName>
    <definedName function="false" hidden="false" name="Interval_cutoff" vbProcedure="false">#REF!</definedName>
    <definedName function="false" hidden="false" name="J_cutoff" vbProcedure="false">#REF!</definedName>
    <definedName function="false" hidden="false" name="Monetary_Precision" vbProcedure="false">#REF!</definedName>
    <definedName function="false" hidden="false" name="new" vbProcedure="false">#REF!</definedName>
    <definedName function="false" hidden="false" name="Number_of_Selections" vbProcedure="false">'[5]cma calculations' $F$93</definedName>
    <definedName function="false" hidden="false" name="RecCurrent" vbProcedure="false">#REF!</definedName>
    <definedName function="false" hidden="false" name="RecPY4_Sel1" vbProcedure="false">#REF!</definedName>
    <definedName function="false" hidden="false" name="RecRollFWD" vbProcedure="false">#REF!</definedName>
    <definedName function="false" hidden="false" name="TextRefCopy1" vbProcedure="false">#REF!</definedName>
    <definedName function="false" hidden="false" name="TextRefCopy2" vbProcedure="false">#REF!</definedName>
    <definedName function="false" hidden="false" name="TextRefCopy3" vbProcedure="false">#REF!</definedName>
    <definedName function="false" hidden="false" name="TextRefCopyRangeCount" vbProcedure="false">11</definedName>
    <definedName function="false" hidden="false" name="TrendCurrent" vbProcedure="false">#REF!</definedName>
    <definedName function="false" hidden="false" name="TrendPY4_Sel1" vbProcedure="false">#REF!</definedName>
    <definedName function="false" hidden="false" name="TrendRollFWD" vbProcedure="false">#REF!</definedName>
    <definedName function="false" hidden="false" name="wrn.Aging._.and._.Trend._.Analysis." vbProcedure="false">{#N/A,#N/A,FALSE,"Aging Summary";#N/A,#N/A,FALSE,"Ratio Analysis";#N/A,#N/A,FALSE,"Test 120 Day Accts";#N/A,#N/A,FALSE,"Tickmarks"}</definedName>
    <definedName function="false" hidden="false" localSheetId="0" name="Aging_dollars" vbProcedure="false">#REF!</definedName>
    <definedName function="false" hidden="false" localSheetId="0" name="Aging_percent" vbProcedure="false">#REF!,#REF!</definedName>
    <definedName function="false" hidden="false" localSheetId="0" name="Allowance_to_Receivables" vbProcedure="false">#REF!,#REF!</definedName>
    <definedName function="false" hidden="false" localSheetId="0" name="Allowance_to_Sales" vbProcedure="false">#REF!,#REF!</definedName>
    <definedName function="false" hidden="false" localSheetId="0" name="B" vbProcedure="false">'[1]f.a.sch.' #REF!</definedName>
    <definedName function="false" hidden="false" localSheetId="0" name="D" vbProcedure="false">'[1]f.a.sch.' #REF!</definedName>
    <definedName function="false" hidden="false" localSheetId="0" name="DATA10" vbProcedure="false">#REF!sheet1 #REF!</definedName>
    <definedName function="false" hidden="false" localSheetId="0" name="Days_in_Receivables" vbProcedure="false">#REF!,#REF!</definedName>
    <definedName function="false" hidden="false" localSheetId="0" name="Debt_Exp_to_Sales" vbProcedure="false">#REF!,#REF!</definedName>
    <definedName function="false" hidden="false" localSheetId="0" name="E" vbProcedure="false">'[1]f.a.sch.' #REF!</definedName>
    <definedName function="false" hidden="false" localSheetId="0" name="f" vbProcedure="false">'[1]f.a.sch.' #REF!</definedName>
    <definedName function="false" hidden="false" localSheetId="0" name="Form2" vbProcedure="false">#REF!,#REF!</definedName>
    <definedName function="false" hidden="false" localSheetId="0" name="Interval_cutoff" vbProcedure="false">#REF!</definedName>
    <definedName function="false" hidden="false" localSheetId="0" name="J_cutoff" vbProcedure="false">#REF!</definedName>
    <definedName function="false" hidden="false" localSheetId="0" name="Monetary_Precision" vbProcedure="false">#REF!</definedName>
    <definedName function="false" hidden="false" localSheetId="0" name="new" vbProcedure="false">#REF!</definedName>
    <definedName function="false" hidden="false" localSheetId="0" name="RecCurrent" vbProcedure="false">#REF!</definedName>
    <definedName function="false" hidden="false" localSheetId="0" name="RecPY4_Sel1" vbProcedure="false">#REF!</definedName>
    <definedName function="false" hidden="false" localSheetId="0" name="RecRollFWD" vbProcedure="false">#REF!</definedName>
    <definedName function="false" hidden="false" localSheetId="0" name="TextRefCopy1" vbProcedure="false">#REF!</definedName>
    <definedName function="false" hidden="false" localSheetId="0" name="TextRefCopy2" vbProcedure="false">#REF!</definedName>
    <definedName function="false" hidden="false" localSheetId="0" name="TextRefCopy3" vbProcedure="false">#REF!</definedName>
    <definedName function="false" hidden="false" localSheetId="0" name="TrendCurrent" vbProcedure="false">#REF!</definedName>
    <definedName function="false" hidden="false" localSheetId="0" name="TrendPY4_Sel1" vbProcedure="false">#REF!</definedName>
    <definedName function="false" hidden="false" localSheetId="0" name="TrendRollFWD" vbProcedure="false">#REF!</definedName>
    <definedName function="false" hidden="false" localSheetId="2" name="Aging_dollars" vbProcedure="false">#REF!</definedName>
    <definedName function="false" hidden="false" localSheetId="2" name="Aging_percent" vbProcedure="false">#REF!,#REF!</definedName>
    <definedName function="false" hidden="false" localSheetId="2" name="Allowance_to_Receivables" vbProcedure="false">#REF!,#REF!</definedName>
    <definedName function="false" hidden="false" localSheetId="2" name="Allowance_to_Sales" vbProcedure="false">#REF!,#REF!</definedName>
    <definedName function="false" hidden="false" localSheetId="2" name="B" vbProcedure="false">'[1]f.a.sch.' #REF!</definedName>
    <definedName function="false" hidden="false" localSheetId="2" name="D" vbProcedure="false">'[1]f.a.sch.' #REF!</definedName>
    <definedName function="false" hidden="false" localSheetId="2" name="DATA10" vbProcedure="false">#REF!sheet1 #REF!</definedName>
    <definedName function="false" hidden="false" localSheetId="2" name="Days_in_Receivables" vbProcedure="false">#REF!,#REF!</definedName>
    <definedName function="false" hidden="false" localSheetId="2" name="Debt_Exp_to_Sales" vbProcedure="false">#REF!,#REF!</definedName>
    <definedName function="false" hidden="false" localSheetId="2" name="E" vbProcedure="false">'[1]f.a.sch.' #REF!</definedName>
    <definedName function="false" hidden="false" localSheetId="2" name="Interval_cutoff" vbProcedure="false">#REF!</definedName>
    <definedName function="false" hidden="false" localSheetId="2" name="J_cutoff" vbProcedure="false">#REF!</definedName>
    <definedName function="false" hidden="false" localSheetId="2" name="Monetary_Precision" vbProcedure="false">#REF!</definedName>
    <definedName function="false" hidden="false" localSheetId="2" name="RecCurrent" vbProcedure="false">#REF!</definedName>
    <definedName function="false" hidden="false" localSheetId="2" name="RecPY4_Sel1" vbProcedure="false">#REF!</definedName>
    <definedName function="false" hidden="false" localSheetId="2" name="RecRollFWD" vbProcedure="false">#REF!</definedName>
    <definedName function="false" hidden="false" localSheetId="2" name="TextRefCopy1" vbProcedure="false">#REF!</definedName>
    <definedName function="false" hidden="false" localSheetId="2" name="TextRefCopy2" vbProcedure="false">#REF!</definedName>
    <definedName function="false" hidden="false" localSheetId="2" name="TextRefCopy3" vbProcedure="false">#REF!</definedName>
    <definedName function="false" hidden="false" localSheetId="2" name="TrendCurrent" vbProcedure="false">#REF!</definedName>
    <definedName function="false" hidden="false" localSheetId="2" name="TrendPY4_Sel1" vbProcedure="false">#REF!</definedName>
    <definedName function="false" hidden="false" localSheetId="2" name="TrendRollFWD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<sst xmlns="http://schemas.openxmlformats.org/spreadsheetml/2006/main" count="41047" uniqueCount="2811">
  <si>
    <t xml:space="preserve">Statement of Accounts (SOA)</t>
  </si>
  <si>
    <t xml:space="preserve">Tata Bluescope (TBSL)</t>
  </si>
  <si>
    <t xml:space="preserve">TSL Payable - TBSL Receivable</t>
  </si>
  <si>
    <t xml:space="preserve">Sl.No</t>
  </si>
  <si>
    <t xml:space="preserve">Particulars </t>
  </si>
  <si>
    <t xml:space="preserve">As per Tata Steel (Rs.)</t>
  </si>
  <si>
    <t xml:space="preserve">As per TBSL (Rs.)</t>
  </si>
  <si>
    <t xml:space="preserve">Difference</t>
  </si>
  <si>
    <t xml:space="preserve">Opening Balance as on 01.04.2019</t>
  </si>
  <si>
    <t xml:space="preserve">2a.</t>
  </si>
  <si>
    <t xml:space="preserve">Transactions</t>
  </si>
  <si>
    <t xml:space="preserve">2b.</t>
  </si>
  <si>
    <t xml:space="preserve">GST</t>
  </si>
  <si>
    <t xml:space="preserve">Take Totals of GST column by filtering via same dcument type as in Txn</t>
  </si>
  <si>
    <t xml:space="preserve">Total Transaction</t>
  </si>
  <si>
    <t xml:space="preserve">Total Payments/Collection</t>
  </si>
  <si>
    <t xml:space="preserve">Closing Balance as on 31.03.2020</t>
  </si>
  <si>
    <t xml:space="preserve">provision</t>
  </si>
  <si>
    <t xml:space="preserve">GRIR</t>
  </si>
  <si>
    <t xml:space="preserve">Transaction</t>
  </si>
  <si>
    <t xml:space="preserve">(RE,RL,RA, SA, SB Summ) </t>
  </si>
  <si>
    <t xml:space="preserve">(Amt in Loc Curr – GST amt+wTA)</t>
  </si>
  <si>
    <t xml:space="preserve">amt in loc cur + wTA = (2)(Total Txn)</t>
  </si>
  <si>
    <t xml:space="preserve">Tata steel total transaction</t>
  </si>
  <si>
    <t xml:space="preserve">(only RV)</t>
  </si>
  <si>
    <t xml:space="preserve">TBSL total transaction</t>
  </si>
  <si>
    <t xml:space="preserve">TATA STEEL LIMITED - CONSOLIDATED FINANCIAL STATEMENTS</t>
  </si>
  <si>
    <t xml:space="preserve">Form - 2</t>
  </si>
  <si>
    <t xml:space="preserve">Details of transactions and balances</t>
  </si>
  <si>
    <r>
      <rPr>
        <b val="true"/>
        <sz val="10"/>
        <color rgb="FF0000FF"/>
        <rFont val="Calibri"/>
        <family val="2"/>
      </rPr>
      <t xml:space="preserve">Category :</t>
    </r>
    <r>
      <rPr>
        <sz val="10"/>
        <rFont val="Calibri"/>
        <family val="2"/>
      </rPr>
      <t xml:space="preserve">   Subsidiary</t>
    </r>
  </si>
  <si>
    <r>
      <rPr>
        <b val="true"/>
        <sz val="10"/>
        <color rgb="FF0000FF"/>
        <rFont val="Calibri"/>
        <family val="2"/>
      </rPr>
      <t xml:space="preserve">Name of the Company :</t>
    </r>
    <r>
      <rPr>
        <b val="true"/>
        <sz val="10"/>
        <rFont val="Calibri"/>
        <family val="2"/>
      </rPr>
      <t xml:space="preserve">  Tata Bluescope (TBSL)</t>
    </r>
  </si>
  <si>
    <t xml:space="preserve">(From the stand point of Tata Steel)</t>
  </si>
  <si>
    <t xml:space="preserve">Period :  April 2019  to March 2020</t>
  </si>
  <si>
    <t xml:space="preserve">Nature of transactions</t>
  </si>
  <si>
    <t xml:space="preserve">Balance as per TSL</t>
  </si>
  <si>
    <t xml:space="preserve">Balance as per RP</t>
  </si>
  <si>
    <t xml:space="preserve">Remarks (*)</t>
  </si>
  <si>
    <t xml:space="preserve">Purchases of Goods</t>
  </si>
  <si>
    <t xml:space="preserve">Sale of Goods</t>
  </si>
  <si>
    <t xml:space="preserve">Purchase of Fixed Assets</t>
  </si>
  <si>
    <t xml:space="preserve">Sale of Fixed Assets</t>
  </si>
  <si>
    <t xml:space="preserve">Purchase of Investments</t>
  </si>
  <si>
    <t xml:space="preserve">Sale of Investments</t>
  </si>
  <si>
    <t xml:space="preserve">Rendering of Services</t>
  </si>
  <si>
    <t xml:space="preserve">See Transaction reco</t>
  </si>
  <si>
    <t xml:space="preserve">Receiving of Services</t>
  </si>
  <si>
    <t xml:space="preserve">Agency arrangements (income)</t>
  </si>
  <si>
    <t xml:space="preserve">Leasing or hire purchase arrangements</t>
  </si>
  <si>
    <t xml:space="preserve">Finance provided(including loans and equity contributions in cash or in kind)</t>
  </si>
  <si>
    <t xml:space="preserve">Interest income during the year</t>
  </si>
  <si>
    <t xml:space="preserve">Finance received (including loans and equity contributions in cash or in kind)</t>
  </si>
  <si>
    <t xml:space="preserve">Interest paid during the year</t>
  </si>
  <si>
    <t xml:space="preserve">Guarantees and collaterals given</t>
  </si>
  <si>
    <t xml:space="preserve">Contributions made to employee benefit trusts</t>
  </si>
  <si>
    <t xml:space="preserve">Management Contracts including deputation of employees</t>
  </si>
  <si>
    <t xml:space="preserve">Dividend income</t>
  </si>
  <si>
    <t xml:space="preserve">Provision for receivables made during the year</t>
  </si>
  <si>
    <t xml:space="preserve">Unsecured advances / deposits given</t>
  </si>
  <si>
    <t xml:space="preserve">Agency Commission paid</t>
  </si>
  <si>
    <t xml:space="preserve">Dividend paid to shareholders</t>
  </si>
  <si>
    <t xml:space="preserve">Diminution in value of investments</t>
  </si>
  <si>
    <t xml:space="preserve">Unsecured advances / deposits accepted</t>
  </si>
  <si>
    <t xml:space="preserve">Remuneration Paid</t>
  </si>
  <si>
    <t xml:space="preserve">Debit balances outstanding as on 31.03.2020</t>
  </si>
  <si>
    <t xml:space="preserve">Outstanding receivables- Debtors</t>
  </si>
  <si>
    <t xml:space="preserve">Outstanding receivables- Advance</t>
  </si>
  <si>
    <t xml:space="preserve">Credit balances outstanding as on 31.03.2020</t>
  </si>
  <si>
    <t xml:space="preserve">Outstanding payables- Creditors</t>
  </si>
  <si>
    <t xml:space="preserve">See BL Reco</t>
  </si>
  <si>
    <t xml:space="preserve">Outstanding payables- Advance</t>
  </si>
  <si>
    <t xml:space="preserve">Provision for outstanding receivables</t>
  </si>
  <si>
    <t xml:space="preserve">* If any figure does not agree and there are differences then the reconciliation must accompany the statement. However, reconciliation</t>
  </si>
  <si>
    <t xml:space="preserve">  item should not be a result of any items which should have been recognised and accounted for by Tata Steel.</t>
  </si>
  <si>
    <t xml:space="preserve">Note : </t>
  </si>
  <si>
    <t xml:space="preserve">1.  The location must have full transaction level / financial code level back up for each of the figures given below.</t>
  </si>
  <si>
    <t xml:space="preserve">2.   If there are no transaction with any of the companies referred to in Annexure 1, then a NIL certificate should be enclosed.</t>
  </si>
  <si>
    <t xml:space="preserve">Transaction Reconciliation for the period 01.04.2019 to 31.03.2020 - TSL Payable  TBSL Receivable</t>
  </si>
  <si>
    <t xml:space="preserve">Particulars</t>
  </si>
  <si>
    <t xml:space="preserve">Balance as on 31.03.2020</t>
  </si>
  <si>
    <t xml:space="preserve">Balance as on 31.03.2019</t>
  </si>
  <si>
    <t xml:space="preserve">Transaction reco for the period</t>
  </si>
  <si>
    <t xml:space="preserve">As per RP</t>
  </si>
  <si>
    <t xml:space="preserve">Reasons for Differences (Add/Less):</t>
  </si>
  <si>
    <t xml:space="preserve">Invoice diff in GRIR booked with GST</t>
  </si>
  <si>
    <t xml:space="preserve">Material in Transit</t>
  </si>
  <si>
    <t xml:space="preserve">Transaction of last year</t>
  </si>
  <si>
    <t xml:space="preserve">Short provision by TSL</t>
  </si>
  <si>
    <t xml:space="preserve">Invoice Difference</t>
  </si>
  <si>
    <t xml:space="preserve">Invoice Difference in GRIR</t>
  </si>
  <si>
    <t xml:space="preserve">Under reco </t>
  </si>
  <si>
    <t xml:space="preserve">Balance after above adjustments</t>
  </si>
  <si>
    <t xml:space="preserve">As per Tata Steel Ltd</t>
  </si>
  <si>
    <t xml:space="preserve">Company_Code</t>
  </si>
  <si>
    <t xml:space="preserve">Company_Name</t>
  </si>
  <si>
    <t xml:space="preserve">SAP_Doc_Number</t>
  </si>
  <si>
    <t xml:space="preserve">Reference</t>
  </si>
  <si>
    <t xml:space="preserve">Document_Type</t>
  </si>
  <si>
    <t xml:space="preserve">Business_Area</t>
  </si>
  <si>
    <t xml:space="preserve">Fiscal_Year</t>
  </si>
  <si>
    <t xml:space="preserve">Posting_Period</t>
  </si>
  <si>
    <t xml:space="preserve">Doc/Chq_Date</t>
  </si>
  <si>
    <t xml:space="preserve">Posting_Date</t>
  </si>
  <si>
    <t xml:space="preserve">Amount_in_Local_Currency</t>
  </si>
  <si>
    <t xml:space="preserve">SOA</t>
  </si>
  <si>
    <t xml:space="preserve">Local_Currency</t>
  </si>
  <si>
    <t xml:space="preserve">Amount_in_Document_Currency</t>
  </si>
  <si>
    <t xml:space="preserve">Document_Currency</t>
  </si>
  <si>
    <t xml:space="preserve">Discount_Base_Amount</t>
  </si>
  <si>
    <t xml:space="preserve">GST_Amount</t>
  </si>
  <si>
    <t xml:space="preserve">Net_Amount</t>
  </si>
  <si>
    <t xml:space="preserve">Withholding_Tax_Base_Amount</t>
  </si>
  <si>
    <t xml:space="preserve">Withholding_Tax_Amount</t>
  </si>
  <si>
    <t xml:space="preserve">Vendor/Customer</t>
  </si>
  <si>
    <t xml:space="preserve">Vendor/Customer_Name</t>
  </si>
  <si>
    <t xml:space="preserve">Trading_Partner</t>
  </si>
  <si>
    <t xml:space="preserve">Text</t>
  </si>
  <si>
    <t xml:space="preserve">HDR_Text</t>
  </si>
  <si>
    <t xml:space="preserve">Inv/SO_Reference</t>
  </si>
  <si>
    <t xml:space="preserve">Plant</t>
  </si>
  <si>
    <t xml:space="preserve">Purchasing_Document</t>
  </si>
  <si>
    <t xml:space="preserve">Delivery_Note</t>
  </si>
  <si>
    <t xml:space="preserve">Account</t>
  </si>
  <si>
    <t xml:space="preserve">Account_Description</t>
  </si>
  <si>
    <t xml:space="preserve">Offsetting_Account</t>
  </si>
  <si>
    <t xml:space="preserve">Offsetting_Acct_Name</t>
  </si>
  <si>
    <t xml:space="preserve">GRIR_Offsetting_Account</t>
  </si>
  <si>
    <t xml:space="preserve">Final_Offsetting_Account</t>
  </si>
  <si>
    <t xml:space="preserve">Final_Offsetting_Acct_Name</t>
  </si>
  <si>
    <t xml:space="preserve">WBS_Element</t>
  </si>
  <si>
    <t xml:space="preserve">Posting_Key</t>
  </si>
  <si>
    <t xml:space="preserve">Debit/Credit</t>
  </si>
  <si>
    <t xml:space="preserve">Special_G/L_Ind.</t>
  </si>
  <si>
    <t xml:space="preserve">Reversal_Indicator</t>
  </si>
  <si>
    <t xml:space="preserve">Clearing_Doc</t>
  </si>
  <si>
    <t xml:space="preserve">Clearing_Date</t>
  </si>
  <si>
    <t xml:space="preserve">Entry_date</t>
  </si>
  <si>
    <t xml:space="preserve">Entry_Time</t>
  </si>
  <si>
    <t xml:space="preserve">Notional_GST</t>
  </si>
  <si>
    <t xml:space="preserve">Gross_Amount_In_Local_Currency</t>
  </si>
  <si>
    <t xml:space="preserve">DE_Indicator</t>
  </si>
  <si>
    <t xml:space="preserve">PO_Line</t>
  </si>
  <si>
    <t xml:space="preserve">Entry_Line</t>
  </si>
  <si>
    <t xml:space="preserve">1000</t>
  </si>
  <si>
    <t xml:space="preserve">Tata Steel Limited</t>
  </si>
  <si>
    <t xml:space="preserve">DD NO-007452,</t>
  </si>
  <si>
    <t xml:space="preserve">KG</t>
  </si>
  <si>
    <t xml:space="preserve">9500</t>
  </si>
  <si>
    <t xml:space="preserve">2020</t>
  </si>
  <si>
    <t xml:space="preserve">3</t>
  </si>
  <si>
    <t xml:space="preserve">INR</t>
  </si>
  <si>
    <t xml:space="preserve">T040</t>
  </si>
  <si>
    <t xml:space="preserve">TATA BLUESCOPE STEEL PRIVATE  LIMIT</t>
  </si>
  <si>
    <t xml:space="preserve">Gate pass penalty, DD no -007452, IDBI</t>
  </si>
  <si>
    <t xml:space="preserve">gatepass penalty</t>
  </si>
  <si>
    <t xml:space="preserve">42009213</t>
  </si>
  <si>
    <t xml:space="preserve">2408402</t>
  </si>
  <si>
    <t xml:space="preserve">Vendor Reconciliation Account - Domestic</t>
  </si>
  <si>
    <t xml:space="preserve">3263001</t>
  </si>
  <si>
    <t xml:space="preserve">Miscellaneous Income Jsr</t>
  </si>
  <si>
    <t xml:space="preserve">0</t>
  </si>
  <si>
    <t xml:space="preserve">21</t>
  </si>
  <si>
    <t xml:space="preserve">S</t>
  </si>
  <si>
    <t xml:space="preserve">91510334</t>
  </si>
  <si>
    <t xml:space="preserve">24-06-2019</t>
  </si>
  <si>
    <t xml:space="preserve">16:52:22</t>
  </si>
  <si>
    <t xml:space="preserve">1</t>
  </si>
  <si>
    <t xml:space="preserve">GST/TSK/DN/235</t>
  </si>
  <si>
    <t xml:space="preserve">9600</t>
  </si>
  <si>
    <t xml:space="preserve">5</t>
  </si>
  <si>
    <t xml:space="preserve">Hiring of Equipments</t>
  </si>
  <si>
    <t xml:space="preserve">3800014331</t>
  </si>
  <si>
    <t xml:space="preserve">42034968</t>
  </si>
  <si>
    <t xml:space="preserve">23-08-2019</t>
  </si>
  <si>
    <t xml:space="preserve">12:43:29</t>
  </si>
  <si>
    <t xml:space="preserve">DD NO -007588</t>
  </si>
  <si>
    <t xml:space="preserve">6</t>
  </si>
  <si>
    <t xml:space="preserve">Gate pass penaty , T040</t>
  </si>
  <si>
    <t xml:space="preserve">Gate pass Penalty</t>
  </si>
  <si>
    <t xml:space="preserve">42035904</t>
  </si>
  <si>
    <t xml:space="preserve">3265003</t>
  </si>
  <si>
    <t xml:space="preserve">MISCELLANEOUS INCOME</t>
  </si>
  <si>
    <t xml:space="preserve">92076426</t>
  </si>
  <si>
    <t xml:space="preserve">11-09-2019</t>
  </si>
  <si>
    <t xml:space="preserve">12:53:10</t>
  </si>
  <si>
    <t xml:space="preserve">DD 007588</t>
  </si>
  <si>
    <t xml:space="preserve">DOC TO DELETE</t>
  </si>
  <si>
    <t xml:space="preserve">Gatepass penalty</t>
  </si>
  <si>
    <t xml:space="preserve">42035915</t>
  </si>
  <si>
    <t xml:space="preserve">12-09-2019</t>
  </si>
  <si>
    <t xml:space="preserve">09:21:32</t>
  </si>
  <si>
    <t xml:space="preserve">GATEPASS/RFID</t>
  </si>
  <si>
    <t xml:space="preserve">10</t>
  </si>
  <si>
    <t xml:space="preserve">T018</t>
  </si>
  <si>
    <t xml:space="preserve">Gatepass/RFID Recovery from Vendor</t>
  </si>
  <si>
    <t xml:space="preserve">Gatepas Penalty</t>
  </si>
  <si>
    <t xml:space="preserve">42041185</t>
  </si>
  <si>
    <t xml:space="preserve">92978106</t>
  </si>
  <si>
    <t xml:space="preserve">30-01-2020</t>
  </si>
  <si>
    <t xml:space="preserve">09:15:37</t>
  </si>
  <si>
    <t xml:space="preserve">DD NO-186797</t>
  </si>
  <si>
    <t xml:space="preserve">11</t>
  </si>
  <si>
    <t xml:space="preserve">UNION BANK DT 07.02.2019</t>
  </si>
  <si>
    <t xml:space="preserve">42041545</t>
  </si>
  <si>
    <t xml:space="preserve">93046164</t>
  </si>
  <si>
    <t xml:space="preserve">07-02-2020</t>
  </si>
  <si>
    <t xml:space="preserve">15:46:49</t>
  </si>
  <si>
    <t xml:space="preserve">DD NO-186798</t>
  </si>
  <si>
    <t xml:space="preserve">42041546</t>
  </si>
  <si>
    <t xml:space="preserve">93046166</t>
  </si>
  <si>
    <t xml:space="preserve">15:49:59</t>
  </si>
  <si>
    <t xml:space="preserve">TDS ON PROVISION</t>
  </si>
  <si>
    <t xml:space="preserve">KR</t>
  </si>
  <si>
    <t xml:space="preserve">9000</t>
  </si>
  <si>
    <t xml:space="preserve">12</t>
  </si>
  <si>
    <t xml:space="preserve">31-03-2020</t>
  </si>
  <si>
    <t xml:space="preserve">TDS on Year End Manual Prov FY 2020</t>
  </si>
  <si>
    <t xml:space="preserve">TDS on Provisions Manual</t>
  </si>
  <si>
    <t xml:space="preserve">V</t>
  </si>
  <si>
    <t xml:space="preserve">07-04-2020</t>
  </si>
  <si>
    <t xml:space="preserve">16:14:04</t>
  </si>
  <si>
    <t xml:space="preserve">2</t>
  </si>
  <si>
    <t xml:space="preserve">44234301</t>
  </si>
  <si>
    <t xml:space="preserve">2405215</t>
  </si>
  <si>
    <t xml:space="preserve">Provisional Liability for TDS on Povision- Manual</t>
  </si>
  <si>
    <t xml:space="preserve">31</t>
  </si>
  <si>
    <t xml:space="preserve">H</t>
  </si>
  <si>
    <t xml:space="preserve">44234302</t>
  </si>
  <si>
    <t xml:space="preserve">16:14:06</t>
  </si>
  <si>
    <t xml:space="preserve">44234305</t>
  </si>
  <si>
    <t xml:space="preserve">16:14:09</t>
  </si>
  <si>
    <t xml:space="preserve">44234306</t>
  </si>
  <si>
    <t xml:space="preserve">16:14:11</t>
  </si>
  <si>
    <t xml:space="preserve">R040272105570</t>
  </si>
  <si>
    <t xml:space="preserve">KZ</t>
  </si>
  <si>
    <t xml:space="preserve">5010</t>
  </si>
  <si>
    <t xml:space="preserve">01-04-2019</t>
  </si>
  <si>
    <t xml:space="preserve">20190401-SERV2</t>
  </si>
  <si>
    <t xml:space="preserve">45001676</t>
  </si>
  <si>
    <t xml:space="preserve">2200403</t>
  </si>
  <si>
    <t xml:space="preserve">Cash Credit With HDFC- E -Payments Cleared Balance</t>
  </si>
  <si>
    <t xml:space="preserve">25</t>
  </si>
  <si>
    <t xml:space="preserve">17:51:48</t>
  </si>
  <si>
    <t xml:space="preserve">R190793184653</t>
  </si>
  <si>
    <t xml:space="preserve">03-04-2019</t>
  </si>
  <si>
    <t xml:space="preserve">20190403-KGLO1</t>
  </si>
  <si>
    <t xml:space="preserve">45004518</t>
  </si>
  <si>
    <t xml:space="preserve">12:33:00</t>
  </si>
  <si>
    <t xml:space="preserve">R040472484972</t>
  </si>
  <si>
    <t xml:space="preserve">20190403-SERV2</t>
  </si>
  <si>
    <t xml:space="preserve">45005501</t>
  </si>
  <si>
    <t xml:space="preserve">18:00:55</t>
  </si>
  <si>
    <t xml:space="preserve">R040572726149</t>
  </si>
  <si>
    <t xml:space="preserve">04-04-2019</t>
  </si>
  <si>
    <t xml:space="preserve">20190404-CAPSH</t>
  </si>
  <si>
    <t xml:space="preserve">45006919</t>
  </si>
  <si>
    <t xml:space="preserve">17:17:27</t>
  </si>
  <si>
    <t xml:space="preserve">R040572737139</t>
  </si>
  <si>
    <t xml:space="preserve">45006920</t>
  </si>
  <si>
    <t xml:space="preserve">R040872990802</t>
  </si>
  <si>
    <t xml:space="preserve">05-04-2019</t>
  </si>
  <si>
    <t xml:space="preserve">20190405-SERV2</t>
  </si>
  <si>
    <t xml:space="preserve">45007443</t>
  </si>
  <si>
    <t xml:space="preserve">12:44:05</t>
  </si>
  <si>
    <t xml:space="preserve">R040872990805</t>
  </si>
  <si>
    <t xml:space="preserve">45007445</t>
  </si>
  <si>
    <t xml:space="preserve">R041073347232</t>
  </si>
  <si>
    <t xml:space="preserve">0920</t>
  </si>
  <si>
    <t xml:space="preserve">09-04-2019</t>
  </si>
  <si>
    <t xml:space="preserve">20190409-COPS3</t>
  </si>
  <si>
    <t xml:space="preserve">45010166</t>
  </si>
  <si>
    <t xml:space="preserve">15:25:25</t>
  </si>
  <si>
    <t xml:space="preserve">R190800737014</t>
  </si>
  <si>
    <t xml:space="preserve">11-04-2019</t>
  </si>
  <si>
    <t xml:space="preserve">20190411-SERV3</t>
  </si>
  <si>
    <t xml:space="preserve">45012116</t>
  </si>
  <si>
    <t xml:space="preserve">38</t>
  </si>
  <si>
    <t xml:space="preserve">14:26:08</t>
  </si>
  <si>
    <t xml:space="preserve">R041273723549</t>
  </si>
  <si>
    <t xml:space="preserve">5030</t>
  </si>
  <si>
    <t xml:space="preserve">20190411-KGLO1</t>
  </si>
  <si>
    <t xml:space="preserve">45012359</t>
  </si>
  <si>
    <t xml:space="preserve">16:17:59</t>
  </si>
  <si>
    <t xml:space="preserve">R190804013276</t>
  </si>
  <si>
    <t xml:space="preserve">16-04-2019</t>
  </si>
  <si>
    <t xml:space="preserve">20190416-CAPSH</t>
  </si>
  <si>
    <t xml:space="preserve">45018260</t>
  </si>
  <si>
    <t xml:space="preserve">10:47:04</t>
  </si>
  <si>
    <t xml:space="preserve">R041874345885</t>
  </si>
  <si>
    <t xml:space="preserve">20190416-KGLO1</t>
  </si>
  <si>
    <t xml:space="preserve">45019034</t>
  </si>
  <si>
    <t xml:space="preserve">16:27:27</t>
  </si>
  <si>
    <t xml:space="preserve">R190804500402</t>
  </si>
  <si>
    <t xml:space="preserve">17-04-2019</t>
  </si>
  <si>
    <t xml:space="preserve">20190417-CAPSH</t>
  </si>
  <si>
    <t xml:space="preserve">45020062</t>
  </si>
  <si>
    <t xml:space="preserve">15:10:41</t>
  </si>
  <si>
    <t xml:space="preserve">R042375024786</t>
  </si>
  <si>
    <t xml:space="preserve">7000</t>
  </si>
  <si>
    <t xml:space="preserve">22-04-2019</t>
  </si>
  <si>
    <t xml:space="preserve">20190422-WIRE1</t>
  </si>
  <si>
    <t xml:space="preserve">45024071</t>
  </si>
  <si>
    <t xml:space="preserve">15:51:52</t>
  </si>
  <si>
    <t xml:space="preserve">R042575361353</t>
  </si>
  <si>
    <t xml:space="preserve">24-04-2019</t>
  </si>
  <si>
    <t xml:space="preserve">20190424-SERV2</t>
  </si>
  <si>
    <t xml:space="preserve">45025854</t>
  </si>
  <si>
    <t xml:space="preserve">12:27:03</t>
  </si>
  <si>
    <t xml:space="preserve">R042975740421</t>
  </si>
  <si>
    <t xml:space="preserve">9650</t>
  </si>
  <si>
    <t xml:space="preserve">26-04-2019</t>
  </si>
  <si>
    <t xml:space="preserve">20190426-CAPSH</t>
  </si>
  <si>
    <t xml:space="preserve">45028294</t>
  </si>
  <si>
    <t xml:space="preserve">15:23:12</t>
  </si>
  <si>
    <t xml:space="preserve">R050877225045</t>
  </si>
  <si>
    <t xml:space="preserve">07-05-2019</t>
  </si>
  <si>
    <t xml:space="preserve">20190507-SERV2</t>
  </si>
  <si>
    <t xml:space="preserve">45036233</t>
  </si>
  <si>
    <t xml:space="preserve">10:23:15</t>
  </si>
  <si>
    <t xml:space="preserve">R190824396039</t>
  </si>
  <si>
    <t xml:space="preserve">10-05-2019</t>
  </si>
  <si>
    <t xml:space="preserve">20190510-CAPSH</t>
  </si>
  <si>
    <t xml:space="preserve">45039858</t>
  </si>
  <si>
    <t xml:space="preserve">15:38:18</t>
  </si>
  <si>
    <t xml:space="preserve">R051478019223</t>
  </si>
  <si>
    <t xml:space="preserve">13-05-2019</t>
  </si>
  <si>
    <t xml:space="preserve">20190513-SERV2</t>
  </si>
  <si>
    <t xml:space="preserve">45041132</t>
  </si>
  <si>
    <t xml:space="preserve">14:13:01</t>
  </si>
  <si>
    <t xml:space="preserve">R052179133506</t>
  </si>
  <si>
    <t xml:space="preserve">20-05-2019</t>
  </si>
  <si>
    <t xml:space="preserve">20190520-CAPSH</t>
  </si>
  <si>
    <t xml:space="preserve">45046600</t>
  </si>
  <si>
    <t xml:space="preserve">15:13:51</t>
  </si>
  <si>
    <t xml:space="preserve">0700</t>
  </si>
  <si>
    <t xml:space="preserve">R190830817739</t>
  </si>
  <si>
    <t xml:space="preserve">45046601</t>
  </si>
  <si>
    <t xml:space="preserve">R052279257279</t>
  </si>
  <si>
    <t xml:space="preserve">21-05-2019</t>
  </si>
  <si>
    <t xml:space="preserve">20190521-SERV2</t>
  </si>
  <si>
    <t xml:space="preserve">45047801</t>
  </si>
  <si>
    <t xml:space="preserve">12:16:38</t>
  </si>
  <si>
    <t xml:space="preserve">R052479598989</t>
  </si>
  <si>
    <t xml:space="preserve">23-05-2019</t>
  </si>
  <si>
    <t xml:space="preserve">20190523-CAPSH</t>
  </si>
  <si>
    <t xml:space="preserve">45049791</t>
  </si>
  <si>
    <t xml:space="preserve">15:29:40</t>
  </si>
  <si>
    <t xml:space="preserve">R052779761812</t>
  </si>
  <si>
    <t xml:space="preserve">24-05-2019</t>
  </si>
  <si>
    <t xml:space="preserve">20190524-CAPSH</t>
  </si>
  <si>
    <t xml:space="preserve">45050489</t>
  </si>
  <si>
    <t xml:space="preserve">12:02:22</t>
  </si>
  <si>
    <t xml:space="preserve">R052880024178</t>
  </si>
  <si>
    <t xml:space="preserve">27-05-2019</t>
  </si>
  <si>
    <t xml:space="preserve">20190527-SERV2</t>
  </si>
  <si>
    <t xml:space="preserve">45052307</t>
  </si>
  <si>
    <t xml:space="preserve">15:34:57</t>
  </si>
  <si>
    <t xml:space="preserve">R052980246496</t>
  </si>
  <si>
    <t xml:space="preserve">28-05-2019</t>
  </si>
  <si>
    <t xml:space="preserve">20190528-WIRE1</t>
  </si>
  <si>
    <t xml:space="preserve">45053254</t>
  </si>
  <si>
    <t xml:space="preserve">15:56:02</t>
  </si>
  <si>
    <t xml:space="preserve">R190836258838</t>
  </si>
  <si>
    <t xml:space="preserve">20190528-CAPSH</t>
  </si>
  <si>
    <t xml:space="preserve">45053840</t>
  </si>
  <si>
    <t xml:space="preserve">16:45:46</t>
  </si>
  <si>
    <t xml:space="preserve">R060681384314</t>
  </si>
  <si>
    <t xml:space="preserve">05-06-2019</t>
  </si>
  <si>
    <t xml:space="preserve">20190605-WIRE1</t>
  </si>
  <si>
    <t xml:space="preserve">45060535</t>
  </si>
  <si>
    <t xml:space="preserve">16:02:49</t>
  </si>
  <si>
    <t xml:space="preserve">R061081841047</t>
  </si>
  <si>
    <t xml:space="preserve">3000</t>
  </si>
  <si>
    <t xml:space="preserve">07-06-2019</t>
  </si>
  <si>
    <t xml:space="preserve">20190607-CRCW1</t>
  </si>
  <si>
    <t xml:space="preserve">45062289</t>
  </si>
  <si>
    <t xml:space="preserve">12:37:31</t>
  </si>
  <si>
    <t xml:space="preserve">R061182029681</t>
  </si>
  <si>
    <t xml:space="preserve">10-06-2019</t>
  </si>
  <si>
    <t xml:space="preserve">20190610-WIRE2</t>
  </si>
  <si>
    <t xml:space="preserve">45063145</t>
  </si>
  <si>
    <t xml:space="preserve">14:04:24</t>
  </si>
  <si>
    <t xml:space="preserve">R190849591863</t>
  </si>
  <si>
    <t xml:space="preserve">11-06-2019</t>
  </si>
  <si>
    <t xml:space="preserve">20190611-CAPSH</t>
  </si>
  <si>
    <t xml:space="preserve">45064352</t>
  </si>
  <si>
    <t xml:space="preserve">11:24:59</t>
  </si>
  <si>
    <t xml:space="preserve">R062083539495</t>
  </si>
  <si>
    <t xml:space="preserve">19-06-2019</t>
  </si>
  <si>
    <t xml:space="preserve">20190619-CAPSH</t>
  </si>
  <si>
    <t xml:space="preserve">45070150</t>
  </si>
  <si>
    <t xml:space="preserve">15:40:52</t>
  </si>
  <si>
    <t xml:space="preserve">R062884657620</t>
  </si>
  <si>
    <t xml:space="preserve">25-06-2019</t>
  </si>
  <si>
    <t xml:space="preserve">20190625-CRCW1</t>
  </si>
  <si>
    <t xml:space="preserve">45074264</t>
  </si>
  <si>
    <t xml:space="preserve">16:32:45</t>
  </si>
  <si>
    <t xml:space="preserve">R062884660465</t>
  </si>
  <si>
    <t xml:space="preserve">27-06-2019</t>
  </si>
  <si>
    <t xml:space="preserve">20190627-WIRE1</t>
  </si>
  <si>
    <t xml:space="preserve">45075615</t>
  </si>
  <si>
    <t xml:space="preserve">14:59:36</t>
  </si>
  <si>
    <t xml:space="preserve">R070185096475</t>
  </si>
  <si>
    <t xml:space="preserve">4</t>
  </si>
  <si>
    <t xml:space="preserve">01-07-2019</t>
  </si>
  <si>
    <t xml:space="preserve">20190701-WIRE1</t>
  </si>
  <si>
    <t xml:space="preserve">45077024</t>
  </si>
  <si>
    <t xml:space="preserve">14:13:26</t>
  </si>
  <si>
    <t xml:space="preserve">R070485647483</t>
  </si>
  <si>
    <t xml:space="preserve">02-07-2019</t>
  </si>
  <si>
    <t xml:space="preserve">20190702-SERV2</t>
  </si>
  <si>
    <t xml:space="preserve">45078173</t>
  </si>
  <si>
    <t xml:space="preserve">11:10:08</t>
  </si>
  <si>
    <t xml:space="preserve">R190868765322</t>
  </si>
  <si>
    <t xml:space="preserve">04-07-2019</t>
  </si>
  <si>
    <t xml:space="preserve">20190704-CAPSH</t>
  </si>
  <si>
    <t xml:space="preserve">45082766</t>
  </si>
  <si>
    <t xml:space="preserve">15:31:51</t>
  </si>
  <si>
    <t xml:space="preserve">R070585823582</t>
  </si>
  <si>
    <t xml:space="preserve">20190704-CRCW1</t>
  </si>
  <si>
    <t xml:space="preserve">45083161</t>
  </si>
  <si>
    <t xml:space="preserve">17:13:19</t>
  </si>
  <si>
    <t xml:space="preserve">R070886021613</t>
  </si>
  <si>
    <t xml:space="preserve">05-07-2019</t>
  </si>
  <si>
    <t xml:space="preserve">20190705-SERV2</t>
  </si>
  <si>
    <t xml:space="preserve">45083792</t>
  </si>
  <si>
    <t xml:space="preserve">14:39:23</t>
  </si>
  <si>
    <t xml:space="preserve">R071086499360</t>
  </si>
  <si>
    <t xml:space="preserve">09-07-2019</t>
  </si>
  <si>
    <t xml:space="preserve">20190709-SERV2</t>
  </si>
  <si>
    <t xml:space="preserve">45086619</t>
  </si>
  <si>
    <t xml:space="preserve">15:23:32</t>
  </si>
  <si>
    <t xml:space="preserve">R071186629134</t>
  </si>
  <si>
    <t xml:space="preserve">10-07-2019</t>
  </si>
  <si>
    <t xml:space="preserve">20190710-CRCW1</t>
  </si>
  <si>
    <t xml:space="preserve">45088348</t>
  </si>
  <si>
    <t xml:space="preserve">15:25:50</t>
  </si>
  <si>
    <t xml:space="preserve">R071286835063</t>
  </si>
  <si>
    <t xml:space="preserve">11-07-2019</t>
  </si>
  <si>
    <t xml:space="preserve">20190711-COPS2</t>
  </si>
  <si>
    <t xml:space="preserve">45089554</t>
  </si>
  <si>
    <t xml:space="preserve">16:34:39</t>
  </si>
  <si>
    <t xml:space="preserve">R190879077382</t>
  </si>
  <si>
    <t xml:space="preserve">17-07-2019</t>
  </si>
  <si>
    <t xml:space="preserve">20190717-CRCW2</t>
  </si>
  <si>
    <t xml:space="preserve">45093029</t>
  </si>
  <si>
    <t xml:space="preserve">15:46:18</t>
  </si>
  <si>
    <t xml:space="preserve">R072588615096</t>
  </si>
  <si>
    <t xml:space="preserve">24-07-2019</t>
  </si>
  <si>
    <t xml:space="preserve">20190724-COPS2</t>
  </si>
  <si>
    <t xml:space="preserve">45096992</t>
  </si>
  <si>
    <t xml:space="preserve">15:15:28</t>
  </si>
  <si>
    <t xml:space="preserve">R072688739051</t>
  </si>
  <si>
    <t xml:space="preserve">25-07-2019</t>
  </si>
  <si>
    <t xml:space="preserve">20190725-SERV2</t>
  </si>
  <si>
    <t xml:space="preserve">45098806</t>
  </si>
  <si>
    <t xml:space="preserve">14:50:19</t>
  </si>
  <si>
    <t xml:space="preserve">R072988973204</t>
  </si>
  <si>
    <t xml:space="preserve">26-07-2019</t>
  </si>
  <si>
    <t xml:space="preserve">20190726-WIRE1</t>
  </si>
  <si>
    <t xml:space="preserve">45099723</t>
  </si>
  <si>
    <t xml:space="preserve">16:08:01</t>
  </si>
  <si>
    <t xml:space="preserve">R073089154707</t>
  </si>
  <si>
    <t xml:space="preserve">29-07-2019</t>
  </si>
  <si>
    <t xml:space="preserve">20190729-SERV2</t>
  </si>
  <si>
    <t xml:space="preserve">45101010</t>
  </si>
  <si>
    <t xml:space="preserve">14:18:52</t>
  </si>
  <si>
    <t xml:space="preserve">R073189389352</t>
  </si>
  <si>
    <t xml:space="preserve">30-07-2019</t>
  </si>
  <si>
    <t xml:space="preserve">20190730-SERV2</t>
  </si>
  <si>
    <t xml:space="preserve">45102232</t>
  </si>
  <si>
    <t xml:space="preserve">12:27:06</t>
  </si>
  <si>
    <t xml:space="preserve">R080590028723</t>
  </si>
  <si>
    <t xml:space="preserve">02-08-2019</t>
  </si>
  <si>
    <t xml:space="preserve">20190802-WIRE1</t>
  </si>
  <si>
    <t xml:space="preserve">45105884</t>
  </si>
  <si>
    <t xml:space="preserve">14:49:01</t>
  </si>
  <si>
    <t xml:space="preserve">R080690218384</t>
  </si>
  <si>
    <t xml:space="preserve">05-08-2019</t>
  </si>
  <si>
    <t xml:space="preserve">20190805-SERV2</t>
  </si>
  <si>
    <t xml:space="preserve">45108277</t>
  </si>
  <si>
    <t xml:space="preserve">17:01:17</t>
  </si>
  <si>
    <t xml:space="preserve">R082091908384</t>
  </si>
  <si>
    <t xml:space="preserve">19-08-2019</t>
  </si>
  <si>
    <t xml:space="preserve">20190819-CAPSH</t>
  </si>
  <si>
    <t xml:space="preserve">45115912</t>
  </si>
  <si>
    <t xml:space="preserve">15:55:08</t>
  </si>
  <si>
    <t xml:space="preserve">R082192128789</t>
  </si>
  <si>
    <t xml:space="preserve">20-08-2019</t>
  </si>
  <si>
    <t xml:space="preserve">20190820-CAPSH</t>
  </si>
  <si>
    <t xml:space="preserve">45117172</t>
  </si>
  <si>
    <t xml:space="preserve">15:38:40</t>
  </si>
  <si>
    <t xml:space="preserve">R082292309313</t>
  </si>
  <si>
    <t xml:space="preserve">21-08-2019</t>
  </si>
  <si>
    <t xml:space="preserve">20190821-SERV1</t>
  </si>
  <si>
    <t xml:space="preserve">45117965</t>
  </si>
  <si>
    <t xml:space="preserve">15:13:20</t>
  </si>
  <si>
    <t xml:space="preserve">R082392456176</t>
  </si>
  <si>
    <t xml:space="preserve">22-08-2019</t>
  </si>
  <si>
    <t xml:space="preserve">20190822-WIRE1</t>
  </si>
  <si>
    <t xml:space="preserve">45119405</t>
  </si>
  <si>
    <t xml:space="preserve">14:52:05</t>
  </si>
  <si>
    <t xml:space="preserve">R082392463430</t>
  </si>
  <si>
    <t xml:space="preserve">20190822-SERV2</t>
  </si>
  <si>
    <t xml:space="preserve">45119806</t>
  </si>
  <si>
    <t xml:space="preserve">15:31:00</t>
  </si>
  <si>
    <t xml:space="preserve">R082893004569</t>
  </si>
  <si>
    <t xml:space="preserve">27-08-2019</t>
  </si>
  <si>
    <t xml:space="preserve">20190827-WIRE1</t>
  </si>
  <si>
    <t xml:space="preserve">45122600</t>
  </si>
  <si>
    <t xml:space="preserve">15:30:58</t>
  </si>
  <si>
    <t xml:space="preserve">R082993288296</t>
  </si>
  <si>
    <t xml:space="preserve">4500</t>
  </si>
  <si>
    <t xml:space="preserve">28-08-2019</t>
  </si>
  <si>
    <t xml:space="preserve">20190828-WIRE1</t>
  </si>
  <si>
    <t xml:space="preserve">45124517</t>
  </si>
  <si>
    <t xml:space="preserve">17:04:48</t>
  </si>
  <si>
    <t xml:space="preserve">R090293802628</t>
  </si>
  <si>
    <t xml:space="preserve">02-09-2019</t>
  </si>
  <si>
    <t xml:space="preserve">20190902-SERV2</t>
  </si>
  <si>
    <t xml:space="preserve">45127109</t>
  </si>
  <si>
    <t xml:space="preserve">15:20:05</t>
  </si>
  <si>
    <t xml:space="preserve">R090994758701</t>
  </si>
  <si>
    <t xml:space="preserve">09-09-2019</t>
  </si>
  <si>
    <t xml:space="preserve">20190909-CAPSH</t>
  </si>
  <si>
    <t xml:space="preserve">45133189</t>
  </si>
  <si>
    <t xml:space="preserve">12:01:50</t>
  </si>
  <si>
    <t xml:space="preserve">R093097793811</t>
  </si>
  <si>
    <t xml:space="preserve">27-09-2019</t>
  </si>
  <si>
    <t xml:space="preserve">20190927-SERV4</t>
  </si>
  <si>
    <t xml:space="preserve">45146299</t>
  </si>
  <si>
    <t xml:space="preserve">17:40:49</t>
  </si>
  <si>
    <t xml:space="preserve">R093097722111</t>
  </si>
  <si>
    <t xml:space="preserve">45146301</t>
  </si>
  <si>
    <t xml:space="preserve">17:40:50</t>
  </si>
  <si>
    <t xml:space="preserve">R100198024236</t>
  </si>
  <si>
    <t xml:space="preserve">7</t>
  </si>
  <si>
    <t xml:space="preserve">01-10-2019</t>
  </si>
  <si>
    <t xml:space="preserve">20191001-SERV2</t>
  </si>
  <si>
    <t xml:space="preserve">45148134</t>
  </si>
  <si>
    <t xml:space="preserve">15:02:00</t>
  </si>
  <si>
    <t xml:space="preserve">R101850523786</t>
  </si>
  <si>
    <t xml:space="preserve">16-10-2019</t>
  </si>
  <si>
    <t xml:space="preserve">20191016-CAPW1</t>
  </si>
  <si>
    <t xml:space="preserve">45158225</t>
  </si>
  <si>
    <t xml:space="preserve">16:46:15</t>
  </si>
  <si>
    <t xml:space="preserve">R103052117713</t>
  </si>
  <si>
    <t xml:space="preserve">29-10-2019</t>
  </si>
  <si>
    <t xml:space="preserve">20191029-SERV2</t>
  </si>
  <si>
    <t xml:space="preserve">45167201</t>
  </si>
  <si>
    <t xml:space="preserve">15:54:59</t>
  </si>
  <si>
    <t xml:space="preserve">R103152374666</t>
  </si>
  <si>
    <t xml:space="preserve">30-10-2019</t>
  </si>
  <si>
    <t xml:space="preserve">20191030-CAPS4</t>
  </si>
  <si>
    <t xml:space="preserve">45167654</t>
  </si>
  <si>
    <t xml:space="preserve">14:49:26</t>
  </si>
  <si>
    <t xml:space="preserve">R110753521366</t>
  </si>
  <si>
    <t xml:space="preserve">8</t>
  </si>
  <si>
    <t xml:space="preserve">06-11-2019</t>
  </si>
  <si>
    <t xml:space="preserve">20191106-CAPSH</t>
  </si>
  <si>
    <t xml:space="preserve">45173873</t>
  </si>
  <si>
    <t xml:space="preserve">12:57:08</t>
  </si>
  <si>
    <t xml:space="preserve">R110753515744</t>
  </si>
  <si>
    <t xml:space="preserve">20191106-CAPS4</t>
  </si>
  <si>
    <t xml:space="preserve">45173971</t>
  </si>
  <si>
    <t xml:space="preserve">15:47:05</t>
  </si>
  <si>
    <t xml:space="preserve">R111354239756</t>
  </si>
  <si>
    <t xml:space="preserve">11-11-2019</t>
  </si>
  <si>
    <t xml:space="preserve">20191111-COPS1</t>
  </si>
  <si>
    <t xml:space="preserve">45176169</t>
  </si>
  <si>
    <t xml:space="preserve">14:58:46</t>
  </si>
  <si>
    <t xml:space="preserve">R112055471681</t>
  </si>
  <si>
    <t xml:space="preserve">19-11-2019</t>
  </si>
  <si>
    <t xml:space="preserve">20191119-SERV2</t>
  </si>
  <si>
    <t xml:space="preserve">45182412</t>
  </si>
  <si>
    <t xml:space="preserve">15:05:33</t>
  </si>
  <si>
    <t xml:space="preserve">R112756714420</t>
  </si>
  <si>
    <t xml:space="preserve">26-11-2019</t>
  </si>
  <si>
    <t xml:space="preserve">20191126-CAPSH</t>
  </si>
  <si>
    <t xml:space="preserve">45185673</t>
  </si>
  <si>
    <t xml:space="preserve">12:59:00</t>
  </si>
  <si>
    <t xml:space="preserve">R112957134485</t>
  </si>
  <si>
    <t xml:space="preserve">28-11-2019</t>
  </si>
  <si>
    <t xml:space="preserve">20191128-CAPS2</t>
  </si>
  <si>
    <t xml:space="preserve">45186957</t>
  </si>
  <si>
    <t xml:space="preserve">16:03:42</t>
  </si>
  <si>
    <t xml:space="preserve">R121158965221</t>
  </si>
  <si>
    <t xml:space="preserve">9</t>
  </si>
  <si>
    <t xml:space="preserve">09-12-2019</t>
  </si>
  <si>
    <t xml:space="preserve">20191209-COPS1</t>
  </si>
  <si>
    <t xml:space="preserve">45193542</t>
  </si>
  <si>
    <t xml:space="preserve">15:25:31</t>
  </si>
  <si>
    <t xml:space="preserve">R121159022385</t>
  </si>
  <si>
    <t xml:space="preserve">10-12-2019</t>
  </si>
  <si>
    <t xml:space="preserve">20191210-SERV3</t>
  </si>
  <si>
    <t xml:space="preserve">45195918</t>
  </si>
  <si>
    <t xml:space="preserve">16:32:58</t>
  </si>
  <si>
    <t xml:space="preserve">R191011523909</t>
  </si>
  <si>
    <t xml:space="preserve">17-12-2019</t>
  </si>
  <si>
    <t xml:space="preserve">20191217-SERV1</t>
  </si>
  <si>
    <t xml:space="preserve">45200579</t>
  </si>
  <si>
    <t xml:space="preserve">15:05:15</t>
  </si>
  <si>
    <t xml:space="preserve">R121860052674</t>
  </si>
  <si>
    <t xml:space="preserve">20191217-SERV6</t>
  </si>
  <si>
    <t xml:space="preserve">45200896</t>
  </si>
  <si>
    <t xml:space="preserve">16:29:18</t>
  </si>
  <si>
    <t xml:space="preserve">R122761509438</t>
  </si>
  <si>
    <t xml:space="preserve">24-12-2019</t>
  </si>
  <si>
    <t xml:space="preserve">20191224-SERV7</t>
  </si>
  <si>
    <t xml:space="preserve">45204949</t>
  </si>
  <si>
    <t xml:space="preserve">16:01:16</t>
  </si>
  <si>
    <t xml:space="preserve">R122761509470</t>
  </si>
  <si>
    <t xml:space="preserve">45204950</t>
  </si>
  <si>
    <t xml:space="preserve">R123162109233</t>
  </si>
  <si>
    <t xml:space="preserve">30-12-2019</t>
  </si>
  <si>
    <t xml:space="preserve">20191230-SERV2</t>
  </si>
  <si>
    <t xml:space="preserve">45207380</t>
  </si>
  <si>
    <t xml:space="preserve">15:04:31</t>
  </si>
  <si>
    <t xml:space="preserve">R123162114638</t>
  </si>
  <si>
    <t xml:space="preserve">20191230-SERV3</t>
  </si>
  <si>
    <t xml:space="preserve">45207813</t>
  </si>
  <si>
    <t xml:space="preserve">15:12:22</t>
  </si>
  <si>
    <t xml:space="preserve">35</t>
  </si>
  <si>
    <t xml:space="preserve">R201023281100</t>
  </si>
  <si>
    <t xml:space="preserve">01-01-2020</t>
  </si>
  <si>
    <t xml:space="preserve">20200101-CAPSH</t>
  </si>
  <si>
    <t xml:space="preserve">45208872</t>
  </si>
  <si>
    <t xml:space="preserve">13:27:06</t>
  </si>
  <si>
    <t xml:space="preserve">R010162334744</t>
  </si>
  <si>
    <t xml:space="preserve">45208873</t>
  </si>
  <si>
    <t xml:space="preserve">R010863418523</t>
  </si>
  <si>
    <t xml:space="preserve">06-01-2020</t>
  </si>
  <si>
    <t xml:space="preserve">20200106-COPS4</t>
  </si>
  <si>
    <t xml:space="preserve">45213260</t>
  </si>
  <si>
    <t xml:space="preserve">16:41:54</t>
  </si>
  <si>
    <t xml:space="preserve">R010863416070</t>
  </si>
  <si>
    <t xml:space="preserve">07-01-2020</t>
  </si>
  <si>
    <t xml:space="preserve">20200107-SERV7</t>
  </si>
  <si>
    <t xml:space="preserve">45214891</t>
  </si>
  <si>
    <t xml:space="preserve">16:30:32</t>
  </si>
  <si>
    <t xml:space="preserve">R011764801586</t>
  </si>
  <si>
    <t xml:space="preserve">14-01-2020</t>
  </si>
  <si>
    <t xml:space="preserve">20200114-SERV3</t>
  </si>
  <si>
    <t xml:space="preserve">45217918</t>
  </si>
  <si>
    <t xml:space="preserve">12:38:08</t>
  </si>
  <si>
    <t xml:space="preserve">R011564452124</t>
  </si>
  <si>
    <t xml:space="preserve">20200114-CAPS4</t>
  </si>
  <si>
    <t xml:space="preserve">45218248</t>
  </si>
  <si>
    <t xml:space="preserve">15:10:52</t>
  </si>
  <si>
    <t xml:space="preserve">R011764813177</t>
  </si>
  <si>
    <t xml:space="preserve">20200114-SERV7</t>
  </si>
  <si>
    <t xml:space="preserve">45219563</t>
  </si>
  <si>
    <t xml:space="preserve">17:57:45</t>
  </si>
  <si>
    <t xml:space="preserve">R201038984980</t>
  </si>
  <si>
    <t xml:space="preserve">16-01-2020</t>
  </si>
  <si>
    <t xml:space="preserve">20200116-CAPSH</t>
  </si>
  <si>
    <t xml:space="preserve">45220348</t>
  </si>
  <si>
    <t xml:space="preserve">14:49:12</t>
  </si>
  <si>
    <t xml:space="preserve">R201040577284</t>
  </si>
  <si>
    <t xml:space="preserve">17-01-2020</t>
  </si>
  <si>
    <t xml:space="preserve">20200117-CAPS3</t>
  </si>
  <si>
    <t xml:space="preserve">45220714</t>
  </si>
  <si>
    <t xml:space="preserve">15:03:30</t>
  </si>
  <si>
    <t xml:space="preserve">R012365773207</t>
  </si>
  <si>
    <t xml:space="preserve">21-01-2020</t>
  </si>
  <si>
    <t xml:space="preserve">20200121-SERV1</t>
  </si>
  <si>
    <t xml:space="preserve">45223719</t>
  </si>
  <si>
    <t xml:space="preserve">16:54:24</t>
  </si>
  <si>
    <t xml:space="preserve">R012766202002</t>
  </si>
  <si>
    <t xml:space="preserve">24-01-2020</t>
  </si>
  <si>
    <t xml:space="preserve">20200124-CAPSH</t>
  </si>
  <si>
    <t xml:space="preserve">45225487</t>
  </si>
  <si>
    <t xml:space="preserve">13:18:55</t>
  </si>
  <si>
    <t xml:space="preserve">R012966692882</t>
  </si>
  <si>
    <t xml:space="preserve">28-01-2020</t>
  </si>
  <si>
    <t xml:space="preserve">20200128-SERV3</t>
  </si>
  <si>
    <t xml:space="preserve">45227761</t>
  </si>
  <si>
    <t xml:space="preserve">14:39:44</t>
  </si>
  <si>
    <t xml:space="preserve">R020768178851</t>
  </si>
  <si>
    <t xml:space="preserve">06-02-2020</t>
  </si>
  <si>
    <t xml:space="preserve">20200206-SERV2</t>
  </si>
  <si>
    <t xml:space="preserve">45235322</t>
  </si>
  <si>
    <t xml:space="preserve">12:47:47</t>
  </si>
  <si>
    <t xml:space="preserve">R020768178795</t>
  </si>
  <si>
    <t xml:space="preserve">20200206-SERV3</t>
  </si>
  <si>
    <t xml:space="preserve">45235970</t>
  </si>
  <si>
    <t xml:space="preserve">14:33:03</t>
  </si>
  <si>
    <t xml:space="preserve">R020768287199</t>
  </si>
  <si>
    <t xml:space="preserve">20200207-SERV1</t>
  </si>
  <si>
    <t xml:space="preserve">45236726</t>
  </si>
  <si>
    <t xml:space="preserve">13:21:23</t>
  </si>
  <si>
    <t xml:space="preserve">R201060352785</t>
  </si>
  <si>
    <t xml:space="preserve">20200207-CAPSH</t>
  </si>
  <si>
    <t xml:space="preserve">45237015</t>
  </si>
  <si>
    <t xml:space="preserve">16:03:22</t>
  </si>
  <si>
    <t xml:space="preserve">R022771373830</t>
  </si>
  <si>
    <t xml:space="preserve">26-02-2020</t>
  </si>
  <si>
    <t xml:space="preserve">20200226-CAPSH</t>
  </si>
  <si>
    <t xml:space="preserve">45249471</t>
  </si>
  <si>
    <t xml:space="preserve">14:55:19</t>
  </si>
  <si>
    <t xml:space="preserve">R030673017468</t>
  </si>
  <si>
    <t xml:space="preserve">02-03-2020</t>
  </si>
  <si>
    <t xml:space="preserve">20200302-SERV1</t>
  </si>
  <si>
    <t xml:space="preserve">45253342</t>
  </si>
  <si>
    <t xml:space="preserve">17:41:44</t>
  </si>
  <si>
    <t xml:space="preserve">R031173650358</t>
  </si>
  <si>
    <t xml:space="preserve">09-03-2020</t>
  </si>
  <si>
    <t xml:space="preserve">20200309-CAPSH</t>
  </si>
  <si>
    <t xml:space="preserve">45259059</t>
  </si>
  <si>
    <t xml:space="preserve">15:14:30</t>
  </si>
  <si>
    <t xml:space="preserve">R201090129058</t>
  </si>
  <si>
    <t xml:space="preserve">10-03-2020</t>
  </si>
  <si>
    <t xml:space="preserve">20200310-SERV2</t>
  </si>
  <si>
    <t xml:space="preserve">45260059</t>
  </si>
  <si>
    <t xml:space="preserve">14:42:55</t>
  </si>
  <si>
    <t xml:space="preserve">R031374047965</t>
  </si>
  <si>
    <t xml:space="preserve">12-03-2020</t>
  </si>
  <si>
    <t xml:space="preserve">20200312-CAPS3</t>
  </si>
  <si>
    <t xml:space="preserve">45261798</t>
  </si>
  <si>
    <t xml:space="preserve">14:20:40</t>
  </si>
  <si>
    <t xml:space="preserve">R031674248390</t>
  </si>
  <si>
    <t xml:space="preserve">13-03-2020</t>
  </si>
  <si>
    <t xml:space="preserve">20200313-CAPSH</t>
  </si>
  <si>
    <t xml:space="preserve">45262199</t>
  </si>
  <si>
    <t xml:space="preserve">14:56:16</t>
  </si>
  <si>
    <t xml:space="preserve">CI0004108029</t>
  </si>
  <si>
    <t xml:space="preserve">RE</t>
  </si>
  <si>
    <t xml:space="preserve">2300047310</t>
  </si>
  <si>
    <t xml:space="preserve">51007775</t>
  </si>
  <si>
    <t xml:space="preserve">2408424</t>
  </si>
  <si>
    <t xml:space="preserve">GR/IR Account  -  Capital (Project System)</t>
  </si>
  <si>
    <t xml:space="preserve">5149121</t>
  </si>
  <si>
    <t xml:space="preserve">Purchase of Capital goods-Project System</t>
  </si>
  <si>
    <t xml:space="preserve">17:10:51</t>
  </si>
  <si>
    <t xml:space="preserve">CI0004107732</t>
  </si>
  <si>
    <t xml:space="preserve">Bill Receipt Date :22.03.2019</t>
  </si>
  <si>
    <t xml:space="preserve">3700786376</t>
  </si>
  <si>
    <t xml:space="preserve">51015501</t>
  </si>
  <si>
    <t xml:space="preserve">2408409</t>
  </si>
  <si>
    <t xml:space="preserve">Gr/Ir For Stores And Spares</t>
  </si>
  <si>
    <t xml:space="preserve">6005101</t>
  </si>
  <si>
    <t xml:space="preserve">Purchase of Stores</t>
  </si>
  <si>
    <t xml:space="preserve">08-04-2019</t>
  </si>
  <si>
    <t xml:space="preserve">10:39:26</t>
  </si>
  <si>
    <t xml:space="preserve">OM/ARC/14</t>
  </si>
  <si>
    <t xml:space="preserve">SUPPLY AND FIXING OF SHEET</t>
  </si>
  <si>
    <t xml:space="preserve">4404339865</t>
  </si>
  <si>
    <t xml:space="preserve">51017855</t>
  </si>
  <si>
    <t xml:space="preserve">2408422</t>
  </si>
  <si>
    <t xml:space="preserve">GR/IR Account  -  Services &amp; Capital</t>
  </si>
  <si>
    <t xml:space="preserve">5149027</t>
  </si>
  <si>
    <t xml:space="preserve">Civil Contract Jobs</t>
  </si>
  <si>
    <t xml:space="preserve">09:31:44</t>
  </si>
  <si>
    <t xml:space="preserve">OM/ARC/15</t>
  </si>
  <si>
    <t xml:space="preserve">4404338210</t>
  </si>
  <si>
    <t xml:space="preserve">51017865</t>
  </si>
  <si>
    <t xml:space="preserve">09:35:09</t>
  </si>
  <si>
    <t xml:space="preserve">OM/ARC/16</t>
  </si>
  <si>
    <t xml:space="preserve">4404338208</t>
  </si>
  <si>
    <t xml:space="preserve">51017868</t>
  </si>
  <si>
    <t xml:space="preserve">09:37:32</t>
  </si>
  <si>
    <t xml:space="preserve">OM/ARC/17</t>
  </si>
  <si>
    <t xml:space="preserve">4404338209</t>
  </si>
  <si>
    <t xml:space="preserve">51017875</t>
  </si>
  <si>
    <t xml:space="preserve">09:40:06</t>
  </si>
  <si>
    <t xml:space="preserve">CI0004108179</t>
  </si>
  <si>
    <t xml:space="preserve">4404040292</t>
  </si>
  <si>
    <t xml:space="preserve">51019236</t>
  </si>
  <si>
    <t xml:space="preserve">15:39:51</t>
  </si>
  <si>
    <t xml:space="preserve">CI0004107087</t>
  </si>
  <si>
    <t xml:space="preserve">2300049475</t>
  </si>
  <si>
    <t xml:space="preserve">51019944</t>
  </si>
  <si>
    <t xml:space="preserve">10-04-2019</t>
  </si>
  <si>
    <t xml:space="preserve">09:20:14</t>
  </si>
  <si>
    <t xml:space="preserve">CI0004107088</t>
  </si>
  <si>
    <t xml:space="preserve">51019945</t>
  </si>
  <si>
    <t xml:space="preserve">09:20:19</t>
  </si>
  <si>
    <t xml:space="preserve">CI0004107101</t>
  </si>
  <si>
    <t xml:space="preserve">51019946</t>
  </si>
  <si>
    <t xml:space="preserve">09:20:23</t>
  </si>
  <si>
    <t xml:space="preserve">CI0004107102</t>
  </si>
  <si>
    <t xml:space="preserve">51019947</t>
  </si>
  <si>
    <t xml:space="preserve">09:20:28</t>
  </si>
  <si>
    <t xml:space="preserve">OM/CLEAN/06</t>
  </si>
  <si>
    <t xml:space="preserve">CLEANING OF ROOF</t>
  </si>
  <si>
    <t xml:space="preserve">4404338294</t>
  </si>
  <si>
    <t xml:space="preserve">51035916</t>
  </si>
  <si>
    <t xml:space="preserve">5020001</t>
  </si>
  <si>
    <t xml:space="preserve">REPAIRS TO BUILDINGS.</t>
  </si>
  <si>
    <t xml:space="preserve">13:31:42</t>
  </si>
  <si>
    <t xml:space="preserve">CI0001102734</t>
  </si>
  <si>
    <t xml:space="preserve">CONSTRN SHEET;0.50 MM,1072 MM,2.50  RMT,</t>
  </si>
  <si>
    <t xml:space="preserve">2100554502</t>
  </si>
  <si>
    <t xml:space="preserve">51038398</t>
  </si>
  <si>
    <t xml:space="preserve">5000007</t>
  </si>
  <si>
    <t xml:space="preserve">Consumption of Stores</t>
  </si>
  <si>
    <t xml:space="preserve">18-04-2019</t>
  </si>
  <si>
    <t xml:space="preserve">15:59:16</t>
  </si>
  <si>
    <t xml:space="preserve">CI0001102733</t>
  </si>
  <si>
    <t xml:space="preserve">CONSTRN SHEET;0.50 MM,1072 MM,5.75  RMT,</t>
  </si>
  <si>
    <t xml:space="preserve">2100553171</t>
  </si>
  <si>
    <t xml:space="preserve">51038775</t>
  </si>
  <si>
    <t xml:space="preserve">17:21:59</t>
  </si>
  <si>
    <t xml:space="preserve">2300039831</t>
  </si>
  <si>
    <t xml:space="preserve">*GR/IR Clearing</t>
  </si>
  <si>
    <t xml:space="preserve">51079211</t>
  </si>
  <si>
    <t xml:space="preserve">2408426</t>
  </si>
  <si>
    <t xml:space="preserve">Oth chg Clearing For Capital (Project System )</t>
  </si>
  <si>
    <t xml:space="preserve">22</t>
  </si>
  <si>
    <t xml:space="preserve">09-05-2019</t>
  </si>
  <si>
    <t xml:space="preserve">14:59:07</t>
  </si>
  <si>
    <t xml:space="preserve">CI0004107085</t>
  </si>
  <si>
    <t xml:space="preserve">Mail from Abhinandan Ojha on dtd 24.04.2019</t>
  </si>
  <si>
    <t xml:space="preserve">51043071</t>
  </si>
  <si>
    <t xml:space="preserve">10:20:38</t>
  </si>
  <si>
    <t xml:space="preserve">CI0004107086</t>
  </si>
  <si>
    <t xml:space="preserve">51043072</t>
  </si>
  <si>
    <t xml:space="preserve">10:20:43</t>
  </si>
  <si>
    <t xml:space="preserve">CI0004107099</t>
  </si>
  <si>
    <t xml:space="preserve">51043074</t>
  </si>
  <si>
    <t xml:space="preserve">10:20:47</t>
  </si>
  <si>
    <t xml:space="preserve">CI0004107100</t>
  </si>
  <si>
    <t xml:space="preserve">51043076</t>
  </si>
  <si>
    <t xml:space="preserve">10:20:53</t>
  </si>
  <si>
    <t xml:space="preserve">CI0004107078</t>
  </si>
  <si>
    <t xml:space="preserve">51047406</t>
  </si>
  <si>
    <t xml:space="preserve">23-04-2019</t>
  </si>
  <si>
    <t xml:space="preserve">17:58:59</t>
  </si>
  <si>
    <t xml:space="preserve">CI0004107079</t>
  </si>
  <si>
    <t xml:space="preserve">51047407</t>
  </si>
  <si>
    <t xml:space="preserve">17:59:04</t>
  </si>
  <si>
    <t xml:space="preserve">CI0004107080</t>
  </si>
  <si>
    <t xml:space="preserve">51047408</t>
  </si>
  <si>
    <t xml:space="preserve">17:59:08</t>
  </si>
  <si>
    <t xml:space="preserve">CI0004107081</t>
  </si>
  <si>
    <t xml:space="preserve">51047409</t>
  </si>
  <si>
    <t xml:space="preserve">17:59:13</t>
  </si>
  <si>
    <t xml:space="preserve">CI0004107082</t>
  </si>
  <si>
    <t xml:space="preserve">51047410</t>
  </si>
  <si>
    <t xml:space="preserve">17:59:17</t>
  </si>
  <si>
    <t xml:space="preserve">CI0004107091</t>
  </si>
  <si>
    <t xml:space="preserve">51047411</t>
  </si>
  <si>
    <t xml:space="preserve">17:59:22</t>
  </si>
  <si>
    <t xml:space="preserve">CI0004107092</t>
  </si>
  <si>
    <t xml:space="preserve">51047412</t>
  </si>
  <si>
    <t xml:space="preserve">17:59:27</t>
  </si>
  <si>
    <t xml:space="preserve">CI0004107093</t>
  </si>
  <si>
    <t xml:space="preserve">51047413</t>
  </si>
  <si>
    <t xml:space="preserve">17:59:31</t>
  </si>
  <si>
    <t xml:space="preserve">CI0004107094</t>
  </si>
  <si>
    <t xml:space="preserve">51047414</t>
  </si>
  <si>
    <t xml:space="preserve">17:59:35</t>
  </si>
  <si>
    <t xml:space="preserve">CI0004107095</t>
  </si>
  <si>
    <t xml:space="preserve">51047416</t>
  </si>
  <si>
    <t xml:space="preserve">17:59:39</t>
  </si>
  <si>
    <t xml:space="preserve">CI0004107096</t>
  </si>
  <si>
    <t xml:space="preserve">51047418</t>
  </si>
  <si>
    <t xml:space="preserve">17:59:43</t>
  </si>
  <si>
    <t xml:space="preserve">80047380</t>
  </si>
  <si>
    <t xml:space="preserve">GRIR CLEARING &gt;3 YRS</t>
  </si>
  <si>
    <t xml:space="preserve">GRIR Clearing &gt; 3 yr</t>
  </si>
  <si>
    <t xml:space="preserve">51760890</t>
  </si>
  <si>
    <t xml:space="preserve">2100206832</t>
  </si>
  <si>
    <t xml:space="preserve">2408413</t>
  </si>
  <si>
    <t xml:space="preserve">Freight Clearing For Stores</t>
  </si>
  <si>
    <t xml:space="preserve">6005102</t>
  </si>
  <si>
    <t xml:space="preserve">Freight - Purchase of Stores</t>
  </si>
  <si>
    <t xml:space="preserve">93393253</t>
  </si>
  <si>
    <t xml:space="preserve">29-03-2020</t>
  </si>
  <si>
    <t xml:space="preserve">18-03-2020</t>
  </si>
  <si>
    <t xml:space="preserve">11:58:38</t>
  </si>
  <si>
    <t xml:space="preserve">51760823</t>
  </si>
  <si>
    <t xml:space="preserve">2100204812</t>
  </si>
  <si>
    <t xml:space="preserve">93385931</t>
  </si>
  <si>
    <t xml:space="preserve">28-03-2020</t>
  </si>
  <si>
    <t xml:space="preserve">11:47:29</t>
  </si>
  <si>
    <t xml:space="preserve">1C DT.130910</t>
  </si>
  <si>
    <t xml:space="preserve">GRIR Clearing &gt; 3 years</t>
  </si>
  <si>
    <t xml:space="preserve">GRIR Clearing &gt; 3 Years</t>
  </si>
  <si>
    <t xml:space="preserve">51786309</t>
  </si>
  <si>
    <t xml:space="preserve">3700479949</t>
  </si>
  <si>
    <t xml:space="preserve">01-04-2020</t>
  </si>
  <si>
    <t xml:space="preserve">17:32:54</t>
  </si>
  <si>
    <t xml:space="preserve">CI0004107075</t>
  </si>
  <si>
    <t xml:space="preserve">51062273</t>
  </si>
  <si>
    <t xml:space="preserve">30-04-2019</t>
  </si>
  <si>
    <t xml:space="preserve">10:42:08</t>
  </si>
  <si>
    <t xml:space="preserve">CI0004107076</t>
  </si>
  <si>
    <t xml:space="preserve">51062274</t>
  </si>
  <si>
    <t xml:space="preserve">10:42:13</t>
  </si>
  <si>
    <t xml:space="preserve">CI0004107077</t>
  </si>
  <si>
    <t xml:space="preserve">51062276</t>
  </si>
  <si>
    <t xml:space="preserve">10:42:17</t>
  </si>
  <si>
    <t xml:space="preserve">CI0004107089</t>
  </si>
  <si>
    <t xml:space="preserve">51062277</t>
  </si>
  <si>
    <t xml:space="preserve">10:42:22</t>
  </si>
  <si>
    <t xml:space="preserve">CI0004107090</t>
  </si>
  <si>
    <t xml:space="preserve">51062278</t>
  </si>
  <si>
    <t xml:space="preserve">10:42:27</t>
  </si>
  <si>
    <t xml:space="preserve">CI0004107097</t>
  </si>
  <si>
    <t xml:space="preserve">51062279</t>
  </si>
  <si>
    <t xml:space="preserve">10:42:32</t>
  </si>
  <si>
    <t xml:space="preserve">CI0004107098</t>
  </si>
  <si>
    <t xml:space="preserve">51062280</t>
  </si>
  <si>
    <t xml:space="preserve">10:42:36</t>
  </si>
  <si>
    <t xml:space="preserve">SI1904100003</t>
  </si>
  <si>
    <t xml:space="preserve">CIVIL</t>
  </si>
  <si>
    <t xml:space="preserve">4404421415</t>
  </si>
  <si>
    <t xml:space="preserve">51041862</t>
  </si>
  <si>
    <t xml:space="preserve">5149028</t>
  </si>
  <si>
    <t xml:space="preserve">Mechanical Contract Jobs</t>
  </si>
  <si>
    <t xml:space="preserve">20-04-2019</t>
  </si>
  <si>
    <t xml:space="preserve">12:20:32</t>
  </si>
  <si>
    <t xml:space="preserve">OM/ARC/31</t>
  </si>
  <si>
    <t xml:space="preserve">4404791817</t>
  </si>
  <si>
    <t xml:space="preserve">51253749</t>
  </si>
  <si>
    <t xml:space="preserve">16:53:52</t>
  </si>
  <si>
    <t xml:space="preserve">OM/ARC/32</t>
  </si>
  <si>
    <t xml:space="preserve">4404791828</t>
  </si>
  <si>
    <t xml:space="preserve">51253765</t>
  </si>
  <si>
    <t xml:space="preserve">16:57:56</t>
  </si>
  <si>
    <t xml:space="preserve">OM/ARC/33</t>
  </si>
  <si>
    <t xml:space="preserve">4404791822</t>
  </si>
  <si>
    <t xml:space="preserve">51253775</t>
  </si>
  <si>
    <t xml:space="preserve">17:01:01</t>
  </si>
  <si>
    <t xml:space="preserve">1B DT.130910</t>
  </si>
  <si>
    <t xml:space="preserve">51786311</t>
  </si>
  <si>
    <t xml:space="preserve">3700479961</t>
  </si>
  <si>
    <t xml:space="preserve">17:39:25</t>
  </si>
  <si>
    <t xml:space="preserve">1A DT.130910</t>
  </si>
  <si>
    <t xml:space="preserve">51786380</t>
  </si>
  <si>
    <t xml:space="preserve">3700479963</t>
  </si>
  <si>
    <t xml:space="preserve">02-04-2020</t>
  </si>
  <si>
    <t xml:space="preserve">09:37:47</t>
  </si>
  <si>
    <t xml:space="preserve">OM/ARC/29</t>
  </si>
  <si>
    <t xml:space="preserve">4404719297</t>
  </si>
  <si>
    <t xml:space="preserve">51214149</t>
  </si>
  <si>
    <t xml:space="preserve">08-07-2019</t>
  </si>
  <si>
    <t xml:space="preserve">11:30:58</t>
  </si>
  <si>
    <t xml:space="preserve">OM/ARC/30</t>
  </si>
  <si>
    <t xml:space="preserve">4404719310</t>
  </si>
  <si>
    <t xml:space="preserve">51214169</t>
  </si>
  <si>
    <t xml:space="preserve">11:34:29</t>
  </si>
  <si>
    <t xml:space="preserve">OM/CLEAN/10</t>
  </si>
  <si>
    <t xml:space="preserve">4404719301</t>
  </si>
  <si>
    <t xml:space="preserve">51214184</t>
  </si>
  <si>
    <t xml:space="preserve">11:38:13</t>
  </si>
  <si>
    <t xml:space="preserve">SI1904100032</t>
  </si>
  <si>
    <t xml:space="preserve">Bill Receipt Date :29.08.2019</t>
  </si>
  <si>
    <t xml:space="preserve">4404904823</t>
  </si>
  <si>
    <t xml:space="preserve">51342555</t>
  </si>
  <si>
    <t xml:space="preserve">17:04:51</t>
  </si>
  <si>
    <t xml:space="preserve">CI0004105707</t>
  </si>
  <si>
    <t xml:space="preserve">2300049646</t>
  </si>
  <si>
    <t xml:space="preserve">51093980</t>
  </si>
  <si>
    <t xml:space="preserve">15-05-2019</t>
  </si>
  <si>
    <t xml:space="preserve">18:10:12</t>
  </si>
  <si>
    <t xml:space="preserve">CI0004105747</t>
  </si>
  <si>
    <t xml:space="preserve">51087756</t>
  </si>
  <si>
    <t xml:space="preserve">14-05-2019</t>
  </si>
  <si>
    <t xml:space="preserve">11:06:56</t>
  </si>
  <si>
    <t xml:space="preserve">CI0004105748</t>
  </si>
  <si>
    <t xml:space="preserve">51087758</t>
  </si>
  <si>
    <t xml:space="preserve">11:07:01</t>
  </si>
  <si>
    <t xml:space="preserve">CI0004105749</t>
  </si>
  <si>
    <t xml:space="preserve">51093981</t>
  </si>
  <si>
    <t xml:space="preserve">18:10:16</t>
  </si>
  <si>
    <t xml:space="preserve">CI0004105750</t>
  </si>
  <si>
    <t xml:space="preserve">51093982</t>
  </si>
  <si>
    <t xml:space="preserve">18:10:20</t>
  </si>
  <si>
    <t xml:space="preserve">GSEZ/ERE-RAB-03</t>
  </si>
  <si>
    <t xml:space="preserve">51050682</t>
  </si>
  <si>
    <t xml:space="preserve">5149106</t>
  </si>
  <si>
    <t xml:space="preserve">CAPITAL EXPENSES</t>
  </si>
  <si>
    <t xml:space="preserve">25-04-2019</t>
  </si>
  <si>
    <t xml:space="preserve">12:12:59</t>
  </si>
  <si>
    <t xml:space="preserve">CI0004106485</t>
  </si>
  <si>
    <t xml:space="preserve">51087753</t>
  </si>
  <si>
    <t xml:space="preserve">11:06:47</t>
  </si>
  <si>
    <t xml:space="preserve">CI0004106486</t>
  </si>
  <si>
    <t xml:space="preserve">51087754</t>
  </si>
  <si>
    <t xml:space="preserve">11:06:52</t>
  </si>
  <si>
    <t xml:space="preserve">CI0001102514</t>
  </si>
  <si>
    <t xml:space="preserve">2300049939</t>
  </si>
  <si>
    <t xml:space="preserve">51093219</t>
  </si>
  <si>
    <t xml:space="preserve">14:56:07</t>
  </si>
  <si>
    <t xml:space="preserve">CI0001102515</t>
  </si>
  <si>
    <t xml:space="preserve">51093319</t>
  </si>
  <si>
    <t xml:space="preserve">15:13:58</t>
  </si>
  <si>
    <t xml:space="preserve">SI1904100045</t>
  </si>
  <si>
    <t xml:space="preserve">4405162996</t>
  </si>
  <si>
    <t xml:space="preserve">51525079</t>
  </si>
  <si>
    <t xml:space="preserve">04-12-2019</t>
  </si>
  <si>
    <t xml:space="preserve">14:21:55</t>
  </si>
  <si>
    <t xml:space="preserve">GSEZ/ERE-RAB-04</t>
  </si>
  <si>
    <t xml:space="preserve">51091615</t>
  </si>
  <si>
    <t xml:space="preserve">11:36:36</t>
  </si>
  <si>
    <t xml:space="preserve">CI0004106487</t>
  </si>
  <si>
    <t xml:space="preserve">51099503</t>
  </si>
  <si>
    <t xml:space="preserve">17-05-2019</t>
  </si>
  <si>
    <t xml:space="preserve">18:08:53</t>
  </si>
  <si>
    <t xml:space="preserve">SI1904100047</t>
  </si>
  <si>
    <t xml:space="preserve">4405163001</t>
  </si>
  <si>
    <t xml:space="preserve">51525088</t>
  </si>
  <si>
    <t xml:space="preserve">14:25:35</t>
  </si>
  <si>
    <t xml:space="preserve">SI1904100048</t>
  </si>
  <si>
    <t xml:space="preserve">4405163013</t>
  </si>
  <si>
    <t xml:space="preserve">51525096</t>
  </si>
  <si>
    <t xml:space="preserve">14:28:52</t>
  </si>
  <si>
    <t xml:space="preserve">SI1904100046</t>
  </si>
  <si>
    <t xml:space="preserve">4405163000</t>
  </si>
  <si>
    <t xml:space="preserve">51525102</t>
  </si>
  <si>
    <t xml:space="preserve">14:31:44</t>
  </si>
  <si>
    <t xml:space="preserve">OM/ARC/28</t>
  </si>
  <si>
    <t xml:space="preserve">4404695833</t>
  </si>
  <si>
    <t xml:space="preserve">51207592</t>
  </si>
  <si>
    <t xml:space="preserve">13:17:18</t>
  </si>
  <si>
    <t xml:space="preserve">OM/ARC/26</t>
  </si>
  <si>
    <t xml:space="preserve">4404695737</t>
  </si>
  <si>
    <t xml:space="preserve">51207607</t>
  </si>
  <si>
    <t xml:space="preserve">13:24:48</t>
  </si>
  <si>
    <t xml:space="preserve">OM/ARC/27</t>
  </si>
  <si>
    <t xml:space="preserve">4404695742</t>
  </si>
  <si>
    <t xml:space="preserve">51207615</t>
  </si>
  <si>
    <t xml:space="preserve">13:28:18</t>
  </si>
  <si>
    <t xml:space="preserve">OM/ARC/25</t>
  </si>
  <si>
    <t xml:space="preserve">4404695738</t>
  </si>
  <si>
    <t xml:space="preserve">51207630</t>
  </si>
  <si>
    <t xml:space="preserve">13:33:24</t>
  </si>
  <si>
    <t xml:space="preserve">SI1904100049</t>
  </si>
  <si>
    <t xml:space="preserve">4405284305</t>
  </si>
  <si>
    <t xml:space="preserve">51576871</t>
  </si>
  <si>
    <t xml:space="preserve">14:00:28</t>
  </si>
  <si>
    <t xml:space="preserve">OM/ARC/18</t>
  </si>
  <si>
    <t xml:space="preserve">4404451533</t>
  </si>
  <si>
    <t xml:space="preserve">51065036</t>
  </si>
  <si>
    <t xml:space="preserve">02-05-2019</t>
  </si>
  <si>
    <t xml:space="preserve">09:32:57</t>
  </si>
  <si>
    <t xml:space="preserve">OM/CLEAN/08</t>
  </si>
  <si>
    <t xml:space="preserve">4404451558</t>
  </si>
  <si>
    <t xml:space="preserve">51065055</t>
  </si>
  <si>
    <t xml:space="preserve">09:38:36</t>
  </si>
  <si>
    <t xml:space="preserve">OM/CLEAN/07</t>
  </si>
  <si>
    <t xml:space="preserve">4404447881</t>
  </si>
  <si>
    <t xml:space="preserve">51065097</t>
  </si>
  <si>
    <t xml:space="preserve">09:49:57</t>
  </si>
  <si>
    <t xml:space="preserve">OM/ARC/20</t>
  </si>
  <si>
    <t xml:space="preserve">4404447885</t>
  </si>
  <si>
    <t xml:space="preserve">51065114</t>
  </si>
  <si>
    <t xml:space="preserve">09:54:07</t>
  </si>
  <si>
    <t xml:space="preserve">OM/ARC/19</t>
  </si>
  <si>
    <t xml:space="preserve">4404451536</t>
  </si>
  <si>
    <t xml:space="preserve">51065126</t>
  </si>
  <si>
    <t xml:space="preserve">09:57:26</t>
  </si>
  <si>
    <t xml:space="preserve">OM/ARC/34</t>
  </si>
  <si>
    <t xml:space="preserve">4404927510</t>
  </si>
  <si>
    <t xml:space="preserve">51343433</t>
  </si>
  <si>
    <t xml:space="preserve">03-09-2019</t>
  </si>
  <si>
    <t xml:space="preserve">11:39:19</t>
  </si>
  <si>
    <t xml:space="preserve">OM/ARC/36</t>
  </si>
  <si>
    <t xml:space="preserve">4404915724</t>
  </si>
  <si>
    <t xml:space="preserve">51343484</t>
  </si>
  <si>
    <t xml:space="preserve">11:49:28</t>
  </si>
  <si>
    <t xml:space="preserve">OM/ARC/35</t>
  </si>
  <si>
    <t xml:space="preserve">4404915725</t>
  </si>
  <si>
    <t xml:space="preserve">51343509</t>
  </si>
  <si>
    <t xml:space="preserve">11:53:37</t>
  </si>
  <si>
    <t xml:space="preserve">SI1904100031</t>
  </si>
  <si>
    <t xml:space="preserve">4404904822</t>
  </si>
  <si>
    <t xml:space="preserve">51345062</t>
  </si>
  <si>
    <t xml:space="preserve">18:12:51</t>
  </si>
  <si>
    <t xml:space="preserve">SI1904100056</t>
  </si>
  <si>
    <t xml:space="preserve">Bill Receipt Date  :17.03.2020</t>
  </si>
  <si>
    <t xml:space="preserve">4405508078</t>
  </si>
  <si>
    <t xml:space="preserve">51767530</t>
  </si>
  <si>
    <t xml:space="preserve">20-03-2020</t>
  </si>
  <si>
    <t xml:space="preserve">15:29:25</t>
  </si>
  <si>
    <t xml:space="preserve">SI1904100055</t>
  </si>
  <si>
    <t xml:space="preserve">4405464505</t>
  </si>
  <si>
    <t xml:space="preserve">51767980</t>
  </si>
  <si>
    <t xml:space="preserve">16:35:02</t>
  </si>
  <si>
    <t xml:space="preserve">OM/ARC/24</t>
  </si>
  <si>
    <t xml:space="preserve">4404583216</t>
  </si>
  <si>
    <t xml:space="preserve">51150576</t>
  </si>
  <si>
    <t xml:space="preserve">14:30:36</t>
  </si>
  <si>
    <t xml:space="preserve">OM/ARC/23</t>
  </si>
  <si>
    <t xml:space="preserve">4404583272</t>
  </si>
  <si>
    <t xml:space="preserve">51150606</t>
  </si>
  <si>
    <t xml:space="preserve">14:35:27</t>
  </si>
  <si>
    <t xml:space="preserve">OM/CLEAN/09</t>
  </si>
  <si>
    <t xml:space="preserve">4404583407</t>
  </si>
  <si>
    <t xml:space="preserve">51150622</t>
  </si>
  <si>
    <t xml:space="preserve">14:40:36</t>
  </si>
  <si>
    <t xml:space="preserve">OM/ARC/22</t>
  </si>
  <si>
    <t xml:space="preserve">4404583275</t>
  </si>
  <si>
    <t xml:space="preserve">51150640</t>
  </si>
  <si>
    <t xml:space="preserve">14:44:08</t>
  </si>
  <si>
    <t xml:space="preserve">OM/ARC/21</t>
  </si>
  <si>
    <t xml:space="preserve">4404583238</t>
  </si>
  <si>
    <t xml:space="preserve">51150661</t>
  </si>
  <si>
    <t xml:space="preserve">14:48:44</t>
  </si>
  <si>
    <t xml:space="preserve">SI1901100036</t>
  </si>
  <si>
    <t xml:space="preserve">4405021995</t>
  </si>
  <si>
    <t xml:space="preserve">51429152</t>
  </si>
  <si>
    <t xml:space="preserve">21-10-2019</t>
  </si>
  <si>
    <t xml:space="preserve">08:36:12</t>
  </si>
  <si>
    <t xml:space="preserve">SI1904100040</t>
  </si>
  <si>
    <t xml:space="preserve">4405021988</t>
  </si>
  <si>
    <t xml:space="preserve">51429153</t>
  </si>
  <si>
    <t xml:space="preserve">08:39:44</t>
  </si>
  <si>
    <t xml:space="preserve">SI1904100036</t>
  </si>
  <si>
    <t xml:space="preserve">4405022002</t>
  </si>
  <si>
    <t xml:space="preserve">51429154</t>
  </si>
  <si>
    <t xml:space="preserve">08:43:37</t>
  </si>
  <si>
    <t xml:space="preserve">SI1904100039</t>
  </si>
  <si>
    <t xml:space="preserve">4405021999</t>
  </si>
  <si>
    <t xml:space="preserve">51429157</t>
  </si>
  <si>
    <t xml:space="preserve">08:48:26</t>
  </si>
  <si>
    <t xml:space="preserve">SI1904100038</t>
  </si>
  <si>
    <t xml:space="preserve">4405022011</t>
  </si>
  <si>
    <t xml:space="preserve">51429159</t>
  </si>
  <si>
    <t xml:space="preserve">08:55:19</t>
  </si>
  <si>
    <t xml:space="preserve">SI1904100037</t>
  </si>
  <si>
    <t xml:space="preserve">4405021990</t>
  </si>
  <si>
    <t xml:space="preserve">51429162</t>
  </si>
  <si>
    <t xml:space="preserve">08:59:40</t>
  </si>
  <si>
    <t xml:space="preserve">CI1904101125</t>
  </si>
  <si>
    <t xml:space="preserve">Bill Receipt Date :30.05.2019</t>
  </si>
  <si>
    <t xml:space="preserve">4404497825</t>
  </si>
  <si>
    <t xml:space="preserve">51138984</t>
  </si>
  <si>
    <t xml:space="preserve">11:49:02</t>
  </si>
  <si>
    <t xml:space="preserve">CI1904101126</t>
  </si>
  <si>
    <t xml:space="preserve">4404264655</t>
  </si>
  <si>
    <t xml:space="preserve">51139410</t>
  </si>
  <si>
    <t xml:space="preserve">12:53:57</t>
  </si>
  <si>
    <t xml:space="preserve">CI0004108175</t>
  </si>
  <si>
    <t xml:space="preserve">4404261732</t>
  </si>
  <si>
    <t xml:space="preserve">51135741</t>
  </si>
  <si>
    <t xml:space="preserve">03-06-2019</t>
  </si>
  <si>
    <t xml:space="preserve">16:33:07</t>
  </si>
  <si>
    <t xml:space="preserve">CI1904101853</t>
  </si>
  <si>
    <t xml:space="preserve">Bill Receipt Date :07.12.2019</t>
  </si>
  <si>
    <t xml:space="preserve">2100579957</t>
  </si>
  <si>
    <t xml:space="preserve">51536896</t>
  </si>
  <si>
    <t xml:space="preserve">11-12-2019</t>
  </si>
  <si>
    <t xml:space="preserve">11:00:27</t>
  </si>
  <si>
    <t xml:space="preserve">SI1904100052</t>
  </si>
  <si>
    <t xml:space="preserve">Bill Receipt Date  :18.02.2020</t>
  </si>
  <si>
    <t xml:space="preserve">4405588055</t>
  </si>
  <si>
    <t xml:space="preserve">51701922</t>
  </si>
  <si>
    <t xml:space="preserve">14:53:28</t>
  </si>
  <si>
    <t xml:space="preserve">CI1901100736</t>
  </si>
  <si>
    <t xml:space="preserve">CONSTRN SHEET;0.5 MM,1072  MM,12  M,ZINC</t>
  </si>
  <si>
    <t xml:space="preserve">2300051572</t>
  </si>
  <si>
    <t xml:space="preserve">51173178</t>
  </si>
  <si>
    <t xml:space="preserve">20-06-2019</t>
  </si>
  <si>
    <t xml:space="preserve">15:50:32</t>
  </si>
  <si>
    <t xml:space="preserve">CI1904104406</t>
  </si>
  <si>
    <t xml:space="preserve">Bill Receipt Date :11.11.2019</t>
  </si>
  <si>
    <t xml:space="preserve">4405115573</t>
  </si>
  <si>
    <t xml:space="preserve">51481693</t>
  </si>
  <si>
    <t xml:space="preserve">14-11-2019</t>
  </si>
  <si>
    <t xml:space="preserve">11:53:55</t>
  </si>
  <si>
    <t xml:space="preserve">CI1904105391</t>
  </si>
  <si>
    <t xml:space="preserve">Bill Receipt Date  :02.01.2020</t>
  </si>
  <si>
    <t xml:space="preserve">4405362754</t>
  </si>
  <si>
    <t xml:space="preserve">51590710</t>
  </si>
  <si>
    <t xml:space="preserve">08-01-2020</t>
  </si>
  <si>
    <t xml:space="preserve">12:40:31</t>
  </si>
  <si>
    <t xml:space="preserve">SI1901100069</t>
  </si>
  <si>
    <t xml:space="preserve">Bill Receipt Date  :11.02.2020</t>
  </si>
  <si>
    <t xml:space="preserve">4405539177</t>
  </si>
  <si>
    <t xml:space="preserve">51682323</t>
  </si>
  <si>
    <t xml:space="preserve">19-02-2020</t>
  </si>
  <si>
    <t xml:space="preserve">18:11:55</t>
  </si>
  <si>
    <t xml:space="preserve">SI1904100051</t>
  </si>
  <si>
    <t xml:space="preserve">4405588051</t>
  </si>
  <si>
    <t xml:space="preserve">51693273</t>
  </si>
  <si>
    <t xml:space="preserve">25-02-2020</t>
  </si>
  <si>
    <t xml:space="preserve">13:06:05</t>
  </si>
  <si>
    <t xml:space="preserve">CI1904104560</t>
  </si>
  <si>
    <t xml:space="preserve">Bill Receipt Date :23.11.2019</t>
  </si>
  <si>
    <t xml:space="preserve">3700800342</t>
  </si>
  <si>
    <t xml:space="preserve">51509727</t>
  </si>
  <si>
    <t xml:space="preserve">12:40:07</t>
  </si>
  <si>
    <t xml:space="preserve">CI1904106069</t>
  </si>
  <si>
    <t xml:space="preserve">Bill Receipt Date  :04.02.2020</t>
  </si>
  <si>
    <t xml:space="preserve">4405474634</t>
  </si>
  <si>
    <t xml:space="preserve">51654719</t>
  </si>
  <si>
    <t xml:space="preserve">5000003</t>
  </si>
  <si>
    <t xml:space="preserve">CONSUMPTION OF STORES</t>
  </si>
  <si>
    <t xml:space="preserve">45003579</t>
  </si>
  <si>
    <t xml:space="preserve">08-04-2020</t>
  </si>
  <si>
    <t xml:space="preserve">10:05:59</t>
  </si>
  <si>
    <t xml:space="preserve">CI1904102414</t>
  </si>
  <si>
    <t xml:space="preserve">4404744126</t>
  </si>
  <si>
    <t xml:space="preserve">51283680</t>
  </si>
  <si>
    <t xml:space="preserve">07-08-2019</t>
  </si>
  <si>
    <t xml:space="preserve">11:28:33</t>
  </si>
  <si>
    <t xml:space="preserve">SI1904100042</t>
  </si>
  <si>
    <t xml:space="preserve">Bill Receipt Date :01.11.2019</t>
  </si>
  <si>
    <t xml:space="preserve">3000123132</t>
  </si>
  <si>
    <t xml:space="preserve">51470706</t>
  </si>
  <si>
    <t xml:space="preserve">07-11-2019</t>
  </si>
  <si>
    <t xml:space="preserve">18:18:12</t>
  </si>
  <si>
    <t xml:space="preserve">CI1904106680</t>
  </si>
  <si>
    <t xml:space="preserve">5040</t>
  </si>
  <si>
    <t xml:space="preserve">Bill Receipt Date  :24.02.2020</t>
  </si>
  <si>
    <t xml:space="preserve">2100586173</t>
  </si>
  <si>
    <t xml:space="preserve">51707305</t>
  </si>
  <si>
    <t xml:space="preserve">27-02-2020</t>
  </si>
  <si>
    <t xml:space="preserve">12:22:02</t>
  </si>
  <si>
    <t xml:space="preserve">CI1901100397</t>
  </si>
  <si>
    <t xml:space="preserve">Design, Manufacture and  ,Supply of Part</t>
  </si>
  <si>
    <t xml:space="preserve">2300050954</t>
  </si>
  <si>
    <t xml:space="preserve">51129414</t>
  </si>
  <si>
    <t xml:space="preserve">31-05-2019</t>
  </si>
  <si>
    <t xml:space="preserve">11:03:58</t>
  </si>
  <si>
    <t xml:space="preserve">CI1901100396</t>
  </si>
  <si>
    <t xml:space="preserve">51129771</t>
  </si>
  <si>
    <t xml:space="preserve">11:42:02</t>
  </si>
  <si>
    <t xml:space="preserve">CI1904101582</t>
  </si>
  <si>
    <t xml:space="preserve">Bill Receipt Date :25.06.2019</t>
  </si>
  <si>
    <t xml:space="preserve">4404276998</t>
  </si>
  <si>
    <t xml:space="preserve">51200273</t>
  </si>
  <si>
    <t xml:space="preserve">17:11:00</t>
  </si>
  <si>
    <t xml:space="preserve">CI1901100383</t>
  </si>
  <si>
    <t xml:space="preserve">51129404</t>
  </si>
  <si>
    <t xml:space="preserve">11:00:34</t>
  </si>
  <si>
    <t xml:space="preserve">CI1904102094</t>
  </si>
  <si>
    <t xml:space="preserve">K3398837031/Bill Receipt Date :16.07.2019</t>
  </si>
  <si>
    <t xml:space="preserve">4404614041</t>
  </si>
  <si>
    <t xml:space="preserve">51246065</t>
  </si>
  <si>
    <t xml:space="preserve">23-07-2019</t>
  </si>
  <si>
    <t xml:space="preserve">11:16:08</t>
  </si>
  <si>
    <t xml:space="preserve">CI1904105211</t>
  </si>
  <si>
    <t xml:space="preserve">Bill Receipt Date  :25.12.2019</t>
  </si>
  <si>
    <t xml:space="preserve">4405156168</t>
  </si>
  <si>
    <t xml:space="preserve">51583793</t>
  </si>
  <si>
    <t xml:space="preserve">04-01-2020</t>
  </si>
  <si>
    <t xml:space="preserve">10:38:02</t>
  </si>
  <si>
    <t xml:space="preserve">SI1904100054</t>
  </si>
  <si>
    <t xml:space="preserve">4405464425</t>
  </si>
  <si>
    <t xml:space="preserve">51784717</t>
  </si>
  <si>
    <t xml:space="preserve">16:56:04</t>
  </si>
  <si>
    <t xml:space="preserve">SI1904100059</t>
  </si>
  <si>
    <t xml:space="preserve">4405508090</t>
  </si>
  <si>
    <t xml:space="preserve">51784734</t>
  </si>
  <si>
    <t xml:space="preserve">17:01:48</t>
  </si>
  <si>
    <t xml:space="preserve">SI1904100058</t>
  </si>
  <si>
    <t xml:space="preserve">4405508087</t>
  </si>
  <si>
    <t xml:space="preserve">51785309</t>
  </si>
  <si>
    <t xml:space="preserve">20:43:41</t>
  </si>
  <si>
    <t xml:space="preserve">SI1904100061</t>
  </si>
  <si>
    <t xml:space="preserve">4405508091</t>
  </si>
  <si>
    <t xml:space="preserve">51785632</t>
  </si>
  <si>
    <t xml:space="preserve">23:03:55</t>
  </si>
  <si>
    <t xml:space="preserve">CI1901100369</t>
  </si>
  <si>
    <t xml:space="preserve">51129322</t>
  </si>
  <si>
    <t xml:space="preserve">10:40:26</t>
  </si>
  <si>
    <t xml:space="preserve">CI1901100497</t>
  </si>
  <si>
    <t xml:space="preserve">51149227</t>
  </si>
  <si>
    <t xml:space="preserve">09:06:32</t>
  </si>
  <si>
    <t xml:space="preserve">CI1901100363</t>
  </si>
  <si>
    <t xml:space="preserve">51129352</t>
  </si>
  <si>
    <t xml:space="preserve">10:49:48</t>
  </si>
  <si>
    <t xml:space="preserve">CI1901100360</t>
  </si>
  <si>
    <t xml:space="preserve">51129653</t>
  </si>
  <si>
    <t xml:space="preserve">11:16:11</t>
  </si>
  <si>
    <t xml:space="preserve">CI1901100664</t>
  </si>
  <si>
    <t xml:space="preserve">2300051433</t>
  </si>
  <si>
    <t xml:space="preserve">51173596</t>
  </si>
  <si>
    <t xml:space="preserve">16:52:26</t>
  </si>
  <si>
    <t xml:space="preserve">CI1904105109</t>
  </si>
  <si>
    <t xml:space="preserve">Bill Receipt Date  :19.12.2019</t>
  </si>
  <si>
    <t xml:space="preserve">4405134763</t>
  </si>
  <si>
    <t xml:space="preserve">51572306</t>
  </si>
  <si>
    <t xml:space="preserve">31-12-2019</t>
  </si>
  <si>
    <t xml:space="preserve">10:53:28</t>
  </si>
  <si>
    <t xml:space="preserve">CI1904105791</t>
  </si>
  <si>
    <t xml:space="preserve">Bill Receipt Date  :27.01.2020</t>
  </si>
  <si>
    <t xml:space="preserve">4405426744</t>
  </si>
  <si>
    <t xml:space="preserve">51648942</t>
  </si>
  <si>
    <t xml:space="preserve">93117008</t>
  </si>
  <si>
    <t xml:space="preserve">04-02-2020</t>
  </si>
  <si>
    <t xml:space="preserve">16:38:43</t>
  </si>
  <si>
    <t xml:space="preserve">CI1901100349</t>
  </si>
  <si>
    <t xml:space="preserve">51129338</t>
  </si>
  <si>
    <t xml:space="preserve">10:46:13</t>
  </si>
  <si>
    <t xml:space="preserve">CI1904103045</t>
  </si>
  <si>
    <t xml:space="preserve">K3404174104/bill receipt date:06.09.2019</t>
  </si>
  <si>
    <t xml:space="preserve">4404899885</t>
  </si>
  <si>
    <t xml:space="preserve">51365136</t>
  </si>
  <si>
    <t xml:space="preserve">17-09-2019</t>
  </si>
  <si>
    <t xml:space="preserve">13:19:42</t>
  </si>
  <si>
    <t xml:space="preserve">RI1901100034</t>
  </si>
  <si>
    <t xml:space="preserve">Debit note for guaranteed qty+ freig-see long text</t>
  </si>
  <si>
    <t xml:space="preserve">51453540</t>
  </si>
  <si>
    <t xml:space="preserve">31-10-2019</t>
  </si>
  <si>
    <t xml:space="preserve">17:07:21</t>
  </si>
  <si>
    <t xml:space="preserve">CI1901100338</t>
  </si>
  <si>
    <t xml:space="preserve">51129461</t>
  </si>
  <si>
    <t xml:space="preserve">CI1901100588</t>
  </si>
  <si>
    <t xml:space="preserve">51170242</t>
  </si>
  <si>
    <t xml:space="preserve">14:57:04</t>
  </si>
  <si>
    <t xml:space="preserve">SI1901100018</t>
  </si>
  <si>
    <t xml:space="preserve">INSTA. ASSLY &amp; ERECT SER OF PRE FAB BLDG</t>
  </si>
  <si>
    <t xml:space="preserve">3000125388</t>
  </si>
  <si>
    <t xml:space="preserve">51299692</t>
  </si>
  <si>
    <t xml:space="preserve">14-08-2019</t>
  </si>
  <si>
    <t xml:space="preserve">11:48:21</t>
  </si>
  <si>
    <t xml:space="preserve">CI1904104289</t>
  </si>
  <si>
    <t xml:space="preserve">Bill Receipt Date :13.11.2019</t>
  </si>
  <si>
    <t xml:space="preserve">4405102037</t>
  </si>
  <si>
    <t xml:space="preserve">51489004</t>
  </si>
  <si>
    <t xml:space="preserve">18-11-2019</t>
  </si>
  <si>
    <t xml:space="preserve">13:28:31</t>
  </si>
  <si>
    <t xml:space="preserve">CI1901100325</t>
  </si>
  <si>
    <t xml:space="preserve">51129373</t>
  </si>
  <si>
    <t xml:space="preserve">10:54:02</t>
  </si>
  <si>
    <t xml:space="preserve">SI1901100014</t>
  </si>
  <si>
    <t xml:space="preserve">51227931</t>
  </si>
  <si>
    <t xml:space="preserve">15-07-2019</t>
  </si>
  <si>
    <t xml:space="preserve">10:33:11</t>
  </si>
  <si>
    <t xml:space="preserve">SI1901100029</t>
  </si>
  <si>
    <t xml:space="preserve">Bill Receipt Date :10.09.2019</t>
  </si>
  <si>
    <t xml:space="preserve">51369456</t>
  </si>
  <si>
    <t xml:space="preserve">19-09-2019</t>
  </si>
  <si>
    <t xml:space="preserve">13:20:32</t>
  </si>
  <si>
    <t xml:space="preserve">CI1901100357</t>
  </si>
  <si>
    <t xml:space="preserve">51138068</t>
  </si>
  <si>
    <t xml:space="preserve">04-06-2019</t>
  </si>
  <si>
    <t xml:space="preserve">16:15:36</t>
  </si>
  <si>
    <t xml:space="preserve">SI1904100027</t>
  </si>
  <si>
    <t xml:space="preserve">Bill Receipt Date :28.08.2019</t>
  </si>
  <si>
    <t xml:space="preserve">4404904827</t>
  </si>
  <si>
    <t xml:space="preserve">51344781</t>
  </si>
  <si>
    <t xml:space="preserve">16:56:06</t>
  </si>
  <si>
    <t xml:space="preserve">SI1904100026</t>
  </si>
  <si>
    <t xml:space="preserve">51344796</t>
  </si>
  <si>
    <t xml:space="preserve">16:59:35</t>
  </si>
  <si>
    <t xml:space="preserve">C11904101058</t>
  </si>
  <si>
    <t xml:space="preserve">FEROUS METAL;SHEET</t>
  </si>
  <si>
    <t xml:space="preserve">2100552074</t>
  </si>
  <si>
    <t xml:space="preserve">51165764</t>
  </si>
  <si>
    <t xml:space="preserve">17-06-2019</t>
  </si>
  <si>
    <t xml:space="preserve">17:34:37</t>
  </si>
  <si>
    <t xml:space="preserve">CII904101057</t>
  </si>
  <si>
    <t xml:space="preserve">51165779</t>
  </si>
  <si>
    <t xml:space="preserve">17:40:14</t>
  </si>
  <si>
    <t xml:space="preserve">CI1901100312</t>
  </si>
  <si>
    <t xml:space="preserve">51129248</t>
  </si>
  <si>
    <t xml:space="preserve">10:26:23</t>
  </si>
  <si>
    <t xml:space="preserve">CI1901100316</t>
  </si>
  <si>
    <t xml:space="preserve">51129553</t>
  </si>
  <si>
    <t xml:space="preserve">11:10:01</t>
  </si>
  <si>
    <t xml:space="preserve">CI1901100313</t>
  </si>
  <si>
    <t xml:space="preserve">51129598</t>
  </si>
  <si>
    <t xml:space="preserve">11:12:41</t>
  </si>
  <si>
    <t xml:space="preserve">CI1901100431</t>
  </si>
  <si>
    <t xml:space="preserve">51152609</t>
  </si>
  <si>
    <t xml:space="preserve">11:33:08</t>
  </si>
  <si>
    <t xml:space="preserve">CI1901100419</t>
  </si>
  <si>
    <t xml:space="preserve">51152631</t>
  </si>
  <si>
    <t xml:space="preserve">11:36:14</t>
  </si>
  <si>
    <t xml:space="preserve">C11904101056</t>
  </si>
  <si>
    <t xml:space="preserve">SCREW ,10-16X25 ,HEX STEEL ,SCREW HEX ST</t>
  </si>
  <si>
    <t xml:space="preserve">2100557880</t>
  </si>
  <si>
    <t xml:space="preserve">51166443</t>
  </si>
  <si>
    <t xml:space="preserve">18-06-2019</t>
  </si>
  <si>
    <t xml:space="preserve">10:51:41</t>
  </si>
  <si>
    <t xml:space="preserve">CI1904103099</t>
  </si>
  <si>
    <t xml:space="preserve">*QTY LESS (Item No. 30 )</t>
  </si>
  <si>
    <t xml:space="preserve">4404900489</t>
  </si>
  <si>
    <t xml:space="preserve">51379054</t>
  </si>
  <si>
    <t xml:space="preserve">24-09-2019</t>
  </si>
  <si>
    <t xml:space="preserve">16:03:06</t>
  </si>
  <si>
    <t xml:space="preserve">CI1904106211</t>
  </si>
  <si>
    <t xml:space="preserve">3700804031</t>
  </si>
  <si>
    <t xml:space="preserve">51692064</t>
  </si>
  <si>
    <t xml:space="preserve">24-02-2020</t>
  </si>
  <si>
    <t xml:space="preserve">17:16:12</t>
  </si>
  <si>
    <t xml:space="preserve">SI1901100050</t>
  </si>
  <si>
    <t xml:space="preserve">51524597</t>
  </si>
  <si>
    <t xml:space="preserve">11:46:06</t>
  </si>
  <si>
    <t xml:space="preserve">CI1904102755</t>
  </si>
  <si>
    <t xml:space="preserve">Bill Receipt Date :02.09.2019</t>
  </si>
  <si>
    <t xml:space="preserve">4404806804</t>
  </si>
  <si>
    <t xml:space="preserve">51350786</t>
  </si>
  <si>
    <t xml:space="preserve">06-09-2019</t>
  </si>
  <si>
    <t xml:space="preserve">15:21:24</t>
  </si>
  <si>
    <t xml:space="preserve">CII904104940</t>
  </si>
  <si>
    <t xml:space="preserve">3700800544</t>
  </si>
  <si>
    <t xml:space="preserve">51572849</t>
  </si>
  <si>
    <t xml:space="preserve">12:23:21</t>
  </si>
  <si>
    <t xml:space="preserve">CI1901100737</t>
  </si>
  <si>
    <t xml:space="preserve">CONSTRN SHEET;0.5 MM,600  MM,4  M,ALUMNM</t>
  </si>
  <si>
    <t xml:space="preserve">51216829</t>
  </si>
  <si>
    <t xml:space="preserve">10:37:43</t>
  </si>
  <si>
    <t xml:space="preserve">CI1904104248</t>
  </si>
  <si>
    <t xml:space="preserve">Bill Receipt Date :22.11.2019</t>
  </si>
  <si>
    <t xml:space="preserve">4405100885</t>
  </si>
  <si>
    <t xml:space="preserve">51506129</t>
  </si>
  <si>
    <t xml:space="preserve">18:03:52</t>
  </si>
  <si>
    <t xml:space="preserve">SI1904100001</t>
  </si>
  <si>
    <t xml:space="preserve">3800014533</t>
  </si>
  <si>
    <t xml:space="preserve">51093602</t>
  </si>
  <si>
    <t xml:space="preserve">16:13:02</t>
  </si>
  <si>
    <t xml:space="preserve">26</t>
  </si>
  <si>
    <t xml:space="preserve">27</t>
  </si>
  <si>
    <t xml:space="preserve">CI1904100570</t>
  </si>
  <si>
    <t xml:space="preserve">4404452217</t>
  </si>
  <si>
    <t xml:space="preserve">51135748</t>
  </si>
  <si>
    <t xml:space="preserve">16:35:08</t>
  </si>
  <si>
    <t xml:space="preserve">CI1901100867</t>
  </si>
  <si>
    <t xml:space="preserve">51244663</t>
  </si>
  <si>
    <t xml:space="preserve">22-07-2019</t>
  </si>
  <si>
    <t xml:space="preserve">14:11:12</t>
  </si>
  <si>
    <t xml:space="preserve">SI1904100012</t>
  </si>
  <si>
    <t xml:space="preserve">4404772503</t>
  </si>
  <si>
    <t xml:space="preserve">51241634</t>
  </si>
  <si>
    <t xml:space="preserve">20-07-2019</t>
  </si>
  <si>
    <t xml:space="preserve">11:01:25</t>
  </si>
  <si>
    <t xml:space="preserve">CI1904102651</t>
  </si>
  <si>
    <t xml:space="preserve">Bill Receipt Date :27.08.2019</t>
  </si>
  <si>
    <t xml:space="preserve">3700794717</t>
  </si>
  <si>
    <t xml:space="preserve">51349374</t>
  </si>
  <si>
    <t xml:space="preserve">05-09-2019</t>
  </si>
  <si>
    <t xml:space="preserve">18:07:13</t>
  </si>
  <si>
    <t xml:space="preserve">CI1904100505</t>
  </si>
  <si>
    <t xml:space="preserve">4404444838</t>
  </si>
  <si>
    <t xml:space="preserve">51135754</t>
  </si>
  <si>
    <t xml:space="preserve">16:37:29</t>
  </si>
  <si>
    <t xml:space="preserve">CI1904104290</t>
  </si>
  <si>
    <t xml:space="preserve">4405102038</t>
  </si>
  <si>
    <t xml:space="preserve">51518055</t>
  </si>
  <si>
    <t xml:space="preserve">02-12-2019</t>
  </si>
  <si>
    <t xml:space="preserve">13:15:51</t>
  </si>
  <si>
    <t xml:space="preserve">CI1904102650</t>
  </si>
  <si>
    <t xml:space="preserve">51349833</t>
  </si>
  <si>
    <t xml:space="preserve">10:55:40</t>
  </si>
  <si>
    <t xml:space="preserve">51684188</t>
  </si>
  <si>
    <t xml:space="preserve">20-02-2020</t>
  </si>
  <si>
    <t xml:space="preserve">13:12:31</t>
  </si>
  <si>
    <t xml:space="preserve">CI1901100834</t>
  </si>
  <si>
    <t xml:space="preserve">51244721</t>
  </si>
  <si>
    <t xml:space="preserve">14:24:51</t>
  </si>
  <si>
    <t xml:space="preserve">13</t>
  </si>
  <si>
    <t xml:space="preserve">SI1901100054</t>
  </si>
  <si>
    <t xml:space="preserve">3800014628</t>
  </si>
  <si>
    <t xml:space="preserve">51565250</t>
  </si>
  <si>
    <t xml:space="preserve">27-12-2019</t>
  </si>
  <si>
    <t xml:space="preserve">09:49:14</t>
  </si>
  <si>
    <t xml:space="preserve">SI1901100042</t>
  </si>
  <si>
    <t xml:space="preserve">Bill Receipt Date :21.10.2019</t>
  </si>
  <si>
    <t xml:space="preserve">51478341</t>
  </si>
  <si>
    <t xml:space="preserve">12-11-2019</t>
  </si>
  <si>
    <t xml:space="preserve">16:56:35</t>
  </si>
  <si>
    <t xml:space="preserve">CI1901100002</t>
  </si>
  <si>
    <t xml:space="preserve">51083808</t>
  </si>
  <si>
    <t xml:space="preserve">10:10:31</t>
  </si>
  <si>
    <t xml:space="preserve">SI1901100044</t>
  </si>
  <si>
    <t xml:space="preserve">Trapezoidal steel sheet(side&amp;gable sheet</t>
  </si>
  <si>
    <t xml:space="preserve">3000126116</t>
  </si>
  <si>
    <t xml:space="preserve">51491723</t>
  </si>
  <si>
    <t xml:space="preserve">12:40:39</t>
  </si>
  <si>
    <t xml:space="preserve">CI1901100780</t>
  </si>
  <si>
    <t xml:space="preserve">51244773</t>
  </si>
  <si>
    <t xml:space="preserve">14:33:29</t>
  </si>
  <si>
    <t xml:space="preserve">CI1901100871</t>
  </si>
  <si>
    <t xml:space="preserve">51270621</t>
  </si>
  <si>
    <t xml:space="preserve">01-08-2019</t>
  </si>
  <si>
    <t xml:space="preserve">10:27:43</t>
  </si>
  <si>
    <t xml:space="preserve">SI904100043</t>
  </si>
  <si>
    <t xml:space="preserve">3700793519</t>
  </si>
  <si>
    <t xml:space="preserve">51582760</t>
  </si>
  <si>
    <t xml:space="preserve">03-01-2020</t>
  </si>
  <si>
    <t xml:space="preserve">15:38:48</t>
  </si>
  <si>
    <t xml:space="preserve">C11901101130</t>
  </si>
  <si>
    <t xml:space="preserve">51323633</t>
  </si>
  <si>
    <t xml:space="preserve">26-08-2019</t>
  </si>
  <si>
    <t xml:space="preserve">17:26:28</t>
  </si>
  <si>
    <t xml:space="preserve">SI1901100052</t>
  </si>
  <si>
    <t xml:space="preserve">3800013971</t>
  </si>
  <si>
    <t xml:space="preserve">51561781</t>
  </si>
  <si>
    <t xml:space="preserve">15:57:49</t>
  </si>
  <si>
    <t xml:space="preserve">SI1904100044</t>
  </si>
  <si>
    <t xml:space="preserve">3700796964</t>
  </si>
  <si>
    <t xml:space="preserve">51601865</t>
  </si>
  <si>
    <t xml:space="preserve">15:37:00</t>
  </si>
  <si>
    <t xml:space="preserve">CI1901100811</t>
  </si>
  <si>
    <t xml:space="preserve">51270180</t>
  </si>
  <si>
    <t xml:space="preserve">31-07-2019</t>
  </si>
  <si>
    <t xml:space="preserve">17:46:33</t>
  </si>
  <si>
    <t xml:space="preserve">CI1901100833</t>
  </si>
  <si>
    <t xml:space="preserve">51271297</t>
  </si>
  <si>
    <t xml:space="preserve">12:36:21</t>
  </si>
  <si>
    <t xml:space="preserve">C11901101103</t>
  </si>
  <si>
    <t xml:space="preserve">51323610</t>
  </si>
  <si>
    <t xml:space="preserve">17:20:54</t>
  </si>
  <si>
    <t xml:space="preserve">CI1901100701</t>
  </si>
  <si>
    <t xml:space="preserve">51244977</t>
  </si>
  <si>
    <t xml:space="preserve">15:09:28</t>
  </si>
  <si>
    <t xml:space="preserve">CI1901100813</t>
  </si>
  <si>
    <t xml:space="preserve">51270564</t>
  </si>
  <si>
    <t xml:space="preserve">10:13:07</t>
  </si>
  <si>
    <t xml:space="preserve">CI1901100814</t>
  </si>
  <si>
    <t xml:space="preserve">51270596</t>
  </si>
  <si>
    <t xml:space="preserve">10:21:35</t>
  </si>
  <si>
    <t xml:space="preserve">CI1901100815</t>
  </si>
  <si>
    <t xml:space="preserve">51271067</t>
  </si>
  <si>
    <t xml:space="preserve">11:37:58</t>
  </si>
  <si>
    <t xml:space="preserve">CI1901100819</t>
  </si>
  <si>
    <t xml:space="preserve">51271144</t>
  </si>
  <si>
    <t xml:space="preserve">11:56:46</t>
  </si>
  <si>
    <t xml:space="preserve">GSEZ/ERE-RAB-05</t>
  </si>
  <si>
    <t xml:space="preserve">51091574</t>
  </si>
  <si>
    <t xml:space="preserve">11:34:26</t>
  </si>
  <si>
    <t xml:space="preserve">CI1901100818</t>
  </si>
  <si>
    <t xml:space="preserve">51271323</t>
  </si>
  <si>
    <t xml:space="preserve">12:40:55</t>
  </si>
  <si>
    <t xml:space="preserve">CI1901100648</t>
  </si>
  <si>
    <t xml:space="preserve">51245253</t>
  </si>
  <si>
    <t xml:space="preserve">16:03:04</t>
  </si>
  <si>
    <t xml:space="preserve">C11901101068</t>
  </si>
  <si>
    <t xml:space="preserve">51323575</t>
  </si>
  <si>
    <t xml:space="preserve">17:13:13</t>
  </si>
  <si>
    <t xml:space="preserve">C11901101069</t>
  </si>
  <si>
    <t xml:space="preserve">51323590</t>
  </si>
  <si>
    <t xml:space="preserve">17:16:09</t>
  </si>
  <si>
    <t xml:space="preserve">C11904102989</t>
  </si>
  <si>
    <t xml:space="preserve">2100570955</t>
  </si>
  <si>
    <t xml:space="preserve">51416802</t>
  </si>
  <si>
    <t xml:space="preserve">14-10-2019</t>
  </si>
  <si>
    <t xml:space="preserve">11:34:57</t>
  </si>
  <si>
    <t xml:space="preserve">CI1901100072</t>
  </si>
  <si>
    <t xml:space="preserve">2100556473</t>
  </si>
  <si>
    <t xml:space="preserve">51140832</t>
  </si>
  <si>
    <t xml:space="preserve">16:48:02</t>
  </si>
  <si>
    <t xml:space="preserve">C11901101063</t>
  </si>
  <si>
    <t xml:space="preserve">51323564</t>
  </si>
  <si>
    <t xml:space="preserve">17:10:41</t>
  </si>
  <si>
    <t xml:space="preserve">CI1901100061</t>
  </si>
  <si>
    <t xml:space="preserve">51140851</t>
  </si>
  <si>
    <t xml:space="preserve">16:51:32</t>
  </si>
  <si>
    <t xml:space="preserve">C11901101056</t>
  </si>
  <si>
    <t xml:space="preserve">51323529</t>
  </si>
  <si>
    <t xml:space="preserve">17:06:24</t>
  </si>
  <si>
    <t xml:space="preserve">C11901101041</t>
  </si>
  <si>
    <t xml:space="preserve">51323504</t>
  </si>
  <si>
    <t xml:space="preserve">17:03:08</t>
  </si>
  <si>
    <t xml:space="preserve">C11901100997</t>
  </si>
  <si>
    <t xml:space="preserve">51323181</t>
  </si>
  <si>
    <t xml:space="preserve">16:00:04</t>
  </si>
  <si>
    <t xml:space="preserve">C11901100998</t>
  </si>
  <si>
    <t xml:space="preserve">51323196</t>
  </si>
  <si>
    <t xml:space="preserve">16:03:29</t>
  </si>
  <si>
    <t xml:space="preserve">CII904104420</t>
  </si>
  <si>
    <t xml:space="preserve">3700798835</t>
  </si>
  <si>
    <t xml:space="preserve">51572913</t>
  </si>
  <si>
    <t xml:space="preserve">12:30:11</t>
  </si>
  <si>
    <t xml:space="preserve">C11901100975</t>
  </si>
  <si>
    <t xml:space="preserve">51323115</t>
  </si>
  <si>
    <t xml:space="preserve">15:42:17</t>
  </si>
  <si>
    <t xml:space="preserve">C11901100990</t>
  </si>
  <si>
    <t xml:space="preserve">51323124</t>
  </si>
  <si>
    <t xml:space="preserve">15:45:15</t>
  </si>
  <si>
    <t xml:space="preserve">SI1904100050</t>
  </si>
  <si>
    <t xml:space="preserve">3700796848</t>
  </si>
  <si>
    <t xml:space="preserve">51724962</t>
  </si>
  <si>
    <t xml:space="preserve">04-03-2020</t>
  </si>
  <si>
    <t xml:space="preserve">17:18:52</t>
  </si>
  <si>
    <t xml:space="preserve">C11901100894</t>
  </si>
  <si>
    <t xml:space="preserve">51322731</t>
  </si>
  <si>
    <t xml:space="preserve">14:14:27</t>
  </si>
  <si>
    <t xml:space="preserve">CI1902103286</t>
  </si>
  <si>
    <t xml:space="preserve">2300052816</t>
  </si>
  <si>
    <t xml:space="preserve">51777440</t>
  </si>
  <si>
    <t xml:space="preserve">27-03-2020</t>
  </si>
  <si>
    <t xml:space="preserve">17:04:29</t>
  </si>
  <si>
    <t xml:space="preserve">CI1902103287</t>
  </si>
  <si>
    <t xml:space="preserve">51777441</t>
  </si>
  <si>
    <t xml:space="preserve">17:04:34</t>
  </si>
  <si>
    <t xml:space="preserve">CI1902103290</t>
  </si>
  <si>
    <t xml:space="preserve">51777442</t>
  </si>
  <si>
    <t xml:space="preserve">17:04:39</t>
  </si>
  <si>
    <t xml:space="preserve">CI1902103291</t>
  </si>
  <si>
    <t xml:space="preserve">51777443</t>
  </si>
  <si>
    <t xml:space="preserve">17:04:43</t>
  </si>
  <si>
    <t xml:space="preserve">CI1902103288</t>
  </si>
  <si>
    <t xml:space="preserve">51777444</t>
  </si>
  <si>
    <t xml:space="preserve">CI1902103292</t>
  </si>
  <si>
    <t xml:space="preserve">51777445</t>
  </si>
  <si>
    <t xml:space="preserve">17:04:52</t>
  </si>
  <si>
    <t xml:space="preserve">CI1902103295</t>
  </si>
  <si>
    <t xml:space="preserve">51777446</t>
  </si>
  <si>
    <t xml:space="preserve">17:04:57</t>
  </si>
  <si>
    <t xml:space="preserve">LF/ERE/RAB/01</t>
  </si>
  <si>
    <t xml:space="preserve">RL</t>
  </si>
  <si>
    <t xml:space="preserve">MR8M</t>
  </si>
  <si>
    <t xml:space="preserve">51561811</t>
  </si>
  <si>
    <t xml:space="preserve">92721343</t>
  </si>
  <si>
    <t xml:space="preserve">26-12-2019</t>
  </si>
  <si>
    <t xml:space="preserve">16:27:13</t>
  </si>
  <si>
    <t xml:space="preserve">CI1904100261</t>
  </si>
  <si>
    <t xml:space="preserve">Bill Receipt Date :01.07.2019</t>
  </si>
  <si>
    <t xml:space="preserve">4404331996</t>
  </si>
  <si>
    <t xml:space="preserve">51208675</t>
  </si>
  <si>
    <t xml:space="preserve">17:49:02</t>
  </si>
  <si>
    <t xml:space="preserve">C11901100708</t>
  </si>
  <si>
    <t xml:space="preserve">CONSTRN SHEET;0.50 MM,1072  MM,3000  MM,</t>
  </si>
  <si>
    <t xml:space="preserve">2100559131</t>
  </si>
  <si>
    <t xml:space="preserve">51309694</t>
  </si>
  <si>
    <t xml:space="preserve">11:13:07</t>
  </si>
  <si>
    <t xml:space="preserve">C11901100707</t>
  </si>
  <si>
    <t xml:space="preserve">2100563033</t>
  </si>
  <si>
    <t xml:space="preserve">51310395</t>
  </si>
  <si>
    <t xml:space="preserve">13:12:24</t>
  </si>
  <si>
    <t xml:space="preserve">C119011761</t>
  </si>
  <si>
    <t xml:space="preserve">51322696</t>
  </si>
  <si>
    <t xml:space="preserve">13:58:37</t>
  </si>
  <si>
    <t xml:space="preserve">C11901100744</t>
  </si>
  <si>
    <t xml:space="preserve">51322687</t>
  </si>
  <si>
    <t xml:space="preserve">13:50:23</t>
  </si>
  <si>
    <t xml:space="preserve">C11901100750</t>
  </si>
  <si>
    <t xml:space="preserve">51322690</t>
  </si>
  <si>
    <t xml:space="preserve">13:54:09</t>
  </si>
  <si>
    <t xml:space="preserve">CI1904104244</t>
  </si>
  <si>
    <t xml:space="preserve">Bill Receipt Date  :09.01.2020</t>
  </si>
  <si>
    <t xml:space="preserve">2100560076</t>
  </si>
  <si>
    <t xml:space="preserve">51602890</t>
  </si>
  <si>
    <t xml:space="preserve">17:43:39</t>
  </si>
  <si>
    <t xml:space="preserve">CI1901101947</t>
  </si>
  <si>
    <t xml:space="preserve">2300051923</t>
  </si>
  <si>
    <t xml:space="preserve">51676121</t>
  </si>
  <si>
    <t xml:space="preserve">18-02-2020</t>
  </si>
  <si>
    <t xml:space="preserve">12:13:28</t>
  </si>
  <si>
    <t xml:space="preserve">CI1901101948</t>
  </si>
  <si>
    <t xml:space="preserve">51676123</t>
  </si>
  <si>
    <t xml:space="preserve">12:13:32</t>
  </si>
  <si>
    <t xml:space="preserve">CI1901101949</t>
  </si>
  <si>
    <t xml:space="preserve">51676124</t>
  </si>
  <si>
    <t xml:space="preserve">12:13:36</t>
  </si>
  <si>
    <t xml:space="preserve">CI1901101950</t>
  </si>
  <si>
    <t xml:space="preserve">51676125</t>
  </si>
  <si>
    <t xml:space="preserve">12:13:41</t>
  </si>
  <si>
    <t xml:space="preserve">CI1901101951</t>
  </si>
  <si>
    <t xml:space="preserve">51676126</t>
  </si>
  <si>
    <t xml:space="preserve">12:13:45</t>
  </si>
  <si>
    <t xml:space="preserve">CI1901101952</t>
  </si>
  <si>
    <t xml:space="preserve">51676127</t>
  </si>
  <si>
    <t xml:space="preserve">12:13:50</t>
  </si>
  <si>
    <t xml:space="preserve">CI1901101953</t>
  </si>
  <si>
    <t xml:space="preserve">51676128</t>
  </si>
  <si>
    <t xml:space="preserve">12:13:55</t>
  </si>
  <si>
    <t xml:space="preserve">CI1901101954</t>
  </si>
  <si>
    <t xml:space="preserve">51676129</t>
  </si>
  <si>
    <t xml:space="preserve">12:13:59</t>
  </si>
  <si>
    <t xml:space="preserve">CI1901101955</t>
  </si>
  <si>
    <t xml:space="preserve">51676130</t>
  </si>
  <si>
    <t xml:space="preserve">12:14:03</t>
  </si>
  <si>
    <t xml:space="preserve">CI1901101930</t>
  </si>
  <si>
    <t xml:space="preserve">51675936</t>
  </si>
  <si>
    <t xml:space="preserve">11:49:10</t>
  </si>
  <si>
    <t xml:space="preserve">CI1901101931</t>
  </si>
  <si>
    <t xml:space="preserve">51675981</t>
  </si>
  <si>
    <t xml:space="preserve">11:56:28</t>
  </si>
  <si>
    <t xml:space="preserve">CI1901101932</t>
  </si>
  <si>
    <t xml:space="preserve">51675990</t>
  </si>
  <si>
    <t xml:space="preserve">11:57:44</t>
  </si>
  <si>
    <t xml:space="preserve">CI1901101933</t>
  </si>
  <si>
    <t xml:space="preserve">51675998</t>
  </si>
  <si>
    <t xml:space="preserve">11:59:00</t>
  </si>
  <si>
    <t xml:space="preserve">CI1901101934</t>
  </si>
  <si>
    <t xml:space="preserve">51676073</t>
  </si>
  <si>
    <t xml:space="preserve">12:07:05</t>
  </si>
  <si>
    <t xml:space="preserve">CI1901101935</t>
  </si>
  <si>
    <t xml:space="preserve">51676085</t>
  </si>
  <si>
    <t xml:space="preserve">12:08:40</t>
  </si>
  <si>
    <t xml:space="preserve">CI1901101939</t>
  </si>
  <si>
    <t xml:space="preserve">51676111</t>
  </si>
  <si>
    <t xml:space="preserve">12:11:52</t>
  </si>
  <si>
    <t xml:space="preserve">CI1901101940</t>
  </si>
  <si>
    <t xml:space="preserve">51676118</t>
  </si>
  <si>
    <t xml:space="preserve">12:13:19</t>
  </si>
  <si>
    <t xml:space="preserve">CI1901101941</t>
  </si>
  <si>
    <t xml:space="preserve">51676119</t>
  </si>
  <si>
    <t xml:space="preserve">12:13:23</t>
  </si>
  <si>
    <t xml:space="preserve">CI1904104247</t>
  </si>
  <si>
    <t xml:space="preserve">51602788</t>
  </si>
  <si>
    <t xml:space="preserve">17:22:51</t>
  </si>
  <si>
    <t xml:space="preserve">CI1904104246</t>
  </si>
  <si>
    <t xml:space="preserve">51602878</t>
  </si>
  <si>
    <t xml:space="preserve">17:40:23</t>
  </si>
  <si>
    <t xml:space="preserve">CI1904104245</t>
  </si>
  <si>
    <t xml:space="preserve">51602902</t>
  </si>
  <si>
    <t xml:space="preserve">17:47:14</t>
  </si>
  <si>
    <t xml:space="preserve">C11901100711</t>
  </si>
  <si>
    <t xml:space="preserve">51322577</t>
  </si>
  <si>
    <t xml:space="preserve">13:01:11</t>
  </si>
  <si>
    <t xml:space="preserve">C11901100703</t>
  </si>
  <si>
    <t xml:space="preserve">51322559</t>
  </si>
  <si>
    <t xml:space="preserve">12:57:55</t>
  </si>
  <si>
    <t xml:space="preserve">C11901100543</t>
  </si>
  <si>
    <t xml:space="preserve">51322525</t>
  </si>
  <si>
    <t xml:space="preserve">12:51:32</t>
  </si>
  <si>
    <t xml:space="preserve">CI1902102985</t>
  </si>
  <si>
    <t xml:space="preserve">51777427</t>
  </si>
  <si>
    <t xml:space="preserve">17:03:30</t>
  </si>
  <si>
    <t xml:space="preserve">CI1902102988</t>
  </si>
  <si>
    <t xml:space="preserve">51777428</t>
  </si>
  <si>
    <t xml:space="preserve">17:03:35</t>
  </si>
  <si>
    <t xml:space="preserve">CI1902102990</t>
  </si>
  <si>
    <t xml:space="preserve">51777429</t>
  </si>
  <si>
    <t xml:space="preserve">17:03:39</t>
  </si>
  <si>
    <t xml:space="preserve">CI1902102991</t>
  </si>
  <si>
    <t xml:space="preserve">51777430</t>
  </si>
  <si>
    <t xml:space="preserve">17:03:44</t>
  </si>
  <si>
    <t xml:space="preserve">CI1902102995</t>
  </si>
  <si>
    <t xml:space="preserve">51777431</t>
  </si>
  <si>
    <t xml:space="preserve">17:03:48</t>
  </si>
  <si>
    <t xml:space="preserve">CI1902102996</t>
  </si>
  <si>
    <t xml:space="preserve">51777432</t>
  </si>
  <si>
    <t xml:space="preserve">17:03:53</t>
  </si>
  <si>
    <t xml:space="preserve">CI1902102997</t>
  </si>
  <si>
    <t xml:space="preserve">51777433</t>
  </si>
  <si>
    <t xml:space="preserve">17:03:58</t>
  </si>
  <si>
    <t xml:space="preserve">CI1902102998</t>
  </si>
  <si>
    <t xml:space="preserve">51777434</t>
  </si>
  <si>
    <t xml:space="preserve">17:04:02</t>
  </si>
  <si>
    <t xml:space="preserve">CI1902102999</t>
  </si>
  <si>
    <t xml:space="preserve">51777435</t>
  </si>
  <si>
    <t xml:space="preserve">17:04:07</t>
  </si>
  <si>
    <t xml:space="preserve">CI1902103000</t>
  </si>
  <si>
    <t xml:space="preserve">51777436</t>
  </si>
  <si>
    <t xml:space="preserve">17:04:11</t>
  </si>
  <si>
    <t xml:space="preserve">CI1902103001</t>
  </si>
  <si>
    <t xml:space="preserve">51777437</t>
  </si>
  <si>
    <t xml:space="preserve">17:04:16</t>
  </si>
  <si>
    <t xml:space="preserve">CI1902103002</t>
  </si>
  <si>
    <t xml:space="preserve">51777438</t>
  </si>
  <si>
    <t xml:space="preserve">17:04:20</t>
  </si>
  <si>
    <t xml:space="preserve">CI1902103003</t>
  </si>
  <si>
    <t xml:space="preserve">51777439</t>
  </si>
  <si>
    <t xml:space="preserve">17:04:25</t>
  </si>
  <si>
    <t xml:space="preserve">CII904103682</t>
  </si>
  <si>
    <t xml:space="preserve">3700796951</t>
  </si>
  <si>
    <t xml:space="preserve">51573028</t>
  </si>
  <si>
    <t xml:space="preserve">12:42:05</t>
  </si>
  <si>
    <t xml:space="preserve">C11901100358</t>
  </si>
  <si>
    <t xml:space="preserve">CONSTRN CHNL;STEEL LEAP CHANNEL ,E 250 ,(CN100024)</t>
  </si>
  <si>
    <t xml:space="preserve">2100560010</t>
  </si>
  <si>
    <t xml:space="preserve">51309578</t>
  </si>
  <si>
    <t xml:space="preserve">10:58:11</t>
  </si>
  <si>
    <t xml:space="preserve">CI1901101405</t>
  </si>
  <si>
    <t xml:space="preserve">Bill Receipt Date :06.12.2019</t>
  </si>
  <si>
    <t xml:space="preserve">2100569014</t>
  </si>
  <si>
    <t xml:space="preserve">51535537</t>
  </si>
  <si>
    <t xml:space="preserve">15:15:24</t>
  </si>
  <si>
    <t xml:space="preserve">CI1901101406</t>
  </si>
  <si>
    <t xml:space="preserve">Bill Receipt Date :09.12.2019</t>
  </si>
  <si>
    <t xml:space="preserve">2100569670</t>
  </si>
  <si>
    <t xml:space="preserve">51540056</t>
  </si>
  <si>
    <t xml:space="preserve">12-12-2019</t>
  </si>
  <si>
    <t xml:space="preserve">15:36:14</t>
  </si>
  <si>
    <t xml:space="preserve">CI1902102899</t>
  </si>
  <si>
    <t xml:space="preserve">51777447</t>
  </si>
  <si>
    <t xml:space="preserve">17:05:01</t>
  </si>
  <si>
    <t xml:space="preserve">CI1902102900</t>
  </si>
  <si>
    <t xml:space="preserve">51777448</t>
  </si>
  <si>
    <t xml:space="preserve">17:05:06</t>
  </si>
  <si>
    <t xml:space="preserve">CI1902102901</t>
  </si>
  <si>
    <t xml:space="preserve">51777449</t>
  </si>
  <si>
    <t xml:space="preserve">17:05:11</t>
  </si>
  <si>
    <t xml:space="preserve">CI1902102902</t>
  </si>
  <si>
    <t xml:space="preserve">51777450</t>
  </si>
  <si>
    <t xml:space="preserve">17:05:15</t>
  </si>
  <si>
    <t xml:space="preserve">CI1902102903</t>
  </si>
  <si>
    <t xml:space="preserve">51777452</t>
  </si>
  <si>
    <t xml:space="preserve">17:05:20</t>
  </si>
  <si>
    <t xml:space="preserve">CI1902102904</t>
  </si>
  <si>
    <t xml:space="preserve">51777453</t>
  </si>
  <si>
    <t xml:space="preserve">17:05:25</t>
  </si>
  <si>
    <t xml:space="preserve">CI1902102910</t>
  </si>
  <si>
    <t xml:space="preserve">51777454</t>
  </si>
  <si>
    <t xml:space="preserve">17:05:30</t>
  </si>
  <si>
    <t xml:space="preserve">CI1902102915</t>
  </si>
  <si>
    <t xml:space="preserve">51777455</t>
  </si>
  <si>
    <t xml:space="preserve">17:05:34</t>
  </si>
  <si>
    <t xml:space="preserve">CI1902102916</t>
  </si>
  <si>
    <t xml:space="preserve">51777456</t>
  </si>
  <si>
    <t xml:space="preserve">17:05:39</t>
  </si>
  <si>
    <t xml:space="preserve">C11901100390</t>
  </si>
  <si>
    <t xml:space="preserve">51322504</t>
  </si>
  <si>
    <t xml:space="preserve">12:47:03</t>
  </si>
  <si>
    <t xml:space="preserve">16:06:55</t>
  </si>
  <si>
    <t xml:space="preserve">51565344</t>
  </si>
  <si>
    <t xml:space="preserve">10:59:23</t>
  </si>
  <si>
    <t xml:space="preserve">C11901101534</t>
  </si>
  <si>
    <t xml:space="preserve">51603246</t>
  </si>
  <si>
    <t xml:space="preserve">15-01-2020</t>
  </si>
  <si>
    <t xml:space="preserve">09:27:18</t>
  </si>
  <si>
    <t xml:space="preserve">C11901101535</t>
  </si>
  <si>
    <t xml:space="preserve">51603254</t>
  </si>
  <si>
    <t xml:space="preserve">09:30:07</t>
  </si>
  <si>
    <t xml:space="preserve">HSM/LOV/RAB/01</t>
  </si>
  <si>
    <t xml:space="preserve">3800014767</t>
  </si>
  <si>
    <t xml:space="preserve">51565243</t>
  </si>
  <si>
    <t xml:space="preserve">09:41:33</t>
  </si>
  <si>
    <t xml:space="preserve">CI1904103963</t>
  </si>
  <si>
    <t xml:space="preserve">3700796847</t>
  </si>
  <si>
    <t xml:space="preserve">51730598</t>
  </si>
  <si>
    <t xml:space="preserve">06-03-2020</t>
  </si>
  <si>
    <t xml:space="preserve">14:38:05</t>
  </si>
  <si>
    <t xml:space="preserve">CI1904103966</t>
  </si>
  <si>
    <t xml:space="preserve">51730632</t>
  </si>
  <si>
    <t xml:space="preserve">14:46:15</t>
  </si>
  <si>
    <t xml:space="preserve">CI1904103964</t>
  </si>
  <si>
    <t xml:space="preserve">51730640</t>
  </si>
  <si>
    <t xml:space="preserve">14:48:22</t>
  </si>
  <si>
    <t xml:space="preserve">CI1904103967</t>
  </si>
  <si>
    <t xml:space="preserve">51730646</t>
  </si>
  <si>
    <t xml:space="preserve">14:49:34</t>
  </si>
  <si>
    <t xml:space="preserve">CI1904103969</t>
  </si>
  <si>
    <t xml:space="preserve">51730953</t>
  </si>
  <si>
    <t xml:space="preserve">15:32:27</t>
  </si>
  <si>
    <t xml:space="preserve">CI1904103968</t>
  </si>
  <si>
    <t xml:space="preserve">51730972</t>
  </si>
  <si>
    <t xml:space="preserve">15:35:01</t>
  </si>
  <si>
    <t xml:space="preserve">CI1904103970</t>
  </si>
  <si>
    <t xml:space="preserve">51730993</t>
  </si>
  <si>
    <t xml:space="preserve">15:37:57</t>
  </si>
  <si>
    <t xml:space="preserve">CI1904103971</t>
  </si>
  <si>
    <t xml:space="preserve">51730999</t>
  </si>
  <si>
    <t xml:space="preserve">CI1904103973</t>
  </si>
  <si>
    <t xml:space="preserve">51731011</t>
  </si>
  <si>
    <t xml:space="preserve">15:39:46</t>
  </si>
  <si>
    <t xml:space="preserve">CI1904103972</t>
  </si>
  <si>
    <t xml:space="preserve">51731020</t>
  </si>
  <si>
    <t xml:space="preserve">15:40:40</t>
  </si>
  <si>
    <t xml:space="preserve">CI1904103974</t>
  </si>
  <si>
    <t xml:space="preserve">51731035</t>
  </si>
  <si>
    <t xml:space="preserve">15:42:41</t>
  </si>
  <si>
    <t xml:space="preserve">CI1904103975</t>
  </si>
  <si>
    <t xml:space="preserve">51731055</t>
  </si>
  <si>
    <t xml:space="preserve">15:44:48</t>
  </si>
  <si>
    <t xml:space="preserve">CI1904103965</t>
  </si>
  <si>
    <t xml:space="preserve">51731063</t>
  </si>
  <si>
    <t xml:space="preserve">15:45:57</t>
  </si>
  <si>
    <t xml:space="preserve">CI1904103976</t>
  </si>
  <si>
    <t xml:space="preserve">51731142</t>
  </si>
  <si>
    <t xml:space="preserve">15:55:18</t>
  </si>
  <si>
    <t xml:space="preserve">CI1904103940</t>
  </si>
  <si>
    <t xml:space="preserve">51730546</t>
  </si>
  <si>
    <t xml:space="preserve">14:29:31</t>
  </si>
  <si>
    <t xml:space="preserve">CI1904103941</t>
  </si>
  <si>
    <t xml:space="preserve">51730553</t>
  </si>
  <si>
    <t xml:space="preserve">14:31:11</t>
  </si>
  <si>
    <t xml:space="preserve">CI1904103942</t>
  </si>
  <si>
    <t xml:space="preserve">51730562</t>
  </si>
  <si>
    <t xml:space="preserve">14:33:08</t>
  </si>
  <si>
    <t xml:space="preserve">CI1904103943</t>
  </si>
  <si>
    <t xml:space="preserve">51730574</t>
  </si>
  <si>
    <t xml:space="preserve">14:34:19</t>
  </si>
  <si>
    <t xml:space="preserve">CI1904103944</t>
  </si>
  <si>
    <t xml:space="preserve">51730582</t>
  </si>
  <si>
    <t xml:space="preserve">14:35:44</t>
  </si>
  <si>
    <t xml:space="preserve">CI1904103945</t>
  </si>
  <si>
    <t xml:space="preserve">51730586</t>
  </si>
  <si>
    <t xml:space="preserve">14:36:48</t>
  </si>
  <si>
    <t xml:space="preserve">CI1904103939</t>
  </si>
  <si>
    <t xml:space="preserve">51731044</t>
  </si>
  <si>
    <t xml:space="preserve">15:43:40</t>
  </si>
  <si>
    <t xml:space="preserve">CI1904101781</t>
  </si>
  <si>
    <t xml:space="preserve">Bill Receipt Date :16.11.2019</t>
  </si>
  <si>
    <t xml:space="preserve">3700791747</t>
  </si>
  <si>
    <t xml:space="preserve">51502828</t>
  </si>
  <si>
    <t xml:space="preserve">25-11-2019</t>
  </si>
  <si>
    <t xml:space="preserve">14:47:56</t>
  </si>
  <si>
    <t xml:space="preserve">HSM/ERE/RAB/25</t>
  </si>
  <si>
    <t xml:space="preserve">3800008314</t>
  </si>
  <si>
    <t xml:space="preserve">51565329</t>
  </si>
  <si>
    <t xml:space="preserve">10:49:13</t>
  </si>
  <si>
    <t xml:space="preserve">CI0004107075LD</t>
  </si>
  <si>
    <t xml:space="preserve">RA</t>
  </si>
  <si>
    <t xml:space="preserve">*LD deducted against IV No. 5106145399 @ 4%</t>
  </si>
  <si>
    <t xml:space="preserve">52001308</t>
  </si>
  <si>
    <t xml:space="preserve">5149102</t>
  </si>
  <si>
    <t xml:space="preserve">Price Difference Account - Capital (PS)-PRD</t>
  </si>
  <si>
    <t xml:space="preserve">12:44:46</t>
  </si>
  <si>
    <t xml:space="preserve">NHSM/ERE/RAB/06</t>
  </si>
  <si>
    <t xml:space="preserve">3800010617</t>
  </si>
  <si>
    <t xml:space="preserve">51565340</t>
  </si>
  <si>
    <t xml:space="preserve">10:55:51</t>
  </si>
  <si>
    <t xml:space="preserve">CI1901100709</t>
  </si>
  <si>
    <t xml:space="preserve">CONSTRN SHEET;0.45 MM,1015 MM,2 M,COLORB</t>
  </si>
  <si>
    <t xml:space="preserve">2100560008</t>
  </si>
  <si>
    <t xml:space="preserve">51590651</t>
  </si>
  <si>
    <t xml:space="preserve">12:20:42</t>
  </si>
  <si>
    <t xml:space="preserve">HSM/ERE/RAB/25DN</t>
  </si>
  <si>
    <t xml:space="preserve">*Deduction against penalty for Gate Pass Clearance</t>
  </si>
  <si>
    <t xml:space="preserve">52022426</t>
  </si>
  <si>
    <t xml:space="preserve">10:52:30</t>
  </si>
  <si>
    <t xml:space="preserve">12:12:48</t>
  </si>
  <si>
    <t xml:space="preserve">SA</t>
  </si>
  <si>
    <t xml:space="preserve">23-07-2010</t>
  </si>
  <si>
    <t xml:space="preserve">01-03-2020</t>
  </si>
  <si>
    <t xml:space="preserve">Dummy IV Transfer to UCB GL</t>
  </si>
  <si>
    <t xml:space="preserve">Transfer to UCB</t>
  </si>
  <si>
    <t xml:space="preserve">2408403</t>
  </si>
  <si>
    <t xml:space="preserve">Unadjusted Credit Balance (Vendors)</t>
  </si>
  <si>
    <t xml:space="preserve">11:44:15</t>
  </si>
  <si>
    <t xml:space="preserve">20-07-2010</t>
  </si>
  <si>
    <t xml:space="preserve">11:45:02</t>
  </si>
  <si>
    <t xml:space="preserve">SB</t>
  </si>
  <si>
    <t xml:space="preserve">Gatepass/RFID Penalty Recovered from Vendor</t>
  </si>
  <si>
    <t xml:space="preserve">GATEPASS DD RECD</t>
  </si>
  <si>
    <t xml:space="preserve">56000291</t>
  </si>
  <si>
    <t xml:space="preserve">1242315</t>
  </si>
  <si>
    <t xml:space="preserve">SBI Current Account No 10750909153- Kalinganagar</t>
  </si>
  <si>
    <t xml:space="preserve">16:48:39</t>
  </si>
  <si>
    <t xml:space="preserve">GATE PASS</t>
  </si>
  <si>
    <t xml:space="preserve">AB</t>
  </si>
  <si>
    <t xml:space="preserve">DD 007452</t>
  </si>
  <si>
    <t xml:space="preserve">1242312</t>
  </si>
  <si>
    <t xml:space="preserve">Current Account With Sbi(Jsr) - Tubes</t>
  </si>
  <si>
    <t xml:space="preserve">37</t>
  </si>
  <si>
    <t xml:space="preserve">17:27:28</t>
  </si>
  <si>
    <t xml:space="preserve">Gatepass Penalty</t>
  </si>
  <si>
    <t xml:space="preserve">09:23:43</t>
  </si>
  <si>
    <t xml:space="preserve">16:28:13</t>
  </si>
  <si>
    <t xml:space="preserve">16:50:29</t>
  </si>
  <si>
    <t xml:space="preserve">Gate pass penalty</t>
  </si>
  <si>
    <t xml:space="preserve">17:50:59</t>
  </si>
  <si>
    <t xml:space="preserve">17:53:50</t>
  </si>
  <si>
    <t xml:space="preserve">RECO/ITC/18-19</t>
  </si>
  <si>
    <t xml:space="preserve">01-04-2018</t>
  </si>
  <si>
    <t xml:space="preserve">11-02-2020</t>
  </si>
  <si>
    <t xml:space="preserve">T085</t>
  </si>
  <si>
    <t xml:space="preserve">TATA BLUESCOPE STEEL LTD</t>
  </si>
  <si>
    <t xml:space="preserve">Recovery of ITC along with interest for 18-19</t>
  </si>
  <si>
    <t xml:space="preserve">Recovery of ITC with Inte</t>
  </si>
  <si>
    <t xml:space="preserve">93062212</t>
  </si>
  <si>
    <t xml:space="preserve">16:13:24</t>
  </si>
  <si>
    <t xml:space="preserve">RECO/ITC/19-20</t>
  </si>
  <si>
    <t xml:space="preserve">17-02-2020</t>
  </si>
  <si>
    <t xml:space="preserve">Recovery of ITC along with interest for 19-20</t>
  </si>
  <si>
    <t xml:space="preserve">93101630</t>
  </si>
  <si>
    <t xml:space="preserve">12:18:05</t>
  </si>
  <si>
    <t xml:space="preserve">12:14:40</t>
  </si>
  <si>
    <t xml:space="preserve">20:44:54</t>
  </si>
  <si>
    <t xml:space="preserve">11:15:34</t>
  </si>
  <si>
    <t xml:space="preserve">93412068</t>
  </si>
  <si>
    <t xml:space="preserve">05-04-2020</t>
  </si>
  <si>
    <t xml:space="preserve">17:40:37</t>
  </si>
  <si>
    <t xml:space="preserve">DocChq_Date</t>
  </si>
  <si>
    <t xml:space="preserve">VendorCustomer</t>
  </si>
  <si>
    <t xml:space="preserve">VendorCustomer_Name</t>
  </si>
  <si>
    <t xml:space="preserve">Text_                                                                                                    </t>
  </si>
  <si>
    <t xml:space="preserve">HDR_Text                                                                                                    </t>
  </si>
  <si>
    <t xml:space="preserve">InvSO_Reference</t>
  </si>
  <si>
    <t xml:space="preserve">DebitCredit</t>
  </si>
  <si>
    <t xml:space="preserve">Special_GL_Ind</t>
  </si>
  <si>
    <t xml:space="preserve">Tata BlueScope Steel Ltd</t>
  </si>
  <si>
    <t xml:space="preserve">Tata Steel Limited ( Kalinganagar)</t>
  </si>
  <si>
    <t xml:space="preserve">SI1904100019</t>
  </si>
  <si>
    <t xml:space="preserve">4700069343/172</t>
  </si>
  <si>
    <t xml:space="preserve">Customer - Domestic</t>
  </si>
  <si>
    <t xml:space="preserve">Short Payment Aug 19</t>
  </si>
  <si>
    <t xml:space="preserve">Tata Steel Ltd - Growth Shop</t>
  </si>
  <si>
    <t xml:space="preserve">Customer - Advance against Sale</t>
  </si>
  <si>
    <t xml:space="preserve">RV</t>
  </si>
  <si>
    <t xml:space="preserve">Revenue DS - Sale of Services Domestic</t>
  </si>
  <si>
    <t xml:space="preserve">DZ</t>
  </si>
  <si>
    <t xml:space="preserve">Tata Steel Ltd.</t>
  </si>
  <si>
    <t xml:space="preserve">IL36701909309640|HDFCR52019093</t>
  </si>
  <si>
    <t xml:space="preserve">IL36701909309640|HDFCR520</t>
  </si>
  <si>
    <t xml:space="preserve">Receipt</t>
  </si>
  <si>
    <t xml:space="preserve">Stanchart- Clearing Pune</t>
  </si>
  <si>
    <t xml:space="preserve">A</t>
  </si>
  <si>
    <t xml:space="preserve">SI1904100005</t>
  </si>
  <si>
    <t xml:space="preserve">TDS SI1904100016</t>
  </si>
  <si>
    <t xml:space="preserve">IL36701907081828|HDFCR52019070</t>
  </si>
  <si>
    <t xml:space="preserve">IL36701907081828|HDFCR520</t>
  </si>
  <si>
    <t xml:space="preserve">CN1901100024</t>
  </si>
  <si>
    <t xml:space="preserve">Tata Steel Limited, �Wire Division</t>
  </si>
  <si>
    <t xml:space="preserve">Freight DS - Domestic</t>
  </si>
  <si>
    <t xml:space="preserve">GST CREDIT ENTRY</t>
  </si>
  <si>
    <t xml:space="preserve">DA</t>
  </si>
  <si>
    <t xml:space="preserve">IGST on LD Tata Steel</t>
  </si>
  <si>
    <t xml:space="preserve">GST Credit TSL LD</t>
  </si>
  <si>
    <t xml:space="preserve">IGST Input Cr : Serv Proc: (1190) Kolkata</t>
  </si>
  <si>
    <t xml:space="preserve">TRF ENTRY</t>
  </si>
  <si>
    <t xml:space="preserve">Trf to 307259 IL36701907081828</t>
  </si>
  <si>
    <t xml:space="preserve">Trf entry</t>
  </si>
  <si>
    <t xml:space="preserve">Customer - Retention</t>
  </si>
  <si>
    <t xml:space="preserve">Y</t>
  </si>
  <si>
    <t xml:space="preserve">Retention Erection</t>
  </si>
  <si>
    <t xml:space="preserve">IL36701907045618|HDFCR52019070</t>
  </si>
  <si>
    <t xml:space="preserve">IL36701907045618|HDFCR520</t>
  </si>
  <si>
    <t xml:space="preserve">Trf Fm 309085</t>
  </si>
  <si>
    <t xml:space="preserve">Trf Entry</t>
  </si>
  <si>
    <t xml:space="preserve">TATA STEEL LIMITED</t>
  </si>
  <si>
    <t xml:space="preserve">SI1904100006</t>
  </si>
  <si>
    <t xml:space="preserve">SI1904100034</t>
  </si>
  <si>
    <t xml:space="preserve">4404899885/901</t>
  </si>
  <si>
    <t xml:space="preserve">R OFF</t>
  </si>
  <si>
    <t xml:space="preserve">Tata Steel limited ( CRC )</t>
  </si>
  <si>
    <t xml:space="preserve">R off-Small Balance306263</t>
  </si>
  <si>
    <t xml:space="preserve">R off</t>
  </si>
  <si>
    <t xml:space="preserve">Rounding differences</t>
  </si>
  <si>
    <t xml:space="preserve">SI1904100007</t>
  </si>
  <si>
    <t xml:space="preserve">IL36701908052447|HDFCR52019080</t>
  </si>
  <si>
    <t xml:space="preserve">IL36701908052447|HDFCR520</t>
  </si>
  <si>
    <t xml:space="preserve">IL36701908294865|HDFCR52019082</t>
  </si>
  <si>
    <t xml:space="preserve">IL36701908294865|HDFCR520</t>
  </si>
  <si>
    <t xml:space="preserve">TDS SI1904100022</t>
  </si>
  <si>
    <t xml:space="preserve">Tata Steel Limited (Tubes Division)</t>
  </si>
  <si>
    <t xml:space="preserve">SI1904100022</t>
  </si>
  <si>
    <t xml:space="preserve">4404806804/901</t>
  </si>
  <si>
    <t xml:space="preserve">3000125388/806</t>
  </si>
  <si>
    <t xml:space="preserve">TDS SI1904100020</t>
  </si>
  <si>
    <t xml:space="preserve">CI1901101069</t>
  </si>
  <si>
    <t xml:space="preserve">Tata steel (Engineering Services)</t>
  </si>
  <si>
    <t xml:space="preserve">4404900489/133</t>
  </si>
  <si>
    <t xml:space="preserve">LD DEBIT</t>
  </si>
  <si>
    <t xml:space="preserve">LD Debit as per mail Attchment  ( GST )</t>
  </si>
  <si>
    <t xml:space="preserve">LD Debit</t>
  </si>
  <si>
    <t xml:space="preserve">M0262</t>
  </si>
  <si>
    <t xml:space="preserve">MUKTA ENGINEERS</t>
  </si>
  <si>
    <t xml:space="preserve">4404744126/133</t>
  </si>
  <si>
    <t xml:space="preserve">SI1901100021</t>
  </si>
  <si>
    <t xml:space="preserve">4700070596/172</t>
  </si>
  <si>
    <t xml:space="preserve">2100569670/807</t>
  </si>
  <si>
    <t xml:space="preserve">Revenue DS - Domestic Sales</t>
  </si>
  <si>
    <t xml:space="preserve">TDS SI1901100021</t>
  </si>
  <si>
    <t xml:space="preserve">CI1901101068</t>
  </si>
  <si>
    <t xml:space="preserve">Project Revenue - Domestic</t>
  </si>
  <si>
    <t xml:space="preserve">TDS SI1904100023</t>
  </si>
  <si>
    <t xml:space="preserve">SI1904100021</t>
  </si>
  <si>
    <t xml:space="preserve">IL36701907126076|HDFCR52019071</t>
  </si>
  <si>
    <t xml:space="preserve">IL36701907126076|HDFCR520</t>
  </si>
  <si>
    <t xml:space="preserve">TDS SI1901100012</t>
  </si>
  <si>
    <t xml:space="preserve">TDS SI1904100012</t>
  </si>
  <si>
    <t xml:space="preserve">4700066177/554</t>
  </si>
  <si>
    <t xml:space="preserve">IL36701907106472|HDFCR52019071</t>
  </si>
  <si>
    <t xml:space="preserve">IL36701907106472|HDFCR520</t>
  </si>
  <si>
    <t xml:space="preserve">SI1904100024</t>
  </si>
  <si>
    <t xml:space="preserve">CI1901101130</t>
  </si>
  <si>
    <t xml:space="preserve">HDFCR52015093006260723 dt 30.09.2015 FREIGHT</t>
  </si>
  <si>
    <t xml:space="preserve">SI1904100062</t>
  </si>
  <si>
    <t xml:space="preserve">CI1901101063</t>
  </si>
  <si>
    <t xml:space="preserve">Trf to 312193</t>
  </si>
  <si>
    <t xml:space="preserve">4700074501/554</t>
  </si>
  <si>
    <t xml:space="preserve">IL36701908223353</t>
  </si>
  <si>
    <t xml:space="preserve">IL36701908223353|HDFCR52019082292309313</t>
  </si>
  <si>
    <t xml:space="preserve">IL36701908223353|HDFCR520</t>
  </si>
  <si>
    <t xml:space="preserve">4404444838/902</t>
  </si>
  <si>
    <t xml:space="preserve">IL36701907263032|HDFCR52019072</t>
  </si>
  <si>
    <t xml:space="preserve">IL36701907263032|HDFCR520</t>
  </si>
  <si>
    <t xml:space="preserve">4404452217/902</t>
  </si>
  <si>
    <t xml:space="preserve">SI1904100008</t>
  </si>
  <si>
    <t xml:space="preserve">CI1904101057</t>
  </si>
  <si>
    <t xml:space="preserve">2100552074/053</t>
  </si>
  <si>
    <t xml:space="preserve">CI1901101056</t>
  </si>
  <si>
    <t xml:space="preserve">CI1904102989</t>
  </si>
  <si>
    <t xml:space="preserve">2100570955/053</t>
  </si>
  <si>
    <t xml:space="preserve">TDS SI1904100019</t>
  </si>
  <si>
    <t xml:space="preserve">CI1904101058</t>
  </si>
  <si>
    <t xml:space="preserve">4404497825/961</t>
  </si>
  <si>
    <t xml:space="preserve">TDS SI1904100014</t>
  </si>
  <si>
    <t xml:space="preserve">2300051572/814</t>
  </si>
  <si>
    <t xml:space="preserve">TDS SI1904100017</t>
  </si>
  <si>
    <t xml:space="preserve">IL36701907303164|HDFCR52019073</t>
  </si>
  <si>
    <t xml:space="preserve">IL36701907303164|HDFCR520</t>
  </si>
  <si>
    <t xml:space="preserve">TDS SI1904100025</t>
  </si>
  <si>
    <t xml:space="preserve">TDS SI1904100021</t>
  </si>
  <si>
    <t xml:space="preserve">4404264655/961</t>
  </si>
  <si>
    <t xml:space="preserve">CI1904103682</t>
  </si>
  <si>
    <t xml:space="preserve">3700796951/109</t>
  </si>
  <si>
    <t xml:space="preserve">CI1901100358</t>
  </si>
  <si>
    <t xml:space="preserve">2100560010/807</t>
  </si>
  <si>
    <t xml:space="preserve">SI1904100033</t>
  </si>
  <si>
    <t xml:space="preserve">3000123132/554</t>
  </si>
  <si>
    <t xml:space="preserve">4404276998/902</t>
  </si>
  <si>
    <t xml:space="preserve">TDS SI1904100030</t>
  </si>
  <si>
    <t xml:space="preserve">TDS SI1901100018</t>
  </si>
  <si>
    <t xml:space="preserve">TDS SI1904100035</t>
  </si>
  <si>
    <t xml:space="preserve">SI1901100041</t>
  </si>
  <si>
    <t xml:space="preserve">3800014767/118</t>
  </si>
  <si>
    <t xml:space="preserve">IL36701908202299|HDFCR52019082</t>
  </si>
  <si>
    <t xml:space="preserve">IL36701908202299|HDFCR520</t>
  </si>
  <si>
    <t xml:space="preserve">IL36701907254506|HDFCR52019072</t>
  </si>
  <si>
    <t xml:space="preserve">IL36701907254506|HDFCR520</t>
  </si>
  <si>
    <t xml:space="preserve">IL36701909094112|HDFCR52019090</t>
  </si>
  <si>
    <t xml:space="preserve">IL36701909094112|HDFCR520</t>
  </si>
  <si>
    <t xml:space="preserve">4404614041/961</t>
  </si>
  <si>
    <t xml:space="preserve">TDS SI1901100014</t>
  </si>
  <si>
    <t xml:space="preserve">Trf fm 305576 IL36701909309640</t>
  </si>
  <si>
    <t xml:space="preserve">SI1904100035</t>
  </si>
  <si>
    <t xml:space="preserve">2100559131/807</t>
  </si>
  <si>
    <t xml:space="preserve">SI1904100020</t>
  </si>
  <si>
    <t xml:space="preserve">Bal to be trf to 307259 IL36701907081828</t>
  </si>
  <si>
    <t xml:space="preserve">TDS SI1904100026</t>
  </si>
  <si>
    <t xml:space="preserve">TDS SI1904100027</t>
  </si>
  <si>
    <t xml:space="preserve">IL36701908062840|HDFCR52019080</t>
  </si>
  <si>
    <t xml:space="preserve">IL36701908062840|HDFCR520</t>
  </si>
  <si>
    <t xml:space="preserve">TDS SI1904100028</t>
  </si>
  <si>
    <t xml:space="preserve">2100569014/807</t>
  </si>
  <si>
    <t xml:space="preserve">CI1901101534</t>
  </si>
  <si>
    <t xml:space="preserve">2300051923/118</t>
  </si>
  <si>
    <t xml:space="preserve">IN3670190718L231|N199190879077</t>
  </si>
  <si>
    <t xml:space="preserve">IN3670190718L231|N1991908</t>
  </si>
  <si>
    <t xml:space="preserve">TDS SI1904100015</t>
  </si>
  <si>
    <t xml:space="preserve">IL36701909306783</t>
  </si>
  <si>
    <t xml:space="preserve">IL36701909306783|HDFCR52019093097722111</t>
  </si>
  <si>
    <t xml:space="preserve">IL36701909306783|HDFCR520</t>
  </si>
  <si>
    <t xml:space="preserve">IN3670190705CP51|N186190868765</t>
  </si>
  <si>
    <t xml:space="preserve">IN3670190705CP51|N1861908</t>
  </si>
  <si>
    <t xml:space="preserve">CI1901101535</t>
  </si>
  <si>
    <t xml:space="preserve">IL36701907294505|HDFCR52019072</t>
  </si>
  <si>
    <t xml:space="preserve">IL36701907294505|HDFCR520</t>
  </si>
  <si>
    <t xml:space="preserve">SI1901100032</t>
  </si>
  <si>
    <t xml:space="preserve">3800014628/118</t>
  </si>
  <si>
    <t xml:space="preserve">Trf From 305576 IL36701907081828</t>
  </si>
  <si>
    <t xml:space="preserve">3700796847/118</t>
  </si>
  <si>
    <t xml:space="preserve">IL36701908232663|HDFCR52019082</t>
  </si>
  <si>
    <t xml:space="preserve">IL36701908232663|HDFCR520</t>
  </si>
  <si>
    <t xml:space="preserve">IL36701908281522|HDFCR52019082</t>
  </si>
  <si>
    <t xml:space="preserve">IL36701908281522|HDFCR520</t>
  </si>
  <si>
    <t xml:space="preserve">Supply Retention</t>
  </si>
  <si>
    <t xml:space="preserve">IL36701908232603|HDFCR52019082</t>
  </si>
  <si>
    <t xml:space="preserve">IL36701908232603|HDFCR520</t>
  </si>
  <si>
    <t xml:space="preserve">TDS SI1904100033</t>
  </si>
  <si>
    <t xml:space="preserve">CI1901101103</t>
  </si>
  <si>
    <t xml:space="preserve">Bal of Erection IL36701909309640</t>
  </si>
  <si>
    <t xml:space="preserve">IL36701907114421|HDFCR52019071</t>
  </si>
  <si>
    <t xml:space="preserve">IL36701907114421|HDFCR520</t>
  </si>
  <si>
    <t xml:space="preserve">TDS SI1904100034</t>
  </si>
  <si>
    <t xml:space="preserve">Erection Retention</t>
  </si>
  <si>
    <t xml:space="preserve">IL36701907313936|HDFCR52019073</t>
  </si>
  <si>
    <t xml:space="preserve">IL36701907313936|HDFCR520</t>
  </si>
  <si>
    <t xml:space="preserve">IL36701907014821|HDFCR52019070</t>
  </si>
  <si>
    <t xml:space="preserve">IL36701907014821|HDFCR520</t>
  </si>
  <si>
    <t xml:space="preserve">TDS SI1904100024</t>
  </si>
  <si>
    <t xml:space="preserve">IL36701909022813|HDFCR52019090</t>
  </si>
  <si>
    <t xml:space="preserve">IL36701909022813|HDFCR520</t>
  </si>
  <si>
    <t xml:space="preserve">SI1904100023</t>
  </si>
  <si>
    <t xml:space="preserve">IL36701908213337|HDFCR52019082</t>
  </si>
  <si>
    <t xml:space="preserve">IL36701908213337|HDFCR520</t>
  </si>
  <si>
    <t xml:space="preserve">IL36701907056214|HDFCR52019070</t>
  </si>
  <si>
    <t xml:space="preserve">IL36701907056214|HDFCR520</t>
  </si>
  <si>
    <t xml:space="preserve">SI1901100010</t>
  </si>
  <si>
    <t xml:space="preserve">3800008314/118</t>
  </si>
  <si>
    <t xml:space="preserve">Tata Steel Limited - LD1 Fire Servi</t>
  </si>
  <si>
    <t xml:space="preserve">IL36701906105109|HDFCR52019061</t>
  </si>
  <si>
    <t xml:space="preserve">IL36701906105109|HDFCR520</t>
  </si>
  <si>
    <t xml:space="preserve">Tata Steel Limited, Jamadoba Group</t>
  </si>
  <si>
    <t xml:space="preserve">RCHT00108D TDS Ded @2% 1713.36 Jan To March-19*2</t>
  </si>
  <si>
    <t xml:space="preserve">Tata Steel Limited (BPRS Substation</t>
  </si>
  <si>
    <t xml:space="preserve">IL36701904025708|HDFCR52019040</t>
  </si>
  <si>
    <t xml:space="preserve">IL36701904025708|HDFCR520</t>
  </si>
  <si>
    <t xml:space="preserve">CI1901100975</t>
  </si>
  <si>
    <t xml:space="preserve">TDS SI0004100030</t>
  </si>
  <si>
    <t xml:space="preserve">RCHT00079C TDS Ded @2% 112424 Jan To March-19</t>
  </si>
  <si>
    <t xml:space="preserve">TDS Ded @2% Jan To March-</t>
  </si>
  <si>
    <t xml:space="preserve">TDS Received - Customer</t>
  </si>
  <si>
    <t xml:space="preserve">TDS JUNE 19</t>
  </si>
  <si>
    <t xml:space="preserve">TDS June 19</t>
  </si>
  <si>
    <t xml:space="preserve">TDS SI0001100063</t>
  </si>
  <si>
    <t xml:space="preserve">TDS SI0004100017</t>
  </si>
  <si>
    <t xml:space="preserve">Revenue DS - Domestic Trading</t>
  </si>
  <si>
    <t xml:space="preserve">RCHT00079C TDS Ded @2% 72436 Jan To March-19</t>
  </si>
  <si>
    <t xml:space="preserve">TRF TO RET</t>
  </si>
  <si>
    <t xml:space="preserve">Ret CI0004102710 and  CI0004105672</t>
  </si>
  <si>
    <t xml:space="preserve">Trf to Retention</t>
  </si>
  <si>
    <t xml:space="preserve">RETENTION</t>
  </si>
  <si>
    <t xml:space="preserve">Retention</t>
  </si>
  <si>
    <t xml:space="preserve">TATA STEEL LIMITED (Noamundi)</t>
  </si>
  <si>
    <t xml:space="preserve">TDS SI1904100005</t>
  </si>
  <si>
    <t xml:space="preserve">Trf to 309728 Tata Steel Growth Shop</t>
  </si>
  <si>
    <t xml:space="preserve">Retention SI1904100001 BP3-2391</t>
  </si>
  <si>
    <t xml:space="preserve">CN1901100002</t>
  </si>
  <si>
    <t xml:space="preserve">SI1901100007</t>
  </si>
  <si>
    <t xml:space="preserve">IN3670190418M111|N108190804500</t>
  </si>
  <si>
    <t xml:space="preserve">IN3670190418M111|N1081908</t>
  </si>
  <si>
    <t xml:space="preserve">CI1901100894</t>
  </si>
  <si>
    <t xml:space="preserve">Trf  Fm 312193 Tata Steel Limited ( Kalinganagar)</t>
  </si>
  <si>
    <t xml:space="preserve">CI1901100750</t>
  </si>
  <si>
    <t xml:space="preserve">CI1901100543</t>
  </si>
  <si>
    <t xml:space="preserve">TDS SI0004100018</t>
  </si>
  <si>
    <t xml:space="preserve">TDS SI1904100008</t>
  </si>
  <si>
    <t xml:space="preserve">RCHT00079C TDS Ded @2% 720720 Jan To March-19</t>
  </si>
  <si>
    <t xml:space="preserve">CI1901101041</t>
  </si>
  <si>
    <t xml:space="preserve">IL36701904104061|HDFCR52019041</t>
  </si>
  <si>
    <t xml:space="preserve">IL36701904104061|HDFCR520</t>
  </si>
  <si>
    <t xml:space="preserve">Trf to Tet</t>
  </si>
  <si>
    <t xml:space="preserve">CI1901100997</t>
  </si>
  <si>
    <t xml:space="preserve">TDS SI1904100006</t>
  </si>
  <si>
    <t xml:space="preserve">TDS SI0004100032</t>
  </si>
  <si>
    <t xml:space="preserve">TDS SI1901100007</t>
  </si>
  <si>
    <t xml:space="preserve">IN3670190412BF06</t>
  </si>
  <si>
    <t xml:space="preserve">IN3670190412BF06|N102190800737014</t>
  </si>
  <si>
    <t xml:space="preserve">IN3670190412BF06|N1021908</t>
  </si>
  <si>
    <t xml:space="preserve">RCHT00108D TDS Ded @2% 1713.36 Jan To March-19</t>
  </si>
  <si>
    <t xml:space="preserve">TDS SI0001100055</t>
  </si>
  <si>
    <t xml:space="preserve">IL36701904235033</t>
  </si>
  <si>
    <t xml:space="preserve">Tata Steel - SSP</t>
  </si>
  <si>
    <t xml:space="preserve">IL36701904235033|HDFCR52019042375024786</t>
  </si>
  <si>
    <t xml:space="preserve">IL36701904235033|HDFCR520</t>
  </si>
  <si>
    <t xml:space="preserve">TDS SI1904100007</t>
  </si>
  <si>
    <t xml:space="preserve">IL36701906283773|HDFCR52019062</t>
  </si>
  <si>
    <t xml:space="preserve">IL36701906283773|HDFCR520</t>
  </si>
  <si>
    <t xml:space="preserve">IN3670190612AP29|N163190849591</t>
  </si>
  <si>
    <t xml:space="preserve">IN3670190612AP29|N1631908</t>
  </si>
  <si>
    <t xml:space="preserve">IL36701904056029|HDFCR52019040</t>
  </si>
  <si>
    <t xml:space="preserve">IL36701904056029|HDFCR520</t>
  </si>
  <si>
    <t xml:space="preserve">SI1904100014</t>
  </si>
  <si>
    <t xml:space="preserve">SI1904100011</t>
  </si>
  <si>
    <t xml:space="preserve">CI1901100708</t>
  </si>
  <si>
    <t xml:space="preserve">SI1904100016</t>
  </si>
  <si>
    <t xml:space="preserve">CI1901100707</t>
  </si>
  <si>
    <t xml:space="preserve">2100563033/807</t>
  </si>
  <si>
    <t xml:space="preserve">IL36701905215409|HDFCR52019052</t>
  </si>
  <si>
    <t xml:space="preserve">IL36701905215409|HDFCR520</t>
  </si>
  <si>
    <t xml:space="preserve">2300051433/814</t>
  </si>
  <si>
    <t xml:space="preserve">CI1901100990</t>
  </si>
  <si>
    <t xml:space="preserve">BBNT00115D TDS Ded @2% 963500 Jan To March-19</t>
  </si>
  <si>
    <t xml:space="preserve">TDS SI1904100001 BP3-2391</t>
  </si>
  <si>
    <t xml:space="preserve">3800014533/109</t>
  </si>
  <si>
    <t xml:space="preserve">IN3670190404X389|N094190793184</t>
  </si>
  <si>
    <t xml:space="preserve">IN3670190404X389|N0941907</t>
  </si>
  <si>
    <t xml:space="preserve">IL36701904293354|HDFCR52019042</t>
  </si>
  <si>
    <t xml:space="preserve">IL36701904293354|HDFCR520</t>
  </si>
  <si>
    <t xml:space="preserve">TDS SI0001100059</t>
  </si>
  <si>
    <t xml:space="preserve">3800014331/124</t>
  </si>
  <si>
    <t xml:space="preserve">2300049475/118</t>
  </si>
  <si>
    <t xml:space="preserve">Retention SI0001100044</t>
  </si>
  <si>
    <t xml:space="preserve">LD CI0004107075</t>
  </si>
  <si>
    <t xml:space="preserve">BBNT00115D TDS Ded @2% 11159.39 Jan To March-19</t>
  </si>
  <si>
    <t xml:space="preserve">SI1901100011</t>
  </si>
  <si>
    <t xml:space="preserve">SI1904100009</t>
  </si>
  <si>
    <t xml:space="preserve">2100560008/807</t>
  </si>
  <si>
    <t xml:space="preserve">CI1901100998</t>
  </si>
  <si>
    <t xml:space="preserve">SI1904100010</t>
  </si>
  <si>
    <t xml:space="preserve">CI1901100761</t>
  </si>
  <si>
    <t xml:space="preserve">IL36701905143483|HDFCR52019051</t>
  </si>
  <si>
    <t xml:space="preserve">IL36701905143483|HDFCR520</t>
  </si>
  <si>
    <t xml:space="preserve">2100556473/814</t>
  </si>
  <si>
    <t xml:space="preserve">RCHT00079C TDS Ded @2% 104741 Jan To March-19</t>
  </si>
  <si>
    <t xml:space="preserve">SI1901100005</t>
  </si>
  <si>
    <t xml:space="preserve">TDS SI0004100031</t>
  </si>
  <si>
    <t xml:space="preserve">IL36701906205690|HDFCR52019062</t>
  </si>
  <si>
    <t xml:space="preserve">IL36701906205690|HDFCR520</t>
  </si>
  <si>
    <t xml:space="preserve">Retention SI0004100016 BP3-2265</t>
  </si>
  <si>
    <t xml:space="preserve">SI1904100017</t>
  </si>
  <si>
    <t xml:space="preserve">IL36701905294034|HDFCR52019052</t>
  </si>
  <si>
    <t xml:space="preserve">IL36701905294034|HDFCR520</t>
  </si>
  <si>
    <t xml:space="preserve">3700791747/109</t>
  </si>
  <si>
    <t xml:space="preserve">TDS SI1904100011</t>
  </si>
  <si>
    <t xml:space="preserve">TDS SI0004100019</t>
  </si>
  <si>
    <t xml:space="preserve">2100560076/901</t>
  </si>
  <si>
    <t xml:space="preserve">TDS SI0004100016 BP3-2265</t>
  </si>
  <si>
    <t xml:space="preserve">3800014295/109</t>
  </si>
  <si>
    <t xml:space="preserve">IL36701904254783|HDFCR52019042</t>
  </si>
  <si>
    <t xml:space="preserve">IL36701904254783|HDFCR520</t>
  </si>
  <si>
    <t xml:space="preserve">TDS SI0001100045 BP3-2217</t>
  </si>
  <si>
    <t xml:space="preserve">3800013644/118</t>
  </si>
  <si>
    <t xml:space="preserve">R off-Small Balance309728</t>
  </si>
  <si>
    <t xml:space="preserve">TDS SI0004100033</t>
  </si>
  <si>
    <t xml:space="preserve">Bal CI0004107094</t>
  </si>
  <si>
    <t xml:space="preserve">SI1901100006</t>
  </si>
  <si>
    <t xml:space="preserve">CI1901100711</t>
  </si>
  <si>
    <t xml:space="preserve">IN3670190529Q791|N149190836258</t>
  </si>
  <si>
    <t xml:space="preserve">IN3670190529Q791|N1491908</t>
  </si>
  <si>
    <t xml:space="preserve">IL36701904084773|HDFCR52019040</t>
  </si>
  <si>
    <t xml:space="preserve">IL36701904084773|HDFCR520</t>
  </si>
  <si>
    <t xml:space="preserve">CI1901100703</t>
  </si>
  <si>
    <t xml:space="preserve">RCHT00079C TDS Ded @2% 343552 Jan To March-19</t>
  </si>
  <si>
    <t xml:space="preserve">4405100885/901</t>
  </si>
  <si>
    <t xml:space="preserve">CI1901100744</t>
  </si>
  <si>
    <t xml:space="preserve">BBNT00115D TDS Ded @2% 200869.03 Jan To March-19</t>
  </si>
  <si>
    <t xml:space="preserve">IN3670190513DL35|N133190824396</t>
  </si>
  <si>
    <t xml:space="preserve">IN3670190513DL35|N1331908</t>
  </si>
  <si>
    <t xml:space="preserve">Ret SI0001100044, 56 and 59</t>
  </si>
  <si>
    <t xml:space="preserve">LD PO No.  2300042300/109</t>
  </si>
  <si>
    <t xml:space="preserve">BBNT00115D TDS Ded @2% 11159.39 Jan To March-19*2</t>
  </si>
  <si>
    <t xml:space="preserve">IL36701906283783|HDFCR52019062</t>
  </si>
  <si>
    <t xml:space="preserve">IL36701906283783|HDFCR520</t>
  </si>
  <si>
    <t xml:space="preserve">4405102037/133</t>
  </si>
  <si>
    <t xml:space="preserve">TDS SI1904100010</t>
  </si>
  <si>
    <t xml:space="preserve">Tata Steel TWP 1</t>
  </si>
  <si>
    <t xml:space="preserve">RCHT00079C TDS Ded @2% 204240 Jan To March-19</t>
  </si>
  <si>
    <t xml:space="preserve">IL36701905223190|HDFCR52019052</t>
  </si>
  <si>
    <t xml:space="preserve">IL36701905223190|HDFCR520</t>
  </si>
  <si>
    <t xml:space="preserve">2100554502/807</t>
  </si>
  <si>
    <t xml:space="preserve">TDS SI0001100056</t>
  </si>
  <si>
    <t xml:space="preserve">GST on LD PO No.  2300042300/109</t>
  </si>
  <si>
    <t xml:space="preserve">IL36701904125504|HDFCR52019041</t>
  </si>
  <si>
    <t xml:space="preserve">IL36701904125504|HDFCR520</t>
  </si>
  <si>
    <t xml:space="preserve">IL36701905283415|HDFCR52019052</t>
  </si>
  <si>
    <t xml:space="preserve">IL36701905283415|HDFCR520</t>
  </si>
  <si>
    <t xml:space="preserve">IL36701905083921|HDFCR52019050</t>
  </si>
  <si>
    <t xml:space="preserve">IL36701905083921|HDFCR520</t>
  </si>
  <si>
    <t xml:space="preserve">4405102038/13314.10.</t>
  </si>
  <si>
    <t xml:space="preserve">TDS SI1904100003</t>
  </si>
  <si>
    <t xml:space="preserve">CI1904104293</t>
  </si>
  <si>
    <t xml:space="preserve">2100553171/807</t>
  </si>
  <si>
    <t xml:space="preserve">Roff - Small Balance-318064</t>
  </si>
  <si>
    <t xml:space="preserve">RCHT00079C TDS Ded @2% 405600 Jan To March-19</t>
  </si>
  <si>
    <t xml:space="preserve">CI1904104305</t>
  </si>
  <si>
    <t xml:space="preserve">IL36701905243221|HDFCR52019052</t>
  </si>
  <si>
    <t xml:space="preserve">IL36701905243221|HDFCR520</t>
  </si>
  <si>
    <t xml:space="preserve">IN3670190521P469|N141190830817</t>
  </si>
  <si>
    <t xml:space="preserve">IN3670190521P469|N1411908</t>
  </si>
  <si>
    <t xml:space="preserve">IL36701906113095|HDFCR52019061</t>
  </si>
  <si>
    <t xml:space="preserve">IL36701906113095|HDFCR520</t>
  </si>
  <si>
    <t xml:space="preserve">Roff - Small Balance-318072</t>
  </si>
  <si>
    <t xml:space="preserve">SI1904100015</t>
  </si>
  <si>
    <t xml:space="preserve">RCHT00108D TDS Ded @2% 65107.48 Jan To March-19</t>
  </si>
  <si>
    <t xml:space="preserve">IL36701905215409 21.05.2019</t>
  </si>
  <si>
    <t xml:space="preserve">IN3670190417T736|N107190804013</t>
  </si>
  <si>
    <t xml:space="preserve">IN3670190417T736|N1071908</t>
  </si>
  <si>
    <t xml:space="preserve">TDS SI0001100044</t>
  </si>
  <si>
    <t xml:space="preserve">SMALL BALANCE</t>
  </si>
  <si>
    <t xml:space="preserve">Small bal R off</t>
  </si>
  <si>
    <t xml:space="preserve">Small Balance</t>
  </si>
  <si>
    <t xml:space="preserve">CI1901100390</t>
  </si>
  <si>
    <t xml:space="preserve">CI1904101056</t>
  </si>
  <si>
    <t xml:space="preserve">2100557880/053</t>
  </si>
  <si>
    <t xml:space="preserve">CI1904104306</t>
  </si>
  <si>
    <t xml:space="preserve">IL36701904056031|HDFCR52019040</t>
  </si>
  <si>
    <t xml:space="preserve">IL36701904056031|HDFCR520</t>
  </si>
  <si>
    <t xml:space="preserve">IL36701904183581|HDFCR52019041</t>
  </si>
  <si>
    <t xml:space="preserve">IL36701904183581|HDFCR520</t>
  </si>
  <si>
    <t xml:space="preserve">IL36701905272587|HDFCR52019052</t>
  </si>
  <si>
    <t xml:space="preserve">IL36701905272587|HDFCR520</t>
  </si>
  <si>
    <t xml:space="preserve">TDS SI1901100006</t>
  </si>
  <si>
    <t xml:space="preserve">CI1904104307</t>
  </si>
  <si>
    <t xml:space="preserve">TDS SI1904100009</t>
  </si>
  <si>
    <t xml:space="preserve">IL36701904084775|HDFCR52019040</t>
  </si>
  <si>
    <t xml:space="preserve">IL36701904084775|HDFCR520</t>
  </si>
  <si>
    <t xml:space="preserve">IL36701904043651|HDFCR52019040</t>
  </si>
  <si>
    <t xml:space="preserve">IL36701904043651|HDFCR520</t>
  </si>
  <si>
    <t xml:space="preserve">CI1904104312</t>
  </si>
  <si>
    <t xml:space="preserve">SI1901100012</t>
  </si>
  <si>
    <t xml:space="preserve">RCHT00079C TDS Ded @2% 412360 Jan To March-19</t>
  </si>
  <si>
    <t xml:space="preserve">TDS SI0001100058</t>
  </si>
  <si>
    <t xml:space="preserve">IL36701906064876|HDFCR52019060</t>
  </si>
  <si>
    <t xml:space="preserve">IL36701906064876|HDFCR520</t>
  </si>
  <si>
    <t xml:space="preserve">CI1902103157</t>
  </si>
  <si>
    <t xml:space="preserve">3700800558/118</t>
  </si>
  <si>
    <t xml:space="preserve">CI1902102987</t>
  </si>
  <si>
    <t xml:space="preserve">DEBIT</t>
  </si>
  <si>
    <t xml:space="preserve">Debit Note HSM/ERE/RAB/25 DN</t>
  </si>
  <si>
    <t xml:space="preserve">TDS APRIL TO SEP</t>
  </si>
  <si>
    <t xml:space="preserve">RCHT00110F TDS Ded @2% 370360 April To Sept-19</t>
  </si>
  <si>
    <t xml:space="preserve">TDS JAN TO MARCH</t>
  </si>
  <si>
    <t xml:space="preserve">RCHT00110F TDS Ded @2% 477080 Jan To March-19</t>
  </si>
  <si>
    <t xml:space="preserve">TDS JAN TO MARCH-2019</t>
  </si>
  <si>
    <t xml:space="preserve">IL36701912114463|HDFCR52019121</t>
  </si>
  <si>
    <t xml:space="preserve">IL36701912114463|HDFCR520</t>
  </si>
  <si>
    <t xml:space="preserve">CI1902103166</t>
  </si>
  <si>
    <t xml:space="preserve">2300052816/118</t>
  </si>
  <si>
    <t xml:space="preserve">RCHT00110F TDS Ded @2% 536790 Jan To March-19</t>
  </si>
  <si>
    <t xml:space="preserve">CI1902103152</t>
  </si>
  <si>
    <t xml:space="preserve">RCHT00110F TDS Ded @2% 528450 April To Sept-19</t>
  </si>
  <si>
    <t xml:space="preserve">RCHT00110F TDS Ded @2% 485100 April To Sept-19</t>
  </si>
  <si>
    <t xml:space="preserve">CI1902103155</t>
  </si>
  <si>
    <t xml:space="preserve">CI1902103176</t>
  </si>
  <si>
    <t xml:space="preserve">IL36701912315258</t>
  </si>
  <si>
    <t xml:space="preserve">IL36701912315258|HDFCR52019123162109233</t>
  </si>
  <si>
    <t xml:space="preserve">IL36701912315258|HDFCR520</t>
  </si>
  <si>
    <t xml:space="preserve">CI1902102989</t>
  </si>
  <si>
    <t xml:space="preserve">4200001544/109</t>
  </si>
  <si>
    <t xml:space="preserve">Ded CI1904104289 and CI1904104290</t>
  </si>
  <si>
    <t xml:space="preserve">CI1902103169</t>
  </si>
  <si>
    <t xml:space="preserve">CI1902103177</t>
  </si>
  <si>
    <t xml:space="preserve">CI1902103167</t>
  </si>
  <si>
    <t xml:space="preserve">Bal aft adj IN3670191218J700 18.12.2019</t>
  </si>
  <si>
    <t xml:space="preserve">IL36701911074930|HDFCR52019110</t>
  </si>
  <si>
    <t xml:space="preserve">IL36701911074930|HDFCR520</t>
  </si>
  <si>
    <t xml:space="preserve">TDS SI1901100050</t>
  </si>
  <si>
    <t xml:space="preserve">CI1902103163</t>
  </si>
  <si>
    <t xml:space="preserve">RCHT00110F TDS Ded @2% 420250 Jan To March-19</t>
  </si>
  <si>
    <t xml:space="preserve">CI1902102992</t>
  </si>
  <si>
    <t xml:space="preserve">CI1902103153</t>
  </si>
  <si>
    <t xml:space="preserve">CI1904104313</t>
  </si>
  <si>
    <t xml:space="preserve">RCHT00079C TDS Ded @2% 316800 April To Sept-19</t>
  </si>
  <si>
    <t xml:space="preserve">TDS APRIL TO SEPTEMBER</t>
  </si>
  <si>
    <t xml:space="preserve">RCHT00110F TDS Ded @2% 284750 April To Sept-19</t>
  </si>
  <si>
    <t xml:space="preserve">CI1902103162</t>
  </si>
  <si>
    <t xml:space="preserve">CI1904104314</t>
  </si>
  <si>
    <t xml:space="preserve">4405115573/133</t>
  </si>
  <si>
    <t xml:space="preserve">CI1902103178</t>
  </si>
  <si>
    <t xml:space="preserve">M/s Tata Steel Ltd</t>
  </si>
  <si>
    <t xml:space="preserve">IL36701912315391</t>
  </si>
  <si>
    <t xml:space="preserve">IL36701912315391|HDFCR52019123162114638</t>
  </si>
  <si>
    <t xml:space="preserve">IL36701912315391|HDFCR520</t>
  </si>
  <si>
    <t xml:space="preserve">RCHT00110F TDS Ded @2% 136950 Jan To March-19</t>
  </si>
  <si>
    <t xml:space="preserve">RCHT00110F TDS Ded @2% 392677 April To Sept-19</t>
  </si>
  <si>
    <t xml:space="preserve">CI1904104420</t>
  </si>
  <si>
    <t xml:space="preserve">3700798835/109</t>
  </si>
  <si>
    <t xml:space="preserve">R333190089236879</t>
  </si>
  <si>
    <t xml:space="preserve">CI1902103168</t>
  </si>
  <si>
    <t xml:space="preserve">RI1901100035</t>
  </si>
  <si>
    <t xml:space="preserve">RCHT00110F TDS Ded @2% 366800 April To Sept-19</t>
  </si>
  <si>
    <t xml:space="preserve">3700800342/961</t>
  </si>
  <si>
    <t xml:space="preserve">RCHT00110F TDS Ded @2% 492990 Jan To March-19</t>
  </si>
  <si>
    <t xml:space="preserve">CI1902103158</t>
  </si>
  <si>
    <t xml:space="preserve">CI1904104853</t>
  </si>
  <si>
    <t xml:space="preserve">2100579957/053</t>
  </si>
  <si>
    <t xml:space="preserve">CI1902103145</t>
  </si>
  <si>
    <t xml:space="preserve">CI1902103150</t>
  </si>
  <si>
    <t xml:space="preserve">SI1901100055</t>
  </si>
  <si>
    <t xml:space="preserve">3000126116/054</t>
  </si>
  <si>
    <t xml:space="preserve">MUMT08756G TDS Ded @2% 1096199.53 April To Sept-19</t>
  </si>
  <si>
    <t xml:space="preserve">CI1904104940</t>
  </si>
  <si>
    <t xml:space="preserve">3700800544/109</t>
  </si>
  <si>
    <t xml:space="preserve">RCHT00110F TDS Ded @2% 139770 Jan To March-19</t>
  </si>
  <si>
    <t xml:space="preserve">TDS SI1904100031</t>
  </si>
  <si>
    <t xml:space="preserve">CI1902102914</t>
  </si>
  <si>
    <t xml:space="preserve">4405134763/133</t>
  </si>
  <si>
    <t xml:space="preserve">4405156168/133</t>
  </si>
  <si>
    <t xml:space="preserve">4405362754/133</t>
  </si>
  <si>
    <t xml:space="preserve">CN1904100089</t>
  </si>
  <si>
    <t xml:space="preserve">Credit Note_Mail 05.</t>
  </si>
  <si>
    <t xml:space="preserve">MUMT08756G TDS Ded @2% 1503359.35 April To Sept-19</t>
  </si>
  <si>
    <t xml:space="preserve">TDS TRF TO ADV</t>
  </si>
  <si>
    <t xml:space="preserve">TDS Trf to adv</t>
  </si>
  <si>
    <t xml:space="preserve">IL36701911202992|HDFCR52019112</t>
  </si>
  <si>
    <t xml:space="preserve">IL36701911202992|HDFCR520</t>
  </si>
  <si>
    <t xml:space="preserve">4405426744/133</t>
  </si>
  <si>
    <t xml:space="preserve">RCHT00110F TDS Ded @2% 157250 Jan To March-19</t>
  </si>
  <si>
    <t xml:space="preserve">RCHT00110F TDS Ded @2% 1288700 Jan To March-19</t>
  </si>
  <si>
    <t xml:space="preserve">RCHT00110F TDS Ded @2% 345830 April To Sept-19</t>
  </si>
  <si>
    <t xml:space="preserve">CI1902102913</t>
  </si>
  <si>
    <t xml:space="preserve">RCHT00110F TDS Ded @2% 179850 Jan To March-19</t>
  </si>
  <si>
    <t xml:space="preserve">CI1902103179</t>
  </si>
  <si>
    <t xml:space="preserve">4405474634/901</t>
  </si>
  <si>
    <t xml:space="preserve">RCHT00079C TDS Ded @2% 19200 April To Sept-19</t>
  </si>
  <si>
    <t xml:space="preserve">IL36701912273662|HDFCR52019122</t>
  </si>
  <si>
    <t xml:space="preserve">IL36701912273662|HDFCR520</t>
  </si>
  <si>
    <t xml:space="preserve">RCHT00110F TDS Ded @2% 444990 Jan To March-19</t>
  </si>
  <si>
    <t xml:space="preserve">CI1902102912</t>
  </si>
  <si>
    <t xml:space="preserve">RCHT00110F TDS Ded @2% 364734 April To Sept-19</t>
  </si>
  <si>
    <t xml:space="preserve">CI1904106070</t>
  </si>
  <si>
    <t xml:space="preserve">CI1904106071</t>
  </si>
  <si>
    <t xml:space="preserve">RCHT00110F TDS Ded @2% 1335057 Jan To March-19</t>
  </si>
  <si>
    <t xml:space="preserve">CI1902102994</t>
  </si>
  <si>
    <t xml:space="preserve">CI1902103161</t>
  </si>
  <si>
    <t xml:space="preserve">3700804031/109</t>
  </si>
  <si>
    <t xml:space="preserve">4200001545/118</t>
  </si>
  <si>
    <t xml:space="preserve">CI1902103160</t>
  </si>
  <si>
    <t xml:space="preserve">BBNT00115D TDS Ded @2% 6452.55 April To Sept-19</t>
  </si>
  <si>
    <t xml:space="preserve">RCHT00110F TDS Ded @2% 57232 Jan To March-19</t>
  </si>
  <si>
    <t xml:space="preserve">CI1902103165</t>
  </si>
  <si>
    <t xml:space="preserve">Tata Steel Limited - HMCL</t>
  </si>
  <si>
    <t xml:space="preserve">2100586173/003</t>
  </si>
  <si>
    <t xml:space="preserve">TDS</t>
  </si>
  <si>
    <t xml:space="preserve">BBNT00115D TDS Ded @2% 116145.95 April To Sept-19</t>
  </si>
  <si>
    <t xml:space="preserve">CI1904106717</t>
  </si>
  <si>
    <t xml:space="preserve">4405583483/901</t>
  </si>
  <si>
    <t xml:space="preserve">RCHT00079C TDS Ded @2% 102130.4 April To Sept-19</t>
  </si>
  <si>
    <t xml:space="preserve">RCHT00110F TDS Ded @2% 150603.28 April To Sept-19</t>
  </si>
  <si>
    <t xml:space="preserve">TDS SI1904100038</t>
  </si>
  <si>
    <t xml:space="preserve">CI1904106847</t>
  </si>
  <si>
    <t xml:space="preserve">4405559186/901</t>
  </si>
  <si>
    <t xml:space="preserve">3800013971/118</t>
  </si>
  <si>
    <t xml:space="preserve">CI1904106997</t>
  </si>
  <si>
    <t xml:space="preserve">3700799936/118</t>
  </si>
  <si>
    <t xml:space="preserve">CI1902103142</t>
  </si>
  <si>
    <t xml:space="preserve">TDS SI1904100037</t>
  </si>
  <si>
    <t xml:space="preserve">TDS SI1904100046</t>
  </si>
  <si>
    <t xml:space="preserve">RCHT00110F TDS Ded @2% 325100 April To Sept-19</t>
  </si>
  <si>
    <t xml:space="preserve">CI1904106998</t>
  </si>
  <si>
    <t xml:space="preserve">RCHT00110F TDS Ded @2% 306860 April To Sept-19</t>
  </si>
  <si>
    <t xml:space="preserve">CI1904107026</t>
  </si>
  <si>
    <t xml:space="preserve">3700802539/118</t>
  </si>
  <si>
    <t xml:space="preserve">CI1904107027</t>
  </si>
  <si>
    <t xml:space="preserve">RCHT00110F TDS Ded @2% 701765 Jan To March-19</t>
  </si>
  <si>
    <t xml:space="preserve">CI1902103156</t>
  </si>
  <si>
    <t xml:space="preserve">BBNT00115D TDS Ded @2% 12300.74 April To Sept-19</t>
  </si>
  <si>
    <t xml:space="preserve">TDS SI1904100036</t>
  </si>
  <si>
    <t xml:space="preserve">CI1904107028</t>
  </si>
  <si>
    <t xml:space="preserve">CI1902102986</t>
  </si>
  <si>
    <t xml:space="preserve">CI1902103146</t>
  </si>
  <si>
    <t xml:space="preserve">RCHT00110F TDS Ded @2% 358580 April To Sept-19</t>
  </si>
  <si>
    <t xml:space="preserve">CI1902103164</t>
  </si>
  <si>
    <t xml:space="preserve">CI1904107029</t>
  </si>
  <si>
    <t xml:space="preserve">IL36701910315681|HDFCR52019103</t>
  </si>
  <si>
    <t xml:space="preserve">IL36701910315681|HDFCR520</t>
  </si>
  <si>
    <t xml:space="preserve">TDS SI1901100042</t>
  </si>
  <si>
    <t xml:space="preserve">MUMT08756G TDS Ded @2% 121799.95 April To Sept-19</t>
  </si>
  <si>
    <t xml:space="preserve">RCHT00110F TDS Ded @2% 261760 April To Sept-19</t>
  </si>
  <si>
    <t xml:space="preserve">RCHT00110F TDS Ded @2% 328950 April To Sept-19</t>
  </si>
  <si>
    <t xml:space="preserve">CI1902103149</t>
  </si>
  <si>
    <t xml:space="preserve">CI1904107030</t>
  </si>
  <si>
    <t xml:space="preserve">IL36701910187169|HDFCR52019101</t>
  </si>
  <si>
    <t xml:space="preserve">IL36701910187169|HDFCR520</t>
  </si>
  <si>
    <t xml:space="preserve">RCHT00110F TDS Ded @2% 357750 Jan To March-19</t>
  </si>
  <si>
    <t xml:space="preserve">MUMT08756G TDS Ded @2% 1284119.45 April To Sept-19</t>
  </si>
  <si>
    <t xml:space="preserve">TDS SI1901100036</t>
  </si>
  <si>
    <t xml:space="preserve">IL36701911134707|HDFCR52019111</t>
  </si>
  <si>
    <t xml:space="preserve">IL36701911134707|HDFCR520</t>
  </si>
  <si>
    <t xml:space="preserve">CI1904107031</t>
  </si>
  <si>
    <t xml:space="preserve">CI1904107032</t>
  </si>
  <si>
    <t xml:space="preserve">CI1904107033</t>
  </si>
  <si>
    <t xml:space="preserve">CI1904107034</t>
  </si>
  <si>
    <t xml:space="preserve">RCHT00079C TDS Ded @2% 142130.9 April To Sept-19</t>
  </si>
  <si>
    <t xml:space="preserve">CI1904107035</t>
  </si>
  <si>
    <t xml:space="preserve">SI1904100043</t>
  </si>
  <si>
    <t xml:space="preserve">CI1902103147</t>
  </si>
  <si>
    <t xml:space="preserve">CI1904107038</t>
  </si>
  <si>
    <t xml:space="preserve">RCHT00110F TDS Ded @2% 258844.2 April To Sept-19</t>
  </si>
  <si>
    <t xml:space="preserve">TDS SI1904100040</t>
  </si>
  <si>
    <t xml:space="preserve">CI1902103159</t>
  </si>
  <si>
    <t xml:space="preserve">IL36701910017095|HDFCR52019100</t>
  </si>
  <si>
    <t xml:space="preserve">IL36701910017095|HDFCR520</t>
  </si>
  <si>
    <t xml:space="preserve">CI1904107039</t>
  </si>
  <si>
    <t xml:space="preserve">TDS SI1904100048</t>
  </si>
  <si>
    <t xml:space="preserve">RCHT00079C TDS Ded @2% 269637 April To Sept-19</t>
  </si>
  <si>
    <t xml:space="preserve">CI1904107040</t>
  </si>
  <si>
    <t xml:space="preserve">IL36701912273630|HDFCR52019122</t>
  </si>
  <si>
    <t xml:space="preserve">IL36701912273630|HDFCR520</t>
  </si>
  <si>
    <t xml:space="preserve">BBNT00115D TDS Ded @2% 205400 April To Sept-19</t>
  </si>
  <si>
    <t xml:space="preserve">IL36701910303262|HDFCR52019103</t>
  </si>
  <si>
    <t xml:space="preserve">IL36701910303262|HDFCR520</t>
  </si>
  <si>
    <t xml:space="preserve">RCHT00110F TDS Ded @2% 7926.49 April To Sept-19</t>
  </si>
  <si>
    <t xml:space="preserve">CI1902103148</t>
  </si>
  <si>
    <t xml:space="preserve">CI1904107041</t>
  </si>
  <si>
    <t xml:space="preserve">CI1904105607</t>
  </si>
  <si>
    <t xml:space="preserve">3700802296/146</t>
  </si>
  <si>
    <t xml:space="preserve">TDS SI1904100039</t>
  </si>
  <si>
    <t xml:space="preserve">CI1904107043</t>
  </si>
  <si>
    <t xml:space="preserve">3700806162/118</t>
  </si>
  <si>
    <t xml:space="preserve">RCHT00110F TDS Ded @2% 410328 Jan To March-19</t>
  </si>
  <si>
    <t xml:space="preserve">RCHT00110F TDS Ded @2% 316229 Jan To March-19</t>
  </si>
  <si>
    <t xml:space="preserve">RCHT00110F TDS Ded @2% 384800 April To Sept-19</t>
  </si>
  <si>
    <t xml:space="preserve">CN1904100056</t>
  </si>
  <si>
    <t xml:space="preserve">BBNT00115D TDS Ded @2% 221413.21 April To Sept-19</t>
  </si>
  <si>
    <t xml:space="preserve">RCHT00110F TDS Ded @2% 459638 April To Sept-19</t>
  </si>
  <si>
    <t xml:space="preserve">CI1902102911</t>
  </si>
  <si>
    <t xml:space="preserve">RCHT00110F TDS Ded @2% 462090 Jan To March-19</t>
  </si>
  <si>
    <t xml:space="preserve">CI1902103154</t>
  </si>
  <si>
    <t xml:space="preserve">CI1902102993</t>
  </si>
  <si>
    <t xml:space="preserve">MUMT08756G TDS Ded @2% 142679.94 April To Sept-19</t>
  </si>
  <si>
    <t xml:space="preserve">TDS SI1901100044</t>
  </si>
  <si>
    <t xml:space="preserve">RCHT00110F TDS Ded @2% 248131 April To Sept-19</t>
  </si>
  <si>
    <t xml:space="preserve">RCHT00110F TDS Ded @2% 681100 Jan To March-19</t>
  </si>
  <si>
    <t xml:space="preserve">CN1904100059</t>
  </si>
  <si>
    <t xml:space="preserve">Credit Note_Short pa</t>
  </si>
  <si>
    <t xml:space="preserve">CI1904105574</t>
  </si>
  <si>
    <t xml:space="preserve">CN1904100090</t>
  </si>
  <si>
    <t xml:space="preserve">Credit Note_Mail 07.</t>
  </si>
  <si>
    <t xml:space="preserve">IL36701912183351|HDFCR52019121</t>
  </si>
  <si>
    <t xml:space="preserve">IL36701912183351|HDFCR520</t>
  </si>
  <si>
    <t xml:space="preserve">MUMT08756G TDS Ded @2% 167039.93 April To Sept-19</t>
  </si>
  <si>
    <t xml:space="preserve">CN1904100153</t>
  </si>
  <si>
    <t xml:space="preserve">Credit Note</t>
  </si>
  <si>
    <t xml:space="preserve">RCHT00110F TDS Ded @2% 178024 April To Sept-19</t>
  </si>
  <si>
    <t xml:space="preserve">IL36701911074915|HDFCR52019110</t>
  </si>
  <si>
    <t xml:space="preserve">IL36701911074915|HDFCR520</t>
  </si>
  <si>
    <t xml:space="preserve">CN1904100154</t>
  </si>
  <si>
    <t xml:space="preserve">CN1904100174</t>
  </si>
  <si>
    <t xml:space="preserve">Credit note</t>
  </si>
  <si>
    <t xml:space="preserve">RCHT00110F TDS Ded @2% 397610 Jan To March-19</t>
  </si>
  <si>
    <t xml:space="preserve">TDS SI1901100029</t>
  </si>
  <si>
    <t xml:space="preserve">RCHT00110F TDS Ded @2% 291850 April To Sept-19</t>
  </si>
  <si>
    <t xml:space="preserve">CN1904100141</t>
  </si>
  <si>
    <t xml:space="preserve">Credit Note_07.01.20</t>
  </si>
  <si>
    <t xml:space="preserve">IL36701911278283|HDFCR52019112</t>
  </si>
  <si>
    <t xml:space="preserve">IL36701911278283|HDFCR520</t>
  </si>
  <si>
    <t xml:space="preserve">SI1901100063</t>
  </si>
  <si>
    <t xml:space="preserve">TDS SI1904100045</t>
  </si>
  <si>
    <t xml:space="preserve">RCHT00110F TDS Ded @2% 440300 Jan To March-19</t>
  </si>
  <si>
    <t xml:space="preserve">CI1904105863</t>
  </si>
  <si>
    <t xml:space="preserve">TDS SI1904100042</t>
  </si>
  <si>
    <t xml:space="preserve">TDS SI1904100032</t>
  </si>
  <si>
    <t xml:space="preserve">RCHT00110F TDS Ded @2% 456350 April To Sept-19</t>
  </si>
  <si>
    <t xml:space="preserve">SI1904100053</t>
  </si>
  <si>
    <t xml:space="preserve">IL36701912112905|HDFCR52019121</t>
  </si>
  <si>
    <t xml:space="preserve">IL36701912112905|HDFCR520</t>
  </si>
  <si>
    <t xml:space="preserve">RCHT00110F TDS Ded @2% 490000 Jan To March-19</t>
  </si>
  <si>
    <t xml:space="preserve">IN3670191218J700|N352191011523</t>
  </si>
  <si>
    <t xml:space="preserve">IN3670191218J700|N3521910</t>
  </si>
  <si>
    <t xml:space="preserve">RCHT00110F TDS Ded @2% 405900 April To Sept-19</t>
  </si>
  <si>
    <t xml:space="preserve">TDS SI1904100047</t>
  </si>
  <si>
    <t xml:space="preserve">RCHT00110F TDS Ded @2% 382170 April To Sept-19</t>
  </si>
  <si>
    <t xml:space="preserve">RCHT00110F TDS Ded @2% 282031 April To Sept-19</t>
  </si>
  <si>
    <t xml:space="preserve">IL36702001173192|HDFCR52020011</t>
  </si>
  <si>
    <t xml:space="preserve">IL36702001173192|HDFCR520</t>
  </si>
  <si>
    <t xml:space="preserve">IN3670200117R261</t>
  </si>
  <si>
    <t xml:space="preserve">IN3670200117R261|N017201038984980</t>
  </si>
  <si>
    <t xml:space="preserve">IN3670200117R261|N0172010</t>
  </si>
  <si>
    <t xml:space="preserve">CI1902103299</t>
  </si>
  <si>
    <t xml:space="preserve">TDS on Retention of Erection</t>
  </si>
  <si>
    <t xml:space="preserve">TDS SI1904100043</t>
  </si>
  <si>
    <t xml:space="preserve">CI1901102608</t>
  </si>
  <si>
    <t xml:space="preserve">2100586355/814</t>
  </si>
  <si>
    <t xml:space="preserve">CI1902103293</t>
  </si>
  <si>
    <t xml:space="preserve">CI1902103297</t>
  </si>
  <si>
    <t xml:space="preserve">TDS SI1901100052</t>
  </si>
  <si>
    <t xml:space="preserve">Retention SI1901100032 - BP3-2460</t>
  </si>
  <si>
    <t xml:space="preserve">IL36702001013181</t>
  </si>
  <si>
    <t xml:space="preserve">IL36702001013181|HDFCR52020010162334744</t>
  </si>
  <si>
    <t xml:space="preserve">IL36702001013181|HDFCR520</t>
  </si>
  <si>
    <t xml:space="preserve">CI1902103294</t>
  </si>
  <si>
    <t xml:space="preserve">Short payment CI1904103682</t>
  </si>
  <si>
    <t xml:space="preserve">IL36702001293766|HDFCR52020012</t>
  </si>
  <si>
    <t xml:space="preserve">IL36702001293766|HDFCR520</t>
  </si>
  <si>
    <t xml:space="preserve">CI1902103289</t>
  </si>
  <si>
    <t xml:space="preserve">Retention SI1904100043 -  BP3-2495</t>
  </si>
  <si>
    <t xml:space="preserve">IL36702002075488|HDFCR52020020</t>
  </si>
  <si>
    <t xml:space="preserve">IL36702002075488|HDFCR520</t>
  </si>
  <si>
    <t xml:space="preserve">IL36702001172627|HDFCR52020011</t>
  </si>
  <si>
    <t xml:space="preserve">IL36702001172627|HDFCR520</t>
  </si>
  <si>
    <t xml:space="preserve">Retention SI1901100041 - BP3-2457</t>
  </si>
  <si>
    <t xml:space="preserve">IL36702001273656|HDFCR52020012</t>
  </si>
  <si>
    <t xml:space="preserve">IL36702001273656|HDFCR520</t>
  </si>
  <si>
    <t xml:space="preserve">TDS SI1901100032</t>
  </si>
  <si>
    <t xml:space="preserve">SI1904100025</t>
  </si>
  <si>
    <t xml:space="preserve">Retention SI1901100054 - BP3-2460</t>
  </si>
  <si>
    <t xml:space="preserve">CI1901102625</t>
  </si>
  <si>
    <t xml:space="preserve">Retention SI1901100052 - BP3-2491</t>
  </si>
  <si>
    <t xml:space="preserve">SI1904100028</t>
  </si>
  <si>
    <t xml:space="preserve">IN3670200210FF37|N041201060352</t>
  </si>
  <si>
    <t xml:space="preserve">IN3670200210FF37|N0412010</t>
  </si>
  <si>
    <t xml:space="preserve">SI1904100029</t>
  </si>
  <si>
    <t xml:space="preserve">TDS SI1901100010</t>
  </si>
  <si>
    <t xml:space="preserve">IL36702001082684|HDFCR52020010</t>
  </si>
  <si>
    <t xml:space="preserve">IL36702001082684|HDFCR520</t>
  </si>
  <si>
    <t xml:space="preserve">IL36702001082553|HDFCR52020010</t>
  </si>
  <si>
    <t xml:space="preserve">IL36702001082553|HDFCR520</t>
  </si>
  <si>
    <t xml:space="preserve">IL36702001152092|HDFCR52020011</t>
  </si>
  <si>
    <t xml:space="preserve">IL36702001152092|HDFCR520</t>
  </si>
  <si>
    <t xml:space="preserve">CI1902103296</t>
  </si>
  <si>
    <t xml:space="preserve">TDS SI1901100054</t>
  </si>
  <si>
    <t xml:space="preserve">IN3670200120T574|N020201040577</t>
  </si>
  <si>
    <t xml:space="preserve">IN3670200120T574|N0202010</t>
  </si>
  <si>
    <t xml:space="preserve">SI1904100030</t>
  </si>
  <si>
    <t xml:space="preserve">TDS SI1901100011</t>
  </si>
  <si>
    <t xml:space="preserve">TDS SI1904100044</t>
  </si>
  <si>
    <t xml:space="preserve">IL36702002072573|HDFCR52020020</t>
  </si>
  <si>
    <t xml:space="preserve">IL36702002072573|HDFCR520</t>
  </si>
  <si>
    <t xml:space="preserve">CI1901102599</t>
  </si>
  <si>
    <t xml:space="preserve">SI1904100057</t>
  </si>
  <si>
    <t xml:space="preserve">TDS SI1901100041</t>
  </si>
  <si>
    <t xml:space="preserve">CI1901102624</t>
  </si>
  <si>
    <t xml:space="preserve">CI1902103298</t>
  </si>
  <si>
    <t xml:space="preserve">CI1901102598</t>
  </si>
  <si>
    <t xml:space="preserve">IN3670200101ES22</t>
  </si>
  <si>
    <t xml:space="preserve">IN3670200101ES22|N001201023281100</t>
  </si>
  <si>
    <t xml:space="preserve">IN3670200101ES22|N0012010</t>
  </si>
  <si>
    <t xml:space="preserve">Retention SI1904100044 BP3-2511</t>
  </si>
  <si>
    <t xml:space="preserve">IL36702001232748|HDFCR52020012</t>
  </si>
  <si>
    <t xml:space="preserve">IL36702001232748|HDFCR520</t>
  </si>
  <si>
    <t xml:space="preserve">TDS agst Retention SI0004100016 BP3-2265</t>
  </si>
  <si>
    <t xml:space="preserve">TDS SI1904100049</t>
  </si>
  <si>
    <t xml:space="preserve">IL36702002072550|HDFCR52020020</t>
  </si>
  <si>
    <t xml:space="preserve">IL36702002072550|HDFCR520</t>
  </si>
  <si>
    <t xml:space="preserve">4700079489/172</t>
  </si>
  <si>
    <t xml:space="preserve">IL36702002273621|HDFCR52020022</t>
  </si>
  <si>
    <t xml:space="preserve">IL36702002273621|HDFCR520</t>
  </si>
  <si>
    <t xml:space="preserve">SI1904100060</t>
  </si>
  <si>
    <t xml:space="preserve">CI1901102703</t>
  </si>
  <si>
    <t xml:space="preserve">CI1901102706</t>
  </si>
  <si>
    <t xml:space="preserve">CI1901102707</t>
  </si>
  <si>
    <t xml:space="preserve">CI1901102701</t>
  </si>
  <si>
    <t xml:space="preserve">R off - Small Balance -312948</t>
  </si>
  <si>
    <t xml:space="preserve">IL36702003116909|HDFCR52020031</t>
  </si>
  <si>
    <t xml:space="preserve">IL36702003116909|HDFCR520</t>
  </si>
  <si>
    <t xml:space="preserve">SI1901100075</t>
  </si>
  <si>
    <t xml:space="preserve">IL36702003135251|HDFCR52020031</t>
  </si>
  <si>
    <t xml:space="preserve">IL36702003135251|HDFCR520</t>
  </si>
  <si>
    <t xml:space="preserve">SI1901100074</t>
  </si>
  <si>
    <t xml:space="preserve">CI1901102828</t>
  </si>
  <si>
    <t xml:space="preserve">2100588178/807</t>
  </si>
  <si>
    <t xml:space="preserve">CI1901102830</t>
  </si>
  <si>
    <t xml:space="preserve">2100590575/807</t>
  </si>
  <si>
    <t xml:space="preserve">CI1901102829</t>
  </si>
  <si>
    <t xml:space="preserve">2100590480/807</t>
  </si>
  <si>
    <t xml:space="preserve">CI1901102831</t>
  </si>
  <si>
    <t xml:space="preserve">2100590445/814</t>
  </si>
  <si>
    <t xml:space="preserve">CI1901102832</t>
  </si>
  <si>
    <t xml:space="preserve">2100590574/807</t>
  </si>
  <si>
    <t xml:space="preserve">SI1901100076</t>
  </si>
  <si>
    <t xml:space="preserve">3800016147/118</t>
  </si>
  <si>
    <t xml:space="preserve">SI1904100063</t>
  </si>
  <si>
    <t xml:space="preserve">SI1904100064</t>
  </si>
  <si>
    <t xml:space="preserve">CI1904107824</t>
  </si>
  <si>
    <t xml:space="preserve">SI1904100065</t>
  </si>
  <si>
    <t xml:space="preserve">SI1904100066</t>
  </si>
  <si>
    <t xml:space="preserve">SI1904100067</t>
  </si>
  <si>
    <t xml:space="preserve">SI1904100068</t>
  </si>
  <si>
    <t xml:space="preserve">CI1904105791 Deduction</t>
  </si>
  <si>
    <t xml:space="preserve">Bal of Erection 16.03.2020</t>
  </si>
  <si>
    <t xml:space="preserve">RECO/ITC/1920 Deduction Doc No :0045259059 11.03</t>
  </si>
  <si>
    <t xml:space="preserve">TDS SI1904100050</t>
  </si>
  <si>
    <t xml:space="preserve">TDS SI1901100069</t>
  </si>
  <si>
    <t xml:space="preserve">3800015954/118</t>
  </si>
  <si>
    <t xml:space="preserve">3800015606/118</t>
  </si>
  <si>
    <t xml:space="preserve">Tata Steel Limited (LD Slag Process</t>
  </si>
  <si>
    <t xml:space="preserve">Balance advance as on 30.07.2014</t>
  </si>
  <si>
    <t xml:space="preserve">R off - Small Balance -316840</t>
  </si>
  <si>
    <t xml:space="preserve">RCHT00108D TDS Ded @2% 427602.32 April To June-</t>
  </si>
  <si>
    <t xml:space="preserve">SI0001100016</t>
  </si>
  <si>
    <t xml:space="preserve">NKT DEBIT</t>
  </si>
  <si>
    <t xml:space="preserve">NKT debit trasf</t>
  </si>
  <si>
    <t xml:space="preserve">COS - Civil Contract Jobs</t>
  </si>
  <si>
    <t xml:space="preserve">ALEKHA</t>
  </si>
  <si>
    <t xml:space="preserve">Alekha debit trasfered</t>
  </si>
  <si>
    <t xml:space="preserve">Alekha Deit trasfered</t>
  </si>
  <si>
    <t xml:space="preserve">Amto to be trf to 305576</t>
  </si>
  <si>
    <t xml:space="preserve">FERENDA SUNDI</t>
  </si>
  <si>
    <t xml:space="preserve">Ferenda sundi Debit trasfered</t>
  </si>
  <si>
    <t xml:space="preserve">Ferenda sundi debit trasf</t>
  </si>
  <si>
    <t xml:space="preserve">JAGANNATH ENT</t>
  </si>
  <si>
    <t xml:space="preserve">JagannJagannath Enterprises Debit Trasfered</t>
  </si>
  <si>
    <t xml:space="preserve">Jagannath Enterprises</t>
  </si>
  <si>
    <t xml:space="preserve">IL36702003066481|HDFCR52020030</t>
  </si>
  <si>
    <t xml:space="preserve">IL36702003066481|HDFCR520</t>
  </si>
  <si>
    <t xml:space="preserve">IL36702003163241|HDFCR52020031</t>
  </si>
  <si>
    <t xml:space="preserve">IL36702003163241|HDFCR520</t>
  </si>
  <si>
    <t xml:space="preserve">trf fm312193 TSL KPO</t>
  </si>
  <si>
    <t xml:space="preserve">IN3670200311P094</t>
  </si>
  <si>
    <t xml:space="preserve">IN3670200311P094|N071201090129058</t>
  </si>
  <si>
    <t xml:space="preserve">IN3670200311P094|N0712010</t>
  </si>
  <si>
    <t xml:space="preserve">Trf fm 305576  Tata Steel Ltd- West Bokaro</t>
  </si>
  <si>
    <t xml:space="preserve">trf fm 305576  Tata Steel Ltd- West Bokaro</t>
  </si>
  <si>
    <t xml:space="preserve">Trf to 316840 Tata Steel Limited (LD Slag Process</t>
  </si>
  <si>
    <t xml:space="preserve">Retention SI1904100050 BP3-2495</t>
  </si>
  <si>
    <t xml:space="preserve">Advance Balance</t>
  </si>
  <si>
    <t xml:space="preserve">Trf to 305576</t>
  </si>
  <si>
    <t xml:space="preserve">TRf fm 305576</t>
  </si>
  <si>
    <t xml:space="preserve">Trf to various TSL account</t>
  </si>
  <si>
    <t xml:space="preserve">Small bal roff</t>
  </si>
  <si>
    <t xml:space="preserve">Small balance</t>
  </si>
  <si>
    <t xml:space="preserve">Trf to 312351</t>
  </si>
  <si>
    <t xml:space="preserve">Match ID</t>
  </si>
  <si>
    <t xml:space="preserve">Total Unmatched service</t>
  </si>
  <si>
    <t xml:space="preserve">Provision created</t>
  </si>
  <si>
    <t xml:space="preserve">Short provision</t>
  </si>
  <si>
    <t xml:space="preserve">BranchAlloc</t>
  </si>
  <si>
    <t xml:space="preserve">Text_</t>
  </si>
  <si>
    <t xml:space="preserve">INVERSE_Amount_in_Local_Currency</t>
  </si>
  <si>
    <t xml:space="preserve">INVERSE_Amount_in_Document_Currency</t>
  </si>
  <si>
    <t xml:space="preserve">Entity_Name</t>
  </si>
  <si>
    <t xml:space="preserve">Transaction_Type</t>
  </si>
  <si>
    <t xml:space="preserve">Reporting</t>
  </si>
  <si>
    <t xml:space="preserve">Recon_Set</t>
  </si>
  <si>
    <t xml:space="preserve">Recon_Entities</t>
  </si>
  <si>
    <t xml:space="preserve">MatchID_copy</t>
  </si>
  <si>
    <t xml:space="preserve">MatchDate_copy</t>
  </si>
  <si>
    <t xml:space="preserve">Nature</t>
  </si>
  <si>
    <t xml:space="preserve">Transaction_ID</t>
  </si>
  <si>
    <t xml:space="preserve">DataSourceName</t>
  </si>
  <si>
    <t xml:space="preserve">IsActive</t>
  </si>
  <si>
    <t xml:space="preserve">SourceFileName</t>
  </si>
  <si>
    <t xml:space="preserve">ImportDate</t>
  </si>
  <si>
    <t xml:space="preserve">TATA BLUESCOPE</t>
  </si>
  <si>
    <t xml:space="preserve">Customer Balance</t>
  </si>
  <si>
    <t xml:space="preserve">Yes</t>
  </si>
  <si>
    <t xml:space="preserve">TSL - TATA BLUESCOPE</t>
  </si>
  <si>
    <t xml:space="preserve">Receivable</t>
  </si>
  <si>
    <t xml:space="preserve">ICR_CONSOL_CUSTOMER_SAP</t>
  </si>
  <si>
    <t xml:space="preserve">ICR_CUSTOMER_TBSL_TSL_31122019.csv</t>
  </si>
  <si>
    <t xml:space="preserve">CAPT</t>
  </si>
  <si>
    <t xml:space="preserve">TSL</t>
  </si>
  <si>
    <t xml:space="preserve">Vendor Balance</t>
  </si>
  <si>
    <t xml:space="preserve">Payable</t>
  </si>
  <si>
    <t xml:space="preserve">ICR_CONSOL_VENDOR_SAP</t>
  </si>
  <si>
    <t xml:space="preserve">ICR_VENDOR_TSL_RP_31032020_02042020.csv</t>
  </si>
  <si>
    <t xml:space="preserve">ZKPO</t>
  </si>
  <si>
    <t xml:space="preserve">CM</t>
  </si>
  <si>
    <t xml:space="preserve">Liability For Tds - Jsr Sec 194C</t>
  </si>
  <si>
    <t xml:space="preserve">Vendor - TDS</t>
  </si>
  <si>
    <t xml:space="preserve">No</t>
  </si>
  <si>
    <t xml:space="preserve">ICR_VENDOR_TDS_TSL_RP_31032020_02042020.csv</t>
  </si>
  <si>
    <t xml:space="preserve">ICR_CUSTOMER-TBSPL_TSL_30062019.csv</t>
  </si>
  <si>
    <t xml:space="preserve">TRSU</t>
  </si>
  <si>
    <t xml:space="preserve">St &amp; Sp Ctrl A/C - Operational Consumables (Sap)</t>
  </si>
  <si>
    <t xml:space="preserve">ICR_VENDOR_TSL_RP_31082019_TR2.csv</t>
  </si>
  <si>
    <t xml:space="preserve">TRVC</t>
  </si>
  <si>
    <t xml:space="preserve">Freight Clearing For Capital (Project System )</t>
  </si>
  <si>
    <t xml:space="preserve">CWIP- PROJECT STOCK</t>
  </si>
  <si>
    <t xml:space="preserve">ICR_CUSTOMER-TBSPL_TSL_30092019.csv</t>
  </si>
  <si>
    <t xml:space="preserve">CAPS</t>
  </si>
  <si>
    <t xml:space="preserve">Capital</t>
  </si>
  <si>
    <t xml:space="preserve">TSJ-C/0001-ER</t>
  </si>
  <si>
    <t xml:space="preserve">ICR_VENDOR_TSL_RP_31122019.csv</t>
  </si>
  <si>
    <t xml:space="preserve">SUPR</t>
  </si>
  <si>
    <t xml:space="preserve">ICR_Vendor_TSL_RP_29022020.csv</t>
  </si>
  <si>
    <t xml:space="preserve">ICR_CUSTOMER_TBSPL_TSL_28022020.csv</t>
  </si>
  <si>
    <t xml:space="preserve">WE</t>
  </si>
  <si>
    <t xml:space="preserve">Material received at CRM Site on dt 21.12.2019.</t>
  </si>
  <si>
    <t xml:space="preserve">S-45673</t>
  </si>
  <si>
    <t xml:space="preserve">Vendor - GRIR</t>
  </si>
  <si>
    <t xml:space="preserve">ICR_CONSOL_GRIR</t>
  </si>
  <si>
    <t xml:space="preserve">ICR_GRIR_TSL_RP_31122019_NU1.csv</t>
  </si>
  <si>
    <t xml:space="preserve">Invoice diff</t>
  </si>
  <si>
    <t xml:space="preserve">S-45676</t>
  </si>
  <si>
    <t xml:space="preserve">Invoice diff in GRIR</t>
  </si>
  <si>
    <t xml:space="preserve">Entity</t>
  </si>
  <si>
    <t xml:space="preserve">Balance Type</t>
  </si>
  <si>
    <t xml:space="preserve">Sum - GL Balance</t>
  </si>
  <si>
    <t xml:space="preserve">Advance from customers</t>
  </si>
  <si>
    <t xml:space="preserve">Provisions (Expense)</t>
  </si>
  <si>
    <t xml:space="preserve">Advance to suppliers</t>
  </si>
  <si>
    <t xml:space="preserve">Total Result</t>
  </si>
  <si>
    <t xml:space="preserve">GL Balance</t>
  </si>
  <si>
    <t xml:space="preserve">JT001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</si>
</sst>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 * #,##0.00\ ;\ * \(#,##0.00\);\ * \-#\ ;\ @\ "/>
    <numFmt numFmtId="166" formatCode="\ * #,##0\ ;\ * \(#,##0\);\ * \-#\ ;\ @\ "/>
    <numFmt numFmtId="167" formatCode="#,##0.00"/>
    <numFmt numFmtId="168" formatCode="HH:MM\ AM/PM"/>
    <numFmt numFmtId="169" formatCode="\ * #,##0.00\ ;\ * \-#,##0.00\ ;\ * \-#\ ;\ @\ "/>
    <numFmt numFmtId="170" formatCode="DD/MM/YYYY"/>
    <numFmt numFmtId="171" formatCode="@"/>
    <numFmt numFmtId="172" formatCode="DD/MM/YY\ HH:MM"/>
    <numFmt numFmtId="173" formatCode="HH:MM:SS"/>
    <numFmt numFmtId="174" formatCode="0.00E+00"/>
  </numFmts>
  <fonts count="32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 val="true"/>
      <sz val="10"/>
      <color rgb="FF808080"/>
      <name val="Calibri"/>
      <family val="2"/>
    </font>
    <font>
      <u val="single"/>
      <sz val="10"/>
      <color rgb="FF0000EE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 val="true"/>
      <sz val="10"/>
      <color rgb="FFFFFFFF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Calibri"/>
      <family val="2"/>
    </font>
    <font>
      <b val="true"/>
      <sz val="11"/>
      <color rgb="FF000000"/>
      <name val="Calibri"/>
      <family val="2"/>
    </font>
    <font>
      <sz val="11"/>
      <name val="Calibri"/>
      <family val="2"/>
    </font>
    <font>
      <b val="true"/>
      <sz val="12"/>
      <name val="Calibri"/>
      <family val="2"/>
    </font>
    <font>
      <b val="true"/>
      <sz val="11"/>
      <name val="Calibri"/>
      <family val="2"/>
    </font>
    <font>
      <b val="true"/>
      <u val="single"/>
      <sz val="12"/>
      <name val="Calibri"/>
      <family val="2"/>
    </font>
    <font>
      <sz val="10"/>
      <name val="Calibri"/>
      <family val="2"/>
    </font>
    <font>
      <b val="true"/>
      <sz val="10"/>
      <color rgb="FF0000FF"/>
      <name val="Calibri"/>
      <family val="2"/>
    </font>
    <font>
      <b val="true"/>
      <sz val="10"/>
      <name val="Calibri"/>
      <family val="2"/>
    </font>
    <font>
      <b val="true"/>
      <i val="true"/>
      <sz val="10"/>
      <color rgb="FF0000FF"/>
      <name val="Calibri"/>
      <family val="2"/>
    </font>
    <font>
      <sz val="10"/>
      <color rgb="FF000000"/>
      <name val="Calibri"/>
      <family val="2"/>
    </font>
    <font>
      <b val="true"/>
      <sz val="10"/>
      <color rgb="FFFF0000"/>
      <name val="Calibri"/>
      <family val="2"/>
    </font>
    <font>
      <sz val="10"/>
      <color rgb="FFFF0000"/>
      <name val="Calibri"/>
      <family val="2"/>
    </font>
    <font>
      <b val="true"/>
      <i val="true"/>
      <sz val="10"/>
      <color rgb="FF000000"/>
      <name val="Calibri"/>
      <family val="2"/>
    </font>
    <font>
      <u val="single"/>
      <sz val="11"/>
      <color rgb="FF0563C1"/>
      <name val="Calibri"/>
      <family val="2"/>
    </font>
    <font>
      <sz val="9"/>
      <color rgb="FF000000"/>
      <name val="Calibri"/>
      <family val="2"/>
    </font>
    <font>
      <b val="true"/>
      <sz val="9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FFCCCC"/>
      </patternFill>
    </fill>
    <fill>
      <patternFill patternType="solid">
        <fgColor rgb="FFFFFFFF"/>
        <bgColor rgb="FFFFFFCC"/>
      </patternFill>
    </fill>
    <fill>
      <patternFill patternType="solid">
        <fgColor rgb="FF5B9BD5"/>
        <bgColor rgb="FF808080"/>
      </patternFill>
    </fill>
    <fill>
      <patternFill patternType="solid">
        <fgColor rgb="FFAFABAB"/>
        <bgColor rgb="FFC0C0C0"/>
      </patternFill>
    </fill>
    <fill>
      <patternFill patternType="solid">
        <fgColor rgb="FFB4C7E7"/>
        <bgColor rgb="FFC0C0C0"/>
      </patternFill>
    </fill>
    <fill>
      <patternFill patternType="solid">
        <fgColor rgb="FFC0C0C0"/>
        <bgColor rgb="FFB4C7E7"/>
      </patternFill>
    </fill>
    <fill>
      <patternFill patternType="solid">
        <fgColor rgb="FF92D050"/>
        <bgColor rgb="FFAFABAB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  <fill>
      <patternFill patternType="solid">
        <fgColor rgb="FFF4B183"/>
        <bgColor rgb="FFFFCCCC"/>
      </patternFill>
    </fill>
    <fill>
      <patternFill patternType="solid">
        <fgColor rgb="FFED7D31"/>
        <bgColor rgb="FFFF808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4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16" fillId="0" borderId="0" applyFont="true" applyBorder="false" applyAlignment="true" applyProtection="false">
      <alignment horizontal="left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19" fillId="9" borderId="0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9" fillId="9" borderId="2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7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7" fillId="9" borderId="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7" fillId="0" borderId="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7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7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7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9" fillId="9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9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7" fillId="0" borderId="2" xfId="1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9" fillId="0" borderId="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5" fontId="21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1" fillId="0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6" fontId="21" fillId="0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1" fillId="0" borderId="6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71" fontId="23" fillId="0" borderId="6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5" fontId="21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1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12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11" borderId="2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11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11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9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1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5" fillId="1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5" fillId="1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25" fillId="1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5" fillId="1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0" fontId="25" fillId="1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1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1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5" fillId="1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25" fillId="1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5" fillId="17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5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16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1" fillId="1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31" fillId="1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31" fillId="13" borderId="2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13" borderId="2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1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17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19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4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4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3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4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4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4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4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4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4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39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8" xfId="4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6" fillId="0" borderId="19" xfId="4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6" fillId="0" borderId="20" xfId="4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30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1" builtinId="53" customBuiltin="true"/>
    <cellStyle name="Heading 1" xfId="22" builtinId="53" customBuiltin="true"/>
    <cellStyle name="Heading 2" xfId="23" builtinId="53" customBuiltin="true"/>
    <cellStyle name="Text" xfId="24" builtinId="53" customBuiltin="true"/>
    <cellStyle name="Note" xfId="25" builtinId="53" customBuiltin="true"/>
    <cellStyle name="Footnote" xfId="26" builtinId="53" customBuiltin="true"/>
    <cellStyle name="Hyperlink" xfId="27" builtinId="53" customBuiltin="true"/>
    <cellStyle name="Status" xfId="28" builtinId="53" customBuiltin="true"/>
    <cellStyle name="Good" xfId="29" builtinId="53" customBuiltin="true"/>
    <cellStyle name="Neutral" xfId="30" builtinId="53" customBuiltin="true"/>
    <cellStyle name="Bad" xfId="31" builtinId="53" customBuiltin="true"/>
    <cellStyle name="Warning" xfId="32" builtinId="53" customBuiltin="true"/>
    <cellStyle name="Error" xfId="33" builtinId="53" customBuiltin="true"/>
    <cellStyle name="Accent" xfId="34" builtinId="53" customBuiltin="true"/>
    <cellStyle name="Accent 1" xfId="35" builtinId="53" customBuiltin="true"/>
    <cellStyle name="Accent 2" xfId="36" builtinId="53" customBuiltin="true"/>
    <cellStyle name="Accent 3" xfId="37" builtinId="53" customBuiltin="true"/>
    <cellStyle name="Pivot Table Corner" xfId="38" builtinId="53" customBuiltin="true"/>
    <cellStyle name="Pivot Table Value" xfId="39" builtinId="53" customBuiltin="true"/>
    <cellStyle name="Pivot Table Field" xfId="40" builtinId="53" customBuiltin="true"/>
    <cellStyle name="Pivot Table Category" xfId="41" builtinId="53" customBuiltin="true"/>
    <cellStyle name="Pivot Table Title" xfId="42" builtinId="53" customBuiltin="true"/>
    <cellStyle name="Pivot Table Result" xfId="43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5B9BD5"/>
      <rgbColor rgb="FF993366"/>
      <rgbColor rgb="FFFFFFCC"/>
      <rgbColor rgb="FFDDDDDD"/>
      <rgbColor rgb="FF660066"/>
      <rgbColor rgb="FFFF8080"/>
      <rgbColor rgb="FF0563C1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B0F0"/>
      <rgbColor rgb="FFCCFFFF"/>
      <rgbColor rgb="FFCCFFCC"/>
      <rgbColor rgb="FFFFFF99"/>
      <rgbColor rgb="FF99CCFF"/>
      <rgbColor rgb="FFF4B183"/>
      <rgbColor rgb="FFCC99FF"/>
      <rgbColor rgb="FFFFCCCC"/>
      <rgbColor rgb="FF3366FF"/>
      <rgbColor rgb="FF33CCCC"/>
      <rgbColor rgb="FF92D050"/>
      <rgbColor rgb="FFFFC000"/>
      <rgbColor rgb="FFFF9900"/>
      <rgbColor rgb="FFED7D31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externalLink" Target="externalLinks/externalLink1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G:/Nesar/2281.02%20Draft%20Financial%20Statements%20TSIL%20-%2030%2006%202012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H39"/>
  <sheetViews>
    <sheetView showFormulas="false" showGridLines="false" showRowColHeaders="true" showZeros="true" rightToLeft="false" tabSelected="true" showOutlineSymbols="true" defaultGridColor="true" view="normal" topLeftCell="A4" colorId="64" zoomScale="85" zoomScaleNormal="85" zoomScalePageLayoutView="100" workbookViewId="0">
      <selection pane="topLeft" activeCell="F19" activeCellId="0" sqref="F19"/>
    </sheetView>
  </sheetViews>
  <sheetFormatPr defaultRowHeight="14.4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34.89"/>
    <col collapsed="false" customWidth="true" hidden="false" outlineLevel="0" max="3" min="3" style="2" width="21.67"/>
    <col collapsed="false" customWidth="true" hidden="false" outlineLevel="0" max="4" min="4" style="2" width="25.66"/>
    <col collapsed="false" customWidth="true" hidden="false" outlineLevel="0" max="5" min="5" style="2" width="22.89"/>
    <col collapsed="false" customWidth="true" hidden="false" outlineLevel="0" max="6" min="6" style="1" width="20.11"/>
    <col collapsed="false" customWidth="true" hidden="false" outlineLevel="0" max="7" min="7" style="1" width="24.45"/>
    <col collapsed="false" customWidth="true" hidden="false" outlineLevel="0" max="9" min="8" style="1" width="18.67"/>
    <col collapsed="false" customWidth="true" hidden="false" outlineLevel="0" max="10" min="10" style="1" width="16"/>
    <col collapsed="false" customWidth="true" hidden="false" outlineLevel="0" max="248" min="11" style="1" width="10.33"/>
    <col collapsed="false" customWidth="true" hidden="false" outlineLevel="0" max="252" min="249" style="1" width="10.66"/>
    <col collapsed="false" customWidth="true" hidden="false" outlineLevel="0" max="253" min="253" style="1" width="60.89"/>
    <col collapsed="false" customWidth="true" hidden="false" outlineLevel="0" max="254" min="254" style="1" width="23.45"/>
    <col collapsed="false" customWidth="true" hidden="false" outlineLevel="0" max="255" min="255" style="1" width="25.66"/>
    <col collapsed="false" customWidth="true" hidden="false" outlineLevel="0" max="256" min="256" style="1" width="22.89"/>
    <col collapsed="false" customWidth="true" hidden="false" outlineLevel="0" max="257" min="257" style="1" width="17.33"/>
    <col collapsed="false" customWidth="true" hidden="false" outlineLevel="0" max="258" min="258" style="1" width="46.11"/>
    <col collapsed="false" customWidth="true" hidden="false" outlineLevel="0" max="259" min="259" style="1" width="25"/>
    <col collapsed="false" customWidth="true" hidden="false" outlineLevel="0" max="260" min="260" style="1" width="35.44"/>
    <col collapsed="false" customWidth="true" hidden="false" outlineLevel="0" max="261" min="261" style="1" width="16"/>
    <col collapsed="false" customWidth="true" hidden="false" outlineLevel="0" max="263" min="262" style="1" width="17.33"/>
    <col collapsed="false" customWidth="true" hidden="false" outlineLevel="0" max="264" min="264" style="1" width="16"/>
    <col collapsed="false" customWidth="true" hidden="false" outlineLevel="0" max="265" min="265" style="1" width="10.33"/>
    <col collapsed="false" customWidth="true" hidden="false" outlineLevel="0" max="266" min="266" style="1" width="16"/>
    <col collapsed="false" customWidth="true" hidden="false" outlineLevel="0" max="504" min="267" style="1" width="10.33"/>
    <col collapsed="false" customWidth="true" hidden="false" outlineLevel="0" max="508" min="505" style="1" width="10.66"/>
    <col collapsed="false" customWidth="true" hidden="false" outlineLevel="0" max="509" min="509" style="1" width="60.89"/>
    <col collapsed="false" customWidth="true" hidden="false" outlineLevel="0" max="510" min="510" style="1" width="23.45"/>
    <col collapsed="false" customWidth="true" hidden="false" outlineLevel="0" max="511" min="511" style="1" width="25.66"/>
    <col collapsed="false" customWidth="true" hidden="false" outlineLevel="0" max="512" min="512" style="1" width="22.89"/>
    <col collapsed="false" customWidth="true" hidden="false" outlineLevel="0" max="513" min="513" style="1" width="17.33"/>
    <col collapsed="false" customWidth="true" hidden="false" outlineLevel="0" max="514" min="514" style="1" width="46.11"/>
    <col collapsed="false" customWidth="true" hidden="false" outlineLevel="0" max="515" min="515" style="1" width="25"/>
    <col collapsed="false" customWidth="true" hidden="false" outlineLevel="0" max="516" min="516" style="1" width="35.44"/>
    <col collapsed="false" customWidth="true" hidden="false" outlineLevel="0" max="517" min="517" style="1" width="16"/>
    <col collapsed="false" customWidth="true" hidden="false" outlineLevel="0" max="519" min="518" style="1" width="17.33"/>
    <col collapsed="false" customWidth="true" hidden="false" outlineLevel="0" max="520" min="520" style="1" width="16"/>
    <col collapsed="false" customWidth="true" hidden="false" outlineLevel="0" max="521" min="521" style="1" width="10.33"/>
    <col collapsed="false" customWidth="true" hidden="false" outlineLevel="0" max="522" min="522" style="1" width="16"/>
    <col collapsed="false" customWidth="true" hidden="false" outlineLevel="0" max="760" min="523" style="1" width="10.33"/>
    <col collapsed="false" customWidth="true" hidden="false" outlineLevel="0" max="764" min="761" style="1" width="10.66"/>
    <col collapsed="false" customWidth="true" hidden="false" outlineLevel="0" max="765" min="765" style="1" width="60.89"/>
    <col collapsed="false" customWidth="true" hidden="false" outlineLevel="0" max="766" min="766" style="1" width="23.45"/>
    <col collapsed="false" customWidth="true" hidden="false" outlineLevel="0" max="767" min="767" style="1" width="25.66"/>
    <col collapsed="false" customWidth="true" hidden="false" outlineLevel="0" max="768" min="768" style="1" width="22.89"/>
    <col collapsed="false" customWidth="true" hidden="false" outlineLevel="0" max="769" min="769" style="1" width="17.33"/>
    <col collapsed="false" customWidth="true" hidden="false" outlineLevel="0" max="770" min="770" style="1" width="46.11"/>
    <col collapsed="false" customWidth="true" hidden="false" outlineLevel="0" max="771" min="771" style="1" width="25"/>
    <col collapsed="false" customWidth="true" hidden="false" outlineLevel="0" max="772" min="772" style="1" width="35.44"/>
    <col collapsed="false" customWidth="true" hidden="false" outlineLevel="0" max="773" min="773" style="1" width="16"/>
    <col collapsed="false" customWidth="true" hidden="false" outlineLevel="0" max="775" min="774" style="1" width="17.33"/>
    <col collapsed="false" customWidth="true" hidden="false" outlineLevel="0" max="776" min="776" style="1" width="16"/>
    <col collapsed="false" customWidth="true" hidden="false" outlineLevel="0" max="777" min="777" style="1" width="10.33"/>
    <col collapsed="false" customWidth="true" hidden="false" outlineLevel="0" max="778" min="778" style="1" width="16"/>
    <col collapsed="false" customWidth="true" hidden="false" outlineLevel="0" max="1016" min="779" style="1" width="10.33"/>
    <col collapsed="false" customWidth="true" hidden="false" outlineLevel="0" max="1020" min="1017" style="1" width="10.66"/>
    <col collapsed="false" customWidth="true" hidden="false" outlineLevel="0" max="1021" min="1021" style="1" width="60.89"/>
    <col collapsed="false" customWidth="true" hidden="false" outlineLevel="0" max="1022" min="1022" style="1" width="23.45"/>
    <col collapsed="false" customWidth="true" hidden="false" outlineLevel="0" max="1023" min="1023" style="1" width="25.66"/>
    <col collapsed="false" customWidth="true" hidden="false" outlineLevel="0" max="1025" min="1024" style="1" width="22.89"/>
  </cols>
  <sheetData>
    <row r="2" customFormat="false" ht="15.6" hidden="false" customHeight="true" outlineLevel="0" collapsed="false">
      <c r="A2" s="3" t="s">
        <v>0</v>
      </c>
      <c r="B2" s="3"/>
      <c r="C2" s="3"/>
      <c r="D2" s="3"/>
      <c r="E2" s="3"/>
      <c r="F2" s="4"/>
      <c r="G2" s="5"/>
    </row>
    <row r="3" customFormat="false" ht="15.6" hidden="false" customHeight="true" outlineLevel="0" collapsed="false">
      <c r="A3" s="3" t="s">
        <v>1</v>
      </c>
      <c r="B3" s="3"/>
      <c r="C3" s="3"/>
      <c r="D3" s="3"/>
      <c r="E3" s="3"/>
      <c r="F3" s="4"/>
      <c r="G3" s="5"/>
    </row>
    <row r="4" customFormat="false" ht="15.6" hidden="false" customHeight="false" outlineLevel="0" collapsed="false">
      <c r="A4" s="6"/>
      <c r="B4" s="6"/>
      <c r="C4" s="6"/>
      <c r="D4" s="6"/>
      <c r="E4" s="6"/>
      <c r="F4" s="4"/>
      <c r="G4" s="5"/>
    </row>
    <row r="5" customFormat="false" ht="15.6" hidden="false" customHeight="false" outlineLevel="0" collapsed="false">
      <c r="A5" s="7" t="s">
        <v>2</v>
      </c>
      <c r="B5" s="6"/>
      <c r="C5" s="6"/>
      <c r="D5" s="6"/>
      <c r="E5" s="6"/>
      <c r="F5" s="4"/>
      <c r="G5" s="5"/>
    </row>
    <row r="6" customFormat="false" ht="12.75" hidden="false" customHeight="true" outlineLevel="0" collapsed="false">
      <c r="A6" s="8"/>
      <c r="B6" s="8"/>
      <c r="C6" s="9"/>
      <c r="D6" s="9"/>
      <c r="E6" s="9"/>
      <c r="F6" s="4"/>
      <c r="G6" s="5"/>
    </row>
    <row r="7" customFormat="false" ht="14.4" hidden="false" customHeight="false" outlineLevel="0" collapsed="false">
      <c r="A7" s="10" t="s">
        <v>3</v>
      </c>
      <c r="B7" s="10" t="s">
        <v>4</v>
      </c>
      <c r="C7" s="11" t="s">
        <v>5</v>
      </c>
      <c r="D7" s="11" t="s">
        <v>6</v>
      </c>
      <c r="E7" s="11" t="s">
        <v>7</v>
      </c>
      <c r="F7" s="5"/>
      <c r="G7" s="12"/>
    </row>
    <row r="8" customFormat="false" ht="14.4" hidden="false" customHeight="false" outlineLevel="0" collapsed="false">
      <c r="A8" s="13" t="n">
        <v>1</v>
      </c>
      <c r="B8" s="14" t="s">
        <v>8</v>
      </c>
      <c r="C8" s="15" t="n">
        <v>46541722.86</v>
      </c>
      <c r="D8" s="16" t="n">
        <v>50979644.76</v>
      </c>
      <c r="E8" s="15" t="n">
        <f aca="false">C8-D8</f>
        <v>-4437921.9</v>
      </c>
      <c r="F8" s="17"/>
      <c r="G8" s="12"/>
    </row>
    <row r="9" customFormat="false" ht="14.4" hidden="false" customHeight="false" outlineLevel="0" collapsed="false">
      <c r="A9" s="18" t="s">
        <v>9</v>
      </c>
      <c r="B9" s="14" t="s">
        <v>10</v>
      </c>
      <c r="C9" s="15" t="n">
        <f aca="false">-C20</f>
        <v>230832449.57</v>
      </c>
      <c r="D9" s="15" t="n">
        <f aca="false">C26</f>
        <v>220116573.99</v>
      </c>
      <c r="E9" s="15" t="n">
        <f aca="false">C9-D9</f>
        <v>10715875.58</v>
      </c>
      <c r="F9" s="12"/>
      <c r="G9" s="12"/>
    </row>
    <row r="10" customFormat="false" ht="55.2" hidden="false" customHeight="false" outlineLevel="0" collapsed="false">
      <c r="A10" s="13" t="s">
        <v>11</v>
      </c>
      <c r="B10" s="14" t="s">
        <v>12</v>
      </c>
      <c r="C10" s="15" t="n">
        <f aca="false">-TSL!Q671</f>
        <v>34636394.14</v>
      </c>
      <c r="D10" s="15" t="n">
        <f aca="false">TBSL!Q1494</f>
        <v>39671815.75</v>
      </c>
      <c r="E10" s="15" t="n">
        <f aca="false">C10-D10</f>
        <v>-5035421.61</v>
      </c>
      <c r="F10" s="12" t="s">
        <v>13</v>
      </c>
      <c r="G10" s="12"/>
    </row>
    <row r="11" customFormat="false" ht="14.4" hidden="false" customHeight="false" outlineLevel="0" collapsed="false">
      <c r="A11" s="13" t="n">
        <v>2</v>
      </c>
      <c r="B11" s="19" t="s">
        <v>14</v>
      </c>
      <c r="C11" s="15" t="n">
        <f aca="false">SUM(C9:C10)</f>
        <v>265468843.71</v>
      </c>
      <c r="D11" s="15" t="n">
        <f aca="false">SUM(D9:D10)</f>
        <v>259788389.74</v>
      </c>
      <c r="E11" s="15" t="n">
        <f aca="false">C11-D11</f>
        <v>5680453.96999997</v>
      </c>
      <c r="F11" s="12"/>
      <c r="G11" s="12"/>
    </row>
    <row r="12" customFormat="false" ht="14.4" hidden="false" customHeight="false" outlineLevel="0" collapsed="false">
      <c r="A12" s="13" t="n">
        <v>3</v>
      </c>
      <c r="B12" s="14" t="s">
        <v>15</v>
      </c>
      <c r="C12" s="15" t="n">
        <f aca="false">C13-C11-C8</f>
        <v>-251245513.58</v>
      </c>
      <c r="D12" s="15" t="n">
        <f aca="false">D13-D11-D8</f>
        <v>-234600431.22</v>
      </c>
      <c r="E12" s="15" t="n">
        <f aca="false">C12-D12</f>
        <v>-16645082.36</v>
      </c>
      <c r="F12" s="12"/>
      <c r="G12" s="20"/>
      <c r="H12" s="5"/>
    </row>
    <row r="13" customFormat="false" ht="30.75" hidden="false" customHeight="true" outlineLevel="0" collapsed="false">
      <c r="A13" s="13" t="n">
        <v>4</v>
      </c>
      <c r="B13" s="14" t="s">
        <v>16</v>
      </c>
      <c r="C13" s="15" t="n">
        <v>60765052.99</v>
      </c>
      <c r="D13" s="15" t="n">
        <v>76167603.28</v>
      </c>
      <c r="E13" s="15" t="n">
        <f aca="false">C13-D13</f>
        <v>-15402550.29</v>
      </c>
      <c r="F13" s="20"/>
      <c r="G13" s="20"/>
      <c r="H13" s="5"/>
    </row>
    <row r="14" customFormat="false" ht="14.4" hidden="false" customHeight="false" outlineLevel="0" collapsed="false">
      <c r="A14" s="21"/>
      <c r="B14" s="22"/>
      <c r="C14" s="23"/>
      <c r="D14" s="24"/>
      <c r="E14" s="23"/>
      <c r="F14" s="20"/>
      <c r="G14" s="25"/>
      <c r="H14" s="5"/>
    </row>
    <row r="17" customFormat="false" ht="14.4" hidden="false" customHeight="false" outlineLevel="0" collapsed="false">
      <c r="B17" s="26" t="s">
        <v>17</v>
      </c>
      <c r="C17" s="27" t="n">
        <v>-3562266.08999999</v>
      </c>
      <c r="D17" s="28"/>
      <c r="E17" s="29"/>
      <c r="G17" s="25"/>
    </row>
    <row r="18" customFormat="false" ht="14.4" hidden="false" customHeight="false" outlineLevel="0" collapsed="false">
      <c r="B18" s="26" t="s">
        <v>18</v>
      </c>
      <c r="C18" s="27" t="n">
        <v>-36247051.85</v>
      </c>
      <c r="D18" s="28"/>
      <c r="E18" s="29"/>
      <c r="F18" s="30"/>
    </row>
    <row r="19" customFormat="false" ht="28.35" hidden="false" customHeight="false" outlineLevel="0" collapsed="false">
      <c r="B19" s="26" t="s">
        <v>19</v>
      </c>
      <c r="C19" s="27" t="n">
        <f aca="false">TSL!L671</f>
        <v>-191023131.63</v>
      </c>
      <c r="D19" s="2" t="s">
        <v>20</v>
      </c>
      <c r="E19" s="2" t="s">
        <v>21</v>
      </c>
      <c r="F19" s="31" t="s">
        <v>22</v>
      </c>
    </row>
    <row r="20" customFormat="false" ht="14.9" hidden="false" customHeight="false" outlineLevel="0" collapsed="false">
      <c r="B20" s="32" t="s">
        <v>23</v>
      </c>
      <c r="C20" s="33" t="n">
        <f aca="false">SUM(C17:C19)</f>
        <v>-230832449.57</v>
      </c>
    </row>
    <row r="22" customFormat="false" ht="14.4" hidden="false" customHeight="false" outlineLevel="0" collapsed="false">
      <c r="F22" s="30"/>
    </row>
    <row r="25" customFormat="false" ht="28.35" hidden="false" customHeight="false" outlineLevel="0" collapsed="false">
      <c r="B25" s="34" t="s">
        <v>19</v>
      </c>
      <c r="C25" s="16" t="n">
        <f aca="false">TBSL!L1493</f>
        <v>220116573.99</v>
      </c>
      <c r="D25" s="2" t="s">
        <v>24</v>
      </c>
      <c r="E25" s="2" t="s">
        <v>21</v>
      </c>
    </row>
    <row r="26" customFormat="false" ht="14.9" hidden="false" customHeight="false" outlineLevel="0" collapsed="false">
      <c r="B26" s="35" t="s">
        <v>25</v>
      </c>
      <c r="C26" s="36" t="n">
        <f aca="false">SUM(C25:C25)</f>
        <v>220116573.99</v>
      </c>
    </row>
    <row r="38" customFormat="false" ht="14.4" hidden="false" customHeight="false" outlineLevel="0" collapsed="false">
      <c r="C38" s="2" t="n">
        <v>72978935.9</v>
      </c>
    </row>
    <row r="39" customFormat="false" ht="14.4" hidden="false" customHeight="false" outlineLevel="0" collapsed="false">
      <c r="C39" s="2" t="n">
        <v>-81433170.43</v>
      </c>
    </row>
  </sheetData>
  <mergeCells count="2">
    <mergeCell ref="A2:E2"/>
    <mergeCell ref="A3:E3"/>
  </mergeCells>
  <printOptions headings="false" gridLines="true" gridLinesSet="true" horizontalCentered="true" verticalCentered="false"/>
  <pageMargins left="0.25" right="0.25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E57"/>
  <sheetViews>
    <sheetView showFormulas="false" showGridLines="true" showRowColHeaders="true" showZeros="true" rightToLeft="false" tabSelected="false" showOutlineSymbols="true" defaultGridColor="true" view="normal" topLeftCell="A29" colorId="64" zoomScale="85" zoomScaleNormal="85" zoomScalePageLayoutView="100" workbookViewId="0">
      <selection pane="topLeft" activeCell="D25" activeCellId="0" sqref="D25"/>
    </sheetView>
  </sheetViews>
  <sheetFormatPr defaultRowHeight="13.8" zeroHeight="false" outlineLevelRow="0" outlineLevelCol="0"/>
  <cols>
    <col collapsed="false" customWidth="true" hidden="false" outlineLevel="0" max="1" min="1" style="37" width="49.44"/>
    <col collapsed="false" customWidth="true" hidden="false" outlineLevel="0" max="2" min="2" style="37" width="22.11"/>
    <col collapsed="false" customWidth="true" hidden="false" outlineLevel="0" max="3" min="3" style="37" width="16.44"/>
    <col collapsed="false" customWidth="true" hidden="false" outlineLevel="0" max="4" min="4" style="37" width="19.11"/>
    <col collapsed="false" customWidth="true" hidden="false" outlineLevel="0" max="5" min="5" style="37" width="14.33"/>
    <col collapsed="false" customWidth="true" hidden="false" outlineLevel="0" max="6" min="6" style="37" width="2.55"/>
    <col collapsed="false" customWidth="true" hidden="true" outlineLevel="0" max="1025" min="7" style="37" width="9.14"/>
  </cols>
  <sheetData>
    <row r="1" customFormat="false" ht="13.8" hidden="false" customHeight="false" outlineLevel="0" collapsed="false">
      <c r="A1" s="38" t="s">
        <v>26</v>
      </c>
      <c r="E1" s="39" t="s">
        <v>27</v>
      </c>
    </row>
    <row r="2" customFormat="false" ht="13.8" hidden="false" customHeight="false" outlineLevel="0" collapsed="false">
      <c r="C2" s="40"/>
      <c r="D2" s="40"/>
    </row>
    <row r="3" customFormat="false" ht="13.8" hidden="false" customHeight="false" outlineLevel="0" collapsed="false">
      <c r="A3" s="38" t="s">
        <v>28</v>
      </c>
    </row>
    <row r="5" customFormat="false" ht="13.8" hidden="false" customHeight="false" outlineLevel="0" collapsed="false">
      <c r="A5" s="38" t="s">
        <v>29</v>
      </c>
    </row>
    <row r="7" customFormat="false" ht="13.8" hidden="false" customHeight="false" outlineLevel="0" collapsed="false">
      <c r="A7" s="38" t="s">
        <v>30</v>
      </c>
      <c r="C7" s="41"/>
      <c r="D7" s="41"/>
      <c r="E7" s="42" t="s">
        <v>31</v>
      </c>
    </row>
    <row r="8" customFormat="false" ht="14.4" hidden="false" customHeight="false" outlineLevel="0" collapsed="false">
      <c r="A8" s="37" t="s">
        <v>32</v>
      </c>
      <c r="C8" s="43"/>
      <c r="D8" s="43"/>
    </row>
    <row r="9" s="48" customFormat="true" ht="14.4" hidden="false" customHeight="false" outlineLevel="0" collapsed="false">
      <c r="A9" s="44" t="s">
        <v>33</v>
      </c>
      <c r="B9" s="45" t="s">
        <v>34</v>
      </c>
      <c r="C9" s="45" t="s">
        <v>35</v>
      </c>
      <c r="D9" s="46" t="s">
        <v>7</v>
      </c>
      <c r="E9" s="47" t="s">
        <v>36</v>
      </c>
    </row>
    <row r="10" customFormat="false" ht="13.8" hidden="false" customHeight="false" outlineLevel="0" collapsed="false">
      <c r="A10" s="49"/>
      <c r="B10" s="50"/>
      <c r="C10" s="51"/>
      <c r="D10" s="50"/>
      <c r="E10" s="52"/>
    </row>
    <row r="11" customFormat="false" ht="13.8" hidden="false" customHeight="false" outlineLevel="0" collapsed="false">
      <c r="A11" s="53" t="s">
        <v>37</v>
      </c>
      <c r="B11" s="54" t="n">
        <f aca="false">'SOA-TSL Payable'!C9</f>
        <v>230832449.57</v>
      </c>
      <c r="D11" s="50"/>
      <c r="E11" s="55"/>
    </row>
    <row r="12" customFormat="false" ht="13.8" hidden="false" customHeight="false" outlineLevel="0" collapsed="false">
      <c r="A12" s="53" t="s">
        <v>38</v>
      </c>
      <c r="C12" s="54" t="n">
        <f aca="false">'SOA-TSL Payable'!D9</f>
        <v>220116573.99</v>
      </c>
      <c r="D12" s="50"/>
      <c r="E12" s="55"/>
    </row>
    <row r="13" customFormat="false" ht="13.8" hidden="false" customHeight="false" outlineLevel="0" collapsed="false">
      <c r="A13" s="53" t="s">
        <v>39</v>
      </c>
      <c r="B13" s="50"/>
      <c r="C13" s="51"/>
      <c r="D13" s="50"/>
      <c r="E13" s="55"/>
    </row>
    <row r="14" customFormat="false" ht="13.8" hidden="false" customHeight="false" outlineLevel="0" collapsed="false">
      <c r="A14" s="53" t="s">
        <v>40</v>
      </c>
      <c r="B14" s="50"/>
      <c r="C14" s="51"/>
      <c r="D14" s="50"/>
      <c r="E14" s="55"/>
    </row>
    <row r="15" customFormat="false" ht="13.8" hidden="false" customHeight="false" outlineLevel="0" collapsed="false">
      <c r="A15" s="53" t="s">
        <v>41</v>
      </c>
      <c r="B15" s="50"/>
      <c r="C15" s="51"/>
      <c r="D15" s="50"/>
      <c r="E15" s="56"/>
    </row>
    <row r="16" customFormat="false" ht="13.8" hidden="false" customHeight="false" outlineLevel="0" collapsed="false">
      <c r="A16" s="53" t="s">
        <v>42</v>
      </c>
      <c r="B16" s="50"/>
      <c r="C16" s="51"/>
      <c r="D16" s="50"/>
      <c r="E16" s="55"/>
    </row>
    <row r="17" customFormat="false" ht="27.6" hidden="false" customHeight="false" outlineLevel="0" collapsed="false">
      <c r="A17" s="53" t="s">
        <v>43</v>
      </c>
      <c r="B17" s="50"/>
      <c r="C17" s="51"/>
      <c r="D17" s="57" t="n">
        <f aca="false">B11-C12</f>
        <v>10715875.58</v>
      </c>
      <c r="E17" s="58" t="s">
        <v>44</v>
      </c>
    </row>
    <row r="18" customFormat="false" ht="13.8" hidden="false" customHeight="false" outlineLevel="0" collapsed="false">
      <c r="A18" s="53" t="s">
        <v>45</v>
      </c>
      <c r="B18" s="50"/>
      <c r="C18" s="51"/>
      <c r="D18" s="57"/>
      <c r="E18" s="55"/>
    </row>
    <row r="19" customFormat="false" ht="13.8" hidden="false" customHeight="false" outlineLevel="0" collapsed="false">
      <c r="A19" s="53" t="s">
        <v>46</v>
      </c>
      <c r="B19" s="50"/>
      <c r="C19" s="51"/>
      <c r="D19" s="50"/>
      <c r="E19" s="55"/>
    </row>
    <row r="20" customFormat="false" ht="13.8" hidden="false" customHeight="false" outlineLevel="0" collapsed="false">
      <c r="A20" s="59" t="s">
        <v>47</v>
      </c>
      <c r="B20" s="50"/>
      <c r="C20" s="51"/>
      <c r="D20" s="50"/>
      <c r="E20" s="55"/>
    </row>
    <row r="21" customFormat="false" ht="27.6" hidden="false" customHeight="false" outlineLevel="0" collapsed="false">
      <c r="A21" s="59" t="s">
        <v>48</v>
      </c>
      <c r="B21" s="50"/>
      <c r="C21" s="51"/>
      <c r="D21" s="50"/>
      <c r="E21" s="55"/>
    </row>
    <row r="22" customFormat="false" ht="13.8" hidden="false" customHeight="false" outlineLevel="0" collapsed="false">
      <c r="A22" s="59" t="s">
        <v>49</v>
      </c>
      <c r="B22" s="50"/>
      <c r="C22" s="51"/>
      <c r="D22" s="50"/>
      <c r="E22" s="55"/>
    </row>
    <row r="23" customFormat="false" ht="27.6" hidden="false" customHeight="false" outlineLevel="0" collapsed="false">
      <c r="A23" s="59" t="s">
        <v>50</v>
      </c>
      <c r="B23" s="50"/>
      <c r="C23" s="51"/>
      <c r="D23" s="50"/>
      <c r="E23" s="55"/>
    </row>
    <row r="24" customFormat="false" ht="13.8" hidden="false" customHeight="false" outlineLevel="0" collapsed="false">
      <c r="A24" s="59" t="s">
        <v>51</v>
      </c>
      <c r="B24" s="50"/>
      <c r="C24" s="51"/>
      <c r="D24" s="50"/>
      <c r="E24" s="55"/>
    </row>
    <row r="25" customFormat="false" ht="13.8" hidden="false" customHeight="false" outlineLevel="0" collapsed="false">
      <c r="A25" s="53" t="s">
        <v>52</v>
      </c>
      <c r="B25" s="50"/>
      <c r="C25" s="51"/>
      <c r="D25" s="50"/>
      <c r="E25" s="55"/>
    </row>
    <row r="26" customFormat="false" ht="13.8" hidden="false" customHeight="false" outlineLevel="0" collapsed="false">
      <c r="A26" s="53" t="s">
        <v>53</v>
      </c>
      <c r="B26" s="50"/>
      <c r="C26" s="51"/>
      <c r="D26" s="50"/>
      <c r="E26" s="55"/>
    </row>
    <row r="27" customFormat="false" ht="13.8" hidden="false" customHeight="false" outlineLevel="0" collapsed="false">
      <c r="A27" s="59" t="s">
        <v>54</v>
      </c>
      <c r="B27" s="50"/>
      <c r="C27" s="51"/>
      <c r="D27" s="50"/>
      <c r="E27" s="58"/>
    </row>
    <row r="28" customFormat="false" ht="13.8" hidden="false" customHeight="false" outlineLevel="0" collapsed="false">
      <c r="A28" s="59" t="s">
        <v>55</v>
      </c>
      <c r="B28" s="50"/>
      <c r="C28" s="51"/>
      <c r="D28" s="50"/>
      <c r="E28" s="55"/>
    </row>
    <row r="29" customFormat="false" ht="13.8" hidden="false" customHeight="false" outlineLevel="0" collapsed="false">
      <c r="A29" s="59" t="s">
        <v>56</v>
      </c>
      <c r="B29" s="50"/>
      <c r="C29" s="51"/>
      <c r="D29" s="50"/>
      <c r="E29" s="55"/>
    </row>
    <row r="30" customFormat="false" ht="13.8" hidden="false" customHeight="false" outlineLevel="0" collapsed="false">
      <c r="A30" s="59" t="s">
        <v>57</v>
      </c>
      <c r="B30" s="50"/>
      <c r="C30" s="51"/>
      <c r="D30" s="50"/>
      <c r="E30" s="55"/>
    </row>
    <row r="31" customFormat="false" ht="13.8" hidden="false" customHeight="false" outlineLevel="0" collapsed="false">
      <c r="A31" s="59" t="s">
        <v>58</v>
      </c>
      <c r="B31" s="50"/>
      <c r="C31" s="51"/>
      <c r="D31" s="50"/>
      <c r="E31" s="55"/>
    </row>
    <row r="32" customFormat="false" ht="13.8" hidden="false" customHeight="false" outlineLevel="0" collapsed="false">
      <c r="A32" s="59" t="s">
        <v>59</v>
      </c>
      <c r="B32" s="50"/>
      <c r="C32" s="51"/>
      <c r="D32" s="50"/>
      <c r="E32" s="55"/>
    </row>
    <row r="33" customFormat="false" ht="13.8" hidden="false" customHeight="false" outlineLevel="0" collapsed="false">
      <c r="A33" s="59" t="s">
        <v>60</v>
      </c>
      <c r="B33" s="50"/>
      <c r="C33" s="51"/>
      <c r="D33" s="50"/>
      <c r="E33" s="55"/>
    </row>
    <row r="34" customFormat="false" ht="13.8" hidden="false" customHeight="false" outlineLevel="0" collapsed="false">
      <c r="A34" s="59" t="s">
        <v>61</v>
      </c>
      <c r="B34" s="50"/>
      <c r="C34" s="51"/>
      <c r="D34" s="50"/>
      <c r="E34" s="55"/>
    </row>
    <row r="35" customFormat="false" ht="13.8" hidden="false" customHeight="false" outlineLevel="0" collapsed="false">
      <c r="A35" s="59" t="s">
        <v>62</v>
      </c>
      <c r="B35" s="50"/>
      <c r="C35" s="51"/>
      <c r="D35" s="50"/>
      <c r="E35" s="55"/>
    </row>
    <row r="36" customFormat="false" ht="13.8" hidden="false" customHeight="false" outlineLevel="0" collapsed="false">
      <c r="A36" s="59"/>
      <c r="B36" s="57"/>
      <c r="C36" s="54"/>
      <c r="D36" s="50"/>
      <c r="E36" s="55"/>
    </row>
    <row r="37" customFormat="false" ht="13.8" hidden="false" customHeight="false" outlineLevel="0" collapsed="false">
      <c r="A37" s="60" t="s">
        <v>63</v>
      </c>
      <c r="B37" s="57"/>
      <c r="C37" s="54"/>
      <c r="D37" s="50"/>
      <c r="E37" s="55"/>
    </row>
    <row r="38" customFormat="false" ht="13.8" hidden="false" customHeight="false" outlineLevel="0" collapsed="false">
      <c r="A38" s="59" t="s">
        <v>64</v>
      </c>
      <c r="C38" s="54" t="n">
        <f aca="false">Balances!C6</f>
        <v>76387905.14</v>
      </c>
      <c r="D38" s="50"/>
      <c r="E38" s="58"/>
    </row>
    <row r="39" customFormat="false" ht="13.8" hidden="false" customHeight="false" outlineLevel="0" collapsed="false">
      <c r="A39" s="59" t="s">
        <v>65</v>
      </c>
      <c r="B39" s="57"/>
      <c r="C39" s="54"/>
      <c r="D39" s="50"/>
      <c r="E39" s="55"/>
    </row>
    <row r="40" customFormat="false" ht="13.8" hidden="false" customHeight="false" outlineLevel="0" collapsed="false">
      <c r="A40" s="59"/>
      <c r="B40" s="57"/>
      <c r="C40" s="54"/>
      <c r="D40" s="50"/>
      <c r="E40" s="55"/>
    </row>
    <row r="41" customFormat="false" ht="13.8" hidden="false" customHeight="false" outlineLevel="0" collapsed="false">
      <c r="A41" s="59"/>
      <c r="B41" s="57"/>
      <c r="C41" s="54"/>
      <c r="D41" s="50"/>
      <c r="E41" s="55"/>
    </row>
    <row r="42" customFormat="false" ht="13.8" hidden="false" customHeight="false" outlineLevel="0" collapsed="false">
      <c r="A42" s="59"/>
      <c r="B42" s="57"/>
      <c r="C42" s="54"/>
      <c r="D42" s="50"/>
      <c r="E42" s="55"/>
    </row>
    <row r="43" customFormat="false" ht="13.8" hidden="false" customHeight="false" outlineLevel="0" collapsed="false">
      <c r="A43" s="60" t="s">
        <v>66</v>
      </c>
      <c r="B43" s="57"/>
      <c r="C43" s="54"/>
      <c r="D43" s="50"/>
      <c r="E43" s="55"/>
    </row>
    <row r="44" customFormat="false" ht="13.8" hidden="false" customHeight="false" outlineLevel="0" collapsed="false">
      <c r="A44" s="53" t="s">
        <v>67</v>
      </c>
      <c r="B44" s="54" t="n">
        <f aca="false">'SOA-TSL Payable'!C13</f>
        <v>60765052.99</v>
      </c>
      <c r="D44" s="57" t="n">
        <f aca="false">B44-(C38-C45)</f>
        <v>-15402550.29</v>
      </c>
      <c r="E44" s="58" t="s">
        <v>68</v>
      </c>
    </row>
    <row r="45" customFormat="false" ht="13.8" hidden="false" customHeight="false" outlineLevel="0" collapsed="false">
      <c r="A45" s="53" t="s">
        <v>69</v>
      </c>
      <c r="B45" s="61"/>
      <c r="C45" s="54" t="n">
        <f aca="false">-Balances!C5</f>
        <v>220301.86</v>
      </c>
      <c r="D45" s="50"/>
      <c r="E45" s="55"/>
    </row>
    <row r="46" customFormat="false" ht="13.8" hidden="false" customHeight="false" outlineLevel="0" collapsed="false">
      <c r="A46" s="53"/>
      <c r="B46" s="57"/>
      <c r="C46" s="54"/>
      <c r="D46" s="50"/>
      <c r="E46" s="55"/>
    </row>
    <row r="47" customFormat="false" ht="13.8" hidden="false" customHeight="false" outlineLevel="0" collapsed="false">
      <c r="A47" s="62" t="s">
        <v>70</v>
      </c>
      <c r="B47" s="63"/>
      <c r="C47" s="64"/>
      <c r="D47" s="63"/>
      <c r="E47" s="65"/>
    </row>
    <row r="48" customFormat="false" ht="13.8" hidden="false" customHeight="false" outlineLevel="0" collapsed="false">
      <c r="A48" s="66"/>
      <c r="B48" s="67"/>
      <c r="C48" s="67"/>
      <c r="D48" s="67"/>
      <c r="E48" s="67"/>
    </row>
    <row r="49" customFormat="false" ht="13.8" hidden="false" customHeight="false" outlineLevel="0" collapsed="false">
      <c r="A49" s="68" t="s">
        <v>71</v>
      </c>
      <c r="B49" s="69"/>
      <c r="C49" s="69"/>
      <c r="D49" s="67"/>
      <c r="E49" s="67"/>
    </row>
    <row r="50" customFormat="false" ht="13.8" hidden="false" customHeight="false" outlineLevel="0" collapsed="false">
      <c r="A50" s="68" t="s">
        <v>72</v>
      </c>
      <c r="B50" s="69"/>
      <c r="C50" s="69"/>
      <c r="D50" s="67"/>
      <c r="E50" s="67"/>
    </row>
    <row r="51" customFormat="false" ht="13.8" hidden="false" customHeight="false" outlineLevel="0" collapsed="false">
      <c r="A51" s="66"/>
      <c r="B51" s="67"/>
      <c r="C51" s="67"/>
      <c r="D51" s="67"/>
      <c r="E51" s="67"/>
    </row>
    <row r="52" customFormat="false" ht="13.8" hidden="false" customHeight="false" outlineLevel="0" collapsed="false">
      <c r="A52" s="66"/>
      <c r="B52" s="67"/>
      <c r="C52" s="67"/>
      <c r="D52" s="67"/>
      <c r="E52" s="67"/>
    </row>
    <row r="53" customFormat="false" ht="13.8" hidden="false" customHeight="false" outlineLevel="0" collapsed="false">
      <c r="A53" s="66"/>
      <c r="B53" s="67"/>
      <c r="C53" s="67"/>
      <c r="D53" s="67"/>
      <c r="E53" s="67"/>
    </row>
    <row r="54" customFormat="false" ht="13.8" hidden="false" customHeight="false" outlineLevel="0" collapsed="false">
      <c r="A54" s="66"/>
      <c r="B54" s="67"/>
      <c r="C54" s="67"/>
      <c r="D54" s="67"/>
      <c r="E54" s="67"/>
    </row>
    <row r="55" customFormat="false" ht="13.8" hidden="false" customHeight="false" outlineLevel="0" collapsed="false">
      <c r="A55" s="70" t="s">
        <v>73</v>
      </c>
      <c r="B55" s="67"/>
      <c r="C55" s="67"/>
      <c r="E55" s="67"/>
    </row>
    <row r="56" customFormat="false" ht="13.8" hidden="false" customHeight="false" outlineLevel="0" collapsed="false">
      <c r="A56" s="66" t="s">
        <v>74</v>
      </c>
      <c r="B56" s="67"/>
      <c r="C56" s="67"/>
      <c r="D56" s="67"/>
      <c r="E56" s="67"/>
    </row>
    <row r="57" customFormat="false" ht="13.8" hidden="false" customHeight="false" outlineLevel="0" collapsed="false">
      <c r="A57" s="66" t="s">
        <v>75</v>
      </c>
      <c r="B57" s="67"/>
      <c r="C57" s="67"/>
      <c r="D57" s="67"/>
      <c r="E57" s="6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B2:E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9" activeCellId="0" sqref="B9"/>
    </sheetView>
  </sheetViews>
  <sheetFormatPr defaultRowHeight="13.8" zeroHeight="false" outlineLevelRow="0" outlineLevelCol="0"/>
  <cols>
    <col collapsed="false" customWidth="true" hidden="false" outlineLevel="0" max="1" min="1" style="71" width="1.56"/>
    <col collapsed="false" customWidth="true" hidden="false" outlineLevel="0" max="2" min="2" style="71" width="70.88"/>
    <col collapsed="false" customWidth="true" hidden="false" outlineLevel="0" max="4" min="3" style="72" width="20.89"/>
    <col collapsed="false" customWidth="true" hidden="false" outlineLevel="0" max="5" min="5" style="72" width="26.89"/>
    <col collapsed="false" customWidth="true" hidden="false" outlineLevel="0" max="7" min="6" style="73" width="12.44"/>
    <col collapsed="false" customWidth="true" hidden="false" outlineLevel="0" max="255" min="8" style="71" width="11"/>
    <col collapsed="false" customWidth="true" hidden="false" outlineLevel="0" max="256" min="256" style="71" width="1.56"/>
    <col collapsed="false" customWidth="true" hidden="false" outlineLevel="0" max="257" min="257" style="71" width="72.33"/>
    <col collapsed="false" customWidth="true" hidden="false" outlineLevel="0" max="258" min="258" style="71" width="21.55"/>
    <col collapsed="false" customWidth="true" hidden="false" outlineLevel="0" max="259" min="259" style="71" width="13.89"/>
    <col collapsed="false" customWidth="true" hidden="false" outlineLevel="0" max="260" min="260" style="71" width="14"/>
    <col collapsed="false" customWidth="true" hidden="false" outlineLevel="0" max="511" min="261" style="71" width="11"/>
    <col collapsed="false" customWidth="true" hidden="false" outlineLevel="0" max="512" min="512" style="71" width="1.56"/>
    <col collapsed="false" customWidth="true" hidden="false" outlineLevel="0" max="513" min="513" style="71" width="72.33"/>
    <col collapsed="false" customWidth="true" hidden="false" outlineLevel="0" max="514" min="514" style="71" width="21.55"/>
    <col collapsed="false" customWidth="true" hidden="false" outlineLevel="0" max="515" min="515" style="71" width="13.89"/>
    <col collapsed="false" customWidth="true" hidden="false" outlineLevel="0" max="516" min="516" style="71" width="14"/>
    <col collapsed="false" customWidth="true" hidden="false" outlineLevel="0" max="767" min="517" style="71" width="11"/>
    <col collapsed="false" customWidth="true" hidden="false" outlineLevel="0" max="768" min="768" style="71" width="1.56"/>
    <col collapsed="false" customWidth="true" hidden="false" outlineLevel="0" max="769" min="769" style="71" width="72.33"/>
    <col collapsed="false" customWidth="true" hidden="false" outlineLevel="0" max="770" min="770" style="71" width="21.55"/>
    <col collapsed="false" customWidth="true" hidden="false" outlineLevel="0" max="771" min="771" style="71" width="13.89"/>
    <col collapsed="false" customWidth="true" hidden="false" outlineLevel="0" max="772" min="772" style="71" width="14"/>
    <col collapsed="false" customWidth="true" hidden="false" outlineLevel="0" max="1023" min="773" style="71" width="11"/>
    <col collapsed="false" customWidth="true" hidden="false" outlineLevel="0" max="1025" min="1024" style="71" width="1.56"/>
  </cols>
  <sheetData>
    <row r="2" customFormat="false" ht="13.8" hidden="false" customHeight="false" outlineLevel="0" collapsed="false">
      <c r="B2" s="74" t="s">
        <v>76</v>
      </c>
      <c r="C2" s="74"/>
      <c r="D2" s="74"/>
      <c r="E2" s="74"/>
    </row>
    <row r="3" customFormat="false" ht="13.8" hidden="false" customHeight="false" outlineLevel="0" collapsed="false">
      <c r="B3" s="75" t="s">
        <v>77</v>
      </c>
      <c r="C3" s="76" t="s">
        <v>78</v>
      </c>
      <c r="D3" s="76" t="s">
        <v>79</v>
      </c>
      <c r="E3" s="76" t="s">
        <v>80</v>
      </c>
    </row>
    <row r="4" customFormat="false" ht="13.8" hidden="false" customHeight="false" outlineLevel="0" collapsed="false">
      <c r="B4" s="74" t="s">
        <v>81</v>
      </c>
      <c r="C4" s="77"/>
      <c r="D4" s="77"/>
      <c r="E4" s="77" t="n">
        <f aca="false">'SOA-TSL Payable'!C26</f>
        <v>220116573.99</v>
      </c>
    </row>
    <row r="5" customFormat="false" ht="13.8" hidden="false" customHeight="false" outlineLevel="0" collapsed="false">
      <c r="B5" s="78"/>
      <c r="C5" s="79"/>
      <c r="D5" s="79"/>
      <c r="E5" s="80"/>
    </row>
    <row r="6" customFormat="false" ht="13.8" hidden="false" customHeight="false" outlineLevel="0" collapsed="false">
      <c r="B6" s="81" t="s">
        <v>82</v>
      </c>
      <c r="C6" s="82"/>
      <c r="D6" s="83"/>
      <c r="E6" s="80"/>
    </row>
    <row r="7" customFormat="false" ht="13.8" hidden="false" customHeight="false" outlineLevel="0" collapsed="false">
      <c r="B7" s="82" t="s">
        <v>83</v>
      </c>
      <c r="C7" s="82"/>
      <c r="D7" s="82"/>
      <c r="E7" s="82" t="n">
        <f aca="false">D7-C7</f>
        <v>0</v>
      </c>
    </row>
    <row r="8" customFormat="false" ht="13.8" hidden="false" customHeight="false" outlineLevel="0" collapsed="false">
      <c r="B8" s="82" t="s">
        <v>84</v>
      </c>
      <c r="C8" s="82" t="n">
        <f aca="false">MIT!N13</f>
        <v>7737321.59</v>
      </c>
      <c r="D8" s="80"/>
      <c r="E8" s="82" t="n">
        <f aca="false">D8-C8</f>
        <v>-7737321.59</v>
      </c>
    </row>
    <row r="9" customFormat="false" ht="13.8" hidden="false" customHeight="false" outlineLevel="0" collapsed="false">
      <c r="B9" s="82" t="s">
        <v>85</v>
      </c>
      <c r="C9" s="82" t="n">
        <f aca="false">'Last year Items'!K68</f>
        <v>-21471051.37</v>
      </c>
      <c r="D9" s="82"/>
      <c r="E9" s="82" t="n">
        <f aca="false">D9-C9</f>
        <v>21471051.37</v>
      </c>
    </row>
    <row r="10" customFormat="false" ht="13.8" hidden="false" customHeight="false" outlineLevel="0" collapsed="false">
      <c r="B10" s="80" t="s">
        <v>86</v>
      </c>
      <c r="C10" s="82" t="n">
        <f aca="false">'Short provi'!O27</f>
        <v>3104832.97000001</v>
      </c>
      <c r="D10" s="82"/>
      <c r="E10" s="82" t="n">
        <f aca="false">D10-C10</f>
        <v>-3104832.97000001</v>
      </c>
    </row>
    <row r="11" customFormat="false" ht="13.95" hidden="false" customHeight="true" outlineLevel="0" collapsed="false">
      <c r="B11" s="84" t="s">
        <v>87</v>
      </c>
      <c r="C11" s="82" t="n">
        <f aca="false">'Invoice Diff'!L159</f>
        <v>188485.179999995</v>
      </c>
      <c r="D11" s="82"/>
      <c r="E11" s="82" t="n">
        <f aca="false">D11-C11</f>
        <v>-188485.179999995</v>
      </c>
    </row>
    <row r="12" customFormat="false" ht="13.95" hidden="false" customHeight="true" outlineLevel="0" collapsed="false">
      <c r="B12" s="84" t="s">
        <v>88</v>
      </c>
      <c r="C12" s="82" t="n">
        <f aca="false">'Invoice diff in GRIR'!L24</f>
        <v>15159.63</v>
      </c>
      <c r="D12" s="82"/>
      <c r="E12" s="82" t="n">
        <f aca="false">D12-C12</f>
        <v>-15159.63</v>
      </c>
    </row>
    <row r="13" customFormat="false" ht="13.8" hidden="false" customHeight="false" outlineLevel="0" collapsed="false">
      <c r="B13" s="84" t="s">
        <v>89</v>
      </c>
      <c r="C13" s="82" t="n">
        <v>-290623.579999715</v>
      </c>
      <c r="D13" s="82"/>
      <c r="E13" s="82" t="n">
        <f aca="false">D13-C13</f>
        <v>290623.579999715</v>
      </c>
    </row>
    <row r="14" customFormat="false" ht="13.8" hidden="false" customHeight="false" outlineLevel="0" collapsed="false">
      <c r="B14" s="84"/>
      <c r="C14" s="82"/>
      <c r="D14" s="82"/>
      <c r="E14" s="82"/>
    </row>
    <row r="15" customFormat="false" ht="13.8" hidden="false" customHeight="false" outlineLevel="0" collapsed="false">
      <c r="B15" s="85" t="s">
        <v>90</v>
      </c>
      <c r="C15" s="86" t="n">
        <f aca="false">SUM(C6:C11)</f>
        <v>-10440411.63</v>
      </c>
      <c r="D15" s="86"/>
      <c r="E15" s="87" t="n">
        <f aca="false">SUM(E4:E13)</f>
        <v>230832449.57</v>
      </c>
    </row>
    <row r="16" customFormat="false" ht="13.8" hidden="false" customHeight="false" outlineLevel="0" collapsed="false">
      <c r="B16" s="88" t="s">
        <v>91</v>
      </c>
      <c r="C16" s="89"/>
      <c r="D16" s="89"/>
      <c r="E16" s="89" t="n">
        <f aca="false">'SOA-TSL Payable'!C20*-1</f>
        <v>230832449.57</v>
      </c>
    </row>
    <row r="17" customFormat="false" ht="13.8" hidden="false" customHeight="false" outlineLevel="0" collapsed="false">
      <c r="B17" s="88" t="s">
        <v>7</v>
      </c>
      <c r="C17" s="89"/>
      <c r="D17" s="89"/>
      <c r="E17" s="90" t="n">
        <f aca="false">E15-E16</f>
        <v>0</v>
      </c>
    </row>
    <row r="20" customFormat="false" ht="14.4" hidden="false" customHeight="false" outlineLevel="0" collapsed="false">
      <c r="C20" s="91"/>
    </row>
    <row r="38" customFormat="false" ht="13.8" hidden="false" customHeight="false" outlineLevel="0" collapsed="false">
      <c r="C38" s="72" t="n">
        <v>72978935.9</v>
      </c>
    </row>
    <row r="39" customFormat="false" ht="13.8" hidden="false" customHeight="false" outlineLevel="0" collapsed="false">
      <c r="C39" s="72" t="n">
        <v>-81433170.43</v>
      </c>
    </row>
  </sheetData>
  <mergeCells count="1">
    <mergeCell ref="B2:E2"/>
  </mergeCells>
  <printOptions headings="false" gridLines="false" gridLinesSet="true" horizontalCentered="false" verticalCentered="false"/>
  <pageMargins left="0.7875" right="0.708333333333333" top="0.7875" bottom="0.747916666666667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67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649" activePane="bottomLeft" state="frozen"/>
      <selection pane="topLeft" activeCell="E1" activeCellId="0" sqref="E1"/>
      <selection pane="bottomLeft" activeCell="E673" activeCellId="0" sqref="E673"/>
    </sheetView>
  </sheetViews>
  <sheetFormatPr defaultRowHeight="13.8" zeroHeight="false" outlineLevelRow="0" outlineLevelCol="0"/>
  <cols>
    <col collapsed="false" customWidth="true" hidden="false" outlineLevel="0" max="1" min="1" style="92" width="14"/>
    <col collapsed="false" customWidth="true" hidden="false" outlineLevel="0" max="2" min="2" style="92" width="20"/>
    <col collapsed="false" customWidth="true" hidden="false" outlineLevel="0" max="3" min="3" style="92" width="16"/>
    <col collapsed="false" customWidth="true" hidden="false" outlineLevel="0" max="4" min="4" style="92" width="18"/>
    <col collapsed="false" customWidth="true" hidden="false" outlineLevel="0" max="5" min="5" style="92" width="10"/>
    <col collapsed="false" customWidth="true" hidden="false" outlineLevel="0" max="6" min="6" style="92" width="15"/>
    <col collapsed="false" customWidth="true" hidden="false" outlineLevel="0" max="7" min="7" style="92" width="13"/>
    <col collapsed="false" customWidth="true" hidden="false" outlineLevel="0" max="8" min="8" style="92" width="10"/>
    <col collapsed="false" customWidth="true" hidden="false" outlineLevel="0" max="10" min="9" style="92" width="14"/>
    <col collapsed="false" customWidth="true" hidden="false" outlineLevel="0" max="12" min="11" style="92" width="18.11"/>
    <col collapsed="false" customWidth="true" hidden="true" outlineLevel="0" max="13" min="13" style="92" width="5"/>
    <col collapsed="false" customWidth="true" hidden="true" outlineLevel="0" max="14" min="14" style="92" width="13"/>
    <col collapsed="false" customWidth="true" hidden="true" outlineLevel="0" max="15" min="15" style="92" width="12"/>
    <col collapsed="false" customWidth="true" hidden="false" outlineLevel="0" max="16" min="16" style="92" width="22.3"/>
    <col collapsed="false" customWidth="true" hidden="false" outlineLevel="0" max="17" min="17" style="92" width="17.01"/>
    <col collapsed="false" customWidth="true" hidden="false" outlineLevel="0" max="18" min="18" style="92" width="18.11"/>
    <col collapsed="false" customWidth="true" hidden="false" outlineLevel="0" max="19" min="19" style="92" width="17.01"/>
    <col collapsed="false" customWidth="true" hidden="false" outlineLevel="0" max="20" min="20" style="92" width="14.15"/>
    <col collapsed="false" customWidth="true" hidden="false" outlineLevel="0" max="21" min="21" style="92" width="6"/>
    <col collapsed="false" customWidth="true" hidden="false" outlineLevel="0" max="22" min="22" style="92" width="37"/>
    <col collapsed="false" customWidth="true" hidden="false" outlineLevel="0" max="23" min="23" style="92" width="17"/>
    <col collapsed="false" customWidth="true" hidden="false" outlineLevel="0" max="24" min="24" style="92" width="52"/>
    <col collapsed="false" customWidth="true" hidden="false" outlineLevel="0" max="25" min="25" style="92" width="27"/>
    <col collapsed="false" customWidth="true" hidden="false" outlineLevel="0" max="26" min="26" style="92" width="18"/>
    <col collapsed="false" customWidth="true" hidden="false" outlineLevel="0" max="27" min="27" style="92" width="7"/>
    <col collapsed="false" customWidth="true" hidden="false" outlineLevel="0" max="28" min="28" style="92" width="21"/>
    <col collapsed="false" customWidth="true" hidden="false" outlineLevel="0" max="29" min="29" style="92" width="15"/>
    <col collapsed="false" customWidth="true" hidden="false" outlineLevel="0" max="30" min="30" style="92" width="9"/>
    <col collapsed="false" customWidth="true" hidden="false" outlineLevel="0" max="31" min="31" style="92" width="42"/>
    <col collapsed="false" customWidth="true" hidden="false" outlineLevel="0" max="32" min="32" style="92" width="9"/>
    <col collapsed="false" customWidth="true" hidden="false" outlineLevel="0" max="33" min="33" style="92" width="52"/>
    <col collapsed="false" customWidth="true" hidden="false" outlineLevel="0" max="35" min="34" style="92" width="9"/>
    <col collapsed="false" customWidth="true" hidden="false" outlineLevel="0" max="36" min="36" style="92" width="52"/>
    <col collapsed="false" customWidth="true" hidden="false" outlineLevel="0" max="37" min="37" style="92" width="8"/>
    <col collapsed="false" customWidth="true" hidden="false" outlineLevel="0" max="38" min="38" style="92" width="13"/>
    <col collapsed="false" customWidth="true" hidden="false" outlineLevel="0" max="39" min="39" style="92" width="9"/>
    <col collapsed="false" customWidth="true" hidden="false" outlineLevel="0" max="40" min="40" style="92" width="18"/>
    <col collapsed="false" customWidth="true" hidden="false" outlineLevel="0" max="41" min="41" style="92" width="20"/>
    <col collapsed="false" customWidth="true" hidden="false" outlineLevel="0" max="42" min="42" style="92" width="14"/>
    <col collapsed="false" customWidth="true" hidden="false" outlineLevel="0" max="43" min="43" style="92" width="15"/>
    <col collapsed="false" customWidth="true" hidden="false" outlineLevel="0" max="45" min="44" style="92" width="12"/>
    <col collapsed="false" customWidth="true" hidden="false" outlineLevel="0" max="46" min="46" style="92" width="14"/>
    <col collapsed="false" customWidth="true" hidden="false" outlineLevel="0" max="47" min="47" style="92" width="13"/>
    <col collapsed="false" customWidth="true" hidden="false" outlineLevel="0" max="48" min="48" style="92" width="14"/>
    <col collapsed="false" customWidth="true" hidden="false" outlineLevel="0" max="49" min="49" style="92" width="9"/>
    <col collapsed="false" customWidth="true" hidden="false" outlineLevel="0" max="50" min="50" style="92" width="12"/>
    <col collapsed="false" customWidth="true" hidden="false" outlineLevel="0" max="1021" min="51" style="92" width="9.11"/>
    <col collapsed="false" customWidth="true" hidden="false" outlineLevel="0" max="1025" min="1022" style="0" width="9.14"/>
  </cols>
  <sheetData>
    <row r="1" s="97" customFormat="true" ht="69" hidden="false" customHeight="false" outlineLevel="0" collapsed="false">
      <c r="A1" s="93" t="s">
        <v>92</v>
      </c>
      <c r="B1" s="93" t="s">
        <v>93</v>
      </c>
      <c r="C1" s="93" t="s">
        <v>94</v>
      </c>
      <c r="D1" s="93" t="s">
        <v>95</v>
      </c>
      <c r="E1" s="94" t="s">
        <v>96</v>
      </c>
      <c r="F1" s="93" t="s">
        <v>97</v>
      </c>
      <c r="G1" s="93" t="s">
        <v>98</v>
      </c>
      <c r="H1" s="94" t="s">
        <v>99</v>
      </c>
      <c r="I1" s="93" t="s">
        <v>100</v>
      </c>
      <c r="J1" s="93" t="s">
        <v>101</v>
      </c>
      <c r="K1" s="94" t="s">
        <v>102</v>
      </c>
      <c r="L1" s="95" t="s">
        <v>103</v>
      </c>
      <c r="M1" s="94" t="s">
        <v>104</v>
      </c>
      <c r="N1" s="94" t="s">
        <v>105</v>
      </c>
      <c r="O1" s="94" t="s">
        <v>106</v>
      </c>
      <c r="P1" s="93" t="s">
        <v>107</v>
      </c>
      <c r="Q1" s="93" t="s">
        <v>108</v>
      </c>
      <c r="R1" s="93" t="s">
        <v>109</v>
      </c>
      <c r="S1" s="94" t="s">
        <v>110</v>
      </c>
      <c r="T1" s="94" t="s">
        <v>111</v>
      </c>
      <c r="U1" s="94" t="s">
        <v>112</v>
      </c>
      <c r="V1" s="93" t="s">
        <v>113</v>
      </c>
      <c r="W1" s="93" t="s">
        <v>114</v>
      </c>
      <c r="X1" s="93" t="s">
        <v>115</v>
      </c>
      <c r="Y1" s="93" t="s">
        <v>116</v>
      </c>
      <c r="Z1" s="93" t="s">
        <v>117</v>
      </c>
      <c r="AA1" s="93" t="s">
        <v>118</v>
      </c>
      <c r="AB1" s="93" t="s">
        <v>119</v>
      </c>
      <c r="AC1" s="93" t="s">
        <v>120</v>
      </c>
      <c r="AD1" s="93" t="s">
        <v>121</v>
      </c>
      <c r="AE1" s="93" t="s">
        <v>122</v>
      </c>
      <c r="AF1" s="94" t="s">
        <v>123</v>
      </c>
      <c r="AG1" s="93" t="s">
        <v>124</v>
      </c>
      <c r="AH1" s="94" t="s">
        <v>125</v>
      </c>
      <c r="AI1" s="96" t="s">
        <v>126</v>
      </c>
      <c r="AJ1" s="93" t="s">
        <v>127</v>
      </c>
      <c r="AK1" s="94" t="s">
        <v>128</v>
      </c>
      <c r="AL1" s="93" t="s">
        <v>129</v>
      </c>
      <c r="AM1" s="94" t="s">
        <v>130</v>
      </c>
      <c r="AN1" s="93" t="s">
        <v>131</v>
      </c>
      <c r="AO1" s="93" t="s">
        <v>132</v>
      </c>
      <c r="AP1" s="93" t="s">
        <v>133</v>
      </c>
      <c r="AQ1" s="93" t="s">
        <v>134</v>
      </c>
      <c r="AR1" s="93" t="s">
        <v>135</v>
      </c>
      <c r="AS1" s="93" t="s">
        <v>136</v>
      </c>
      <c r="AT1" s="93" t="s">
        <v>137</v>
      </c>
      <c r="AU1" s="94" t="s">
        <v>138</v>
      </c>
      <c r="AV1" s="93" t="s">
        <v>139</v>
      </c>
      <c r="AW1" s="93" t="s">
        <v>140</v>
      </c>
      <c r="AX1" s="93" t="s">
        <v>141</v>
      </c>
      <c r="AMH1" s="0"/>
      <c r="AMI1" s="0"/>
      <c r="AMJ1" s="0"/>
    </row>
    <row r="2" s="98" customFormat="true" ht="13.8" hidden="false" customHeight="false" outlineLevel="0" collapsed="false">
      <c r="A2" s="98" t="s">
        <v>142</v>
      </c>
      <c r="B2" s="98" t="s">
        <v>143</v>
      </c>
      <c r="C2" s="98" t="n">
        <v>42009213</v>
      </c>
      <c r="D2" s="98" t="s">
        <v>144</v>
      </c>
      <c r="E2" s="98" t="s">
        <v>145</v>
      </c>
      <c r="F2" s="98" t="s">
        <v>146</v>
      </c>
      <c r="G2" s="98" t="s">
        <v>147</v>
      </c>
      <c r="H2" s="98" t="s">
        <v>148</v>
      </c>
      <c r="I2" s="99" t="n">
        <v>43640</v>
      </c>
      <c r="J2" s="99" t="n">
        <v>43640</v>
      </c>
      <c r="K2" s="100" t="n">
        <v>2000</v>
      </c>
      <c r="L2" s="100" t="n">
        <f aca="false">K2-Q2+T2</f>
        <v>1694.91</v>
      </c>
      <c r="M2" s="98" t="s">
        <v>149</v>
      </c>
      <c r="N2" s="100" t="n">
        <v>2000</v>
      </c>
      <c r="O2" s="98" t="s">
        <v>149</v>
      </c>
      <c r="P2" s="100" t="n">
        <v>2000</v>
      </c>
      <c r="Q2" s="100" t="n">
        <v>305.09</v>
      </c>
      <c r="R2" s="100" t="n">
        <v>1694.91</v>
      </c>
      <c r="S2" s="100" t="n">
        <v>0</v>
      </c>
      <c r="T2" s="100" t="n">
        <v>0</v>
      </c>
      <c r="U2" s="98" t="s">
        <v>150</v>
      </c>
      <c r="V2" s="98" t="s">
        <v>151</v>
      </c>
      <c r="X2" s="98" t="s">
        <v>152</v>
      </c>
      <c r="Y2" s="98" t="s">
        <v>153</v>
      </c>
      <c r="Z2" s="98" t="s">
        <v>154</v>
      </c>
      <c r="AD2" s="98" t="s">
        <v>155</v>
      </c>
      <c r="AE2" s="98" t="s">
        <v>156</v>
      </c>
      <c r="AF2" s="98" t="s">
        <v>157</v>
      </c>
      <c r="AG2" s="98" t="s">
        <v>158</v>
      </c>
      <c r="AI2" s="98" t="s">
        <v>157</v>
      </c>
      <c r="AJ2" s="98" t="s">
        <v>158</v>
      </c>
      <c r="AK2" s="98" t="s">
        <v>159</v>
      </c>
      <c r="AL2" s="98" t="s">
        <v>160</v>
      </c>
      <c r="AM2" s="98" t="s">
        <v>161</v>
      </c>
      <c r="AP2" s="98" t="s">
        <v>162</v>
      </c>
      <c r="AQ2" s="98" t="s">
        <v>163</v>
      </c>
      <c r="AR2" s="98" t="s">
        <v>163</v>
      </c>
      <c r="AS2" s="98" t="s">
        <v>164</v>
      </c>
      <c r="AT2" s="100" t="n">
        <v>0</v>
      </c>
      <c r="AU2" s="100" t="n">
        <v>2000</v>
      </c>
      <c r="AX2" s="98" t="s">
        <v>165</v>
      </c>
      <c r="AMH2" s="0"/>
      <c r="AMI2" s="0"/>
      <c r="AMJ2" s="0"/>
    </row>
    <row r="3" s="98" customFormat="true" ht="13.8" hidden="false" customHeight="false" outlineLevel="0" collapsed="false">
      <c r="A3" s="98" t="s">
        <v>142</v>
      </c>
      <c r="B3" s="98" t="s">
        <v>143</v>
      </c>
      <c r="C3" s="98" t="n">
        <v>42034968</v>
      </c>
      <c r="D3" s="98" t="s">
        <v>166</v>
      </c>
      <c r="E3" s="98" t="s">
        <v>145</v>
      </c>
      <c r="F3" s="98" t="s">
        <v>167</v>
      </c>
      <c r="G3" s="98" t="s">
        <v>147</v>
      </c>
      <c r="H3" s="98" t="s">
        <v>168</v>
      </c>
      <c r="I3" s="99" t="n">
        <v>43678</v>
      </c>
      <c r="J3" s="99" t="n">
        <v>43700</v>
      </c>
      <c r="K3" s="100" t="n">
        <v>8673</v>
      </c>
      <c r="L3" s="100" t="n">
        <f aca="false">K3-Q3+T3</f>
        <v>7350</v>
      </c>
      <c r="M3" s="98" t="s">
        <v>149</v>
      </c>
      <c r="N3" s="100" t="n">
        <v>8673</v>
      </c>
      <c r="O3" s="98" t="s">
        <v>149</v>
      </c>
      <c r="P3" s="100" t="n">
        <v>8673</v>
      </c>
      <c r="Q3" s="100" t="n">
        <v>1323</v>
      </c>
      <c r="R3" s="100" t="n">
        <v>7350</v>
      </c>
      <c r="S3" s="100" t="n">
        <v>0</v>
      </c>
      <c r="T3" s="100" t="n">
        <v>0</v>
      </c>
      <c r="U3" s="98" t="s">
        <v>150</v>
      </c>
      <c r="V3" s="98" t="s">
        <v>151</v>
      </c>
      <c r="X3" s="98" t="s">
        <v>169</v>
      </c>
      <c r="Y3" s="98" t="s">
        <v>170</v>
      </c>
      <c r="Z3" s="98" t="s">
        <v>171</v>
      </c>
      <c r="AD3" s="98" t="s">
        <v>155</v>
      </c>
      <c r="AE3" s="98" t="s">
        <v>156</v>
      </c>
      <c r="AF3" s="98" t="s">
        <v>157</v>
      </c>
      <c r="AG3" s="98" t="s">
        <v>158</v>
      </c>
      <c r="AI3" s="98" t="s">
        <v>157</v>
      </c>
      <c r="AJ3" s="98" t="s">
        <v>158</v>
      </c>
      <c r="AK3" s="98" t="s">
        <v>159</v>
      </c>
      <c r="AL3" s="98" t="s">
        <v>160</v>
      </c>
      <c r="AM3" s="98" t="s">
        <v>161</v>
      </c>
      <c r="AR3" s="98" t="s">
        <v>172</v>
      </c>
      <c r="AS3" s="98" t="s">
        <v>173</v>
      </c>
      <c r="AT3" s="100" t="n">
        <v>0</v>
      </c>
      <c r="AU3" s="100" t="n">
        <v>8673</v>
      </c>
      <c r="AX3" s="98" t="s">
        <v>165</v>
      </c>
      <c r="AMH3" s="0"/>
      <c r="AMI3" s="0"/>
      <c r="AMJ3" s="0"/>
    </row>
    <row r="4" s="98" customFormat="true" ht="13.8" hidden="false" customHeight="false" outlineLevel="0" collapsed="false">
      <c r="A4" s="98" t="s">
        <v>142</v>
      </c>
      <c r="B4" s="98" t="s">
        <v>143</v>
      </c>
      <c r="C4" s="98" t="n">
        <v>42035904</v>
      </c>
      <c r="D4" s="98" t="s">
        <v>174</v>
      </c>
      <c r="E4" s="98" t="s">
        <v>145</v>
      </c>
      <c r="F4" s="98" t="s">
        <v>146</v>
      </c>
      <c r="G4" s="98" t="s">
        <v>147</v>
      </c>
      <c r="H4" s="98" t="s">
        <v>175</v>
      </c>
      <c r="I4" s="99" t="n">
        <v>43719</v>
      </c>
      <c r="J4" s="99" t="n">
        <v>43719</v>
      </c>
      <c r="K4" s="100" t="n">
        <v>800</v>
      </c>
      <c r="L4" s="100" t="n">
        <f aca="false">K4-Q4+T4</f>
        <v>677.97</v>
      </c>
      <c r="M4" s="98" t="s">
        <v>149</v>
      </c>
      <c r="N4" s="100" t="n">
        <v>800</v>
      </c>
      <c r="O4" s="98" t="s">
        <v>149</v>
      </c>
      <c r="P4" s="100" t="n">
        <v>800</v>
      </c>
      <c r="Q4" s="100" t="n">
        <v>122.03</v>
      </c>
      <c r="R4" s="100" t="n">
        <v>677.97</v>
      </c>
      <c r="S4" s="100" t="n">
        <v>0</v>
      </c>
      <c r="T4" s="100" t="n">
        <v>0</v>
      </c>
      <c r="U4" s="98" t="s">
        <v>150</v>
      </c>
      <c r="V4" s="98" t="s">
        <v>151</v>
      </c>
      <c r="X4" s="98" t="s">
        <v>176</v>
      </c>
      <c r="Y4" s="98" t="s">
        <v>177</v>
      </c>
      <c r="Z4" s="98" t="s">
        <v>178</v>
      </c>
      <c r="AD4" s="98" t="s">
        <v>155</v>
      </c>
      <c r="AE4" s="98" t="s">
        <v>156</v>
      </c>
      <c r="AF4" s="98" t="s">
        <v>179</v>
      </c>
      <c r="AG4" s="98" t="s">
        <v>180</v>
      </c>
      <c r="AI4" s="98" t="s">
        <v>179</v>
      </c>
      <c r="AJ4" s="98" t="s">
        <v>180</v>
      </c>
      <c r="AK4" s="98" t="s">
        <v>159</v>
      </c>
      <c r="AL4" s="98" t="s">
        <v>160</v>
      </c>
      <c r="AM4" s="98" t="s">
        <v>161</v>
      </c>
      <c r="AP4" s="98" t="s">
        <v>181</v>
      </c>
      <c r="AQ4" s="98" t="s">
        <v>182</v>
      </c>
      <c r="AR4" s="98" t="s">
        <v>182</v>
      </c>
      <c r="AS4" s="98" t="s">
        <v>183</v>
      </c>
      <c r="AT4" s="100" t="n">
        <v>0</v>
      </c>
      <c r="AU4" s="100" t="n">
        <v>800</v>
      </c>
      <c r="AX4" s="98" t="s">
        <v>165</v>
      </c>
      <c r="AMH4" s="0"/>
      <c r="AMI4" s="0"/>
      <c r="AMJ4" s="0"/>
    </row>
    <row r="5" s="98" customFormat="true" ht="13.8" hidden="false" customHeight="false" outlineLevel="0" collapsed="false">
      <c r="A5" s="98" t="s">
        <v>142</v>
      </c>
      <c r="B5" s="98" t="s">
        <v>143</v>
      </c>
      <c r="C5" s="98" t="n">
        <v>42035915</v>
      </c>
      <c r="D5" s="98" t="s">
        <v>184</v>
      </c>
      <c r="E5" s="98" t="s">
        <v>145</v>
      </c>
      <c r="F5" s="98" t="s">
        <v>146</v>
      </c>
      <c r="G5" s="98" t="s">
        <v>147</v>
      </c>
      <c r="H5" s="98" t="s">
        <v>175</v>
      </c>
      <c r="I5" s="99" t="n">
        <v>43719</v>
      </c>
      <c r="J5" s="99" t="n">
        <v>43720</v>
      </c>
      <c r="K5" s="100" t="n">
        <v>800</v>
      </c>
      <c r="L5" s="100" t="n">
        <f aca="false">K5-Q5+T5</f>
        <v>677.97</v>
      </c>
      <c r="M5" s="98" t="s">
        <v>149</v>
      </c>
      <c r="N5" s="100" t="n">
        <v>800</v>
      </c>
      <c r="O5" s="98" t="s">
        <v>149</v>
      </c>
      <c r="P5" s="100" t="n">
        <v>800</v>
      </c>
      <c r="Q5" s="100" t="n">
        <v>122.03</v>
      </c>
      <c r="R5" s="100" t="n">
        <v>677.97</v>
      </c>
      <c r="S5" s="100" t="n">
        <v>0</v>
      </c>
      <c r="T5" s="100" t="n">
        <v>0</v>
      </c>
      <c r="U5" s="98" t="s">
        <v>150</v>
      </c>
      <c r="V5" s="98" t="s">
        <v>151</v>
      </c>
      <c r="X5" s="98" t="s">
        <v>185</v>
      </c>
      <c r="Y5" s="98" t="s">
        <v>186</v>
      </c>
      <c r="Z5" s="98" t="s">
        <v>187</v>
      </c>
      <c r="AD5" s="98" t="s">
        <v>155</v>
      </c>
      <c r="AE5" s="98" t="s">
        <v>156</v>
      </c>
      <c r="AF5" s="98" t="s">
        <v>179</v>
      </c>
      <c r="AG5" s="98" t="s">
        <v>180</v>
      </c>
      <c r="AI5" s="98" t="s">
        <v>179</v>
      </c>
      <c r="AJ5" s="98" t="s">
        <v>180</v>
      </c>
      <c r="AK5" s="98" t="s">
        <v>159</v>
      </c>
      <c r="AL5" s="98" t="s">
        <v>160</v>
      </c>
      <c r="AM5" s="98" t="s">
        <v>161</v>
      </c>
      <c r="AR5" s="98" t="s">
        <v>188</v>
      </c>
      <c r="AS5" s="98" t="s">
        <v>189</v>
      </c>
      <c r="AT5" s="100" t="n">
        <v>0</v>
      </c>
      <c r="AU5" s="100" t="n">
        <v>800</v>
      </c>
      <c r="AX5" s="98" t="s">
        <v>165</v>
      </c>
      <c r="AMH5" s="0"/>
      <c r="AMI5" s="0"/>
      <c r="AMJ5" s="0"/>
    </row>
    <row r="6" s="98" customFormat="true" ht="13.8" hidden="false" customHeight="false" outlineLevel="0" collapsed="false">
      <c r="A6" s="98" t="s">
        <v>142</v>
      </c>
      <c r="B6" s="98" t="s">
        <v>143</v>
      </c>
      <c r="C6" s="98" t="n">
        <v>42041185</v>
      </c>
      <c r="D6" s="98" t="s">
        <v>190</v>
      </c>
      <c r="E6" s="98" t="s">
        <v>145</v>
      </c>
      <c r="F6" s="98" t="s">
        <v>167</v>
      </c>
      <c r="G6" s="98" t="s">
        <v>147</v>
      </c>
      <c r="H6" s="98" t="s">
        <v>191</v>
      </c>
      <c r="I6" s="99" t="n">
        <v>43860</v>
      </c>
      <c r="J6" s="99" t="n">
        <v>43860</v>
      </c>
      <c r="K6" s="100" t="n">
        <v>1100</v>
      </c>
      <c r="L6" s="100" t="n">
        <f aca="false">K6-Q6+T6</f>
        <v>932.2</v>
      </c>
      <c r="M6" s="98" t="s">
        <v>149</v>
      </c>
      <c r="N6" s="100" t="n">
        <v>1100</v>
      </c>
      <c r="O6" s="98" t="s">
        <v>149</v>
      </c>
      <c r="P6" s="100" t="n">
        <v>1100</v>
      </c>
      <c r="Q6" s="100" t="n">
        <v>167.8</v>
      </c>
      <c r="R6" s="100" t="n">
        <v>932.2</v>
      </c>
      <c r="S6" s="100" t="n">
        <v>0</v>
      </c>
      <c r="T6" s="100" t="n">
        <v>0</v>
      </c>
      <c r="U6" s="98" t="s">
        <v>192</v>
      </c>
      <c r="V6" s="98" t="s">
        <v>151</v>
      </c>
      <c r="X6" s="98" t="s">
        <v>193</v>
      </c>
      <c r="Y6" s="98" t="s">
        <v>194</v>
      </c>
      <c r="Z6" s="98" t="s">
        <v>195</v>
      </c>
      <c r="AD6" s="98" t="s">
        <v>155</v>
      </c>
      <c r="AE6" s="98" t="s">
        <v>156</v>
      </c>
      <c r="AF6" s="98" t="s">
        <v>179</v>
      </c>
      <c r="AG6" s="98" t="s">
        <v>180</v>
      </c>
      <c r="AI6" s="98" t="s">
        <v>179</v>
      </c>
      <c r="AJ6" s="98" t="s">
        <v>180</v>
      </c>
      <c r="AK6" s="98" t="s">
        <v>159</v>
      </c>
      <c r="AL6" s="98" t="s">
        <v>160</v>
      </c>
      <c r="AM6" s="98" t="s">
        <v>161</v>
      </c>
      <c r="AP6" s="98" t="s">
        <v>196</v>
      </c>
      <c r="AQ6" s="98" t="s">
        <v>197</v>
      </c>
      <c r="AR6" s="98" t="s">
        <v>197</v>
      </c>
      <c r="AS6" s="98" t="s">
        <v>198</v>
      </c>
      <c r="AT6" s="100" t="n">
        <v>0</v>
      </c>
      <c r="AU6" s="100" t="n">
        <v>1100</v>
      </c>
      <c r="AX6" s="98" t="s">
        <v>165</v>
      </c>
      <c r="AMH6" s="0"/>
      <c r="AMI6" s="0"/>
      <c r="AMJ6" s="0"/>
    </row>
    <row r="7" s="98" customFormat="true" ht="13.8" hidden="false" customHeight="false" outlineLevel="0" collapsed="false">
      <c r="A7" s="98" t="s">
        <v>142</v>
      </c>
      <c r="B7" s="98" t="s">
        <v>143</v>
      </c>
      <c r="C7" s="98" t="n">
        <v>42041545</v>
      </c>
      <c r="D7" s="98" t="s">
        <v>199</v>
      </c>
      <c r="E7" s="98" t="s">
        <v>145</v>
      </c>
      <c r="F7" s="98" t="s">
        <v>146</v>
      </c>
      <c r="G7" s="98" t="s">
        <v>147</v>
      </c>
      <c r="H7" s="98" t="s">
        <v>200</v>
      </c>
      <c r="I7" s="99" t="n">
        <v>43868</v>
      </c>
      <c r="J7" s="99" t="n">
        <v>43868</v>
      </c>
      <c r="K7" s="100" t="n">
        <v>400</v>
      </c>
      <c r="L7" s="100" t="n">
        <f aca="false">K7-Q7+T7</f>
        <v>338.98</v>
      </c>
      <c r="M7" s="98" t="s">
        <v>149</v>
      </c>
      <c r="N7" s="100" t="n">
        <v>400</v>
      </c>
      <c r="O7" s="98" t="s">
        <v>149</v>
      </c>
      <c r="P7" s="100" t="n">
        <v>400</v>
      </c>
      <c r="Q7" s="100" t="n">
        <v>61.02</v>
      </c>
      <c r="R7" s="100" t="n">
        <v>338.98</v>
      </c>
      <c r="S7" s="100" t="n">
        <v>0</v>
      </c>
      <c r="T7" s="100" t="n">
        <v>0</v>
      </c>
      <c r="U7" s="98" t="s">
        <v>150</v>
      </c>
      <c r="V7" s="98" t="s">
        <v>151</v>
      </c>
      <c r="X7" s="98" t="s">
        <v>201</v>
      </c>
      <c r="Y7" s="98" t="s">
        <v>177</v>
      </c>
      <c r="Z7" s="98" t="s">
        <v>202</v>
      </c>
      <c r="AD7" s="98" t="s">
        <v>155</v>
      </c>
      <c r="AE7" s="98" t="s">
        <v>156</v>
      </c>
      <c r="AF7" s="98" t="s">
        <v>179</v>
      </c>
      <c r="AG7" s="98" t="s">
        <v>180</v>
      </c>
      <c r="AI7" s="98" t="s">
        <v>179</v>
      </c>
      <c r="AJ7" s="98" t="s">
        <v>180</v>
      </c>
      <c r="AK7" s="98" t="s">
        <v>159</v>
      </c>
      <c r="AL7" s="98" t="s">
        <v>160</v>
      </c>
      <c r="AM7" s="98" t="s">
        <v>161</v>
      </c>
      <c r="AP7" s="98" t="s">
        <v>203</v>
      </c>
      <c r="AQ7" s="98" t="s">
        <v>204</v>
      </c>
      <c r="AR7" s="98" t="s">
        <v>204</v>
      </c>
      <c r="AS7" s="98" t="s">
        <v>205</v>
      </c>
      <c r="AT7" s="100" t="n">
        <v>0</v>
      </c>
      <c r="AU7" s="100" t="n">
        <v>400</v>
      </c>
      <c r="AX7" s="98" t="s">
        <v>165</v>
      </c>
      <c r="AMH7" s="0"/>
      <c r="AMI7" s="0"/>
      <c r="AMJ7" s="0"/>
    </row>
    <row r="8" s="98" customFormat="true" ht="13.8" hidden="false" customHeight="false" outlineLevel="0" collapsed="false">
      <c r="A8" s="98" t="s">
        <v>142</v>
      </c>
      <c r="B8" s="98" t="s">
        <v>143</v>
      </c>
      <c r="C8" s="98" t="n">
        <v>42041546</v>
      </c>
      <c r="D8" s="98" t="s">
        <v>206</v>
      </c>
      <c r="E8" s="98" t="s">
        <v>145</v>
      </c>
      <c r="F8" s="98" t="s">
        <v>146</v>
      </c>
      <c r="G8" s="98" t="s">
        <v>147</v>
      </c>
      <c r="H8" s="98" t="s">
        <v>200</v>
      </c>
      <c r="I8" s="99" t="n">
        <v>43868</v>
      </c>
      <c r="J8" s="99" t="n">
        <v>43868</v>
      </c>
      <c r="K8" s="100" t="n">
        <v>200</v>
      </c>
      <c r="L8" s="100" t="n">
        <f aca="false">K8-Q8+T8</f>
        <v>169.49</v>
      </c>
      <c r="M8" s="98" t="s">
        <v>149</v>
      </c>
      <c r="N8" s="100" t="n">
        <v>200</v>
      </c>
      <c r="O8" s="98" t="s">
        <v>149</v>
      </c>
      <c r="P8" s="100" t="n">
        <v>200</v>
      </c>
      <c r="Q8" s="100" t="n">
        <v>30.51</v>
      </c>
      <c r="R8" s="100" t="n">
        <v>169.49</v>
      </c>
      <c r="S8" s="100" t="n">
        <v>0</v>
      </c>
      <c r="T8" s="100" t="n">
        <v>0</v>
      </c>
      <c r="U8" s="98" t="s">
        <v>150</v>
      </c>
      <c r="V8" s="98" t="s">
        <v>151</v>
      </c>
      <c r="X8" s="98" t="s">
        <v>201</v>
      </c>
      <c r="Y8" s="98" t="s">
        <v>177</v>
      </c>
      <c r="Z8" s="98" t="s">
        <v>207</v>
      </c>
      <c r="AD8" s="98" t="s">
        <v>155</v>
      </c>
      <c r="AE8" s="98" t="s">
        <v>156</v>
      </c>
      <c r="AF8" s="98" t="s">
        <v>179</v>
      </c>
      <c r="AG8" s="98" t="s">
        <v>180</v>
      </c>
      <c r="AI8" s="98" t="s">
        <v>179</v>
      </c>
      <c r="AJ8" s="98" t="s">
        <v>180</v>
      </c>
      <c r="AK8" s="98" t="s">
        <v>159</v>
      </c>
      <c r="AL8" s="98" t="s">
        <v>160</v>
      </c>
      <c r="AM8" s="98" t="s">
        <v>161</v>
      </c>
      <c r="AP8" s="98" t="s">
        <v>208</v>
      </c>
      <c r="AQ8" s="98" t="s">
        <v>204</v>
      </c>
      <c r="AR8" s="98" t="s">
        <v>204</v>
      </c>
      <c r="AS8" s="98" t="s">
        <v>209</v>
      </c>
      <c r="AT8" s="100" t="n">
        <v>0</v>
      </c>
      <c r="AU8" s="100" t="n">
        <v>200</v>
      </c>
      <c r="AX8" s="98" t="s">
        <v>165</v>
      </c>
      <c r="AMH8" s="0"/>
      <c r="AMI8" s="0"/>
      <c r="AMJ8" s="0"/>
    </row>
    <row r="9" s="98" customFormat="true" ht="13.8" hidden="false" customHeight="false" outlineLevel="0" collapsed="false">
      <c r="A9" s="98" t="s">
        <v>142</v>
      </c>
      <c r="B9" s="98" t="s">
        <v>143</v>
      </c>
      <c r="C9" s="98" t="n">
        <v>44234301</v>
      </c>
      <c r="D9" s="98" t="s">
        <v>210</v>
      </c>
      <c r="E9" s="98" t="s">
        <v>211</v>
      </c>
      <c r="F9" s="98" t="s">
        <v>212</v>
      </c>
      <c r="G9" s="98" t="s">
        <v>147</v>
      </c>
      <c r="H9" s="98" t="s">
        <v>213</v>
      </c>
      <c r="I9" s="98" t="s">
        <v>214</v>
      </c>
      <c r="J9" s="98" t="s">
        <v>214</v>
      </c>
      <c r="K9" s="100" t="n">
        <v>26922</v>
      </c>
      <c r="L9" s="100" t="n">
        <f aca="false">K9-Q9+T9</f>
        <v>26922</v>
      </c>
      <c r="M9" s="98" t="s">
        <v>149</v>
      </c>
      <c r="N9" s="100" t="n">
        <v>26922</v>
      </c>
      <c r="O9" s="98" t="s">
        <v>149</v>
      </c>
      <c r="P9" s="100" t="n">
        <v>0</v>
      </c>
      <c r="Q9" s="100" t="n">
        <v>0</v>
      </c>
      <c r="R9" s="100" t="n">
        <v>26922</v>
      </c>
      <c r="S9" s="100" t="n">
        <v>0</v>
      </c>
      <c r="T9" s="100" t="n">
        <v>0</v>
      </c>
      <c r="U9" s="98" t="s">
        <v>192</v>
      </c>
      <c r="V9" s="98" t="s">
        <v>151</v>
      </c>
      <c r="X9" s="98" t="s">
        <v>215</v>
      </c>
      <c r="Y9" s="98" t="s">
        <v>216</v>
      </c>
      <c r="Z9" s="98" t="s">
        <v>217</v>
      </c>
      <c r="AD9" s="98" t="s">
        <v>155</v>
      </c>
      <c r="AE9" s="98" t="s">
        <v>156</v>
      </c>
      <c r="AF9" s="98" t="s">
        <v>192</v>
      </c>
      <c r="AG9" s="98" t="s">
        <v>151</v>
      </c>
      <c r="AI9" s="98" t="s">
        <v>155</v>
      </c>
      <c r="AJ9" s="98" t="s">
        <v>156</v>
      </c>
      <c r="AK9" s="98" t="s">
        <v>159</v>
      </c>
      <c r="AL9" s="98" t="s">
        <v>160</v>
      </c>
      <c r="AM9" s="98" t="s">
        <v>161</v>
      </c>
      <c r="AR9" s="98" t="s">
        <v>218</v>
      </c>
      <c r="AS9" s="98" t="s">
        <v>219</v>
      </c>
      <c r="AT9" s="100" t="n">
        <v>0</v>
      </c>
      <c r="AU9" s="100" t="n">
        <v>26922</v>
      </c>
      <c r="AX9" s="98" t="s">
        <v>220</v>
      </c>
      <c r="AMH9" s="0"/>
      <c r="AMI9" s="0"/>
      <c r="AMJ9" s="0"/>
    </row>
    <row r="10" s="98" customFormat="true" ht="13.8" hidden="false" customHeight="false" outlineLevel="0" collapsed="false">
      <c r="A10" s="98" t="s">
        <v>142</v>
      </c>
      <c r="B10" s="98" t="s">
        <v>143</v>
      </c>
      <c r="C10" s="98" t="n">
        <v>44234301</v>
      </c>
      <c r="D10" s="98" t="s">
        <v>210</v>
      </c>
      <c r="E10" s="98" t="s">
        <v>211</v>
      </c>
      <c r="F10" s="98" t="s">
        <v>212</v>
      </c>
      <c r="G10" s="98" t="s">
        <v>147</v>
      </c>
      <c r="H10" s="98" t="s">
        <v>213</v>
      </c>
      <c r="I10" s="98" t="s">
        <v>214</v>
      </c>
      <c r="J10" s="98" t="s">
        <v>214</v>
      </c>
      <c r="K10" s="100" t="n">
        <v>-26922</v>
      </c>
      <c r="L10" s="100" t="n">
        <f aca="false">K10-Q10+T10</f>
        <v>-26922</v>
      </c>
      <c r="M10" s="98" t="s">
        <v>149</v>
      </c>
      <c r="N10" s="100" t="n">
        <v>-26922</v>
      </c>
      <c r="O10" s="98" t="s">
        <v>149</v>
      </c>
      <c r="P10" s="100" t="n">
        <v>0</v>
      </c>
      <c r="Q10" s="100" t="n">
        <v>0</v>
      </c>
      <c r="R10" s="100" t="n">
        <v>-26922</v>
      </c>
      <c r="S10" s="100" t="n">
        <v>0</v>
      </c>
      <c r="T10" s="100" t="n">
        <v>0</v>
      </c>
      <c r="U10" s="98" t="s">
        <v>192</v>
      </c>
      <c r="V10" s="98" t="s">
        <v>151</v>
      </c>
      <c r="X10" s="98" t="s">
        <v>215</v>
      </c>
      <c r="Y10" s="98" t="s">
        <v>216</v>
      </c>
      <c r="Z10" s="98" t="s">
        <v>221</v>
      </c>
      <c r="AD10" s="98" t="s">
        <v>155</v>
      </c>
      <c r="AE10" s="98" t="s">
        <v>156</v>
      </c>
      <c r="AF10" s="98" t="s">
        <v>222</v>
      </c>
      <c r="AG10" s="98" t="s">
        <v>223</v>
      </c>
      <c r="AI10" s="98" t="s">
        <v>222</v>
      </c>
      <c r="AJ10" s="98" t="s">
        <v>223</v>
      </c>
      <c r="AK10" s="98" t="s">
        <v>159</v>
      </c>
      <c r="AL10" s="98" t="s">
        <v>224</v>
      </c>
      <c r="AM10" s="98" t="s">
        <v>225</v>
      </c>
      <c r="AR10" s="98" t="s">
        <v>218</v>
      </c>
      <c r="AS10" s="98" t="s">
        <v>219</v>
      </c>
      <c r="AT10" s="100" t="n">
        <v>0</v>
      </c>
      <c r="AU10" s="100" t="n">
        <v>-26922</v>
      </c>
      <c r="AX10" s="98" t="s">
        <v>148</v>
      </c>
      <c r="AMH10" s="0"/>
      <c r="AMI10" s="0"/>
      <c r="AMJ10" s="0"/>
    </row>
    <row r="11" s="98" customFormat="true" ht="13.8" hidden="false" customHeight="false" outlineLevel="0" collapsed="false">
      <c r="A11" s="98" t="s">
        <v>142</v>
      </c>
      <c r="B11" s="98" t="s">
        <v>143</v>
      </c>
      <c r="C11" s="98" t="n">
        <v>44234302</v>
      </c>
      <c r="D11" s="98" t="s">
        <v>210</v>
      </c>
      <c r="E11" s="98" t="s">
        <v>211</v>
      </c>
      <c r="F11" s="98" t="s">
        <v>212</v>
      </c>
      <c r="G11" s="98" t="s">
        <v>147</v>
      </c>
      <c r="H11" s="98" t="s">
        <v>213</v>
      </c>
      <c r="I11" s="98" t="s">
        <v>214</v>
      </c>
      <c r="J11" s="98" t="s">
        <v>214</v>
      </c>
      <c r="K11" s="100" t="n">
        <v>-64706</v>
      </c>
      <c r="L11" s="100" t="n">
        <f aca="false">K11-Q11+T11</f>
        <v>-64706</v>
      </c>
      <c r="M11" s="98" t="s">
        <v>149</v>
      </c>
      <c r="N11" s="100" t="n">
        <v>-64706</v>
      </c>
      <c r="O11" s="98" t="s">
        <v>149</v>
      </c>
      <c r="P11" s="100" t="n">
        <v>0</v>
      </c>
      <c r="Q11" s="100" t="n">
        <v>0</v>
      </c>
      <c r="R11" s="100" t="n">
        <v>-64706</v>
      </c>
      <c r="S11" s="100" t="n">
        <v>0</v>
      </c>
      <c r="T11" s="100" t="n">
        <v>0</v>
      </c>
      <c r="U11" s="98" t="s">
        <v>192</v>
      </c>
      <c r="V11" s="98" t="s">
        <v>151</v>
      </c>
      <c r="X11" s="98" t="s">
        <v>215</v>
      </c>
      <c r="Y11" s="98" t="s">
        <v>216</v>
      </c>
      <c r="Z11" s="98" t="s">
        <v>226</v>
      </c>
      <c r="AD11" s="98" t="s">
        <v>155</v>
      </c>
      <c r="AE11" s="98" t="s">
        <v>156</v>
      </c>
      <c r="AF11" s="98" t="s">
        <v>222</v>
      </c>
      <c r="AG11" s="98" t="s">
        <v>223</v>
      </c>
      <c r="AI11" s="98" t="s">
        <v>222</v>
      </c>
      <c r="AJ11" s="98" t="s">
        <v>223</v>
      </c>
      <c r="AK11" s="98" t="s">
        <v>159</v>
      </c>
      <c r="AL11" s="98" t="s">
        <v>224</v>
      </c>
      <c r="AM11" s="98" t="s">
        <v>225</v>
      </c>
      <c r="AR11" s="98" t="s">
        <v>218</v>
      </c>
      <c r="AS11" s="98" t="s">
        <v>227</v>
      </c>
      <c r="AT11" s="100" t="n">
        <v>0</v>
      </c>
      <c r="AU11" s="100" t="n">
        <v>-64706</v>
      </c>
      <c r="AX11" s="98" t="s">
        <v>148</v>
      </c>
      <c r="AMH11" s="0"/>
      <c r="AMI11" s="0"/>
      <c r="AMJ11" s="0"/>
    </row>
    <row r="12" s="98" customFormat="true" ht="13.8" hidden="false" customHeight="false" outlineLevel="0" collapsed="false">
      <c r="A12" s="98" t="s">
        <v>142</v>
      </c>
      <c r="B12" s="98" t="s">
        <v>143</v>
      </c>
      <c r="C12" s="98" t="n">
        <v>44234302</v>
      </c>
      <c r="D12" s="98" t="s">
        <v>210</v>
      </c>
      <c r="E12" s="98" t="s">
        <v>211</v>
      </c>
      <c r="F12" s="98" t="s">
        <v>212</v>
      </c>
      <c r="G12" s="98" t="s">
        <v>147</v>
      </c>
      <c r="H12" s="98" t="s">
        <v>213</v>
      </c>
      <c r="I12" s="98" t="s">
        <v>214</v>
      </c>
      <c r="J12" s="98" t="s">
        <v>214</v>
      </c>
      <c r="K12" s="100" t="n">
        <v>64706</v>
      </c>
      <c r="L12" s="100" t="n">
        <f aca="false">K12-Q12+T12</f>
        <v>64706</v>
      </c>
      <c r="M12" s="98" t="s">
        <v>149</v>
      </c>
      <c r="N12" s="100" t="n">
        <v>64706</v>
      </c>
      <c r="O12" s="98" t="s">
        <v>149</v>
      </c>
      <c r="P12" s="100" t="n">
        <v>0</v>
      </c>
      <c r="Q12" s="100" t="n">
        <v>0</v>
      </c>
      <c r="R12" s="100" t="n">
        <v>64706</v>
      </c>
      <c r="S12" s="100" t="n">
        <v>0</v>
      </c>
      <c r="T12" s="100" t="n">
        <v>0</v>
      </c>
      <c r="U12" s="98" t="s">
        <v>192</v>
      </c>
      <c r="V12" s="98" t="s">
        <v>151</v>
      </c>
      <c r="X12" s="98" t="s">
        <v>215</v>
      </c>
      <c r="Y12" s="98" t="s">
        <v>216</v>
      </c>
      <c r="Z12" s="98" t="s">
        <v>217</v>
      </c>
      <c r="AD12" s="98" t="s">
        <v>155</v>
      </c>
      <c r="AE12" s="98" t="s">
        <v>156</v>
      </c>
      <c r="AF12" s="98" t="s">
        <v>192</v>
      </c>
      <c r="AG12" s="98" t="s">
        <v>151</v>
      </c>
      <c r="AI12" s="98" t="s">
        <v>155</v>
      </c>
      <c r="AJ12" s="98" t="s">
        <v>156</v>
      </c>
      <c r="AK12" s="98" t="s">
        <v>159</v>
      </c>
      <c r="AL12" s="98" t="s">
        <v>160</v>
      </c>
      <c r="AM12" s="98" t="s">
        <v>161</v>
      </c>
      <c r="AR12" s="98" t="s">
        <v>218</v>
      </c>
      <c r="AS12" s="98" t="s">
        <v>227</v>
      </c>
      <c r="AT12" s="100" t="n">
        <v>0</v>
      </c>
      <c r="AU12" s="100" t="n">
        <v>64706</v>
      </c>
      <c r="AX12" s="98" t="s">
        <v>220</v>
      </c>
      <c r="AMH12" s="0"/>
      <c r="AMI12" s="0"/>
      <c r="AMJ12" s="0"/>
    </row>
    <row r="13" s="98" customFormat="true" ht="13.8" hidden="false" customHeight="false" outlineLevel="0" collapsed="false">
      <c r="A13" s="98" t="s">
        <v>142</v>
      </c>
      <c r="B13" s="98" t="s">
        <v>143</v>
      </c>
      <c r="C13" s="98" t="n">
        <v>44234305</v>
      </c>
      <c r="D13" s="98" t="s">
        <v>210</v>
      </c>
      <c r="E13" s="98" t="s">
        <v>211</v>
      </c>
      <c r="F13" s="98" t="s">
        <v>212</v>
      </c>
      <c r="G13" s="98" t="s">
        <v>147</v>
      </c>
      <c r="H13" s="98" t="s">
        <v>213</v>
      </c>
      <c r="I13" s="98" t="s">
        <v>214</v>
      </c>
      <c r="J13" s="98" t="s">
        <v>214</v>
      </c>
      <c r="K13" s="100" t="n">
        <v>-48508</v>
      </c>
      <c r="L13" s="100" t="n">
        <f aca="false">K13-Q13+T13</f>
        <v>-48508</v>
      </c>
      <c r="M13" s="98" t="s">
        <v>149</v>
      </c>
      <c r="N13" s="100" t="n">
        <v>-48508</v>
      </c>
      <c r="O13" s="98" t="s">
        <v>149</v>
      </c>
      <c r="P13" s="100" t="n">
        <v>0</v>
      </c>
      <c r="Q13" s="100" t="n">
        <v>0</v>
      </c>
      <c r="R13" s="100" t="n">
        <v>-48508</v>
      </c>
      <c r="S13" s="100" t="n">
        <v>0</v>
      </c>
      <c r="T13" s="100" t="n">
        <v>0</v>
      </c>
      <c r="U13" s="98" t="s">
        <v>150</v>
      </c>
      <c r="V13" s="98" t="s">
        <v>151</v>
      </c>
      <c r="X13" s="98" t="s">
        <v>215</v>
      </c>
      <c r="Y13" s="98" t="s">
        <v>216</v>
      </c>
      <c r="Z13" s="98" t="s">
        <v>228</v>
      </c>
      <c r="AD13" s="98" t="s">
        <v>155</v>
      </c>
      <c r="AE13" s="98" t="s">
        <v>156</v>
      </c>
      <c r="AF13" s="98" t="s">
        <v>222</v>
      </c>
      <c r="AG13" s="98" t="s">
        <v>223</v>
      </c>
      <c r="AI13" s="98" t="s">
        <v>222</v>
      </c>
      <c r="AJ13" s="98" t="s">
        <v>223</v>
      </c>
      <c r="AK13" s="98" t="s">
        <v>159</v>
      </c>
      <c r="AL13" s="98" t="s">
        <v>224</v>
      </c>
      <c r="AM13" s="98" t="s">
        <v>225</v>
      </c>
      <c r="AR13" s="98" t="s">
        <v>218</v>
      </c>
      <c r="AS13" s="98" t="s">
        <v>229</v>
      </c>
      <c r="AT13" s="100" t="n">
        <v>0</v>
      </c>
      <c r="AU13" s="100" t="n">
        <v>-48508</v>
      </c>
      <c r="AX13" s="98" t="s">
        <v>148</v>
      </c>
      <c r="AMH13" s="0"/>
      <c r="AMI13" s="0"/>
      <c r="AMJ13" s="0"/>
    </row>
    <row r="14" s="98" customFormat="true" ht="13.8" hidden="false" customHeight="false" outlineLevel="0" collapsed="false">
      <c r="A14" s="98" t="s">
        <v>142</v>
      </c>
      <c r="B14" s="98" t="s">
        <v>143</v>
      </c>
      <c r="C14" s="98" t="n">
        <v>44234305</v>
      </c>
      <c r="D14" s="98" t="s">
        <v>210</v>
      </c>
      <c r="E14" s="98" t="s">
        <v>211</v>
      </c>
      <c r="F14" s="98" t="s">
        <v>212</v>
      </c>
      <c r="G14" s="98" t="s">
        <v>147</v>
      </c>
      <c r="H14" s="98" t="s">
        <v>213</v>
      </c>
      <c r="I14" s="98" t="s">
        <v>214</v>
      </c>
      <c r="J14" s="98" t="s">
        <v>214</v>
      </c>
      <c r="K14" s="100" t="n">
        <v>48508</v>
      </c>
      <c r="L14" s="100" t="n">
        <f aca="false">K14-Q14+T14</f>
        <v>48508</v>
      </c>
      <c r="M14" s="98" t="s">
        <v>149</v>
      </c>
      <c r="N14" s="100" t="n">
        <v>48508</v>
      </c>
      <c r="O14" s="98" t="s">
        <v>149</v>
      </c>
      <c r="P14" s="100" t="n">
        <v>0</v>
      </c>
      <c r="Q14" s="100" t="n">
        <v>0</v>
      </c>
      <c r="R14" s="100" t="n">
        <v>48508</v>
      </c>
      <c r="S14" s="100" t="n">
        <v>0</v>
      </c>
      <c r="T14" s="100" t="n">
        <v>0</v>
      </c>
      <c r="U14" s="98" t="s">
        <v>150</v>
      </c>
      <c r="V14" s="98" t="s">
        <v>151</v>
      </c>
      <c r="X14" s="98" t="s">
        <v>215</v>
      </c>
      <c r="Y14" s="98" t="s">
        <v>216</v>
      </c>
      <c r="Z14" s="98" t="s">
        <v>217</v>
      </c>
      <c r="AD14" s="98" t="s">
        <v>155</v>
      </c>
      <c r="AE14" s="98" t="s">
        <v>156</v>
      </c>
      <c r="AF14" s="98" t="s">
        <v>150</v>
      </c>
      <c r="AG14" s="98" t="s">
        <v>151</v>
      </c>
      <c r="AI14" s="98" t="s">
        <v>155</v>
      </c>
      <c r="AJ14" s="98" t="s">
        <v>156</v>
      </c>
      <c r="AK14" s="98" t="s">
        <v>159</v>
      </c>
      <c r="AL14" s="98" t="s">
        <v>160</v>
      </c>
      <c r="AM14" s="98" t="s">
        <v>161</v>
      </c>
      <c r="AR14" s="98" t="s">
        <v>218</v>
      </c>
      <c r="AS14" s="98" t="s">
        <v>229</v>
      </c>
      <c r="AT14" s="100" t="n">
        <v>0</v>
      </c>
      <c r="AU14" s="100" t="n">
        <v>48508</v>
      </c>
      <c r="AX14" s="98" t="s">
        <v>220</v>
      </c>
      <c r="AMH14" s="0"/>
      <c r="AMI14" s="0"/>
      <c r="AMJ14" s="0"/>
    </row>
    <row r="15" s="98" customFormat="true" ht="13.8" hidden="false" customHeight="false" outlineLevel="0" collapsed="false">
      <c r="A15" s="98" t="s">
        <v>142</v>
      </c>
      <c r="B15" s="98" t="s">
        <v>143</v>
      </c>
      <c r="C15" s="98" t="n">
        <v>44234306</v>
      </c>
      <c r="D15" s="98" t="s">
        <v>210</v>
      </c>
      <c r="E15" s="98" t="s">
        <v>211</v>
      </c>
      <c r="F15" s="98" t="s">
        <v>212</v>
      </c>
      <c r="G15" s="98" t="s">
        <v>147</v>
      </c>
      <c r="H15" s="98" t="s">
        <v>213</v>
      </c>
      <c r="I15" s="98" t="s">
        <v>214</v>
      </c>
      <c r="J15" s="98" t="s">
        <v>214</v>
      </c>
      <c r="K15" s="100" t="n">
        <v>-5274</v>
      </c>
      <c r="L15" s="100" t="n">
        <f aca="false">K15-Q15+T15</f>
        <v>-5274</v>
      </c>
      <c r="M15" s="98" t="s">
        <v>149</v>
      </c>
      <c r="N15" s="100" t="n">
        <v>-5274</v>
      </c>
      <c r="O15" s="98" t="s">
        <v>149</v>
      </c>
      <c r="P15" s="100" t="n">
        <v>0</v>
      </c>
      <c r="Q15" s="100" t="n">
        <v>0</v>
      </c>
      <c r="R15" s="100" t="n">
        <v>-5274</v>
      </c>
      <c r="S15" s="100" t="n">
        <v>0</v>
      </c>
      <c r="T15" s="100" t="n">
        <v>0</v>
      </c>
      <c r="U15" s="98" t="s">
        <v>150</v>
      </c>
      <c r="V15" s="98" t="s">
        <v>151</v>
      </c>
      <c r="X15" s="98" t="s">
        <v>215</v>
      </c>
      <c r="Y15" s="98" t="s">
        <v>216</v>
      </c>
      <c r="Z15" s="98" t="s">
        <v>230</v>
      </c>
      <c r="AD15" s="98" t="s">
        <v>155</v>
      </c>
      <c r="AE15" s="98" t="s">
        <v>156</v>
      </c>
      <c r="AF15" s="98" t="s">
        <v>222</v>
      </c>
      <c r="AG15" s="98" t="s">
        <v>223</v>
      </c>
      <c r="AI15" s="98" t="s">
        <v>222</v>
      </c>
      <c r="AJ15" s="98" t="s">
        <v>223</v>
      </c>
      <c r="AK15" s="98" t="s">
        <v>159</v>
      </c>
      <c r="AL15" s="98" t="s">
        <v>224</v>
      </c>
      <c r="AM15" s="98" t="s">
        <v>225</v>
      </c>
      <c r="AR15" s="98" t="s">
        <v>218</v>
      </c>
      <c r="AS15" s="98" t="s">
        <v>231</v>
      </c>
      <c r="AT15" s="100" t="n">
        <v>0</v>
      </c>
      <c r="AU15" s="100" t="n">
        <v>-5274</v>
      </c>
      <c r="AX15" s="98" t="s">
        <v>148</v>
      </c>
      <c r="AMH15" s="0"/>
      <c r="AMI15" s="0"/>
      <c r="AMJ15" s="0"/>
    </row>
    <row r="16" s="98" customFormat="true" ht="13.8" hidden="false" customHeight="false" outlineLevel="0" collapsed="false">
      <c r="A16" s="98" t="s">
        <v>142</v>
      </c>
      <c r="B16" s="98" t="s">
        <v>143</v>
      </c>
      <c r="C16" s="98" t="n">
        <v>44234306</v>
      </c>
      <c r="D16" s="98" t="s">
        <v>210</v>
      </c>
      <c r="E16" s="98" t="s">
        <v>211</v>
      </c>
      <c r="F16" s="98" t="s">
        <v>212</v>
      </c>
      <c r="G16" s="98" t="s">
        <v>147</v>
      </c>
      <c r="H16" s="98" t="s">
        <v>213</v>
      </c>
      <c r="I16" s="98" t="s">
        <v>214</v>
      </c>
      <c r="J16" s="98" t="s">
        <v>214</v>
      </c>
      <c r="K16" s="100" t="n">
        <v>5274</v>
      </c>
      <c r="L16" s="100" t="n">
        <f aca="false">K16-Q16+T16</f>
        <v>5274</v>
      </c>
      <c r="M16" s="98" t="s">
        <v>149</v>
      </c>
      <c r="N16" s="100" t="n">
        <v>5274</v>
      </c>
      <c r="O16" s="98" t="s">
        <v>149</v>
      </c>
      <c r="P16" s="100" t="n">
        <v>0</v>
      </c>
      <c r="Q16" s="100" t="n">
        <v>0</v>
      </c>
      <c r="R16" s="100" t="n">
        <v>5274</v>
      </c>
      <c r="S16" s="100" t="n">
        <v>0</v>
      </c>
      <c r="T16" s="100" t="n">
        <v>0</v>
      </c>
      <c r="U16" s="98" t="s">
        <v>150</v>
      </c>
      <c r="V16" s="98" t="s">
        <v>151</v>
      </c>
      <c r="X16" s="98" t="s">
        <v>215</v>
      </c>
      <c r="Y16" s="98" t="s">
        <v>216</v>
      </c>
      <c r="Z16" s="98" t="s">
        <v>217</v>
      </c>
      <c r="AD16" s="98" t="s">
        <v>155</v>
      </c>
      <c r="AE16" s="98" t="s">
        <v>156</v>
      </c>
      <c r="AF16" s="98" t="s">
        <v>150</v>
      </c>
      <c r="AG16" s="98" t="s">
        <v>151</v>
      </c>
      <c r="AI16" s="98" t="s">
        <v>155</v>
      </c>
      <c r="AJ16" s="98" t="s">
        <v>156</v>
      </c>
      <c r="AK16" s="98" t="s">
        <v>159</v>
      </c>
      <c r="AL16" s="98" t="s">
        <v>160</v>
      </c>
      <c r="AM16" s="98" t="s">
        <v>161</v>
      </c>
      <c r="AR16" s="98" t="s">
        <v>218</v>
      </c>
      <c r="AS16" s="98" t="s">
        <v>231</v>
      </c>
      <c r="AT16" s="100" t="n">
        <v>0</v>
      </c>
      <c r="AU16" s="100" t="n">
        <v>5274</v>
      </c>
      <c r="AX16" s="98" t="s">
        <v>220</v>
      </c>
      <c r="AMH16" s="0"/>
      <c r="AMI16" s="0"/>
      <c r="AMJ16" s="0"/>
    </row>
    <row r="17" customFormat="false" ht="13.8" hidden="false" customHeight="false" outlineLevel="0" collapsed="false">
      <c r="A17" s="92" t="s">
        <v>142</v>
      </c>
      <c r="B17" s="92" t="s">
        <v>143</v>
      </c>
      <c r="C17" s="92" t="n">
        <v>45001676</v>
      </c>
      <c r="D17" s="92" t="s">
        <v>232</v>
      </c>
      <c r="E17" s="92" t="s">
        <v>233</v>
      </c>
      <c r="F17" s="92" t="s">
        <v>234</v>
      </c>
      <c r="G17" s="92" t="s">
        <v>147</v>
      </c>
      <c r="H17" s="92" t="s">
        <v>165</v>
      </c>
      <c r="I17" s="92" t="s">
        <v>235</v>
      </c>
      <c r="J17" s="92" t="s">
        <v>235</v>
      </c>
      <c r="K17" s="101" t="n">
        <v>1996973</v>
      </c>
      <c r="L17" s="101" t="n">
        <f aca="false">K17-Q17+T17</f>
        <v>1996973</v>
      </c>
      <c r="M17" s="92" t="s">
        <v>149</v>
      </c>
      <c r="N17" s="101" t="n">
        <v>1996973</v>
      </c>
      <c r="O17" s="92" t="s">
        <v>149</v>
      </c>
      <c r="P17" s="101" t="n">
        <v>0</v>
      </c>
      <c r="Q17" s="101" t="n">
        <v>0</v>
      </c>
      <c r="R17" s="101" t="n">
        <v>1996973</v>
      </c>
      <c r="S17" s="101" t="n">
        <v>0</v>
      </c>
      <c r="T17" s="101" t="n">
        <v>0</v>
      </c>
      <c r="U17" s="92" t="s">
        <v>192</v>
      </c>
      <c r="V17" s="92" t="s">
        <v>151</v>
      </c>
      <c r="Y17" s="92" t="s">
        <v>236</v>
      </c>
      <c r="Z17" s="92" t="s">
        <v>237</v>
      </c>
      <c r="AD17" s="92" t="s">
        <v>155</v>
      </c>
      <c r="AE17" s="92" t="s">
        <v>156</v>
      </c>
      <c r="AF17" s="92" t="s">
        <v>238</v>
      </c>
      <c r="AG17" s="92" t="s">
        <v>239</v>
      </c>
      <c r="AI17" s="92" t="s">
        <v>238</v>
      </c>
      <c r="AJ17" s="92" t="s">
        <v>239</v>
      </c>
      <c r="AK17" s="92" t="s">
        <v>159</v>
      </c>
      <c r="AL17" s="92" t="s">
        <v>240</v>
      </c>
      <c r="AM17" s="92" t="s">
        <v>161</v>
      </c>
      <c r="AP17" s="92" t="s">
        <v>237</v>
      </c>
      <c r="AQ17" s="92" t="s">
        <v>235</v>
      </c>
      <c r="AR17" s="92" t="s">
        <v>235</v>
      </c>
      <c r="AS17" s="92" t="s">
        <v>241</v>
      </c>
      <c r="AT17" s="101" t="n">
        <v>0</v>
      </c>
      <c r="AU17" s="101" t="n">
        <v>1996973</v>
      </c>
      <c r="AX17" s="92" t="s">
        <v>165</v>
      </c>
    </row>
    <row r="18" customFormat="false" ht="13.8" hidden="false" customHeight="false" outlineLevel="0" collapsed="false">
      <c r="A18" s="92" t="s">
        <v>142</v>
      </c>
      <c r="B18" s="92" t="s">
        <v>143</v>
      </c>
      <c r="C18" s="92" t="n">
        <v>45004518</v>
      </c>
      <c r="D18" s="92" t="s">
        <v>242</v>
      </c>
      <c r="E18" s="92" t="s">
        <v>233</v>
      </c>
      <c r="F18" s="92" t="s">
        <v>212</v>
      </c>
      <c r="G18" s="92" t="s">
        <v>147</v>
      </c>
      <c r="H18" s="92" t="s">
        <v>165</v>
      </c>
      <c r="I18" s="92" t="s">
        <v>243</v>
      </c>
      <c r="J18" s="92" t="s">
        <v>243</v>
      </c>
      <c r="K18" s="101" t="n">
        <v>137519.56</v>
      </c>
      <c r="L18" s="101" t="n">
        <f aca="false">K18-Q18+T18</f>
        <v>137519.56</v>
      </c>
      <c r="M18" s="92" t="s">
        <v>149</v>
      </c>
      <c r="N18" s="101" t="n">
        <v>137519.56</v>
      </c>
      <c r="O18" s="92" t="s">
        <v>149</v>
      </c>
      <c r="P18" s="101" t="n">
        <v>0</v>
      </c>
      <c r="Q18" s="101" t="n">
        <v>0</v>
      </c>
      <c r="R18" s="101" t="n">
        <v>137519.56</v>
      </c>
      <c r="S18" s="101" t="n">
        <v>0</v>
      </c>
      <c r="T18" s="101" t="n">
        <v>0</v>
      </c>
      <c r="U18" s="92" t="s">
        <v>150</v>
      </c>
      <c r="V18" s="92" t="s">
        <v>151</v>
      </c>
      <c r="Y18" s="92" t="s">
        <v>244</v>
      </c>
      <c r="Z18" s="92" t="s">
        <v>245</v>
      </c>
      <c r="AD18" s="92" t="s">
        <v>155</v>
      </c>
      <c r="AE18" s="92" t="s">
        <v>156</v>
      </c>
      <c r="AF18" s="92" t="s">
        <v>238</v>
      </c>
      <c r="AG18" s="92" t="s">
        <v>239</v>
      </c>
      <c r="AI18" s="92" t="s">
        <v>238</v>
      </c>
      <c r="AJ18" s="92" t="s">
        <v>239</v>
      </c>
      <c r="AK18" s="92" t="s">
        <v>159</v>
      </c>
      <c r="AL18" s="92" t="s">
        <v>240</v>
      </c>
      <c r="AM18" s="92" t="s">
        <v>161</v>
      </c>
      <c r="AP18" s="92" t="s">
        <v>245</v>
      </c>
      <c r="AQ18" s="92" t="s">
        <v>243</v>
      </c>
      <c r="AR18" s="92" t="s">
        <v>243</v>
      </c>
      <c r="AS18" s="92" t="s">
        <v>246</v>
      </c>
      <c r="AT18" s="101" t="n">
        <v>0</v>
      </c>
      <c r="AU18" s="101" t="n">
        <v>137519.56</v>
      </c>
      <c r="AX18" s="92" t="s">
        <v>165</v>
      </c>
    </row>
    <row r="19" customFormat="false" ht="13.8" hidden="false" customHeight="false" outlineLevel="0" collapsed="false">
      <c r="A19" s="92" t="s">
        <v>142</v>
      </c>
      <c r="B19" s="92" t="s">
        <v>143</v>
      </c>
      <c r="C19" s="92" t="n">
        <v>45005501</v>
      </c>
      <c r="D19" s="92" t="s">
        <v>247</v>
      </c>
      <c r="E19" s="92" t="s">
        <v>233</v>
      </c>
      <c r="F19" s="92" t="s">
        <v>167</v>
      </c>
      <c r="G19" s="92" t="s">
        <v>147</v>
      </c>
      <c r="H19" s="92" t="s">
        <v>165</v>
      </c>
      <c r="I19" s="92" t="s">
        <v>243</v>
      </c>
      <c r="J19" s="92" t="s">
        <v>243</v>
      </c>
      <c r="K19" s="101" t="n">
        <v>722969.75</v>
      </c>
      <c r="L19" s="101" t="n">
        <f aca="false">K19-Q19+T19</f>
        <v>722969.75</v>
      </c>
      <c r="M19" s="92" t="s">
        <v>149</v>
      </c>
      <c r="N19" s="101" t="n">
        <v>722969.75</v>
      </c>
      <c r="O19" s="92" t="s">
        <v>149</v>
      </c>
      <c r="P19" s="101" t="n">
        <v>0</v>
      </c>
      <c r="Q19" s="101" t="n">
        <v>0</v>
      </c>
      <c r="R19" s="101" t="n">
        <v>722969.75</v>
      </c>
      <c r="S19" s="101" t="n">
        <v>0</v>
      </c>
      <c r="T19" s="101" t="n">
        <v>0</v>
      </c>
      <c r="U19" s="92" t="s">
        <v>192</v>
      </c>
      <c r="V19" s="92" t="s">
        <v>151</v>
      </c>
      <c r="Y19" s="92" t="s">
        <v>248</v>
      </c>
      <c r="Z19" s="92" t="s">
        <v>249</v>
      </c>
      <c r="AD19" s="92" t="s">
        <v>155</v>
      </c>
      <c r="AE19" s="92" t="s">
        <v>156</v>
      </c>
      <c r="AF19" s="92" t="s">
        <v>238</v>
      </c>
      <c r="AG19" s="92" t="s">
        <v>239</v>
      </c>
      <c r="AI19" s="92" t="s">
        <v>238</v>
      </c>
      <c r="AJ19" s="92" t="s">
        <v>239</v>
      </c>
      <c r="AK19" s="92" t="s">
        <v>159</v>
      </c>
      <c r="AL19" s="92" t="s">
        <v>240</v>
      </c>
      <c r="AM19" s="92" t="s">
        <v>161</v>
      </c>
      <c r="AP19" s="92" t="s">
        <v>249</v>
      </c>
      <c r="AQ19" s="92" t="s">
        <v>243</v>
      </c>
      <c r="AR19" s="92" t="s">
        <v>243</v>
      </c>
      <c r="AS19" s="92" t="s">
        <v>250</v>
      </c>
      <c r="AT19" s="101" t="n">
        <v>0</v>
      </c>
      <c r="AU19" s="101" t="n">
        <v>722969.75</v>
      </c>
      <c r="AX19" s="92" t="s">
        <v>220</v>
      </c>
    </row>
    <row r="20" customFormat="false" ht="13.8" hidden="false" customHeight="false" outlineLevel="0" collapsed="false">
      <c r="A20" s="92" t="s">
        <v>142</v>
      </c>
      <c r="B20" s="92" t="s">
        <v>143</v>
      </c>
      <c r="C20" s="92" t="n">
        <v>45005501</v>
      </c>
      <c r="D20" s="92" t="s">
        <v>247</v>
      </c>
      <c r="E20" s="92" t="s">
        <v>233</v>
      </c>
      <c r="F20" s="92" t="s">
        <v>167</v>
      </c>
      <c r="G20" s="92" t="s">
        <v>147</v>
      </c>
      <c r="H20" s="92" t="s">
        <v>165</v>
      </c>
      <c r="I20" s="92" t="s">
        <v>243</v>
      </c>
      <c r="J20" s="92" t="s">
        <v>243</v>
      </c>
      <c r="K20" s="101" t="n">
        <v>1713145.46</v>
      </c>
      <c r="L20" s="101" t="n">
        <f aca="false">K20-Q20+T20</f>
        <v>1713145.46</v>
      </c>
      <c r="M20" s="92" t="s">
        <v>149</v>
      </c>
      <c r="N20" s="101" t="n">
        <v>1713145.46</v>
      </c>
      <c r="O20" s="92" t="s">
        <v>149</v>
      </c>
      <c r="P20" s="101" t="n">
        <v>0</v>
      </c>
      <c r="Q20" s="101" t="n">
        <v>0</v>
      </c>
      <c r="R20" s="101" t="n">
        <v>1713145.46</v>
      </c>
      <c r="S20" s="101" t="n">
        <v>0</v>
      </c>
      <c r="T20" s="101" t="n">
        <v>0</v>
      </c>
      <c r="U20" s="92" t="s">
        <v>192</v>
      </c>
      <c r="V20" s="92" t="s">
        <v>151</v>
      </c>
      <c r="Y20" s="92" t="s">
        <v>248</v>
      </c>
      <c r="Z20" s="92" t="s">
        <v>249</v>
      </c>
      <c r="AD20" s="92" t="s">
        <v>155</v>
      </c>
      <c r="AE20" s="92" t="s">
        <v>156</v>
      </c>
      <c r="AF20" s="92" t="s">
        <v>238</v>
      </c>
      <c r="AG20" s="92" t="s">
        <v>239</v>
      </c>
      <c r="AI20" s="92" t="s">
        <v>238</v>
      </c>
      <c r="AJ20" s="92" t="s">
        <v>239</v>
      </c>
      <c r="AK20" s="92" t="s">
        <v>159</v>
      </c>
      <c r="AL20" s="92" t="s">
        <v>240</v>
      </c>
      <c r="AM20" s="92" t="s">
        <v>161</v>
      </c>
      <c r="AP20" s="92" t="s">
        <v>249</v>
      </c>
      <c r="AQ20" s="92" t="s">
        <v>243</v>
      </c>
      <c r="AR20" s="92" t="s">
        <v>243</v>
      </c>
      <c r="AS20" s="92" t="s">
        <v>250</v>
      </c>
      <c r="AT20" s="101" t="n">
        <v>0</v>
      </c>
      <c r="AU20" s="101" t="n">
        <v>1713145.46</v>
      </c>
      <c r="AX20" s="92" t="s">
        <v>165</v>
      </c>
    </row>
    <row r="21" customFormat="false" ht="13.8" hidden="false" customHeight="false" outlineLevel="0" collapsed="false">
      <c r="A21" s="92" t="s">
        <v>142</v>
      </c>
      <c r="B21" s="92" t="s">
        <v>143</v>
      </c>
      <c r="C21" s="92" t="n">
        <v>45005501</v>
      </c>
      <c r="D21" s="92" t="s">
        <v>247</v>
      </c>
      <c r="E21" s="92" t="s">
        <v>233</v>
      </c>
      <c r="F21" s="92" t="s">
        <v>167</v>
      </c>
      <c r="G21" s="92" t="s">
        <v>147</v>
      </c>
      <c r="H21" s="92" t="s">
        <v>165</v>
      </c>
      <c r="I21" s="92" t="s">
        <v>243</v>
      </c>
      <c r="J21" s="92" t="s">
        <v>243</v>
      </c>
      <c r="K21" s="101" t="n">
        <v>782591.43</v>
      </c>
      <c r="L21" s="101" t="n">
        <f aca="false">K21-Q21+T21</f>
        <v>782591.43</v>
      </c>
      <c r="M21" s="92" t="s">
        <v>149</v>
      </c>
      <c r="N21" s="101" t="n">
        <v>782591.43</v>
      </c>
      <c r="O21" s="92" t="s">
        <v>149</v>
      </c>
      <c r="P21" s="101" t="n">
        <v>0</v>
      </c>
      <c r="Q21" s="101" t="n">
        <v>0</v>
      </c>
      <c r="R21" s="101" t="n">
        <v>782591.43</v>
      </c>
      <c r="S21" s="101" t="n">
        <v>0</v>
      </c>
      <c r="T21" s="101" t="n">
        <v>0</v>
      </c>
      <c r="U21" s="92" t="s">
        <v>192</v>
      </c>
      <c r="V21" s="92" t="s">
        <v>151</v>
      </c>
      <c r="Y21" s="92" t="s">
        <v>248</v>
      </c>
      <c r="Z21" s="92" t="s">
        <v>249</v>
      </c>
      <c r="AD21" s="92" t="s">
        <v>155</v>
      </c>
      <c r="AE21" s="92" t="s">
        <v>156</v>
      </c>
      <c r="AF21" s="92" t="s">
        <v>238</v>
      </c>
      <c r="AG21" s="92" t="s">
        <v>239</v>
      </c>
      <c r="AI21" s="92" t="s">
        <v>238</v>
      </c>
      <c r="AJ21" s="92" t="s">
        <v>239</v>
      </c>
      <c r="AK21" s="92" t="s">
        <v>159</v>
      </c>
      <c r="AL21" s="92" t="s">
        <v>240</v>
      </c>
      <c r="AM21" s="92" t="s">
        <v>161</v>
      </c>
      <c r="AP21" s="92" t="s">
        <v>249</v>
      </c>
      <c r="AQ21" s="92" t="s">
        <v>243</v>
      </c>
      <c r="AR21" s="92" t="s">
        <v>243</v>
      </c>
      <c r="AS21" s="92" t="s">
        <v>250</v>
      </c>
      <c r="AT21" s="101" t="n">
        <v>0</v>
      </c>
      <c r="AU21" s="101" t="n">
        <v>782591.43</v>
      </c>
      <c r="AX21" s="92" t="s">
        <v>148</v>
      </c>
    </row>
    <row r="22" customFormat="false" ht="13.8" hidden="false" customHeight="false" outlineLevel="0" collapsed="false">
      <c r="A22" s="92" t="s">
        <v>142</v>
      </c>
      <c r="B22" s="92" t="s">
        <v>143</v>
      </c>
      <c r="C22" s="92" t="n">
        <v>45006919</v>
      </c>
      <c r="D22" s="92" t="s">
        <v>251</v>
      </c>
      <c r="E22" s="92" t="s">
        <v>233</v>
      </c>
      <c r="F22" s="92" t="s">
        <v>167</v>
      </c>
      <c r="G22" s="92" t="s">
        <v>147</v>
      </c>
      <c r="H22" s="92" t="s">
        <v>165</v>
      </c>
      <c r="I22" s="92" t="s">
        <v>252</v>
      </c>
      <c r="J22" s="92" t="s">
        <v>252</v>
      </c>
      <c r="K22" s="101" t="n">
        <v>1117660</v>
      </c>
      <c r="L22" s="101" t="n">
        <f aca="false">K22-Q22+T22</f>
        <v>1117660</v>
      </c>
      <c r="M22" s="92" t="s">
        <v>149</v>
      </c>
      <c r="N22" s="101" t="n">
        <v>1117660</v>
      </c>
      <c r="O22" s="92" t="s">
        <v>149</v>
      </c>
      <c r="P22" s="101" t="n">
        <v>0</v>
      </c>
      <c r="Q22" s="101" t="n">
        <v>0</v>
      </c>
      <c r="R22" s="101" t="n">
        <v>1117660</v>
      </c>
      <c r="S22" s="101" t="n">
        <v>0</v>
      </c>
      <c r="T22" s="101" t="n">
        <v>0</v>
      </c>
      <c r="U22" s="92" t="s">
        <v>192</v>
      </c>
      <c r="V22" s="92" t="s">
        <v>151</v>
      </c>
      <c r="Y22" s="92" t="s">
        <v>253</v>
      </c>
      <c r="Z22" s="92" t="s">
        <v>254</v>
      </c>
      <c r="AD22" s="92" t="s">
        <v>155</v>
      </c>
      <c r="AE22" s="92" t="s">
        <v>156</v>
      </c>
      <c r="AF22" s="92" t="s">
        <v>238</v>
      </c>
      <c r="AG22" s="92" t="s">
        <v>239</v>
      </c>
      <c r="AI22" s="92" t="s">
        <v>238</v>
      </c>
      <c r="AJ22" s="92" t="s">
        <v>239</v>
      </c>
      <c r="AK22" s="92" t="s">
        <v>159</v>
      </c>
      <c r="AL22" s="92" t="s">
        <v>240</v>
      </c>
      <c r="AM22" s="92" t="s">
        <v>161</v>
      </c>
      <c r="AP22" s="92" t="s">
        <v>254</v>
      </c>
      <c r="AQ22" s="92" t="s">
        <v>252</v>
      </c>
      <c r="AR22" s="92" t="s">
        <v>252</v>
      </c>
      <c r="AS22" s="92" t="s">
        <v>255</v>
      </c>
      <c r="AT22" s="101" t="n">
        <v>0</v>
      </c>
      <c r="AU22" s="101" t="n">
        <v>1117660</v>
      </c>
      <c r="AX22" s="92" t="s">
        <v>165</v>
      </c>
    </row>
    <row r="23" customFormat="false" ht="13.8" hidden="false" customHeight="false" outlineLevel="0" collapsed="false">
      <c r="A23" s="92" t="s">
        <v>142</v>
      </c>
      <c r="B23" s="92" t="s">
        <v>143</v>
      </c>
      <c r="C23" s="92" t="n">
        <v>45006920</v>
      </c>
      <c r="D23" s="92" t="s">
        <v>256</v>
      </c>
      <c r="E23" s="92" t="s">
        <v>233</v>
      </c>
      <c r="F23" s="92" t="s">
        <v>212</v>
      </c>
      <c r="G23" s="92" t="s">
        <v>147</v>
      </c>
      <c r="H23" s="92" t="s">
        <v>165</v>
      </c>
      <c r="I23" s="92" t="s">
        <v>252</v>
      </c>
      <c r="J23" s="92" t="s">
        <v>252</v>
      </c>
      <c r="K23" s="101" t="n">
        <v>366824.77</v>
      </c>
      <c r="L23" s="101" t="n">
        <f aca="false">K23-Q23+T23</f>
        <v>366824.77</v>
      </c>
      <c r="M23" s="92" t="s">
        <v>149</v>
      </c>
      <c r="N23" s="101" t="n">
        <v>366824.77</v>
      </c>
      <c r="O23" s="92" t="s">
        <v>149</v>
      </c>
      <c r="P23" s="101" t="n">
        <v>0</v>
      </c>
      <c r="Q23" s="101" t="n">
        <v>0</v>
      </c>
      <c r="R23" s="101" t="n">
        <v>366824.77</v>
      </c>
      <c r="S23" s="101" t="n">
        <v>0</v>
      </c>
      <c r="T23" s="101" t="n">
        <v>0</v>
      </c>
      <c r="U23" s="92" t="s">
        <v>150</v>
      </c>
      <c r="V23" s="92" t="s">
        <v>151</v>
      </c>
      <c r="Y23" s="92" t="s">
        <v>253</v>
      </c>
      <c r="Z23" s="92" t="s">
        <v>257</v>
      </c>
      <c r="AD23" s="92" t="s">
        <v>155</v>
      </c>
      <c r="AE23" s="92" t="s">
        <v>156</v>
      </c>
      <c r="AF23" s="92" t="s">
        <v>238</v>
      </c>
      <c r="AG23" s="92" t="s">
        <v>239</v>
      </c>
      <c r="AI23" s="92" t="s">
        <v>238</v>
      </c>
      <c r="AJ23" s="92" t="s">
        <v>239</v>
      </c>
      <c r="AK23" s="92" t="s">
        <v>159</v>
      </c>
      <c r="AL23" s="92" t="s">
        <v>240</v>
      </c>
      <c r="AM23" s="92" t="s">
        <v>161</v>
      </c>
      <c r="AP23" s="92" t="s">
        <v>257</v>
      </c>
      <c r="AQ23" s="92" t="s">
        <v>252</v>
      </c>
      <c r="AR23" s="92" t="s">
        <v>252</v>
      </c>
      <c r="AS23" s="92" t="s">
        <v>255</v>
      </c>
      <c r="AT23" s="101" t="n">
        <v>0</v>
      </c>
      <c r="AU23" s="101" t="n">
        <v>366824.77</v>
      </c>
      <c r="AX23" s="92" t="s">
        <v>165</v>
      </c>
    </row>
    <row r="24" customFormat="false" ht="13.8" hidden="false" customHeight="false" outlineLevel="0" collapsed="false">
      <c r="A24" s="92" t="s">
        <v>142</v>
      </c>
      <c r="B24" s="92" t="s">
        <v>143</v>
      </c>
      <c r="C24" s="92" t="n">
        <v>45007443</v>
      </c>
      <c r="D24" s="92" t="s">
        <v>258</v>
      </c>
      <c r="E24" s="92" t="s">
        <v>233</v>
      </c>
      <c r="F24" s="92" t="s">
        <v>234</v>
      </c>
      <c r="G24" s="92" t="s">
        <v>147</v>
      </c>
      <c r="H24" s="92" t="s">
        <v>165</v>
      </c>
      <c r="I24" s="92" t="s">
        <v>259</v>
      </c>
      <c r="J24" s="92" t="s">
        <v>259</v>
      </c>
      <c r="K24" s="101" t="n">
        <v>646758</v>
      </c>
      <c r="L24" s="101" t="n">
        <f aca="false">K24-Q24+T24</f>
        <v>646758</v>
      </c>
      <c r="M24" s="92" t="s">
        <v>149</v>
      </c>
      <c r="N24" s="101" t="n">
        <v>646758</v>
      </c>
      <c r="O24" s="92" t="s">
        <v>149</v>
      </c>
      <c r="P24" s="101" t="n">
        <v>0</v>
      </c>
      <c r="Q24" s="101" t="n">
        <v>0</v>
      </c>
      <c r="R24" s="101" t="n">
        <v>646758</v>
      </c>
      <c r="S24" s="101" t="n">
        <v>0</v>
      </c>
      <c r="T24" s="101" t="n">
        <v>0</v>
      </c>
      <c r="U24" s="92" t="s">
        <v>192</v>
      </c>
      <c r="V24" s="92" t="s">
        <v>151</v>
      </c>
      <c r="Y24" s="92" t="s">
        <v>260</v>
      </c>
      <c r="Z24" s="92" t="s">
        <v>261</v>
      </c>
      <c r="AD24" s="92" t="s">
        <v>155</v>
      </c>
      <c r="AE24" s="92" t="s">
        <v>156</v>
      </c>
      <c r="AF24" s="92" t="s">
        <v>238</v>
      </c>
      <c r="AG24" s="92" t="s">
        <v>239</v>
      </c>
      <c r="AI24" s="92" t="s">
        <v>238</v>
      </c>
      <c r="AJ24" s="92" t="s">
        <v>239</v>
      </c>
      <c r="AK24" s="92" t="s">
        <v>159</v>
      </c>
      <c r="AL24" s="92" t="s">
        <v>240</v>
      </c>
      <c r="AM24" s="92" t="s">
        <v>161</v>
      </c>
      <c r="AP24" s="92" t="s">
        <v>261</v>
      </c>
      <c r="AQ24" s="92" t="s">
        <v>259</v>
      </c>
      <c r="AR24" s="92" t="s">
        <v>259</v>
      </c>
      <c r="AS24" s="92" t="s">
        <v>262</v>
      </c>
      <c r="AT24" s="101" t="n">
        <v>0</v>
      </c>
      <c r="AU24" s="101" t="n">
        <v>646758</v>
      </c>
      <c r="AX24" s="92" t="s">
        <v>165</v>
      </c>
    </row>
    <row r="25" customFormat="false" ht="13.8" hidden="false" customHeight="false" outlineLevel="0" collapsed="false">
      <c r="A25" s="92" t="s">
        <v>142</v>
      </c>
      <c r="B25" s="92" t="s">
        <v>143</v>
      </c>
      <c r="C25" s="92" t="n">
        <v>45007445</v>
      </c>
      <c r="D25" s="92" t="s">
        <v>263</v>
      </c>
      <c r="E25" s="92" t="s">
        <v>233</v>
      </c>
      <c r="F25" s="92" t="s">
        <v>146</v>
      </c>
      <c r="G25" s="92" t="s">
        <v>147</v>
      </c>
      <c r="H25" s="92" t="s">
        <v>165</v>
      </c>
      <c r="I25" s="92" t="s">
        <v>259</v>
      </c>
      <c r="J25" s="92" t="s">
        <v>259</v>
      </c>
      <c r="K25" s="101" t="n">
        <v>966445.92</v>
      </c>
      <c r="L25" s="101" t="n">
        <f aca="false">K25-Q25+T25</f>
        <v>966445.92</v>
      </c>
      <c r="M25" s="92" t="s">
        <v>149</v>
      </c>
      <c r="N25" s="101" t="n">
        <v>966445.92</v>
      </c>
      <c r="O25" s="92" t="s">
        <v>149</v>
      </c>
      <c r="P25" s="101" t="n">
        <v>0</v>
      </c>
      <c r="Q25" s="101" t="n">
        <v>0</v>
      </c>
      <c r="R25" s="101" t="n">
        <v>966445.92</v>
      </c>
      <c r="S25" s="101" t="n">
        <v>0</v>
      </c>
      <c r="T25" s="101" t="n">
        <v>0</v>
      </c>
      <c r="U25" s="92" t="s">
        <v>150</v>
      </c>
      <c r="V25" s="92" t="s">
        <v>151</v>
      </c>
      <c r="Y25" s="92" t="s">
        <v>260</v>
      </c>
      <c r="Z25" s="92" t="s">
        <v>264</v>
      </c>
      <c r="AD25" s="92" t="s">
        <v>155</v>
      </c>
      <c r="AE25" s="92" t="s">
        <v>156</v>
      </c>
      <c r="AF25" s="92" t="s">
        <v>238</v>
      </c>
      <c r="AG25" s="92" t="s">
        <v>239</v>
      </c>
      <c r="AI25" s="92" t="s">
        <v>238</v>
      </c>
      <c r="AJ25" s="92" t="s">
        <v>239</v>
      </c>
      <c r="AK25" s="92" t="s">
        <v>159</v>
      </c>
      <c r="AL25" s="92" t="s">
        <v>240</v>
      </c>
      <c r="AM25" s="92" t="s">
        <v>161</v>
      </c>
      <c r="AP25" s="92" t="s">
        <v>264</v>
      </c>
      <c r="AQ25" s="92" t="s">
        <v>259</v>
      </c>
      <c r="AR25" s="92" t="s">
        <v>259</v>
      </c>
      <c r="AS25" s="92" t="s">
        <v>262</v>
      </c>
      <c r="AT25" s="101" t="n">
        <v>0</v>
      </c>
      <c r="AU25" s="101" t="n">
        <v>966445.92</v>
      </c>
      <c r="AX25" s="92" t="s">
        <v>165</v>
      </c>
    </row>
    <row r="26" customFormat="false" ht="13.8" hidden="false" customHeight="false" outlineLevel="0" collapsed="false">
      <c r="A26" s="92" t="s">
        <v>142</v>
      </c>
      <c r="B26" s="92" t="s">
        <v>143</v>
      </c>
      <c r="C26" s="92" t="n">
        <v>45010166</v>
      </c>
      <c r="D26" s="92" t="s">
        <v>265</v>
      </c>
      <c r="E26" s="92" t="s">
        <v>233</v>
      </c>
      <c r="F26" s="92" t="s">
        <v>266</v>
      </c>
      <c r="G26" s="92" t="s">
        <v>147</v>
      </c>
      <c r="H26" s="92" t="s">
        <v>165</v>
      </c>
      <c r="I26" s="92" t="s">
        <v>267</v>
      </c>
      <c r="J26" s="92" t="s">
        <v>267</v>
      </c>
      <c r="K26" s="101" t="n">
        <v>5121003.34</v>
      </c>
      <c r="L26" s="101" t="n">
        <f aca="false">K26-Q26+T26</f>
        <v>5121003.34</v>
      </c>
      <c r="M26" s="92" t="s">
        <v>149</v>
      </c>
      <c r="N26" s="101" t="n">
        <v>5121003.34</v>
      </c>
      <c r="O26" s="92" t="s">
        <v>149</v>
      </c>
      <c r="P26" s="101" t="n">
        <v>0</v>
      </c>
      <c r="Q26" s="101" t="n">
        <v>0</v>
      </c>
      <c r="R26" s="101" t="n">
        <v>5121003.34</v>
      </c>
      <c r="S26" s="101" t="n">
        <v>0</v>
      </c>
      <c r="T26" s="101" t="n">
        <v>0</v>
      </c>
      <c r="U26" s="92" t="s">
        <v>192</v>
      </c>
      <c r="V26" s="92" t="s">
        <v>151</v>
      </c>
      <c r="Y26" s="92" t="s">
        <v>268</v>
      </c>
      <c r="Z26" s="92" t="s">
        <v>269</v>
      </c>
      <c r="AD26" s="92" t="s">
        <v>155</v>
      </c>
      <c r="AE26" s="92" t="s">
        <v>156</v>
      </c>
      <c r="AF26" s="92" t="s">
        <v>238</v>
      </c>
      <c r="AG26" s="92" t="s">
        <v>239</v>
      </c>
      <c r="AI26" s="92" t="s">
        <v>238</v>
      </c>
      <c r="AJ26" s="92" t="s">
        <v>239</v>
      </c>
      <c r="AK26" s="92" t="s">
        <v>159</v>
      </c>
      <c r="AL26" s="92" t="s">
        <v>240</v>
      </c>
      <c r="AM26" s="92" t="s">
        <v>161</v>
      </c>
      <c r="AP26" s="92" t="s">
        <v>269</v>
      </c>
      <c r="AQ26" s="92" t="s">
        <v>267</v>
      </c>
      <c r="AR26" s="92" t="s">
        <v>267</v>
      </c>
      <c r="AS26" s="92" t="s">
        <v>270</v>
      </c>
      <c r="AT26" s="101" t="n">
        <v>0</v>
      </c>
      <c r="AU26" s="101" t="n">
        <v>5121003.34</v>
      </c>
      <c r="AX26" s="92" t="s">
        <v>165</v>
      </c>
    </row>
    <row r="27" customFormat="false" ht="13.8" hidden="false" customHeight="false" outlineLevel="0" collapsed="false">
      <c r="A27" s="92" t="s">
        <v>142</v>
      </c>
      <c r="B27" s="92" t="s">
        <v>143</v>
      </c>
      <c r="C27" s="92" t="n">
        <v>45012116</v>
      </c>
      <c r="D27" s="92" t="s">
        <v>271</v>
      </c>
      <c r="E27" s="92" t="s">
        <v>233</v>
      </c>
      <c r="F27" s="92" t="s">
        <v>212</v>
      </c>
      <c r="G27" s="92" t="s">
        <v>147</v>
      </c>
      <c r="H27" s="92" t="s">
        <v>165</v>
      </c>
      <c r="I27" s="92" t="s">
        <v>272</v>
      </c>
      <c r="J27" s="92" t="s">
        <v>272</v>
      </c>
      <c r="K27" s="101" t="n">
        <v>-162273.6</v>
      </c>
      <c r="L27" s="101" t="n">
        <f aca="false">K27-Q27+T27</f>
        <v>-162273.6</v>
      </c>
      <c r="M27" s="92" t="s">
        <v>149</v>
      </c>
      <c r="N27" s="101" t="n">
        <v>-162273.6</v>
      </c>
      <c r="O27" s="92" t="s">
        <v>149</v>
      </c>
      <c r="P27" s="101" t="n">
        <v>0</v>
      </c>
      <c r="Q27" s="101" t="n">
        <v>0</v>
      </c>
      <c r="R27" s="101" t="n">
        <v>-162273.6</v>
      </c>
      <c r="S27" s="101" t="n">
        <v>0</v>
      </c>
      <c r="T27" s="101" t="n">
        <v>0</v>
      </c>
      <c r="U27" s="92" t="s">
        <v>150</v>
      </c>
      <c r="V27" s="92" t="s">
        <v>151</v>
      </c>
      <c r="Y27" s="92" t="s">
        <v>273</v>
      </c>
      <c r="Z27" s="92" t="s">
        <v>274</v>
      </c>
      <c r="AD27" s="92" t="s">
        <v>155</v>
      </c>
      <c r="AE27" s="92" t="s">
        <v>156</v>
      </c>
      <c r="AF27" s="92" t="s">
        <v>150</v>
      </c>
      <c r="AG27" s="92" t="s">
        <v>151</v>
      </c>
      <c r="AI27" s="92" t="s">
        <v>155</v>
      </c>
      <c r="AJ27" s="92" t="s">
        <v>156</v>
      </c>
      <c r="AK27" s="92" t="s">
        <v>159</v>
      </c>
      <c r="AL27" s="92" t="s">
        <v>275</v>
      </c>
      <c r="AM27" s="92" t="s">
        <v>225</v>
      </c>
      <c r="AP27" s="92" t="s">
        <v>274</v>
      </c>
      <c r="AQ27" s="92" t="s">
        <v>272</v>
      </c>
      <c r="AR27" s="92" t="s">
        <v>272</v>
      </c>
      <c r="AS27" s="92" t="s">
        <v>276</v>
      </c>
      <c r="AT27" s="101" t="n">
        <v>0</v>
      </c>
      <c r="AU27" s="101" t="n">
        <v>-162273.6</v>
      </c>
      <c r="AX27" s="92" t="s">
        <v>165</v>
      </c>
    </row>
    <row r="28" customFormat="false" ht="13.8" hidden="false" customHeight="false" outlineLevel="0" collapsed="false">
      <c r="A28" s="92" t="s">
        <v>142</v>
      </c>
      <c r="B28" s="92" t="s">
        <v>143</v>
      </c>
      <c r="C28" s="92" t="n">
        <v>45012116</v>
      </c>
      <c r="D28" s="92" t="s">
        <v>271</v>
      </c>
      <c r="E28" s="92" t="s">
        <v>233</v>
      </c>
      <c r="F28" s="92" t="s">
        <v>146</v>
      </c>
      <c r="G28" s="92" t="s">
        <v>147</v>
      </c>
      <c r="H28" s="92" t="s">
        <v>165</v>
      </c>
      <c r="I28" s="92" t="s">
        <v>272</v>
      </c>
      <c r="J28" s="92" t="s">
        <v>272</v>
      </c>
      <c r="K28" s="101" t="n">
        <v>189092.68</v>
      </c>
      <c r="L28" s="101" t="n">
        <f aca="false">K28-Q28+T28</f>
        <v>189092.68</v>
      </c>
      <c r="M28" s="92" t="s">
        <v>149</v>
      </c>
      <c r="N28" s="101" t="n">
        <v>189092.68</v>
      </c>
      <c r="O28" s="92" t="s">
        <v>149</v>
      </c>
      <c r="P28" s="101" t="n">
        <v>0</v>
      </c>
      <c r="Q28" s="101" t="n">
        <v>0</v>
      </c>
      <c r="R28" s="101" t="n">
        <v>189092.68</v>
      </c>
      <c r="S28" s="101" t="n">
        <v>0</v>
      </c>
      <c r="T28" s="101" t="n">
        <v>0</v>
      </c>
      <c r="U28" s="92" t="s">
        <v>150</v>
      </c>
      <c r="V28" s="92" t="s">
        <v>151</v>
      </c>
      <c r="Y28" s="92" t="s">
        <v>273</v>
      </c>
      <c r="Z28" s="92" t="s">
        <v>274</v>
      </c>
      <c r="AD28" s="92" t="s">
        <v>155</v>
      </c>
      <c r="AE28" s="92" t="s">
        <v>156</v>
      </c>
      <c r="AF28" s="92" t="s">
        <v>150</v>
      </c>
      <c r="AG28" s="92" t="s">
        <v>151</v>
      </c>
      <c r="AI28" s="92" t="s">
        <v>155</v>
      </c>
      <c r="AJ28" s="92" t="s">
        <v>156</v>
      </c>
      <c r="AK28" s="92" t="s">
        <v>159</v>
      </c>
      <c r="AL28" s="92" t="s">
        <v>240</v>
      </c>
      <c r="AM28" s="92" t="s">
        <v>161</v>
      </c>
      <c r="AP28" s="92" t="s">
        <v>274</v>
      </c>
      <c r="AQ28" s="92" t="s">
        <v>272</v>
      </c>
      <c r="AR28" s="92" t="s">
        <v>272</v>
      </c>
      <c r="AS28" s="92" t="s">
        <v>276</v>
      </c>
      <c r="AT28" s="101" t="n">
        <v>0</v>
      </c>
      <c r="AU28" s="101" t="n">
        <v>189092.68</v>
      </c>
      <c r="AX28" s="92" t="s">
        <v>220</v>
      </c>
    </row>
    <row r="29" customFormat="false" ht="13.8" hidden="false" customHeight="false" outlineLevel="0" collapsed="false">
      <c r="A29" s="92" t="s">
        <v>142</v>
      </c>
      <c r="B29" s="92" t="s">
        <v>143</v>
      </c>
      <c r="C29" s="92" t="n">
        <v>45012359</v>
      </c>
      <c r="D29" s="92" t="s">
        <v>277</v>
      </c>
      <c r="E29" s="92" t="s">
        <v>233</v>
      </c>
      <c r="F29" s="92" t="s">
        <v>278</v>
      </c>
      <c r="G29" s="92" t="s">
        <v>147</v>
      </c>
      <c r="H29" s="92" t="s">
        <v>165</v>
      </c>
      <c r="I29" s="92" t="s">
        <v>272</v>
      </c>
      <c r="J29" s="92" t="s">
        <v>272</v>
      </c>
      <c r="K29" s="101" t="n">
        <v>3510796.22</v>
      </c>
      <c r="L29" s="101" t="n">
        <f aca="false">K29-Q29+T29</f>
        <v>3510796.22</v>
      </c>
      <c r="M29" s="92" t="s">
        <v>149</v>
      </c>
      <c r="N29" s="101" t="n">
        <v>3510796.22</v>
      </c>
      <c r="O29" s="92" t="s">
        <v>149</v>
      </c>
      <c r="P29" s="101" t="n">
        <v>0</v>
      </c>
      <c r="Q29" s="101" t="n">
        <v>0</v>
      </c>
      <c r="R29" s="101" t="n">
        <v>3510796.22</v>
      </c>
      <c r="S29" s="101" t="n">
        <v>0</v>
      </c>
      <c r="T29" s="101" t="n">
        <v>0</v>
      </c>
      <c r="U29" s="92" t="s">
        <v>192</v>
      </c>
      <c r="V29" s="92" t="s">
        <v>151</v>
      </c>
      <c r="Y29" s="92" t="s">
        <v>279</v>
      </c>
      <c r="Z29" s="92" t="s">
        <v>280</v>
      </c>
      <c r="AD29" s="92" t="s">
        <v>155</v>
      </c>
      <c r="AE29" s="92" t="s">
        <v>156</v>
      </c>
      <c r="AF29" s="92" t="s">
        <v>238</v>
      </c>
      <c r="AG29" s="92" t="s">
        <v>239</v>
      </c>
      <c r="AI29" s="92" t="s">
        <v>238</v>
      </c>
      <c r="AJ29" s="92" t="s">
        <v>239</v>
      </c>
      <c r="AK29" s="92" t="s">
        <v>159</v>
      </c>
      <c r="AL29" s="92" t="s">
        <v>240</v>
      </c>
      <c r="AM29" s="92" t="s">
        <v>161</v>
      </c>
      <c r="AP29" s="92" t="s">
        <v>280</v>
      </c>
      <c r="AQ29" s="92" t="s">
        <v>272</v>
      </c>
      <c r="AR29" s="92" t="s">
        <v>272</v>
      </c>
      <c r="AS29" s="92" t="s">
        <v>281</v>
      </c>
      <c r="AT29" s="101" t="n">
        <v>0</v>
      </c>
      <c r="AU29" s="101" t="n">
        <v>3510796.22</v>
      </c>
      <c r="AX29" s="92" t="s">
        <v>165</v>
      </c>
    </row>
    <row r="30" customFormat="false" ht="13.8" hidden="false" customHeight="false" outlineLevel="0" collapsed="false">
      <c r="A30" s="92" t="s">
        <v>142</v>
      </c>
      <c r="B30" s="92" t="s">
        <v>143</v>
      </c>
      <c r="C30" s="92" t="n">
        <v>45018260</v>
      </c>
      <c r="D30" s="92" t="s">
        <v>282</v>
      </c>
      <c r="E30" s="92" t="s">
        <v>233</v>
      </c>
      <c r="F30" s="92" t="s">
        <v>167</v>
      </c>
      <c r="G30" s="92" t="s">
        <v>147</v>
      </c>
      <c r="H30" s="92" t="s">
        <v>165</v>
      </c>
      <c r="I30" s="92" t="s">
        <v>283</v>
      </c>
      <c r="J30" s="92" t="s">
        <v>283</v>
      </c>
      <c r="K30" s="101" t="n">
        <v>110831.38</v>
      </c>
      <c r="L30" s="101" t="n">
        <f aca="false">K30-Q30+T30</f>
        <v>110831.38</v>
      </c>
      <c r="M30" s="92" t="s">
        <v>149</v>
      </c>
      <c r="N30" s="101" t="n">
        <v>110831.38</v>
      </c>
      <c r="O30" s="92" t="s">
        <v>149</v>
      </c>
      <c r="P30" s="101" t="n">
        <v>0</v>
      </c>
      <c r="Q30" s="101" t="n">
        <v>0</v>
      </c>
      <c r="R30" s="101" t="n">
        <v>110831.38</v>
      </c>
      <c r="S30" s="101" t="n">
        <v>0</v>
      </c>
      <c r="T30" s="101" t="n">
        <v>0</v>
      </c>
      <c r="U30" s="92" t="s">
        <v>192</v>
      </c>
      <c r="V30" s="92" t="s">
        <v>151</v>
      </c>
      <c r="Y30" s="92" t="s">
        <v>284</v>
      </c>
      <c r="Z30" s="92" t="s">
        <v>285</v>
      </c>
      <c r="AD30" s="92" t="s">
        <v>155</v>
      </c>
      <c r="AE30" s="92" t="s">
        <v>156</v>
      </c>
      <c r="AF30" s="92" t="s">
        <v>238</v>
      </c>
      <c r="AG30" s="92" t="s">
        <v>239</v>
      </c>
      <c r="AI30" s="92" t="s">
        <v>238</v>
      </c>
      <c r="AJ30" s="92" t="s">
        <v>239</v>
      </c>
      <c r="AK30" s="92" t="s">
        <v>159</v>
      </c>
      <c r="AL30" s="92" t="s">
        <v>240</v>
      </c>
      <c r="AM30" s="92" t="s">
        <v>161</v>
      </c>
      <c r="AP30" s="92" t="s">
        <v>285</v>
      </c>
      <c r="AQ30" s="92" t="s">
        <v>283</v>
      </c>
      <c r="AR30" s="92" t="s">
        <v>283</v>
      </c>
      <c r="AS30" s="92" t="s">
        <v>286</v>
      </c>
      <c r="AT30" s="101" t="n">
        <v>0</v>
      </c>
      <c r="AU30" s="101" t="n">
        <v>110831.38</v>
      </c>
      <c r="AX30" s="92" t="s">
        <v>165</v>
      </c>
    </row>
    <row r="31" customFormat="false" ht="13.8" hidden="false" customHeight="false" outlineLevel="0" collapsed="false">
      <c r="A31" s="92" t="s">
        <v>142</v>
      </c>
      <c r="B31" s="92" t="s">
        <v>143</v>
      </c>
      <c r="C31" s="92" t="n">
        <v>45019034</v>
      </c>
      <c r="D31" s="92" t="s">
        <v>287</v>
      </c>
      <c r="E31" s="92" t="s">
        <v>233</v>
      </c>
      <c r="F31" s="92" t="s">
        <v>278</v>
      </c>
      <c r="G31" s="92" t="s">
        <v>147</v>
      </c>
      <c r="H31" s="92" t="s">
        <v>165</v>
      </c>
      <c r="I31" s="92" t="s">
        <v>283</v>
      </c>
      <c r="J31" s="92" t="s">
        <v>283</v>
      </c>
      <c r="K31" s="101" t="n">
        <v>5355346.56</v>
      </c>
      <c r="L31" s="101" t="n">
        <f aca="false">K31-Q31+T31</f>
        <v>5355346.56</v>
      </c>
      <c r="M31" s="92" t="s">
        <v>149</v>
      </c>
      <c r="N31" s="101" t="n">
        <v>5355346.56</v>
      </c>
      <c r="O31" s="92" t="s">
        <v>149</v>
      </c>
      <c r="P31" s="101" t="n">
        <v>0</v>
      </c>
      <c r="Q31" s="101" t="n">
        <v>0</v>
      </c>
      <c r="R31" s="101" t="n">
        <v>5355346.56</v>
      </c>
      <c r="S31" s="101" t="n">
        <v>0</v>
      </c>
      <c r="T31" s="101" t="n">
        <v>0</v>
      </c>
      <c r="U31" s="92" t="s">
        <v>192</v>
      </c>
      <c r="V31" s="92" t="s">
        <v>151</v>
      </c>
      <c r="Y31" s="92" t="s">
        <v>288</v>
      </c>
      <c r="Z31" s="92" t="s">
        <v>289</v>
      </c>
      <c r="AD31" s="92" t="s">
        <v>155</v>
      </c>
      <c r="AE31" s="92" t="s">
        <v>156</v>
      </c>
      <c r="AF31" s="92" t="s">
        <v>238</v>
      </c>
      <c r="AG31" s="92" t="s">
        <v>239</v>
      </c>
      <c r="AI31" s="92" t="s">
        <v>238</v>
      </c>
      <c r="AJ31" s="92" t="s">
        <v>239</v>
      </c>
      <c r="AK31" s="92" t="s">
        <v>159</v>
      </c>
      <c r="AL31" s="92" t="s">
        <v>240</v>
      </c>
      <c r="AM31" s="92" t="s">
        <v>161</v>
      </c>
      <c r="AP31" s="92" t="s">
        <v>289</v>
      </c>
      <c r="AQ31" s="92" t="s">
        <v>283</v>
      </c>
      <c r="AR31" s="92" t="s">
        <v>283</v>
      </c>
      <c r="AS31" s="92" t="s">
        <v>290</v>
      </c>
      <c r="AT31" s="101" t="n">
        <v>0</v>
      </c>
      <c r="AU31" s="101" t="n">
        <v>5355346.56</v>
      </c>
      <c r="AX31" s="92" t="s">
        <v>165</v>
      </c>
    </row>
    <row r="32" customFormat="false" ht="13.8" hidden="false" customHeight="false" outlineLevel="0" collapsed="false">
      <c r="A32" s="92" t="s">
        <v>142</v>
      </c>
      <c r="B32" s="92" t="s">
        <v>143</v>
      </c>
      <c r="C32" s="92" t="n">
        <v>45020062</v>
      </c>
      <c r="D32" s="92" t="s">
        <v>291</v>
      </c>
      <c r="E32" s="92" t="s">
        <v>233</v>
      </c>
      <c r="F32" s="92" t="s">
        <v>167</v>
      </c>
      <c r="G32" s="92" t="s">
        <v>147</v>
      </c>
      <c r="H32" s="92" t="s">
        <v>165</v>
      </c>
      <c r="I32" s="92" t="s">
        <v>292</v>
      </c>
      <c r="J32" s="92" t="s">
        <v>292</v>
      </c>
      <c r="K32" s="101" t="n">
        <v>17967.86</v>
      </c>
      <c r="L32" s="101" t="n">
        <f aca="false">K32-Q32+T32</f>
        <v>17967.86</v>
      </c>
      <c r="M32" s="92" t="s">
        <v>149</v>
      </c>
      <c r="N32" s="101" t="n">
        <v>17967.86</v>
      </c>
      <c r="O32" s="92" t="s">
        <v>149</v>
      </c>
      <c r="P32" s="101" t="n">
        <v>0</v>
      </c>
      <c r="Q32" s="101" t="n">
        <v>0</v>
      </c>
      <c r="R32" s="101" t="n">
        <v>17967.86</v>
      </c>
      <c r="S32" s="101" t="n">
        <v>0</v>
      </c>
      <c r="T32" s="101" t="n">
        <v>0</v>
      </c>
      <c r="U32" s="92" t="s">
        <v>150</v>
      </c>
      <c r="V32" s="92" t="s">
        <v>151</v>
      </c>
      <c r="Y32" s="92" t="s">
        <v>293</v>
      </c>
      <c r="Z32" s="92" t="s">
        <v>294</v>
      </c>
      <c r="AD32" s="92" t="s">
        <v>155</v>
      </c>
      <c r="AE32" s="92" t="s">
        <v>156</v>
      </c>
      <c r="AF32" s="92" t="s">
        <v>238</v>
      </c>
      <c r="AG32" s="92" t="s">
        <v>239</v>
      </c>
      <c r="AI32" s="92" t="s">
        <v>238</v>
      </c>
      <c r="AJ32" s="92" t="s">
        <v>239</v>
      </c>
      <c r="AK32" s="92" t="s">
        <v>159</v>
      </c>
      <c r="AL32" s="92" t="s">
        <v>240</v>
      </c>
      <c r="AM32" s="92" t="s">
        <v>161</v>
      </c>
      <c r="AP32" s="92" t="s">
        <v>294</v>
      </c>
      <c r="AQ32" s="92" t="s">
        <v>292</v>
      </c>
      <c r="AR32" s="92" t="s">
        <v>292</v>
      </c>
      <c r="AS32" s="92" t="s">
        <v>295</v>
      </c>
      <c r="AT32" s="101" t="n">
        <v>0</v>
      </c>
      <c r="AU32" s="101" t="n">
        <v>17967.86</v>
      </c>
      <c r="AX32" s="92" t="s">
        <v>165</v>
      </c>
    </row>
    <row r="33" customFormat="false" ht="13.8" hidden="false" customHeight="false" outlineLevel="0" collapsed="false">
      <c r="A33" s="92" t="s">
        <v>142</v>
      </c>
      <c r="B33" s="92" t="s">
        <v>143</v>
      </c>
      <c r="C33" s="92" t="n">
        <v>45024071</v>
      </c>
      <c r="D33" s="92" t="s">
        <v>296</v>
      </c>
      <c r="E33" s="92" t="s">
        <v>233</v>
      </c>
      <c r="F33" s="92" t="s">
        <v>297</v>
      </c>
      <c r="G33" s="92" t="s">
        <v>147</v>
      </c>
      <c r="H33" s="92" t="s">
        <v>165</v>
      </c>
      <c r="I33" s="92" t="s">
        <v>298</v>
      </c>
      <c r="J33" s="92" t="s">
        <v>298</v>
      </c>
      <c r="K33" s="101" t="n">
        <v>2139050</v>
      </c>
      <c r="L33" s="101" t="n">
        <f aca="false">K33-Q33+T33</f>
        <v>2139050</v>
      </c>
      <c r="M33" s="92" t="s">
        <v>149</v>
      </c>
      <c r="N33" s="101" t="n">
        <v>2139050</v>
      </c>
      <c r="O33" s="92" t="s">
        <v>149</v>
      </c>
      <c r="P33" s="101" t="n">
        <v>0</v>
      </c>
      <c r="Q33" s="101" t="n">
        <v>0</v>
      </c>
      <c r="R33" s="101" t="n">
        <v>2139050</v>
      </c>
      <c r="S33" s="101" t="n">
        <v>0</v>
      </c>
      <c r="T33" s="101" t="n">
        <v>0</v>
      </c>
      <c r="U33" s="92" t="s">
        <v>192</v>
      </c>
      <c r="V33" s="92" t="s">
        <v>151</v>
      </c>
      <c r="Y33" s="92" t="s">
        <v>299</v>
      </c>
      <c r="Z33" s="92" t="s">
        <v>300</v>
      </c>
      <c r="AD33" s="92" t="s">
        <v>155</v>
      </c>
      <c r="AE33" s="92" t="s">
        <v>156</v>
      </c>
      <c r="AF33" s="92" t="s">
        <v>238</v>
      </c>
      <c r="AG33" s="92" t="s">
        <v>239</v>
      </c>
      <c r="AI33" s="92" t="s">
        <v>238</v>
      </c>
      <c r="AJ33" s="92" t="s">
        <v>239</v>
      </c>
      <c r="AK33" s="92" t="s">
        <v>159</v>
      </c>
      <c r="AL33" s="92" t="s">
        <v>240</v>
      </c>
      <c r="AM33" s="92" t="s">
        <v>161</v>
      </c>
      <c r="AP33" s="92" t="s">
        <v>300</v>
      </c>
      <c r="AQ33" s="92" t="s">
        <v>298</v>
      </c>
      <c r="AR33" s="92" t="s">
        <v>298</v>
      </c>
      <c r="AS33" s="92" t="s">
        <v>301</v>
      </c>
      <c r="AT33" s="101" t="n">
        <v>0</v>
      </c>
      <c r="AU33" s="101" t="n">
        <v>2139050</v>
      </c>
      <c r="AX33" s="92" t="s">
        <v>165</v>
      </c>
    </row>
    <row r="34" customFormat="false" ht="13.8" hidden="false" customHeight="false" outlineLevel="0" collapsed="false">
      <c r="A34" s="92" t="s">
        <v>142</v>
      </c>
      <c r="B34" s="92" t="s">
        <v>143</v>
      </c>
      <c r="C34" s="92" t="n">
        <v>45025854</v>
      </c>
      <c r="D34" s="92" t="s">
        <v>302</v>
      </c>
      <c r="E34" s="92" t="s">
        <v>233</v>
      </c>
      <c r="F34" s="92" t="s">
        <v>146</v>
      </c>
      <c r="G34" s="92" t="s">
        <v>147</v>
      </c>
      <c r="H34" s="92" t="s">
        <v>165</v>
      </c>
      <c r="I34" s="92" t="s">
        <v>303</v>
      </c>
      <c r="J34" s="92" t="s">
        <v>303</v>
      </c>
      <c r="K34" s="101" t="n">
        <v>4466620.63</v>
      </c>
      <c r="L34" s="101" t="n">
        <f aca="false">K34-Q34+T34</f>
        <v>4466620.63</v>
      </c>
      <c r="M34" s="92" t="s">
        <v>149</v>
      </c>
      <c r="N34" s="101" t="n">
        <v>4466620.63</v>
      </c>
      <c r="O34" s="92" t="s">
        <v>149</v>
      </c>
      <c r="P34" s="101" t="n">
        <v>0</v>
      </c>
      <c r="Q34" s="101" t="n">
        <v>0</v>
      </c>
      <c r="R34" s="101" t="n">
        <v>4466620.63</v>
      </c>
      <c r="S34" s="101" t="n">
        <v>0</v>
      </c>
      <c r="T34" s="101" t="n">
        <v>0</v>
      </c>
      <c r="U34" s="92" t="s">
        <v>150</v>
      </c>
      <c r="V34" s="92" t="s">
        <v>151</v>
      </c>
      <c r="Y34" s="92" t="s">
        <v>304</v>
      </c>
      <c r="Z34" s="92" t="s">
        <v>305</v>
      </c>
      <c r="AD34" s="92" t="s">
        <v>155</v>
      </c>
      <c r="AE34" s="92" t="s">
        <v>156</v>
      </c>
      <c r="AF34" s="92" t="s">
        <v>238</v>
      </c>
      <c r="AG34" s="92" t="s">
        <v>239</v>
      </c>
      <c r="AI34" s="92" t="s">
        <v>238</v>
      </c>
      <c r="AJ34" s="92" t="s">
        <v>239</v>
      </c>
      <c r="AK34" s="92" t="s">
        <v>159</v>
      </c>
      <c r="AL34" s="92" t="s">
        <v>240</v>
      </c>
      <c r="AM34" s="92" t="s">
        <v>161</v>
      </c>
      <c r="AP34" s="92" t="s">
        <v>305</v>
      </c>
      <c r="AQ34" s="92" t="s">
        <v>303</v>
      </c>
      <c r="AR34" s="92" t="s">
        <v>303</v>
      </c>
      <c r="AS34" s="92" t="s">
        <v>306</v>
      </c>
      <c r="AT34" s="101" t="n">
        <v>0</v>
      </c>
      <c r="AU34" s="101" t="n">
        <v>4466620.63</v>
      </c>
      <c r="AX34" s="92" t="s">
        <v>165</v>
      </c>
    </row>
    <row r="35" customFormat="false" ht="13.8" hidden="false" customHeight="false" outlineLevel="0" collapsed="false">
      <c r="A35" s="92" t="s">
        <v>142</v>
      </c>
      <c r="B35" s="92" t="s">
        <v>143</v>
      </c>
      <c r="C35" s="92" t="n">
        <v>45028294</v>
      </c>
      <c r="D35" s="92" t="s">
        <v>307</v>
      </c>
      <c r="E35" s="92" t="s">
        <v>233</v>
      </c>
      <c r="F35" s="92" t="s">
        <v>308</v>
      </c>
      <c r="G35" s="92" t="s">
        <v>147</v>
      </c>
      <c r="H35" s="92" t="s">
        <v>165</v>
      </c>
      <c r="I35" s="92" t="s">
        <v>309</v>
      </c>
      <c r="J35" s="92" t="s">
        <v>309</v>
      </c>
      <c r="K35" s="101" t="n">
        <v>214335.34</v>
      </c>
      <c r="L35" s="101" t="n">
        <f aca="false">K35-Q35+T35</f>
        <v>214335.34</v>
      </c>
      <c r="M35" s="92" t="s">
        <v>149</v>
      </c>
      <c r="N35" s="101" t="n">
        <v>214335.34</v>
      </c>
      <c r="O35" s="92" t="s">
        <v>149</v>
      </c>
      <c r="P35" s="101" t="n">
        <v>0</v>
      </c>
      <c r="Q35" s="101" t="n">
        <v>0</v>
      </c>
      <c r="R35" s="101" t="n">
        <v>214335.34</v>
      </c>
      <c r="S35" s="101" t="n">
        <v>0</v>
      </c>
      <c r="T35" s="101" t="n">
        <v>0</v>
      </c>
      <c r="U35" s="92" t="s">
        <v>150</v>
      </c>
      <c r="V35" s="92" t="s">
        <v>151</v>
      </c>
      <c r="Y35" s="92" t="s">
        <v>310</v>
      </c>
      <c r="Z35" s="92" t="s">
        <v>311</v>
      </c>
      <c r="AD35" s="92" t="s">
        <v>155</v>
      </c>
      <c r="AE35" s="92" t="s">
        <v>156</v>
      </c>
      <c r="AF35" s="92" t="s">
        <v>238</v>
      </c>
      <c r="AG35" s="92" t="s">
        <v>239</v>
      </c>
      <c r="AI35" s="92" t="s">
        <v>238</v>
      </c>
      <c r="AJ35" s="92" t="s">
        <v>239</v>
      </c>
      <c r="AK35" s="92" t="s">
        <v>159</v>
      </c>
      <c r="AL35" s="92" t="s">
        <v>240</v>
      </c>
      <c r="AM35" s="92" t="s">
        <v>161</v>
      </c>
      <c r="AP35" s="92" t="s">
        <v>311</v>
      </c>
      <c r="AQ35" s="92" t="s">
        <v>309</v>
      </c>
      <c r="AR35" s="92" t="s">
        <v>309</v>
      </c>
      <c r="AS35" s="92" t="s">
        <v>312</v>
      </c>
      <c r="AT35" s="101" t="n">
        <v>0</v>
      </c>
      <c r="AU35" s="101" t="n">
        <v>214335.34</v>
      </c>
      <c r="AX35" s="92" t="s">
        <v>165</v>
      </c>
    </row>
    <row r="36" customFormat="false" ht="13.8" hidden="false" customHeight="false" outlineLevel="0" collapsed="false">
      <c r="A36" s="92" t="s">
        <v>142</v>
      </c>
      <c r="B36" s="92" t="s">
        <v>143</v>
      </c>
      <c r="C36" s="92" t="n">
        <v>45036233</v>
      </c>
      <c r="D36" s="92" t="s">
        <v>313</v>
      </c>
      <c r="E36" s="92" t="s">
        <v>233</v>
      </c>
      <c r="F36" s="92" t="s">
        <v>167</v>
      </c>
      <c r="G36" s="92" t="s">
        <v>147</v>
      </c>
      <c r="H36" s="92" t="s">
        <v>220</v>
      </c>
      <c r="I36" s="92" t="s">
        <v>314</v>
      </c>
      <c r="J36" s="92" t="s">
        <v>314</v>
      </c>
      <c r="K36" s="101" t="n">
        <v>321598.09</v>
      </c>
      <c r="L36" s="101" t="n">
        <f aca="false">K36-Q36+T36</f>
        <v>321598.09</v>
      </c>
      <c r="M36" s="92" t="s">
        <v>149</v>
      </c>
      <c r="N36" s="101" t="n">
        <v>321598.09</v>
      </c>
      <c r="O36" s="92" t="s">
        <v>149</v>
      </c>
      <c r="P36" s="101" t="n">
        <v>0</v>
      </c>
      <c r="Q36" s="101" t="n">
        <v>0</v>
      </c>
      <c r="R36" s="101" t="n">
        <v>321598.09</v>
      </c>
      <c r="S36" s="101" t="n">
        <v>0</v>
      </c>
      <c r="T36" s="101" t="n">
        <v>0</v>
      </c>
      <c r="U36" s="92" t="s">
        <v>192</v>
      </c>
      <c r="V36" s="92" t="s">
        <v>151</v>
      </c>
      <c r="Y36" s="92" t="s">
        <v>315</v>
      </c>
      <c r="Z36" s="92" t="s">
        <v>316</v>
      </c>
      <c r="AD36" s="92" t="s">
        <v>155</v>
      </c>
      <c r="AE36" s="92" t="s">
        <v>156</v>
      </c>
      <c r="AF36" s="92" t="s">
        <v>238</v>
      </c>
      <c r="AG36" s="92" t="s">
        <v>239</v>
      </c>
      <c r="AI36" s="92" t="s">
        <v>238</v>
      </c>
      <c r="AJ36" s="92" t="s">
        <v>239</v>
      </c>
      <c r="AK36" s="92" t="s">
        <v>159</v>
      </c>
      <c r="AL36" s="92" t="s">
        <v>240</v>
      </c>
      <c r="AM36" s="92" t="s">
        <v>161</v>
      </c>
      <c r="AP36" s="92" t="s">
        <v>316</v>
      </c>
      <c r="AQ36" s="92" t="s">
        <v>314</v>
      </c>
      <c r="AR36" s="92" t="s">
        <v>314</v>
      </c>
      <c r="AS36" s="92" t="s">
        <v>317</v>
      </c>
      <c r="AT36" s="101" t="n">
        <v>0</v>
      </c>
      <c r="AU36" s="101" t="n">
        <v>321598.09</v>
      </c>
      <c r="AX36" s="92" t="s">
        <v>148</v>
      </c>
    </row>
    <row r="37" customFormat="false" ht="13.8" hidden="false" customHeight="false" outlineLevel="0" collapsed="false">
      <c r="A37" s="92" t="s">
        <v>142</v>
      </c>
      <c r="B37" s="92" t="s">
        <v>143</v>
      </c>
      <c r="C37" s="92" t="n">
        <v>45036233</v>
      </c>
      <c r="D37" s="92" t="s">
        <v>313</v>
      </c>
      <c r="E37" s="92" t="s">
        <v>233</v>
      </c>
      <c r="F37" s="92" t="s">
        <v>167</v>
      </c>
      <c r="G37" s="92" t="s">
        <v>147</v>
      </c>
      <c r="H37" s="92" t="s">
        <v>220</v>
      </c>
      <c r="I37" s="92" t="s">
        <v>314</v>
      </c>
      <c r="J37" s="92" t="s">
        <v>314</v>
      </c>
      <c r="K37" s="101" t="n">
        <v>493957.76</v>
      </c>
      <c r="L37" s="101" t="n">
        <f aca="false">K37-Q37+T37</f>
        <v>493957.76</v>
      </c>
      <c r="M37" s="92" t="s">
        <v>149</v>
      </c>
      <c r="N37" s="101" t="n">
        <v>493957.76</v>
      </c>
      <c r="O37" s="92" t="s">
        <v>149</v>
      </c>
      <c r="P37" s="101" t="n">
        <v>0</v>
      </c>
      <c r="Q37" s="101" t="n">
        <v>0</v>
      </c>
      <c r="R37" s="101" t="n">
        <v>493957.76</v>
      </c>
      <c r="S37" s="101" t="n">
        <v>0</v>
      </c>
      <c r="T37" s="101" t="n">
        <v>0</v>
      </c>
      <c r="U37" s="92" t="s">
        <v>192</v>
      </c>
      <c r="V37" s="92" t="s">
        <v>151</v>
      </c>
      <c r="Y37" s="92" t="s">
        <v>315</v>
      </c>
      <c r="Z37" s="92" t="s">
        <v>316</v>
      </c>
      <c r="AD37" s="92" t="s">
        <v>155</v>
      </c>
      <c r="AE37" s="92" t="s">
        <v>156</v>
      </c>
      <c r="AF37" s="92" t="s">
        <v>238</v>
      </c>
      <c r="AG37" s="92" t="s">
        <v>239</v>
      </c>
      <c r="AI37" s="92" t="s">
        <v>238</v>
      </c>
      <c r="AJ37" s="92" t="s">
        <v>239</v>
      </c>
      <c r="AK37" s="92" t="s">
        <v>159</v>
      </c>
      <c r="AL37" s="92" t="s">
        <v>240</v>
      </c>
      <c r="AM37" s="92" t="s">
        <v>161</v>
      </c>
      <c r="AP37" s="92" t="s">
        <v>316</v>
      </c>
      <c r="AQ37" s="92" t="s">
        <v>314</v>
      </c>
      <c r="AR37" s="92" t="s">
        <v>314</v>
      </c>
      <c r="AS37" s="92" t="s">
        <v>317</v>
      </c>
      <c r="AT37" s="101" t="n">
        <v>0</v>
      </c>
      <c r="AU37" s="101" t="n">
        <v>493957.76</v>
      </c>
      <c r="AX37" s="92" t="s">
        <v>165</v>
      </c>
    </row>
    <row r="38" customFormat="false" ht="13.8" hidden="false" customHeight="false" outlineLevel="0" collapsed="false">
      <c r="A38" s="92" t="s">
        <v>142</v>
      </c>
      <c r="B38" s="92" t="s">
        <v>143</v>
      </c>
      <c r="C38" s="92" t="n">
        <v>45036233</v>
      </c>
      <c r="D38" s="92" t="s">
        <v>313</v>
      </c>
      <c r="E38" s="92" t="s">
        <v>233</v>
      </c>
      <c r="F38" s="92" t="s">
        <v>167</v>
      </c>
      <c r="G38" s="92" t="s">
        <v>147</v>
      </c>
      <c r="H38" s="92" t="s">
        <v>220</v>
      </c>
      <c r="I38" s="92" t="s">
        <v>314</v>
      </c>
      <c r="J38" s="92" t="s">
        <v>314</v>
      </c>
      <c r="K38" s="101" t="n">
        <v>752816.43</v>
      </c>
      <c r="L38" s="101" t="n">
        <f aca="false">K38-Q38+T38</f>
        <v>752816.43</v>
      </c>
      <c r="M38" s="92" t="s">
        <v>149</v>
      </c>
      <c r="N38" s="101" t="n">
        <v>752816.43</v>
      </c>
      <c r="O38" s="92" t="s">
        <v>149</v>
      </c>
      <c r="P38" s="101" t="n">
        <v>0</v>
      </c>
      <c r="Q38" s="101" t="n">
        <v>0</v>
      </c>
      <c r="R38" s="101" t="n">
        <v>752816.43</v>
      </c>
      <c r="S38" s="101" t="n">
        <v>0</v>
      </c>
      <c r="T38" s="101" t="n">
        <v>0</v>
      </c>
      <c r="U38" s="92" t="s">
        <v>192</v>
      </c>
      <c r="V38" s="92" t="s">
        <v>151</v>
      </c>
      <c r="Y38" s="92" t="s">
        <v>315</v>
      </c>
      <c r="Z38" s="92" t="s">
        <v>316</v>
      </c>
      <c r="AD38" s="92" t="s">
        <v>155</v>
      </c>
      <c r="AE38" s="92" t="s">
        <v>156</v>
      </c>
      <c r="AF38" s="92" t="s">
        <v>238</v>
      </c>
      <c r="AG38" s="92" t="s">
        <v>239</v>
      </c>
      <c r="AI38" s="92" t="s">
        <v>238</v>
      </c>
      <c r="AJ38" s="92" t="s">
        <v>239</v>
      </c>
      <c r="AK38" s="92" t="s">
        <v>159</v>
      </c>
      <c r="AL38" s="92" t="s">
        <v>240</v>
      </c>
      <c r="AM38" s="92" t="s">
        <v>161</v>
      </c>
      <c r="AP38" s="92" t="s">
        <v>316</v>
      </c>
      <c r="AQ38" s="92" t="s">
        <v>314</v>
      </c>
      <c r="AR38" s="92" t="s">
        <v>314</v>
      </c>
      <c r="AS38" s="92" t="s">
        <v>317</v>
      </c>
      <c r="AT38" s="101" t="n">
        <v>0</v>
      </c>
      <c r="AU38" s="101" t="n">
        <v>752816.43</v>
      </c>
      <c r="AX38" s="92" t="s">
        <v>220</v>
      </c>
    </row>
    <row r="39" customFormat="false" ht="13.8" hidden="false" customHeight="false" outlineLevel="0" collapsed="false">
      <c r="A39" s="92" t="s">
        <v>142</v>
      </c>
      <c r="B39" s="92" t="s">
        <v>143</v>
      </c>
      <c r="C39" s="92" t="n">
        <v>45039858</v>
      </c>
      <c r="D39" s="92" t="s">
        <v>318</v>
      </c>
      <c r="E39" s="92" t="s">
        <v>233</v>
      </c>
      <c r="F39" s="92" t="s">
        <v>167</v>
      </c>
      <c r="G39" s="92" t="s">
        <v>147</v>
      </c>
      <c r="H39" s="92" t="s">
        <v>220</v>
      </c>
      <c r="I39" s="92" t="s">
        <v>319</v>
      </c>
      <c r="J39" s="92" t="s">
        <v>319</v>
      </c>
      <c r="K39" s="101" t="n">
        <v>22125.41</v>
      </c>
      <c r="L39" s="101" t="n">
        <f aca="false">K39-Q39+T39</f>
        <v>22125.41</v>
      </c>
      <c r="M39" s="92" t="s">
        <v>149</v>
      </c>
      <c r="N39" s="101" t="n">
        <v>22125.41</v>
      </c>
      <c r="O39" s="92" t="s">
        <v>149</v>
      </c>
      <c r="P39" s="101" t="n">
        <v>0</v>
      </c>
      <c r="Q39" s="101" t="n">
        <v>0</v>
      </c>
      <c r="R39" s="101" t="n">
        <v>22125.41</v>
      </c>
      <c r="S39" s="101" t="n">
        <v>0</v>
      </c>
      <c r="T39" s="101" t="n">
        <v>0</v>
      </c>
      <c r="U39" s="92" t="s">
        <v>150</v>
      </c>
      <c r="V39" s="92" t="s">
        <v>151</v>
      </c>
      <c r="Y39" s="92" t="s">
        <v>320</v>
      </c>
      <c r="Z39" s="92" t="s">
        <v>321</v>
      </c>
      <c r="AD39" s="92" t="s">
        <v>155</v>
      </c>
      <c r="AE39" s="92" t="s">
        <v>156</v>
      </c>
      <c r="AF39" s="92" t="s">
        <v>238</v>
      </c>
      <c r="AG39" s="92" t="s">
        <v>239</v>
      </c>
      <c r="AI39" s="92" t="s">
        <v>238</v>
      </c>
      <c r="AJ39" s="92" t="s">
        <v>239</v>
      </c>
      <c r="AK39" s="92" t="s">
        <v>159</v>
      </c>
      <c r="AL39" s="92" t="s">
        <v>240</v>
      </c>
      <c r="AM39" s="92" t="s">
        <v>161</v>
      </c>
      <c r="AP39" s="92" t="s">
        <v>321</v>
      </c>
      <c r="AQ39" s="92" t="s">
        <v>319</v>
      </c>
      <c r="AR39" s="92" t="s">
        <v>319</v>
      </c>
      <c r="AS39" s="92" t="s">
        <v>322</v>
      </c>
      <c r="AT39" s="101" t="n">
        <v>0</v>
      </c>
      <c r="AU39" s="101" t="n">
        <v>22125.41</v>
      </c>
      <c r="AX39" s="92" t="s">
        <v>165</v>
      </c>
    </row>
    <row r="40" customFormat="false" ht="13.8" hidden="false" customHeight="false" outlineLevel="0" collapsed="false">
      <c r="A40" s="92" t="s">
        <v>142</v>
      </c>
      <c r="B40" s="92" t="s">
        <v>143</v>
      </c>
      <c r="C40" s="92" t="n">
        <v>45041132</v>
      </c>
      <c r="D40" s="92" t="s">
        <v>323</v>
      </c>
      <c r="E40" s="92" t="s">
        <v>233</v>
      </c>
      <c r="F40" s="92" t="s">
        <v>167</v>
      </c>
      <c r="G40" s="92" t="s">
        <v>147</v>
      </c>
      <c r="H40" s="92" t="s">
        <v>220</v>
      </c>
      <c r="I40" s="92" t="s">
        <v>324</v>
      </c>
      <c r="J40" s="92" t="s">
        <v>324</v>
      </c>
      <c r="K40" s="101" t="n">
        <v>165299.87</v>
      </c>
      <c r="L40" s="101" t="n">
        <f aca="false">K40-Q40+T40</f>
        <v>165299.87</v>
      </c>
      <c r="M40" s="92" t="s">
        <v>149</v>
      </c>
      <c r="N40" s="101" t="n">
        <v>165299.87</v>
      </c>
      <c r="O40" s="92" t="s">
        <v>149</v>
      </c>
      <c r="P40" s="101" t="n">
        <v>0</v>
      </c>
      <c r="Q40" s="101" t="n">
        <v>0</v>
      </c>
      <c r="R40" s="101" t="n">
        <v>165299.87</v>
      </c>
      <c r="S40" s="101" t="n">
        <v>0</v>
      </c>
      <c r="T40" s="101" t="n">
        <v>0</v>
      </c>
      <c r="U40" s="92" t="s">
        <v>192</v>
      </c>
      <c r="V40" s="92" t="s">
        <v>151</v>
      </c>
      <c r="Y40" s="92" t="s">
        <v>325</v>
      </c>
      <c r="Z40" s="92" t="s">
        <v>326</v>
      </c>
      <c r="AD40" s="92" t="s">
        <v>155</v>
      </c>
      <c r="AE40" s="92" t="s">
        <v>156</v>
      </c>
      <c r="AF40" s="92" t="s">
        <v>238</v>
      </c>
      <c r="AG40" s="92" t="s">
        <v>239</v>
      </c>
      <c r="AI40" s="92" t="s">
        <v>238</v>
      </c>
      <c r="AJ40" s="92" t="s">
        <v>239</v>
      </c>
      <c r="AK40" s="92" t="s">
        <v>159</v>
      </c>
      <c r="AL40" s="92" t="s">
        <v>240</v>
      </c>
      <c r="AM40" s="92" t="s">
        <v>161</v>
      </c>
      <c r="AP40" s="92" t="s">
        <v>326</v>
      </c>
      <c r="AQ40" s="92" t="s">
        <v>324</v>
      </c>
      <c r="AR40" s="92" t="s">
        <v>324</v>
      </c>
      <c r="AS40" s="92" t="s">
        <v>327</v>
      </c>
      <c r="AT40" s="101" t="n">
        <v>0</v>
      </c>
      <c r="AU40" s="101" t="n">
        <v>165299.87</v>
      </c>
      <c r="AX40" s="92" t="s">
        <v>165</v>
      </c>
    </row>
    <row r="41" customFormat="false" ht="13.8" hidden="false" customHeight="false" outlineLevel="0" collapsed="false">
      <c r="A41" s="92" t="s">
        <v>142</v>
      </c>
      <c r="B41" s="92" t="s">
        <v>143</v>
      </c>
      <c r="C41" s="92" t="n">
        <v>45041132</v>
      </c>
      <c r="D41" s="92" t="s">
        <v>323</v>
      </c>
      <c r="E41" s="92" t="s">
        <v>233</v>
      </c>
      <c r="F41" s="92" t="s">
        <v>167</v>
      </c>
      <c r="G41" s="92" t="s">
        <v>147</v>
      </c>
      <c r="H41" s="92" t="s">
        <v>220</v>
      </c>
      <c r="I41" s="92" t="s">
        <v>324</v>
      </c>
      <c r="J41" s="92" t="s">
        <v>324</v>
      </c>
      <c r="K41" s="101" t="n">
        <v>214989.02</v>
      </c>
      <c r="L41" s="101" t="n">
        <f aca="false">K41-Q41+T41</f>
        <v>214989.02</v>
      </c>
      <c r="M41" s="92" t="s">
        <v>149</v>
      </c>
      <c r="N41" s="101" t="n">
        <v>214989.02</v>
      </c>
      <c r="O41" s="92" t="s">
        <v>149</v>
      </c>
      <c r="P41" s="101" t="n">
        <v>0</v>
      </c>
      <c r="Q41" s="101" t="n">
        <v>0</v>
      </c>
      <c r="R41" s="101" t="n">
        <v>214989.02</v>
      </c>
      <c r="S41" s="101" t="n">
        <v>0</v>
      </c>
      <c r="T41" s="101" t="n">
        <v>0</v>
      </c>
      <c r="U41" s="92" t="s">
        <v>192</v>
      </c>
      <c r="V41" s="92" t="s">
        <v>151</v>
      </c>
      <c r="Y41" s="92" t="s">
        <v>325</v>
      </c>
      <c r="Z41" s="92" t="s">
        <v>326</v>
      </c>
      <c r="AD41" s="92" t="s">
        <v>155</v>
      </c>
      <c r="AE41" s="92" t="s">
        <v>156</v>
      </c>
      <c r="AF41" s="92" t="s">
        <v>238</v>
      </c>
      <c r="AG41" s="92" t="s">
        <v>239</v>
      </c>
      <c r="AI41" s="92" t="s">
        <v>238</v>
      </c>
      <c r="AJ41" s="92" t="s">
        <v>239</v>
      </c>
      <c r="AK41" s="92" t="s">
        <v>159</v>
      </c>
      <c r="AL41" s="92" t="s">
        <v>240</v>
      </c>
      <c r="AM41" s="92" t="s">
        <v>161</v>
      </c>
      <c r="AP41" s="92" t="s">
        <v>326</v>
      </c>
      <c r="AQ41" s="92" t="s">
        <v>324</v>
      </c>
      <c r="AR41" s="92" t="s">
        <v>324</v>
      </c>
      <c r="AS41" s="92" t="s">
        <v>327</v>
      </c>
      <c r="AT41" s="101" t="n">
        <v>0</v>
      </c>
      <c r="AU41" s="101" t="n">
        <v>214989.02</v>
      </c>
      <c r="AX41" s="92" t="s">
        <v>220</v>
      </c>
    </row>
    <row r="42" customFormat="false" ht="13.8" hidden="false" customHeight="false" outlineLevel="0" collapsed="false">
      <c r="A42" s="92" t="s">
        <v>142</v>
      </c>
      <c r="B42" s="92" t="s">
        <v>143</v>
      </c>
      <c r="C42" s="92" t="n">
        <v>45046600</v>
      </c>
      <c r="D42" s="92" t="s">
        <v>328</v>
      </c>
      <c r="E42" s="92" t="s">
        <v>233</v>
      </c>
      <c r="F42" s="92" t="s">
        <v>167</v>
      </c>
      <c r="G42" s="92" t="s">
        <v>147</v>
      </c>
      <c r="H42" s="92" t="s">
        <v>220</v>
      </c>
      <c r="I42" s="92" t="s">
        <v>329</v>
      </c>
      <c r="J42" s="92" t="s">
        <v>329</v>
      </c>
      <c r="K42" s="101" t="n">
        <v>6618223.05</v>
      </c>
      <c r="L42" s="101" t="n">
        <f aca="false">K42-Q42+T42</f>
        <v>6618223.05</v>
      </c>
      <c r="M42" s="92" t="s">
        <v>149</v>
      </c>
      <c r="N42" s="101" t="n">
        <v>6618223.05</v>
      </c>
      <c r="O42" s="92" t="s">
        <v>149</v>
      </c>
      <c r="P42" s="101" t="n">
        <v>0</v>
      </c>
      <c r="Q42" s="101" t="n">
        <v>0</v>
      </c>
      <c r="R42" s="101" t="n">
        <v>6618223.05</v>
      </c>
      <c r="S42" s="101" t="n">
        <v>0</v>
      </c>
      <c r="T42" s="101" t="n">
        <v>0</v>
      </c>
      <c r="U42" s="92" t="s">
        <v>192</v>
      </c>
      <c r="V42" s="92" t="s">
        <v>151</v>
      </c>
      <c r="Y42" s="92" t="s">
        <v>330</v>
      </c>
      <c r="Z42" s="92" t="s">
        <v>331</v>
      </c>
      <c r="AD42" s="92" t="s">
        <v>155</v>
      </c>
      <c r="AE42" s="92" t="s">
        <v>156</v>
      </c>
      <c r="AF42" s="92" t="s">
        <v>238</v>
      </c>
      <c r="AG42" s="92" t="s">
        <v>239</v>
      </c>
      <c r="AI42" s="92" t="s">
        <v>238</v>
      </c>
      <c r="AJ42" s="92" t="s">
        <v>239</v>
      </c>
      <c r="AK42" s="92" t="s">
        <v>159</v>
      </c>
      <c r="AL42" s="92" t="s">
        <v>240</v>
      </c>
      <c r="AM42" s="92" t="s">
        <v>161</v>
      </c>
      <c r="AP42" s="92" t="s">
        <v>331</v>
      </c>
      <c r="AQ42" s="92" t="s">
        <v>329</v>
      </c>
      <c r="AR42" s="92" t="s">
        <v>329</v>
      </c>
      <c r="AS42" s="92" t="s">
        <v>332</v>
      </c>
      <c r="AT42" s="101" t="n">
        <v>0</v>
      </c>
      <c r="AU42" s="101" t="n">
        <v>6618223.05</v>
      </c>
      <c r="AX42" s="92" t="s">
        <v>220</v>
      </c>
    </row>
    <row r="43" s="102" customFormat="true" ht="13.8" hidden="false" customHeight="false" outlineLevel="0" collapsed="false">
      <c r="A43" s="102" t="s">
        <v>142</v>
      </c>
      <c r="B43" s="102" t="s">
        <v>143</v>
      </c>
      <c r="C43" s="102" t="n">
        <v>45046600</v>
      </c>
      <c r="D43" s="102" t="s">
        <v>328</v>
      </c>
      <c r="E43" s="102" t="s">
        <v>233</v>
      </c>
      <c r="F43" s="92" t="s">
        <v>333</v>
      </c>
      <c r="G43" s="92" t="s">
        <v>147</v>
      </c>
      <c r="H43" s="92" t="s">
        <v>220</v>
      </c>
      <c r="I43" s="102" t="s">
        <v>329</v>
      </c>
      <c r="J43" s="102" t="s">
        <v>329</v>
      </c>
      <c r="K43" s="103" t="n">
        <v>1505680</v>
      </c>
      <c r="L43" s="103" t="n">
        <f aca="false">K43-Q43+T43</f>
        <v>1505680</v>
      </c>
      <c r="M43" s="92" t="s">
        <v>149</v>
      </c>
      <c r="N43" s="101" t="n">
        <v>1505680</v>
      </c>
      <c r="O43" s="92" t="s">
        <v>149</v>
      </c>
      <c r="P43" s="101" t="n">
        <v>0</v>
      </c>
      <c r="Q43" s="103" t="n">
        <v>0</v>
      </c>
      <c r="R43" s="103" t="n">
        <v>1505680</v>
      </c>
      <c r="S43" s="103" t="n">
        <v>0</v>
      </c>
      <c r="T43" s="103" t="n">
        <v>0</v>
      </c>
      <c r="U43" s="102" t="s">
        <v>192</v>
      </c>
      <c r="V43" s="102" t="s">
        <v>151</v>
      </c>
      <c r="Y43" s="102" t="s">
        <v>330</v>
      </c>
      <c r="Z43" s="102" t="s">
        <v>331</v>
      </c>
      <c r="AD43" s="102" t="s">
        <v>155</v>
      </c>
      <c r="AE43" s="102" t="s">
        <v>156</v>
      </c>
      <c r="AF43" s="102" t="s">
        <v>238</v>
      </c>
      <c r="AG43" s="102" t="s">
        <v>239</v>
      </c>
      <c r="AI43" s="102" t="s">
        <v>238</v>
      </c>
      <c r="AJ43" s="102" t="s">
        <v>239</v>
      </c>
      <c r="AK43" s="102" t="s">
        <v>159</v>
      </c>
      <c r="AL43" s="102" t="s">
        <v>240</v>
      </c>
      <c r="AM43" s="102" t="s">
        <v>161</v>
      </c>
      <c r="AP43" s="102" t="s">
        <v>331</v>
      </c>
      <c r="AQ43" s="102" t="s">
        <v>329</v>
      </c>
      <c r="AR43" s="102" t="s">
        <v>329</v>
      </c>
      <c r="AS43" s="102" t="s">
        <v>332</v>
      </c>
      <c r="AT43" s="103" t="n">
        <v>0</v>
      </c>
      <c r="AU43" s="103" t="n">
        <v>1505680</v>
      </c>
      <c r="AX43" s="102" t="s">
        <v>165</v>
      </c>
      <c r="AMH43" s="0"/>
      <c r="AMI43" s="0"/>
      <c r="AMJ43" s="0"/>
    </row>
    <row r="44" customFormat="false" ht="13.8" hidden="false" customHeight="false" outlineLevel="0" collapsed="false">
      <c r="A44" s="92" t="s">
        <v>142</v>
      </c>
      <c r="B44" s="92" t="s">
        <v>143</v>
      </c>
      <c r="C44" s="92" t="n">
        <v>45046601</v>
      </c>
      <c r="D44" s="92" t="s">
        <v>334</v>
      </c>
      <c r="E44" s="92" t="s">
        <v>233</v>
      </c>
      <c r="F44" s="92" t="s">
        <v>167</v>
      </c>
      <c r="G44" s="92" t="s">
        <v>147</v>
      </c>
      <c r="H44" s="92" t="s">
        <v>220</v>
      </c>
      <c r="I44" s="92" t="s">
        <v>329</v>
      </c>
      <c r="J44" s="92" t="s">
        <v>329</v>
      </c>
      <c r="K44" s="101" t="n">
        <v>121118.98</v>
      </c>
      <c r="L44" s="101" t="n">
        <f aca="false">K44-Q44+T44</f>
        <v>121118.98</v>
      </c>
      <c r="M44" s="92" t="s">
        <v>149</v>
      </c>
      <c r="N44" s="101" t="n">
        <v>121118.98</v>
      </c>
      <c r="O44" s="92" t="s">
        <v>149</v>
      </c>
      <c r="P44" s="101" t="n">
        <v>0</v>
      </c>
      <c r="Q44" s="101" t="n">
        <v>0</v>
      </c>
      <c r="R44" s="101" t="n">
        <v>121118.98</v>
      </c>
      <c r="S44" s="101" t="n">
        <v>0</v>
      </c>
      <c r="T44" s="101" t="n">
        <v>0</v>
      </c>
      <c r="U44" s="92" t="s">
        <v>150</v>
      </c>
      <c r="V44" s="92" t="s">
        <v>151</v>
      </c>
      <c r="Y44" s="92" t="s">
        <v>330</v>
      </c>
      <c r="Z44" s="92" t="s">
        <v>335</v>
      </c>
      <c r="AD44" s="92" t="s">
        <v>155</v>
      </c>
      <c r="AE44" s="92" t="s">
        <v>156</v>
      </c>
      <c r="AF44" s="92" t="s">
        <v>238</v>
      </c>
      <c r="AG44" s="92" t="s">
        <v>239</v>
      </c>
      <c r="AI44" s="92" t="s">
        <v>238</v>
      </c>
      <c r="AJ44" s="92" t="s">
        <v>239</v>
      </c>
      <c r="AK44" s="92" t="s">
        <v>159</v>
      </c>
      <c r="AL44" s="92" t="s">
        <v>240</v>
      </c>
      <c r="AM44" s="92" t="s">
        <v>161</v>
      </c>
      <c r="AP44" s="92" t="s">
        <v>335</v>
      </c>
      <c r="AQ44" s="92" t="s">
        <v>329</v>
      </c>
      <c r="AR44" s="92" t="s">
        <v>329</v>
      </c>
      <c r="AS44" s="92" t="s">
        <v>332</v>
      </c>
      <c r="AT44" s="101" t="n">
        <v>0</v>
      </c>
      <c r="AU44" s="101" t="n">
        <v>121118.98</v>
      </c>
      <c r="AX44" s="92" t="s">
        <v>165</v>
      </c>
    </row>
    <row r="45" customFormat="false" ht="13.8" hidden="false" customHeight="false" outlineLevel="0" collapsed="false">
      <c r="A45" s="92" t="s">
        <v>142</v>
      </c>
      <c r="B45" s="92" t="s">
        <v>143</v>
      </c>
      <c r="C45" s="92" t="n">
        <v>45047801</v>
      </c>
      <c r="D45" s="92" t="s">
        <v>336</v>
      </c>
      <c r="E45" s="92" t="s">
        <v>233</v>
      </c>
      <c r="F45" s="92" t="s">
        <v>146</v>
      </c>
      <c r="G45" s="92" t="s">
        <v>147</v>
      </c>
      <c r="H45" s="92" t="s">
        <v>220</v>
      </c>
      <c r="I45" s="92" t="s">
        <v>337</v>
      </c>
      <c r="J45" s="92" t="s">
        <v>337</v>
      </c>
      <c r="K45" s="101" t="n">
        <v>236918.2</v>
      </c>
      <c r="L45" s="101" t="n">
        <f aca="false">K45-Q45+T45</f>
        <v>236918.2</v>
      </c>
      <c r="M45" s="92" t="s">
        <v>149</v>
      </c>
      <c r="N45" s="101" t="n">
        <v>236918.2</v>
      </c>
      <c r="O45" s="92" t="s">
        <v>149</v>
      </c>
      <c r="P45" s="101" t="n">
        <v>0</v>
      </c>
      <c r="Q45" s="101" t="n">
        <v>0</v>
      </c>
      <c r="R45" s="101" t="n">
        <v>236918.2</v>
      </c>
      <c r="S45" s="101" t="n">
        <v>0</v>
      </c>
      <c r="T45" s="101" t="n">
        <v>0</v>
      </c>
      <c r="U45" s="92" t="s">
        <v>150</v>
      </c>
      <c r="V45" s="92" t="s">
        <v>151</v>
      </c>
      <c r="Y45" s="92" t="s">
        <v>338</v>
      </c>
      <c r="Z45" s="92" t="s">
        <v>339</v>
      </c>
      <c r="AD45" s="92" t="s">
        <v>155</v>
      </c>
      <c r="AE45" s="92" t="s">
        <v>156</v>
      </c>
      <c r="AF45" s="92" t="s">
        <v>238</v>
      </c>
      <c r="AG45" s="92" t="s">
        <v>239</v>
      </c>
      <c r="AI45" s="92" t="s">
        <v>238</v>
      </c>
      <c r="AJ45" s="92" t="s">
        <v>239</v>
      </c>
      <c r="AK45" s="92" t="s">
        <v>159</v>
      </c>
      <c r="AL45" s="92" t="s">
        <v>240</v>
      </c>
      <c r="AM45" s="92" t="s">
        <v>161</v>
      </c>
      <c r="AP45" s="92" t="s">
        <v>339</v>
      </c>
      <c r="AQ45" s="92" t="s">
        <v>337</v>
      </c>
      <c r="AR45" s="92" t="s">
        <v>337</v>
      </c>
      <c r="AS45" s="92" t="s">
        <v>340</v>
      </c>
      <c r="AT45" s="101" t="n">
        <v>0</v>
      </c>
      <c r="AU45" s="101" t="n">
        <v>236918.2</v>
      </c>
      <c r="AX45" s="92" t="s">
        <v>165</v>
      </c>
    </row>
    <row r="46" customFormat="false" ht="13.8" hidden="false" customHeight="false" outlineLevel="0" collapsed="false">
      <c r="A46" s="92" t="s">
        <v>142</v>
      </c>
      <c r="B46" s="92" t="s">
        <v>143</v>
      </c>
      <c r="C46" s="92" t="n">
        <v>45049791</v>
      </c>
      <c r="D46" s="92" t="s">
        <v>341</v>
      </c>
      <c r="E46" s="92" t="s">
        <v>233</v>
      </c>
      <c r="F46" s="92" t="s">
        <v>167</v>
      </c>
      <c r="G46" s="92" t="s">
        <v>147</v>
      </c>
      <c r="H46" s="92" t="s">
        <v>220</v>
      </c>
      <c r="I46" s="92" t="s">
        <v>342</v>
      </c>
      <c r="J46" s="92" t="s">
        <v>342</v>
      </c>
      <c r="K46" s="101" t="n">
        <v>4109350</v>
      </c>
      <c r="L46" s="101" t="n">
        <f aca="false">K46-Q46+T46</f>
        <v>4109350</v>
      </c>
      <c r="M46" s="92" t="s">
        <v>149</v>
      </c>
      <c r="N46" s="101" t="n">
        <v>4109350</v>
      </c>
      <c r="O46" s="92" t="s">
        <v>149</v>
      </c>
      <c r="P46" s="101" t="n">
        <v>0</v>
      </c>
      <c r="Q46" s="101" t="n">
        <v>0</v>
      </c>
      <c r="R46" s="101" t="n">
        <v>4109350</v>
      </c>
      <c r="S46" s="101" t="n">
        <v>0</v>
      </c>
      <c r="T46" s="101" t="n">
        <v>0</v>
      </c>
      <c r="U46" s="92" t="s">
        <v>192</v>
      </c>
      <c r="V46" s="92" t="s">
        <v>151</v>
      </c>
      <c r="Y46" s="92" t="s">
        <v>343</v>
      </c>
      <c r="Z46" s="92" t="s">
        <v>344</v>
      </c>
      <c r="AD46" s="92" t="s">
        <v>155</v>
      </c>
      <c r="AE46" s="92" t="s">
        <v>156</v>
      </c>
      <c r="AF46" s="92" t="s">
        <v>238</v>
      </c>
      <c r="AG46" s="92" t="s">
        <v>239</v>
      </c>
      <c r="AI46" s="92" t="s">
        <v>238</v>
      </c>
      <c r="AJ46" s="92" t="s">
        <v>239</v>
      </c>
      <c r="AK46" s="92" t="s">
        <v>159</v>
      </c>
      <c r="AL46" s="92" t="s">
        <v>240</v>
      </c>
      <c r="AM46" s="92" t="s">
        <v>161</v>
      </c>
      <c r="AP46" s="92" t="s">
        <v>344</v>
      </c>
      <c r="AQ46" s="92" t="s">
        <v>342</v>
      </c>
      <c r="AR46" s="92" t="s">
        <v>342</v>
      </c>
      <c r="AS46" s="92" t="s">
        <v>345</v>
      </c>
      <c r="AT46" s="101" t="n">
        <v>0</v>
      </c>
      <c r="AU46" s="101" t="n">
        <v>4109350</v>
      </c>
      <c r="AX46" s="92" t="s">
        <v>165</v>
      </c>
    </row>
    <row r="47" customFormat="false" ht="13.8" hidden="false" customHeight="false" outlineLevel="0" collapsed="false">
      <c r="A47" s="92" t="s">
        <v>142</v>
      </c>
      <c r="B47" s="92" t="s">
        <v>143</v>
      </c>
      <c r="C47" s="92" t="n">
        <v>45050489</v>
      </c>
      <c r="D47" s="92" t="s">
        <v>346</v>
      </c>
      <c r="E47" s="92" t="s">
        <v>233</v>
      </c>
      <c r="F47" s="92" t="s">
        <v>308</v>
      </c>
      <c r="G47" s="92" t="s">
        <v>147</v>
      </c>
      <c r="H47" s="92" t="s">
        <v>220</v>
      </c>
      <c r="I47" s="92" t="s">
        <v>347</v>
      </c>
      <c r="J47" s="92" t="s">
        <v>347</v>
      </c>
      <c r="K47" s="101" t="n">
        <v>391567.81</v>
      </c>
      <c r="L47" s="101" t="n">
        <f aca="false">K47-Q47+T47</f>
        <v>391567.81</v>
      </c>
      <c r="M47" s="92" t="s">
        <v>149</v>
      </c>
      <c r="N47" s="101" t="n">
        <v>391567.81</v>
      </c>
      <c r="O47" s="92" t="s">
        <v>149</v>
      </c>
      <c r="P47" s="101" t="n">
        <v>0</v>
      </c>
      <c r="Q47" s="101" t="n">
        <v>0</v>
      </c>
      <c r="R47" s="101" t="n">
        <v>391567.81</v>
      </c>
      <c r="S47" s="101" t="n">
        <v>0</v>
      </c>
      <c r="T47" s="101" t="n">
        <v>0</v>
      </c>
      <c r="U47" s="92" t="s">
        <v>150</v>
      </c>
      <c r="V47" s="92" t="s">
        <v>151</v>
      </c>
      <c r="Y47" s="92" t="s">
        <v>348</v>
      </c>
      <c r="Z47" s="92" t="s">
        <v>349</v>
      </c>
      <c r="AD47" s="92" t="s">
        <v>155</v>
      </c>
      <c r="AE47" s="92" t="s">
        <v>156</v>
      </c>
      <c r="AF47" s="92" t="s">
        <v>238</v>
      </c>
      <c r="AG47" s="92" t="s">
        <v>239</v>
      </c>
      <c r="AI47" s="92" t="s">
        <v>238</v>
      </c>
      <c r="AJ47" s="92" t="s">
        <v>239</v>
      </c>
      <c r="AK47" s="92" t="s">
        <v>159</v>
      </c>
      <c r="AL47" s="92" t="s">
        <v>240</v>
      </c>
      <c r="AM47" s="92" t="s">
        <v>161</v>
      </c>
      <c r="AP47" s="92" t="s">
        <v>349</v>
      </c>
      <c r="AQ47" s="92" t="s">
        <v>347</v>
      </c>
      <c r="AR47" s="92" t="s">
        <v>347</v>
      </c>
      <c r="AS47" s="92" t="s">
        <v>350</v>
      </c>
      <c r="AT47" s="101" t="n">
        <v>0</v>
      </c>
      <c r="AU47" s="101" t="n">
        <v>391567.81</v>
      </c>
      <c r="AX47" s="92" t="s">
        <v>165</v>
      </c>
    </row>
    <row r="48" customFormat="false" ht="13.8" hidden="false" customHeight="false" outlineLevel="0" collapsed="false">
      <c r="A48" s="92" t="s">
        <v>142</v>
      </c>
      <c r="B48" s="92" t="s">
        <v>143</v>
      </c>
      <c r="C48" s="92" t="n">
        <v>45052307</v>
      </c>
      <c r="D48" s="92" t="s">
        <v>351</v>
      </c>
      <c r="E48" s="92" t="s">
        <v>233</v>
      </c>
      <c r="F48" s="92" t="s">
        <v>167</v>
      </c>
      <c r="G48" s="92" t="s">
        <v>147</v>
      </c>
      <c r="H48" s="92" t="s">
        <v>220</v>
      </c>
      <c r="I48" s="92" t="s">
        <v>352</v>
      </c>
      <c r="J48" s="92" t="s">
        <v>352</v>
      </c>
      <c r="K48" s="101" t="n">
        <v>573485.49</v>
      </c>
      <c r="L48" s="101" t="n">
        <f aca="false">K48-Q48+T48</f>
        <v>573485.49</v>
      </c>
      <c r="M48" s="92" t="s">
        <v>149</v>
      </c>
      <c r="N48" s="101" t="n">
        <v>573485.49</v>
      </c>
      <c r="O48" s="92" t="s">
        <v>149</v>
      </c>
      <c r="P48" s="101" t="n">
        <v>0</v>
      </c>
      <c r="Q48" s="101" t="n">
        <v>0</v>
      </c>
      <c r="R48" s="101" t="n">
        <v>573485.49</v>
      </c>
      <c r="S48" s="101" t="n">
        <v>0</v>
      </c>
      <c r="T48" s="101" t="n">
        <v>0</v>
      </c>
      <c r="U48" s="92" t="s">
        <v>192</v>
      </c>
      <c r="V48" s="92" t="s">
        <v>151</v>
      </c>
      <c r="Y48" s="92" t="s">
        <v>353</v>
      </c>
      <c r="Z48" s="92" t="s">
        <v>354</v>
      </c>
      <c r="AD48" s="92" t="s">
        <v>155</v>
      </c>
      <c r="AE48" s="92" t="s">
        <v>156</v>
      </c>
      <c r="AF48" s="92" t="s">
        <v>238</v>
      </c>
      <c r="AG48" s="92" t="s">
        <v>239</v>
      </c>
      <c r="AI48" s="92" t="s">
        <v>238</v>
      </c>
      <c r="AJ48" s="92" t="s">
        <v>239</v>
      </c>
      <c r="AK48" s="92" t="s">
        <v>159</v>
      </c>
      <c r="AL48" s="92" t="s">
        <v>240</v>
      </c>
      <c r="AM48" s="92" t="s">
        <v>161</v>
      </c>
      <c r="AP48" s="92" t="s">
        <v>354</v>
      </c>
      <c r="AQ48" s="92" t="s">
        <v>352</v>
      </c>
      <c r="AR48" s="92" t="s">
        <v>352</v>
      </c>
      <c r="AS48" s="92" t="s">
        <v>355</v>
      </c>
      <c r="AT48" s="101" t="n">
        <v>0</v>
      </c>
      <c r="AU48" s="101" t="n">
        <v>573485.49</v>
      </c>
      <c r="AX48" s="92" t="s">
        <v>220</v>
      </c>
    </row>
    <row r="49" customFormat="false" ht="13.8" hidden="false" customHeight="false" outlineLevel="0" collapsed="false">
      <c r="A49" s="92" t="s">
        <v>142</v>
      </c>
      <c r="B49" s="92" t="s">
        <v>143</v>
      </c>
      <c r="C49" s="92" t="n">
        <v>45052307</v>
      </c>
      <c r="D49" s="92" t="s">
        <v>351</v>
      </c>
      <c r="E49" s="92" t="s">
        <v>233</v>
      </c>
      <c r="F49" s="92" t="s">
        <v>167</v>
      </c>
      <c r="G49" s="92" t="s">
        <v>147</v>
      </c>
      <c r="H49" s="92" t="s">
        <v>220</v>
      </c>
      <c r="I49" s="92" t="s">
        <v>352</v>
      </c>
      <c r="J49" s="92" t="s">
        <v>352</v>
      </c>
      <c r="K49" s="101" t="n">
        <v>1022401.5</v>
      </c>
      <c r="L49" s="101" t="n">
        <f aca="false">K49-Q49+T49</f>
        <v>1022401.5</v>
      </c>
      <c r="M49" s="92" t="s">
        <v>149</v>
      </c>
      <c r="N49" s="101" t="n">
        <v>1022401.5</v>
      </c>
      <c r="O49" s="92" t="s">
        <v>149</v>
      </c>
      <c r="P49" s="101" t="n">
        <v>0</v>
      </c>
      <c r="Q49" s="101" t="n">
        <v>0</v>
      </c>
      <c r="R49" s="101" t="n">
        <v>1022401.5</v>
      </c>
      <c r="S49" s="101" t="n">
        <v>0</v>
      </c>
      <c r="T49" s="101" t="n">
        <v>0</v>
      </c>
      <c r="U49" s="92" t="s">
        <v>192</v>
      </c>
      <c r="V49" s="92" t="s">
        <v>151</v>
      </c>
      <c r="Y49" s="92" t="s">
        <v>353</v>
      </c>
      <c r="Z49" s="92" t="s">
        <v>354</v>
      </c>
      <c r="AD49" s="92" t="s">
        <v>155</v>
      </c>
      <c r="AE49" s="92" t="s">
        <v>156</v>
      </c>
      <c r="AF49" s="92" t="s">
        <v>238</v>
      </c>
      <c r="AG49" s="92" t="s">
        <v>239</v>
      </c>
      <c r="AI49" s="92" t="s">
        <v>238</v>
      </c>
      <c r="AJ49" s="92" t="s">
        <v>239</v>
      </c>
      <c r="AK49" s="92" t="s">
        <v>159</v>
      </c>
      <c r="AL49" s="92" t="s">
        <v>240</v>
      </c>
      <c r="AM49" s="92" t="s">
        <v>161</v>
      </c>
      <c r="AP49" s="92" t="s">
        <v>354</v>
      </c>
      <c r="AQ49" s="92" t="s">
        <v>352</v>
      </c>
      <c r="AR49" s="92" t="s">
        <v>352</v>
      </c>
      <c r="AS49" s="92" t="s">
        <v>355</v>
      </c>
      <c r="AT49" s="101" t="n">
        <v>0</v>
      </c>
      <c r="AU49" s="101" t="n">
        <v>1022401.5</v>
      </c>
      <c r="AX49" s="92" t="s">
        <v>165</v>
      </c>
    </row>
    <row r="50" customFormat="false" ht="13.8" hidden="false" customHeight="false" outlineLevel="0" collapsed="false">
      <c r="A50" s="92" t="s">
        <v>142</v>
      </c>
      <c r="B50" s="92" t="s">
        <v>143</v>
      </c>
      <c r="C50" s="92" t="n">
        <v>45052307</v>
      </c>
      <c r="D50" s="92" t="s">
        <v>351</v>
      </c>
      <c r="E50" s="92" t="s">
        <v>233</v>
      </c>
      <c r="F50" s="92" t="s">
        <v>167</v>
      </c>
      <c r="G50" s="92" t="s">
        <v>147</v>
      </c>
      <c r="H50" s="92" t="s">
        <v>220</v>
      </c>
      <c r="I50" s="92" t="s">
        <v>352</v>
      </c>
      <c r="J50" s="92" t="s">
        <v>352</v>
      </c>
      <c r="K50" s="101" t="n">
        <v>167319.33</v>
      </c>
      <c r="L50" s="101" t="n">
        <f aca="false">K50-Q50+T50</f>
        <v>167319.33</v>
      </c>
      <c r="M50" s="92" t="s">
        <v>149</v>
      </c>
      <c r="N50" s="101" t="n">
        <v>167319.33</v>
      </c>
      <c r="O50" s="92" t="s">
        <v>149</v>
      </c>
      <c r="P50" s="101" t="n">
        <v>0</v>
      </c>
      <c r="Q50" s="101" t="n">
        <v>0</v>
      </c>
      <c r="R50" s="101" t="n">
        <v>167319.33</v>
      </c>
      <c r="S50" s="101" t="n">
        <v>0</v>
      </c>
      <c r="T50" s="101" t="n">
        <v>0</v>
      </c>
      <c r="U50" s="92" t="s">
        <v>192</v>
      </c>
      <c r="V50" s="92" t="s">
        <v>151</v>
      </c>
      <c r="Y50" s="92" t="s">
        <v>353</v>
      </c>
      <c r="Z50" s="92" t="s">
        <v>354</v>
      </c>
      <c r="AD50" s="92" t="s">
        <v>155</v>
      </c>
      <c r="AE50" s="92" t="s">
        <v>156</v>
      </c>
      <c r="AF50" s="92" t="s">
        <v>238</v>
      </c>
      <c r="AG50" s="92" t="s">
        <v>239</v>
      </c>
      <c r="AI50" s="92" t="s">
        <v>238</v>
      </c>
      <c r="AJ50" s="92" t="s">
        <v>239</v>
      </c>
      <c r="AK50" s="92" t="s">
        <v>159</v>
      </c>
      <c r="AL50" s="92" t="s">
        <v>240</v>
      </c>
      <c r="AM50" s="92" t="s">
        <v>161</v>
      </c>
      <c r="AP50" s="92" t="s">
        <v>354</v>
      </c>
      <c r="AQ50" s="92" t="s">
        <v>352</v>
      </c>
      <c r="AR50" s="92" t="s">
        <v>352</v>
      </c>
      <c r="AS50" s="92" t="s">
        <v>355</v>
      </c>
      <c r="AT50" s="101" t="n">
        <v>0</v>
      </c>
      <c r="AU50" s="101" t="n">
        <v>167319.33</v>
      </c>
      <c r="AX50" s="92" t="s">
        <v>148</v>
      </c>
    </row>
    <row r="51" customFormat="false" ht="13.8" hidden="false" customHeight="false" outlineLevel="0" collapsed="false">
      <c r="A51" s="92" t="s">
        <v>142</v>
      </c>
      <c r="B51" s="92" t="s">
        <v>143</v>
      </c>
      <c r="C51" s="92" t="n">
        <v>45053254</v>
      </c>
      <c r="D51" s="92" t="s">
        <v>356</v>
      </c>
      <c r="E51" s="92" t="s">
        <v>233</v>
      </c>
      <c r="F51" s="92" t="s">
        <v>297</v>
      </c>
      <c r="G51" s="92" t="s">
        <v>147</v>
      </c>
      <c r="H51" s="92" t="s">
        <v>220</v>
      </c>
      <c r="I51" s="92" t="s">
        <v>357</v>
      </c>
      <c r="J51" s="92" t="s">
        <v>357</v>
      </c>
      <c r="K51" s="101" t="n">
        <v>455749</v>
      </c>
      <c r="L51" s="101" t="n">
        <f aca="false">K51-Q51+T51</f>
        <v>455749</v>
      </c>
      <c r="M51" s="92" t="s">
        <v>149</v>
      </c>
      <c r="N51" s="101" t="n">
        <v>455749</v>
      </c>
      <c r="O51" s="92" t="s">
        <v>149</v>
      </c>
      <c r="P51" s="101" t="n">
        <v>0</v>
      </c>
      <c r="Q51" s="101" t="n">
        <v>0</v>
      </c>
      <c r="R51" s="101" t="n">
        <v>455749</v>
      </c>
      <c r="S51" s="101" t="n">
        <v>0</v>
      </c>
      <c r="T51" s="101" t="n">
        <v>0</v>
      </c>
      <c r="U51" s="92" t="s">
        <v>192</v>
      </c>
      <c r="V51" s="92" t="s">
        <v>151</v>
      </c>
      <c r="Y51" s="92" t="s">
        <v>358</v>
      </c>
      <c r="Z51" s="92" t="s">
        <v>359</v>
      </c>
      <c r="AD51" s="92" t="s">
        <v>155</v>
      </c>
      <c r="AE51" s="92" t="s">
        <v>156</v>
      </c>
      <c r="AF51" s="92" t="s">
        <v>238</v>
      </c>
      <c r="AG51" s="92" t="s">
        <v>239</v>
      </c>
      <c r="AI51" s="92" t="s">
        <v>238</v>
      </c>
      <c r="AJ51" s="92" t="s">
        <v>239</v>
      </c>
      <c r="AK51" s="92" t="s">
        <v>159</v>
      </c>
      <c r="AL51" s="92" t="s">
        <v>240</v>
      </c>
      <c r="AM51" s="92" t="s">
        <v>161</v>
      </c>
      <c r="AP51" s="92" t="s">
        <v>359</v>
      </c>
      <c r="AQ51" s="92" t="s">
        <v>357</v>
      </c>
      <c r="AR51" s="92" t="s">
        <v>357</v>
      </c>
      <c r="AS51" s="92" t="s">
        <v>360</v>
      </c>
      <c r="AT51" s="101" t="n">
        <v>0</v>
      </c>
      <c r="AU51" s="101" t="n">
        <v>455749</v>
      </c>
      <c r="AX51" s="92" t="s">
        <v>165</v>
      </c>
    </row>
    <row r="52" customFormat="false" ht="13.8" hidden="false" customHeight="false" outlineLevel="0" collapsed="false">
      <c r="A52" s="92" t="s">
        <v>142</v>
      </c>
      <c r="B52" s="92" t="s">
        <v>143</v>
      </c>
      <c r="C52" s="92" t="n">
        <v>45053840</v>
      </c>
      <c r="D52" s="92" t="s">
        <v>361</v>
      </c>
      <c r="E52" s="92" t="s">
        <v>233</v>
      </c>
      <c r="F52" s="92" t="s">
        <v>167</v>
      </c>
      <c r="G52" s="92" t="s">
        <v>147</v>
      </c>
      <c r="H52" s="92" t="s">
        <v>220</v>
      </c>
      <c r="I52" s="92" t="s">
        <v>357</v>
      </c>
      <c r="J52" s="92" t="s">
        <v>357</v>
      </c>
      <c r="K52" s="101" t="n">
        <v>59253.32</v>
      </c>
      <c r="L52" s="101" t="n">
        <f aca="false">K52-Q52+T52</f>
        <v>59253.32</v>
      </c>
      <c r="M52" s="92" t="s">
        <v>149</v>
      </c>
      <c r="N52" s="101" t="n">
        <v>59253.32</v>
      </c>
      <c r="O52" s="92" t="s">
        <v>149</v>
      </c>
      <c r="P52" s="101" t="n">
        <v>0</v>
      </c>
      <c r="Q52" s="101" t="n">
        <v>0</v>
      </c>
      <c r="R52" s="101" t="n">
        <v>59253.32</v>
      </c>
      <c r="S52" s="101" t="n">
        <v>0</v>
      </c>
      <c r="T52" s="101" t="n">
        <v>0</v>
      </c>
      <c r="U52" s="92" t="s">
        <v>150</v>
      </c>
      <c r="V52" s="92" t="s">
        <v>151</v>
      </c>
      <c r="Y52" s="92" t="s">
        <v>362</v>
      </c>
      <c r="Z52" s="92" t="s">
        <v>363</v>
      </c>
      <c r="AD52" s="92" t="s">
        <v>155</v>
      </c>
      <c r="AE52" s="92" t="s">
        <v>156</v>
      </c>
      <c r="AF52" s="92" t="s">
        <v>238</v>
      </c>
      <c r="AG52" s="92" t="s">
        <v>239</v>
      </c>
      <c r="AI52" s="92" t="s">
        <v>238</v>
      </c>
      <c r="AJ52" s="92" t="s">
        <v>239</v>
      </c>
      <c r="AK52" s="92" t="s">
        <v>159</v>
      </c>
      <c r="AL52" s="92" t="s">
        <v>240</v>
      </c>
      <c r="AM52" s="92" t="s">
        <v>161</v>
      </c>
      <c r="AP52" s="92" t="s">
        <v>363</v>
      </c>
      <c r="AQ52" s="92" t="s">
        <v>357</v>
      </c>
      <c r="AR52" s="92" t="s">
        <v>357</v>
      </c>
      <c r="AS52" s="92" t="s">
        <v>364</v>
      </c>
      <c r="AT52" s="101" t="n">
        <v>0</v>
      </c>
      <c r="AU52" s="101" t="n">
        <v>59253.32</v>
      </c>
      <c r="AX52" s="92" t="s">
        <v>165</v>
      </c>
    </row>
    <row r="53" customFormat="false" ht="13.8" hidden="false" customHeight="false" outlineLevel="0" collapsed="false">
      <c r="A53" s="92" t="s">
        <v>142</v>
      </c>
      <c r="B53" s="92" t="s">
        <v>143</v>
      </c>
      <c r="C53" s="92" t="n">
        <v>45060535</v>
      </c>
      <c r="D53" s="92" t="s">
        <v>365</v>
      </c>
      <c r="E53" s="92" t="s">
        <v>233</v>
      </c>
      <c r="F53" s="92" t="s">
        <v>297</v>
      </c>
      <c r="G53" s="92" t="s">
        <v>147</v>
      </c>
      <c r="H53" s="92" t="s">
        <v>148</v>
      </c>
      <c r="I53" s="92" t="s">
        <v>366</v>
      </c>
      <c r="J53" s="92" t="s">
        <v>366</v>
      </c>
      <c r="K53" s="101" t="n">
        <v>1101628.9</v>
      </c>
      <c r="L53" s="101" t="n">
        <f aca="false">K53-Q53+T53</f>
        <v>1101628.9</v>
      </c>
      <c r="M53" s="92" t="s">
        <v>149</v>
      </c>
      <c r="N53" s="101" t="n">
        <v>1101628.9</v>
      </c>
      <c r="O53" s="92" t="s">
        <v>149</v>
      </c>
      <c r="P53" s="101" t="n">
        <v>0</v>
      </c>
      <c r="Q53" s="101" t="n">
        <v>0</v>
      </c>
      <c r="R53" s="101" t="n">
        <v>1101628.9</v>
      </c>
      <c r="S53" s="101" t="n">
        <v>0</v>
      </c>
      <c r="T53" s="101" t="n">
        <v>0</v>
      </c>
      <c r="U53" s="92" t="s">
        <v>192</v>
      </c>
      <c r="V53" s="92" t="s">
        <v>151</v>
      </c>
      <c r="Y53" s="92" t="s">
        <v>367</v>
      </c>
      <c r="Z53" s="92" t="s">
        <v>368</v>
      </c>
      <c r="AD53" s="92" t="s">
        <v>155</v>
      </c>
      <c r="AE53" s="92" t="s">
        <v>156</v>
      </c>
      <c r="AF53" s="92" t="s">
        <v>238</v>
      </c>
      <c r="AG53" s="92" t="s">
        <v>239</v>
      </c>
      <c r="AI53" s="92" t="s">
        <v>238</v>
      </c>
      <c r="AJ53" s="92" t="s">
        <v>239</v>
      </c>
      <c r="AK53" s="92" t="s">
        <v>159</v>
      </c>
      <c r="AL53" s="92" t="s">
        <v>240</v>
      </c>
      <c r="AM53" s="92" t="s">
        <v>161</v>
      </c>
      <c r="AP53" s="92" t="s">
        <v>368</v>
      </c>
      <c r="AQ53" s="92" t="s">
        <v>366</v>
      </c>
      <c r="AR53" s="92" t="s">
        <v>366</v>
      </c>
      <c r="AS53" s="92" t="s">
        <v>369</v>
      </c>
      <c r="AT53" s="101" t="n">
        <v>0</v>
      </c>
      <c r="AU53" s="101" t="n">
        <v>1101628.9</v>
      </c>
      <c r="AX53" s="92" t="s">
        <v>165</v>
      </c>
    </row>
    <row r="54" customFormat="false" ht="13.8" hidden="false" customHeight="false" outlineLevel="0" collapsed="false">
      <c r="A54" s="92" t="s">
        <v>142</v>
      </c>
      <c r="B54" s="92" t="s">
        <v>143</v>
      </c>
      <c r="C54" s="92" t="n">
        <v>45062289</v>
      </c>
      <c r="D54" s="92" t="s">
        <v>370</v>
      </c>
      <c r="E54" s="92" t="s">
        <v>233</v>
      </c>
      <c r="F54" s="92" t="s">
        <v>371</v>
      </c>
      <c r="G54" s="92" t="s">
        <v>147</v>
      </c>
      <c r="H54" s="92" t="s">
        <v>148</v>
      </c>
      <c r="I54" s="92" t="s">
        <v>372</v>
      </c>
      <c r="J54" s="92" t="s">
        <v>372</v>
      </c>
      <c r="K54" s="101" t="n">
        <v>4867263</v>
      </c>
      <c r="L54" s="101" t="n">
        <f aca="false">K54-Q54+T54</f>
        <v>4867263</v>
      </c>
      <c r="M54" s="92" t="s">
        <v>149</v>
      </c>
      <c r="N54" s="101" t="n">
        <v>4867263</v>
      </c>
      <c r="O54" s="92" t="s">
        <v>149</v>
      </c>
      <c r="P54" s="101" t="n">
        <v>0</v>
      </c>
      <c r="Q54" s="101" t="n">
        <v>0</v>
      </c>
      <c r="R54" s="101" t="n">
        <v>4867263</v>
      </c>
      <c r="S54" s="101" t="n">
        <v>0</v>
      </c>
      <c r="T54" s="101" t="n">
        <v>0</v>
      </c>
      <c r="U54" s="92" t="s">
        <v>192</v>
      </c>
      <c r="V54" s="92" t="s">
        <v>151</v>
      </c>
      <c r="Y54" s="92" t="s">
        <v>373</v>
      </c>
      <c r="Z54" s="92" t="s">
        <v>374</v>
      </c>
      <c r="AD54" s="92" t="s">
        <v>155</v>
      </c>
      <c r="AE54" s="92" t="s">
        <v>156</v>
      </c>
      <c r="AF54" s="92" t="s">
        <v>238</v>
      </c>
      <c r="AG54" s="92" t="s">
        <v>239</v>
      </c>
      <c r="AI54" s="92" t="s">
        <v>238</v>
      </c>
      <c r="AJ54" s="92" t="s">
        <v>239</v>
      </c>
      <c r="AK54" s="92" t="s">
        <v>159</v>
      </c>
      <c r="AL54" s="92" t="s">
        <v>240</v>
      </c>
      <c r="AM54" s="92" t="s">
        <v>161</v>
      </c>
      <c r="AP54" s="92" t="s">
        <v>374</v>
      </c>
      <c r="AQ54" s="92" t="s">
        <v>372</v>
      </c>
      <c r="AR54" s="92" t="s">
        <v>372</v>
      </c>
      <c r="AS54" s="92" t="s">
        <v>375</v>
      </c>
      <c r="AT54" s="101" t="n">
        <v>0</v>
      </c>
      <c r="AU54" s="101" t="n">
        <v>4867263</v>
      </c>
      <c r="AX54" s="92" t="s">
        <v>165</v>
      </c>
    </row>
    <row r="55" customFormat="false" ht="13.8" hidden="false" customHeight="false" outlineLevel="0" collapsed="false">
      <c r="A55" s="92" t="s">
        <v>142</v>
      </c>
      <c r="B55" s="92" t="s">
        <v>143</v>
      </c>
      <c r="C55" s="92" t="n">
        <v>45063145</v>
      </c>
      <c r="D55" s="92" t="s">
        <v>376</v>
      </c>
      <c r="E55" s="92" t="s">
        <v>233</v>
      </c>
      <c r="F55" s="92" t="s">
        <v>297</v>
      </c>
      <c r="G55" s="92" t="s">
        <v>147</v>
      </c>
      <c r="H55" s="92" t="s">
        <v>148</v>
      </c>
      <c r="I55" s="92" t="s">
        <v>377</v>
      </c>
      <c r="J55" s="92" t="s">
        <v>377</v>
      </c>
      <c r="K55" s="101" t="n">
        <v>13316974.72</v>
      </c>
      <c r="L55" s="101" t="n">
        <f aca="false">K55-Q55+T55</f>
        <v>13316974.72</v>
      </c>
      <c r="M55" s="92" t="s">
        <v>149</v>
      </c>
      <c r="N55" s="101" t="n">
        <v>13316974.72</v>
      </c>
      <c r="O55" s="92" t="s">
        <v>149</v>
      </c>
      <c r="P55" s="101" t="n">
        <v>0</v>
      </c>
      <c r="Q55" s="101" t="n">
        <v>0</v>
      </c>
      <c r="R55" s="101" t="n">
        <v>13316974.72</v>
      </c>
      <c r="S55" s="101" t="n">
        <v>0</v>
      </c>
      <c r="T55" s="101" t="n">
        <v>0</v>
      </c>
      <c r="U55" s="92" t="s">
        <v>192</v>
      </c>
      <c r="V55" s="92" t="s">
        <v>151</v>
      </c>
      <c r="Y55" s="92" t="s">
        <v>378</v>
      </c>
      <c r="Z55" s="92" t="s">
        <v>379</v>
      </c>
      <c r="AD55" s="92" t="s">
        <v>155</v>
      </c>
      <c r="AE55" s="92" t="s">
        <v>156</v>
      </c>
      <c r="AF55" s="92" t="s">
        <v>238</v>
      </c>
      <c r="AG55" s="92" t="s">
        <v>239</v>
      </c>
      <c r="AI55" s="92" t="s">
        <v>238</v>
      </c>
      <c r="AJ55" s="92" t="s">
        <v>239</v>
      </c>
      <c r="AK55" s="92" t="s">
        <v>159</v>
      </c>
      <c r="AL55" s="92" t="s">
        <v>240</v>
      </c>
      <c r="AM55" s="92" t="s">
        <v>161</v>
      </c>
      <c r="AP55" s="92" t="s">
        <v>379</v>
      </c>
      <c r="AQ55" s="92" t="s">
        <v>377</v>
      </c>
      <c r="AR55" s="92" t="s">
        <v>377</v>
      </c>
      <c r="AS55" s="92" t="s">
        <v>380</v>
      </c>
      <c r="AT55" s="101" t="n">
        <v>0</v>
      </c>
      <c r="AU55" s="101" t="n">
        <v>13316974.72</v>
      </c>
      <c r="AX55" s="92" t="s">
        <v>165</v>
      </c>
    </row>
    <row r="56" customFormat="false" ht="13.8" hidden="false" customHeight="false" outlineLevel="0" collapsed="false">
      <c r="A56" s="92" t="s">
        <v>142</v>
      </c>
      <c r="B56" s="92" t="s">
        <v>143</v>
      </c>
      <c r="C56" s="92" t="n">
        <v>45064352</v>
      </c>
      <c r="D56" s="92" t="s">
        <v>381</v>
      </c>
      <c r="E56" s="92" t="s">
        <v>233</v>
      </c>
      <c r="F56" s="92" t="s">
        <v>212</v>
      </c>
      <c r="G56" s="92" t="s">
        <v>147</v>
      </c>
      <c r="H56" s="92" t="s">
        <v>148</v>
      </c>
      <c r="I56" s="92" t="s">
        <v>382</v>
      </c>
      <c r="J56" s="92" t="s">
        <v>382</v>
      </c>
      <c r="K56" s="101" t="n">
        <v>174698.85</v>
      </c>
      <c r="L56" s="101" t="n">
        <f aca="false">K56-Q56+T56</f>
        <v>174698.85</v>
      </c>
      <c r="M56" s="92" t="s">
        <v>149</v>
      </c>
      <c r="N56" s="101" t="n">
        <v>174698.85</v>
      </c>
      <c r="O56" s="92" t="s">
        <v>149</v>
      </c>
      <c r="P56" s="101" t="n">
        <v>0</v>
      </c>
      <c r="Q56" s="101" t="n">
        <v>0</v>
      </c>
      <c r="R56" s="101" t="n">
        <v>174698.85</v>
      </c>
      <c r="S56" s="101" t="n">
        <v>0</v>
      </c>
      <c r="T56" s="101" t="n">
        <v>0</v>
      </c>
      <c r="U56" s="92" t="s">
        <v>150</v>
      </c>
      <c r="V56" s="92" t="s">
        <v>151</v>
      </c>
      <c r="Y56" s="92" t="s">
        <v>383</v>
      </c>
      <c r="Z56" s="92" t="s">
        <v>384</v>
      </c>
      <c r="AD56" s="92" t="s">
        <v>155</v>
      </c>
      <c r="AE56" s="92" t="s">
        <v>156</v>
      </c>
      <c r="AF56" s="92" t="s">
        <v>238</v>
      </c>
      <c r="AG56" s="92" t="s">
        <v>239</v>
      </c>
      <c r="AI56" s="92" t="s">
        <v>238</v>
      </c>
      <c r="AJ56" s="92" t="s">
        <v>239</v>
      </c>
      <c r="AK56" s="92" t="s">
        <v>159</v>
      </c>
      <c r="AL56" s="92" t="s">
        <v>240</v>
      </c>
      <c r="AM56" s="92" t="s">
        <v>161</v>
      </c>
      <c r="AP56" s="92" t="s">
        <v>384</v>
      </c>
      <c r="AQ56" s="92" t="s">
        <v>382</v>
      </c>
      <c r="AR56" s="92" t="s">
        <v>382</v>
      </c>
      <c r="AS56" s="92" t="s">
        <v>385</v>
      </c>
      <c r="AT56" s="101" t="n">
        <v>0</v>
      </c>
      <c r="AU56" s="101" t="n">
        <v>174698.85</v>
      </c>
      <c r="AX56" s="92" t="s">
        <v>165</v>
      </c>
    </row>
    <row r="57" customFormat="false" ht="13.8" hidden="false" customHeight="false" outlineLevel="0" collapsed="false">
      <c r="A57" s="92" t="s">
        <v>142</v>
      </c>
      <c r="B57" s="92" t="s">
        <v>143</v>
      </c>
      <c r="C57" s="92" t="n">
        <v>45070150</v>
      </c>
      <c r="D57" s="92" t="s">
        <v>386</v>
      </c>
      <c r="E57" s="92" t="s">
        <v>233</v>
      </c>
      <c r="F57" s="92" t="s">
        <v>167</v>
      </c>
      <c r="G57" s="92" t="s">
        <v>147</v>
      </c>
      <c r="H57" s="92" t="s">
        <v>148</v>
      </c>
      <c r="I57" s="92" t="s">
        <v>387</v>
      </c>
      <c r="J57" s="92" t="s">
        <v>387</v>
      </c>
      <c r="K57" s="101" t="n">
        <v>800354.83</v>
      </c>
      <c r="L57" s="101" t="n">
        <f aca="false">K57-Q57+T57</f>
        <v>800354.83</v>
      </c>
      <c r="M57" s="92" t="s">
        <v>149</v>
      </c>
      <c r="N57" s="101" t="n">
        <v>800354.83</v>
      </c>
      <c r="O57" s="92" t="s">
        <v>149</v>
      </c>
      <c r="P57" s="101" t="n">
        <v>0</v>
      </c>
      <c r="Q57" s="101" t="n">
        <v>0</v>
      </c>
      <c r="R57" s="101" t="n">
        <v>800354.83</v>
      </c>
      <c r="S57" s="101" t="n">
        <v>0</v>
      </c>
      <c r="T57" s="101" t="n">
        <v>0</v>
      </c>
      <c r="U57" s="92" t="s">
        <v>150</v>
      </c>
      <c r="V57" s="92" t="s">
        <v>151</v>
      </c>
      <c r="Y57" s="92" t="s">
        <v>388</v>
      </c>
      <c r="Z57" s="92" t="s">
        <v>389</v>
      </c>
      <c r="AD57" s="92" t="s">
        <v>155</v>
      </c>
      <c r="AE57" s="92" t="s">
        <v>156</v>
      </c>
      <c r="AF57" s="92" t="s">
        <v>238</v>
      </c>
      <c r="AG57" s="92" t="s">
        <v>239</v>
      </c>
      <c r="AI57" s="92" t="s">
        <v>238</v>
      </c>
      <c r="AJ57" s="92" t="s">
        <v>239</v>
      </c>
      <c r="AK57" s="92" t="s">
        <v>159</v>
      </c>
      <c r="AL57" s="92" t="s">
        <v>240</v>
      </c>
      <c r="AM57" s="92" t="s">
        <v>161</v>
      </c>
      <c r="AP57" s="92" t="s">
        <v>389</v>
      </c>
      <c r="AQ57" s="92" t="s">
        <v>387</v>
      </c>
      <c r="AR57" s="92" t="s">
        <v>387</v>
      </c>
      <c r="AS57" s="92" t="s">
        <v>390</v>
      </c>
      <c r="AT57" s="101" t="n">
        <v>0</v>
      </c>
      <c r="AU57" s="101" t="n">
        <v>800354.83</v>
      </c>
      <c r="AX57" s="92" t="s">
        <v>165</v>
      </c>
    </row>
    <row r="58" customFormat="false" ht="13.8" hidden="false" customHeight="false" outlineLevel="0" collapsed="false">
      <c r="A58" s="92" t="s">
        <v>142</v>
      </c>
      <c r="B58" s="92" t="s">
        <v>143</v>
      </c>
      <c r="C58" s="92" t="n">
        <v>45074264</v>
      </c>
      <c r="D58" s="92" t="s">
        <v>391</v>
      </c>
      <c r="E58" s="92" t="s">
        <v>233</v>
      </c>
      <c r="F58" s="92" t="s">
        <v>371</v>
      </c>
      <c r="G58" s="92" t="s">
        <v>147</v>
      </c>
      <c r="H58" s="92" t="s">
        <v>148</v>
      </c>
      <c r="I58" s="92" t="s">
        <v>392</v>
      </c>
      <c r="J58" s="92" t="s">
        <v>392</v>
      </c>
      <c r="K58" s="101" t="n">
        <v>1253642</v>
      </c>
      <c r="L58" s="101" t="n">
        <f aca="false">K58-Q58+T58</f>
        <v>1253642</v>
      </c>
      <c r="M58" s="92" t="s">
        <v>149</v>
      </c>
      <c r="N58" s="101" t="n">
        <v>1253642</v>
      </c>
      <c r="O58" s="92" t="s">
        <v>149</v>
      </c>
      <c r="P58" s="101" t="n">
        <v>0</v>
      </c>
      <c r="Q58" s="101" t="n">
        <v>0</v>
      </c>
      <c r="R58" s="101" t="n">
        <v>1253642</v>
      </c>
      <c r="S58" s="101" t="n">
        <v>0</v>
      </c>
      <c r="T58" s="101" t="n">
        <v>0</v>
      </c>
      <c r="U58" s="92" t="s">
        <v>192</v>
      </c>
      <c r="V58" s="92" t="s">
        <v>151</v>
      </c>
      <c r="Y58" s="92" t="s">
        <v>393</v>
      </c>
      <c r="Z58" s="92" t="s">
        <v>394</v>
      </c>
      <c r="AD58" s="92" t="s">
        <v>155</v>
      </c>
      <c r="AE58" s="92" t="s">
        <v>156</v>
      </c>
      <c r="AF58" s="92" t="s">
        <v>238</v>
      </c>
      <c r="AG58" s="92" t="s">
        <v>239</v>
      </c>
      <c r="AI58" s="92" t="s">
        <v>238</v>
      </c>
      <c r="AJ58" s="92" t="s">
        <v>239</v>
      </c>
      <c r="AK58" s="92" t="s">
        <v>159</v>
      </c>
      <c r="AL58" s="92" t="s">
        <v>240</v>
      </c>
      <c r="AM58" s="92" t="s">
        <v>161</v>
      </c>
      <c r="AP58" s="92" t="s">
        <v>394</v>
      </c>
      <c r="AQ58" s="92" t="s">
        <v>392</v>
      </c>
      <c r="AR58" s="92" t="s">
        <v>392</v>
      </c>
      <c r="AS58" s="92" t="s">
        <v>395</v>
      </c>
      <c r="AT58" s="101" t="n">
        <v>0</v>
      </c>
      <c r="AU58" s="101" t="n">
        <v>1253642</v>
      </c>
      <c r="AX58" s="92" t="s">
        <v>165</v>
      </c>
    </row>
    <row r="59" customFormat="false" ht="13.8" hidden="false" customHeight="false" outlineLevel="0" collapsed="false">
      <c r="A59" s="92" t="s">
        <v>142</v>
      </c>
      <c r="B59" s="92" t="s">
        <v>143</v>
      </c>
      <c r="C59" s="92" t="n">
        <v>45075615</v>
      </c>
      <c r="D59" s="92" t="s">
        <v>396</v>
      </c>
      <c r="E59" s="92" t="s">
        <v>233</v>
      </c>
      <c r="F59" s="92" t="s">
        <v>297</v>
      </c>
      <c r="G59" s="92" t="s">
        <v>147</v>
      </c>
      <c r="H59" s="92" t="s">
        <v>148</v>
      </c>
      <c r="I59" s="92" t="s">
        <v>397</v>
      </c>
      <c r="J59" s="92" t="s">
        <v>397</v>
      </c>
      <c r="K59" s="101" t="n">
        <v>1099759.75</v>
      </c>
      <c r="L59" s="101" t="n">
        <f aca="false">K59-Q59+T59</f>
        <v>1099759.75</v>
      </c>
      <c r="M59" s="92" t="s">
        <v>149</v>
      </c>
      <c r="N59" s="101" t="n">
        <v>1099759.75</v>
      </c>
      <c r="O59" s="92" t="s">
        <v>149</v>
      </c>
      <c r="P59" s="101" t="n">
        <v>0</v>
      </c>
      <c r="Q59" s="101" t="n">
        <v>0</v>
      </c>
      <c r="R59" s="101" t="n">
        <v>1099759.75</v>
      </c>
      <c r="S59" s="101" t="n">
        <v>0</v>
      </c>
      <c r="T59" s="101" t="n">
        <v>0</v>
      </c>
      <c r="U59" s="92" t="s">
        <v>192</v>
      </c>
      <c r="V59" s="92" t="s">
        <v>151</v>
      </c>
      <c r="Y59" s="92" t="s">
        <v>398</v>
      </c>
      <c r="Z59" s="92" t="s">
        <v>399</v>
      </c>
      <c r="AD59" s="92" t="s">
        <v>155</v>
      </c>
      <c r="AE59" s="92" t="s">
        <v>156</v>
      </c>
      <c r="AF59" s="92" t="s">
        <v>238</v>
      </c>
      <c r="AG59" s="92" t="s">
        <v>239</v>
      </c>
      <c r="AI59" s="92" t="s">
        <v>238</v>
      </c>
      <c r="AJ59" s="92" t="s">
        <v>239</v>
      </c>
      <c r="AK59" s="92" t="s">
        <v>159</v>
      </c>
      <c r="AL59" s="92" t="s">
        <v>240</v>
      </c>
      <c r="AM59" s="92" t="s">
        <v>161</v>
      </c>
      <c r="AP59" s="92" t="s">
        <v>399</v>
      </c>
      <c r="AQ59" s="92" t="s">
        <v>397</v>
      </c>
      <c r="AR59" s="92" t="s">
        <v>397</v>
      </c>
      <c r="AS59" s="92" t="s">
        <v>400</v>
      </c>
      <c r="AT59" s="101" t="n">
        <v>0</v>
      </c>
      <c r="AU59" s="101" t="n">
        <v>1099759.75</v>
      </c>
      <c r="AX59" s="92" t="s">
        <v>165</v>
      </c>
    </row>
    <row r="60" customFormat="false" ht="13.8" hidden="false" customHeight="false" outlineLevel="0" collapsed="false">
      <c r="A60" s="92" t="s">
        <v>142</v>
      </c>
      <c r="B60" s="92" t="s">
        <v>143</v>
      </c>
      <c r="C60" s="92" t="n">
        <v>45077024</v>
      </c>
      <c r="D60" s="92" t="s">
        <v>401</v>
      </c>
      <c r="E60" s="92" t="s">
        <v>233</v>
      </c>
      <c r="F60" s="92" t="s">
        <v>297</v>
      </c>
      <c r="G60" s="92" t="s">
        <v>147</v>
      </c>
      <c r="H60" s="92" t="s">
        <v>402</v>
      </c>
      <c r="I60" s="92" t="s">
        <v>403</v>
      </c>
      <c r="J60" s="92" t="s">
        <v>403</v>
      </c>
      <c r="K60" s="101" t="n">
        <v>4009802.73</v>
      </c>
      <c r="L60" s="101" t="n">
        <f aca="false">K60-Q60+T60</f>
        <v>4009802.73</v>
      </c>
      <c r="M60" s="92" t="s">
        <v>149</v>
      </c>
      <c r="N60" s="101" t="n">
        <v>4009802.73</v>
      </c>
      <c r="O60" s="92" t="s">
        <v>149</v>
      </c>
      <c r="P60" s="101" t="n">
        <v>0</v>
      </c>
      <c r="Q60" s="101" t="n">
        <v>0</v>
      </c>
      <c r="R60" s="101" t="n">
        <v>4009802.73</v>
      </c>
      <c r="S60" s="101" t="n">
        <v>0</v>
      </c>
      <c r="T60" s="101" t="n">
        <v>0</v>
      </c>
      <c r="U60" s="92" t="s">
        <v>192</v>
      </c>
      <c r="V60" s="92" t="s">
        <v>151</v>
      </c>
      <c r="Y60" s="92" t="s">
        <v>404</v>
      </c>
      <c r="Z60" s="92" t="s">
        <v>405</v>
      </c>
      <c r="AD60" s="92" t="s">
        <v>155</v>
      </c>
      <c r="AE60" s="92" t="s">
        <v>156</v>
      </c>
      <c r="AF60" s="92" t="s">
        <v>238</v>
      </c>
      <c r="AG60" s="92" t="s">
        <v>239</v>
      </c>
      <c r="AI60" s="92" t="s">
        <v>238</v>
      </c>
      <c r="AJ60" s="92" t="s">
        <v>239</v>
      </c>
      <c r="AK60" s="92" t="s">
        <v>159</v>
      </c>
      <c r="AL60" s="92" t="s">
        <v>240</v>
      </c>
      <c r="AM60" s="92" t="s">
        <v>161</v>
      </c>
      <c r="AP60" s="92" t="s">
        <v>405</v>
      </c>
      <c r="AQ60" s="92" t="s">
        <v>403</v>
      </c>
      <c r="AR60" s="92" t="s">
        <v>403</v>
      </c>
      <c r="AS60" s="92" t="s">
        <v>406</v>
      </c>
      <c r="AT60" s="101" t="n">
        <v>0</v>
      </c>
      <c r="AU60" s="101" t="n">
        <v>4009802.73</v>
      </c>
      <c r="AX60" s="92" t="s">
        <v>165</v>
      </c>
    </row>
    <row r="61" customFormat="false" ht="13.8" hidden="false" customHeight="false" outlineLevel="0" collapsed="false">
      <c r="A61" s="92" t="s">
        <v>142</v>
      </c>
      <c r="B61" s="92" t="s">
        <v>143</v>
      </c>
      <c r="C61" s="92" t="n">
        <v>45078173</v>
      </c>
      <c r="D61" s="92" t="s">
        <v>407</v>
      </c>
      <c r="E61" s="92" t="s">
        <v>233</v>
      </c>
      <c r="F61" s="92" t="s">
        <v>234</v>
      </c>
      <c r="G61" s="92" t="s">
        <v>147</v>
      </c>
      <c r="H61" s="92" t="s">
        <v>402</v>
      </c>
      <c r="I61" s="92" t="s">
        <v>408</v>
      </c>
      <c r="J61" s="92" t="s">
        <v>408</v>
      </c>
      <c r="K61" s="101" t="n">
        <v>3143638</v>
      </c>
      <c r="L61" s="101" t="n">
        <f aca="false">K61-Q61+T61</f>
        <v>3143638</v>
      </c>
      <c r="M61" s="92" t="s">
        <v>149</v>
      </c>
      <c r="N61" s="101" t="n">
        <v>3143638</v>
      </c>
      <c r="O61" s="92" t="s">
        <v>149</v>
      </c>
      <c r="P61" s="101" t="n">
        <v>0</v>
      </c>
      <c r="Q61" s="101" t="n">
        <v>0</v>
      </c>
      <c r="R61" s="101" t="n">
        <v>3143638</v>
      </c>
      <c r="S61" s="101" t="n">
        <v>0</v>
      </c>
      <c r="T61" s="101" t="n">
        <v>0</v>
      </c>
      <c r="U61" s="92" t="s">
        <v>192</v>
      </c>
      <c r="V61" s="92" t="s">
        <v>151</v>
      </c>
      <c r="Y61" s="92" t="s">
        <v>409</v>
      </c>
      <c r="Z61" s="92" t="s">
        <v>410</v>
      </c>
      <c r="AD61" s="92" t="s">
        <v>155</v>
      </c>
      <c r="AE61" s="92" t="s">
        <v>156</v>
      </c>
      <c r="AF61" s="92" t="s">
        <v>238</v>
      </c>
      <c r="AG61" s="92" t="s">
        <v>239</v>
      </c>
      <c r="AI61" s="92" t="s">
        <v>238</v>
      </c>
      <c r="AJ61" s="92" t="s">
        <v>239</v>
      </c>
      <c r="AK61" s="92" t="s">
        <v>159</v>
      </c>
      <c r="AL61" s="92" t="s">
        <v>240</v>
      </c>
      <c r="AM61" s="92" t="s">
        <v>161</v>
      </c>
      <c r="AP61" s="92" t="s">
        <v>410</v>
      </c>
      <c r="AQ61" s="92" t="s">
        <v>408</v>
      </c>
      <c r="AR61" s="92" t="s">
        <v>408</v>
      </c>
      <c r="AS61" s="92" t="s">
        <v>411</v>
      </c>
      <c r="AT61" s="101" t="n">
        <v>0</v>
      </c>
      <c r="AU61" s="101" t="n">
        <v>3143638</v>
      </c>
      <c r="AX61" s="92" t="s">
        <v>165</v>
      </c>
    </row>
    <row r="62" customFormat="false" ht="13.8" hidden="false" customHeight="false" outlineLevel="0" collapsed="false">
      <c r="A62" s="92" t="s">
        <v>142</v>
      </c>
      <c r="B62" s="92" t="s">
        <v>143</v>
      </c>
      <c r="C62" s="92" t="n">
        <v>45082766</v>
      </c>
      <c r="D62" s="92" t="s">
        <v>412</v>
      </c>
      <c r="E62" s="92" t="s">
        <v>233</v>
      </c>
      <c r="F62" s="92" t="s">
        <v>167</v>
      </c>
      <c r="G62" s="92" t="s">
        <v>147</v>
      </c>
      <c r="H62" s="92" t="s">
        <v>402</v>
      </c>
      <c r="I62" s="92" t="s">
        <v>413</v>
      </c>
      <c r="J62" s="92" t="s">
        <v>413</v>
      </c>
      <c r="K62" s="101" t="n">
        <v>41713</v>
      </c>
      <c r="L62" s="101" t="n">
        <f aca="false">K62-Q62+T62</f>
        <v>41713</v>
      </c>
      <c r="M62" s="92" t="s">
        <v>149</v>
      </c>
      <c r="N62" s="101" t="n">
        <v>41713</v>
      </c>
      <c r="O62" s="92" t="s">
        <v>149</v>
      </c>
      <c r="P62" s="101" t="n">
        <v>0</v>
      </c>
      <c r="Q62" s="101" t="n">
        <v>0</v>
      </c>
      <c r="R62" s="101" t="n">
        <v>41713</v>
      </c>
      <c r="S62" s="101" t="n">
        <v>0</v>
      </c>
      <c r="T62" s="101" t="n">
        <v>0</v>
      </c>
      <c r="U62" s="92" t="s">
        <v>150</v>
      </c>
      <c r="V62" s="92" t="s">
        <v>151</v>
      </c>
      <c r="Y62" s="92" t="s">
        <v>414</v>
      </c>
      <c r="Z62" s="92" t="s">
        <v>415</v>
      </c>
      <c r="AD62" s="92" t="s">
        <v>155</v>
      </c>
      <c r="AE62" s="92" t="s">
        <v>156</v>
      </c>
      <c r="AF62" s="92" t="s">
        <v>238</v>
      </c>
      <c r="AG62" s="92" t="s">
        <v>239</v>
      </c>
      <c r="AI62" s="92" t="s">
        <v>238</v>
      </c>
      <c r="AJ62" s="92" t="s">
        <v>239</v>
      </c>
      <c r="AK62" s="92" t="s">
        <v>159</v>
      </c>
      <c r="AL62" s="92" t="s">
        <v>240</v>
      </c>
      <c r="AM62" s="92" t="s">
        <v>161</v>
      </c>
      <c r="AP62" s="92" t="s">
        <v>415</v>
      </c>
      <c r="AQ62" s="92" t="s">
        <v>413</v>
      </c>
      <c r="AR62" s="92" t="s">
        <v>413</v>
      </c>
      <c r="AS62" s="92" t="s">
        <v>416</v>
      </c>
      <c r="AT62" s="101" t="n">
        <v>0</v>
      </c>
      <c r="AU62" s="101" t="n">
        <v>41713</v>
      </c>
      <c r="AX62" s="92" t="s">
        <v>165</v>
      </c>
    </row>
    <row r="63" customFormat="false" ht="13.8" hidden="false" customHeight="false" outlineLevel="0" collapsed="false">
      <c r="A63" s="92" t="s">
        <v>142</v>
      </c>
      <c r="B63" s="92" t="s">
        <v>143</v>
      </c>
      <c r="C63" s="92" t="n">
        <v>45083161</v>
      </c>
      <c r="D63" s="92" t="s">
        <v>417</v>
      </c>
      <c r="E63" s="92" t="s">
        <v>233</v>
      </c>
      <c r="F63" s="92" t="s">
        <v>371</v>
      </c>
      <c r="G63" s="92" t="s">
        <v>147</v>
      </c>
      <c r="H63" s="92" t="s">
        <v>402</v>
      </c>
      <c r="I63" s="92" t="s">
        <v>413</v>
      </c>
      <c r="J63" s="92" t="s">
        <v>413</v>
      </c>
      <c r="K63" s="101" t="n">
        <v>2696044</v>
      </c>
      <c r="L63" s="101" t="n">
        <f aca="false">K63-Q63+T63</f>
        <v>2696044</v>
      </c>
      <c r="M63" s="92" t="s">
        <v>149</v>
      </c>
      <c r="N63" s="101" t="n">
        <v>2696044</v>
      </c>
      <c r="O63" s="92" t="s">
        <v>149</v>
      </c>
      <c r="P63" s="101" t="n">
        <v>0</v>
      </c>
      <c r="Q63" s="101" t="n">
        <v>0</v>
      </c>
      <c r="R63" s="101" t="n">
        <v>2696044</v>
      </c>
      <c r="S63" s="101" t="n">
        <v>0</v>
      </c>
      <c r="T63" s="101" t="n">
        <v>0</v>
      </c>
      <c r="U63" s="92" t="s">
        <v>192</v>
      </c>
      <c r="V63" s="92" t="s">
        <v>151</v>
      </c>
      <c r="Y63" s="92" t="s">
        <v>418</v>
      </c>
      <c r="Z63" s="92" t="s">
        <v>419</v>
      </c>
      <c r="AD63" s="92" t="s">
        <v>155</v>
      </c>
      <c r="AE63" s="92" t="s">
        <v>156</v>
      </c>
      <c r="AF63" s="92" t="s">
        <v>238</v>
      </c>
      <c r="AG63" s="92" t="s">
        <v>239</v>
      </c>
      <c r="AI63" s="92" t="s">
        <v>238</v>
      </c>
      <c r="AJ63" s="92" t="s">
        <v>239</v>
      </c>
      <c r="AK63" s="92" t="s">
        <v>159</v>
      </c>
      <c r="AL63" s="92" t="s">
        <v>240</v>
      </c>
      <c r="AM63" s="92" t="s">
        <v>161</v>
      </c>
      <c r="AP63" s="92" t="s">
        <v>419</v>
      </c>
      <c r="AQ63" s="92" t="s">
        <v>413</v>
      </c>
      <c r="AR63" s="92" t="s">
        <v>413</v>
      </c>
      <c r="AS63" s="92" t="s">
        <v>420</v>
      </c>
      <c r="AT63" s="101" t="n">
        <v>0</v>
      </c>
      <c r="AU63" s="101" t="n">
        <v>2696044</v>
      </c>
      <c r="AX63" s="92" t="s">
        <v>165</v>
      </c>
    </row>
    <row r="64" customFormat="false" ht="13.8" hidden="false" customHeight="false" outlineLevel="0" collapsed="false">
      <c r="A64" s="92" t="s">
        <v>142</v>
      </c>
      <c r="B64" s="92" t="s">
        <v>143</v>
      </c>
      <c r="C64" s="92" t="n">
        <v>45083792</v>
      </c>
      <c r="D64" s="92" t="s">
        <v>421</v>
      </c>
      <c r="E64" s="92" t="s">
        <v>233</v>
      </c>
      <c r="F64" s="92" t="s">
        <v>278</v>
      </c>
      <c r="G64" s="92" t="s">
        <v>147</v>
      </c>
      <c r="H64" s="92" t="s">
        <v>402</v>
      </c>
      <c r="I64" s="92" t="s">
        <v>422</v>
      </c>
      <c r="J64" s="92" t="s">
        <v>422</v>
      </c>
      <c r="K64" s="101" t="n">
        <v>380140.76</v>
      </c>
      <c r="L64" s="101" t="n">
        <f aca="false">K64-Q64+T64</f>
        <v>380140.76</v>
      </c>
      <c r="M64" s="92" t="s">
        <v>149</v>
      </c>
      <c r="N64" s="101" t="n">
        <v>380140.76</v>
      </c>
      <c r="O64" s="92" t="s">
        <v>149</v>
      </c>
      <c r="P64" s="101" t="n">
        <v>0</v>
      </c>
      <c r="Q64" s="101" t="n">
        <v>0</v>
      </c>
      <c r="R64" s="101" t="n">
        <v>380140.76</v>
      </c>
      <c r="S64" s="101" t="n">
        <v>0</v>
      </c>
      <c r="T64" s="101" t="n">
        <v>0</v>
      </c>
      <c r="U64" s="92" t="s">
        <v>192</v>
      </c>
      <c r="V64" s="92" t="s">
        <v>151</v>
      </c>
      <c r="Y64" s="92" t="s">
        <v>423</v>
      </c>
      <c r="Z64" s="92" t="s">
        <v>424</v>
      </c>
      <c r="AD64" s="92" t="s">
        <v>155</v>
      </c>
      <c r="AE64" s="92" t="s">
        <v>156</v>
      </c>
      <c r="AF64" s="92" t="s">
        <v>238</v>
      </c>
      <c r="AG64" s="92" t="s">
        <v>239</v>
      </c>
      <c r="AI64" s="92" t="s">
        <v>238</v>
      </c>
      <c r="AJ64" s="92" t="s">
        <v>239</v>
      </c>
      <c r="AK64" s="92" t="s">
        <v>159</v>
      </c>
      <c r="AL64" s="92" t="s">
        <v>240</v>
      </c>
      <c r="AM64" s="92" t="s">
        <v>161</v>
      </c>
      <c r="AP64" s="92" t="s">
        <v>424</v>
      </c>
      <c r="AQ64" s="92" t="s">
        <v>422</v>
      </c>
      <c r="AR64" s="92" t="s">
        <v>422</v>
      </c>
      <c r="AS64" s="92" t="s">
        <v>425</v>
      </c>
      <c r="AT64" s="101" t="n">
        <v>0</v>
      </c>
      <c r="AU64" s="101" t="n">
        <v>380140.76</v>
      </c>
      <c r="AX64" s="92" t="s">
        <v>220</v>
      </c>
    </row>
    <row r="65" customFormat="false" ht="13.8" hidden="false" customHeight="false" outlineLevel="0" collapsed="false">
      <c r="A65" s="92" t="s">
        <v>142</v>
      </c>
      <c r="B65" s="92" t="s">
        <v>143</v>
      </c>
      <c r="C65" s="92" t="n">
        <v>45083792</v>
      </c>
      <c r="D65" s="92" t="s">
        <v>421</v>
      </c>
      <c r="E65" s="92" t="s">
        <v>233</v>
      </c>
      <c r="F65" s="92" t="s">
        <v>234</v>
      </c>
      <c r="G65" s="92" t="s">
        <v>147</v>
      </c>
      <c r="H65" s="92" t="s">
        <v>402</v>
      </c>
      <c r="I65" s="92" t="s">
        <v>422</v>
      </c>
      <c r="J65" s="92" t="s">
        <v>422</v>
      </c>
      <c r="K65" s="101" t="n">
        <v>464802</v>
      </c>
      <c r="L65" s="101" t="n">
        <f aca="false">K65-Q65+T65</f>
        <v>464802</v>
      </c>
      <c r="M65" s="92" t="s">
        <v>149</v>
      </c>
      <c r="N65" s="101" t="n">
        <v>464802</v>
      </c>
      <c r="O65" s="92" t="s">
        <v>149</v>
      </c>
      <c r="P65" s="101" t="n">
        <v>0</v>
      </c>
      <c r="Q65" s="101" t="n">
        <v>0</v>
      </c>
      <c r="R65" s="101" t="n">
        <v>464802</v>
      </c>
      <c r="S65" s="101" t="n">
        <v>0</v>
      </c>
      <c r="T65" s="101" t="n">
        <v>0</v>
      </c>
      <c r="U65" s="92" t="s">
        <v>192</v>
      </c>
      <c r="V65" s="92" t="s">
        <v>151</v>
      </c>
      <c r="Y65" s="92" t="s">
        <v>423</v>
      </c>
      <c r="Z65" s="92" t="s">
        <v>424</v>
      </c>
      <c r="AD65" s="92" t="s">
        <v>155</v>
      </c>
      <c r="AE65" s="92" t="s">
        <v>156</v>
      </c>
      <c r="AF65" s="92" t="s">
        <v>238</v>
      </c>
      <c r="AG65" s="92" t="s">
        <v>239</v>
      </c>
      <c r="AI65" s="92" t="s">
        <v>238</v>
      </c>
      <c r="AJ65" s="92" t="s">
        <v>239</v>
      </c>
      <c r="AK65" s="92" t="s">
        <v>159</v>
      </c>
      <c r="AL65" s="92" t="s">
        <v>240</v>
      </c>
      <c r="AM65" s="92" t="s">
        <v>161</v>
      </c>
      <c r="AP65" s="92" t="s">
        <v>424</v>
      </c>
      <c r="AQ65" s="92" t="s">
        <v>422</v>
      </c>
      <c r="AR65" s="92" t="s">
        <v>422</v>
      </c>
      <c r="AS65" s="92" t="s">
        <v>425</v>
      </c>
      <c r="AT65" s="101" t="n">
        <v>0</v>
      </c>
      <c r="AU65" s="101" t="n">
        <v>464802</v>
      </c>
      <c r="AX65" s="92" t="s">
        <v>165</v>
      </c>
    </row>
    <row r="66" customFormat="false" ht="13.8" hidden="false" customHeight="false" outlineLevel="0" collapsed="false">
      <c r="A66" s="92" t="s">
        <v>142</v>
      </c>
      <c r="B66" s="92" t="s">
        <v>143</v>
      </c>
      <c r="C66" s="92" t="n">
        <v>45086619</v>
      </c>
      <c r="D66" s="92" t="s">
        <v>426</v>
      </c>
      <c r="E66" s="92" t="s">
        <v>233</v>
      </c>
      <c r="F66" s="92" t="s">
        <v>167</v>
      </c>
      <c r="G66" s="92" t="s">
        <v>147</v>
      </c>
      <c r="H66" s="92" t="s">
        <v>402</v>
      </c>
      <c r="I66" s="92" t="s">
        <v>427</v>
      </c>
      <c r="J66" s="92" t="s">
        <v>427</v>
      </c>
      <c r="K66" s="101" t="n">
        <v>1751174.73</v>
      </c>
      <c r="L66" s="101" t="n">
        <f aca="false">K66-Q66+T66</f>
        <v>1751174.73</v>
      </c>
      <c r="M66" s="92" t="s">
        <v>149</v>
      </c>
      <c r="N66" s="101" t="n">
        <v>1751174.73</v>
      </c>
      <c r="O66" s="92" t="s">
        <v>149</v>
      </c>
      <c r="P66" s="101" t="n">
        <v>0</v>
      </c>
      <c r="Q66" s="101" t="n">
        <v>0</v>
      </c>
      <c r="R66" s="101" t="n">
        <v>1751174.73</v>
      </c>
      <c r="S66" s="101" t="n">
        <v>0</v>
      </c>
      <c r="T66" s="101" t="n">
        <v>0</v>
      </c>
      <c r="U66" s="92" t="s">
        <v>192</v>
      </c>
      <c r="V66" s="92" t="s">
        <v>151</v>
      </c>
      <c r="Y66" s="92" t="s">
        <v>428</v>
      </c>
      <c r="Z66" s="92" t="s">
        <v>429</v>
      </c>
      <c r="AD66" s="92" t="s">
        <v>155</v>
      </c>
      <c r="AE66" s="92" t="s">
        <v>156</v>
      </c>
      <c r="AF66" s="92" t="s">
        <v>238</v>
      </c>
      <c r="AG66" s="92" t="s">
        <v>239</v>
      </c>
      <c r="AI66" s="92" t="s">
        <v>238</v>
      </c>
      <c r="AJ66" s="92" t="s">
        <v>239</v>
      </c>
      <c r="AK66" s="92" t="s">
        <v>159</v>
      </c>
      <c r="AL66" s="92" t="s">
        <v>240</v>
      </c>
      <c r="AM66" s="92" t="s">
        <v>161</v>
      </c>
      <c r="AP66" s="92" t="s">
        <v>429</v>
      </c>
      <c r="AQ66" s="92" t="s">
        <v>427</v>
      </c>
      <c r="AR66" s="92" t="s">
        <v>427</v>
      </c>
      <c r="AS66" s="92" t="s">
        <v>430</v>
      </c>
      <c r="AT66" s="101" t="n">
        <v>0</v>
      </c>
      <c r="AU66" s="101" t="n">
        <v>1751174.73</v>
      </c>
      <c r="AX66" s="92" t="s">
        <v>220</v>
      </c>
    </row>
    <row r="67" customFormat="false" ht="13.8" hidden="false" customHeight="false" outlineLevel="0" collapsed="false">
      <c r="A67" s="92" t="s">
        <v>142</v>
      </c>
      <c r="B67" s="92" t="s">
        <v>143</v>
      </c>
      <c r="C67" s="92" t="n">
        <v>45086619</v>
      </c>
      <c r="D67" s="92" t="s">
        <v>426</v>
      </c>
      <c r="E67" s="92" t="s">
        <v>233</v>
      </c>
      <c r="F67" s="92" t="s">
        <v>167</v>
      </c>
      <c r="G67" s="92" t="s">
        <v>147</v>
      </c>
      <c r="H67" s="92" t="s">
        <v>402</v>
      </c>
      <c r="I67" s="92" t="s">
        <v>427</v>
      </c>
      <c r="J67" s="92" t="s">
        <v>427</v>
      </c>
      <c r="K67" s="101" t="n">
        <v>470975.91</v>
      </c>
      <c r="L67" s="101" t="n">
        <f aca="false">K67-Q67+T67</f>
        <v>470975.91</v>
      </c>
      <c r="M67" s="92" t="s">
        <v>149</v>
      </c>
      <c r="N67" s="101" t="n">
        <v>470975.91</v>
      </c>
      <c r="O67" s="92" t="s">
        <v>149</v>
      </c>
      <c r="P67" s="101" t="n">
        <v>0</v>
      </c>
      <c r="Q67" s="101" t="n">
        <v>0</v>
      </c>
      <c r="R67" s="101" t="n">
        <v>470975.91</v>
      </c>
      <c r="S67" s="101" t="n">
        <v>0</v>
      </c>
      <c r="T67" s="101" t="n">
        <v>0</v>
      </c>
      <c r="U67" s="92" t="s">
        <v>192</v>
      </c>
      <c r="V67" s="92" t="s">
        <v>151</v>
      </c>
      <c r="Y67" s="92" t="s">
        <v>428</v>
      </c>
      <c r="Z67" s="92" t="s">
        <v>429</v>
      </c>
      <c r="AD67" s="92" t="s">
        <v>155</v>
      </c>
      <c r="AE67" s="92" t="s">
        <v>156</v>
      </c>
      <c r="AF67" s="92" t="s">
        <v>238</v>
      </c>
      <c r="AG67" s="92" t="s">
        <v>239</v>
      </c>
      <c r="AI67" s="92" t="s">
        <v>238</v>
      </c>
      <c r="AJ67" s="92" t="s">
        <v>239</v>
      </c>
      <c r="AK67" s="92" t="s">
        <v>159</v>
      </c>
      <c r="AL67" s="92" t="s">
        <v>240</v>
      </c>
      <c r="AM67" s="92" t="s">
        <v>161</v>
      </c>
      <c r="AP67" s="92" t="s">
        <v>429</v>
      </c>
      <c r="AQ67" s="92" t="s">
        <v>427</v>
      </c>
      <c r="AR67" s="92" t="s">
        <v>427</v>
      </c>
      <c r="AS67" s="92" t="s">
        <v>430</v>
      </c>
      <c r="AT67" s="101" t="n">
        <v>0</v>
      </c>
      <c r="AU67" s="101" t="n">
        <v>470975.91</v>
      </c>
      <c r="AX67" s="92" t="s">
        <v>165</v>
      </c>
    </row>
    <row r="68" customFormat="false" ht="13.8" hidden="false" customHeight="false" outlineLevel="0" collapsed="false">
      <c r="A68" s="92" t="s">
        <v>142</v>
      </c>
      <c r="B68" s="92" t="s">
        <v>143</v>
      </c>
      <c r="C68" s="92" t="n">
        <v>45088348</v>
      </c>
      <c r="D68" s="92" t="s">
        <v>431</v>
      </c>
      <c r="E68" s="92" t="s">
        <v>233</v>
      </c>
      <c r="F68" s="92" t="s">
        <v>371</v>
      </c>
      <c r="G68" s="92" t="s">
        <v>147</v>
      </c>
      <c r="H68" s="92" t="s">
        <v>402</v>
      </c>
      <c r="I68" s="92" t="s">
        <v>432</v>
      </c>
      <c r="J68" s="92" t="s">
        <v>432</v>
      </c>
      <c r="K68" s="101" t="n">
        <v>941711</v>
      </c>
      <c r="L68" s="101" t="n">
        <f aca="false">K68-Q68+T68</f>
        <v>941711</v>
      </c>
      <c r="M68" s="92" t="s">
        <v>149</v>
      </c>
      <c r="N68" s="101" t="n">
        <v>941711</v>
      </c>
      <c r="O68" s="92" t="s">
        <v>149</v>
      </c>
      <c r="P68" s="101" t="n">
        <v>0</v>
      </c>
      <c r="Q68" s="101" t="n">
        <v>0</v>
      </c>
      <c r="R68" s="101" t="n">
        <v>941711</v>
      </c>
      <c r="S68" s="101" t="n">
        <v>0</v>
      </c>
      <c r="T68" s="101" t="n">
        <v>0</v>
      </c>
      <c r="U68" s="92" t="s">
        <v>192</v>
      </c>
      <c r="V68" s="92" t="s">
        <v>151</v>
      </c>
      <c r="Y68" s="92" t="s">
        <v>433</v>
      </c>
      <c r="Z68" s="92" t="s">
        <v>434</v>
      </c>
      <c r="AD68" s="92" t="s">
        <v>155</v>
      </c>
      <c r="AE68" s="92" t="s">
        <v>156</v>
      </c>
      <c r="AF68" s="92" t="s">
        <v>238</v>
      </c>
      <c r="AG68" s="92" t="s">
        <v>239</v>
      </c>
      <c r="AI68" s="92" t="s">
        <v>238</v>
      </c>
      <c r="AJ68" s="92" t="s">
        <v>239</v>
      </c>
      <c r="AK68" s="92" t="s">
        <v>159</v>
      </c>
      <c r="AL68" s="92" t="s">
        <v>240</v>
      </c>
      <c r="AM68" s="92" t="s">
        <v>161</v>
      </c>
      <c r="AP68" s="92" t="s">
        <v>434</v>
      </c>
      <c r="AQ68" s="92" t="s">
        <v>432</v>
      </c>
      <c r="AR68" s="92" t="s">
        <v>432</v>
      </c>
      <c r="AS68" s="92" t="s">
        <v>435</v>
      </c>
      <c r="AT68" s="101" t="n">
        <v>0</v>
      </c>
      <c r="AU68" s="101" t="n">
        <v>941711</v>
      </c>
      <c r="AX68" s="92" t="s">
        <v>165</v>
      </c>
    </row>
    <row r="69" customFormat="false" ht="13.8" hidden="false" customHeight="false" outlineLevel="0" collapsed="false">
      <c r="A69" s="92" t="s">
        <v>142</v>
      </c>
      <c r="B69" s="92" t="s">
        <v>143</v>
      </c>
      <c r="C69" s="92" t="n">
        <v>45089554</v>
      </c>
      <c r="D69" s="92" t="s">
        <v>436</v>
      </c>
      <c r="E69" s="92" t="s">
        <v>233</v>
      </c>
      <c r="F69" s="92" t="s">
        <v>266</v>
      </c>
      <c r="G69" s="92" t="s">
        <v>147</v>
      </c>
      <c r="H69" s="92" t="s">
        <v>402</v>
      </c>
      <c r="I69" s="92" t="s">
        <v>437</v>
      </c>
      <c r="J69" s="92" t="s">
        <v>437</v>
      </c>
      <c r="K69" s="101" t="n">
        <v>672600</v>
      </c>
      <c r="L69" s="101" t="n">
        <f aca="false">K69-Q69+T69</f>
        <v>672600</v>
      </c>
      <c r="M69" s="92" t="s">
        <v>149</v>
      </c>
      <c r="N69" s="101" t="n">
        <v>672600</v>
      </c>
      <c r="O69" s="92" t="s">
        <v>149</v>
      </c>
      <c r="P69" s="101" t="n">
        <v>0</v>
      </c>
      <c r="Q69" s="101" t="n">
        <v>0</v>
      </c>
      <c r="R69" s="101" t="n">
        <v>672600</v>
      </c>
      <c r="S69" s="101" t="n">
        <v>0</v>
      </c>
      <c r="T69" s="101" t="n">
        <v>0</v>
      </c>
      <c r="U69" s="92" t="s">
        <v>192</v>
      </c>
      <c r="V69" s="92" t="s">
        <v>151</v>
      </c>
      <c r="Y69" s="92" t="s">
        <v>438</v>
      </c>
      <c r="Z69" s="92" t="s">
        <v>439</v>
      </c>
      <c r="AD69" s="92" t="s">
        <v>155</v>
      </c>
      <c r="AE69" s="92" t="s">
        <v>156</v>
      </c>
      <c r="AF69" s="92" t="s">
        <v>238</v>
      </c>
      <c r="AG69" s="92" t="s">
        <v>239</v>
      </c>
      <c r="AI69" s="92" t="s">
        <v>238</v>
      </c>
      <c r="AJ69" s="92" t="s">
        <v>239</v>
      </c>
      <c r="AK69" s="92" t="s">
        <v>159</v>
      </c>
      <c r="AL69" s="92" t="s">
        <v>240</v>
      </c>
      <c r="AM69" s="92" t="s">
        <v>161</v>
      </c>
      <c r="AP69" s="92" t="s">
        <v>439</v>
      </c>
      <c r="AQ69" s="92" t="s">
        <v>437</v>
      </c>
      <c r="AR69" s="92" t="s">
        <v>437</v>
      </c>
      <c r="AS69" s="92" t="s">
        <v>440</v>
      </c>
      <c r="AT69" s="101" t="n">
        <v>0</v>
      </c>
      <c r="AU69" s="101" t="n">
        <v>672600</v>
      </c>
      <c r="AX69" s="92" t="s">
        <v>165</v>
      </c>
    </row>
    <row r="70" customFormat="false" ht="13.8" hidden="false" customHeight="false" outlineLevel="0" collapsed="false">
      <c r="A70" s="92" t="s">
        <v>142</v>
      </c>
      <c r="B70" s="92" t="s">
        <v>143</v>
      </c>
      <c r="C70" s="92" t="n">
        <v>45093029</v>
      </c>
      <c r="D70" s="92" t="s">
        <v>441</v>
      </c>
      <c r="E70" s="92" t="s">
        <v>233</v>
      </c>
      <c r="F70" s="92" t="s">
        <v>371</v>
      </c>
      <c r="G70" s="92" t="s">
        <v>147</v>
      </c>
      <c r="H70" s="92" t="s">
        <v>402</v>
      </c>
      <c r="I70" s="92" t="s">
        <v>442</v>
      </c>
      <c r="J70" s="92" t="s">
        <v>442</v>
      </c>
      <c r="K70" s="101" t="n">
        <v>73056</v>
      </c>
      <c r="L70" s="101" t="n">
        <f aca="false">K70-Q70+T70</f>
        <v>73056</v>
      </c>
      <c r="M70" s="92" t="s">
        <v>149</v>
      </c>
      <c r="N70" s="101" t="n">
        <v>73056</v>
      </c>
      <c r="O70" s="92" t="s">
        <v>149</v>
      </c>
      <c r="P70" s="101" t="n">
        <v>0</v>
      </c>
      <c r="Q70" s="101" t="n">
        <v>0</v>
      </c>
      <c r="R70" s="101" t="n">
        <v>73056</v>
      </c>
      <c r="S70" s="101" t="n">
        <v>0</v>
      </c>
      <c r="T70" s="101" t="n">
        <v>0</v>
      </c>
      <c r="U70" s="92" t="s">
        <v>192</v>
      </c>
      <c r="V70" s="92" t="s">
        <v>151</v>
      </c>
      <c r="Y70" s="92" t="s">
        <v>443</v>
      </c>
      <c r="Z70" s="92" t="s">
        <v>444</v>
      </c>
      <c r="AD70" s="92" t="s">
        <v>155</v>
      </c>
      <c r="AE70" s="92" t="s">
        <v>156</v>
      </c>
      <c r="AF70" s="92" t="s">
        <v>238</v>
      </c>
      <c r="AG70" s="92" t="s">
        <v>239</v>
      </c>
      <c r="AI70" s="92" t="s">
        <v>238</v>
      </c>
      <c r="AJ70" s="92" t="s">
        <v>239</v>
      </c>
      <c r="AK70" s="92" t="s">
        <v>159</v>
      </c>
      <c r="AL70" s="92" t="s">
        <v>240</v>
      </c>
      <c r="AM70" s="92" t="s">
        <v>161</v>
      </c>
      <c r="AP70" s="92" t="s">
        <v>444</v>
      </c>
      <c r="AQ70" s="92" t="s">
        <v>442</v>
      </c>
      <c r="AR70" s="92" t="s">
        <v>442</v>
      </c>
      <c r="AS70" s="92" t="s">
        <v>445</v>
      </c>
      <c r="AT70" s="101" t="n">
        <v>0</v>
      </c>
      <c r="AU70" s="101" t="n">
        <v>73056</v>
      </c>
      <c r="AX70" s="92" t="s">
        <v>165</v>
      </c>
    </row>
    <row r="71" customFormat="false" ht="13.8" hidden="false" customHeight="false" outlineLevel="0" collapsed="false">
      <c r="A71" s="92" t="s">
        <v>142</v>
      </c>
      <c r="B71" s="92" t="s">
        <v>143</v>
      </c>
      <c r="C71" s="92" t="n">
        <v>45096992</v>
      </c>
      <c r="D71" s="92" t="s">
        <v>446</v>
      </c>
      <c r="E71" s="92" t="s">
        <v>233</v>
      </c>
      <c r="F71" s="92" t="s">
        <v>266</v>
      </c>
      <c r="G71" s="92" t="s">
        <v>147</v>
      </c>
      <c r="H71" s="92" t="s">
        <v>402</v>
      </c>
      <c r="I71" s="92" t="s">
        <v>447</v>
      </c>
      <c r="J71" s="92" t="s">
        <v>447</v>
      </c>
      <c r="K71" s="101" t="n">
        <v>6143227.65</v>
      </c>
      <c r="L71" s="101" t="n">
        <f aca="false">K71-Q71+T71</f>
        <v>6143227.65</v>
      </c>
      <c r="M71" s="92" t="s">
        <v>149</v>
      </c>
      <c r="N71" s="101" t="n">
        <v>6143227.65</v>
      </c>
      <c r="O71" s="92" t="s">
        <v>149</v>
      </c>
      <c r="P71" s="101" t="n">
        <v>0</v>
      </c>
      <c r="Q71" s="101" t="n">
        <v>0</v>
      </c>
      <c r="R71" s="101" t="n">
        <v>6143227.65</v>
      </c>
      <c r="S71" s="101" t="n">
        <v>0</v>
      </c>
      <c r="T71" s="101" t="n">
        <v>0</v>
      </c>
      <c r="U71" s="92" t="s">
        <v>192</v>
      </c>
      <c r="V71" s="92" t="s">
        <v>151</v>
      </c>
      <c r="Y71" s="92" t="s">
        <v>448</v>
      </c>
      <c r="Z71" s="92" t="s">
        <v>449</v>
      </c>
      <c r="AD71" s="92" t="s">
        <v>155</v>
      </c>
      <c r="AE71" s="92" t="s">
        <v>156</v>
      </c>
      <c r="AF71" s="92" t="s">
        <v>238</v>
      </c>
      <c r="AG71" s="92" t="s">
        <v>239</v>
      </c>
      <c r="AI71" s="92" t="s">
        <v>238</v>
      </c>
      <c r="AJ71" s="92" t="s">
        <v>239</v>
      </c>
      <c r="AK71" s="92" t="s">
        <v>159</v>
      </c>
      <c r="AL71" s="92" t="s">
        <v>240</v>
      </c>
      <c r="AM71" s="92" t="s">
        <v>161</v>
      </c>
      <c r="AP71" s="92" t="s">
        <v>449</v>
      </c>
      <c r="AQ71" s="92" t="s">
        <v>447</v>
      </c>
      <c r="AR71" s="92" t="s">
        <v>447</v>
      </c>
      <c r="AS71" s="92" t="s">
        <v>450</v>
      </c>
      <c r="AT71" s="101" t="n">
        <v>0</v>
      </c>
      <c r="AU71" s="101" t="n">
        <v>6143227.65</v>
      </c>
      <c r="AX71" s="92" t="s">
        <v>165</v>
      </c>
    </row>
    <row r="72" customFormat="false" ht="13.8" hidden="false" customHeight="false" outlineLevel="0" collapsed="false">
      <c r="A72" s="92" t="s">
        <v>142</v>
      </c>
      <c r="B72" s="92" t="s">
        <v>143</v>
      </c>
      <c r="C72" s="92" t="n">
        <v>45098806</v>
      </c>
      <c r="D72" s="92" t="s">
        <v>451</v>
      </c>
      <c r="E72" s="92" t="s">
        <v>233</v>
      </c>
      <c r="F72" s="92" t="s">
        <v>234</v>
      </c>
      <c r="G72" s="92" t="s">
        <v>147</v>
      </c>
      <c r="H72" s="92" t="s">
        <v>402</v>
      </c>
      <c r="I72" s="92" t="s">
        <v>452</v>
      </c>
      <c r="J72" s="92" t="s">
        <v>452</v>
      </c>
      <c r="K72" s="101" t="n">
        <v>774670</v>
      </c>
      <c r="L72" s="101" t="n">
        <f aca="false">K72-Q72+T72</f>
        <v>774670</v>
      </c>
      <c r="M72" s="92" t="s">
        <v>149</v>
      </c>
      <c r="N72" s="101" t="n">
        <v>774670</v>
      </c>
      <c r="O72" s="92" t="s">
        <v>149</v>
      </c>
      <c r="P72" s="101" t="n">
        <v>0</v>
      </c>
      <c r="Q72" s="101" t="n">
        <v>0</v>
      </c>
      <c r="R72" s="101" t="n">
        <v>774670</v>
      </c>
      <c r="S72" s="101" t="n">
        <v>0</v>
      </c>
      <c r="T72" s="101" t="n">
        <v>0</v>
      </c>
      <c r="U72" s="92" t="s">
        <v>192</v>
      </c>
      <c r="V72" s="92" t="s">
        <v>151</v>
      </c>
      <c r="Y72" s="92" t="s">
        <v>453</v>
      </c>
      <c r="Z72" s="92" t="s">
        <v>454</v>
      </c>
      <c r="AD72" s="92" t="s">
        <v>155</v>
      </c>
      <c r="AE72" s="92" t="s">
        <v>156</v>
      </c>
      <c r="AF72" s="92" t="s">
        <v>238</v>
      </c>
      <c r="AG72" s="92" t="s">
        <v>239</v>
      </c>
      <c r="AI72" s="92" t="s">
        <v>238</v>
      </c>
      <c r="AJ72" s="92" t="s">
        <v>239</v>
      </c>
      <c r="AK72" s="92" t="s">
        <v>159</v>
      </c>
      <c r="AL72" s="92" t="s">
        <v>240</v>
      </c>
      <c r="AM72" s="92" t="s">
        <v>161</v>
      </c>
      <c r="AP72" s="92" t="s">
        <v>454</v>
      </c>
      <c r="AQ72" s="92" t="s">
        <v>452</v>
      </c>
      <c r="AR72" s="92" t="s">
        <v>452</v>
      </c>
      <c r="AS72" s="92" t="s">
        <v>455</v>
      </c>
      <c r="AT72" s="101" t="n">
        <v>0</v>
      </c>
      <c r="AU72" s="101" t="n">
        <v>774670</v>
      </c>
      <c r="AX72" s="92" t="s">
        <v>165</v>
      </c>
    </row>
    <row r="73" customFormat="false" ht="13.8" hidden="false" customHeight="false" outlineLevel="0" collapsed="false">
      <c r="A73" s="92" t="s">
        <v>142</v>
      </c>
      <c r="B73" s="92" t="s">
        <v>143</v>
      </c>
      <c r="C73" s="92" t="n">
        <v>45099723</v>
      </c>
      <c r="D73" s="92" t="s">
        <v>456</v>
      </c>
      <c r="E73" s="92" t="s">
        <v>233</v>
      </c>
      <c r="F73" s="92" t="s">
        <v>297</v>
      </c>
      <c r="G73" s="92" t="s">
        <v>147</v>
      </c>
      <c r="H73" s="92" t="s">
        <v>402</v>
      </c>
      <c r="I73" s="92" t="s">
        <v>457</v>
      </c>
      <c r="J73" s="92" t="s">
        <v>457</v>
      </c>
      <c r="K73" s="101" t="n">
        <v>3625191.9</v>
      </c>
      <c r="L73" s="101" t="n">
        <f aca="false">K73-Q73+T73</f>
        <v>3625191.9</v>
      </c>
      <c r="M73" s="92" t="s">
        <v>149</v>
      </c>
      <c r="N73" s="101" t="n">
        <v>3625191.9</v>
      </c>
      <c r="O73" s="92" t="s">
        <v>149</v>
      </c>
      <c r="P73" s="101" t="n">
        <v>0</v>
      </c>
      <c r="Q73" s="101" t="n">
        <v>0</v>
      </c>
      <c r="R73" s="101" t="n">
        <v>3625191.9</v>
      </c>
      <c r="S73" s="101" t="n">
        <v>0</v>
      </c>
      <c r="T73" s="101" t="n">
        <v>0</v>
      </c>
      <c r="U73" s="92" t="s">
        <v>192</v>
      </c>
      <c r="V73" s="92" t="s">
        <v>151</v>
      </c>
      <c r="Y73" s="92" t="s">
        <v>458</v>
      </c>
      <c r="Z73" s="92" t="s">
        <v>459</v>
      </c>
      <c r="AD73" s="92" t="s">
        <v>155</v>
      </c>
      <c r="AE73" s="92" t="s">
        <v>156</v>
      </c>
      <c r="AF73" s="92" t="s">
        <v>238</v>
      </c>
      <c r="AG73" s="92" t="s">
        <v>239</v>
      </c>
      <c r="AI73" s="92" t="s">
        <v>238</v>
      </c>
      <c r="AJ73" s="92" t="s">
        <v>239</v>
      </c>
      <c r="AK73" s="92" t="s">
        <v>159</v>
      </c>
      <c r="AL73" s="92" t="s">
        <v>240</v>
      </c>
      <c r="AM73" s="92" t="s">
        <v>161</v>
      </c>
      <c r="AP73" s="92" t="s">
        <v>459</v>
      </c>
      <c r="AQ73" s="92" t="s">
        <v>457</v>
      </c>
      <c r="AR73" s="92" t="s">
        <v>457</v>
      </c>
      <c r="AS73" s="92" t="s">
        <v>460</v>
      </c>
      <c r="AT73" s="101" t="n">
        <v>0</v>
      </c>
      <c r="AU73" s="101" t="n">
        <v>3625191.9</v>
      </c>
      <c r="AX73" s="92" t="s">
        <v>165</v>
      </c>
    </row>
    <row r="74" customFormat="false" ht="13.8" hidden="false" customHeight="false" outlineLevel="0" collapsed="false">
      <c r="A74" s="92" t="s">
        <v>142</v>
      </c>
      <c r="B74" s="92" t="s">
        <v>143</v>
      </c>
      <c r="C74" s="92" t="n">
        <v>45101010</v>
      </c>
      <c r="D74" s="92" t="s">
        <v>461</v>
      </c>
      <c r="E74" s="92" t="s">
        <v>233</v>
      </c>
      <c r="F74" s="92" t="s">
        <v>234</v>
      </c>
      <c r="G74" s="92" t="s">
        <v>147</v>
      </c>
      <c r="H74" s="92" t="s">
        <v>402</v>
      </c>
      <c r="I74" s="92" t="s">
        <v>462</v>
      </c>
      <c r="J74" s="92" t="s">
        <v>462</v>
      </c>
      <c r="K74" s="101" t="n">
        <v>2354996.8</v>
      </c>
      <c r="L74" s="101" t="n">
        <f aca="false">K74-Q74+T74</f>
        <v>2354996.8</v>
      </c>
      <c r="M74" s="92" t="s">
        <v>149</v>
      </c>
      <c r="N74" s="101" t="n">
        <v>2354996.8</v>
      </c>
      <c r="O74" s="92" t="s">
        <v>149</v>
      </c>
      <c r="P74" s="101" t="n">
        <v>0</v>
      </c>
      <c r="Q74" s="101" t="n">
        <v>0</v>
      </c>
      <c r="R74" s="101" t="n">
        <v>2354996.8</v>
      </c>
      <c r="S74" s="101" t="n">
        <v>0</v>
      </c>
      <c r="T74" s="101" t="n">
        <v>0</v>
      </c>
      <c r="U74" s="92" t="s">
        <v>192</v>
      </c>
      <c r="V74" s="92" t="s">
        <v>151</v>
      </c>
      <c r="Y74" s="92" t="s">
        <v>463</v>
      </c>
      <c r="Z74" s="92" t="s">
        <v>464</v>
      </c>
      <c r="AD74" s="92" t="s">
        <v>155</v>
      </c>
      <c r="AE74" s="92" t="s">
        <v>156</v>
      </c>
      <c r="AF74" s="92" t="s">
        <v>238</v>
      </c>
      <c r="AG74" s="92" t="s">
        <v>239</v>
      </c>
      <c r="AI74" s="92" t="s">
        <v>238</v>
      </c>
      <c r="AJ74" s="92" t="s">
        <v>239</v>
      </c>
      <c r="AK74" s="92" t="s">
        <v>159</v>
      </c>
      <c r="AL74" s="92" t="s">
        <v>240</v>
      </c>
      <c r="AM74" s="92" t="s">
        <v>161</v>
      </c>
      <c r="AP74" s="92" t="s">
        <v>464</v>
      </c>
      <c r="AQ74" s="92" t="s">
        <v>462</v>
      </c>
      <c r="AR74" s="92" t="s">
        <v>462</v>
      </c>
      <c r="AS74" s="92" t="s">
        <v>465</v>
      </c>
      <c r="AT74" s="101" t="n">
        <v>0</v>
      </c>
      <c r="AU74" s="101" t="n">
        <v>2354996.8</v>
      </c>
      <c r="AX74" s="92" t="s">
        <v>165</v>
      </c>
    </row>
    <row r="75" customFormat="false" ht="13.8" hidden="false" customHeight="false" outlineLevel="0" collapsed="false">
      <c r="A75" s="92" t="s">
        <v>142</v>
      </c>
      <c r="B75" s="92" t="s">
        <v>143</v>
      </c>
      <c r="C75" s="92" t="n">
        <v>45102232</v>
      </c>
      <c r="D75" s="92" t="s">
        <v>466</v>
      </c>
      <c r="E75" s="92" t="s">
        <v>233</v>
      </c>
      <c r="F75" s="92" t="s">
        <v>167</v>
      </c>
      <c r="G75" s="92" t="s">
        <v>147</v>
      </c>
      <c r="H75" s="92" t="s">
        <v>402</v>
      </c>
      <c r="I75" s="92" t="s">
        <v>467</v>
      </c>
      <c r="J75" s="92" t="s">
        <v>467</v>
      </c>
      <c r="K75" s="101" t="n">
        <v>481098.26</v>
      </c>
      <c r="L75" s="101" t="n">
        <f aca="false">K75-Q75+T75</f>
        <v>481098.26</v>
      </c>
      <c r="M75" s="92" t="s">
        <v>149</v>
      </c>
      <c r="N75" s="101" t="n">
        <v>481098.26</v>
      </c>
      <c r="O75" s="92" t="s">
        <v>149</v>
      </c>
      <c r="P75" s="101" t="n">
        <v>0</v>
      </c>
      <c r="Q75" s="101" t="n">
        <v>0</v>
      </c>
      <c r="R75" s="101" t="n">
        <v>481098.26</v>
      </c>
      <c r="S75" s="101" t="n">
        <v>0</v>
      </c>
      <c r="T75" s="101" t="n">
        <v>0</v>
      </c>
      <c r="U75" s="92" t="s">
        <v>192</v>
      </c>
      <c r="V75" s="92" t="s">
        <v>151</v>
      </c>
      <c r="Y75" s="92" t="s">
        <v>468</v>
      </c>
      <c r="Z75" s="92" t="s">
        <v>469</v>
      </c>
      <c r="AD75" s="92" t="s">
        <v>155</v>
      </c>
      <c r="AE75" s="92" t="s">
        <v>156</v>
      </c>
      <c r="AF75" s="92" t="s">
        <v>238</v>
      </c>
      <c r="AG75" s="92" t="s">
        <v>239</v>
      </c>
      <c r="AI75" s="92" t="s">
        <v>238</v>
      </c>
      <c r="AJ75" s="92" t="s">
        <v>239</v>
      </c>
      <c r="AK75" s="92" t="s">
        <v>159</v>
      </c>
      <c r="AL75" s="92" t="s">
        <v>240</v>
      </c>
      <c r="AM75" s="92" t="s">
        <v>161</v>
      </c>
      <c r="AP75" s="92" t="s">
        <v>469</v>
      </c>
      <c r="AQ75" s="92" t="s">
        <v>467</v>
      </c>
      <c r="AR75" s="92" t="s">
        <v>467</v>
      </c>
      <c r="AS75" s="92" t="s">
        <v>470</v>
      </c>
      <c r="AT75" s="101" t="n">
        <v>0</v>
      </c>
      <c r="AU75" s="101" t="n">
        <v>481098.26</v>
      </c>
      <c r="AX75" s="92" t="s">
        <v>220</v>
      </c>
    </row>
    <row r="76" customFormat="false" ht="13.8" hidden="false" customHeight="false" outlineLevel="0" collapsed="false">
      <c r="A76" s="92" t="s">
        <v>142</v>
      </c>
      <c r="B76" s="92" t="s">
        <v>143</v>
      </c>
      <c r="C76" s="92" t="n">
        <v>45102232</v>
      </c>
      <c r="D76" s="92" t="s">
        <v>466</v>
      </c>
      <c r="E76" s="92" t="s">
        <v>233</v>
      </c>
      <c r="F76" s="92" t="s">
        <v>167</v>
      </c>
      <c r="G76" s="92" t="s">
        <v>147</v>
      </c>
      <c r="H76" s="92" t="s">
        <v>402</v>
      </c>
      <c r="I76" s="92" t="s">
        <v>467</v>
      </c>
      <c r="J76" s="92" t="s">
        <v>467</v>
      </c>
      <c r="K76" s="101" t="n">
        <v>1057431.95</v>
      </c>
      <c r="L76" s="101" t="n">
        <f aca="false">K76-Q76+T76</f>
        <v>1057431.95</v>
      </c>
      <c r="M76" s="92" t="s">
        <v>149</v>
      </c>
      <c r="N76" s="101" t="n">
        <v>1057431.95</v>
      </c>
      <c r="O76" s="92" t="s">
        <v>149</v>
      </c>
      <c r="P76" s="101" t="n">
        <v>0</v>
      </c>
      <c r="Q76" s="101" t="n">
        <v>0</v>
      </c>
      <c r="R76" s="101" t="n">
        <v>1057431.95</v>
      </c>
      <c r="S76" s="101" t="n">
        <v>0</v>
      </c>
      <c r="T76" s="101" t="n">
        <v>0</v>
      </c>
      <c r="U76" s="92" t="s">
        <v>192</v>
      </c>
      <c r="V76" s="92" t="s">
        <v>151</v>
      </c>
      <c r="Y76" s="92" t="s">
        <v>468</v>
      </c>
      <c r="Z76" s="92" t="s">
        <v>469</v>
      </c>
      <c r="AD76" s="92" t="s">
        <v>155</v>
      </c>
      <c r="AE76" s="92" t="s">
        <v>156</v>
      </c>
      <c r="AF76" s="92" t="s">
        <v>238</v>
      </c>
      <c r="AG76" s="92" t="s">
        <v>239</v>
      </c>
      <c r="AI76" s="92" t="s">
        <v>238</v>
      </c>
      <c r="AJ76" s="92" t="s">
        <v>239</v>
      </c>
      <c r="AK76" s="92" t="s">
        <v>159</v>
      </c>
      <c r="AL76" s="92" t="s">
        <v>240</v>
      </c>
      <c r="AM76" s="92" t="s">
        <v>161</v>
      </c>
      <c r="AP76" s="92" t="s">
        <v>469</v>
      </c>
      <c r="AQ76" s="92" t="s">
        <v>467</v>
      </c>
      <c r="AR76" s="92" t="s">
        <v>467</v>
      </c>
      <c r="AS76" s="92" t="s">
        <v>470</v>
      </c>
      <c r="AT76" s="101" t="n">
        <v>0</v>
      </c>
      <c r="AU76" s="101" t="n">
        <v>1057431.95</v>
      </c>
      <c r="AX76" s="92" t="s">
        <v>165</v>
      </c>
    </row>
    <row r="77" customFormat="false" ht="13.8" hidden="false" customHeight="false" outlineLevel="0" collapsed="false">
      <c r="A77" s="92" t="s">
        <v>142</v>
      </c>
      <c r="B77" s="92" t="s">
        <v>143</v>
      </c>
      <c r="C77" s="92" t="n">
        <v>45102232</v>
      </c>
      <c r="D77" s="92" t="s">
        <v>466</v>
      </c>
      <c r="E77" s="92" t="s">
        <v>233</v>
      </c>
      <c r="F77" s="92" t="s">
        <v>167</v>
      </c>
      <c r="G77" s="92" t="s">
        <v>147</v>
      </c>
      <c r="H77" s="92" t="s">
        <v>402</v>
      </c>
      <c r="I77" s="92" t="s">
        <v>467</v>
      </c>
      <c r="J77" s="92" t="s">
        <v>467</v>
      </c>
      <c r="K77" s="101" t="n">
        <v>80419.25</v>
      </c>
      <c r="L77" s="101" t="n">
        <f aca="false">K77-Q77+T77</f>
        <v>80419.25</v>
      </c>
      <c r="M77" s="92" t="s">
        <v>149</v>
      </c>
      <c r="N77" s="101" t="n">
        <v>80419.25</v>
      </c>
      <c r="O77" s="92" t="s">
        <v>149</v>
      </c>
      <c r="P77" s="101" t="n">
        <v>0</v>
      </c>
      <c r="Q77" s="101" t="n">
        <v>0</v>
      </c>
      <c r="R77" s="101" t="n">
        <v>80419.25</v>
      </c>
      <c r="S77" s="101" t="n">
        <v>0</v>
      </c>
      <c r="T77" s="101" t="n">
        <v>0</v>
      </c>
      <c r="U77" s="92" t="s">
        <v>192</v>
      </c>
      <c r="V77" s="92" t="s">
        <v>151</v>
      </c>
      <c r="Y77" s="92" t="s">
        <v>468</v>
      </c>
      <c r="Z77" s="92" t="s">
        <v>469</v>
      </c>
      <c r="AD77" s="92" t="s">
        <v>155</v>
      </c>
      <c r="AE77" s="92" t="s">
        <v>156</v>
      </c>
      <c r="AF77" s="92" t="s">
        <v>238</v>
      </c>
      <c r="AG77" s="92" t="s">
        <v>239</v>
      </c>
      <c r="AI77" s="92" t="s">
        <v>238</v>
      </c>
      <c r="AJ77" s="92" t="s">
        <v>239</v>
      </c>
      <c r="AK77" s="92" t="s">
        <v>159</v>
      </c>
      <c r="AL77" s="92" t="s">
        <v>240</v>
      </c>
      <c r="AM77" s="92" t="s">
        <v>161</v>
      </c>
      <c r="AP77" s="92" t="s">
        <v>469</v>
      </c>
      <c r="AQ77" s="92" t="s">
        <v>467</v>
      </c>
      <c r="AR77" s="92" t="s">
        <v>467</v>
      </c>
      <c r="AS77" s="92" t="s">
        <v>470</v>
      </c>
      <c r="AT77" s="101" t="n">
        <v>0</v>
      </c>
      <c r="AU77" s="101" t="n">
        <v>80419.25</v>
      </c>
      <c r="AX77" s="92" t="s">
        <v>148</v>
      </c>
    </row>
    <row r="78" customFormat="false" ht="13.8" hidden="false" customHeight="false" outlineLevel="0" collapsed="false">
      <c r="A78" s="92" t="s">
        <v>142</v>
      </c>
      <c r="B78" s="92" t="s">
        <v>143</v>
      </c>
      <c r="C78" s="92" t="n">
        <v>45105884</v>
      </c>
      <c r="D78" s="92" t="s">
        <v>471</v>
      </c>
      <c r="E78" s="92" t="s">
        <v>233</v>
      </c>
      <c r="F78" s="92" t="s">
        <v>297</v>
      </c>
      <c r="G78" s="92" t="s">
        <v>147</v>
      </c>
      <c r="H78" s="92" t="s">
        <v>168</v>
      </c>
      <c r="I78" s="92" t="s">
        <v>472</v>
      </c>
      <c r="J78" s="92" t="s">
        <v>472</v>
      </c>
      <c r="K78" s="101" t="n">
        <v>1743896.04</v>
      </c>
      <c r="L78" s="101" t="n">
        <f aca="false">K78-Q78+T78</f>
        <v>1743896.04</v>
      </c>
      <c r="M78" s="92" t="s">
        <v>149</v>
      </c>
      <c r="N78" s="101" t="n">
        <v>1743896.04</v>
      </c>
      <c r="O78" s="92" t="s">
        <v>149</v>
      </c>
      <c r="P78" s="101" t="n">
        <v>0</v>
      </c>
      <c r="Q78" s="101" t="n">
        <v>0</v>
      </c>
      <c r="R78" s="101" t="n">
        <v>1743896.04</v>
      </c>
      <c r="S78" s="101" t="n">
        <v>0</v>
      </c>
      <c r="T78" s="101" t="n">
        <v>0</v>
      </c>
      <c r="U78" s="92" t="s">
        <v>192</v>
      </c>
      <c r="V78" s="92" t="s">
        <v>151</v>
      </c>
      <c r="Y78" s="92" t="s">
        <v>473</v>
      </c>
      <c r="Z78" s="92" t="s">
        <v>474</v>
      </c>
      <c r="AD78" s="92" t="s">
        <v>155</v>
      </c>
      <c r="AE78" s="92" t="s">
        <v>156</v>
      </c>
      <c r="AF78" s="92" t="s">
        <v>238</v>
      </c>
      <c r="AG78" s="92" t="s">
        <v>239</v>
      </c>
      <c r="AI78" s="92" t="s">
        <v>238</v>
      </c>
      <c r="AJ78" s="92" t="s">
        <v>239</v>
      </c>
      <c r="AK78" s="92" t="s">
        <v>159</v>
      </c>
      <c r="AL78" s="92" t="s">
        <v>240</v>
      </c>
      <c r="AM78" s="92" t="s">
        <v>161</v>
      </c>
      <c r="AP78" s="92" t="s">
        <v>474</v>
      </c>
      <c r="AQ78" s="92" t="s">
        <v>472</v>
      </c>
      <c r="AR78" s="92" t="s">
        <v>472</v>
      </c>
      <c r="AS78" s="92" t="s">
        <v>475</v>
      </c>
      <c r="AT78" s="101" t="n">
        <v>0</v>
      </c>
      <c r="AU78" s="101" t="n">
        <v>1743896.04</v>
      </c>
      <c r="AX78" s="92" t="s">
        <v>165</v>
      </c>
    </row>
    <row r="79" customFormat="false" ht="13.8" hidden="false" customHeight="false" outlineLevel="0" collapsed="false">
      <c r="A79" s="92" t="s">
        <v>142</v>
      </c>
      <c r="B79" s="92" t="s">
        <v>143</v>
      </c>
      <c r="C79" s="92" t="n">
        <v>45108277</v>
      </c>
      <c r="D79" s="92" t="s">
        <v>476</v>
      </c>
      <c r="E79" s="92" t="s">
        <v>233</v>
      </c>
      <c r="F79" s="92" t="s">
        <v>167</v>
      </c>
      <c r="G79" s="92" t="s">
        <v>147</v>
      </c>
      <c r="H79" s="92" t="s">
        <v>168</v>
      </c>
      <c r="I79" s="92" t="s">
        <v>477</v>
      </c>
      <c r="J79" s="92" t="s">
        <v>477</v>
      </c>
      <c r="K79" s="101" t="n">
        <v>785573.6</v>
      </c>
      <c r="L79" s="101" t="n">
        <f aca="false">K79-Q79+T79</f>
        <v>785573.6</v>
      </c>
      <c r="M79" s="92" t="s">
        <v>149</v>
      </c>
      <c r="N79" s="101" t="n">
        <v>785573.6</v>
      </c>
      <c r="O79" s="92" t="s">
        <v>149</v>
      </c>
      <c r="P79" s="101" t="n">
        <v>0</v>
      </c>
      <c r="Q79" s="101" t="n">
        <v>0</v>
      </c>
      <c r="R79" s="101" t="n">
        <v>785573.6</v>
      </c>
      <c r="S79" s="101" t="n">
        <v>0</v>
      </c>
      <c r="T79" s="101" t="n">
        <v>0</v>
      </c>
      <c r="U79" s="92" t="s">
        <v>192</v>
      </c>
      <c r="V79" s="92" t="s">
        <v>151</v>
      </c>
      <c r="Y79" s="92" t="s">
        <v>478</v>
      </c>
      <c r="Z79" s="92" t="s">
        <v>479</v>
      </c>
      <c r="AD79" s="92" t="s">
        <v>155</v>
      </c>
      <c r="AE79" s="92" t="s">
        <v>156</v>
      </c>
      <c r="AF79" s="92" t="s">
        <v>238</v>
      </c>
      <c r="AG79" s="92" t="s">
        <v>239</v>
      </c>
      <c r="AI79" s="92" t="s">
        <v>238</v>
      </c>
      <c r="AJ79" s="92" t="s">
        <v>239</v>
      </c>
      <c r="AK79" s="92" t="s">
        <v>159</v>
      </c>
      <c r="AL79" s="92" t="s">
        <v>240</v>
      </c>
      <c r="AM79" s="92" t="s">
        <v>161</v>
      </c>
      <c r="AP79" s="92" t="s">
        <v>479</v>
      </c>
      <c r="AQ79" s="92" t="s">
        <v>477</v>
      </c>
      <c r="AR79" s="92" t="s">
        <v>477</v>
      </c>
      <c r="AS79" s="92" t="s">
        <v>480</v>
      </c>
      <c r="AT79" s="101" t="n">
        <v>0</v>
      </c>
      <c r="AU79" s="101" t="n">
        <v>785573.6</v>
      </c>
      <c r="AX79" s="92" t="s">
        <v>165</v>
      </c>
    </row>
    <row r="80" customFormat="false" ht="13.8" hidden="false" customHeight="false" outlineLevel="0" collapsed="false">
      <c r="A80" s="92" t="s">
        <v>142</v>
      </c>
      <c r="B80" s="92" t="s">
        <v>143</v>
      </c>
      <c r="C80" s="92" t="n">
        <v>45108277</v>
      </c>
      <c r="D80" s="92" t="s">
        <v>476</v>
      </c>
      <c r="E80" s="92" t="s">
        <v>233</v>
      </c>
      <c r="F80" s="92" t="s">
        <v>167</v>
      </c>
      <c r="G80" s="92" t="s">
        <v>147</v>
      </c>
      <c r="H80" s="92" t="s">
        <v>168</v>
      </c>
      <c r="I80" s="92" t="s">
        <v>477</v>
      </c>
      <c r="J80" s="92" t="s">
        <v>477</v>
      </c>
      <c r="K80" s="101" t="n">
        <v>206507.32</v>
      </c>
      <c r="L80" s="101" t="n">
        <f aca="false">K80-Q80+T80</f>
        <v>206507.32</v>
      </c>
      <c r="M80" s="92" t="s">
        <v>149</v>
      </c>
      <c r="N80" s="101" t="n">
        <v>206507.32</v>
      </c>
      <c r="O80" s="92" t="s">
        <v>149</v>
      </c>
      <c r="P80" s="101" t="n">
        <v>0</v>
      </c>
      <c r="Q80" s="101" t="n">
        <v>0</v>
      </c>
      <c r="R80" s="101" t="n">
        <v>206507.32</v>
      </c>
      <c r="S80" s="101" t="n">
        <v>0</v>
      </c>
      <c r="T80" s="101" t="n">
        <v>0</v>
      </c>
      <c r="U80" s="92" t="s">
        <v>192</v>
      </c>
      <c r="V80" s="92" t="s">
        <v>151</v>
      </c>
      <c r="Y80" s="92" t="s">
        <v>478</v>
      </c>
      <c r="Z80" s="92" t="s">
        <v>479</v>
      </c>
      <c r="AD80" s="92" t="s">
        <v>155</v>
      </c>
      <c r="AE80" s="92" t="s">
        <v>156</v>
      </c>
      <c r="AF80" s="92" t="s">
        <v>238</v>
      </c>
      <c r="AG80" s="92" t="s">
        <v>239</v>
      </c>
      <c r="AI80" s="92" t="s">
        <v>238</v>
      </c>
      <c r="AJ80" s="92" t="s">
        <v>239</v>
      </c>
      <c r="AK80" s="92" t="s">
        <v>159</v>
      </c>
      <c r="AL80" s="92" t="s">
        <v>240</v>
      </c>
      <c r="AM80" s="92" t="s">
        <v>161</v>
      </c>
      <c r="AP80" s="92" t="s">
        <v>479</v>
      </c>
      <c r="AQ80" s="92" t="s">
        <v>477</v>
      </c>
      <c r="AR80" s="92" t="s">
        <v>477</v>
      </c>
      <c r="AS80" s="92" t="s">
        <v>480</v>
      </c>
      <c r="AT80" s="101" t="n">
        <v>0</v>
      </c>
      <c r="AU80" s="101" t="n">
        <v>206507.32</v>
      </c>
      <c r="AX80" s="92" t="s">
        <v>220</v>
      </c>
    </row>
    <row r="81" customFormat="false" ht="13.8" hidden="false" customHeight="false" outlineLevel="0" collapsed="false">
      <c r="A81" s="92" t="s">
        <v>142</v>
      </c>
      <c r="B81" s="92" t="s">
        <v>143</v>
      </c>
      <c r="C81" s="92" t="n">
        <v>45115912</v>
      </c>
      <c r="D81" s="92" t="s">
        <v>481</v>
      </c>
      <c r="E81" s="92" t="s">
        <v>233</v>
      </c>
      <c r="F81" s="92" t="s">
        <v>333</v>
      </c>
      <c r="G81" s="92" t="s">
        <v>147</v>
      </c>
      <c r="H81" s="92" t="s">
        <v>168</v>
      </c>
      <c r="I81" s="92" t="s">
        <v>482</v>
      </c>
      <c r="J81" s="92" t="s">
        <v>482</v>
      </c>
      <c r="K81" s="101" t="n">
        <v>2601900</v>
      </c>
      <c r="L81" s="101" t="n">
        <f aca="false">K81-Q81+T81</f>
        <v>2601900</v>
      </c>
      <c r="M81" s="92" t="s">
        <v>149</v>
      </c>
      <c r="N81" s="101" t="n">
        <v>2601900</v>
      </c>
      <c r="O81" s="92" t="s">
        <v>149</v>
      </c>
      <c r="P81" s="101" t="n">
        <v>0</v>
      </c>
      <c r="Q81" s="101" t="n">
        <v>0</v>
      </c>
      <c r="R81" s="101" t="n">
        <v>2601900</v>
      </c>
      <c r="S81" s="101" t="n">
        <v>0</v>
      </c>
      <c r="T81" s="101" t="n">
        <v>0</v>
      </c>
      <c r="U81" s="92" t="s">
        <v>192</v>
      </c>
      <c r="V81" s="92" t="s">
        <v>151</v>
      </c>
      <c r="Y81" s="92" t="s">
        <v>483</v>
      </c>
      <c r="Z81" s="92" t="s">
        <v>484</v>
      </c>
      <c r="AD81" s="92" t="s">
        <v>155</v>
      </c>
      <c r="AE81" s="92" t="s">
        <v>156</v>
      </c>
      <c r="AF81" s="92" t="s">
        <v>238</v>
      </c>
      <c r="AG81" s="92" t="s">
        <v>239</v>
      </c>
      <c r="AI81" s="92" t="s">
        <v>238</v>
      </c>
      <c r="AJ81" s="92" t="s">
        <v>239</v>
      </c>
      <c r="AK81" s="92" t="s">
        <v>159</v>
      </c>
      <c r="AL81" s="92" t="s">
        <v>240</v>
      </c>
      <c r="AM81" s="92" t="s">
        <v>161</v>
      </c>
      <c r="AP81" s="92" t="s">
        <v>484</v>
      </c>
      <c r="AQ81" s="92" t="s">
        <v>482</v>
      </c>
      <c r="AR81" s="92" t="s">
        <v>482</v>
      </c>
      <c r="AS81" s="92" t="s">
        <v>485</v>
      </c>
      <c r="AT81" s="101" t="n">
        <v>0</v>
      </c>
      <c r="AU81" s="101" t="n">
        <v>2601900</v>
      </c>
      <c r="AX81" s="92" t="s">
        <v>165</v>
      </c>
    </row>
    <row r="82" customFormat="false" ht="13.8" hidden="false" customHeight="false" outlineLevel="0" collapsed="false">
      <c r="A82" s="92" t="s">
        <v>142</v>
      </c>
      <c r="B82" s="92" t="s">
        <v>143</v>
      </c>
      <c r="C82" s="92" t="n">
        <v>45117172</v>
      </c>
      <c r="D82" s="92" t="s">
        <v>486</v>
      </c>
      <c r="E82" s="92" t="s">
        <v>233</v>
      </c>
      <c r="F82" s="92" t="s">
        <v>333</v>
      </c>
      <c r="G82" s="92" t="s">
        <v>147</v>
      </c>
      <c r="H82" s="92" t="s">
        <v>168</v>
      </c>
      <c r="I82" s="92" t="s">
        <v>487</v>
      </c>
      <c r="J82" s="92" t="s">
        <v>487</v>
      </c>
      <c r="K82" s="101" t="n">
        <v>3658000</v>
      </c>
      <c r="L82" s="101" t="n">
        <f aca="false">K82-Q82+T82</f>
        <v>3658000</v>
      </c>
      <c r="M82" s="92" t="s">
        <v>149</v>
      </c>
      <c r="N82" s="101" t="n">
        <v>3658000</v>
      </c>
      <c r="O82" s="92" t="s">
        <v>149</v>
      </c>
      <c r="P82" s="101" t="n">
        <v>0</v>
      </c>
      <c r="Q82" s="101" t="n">
        <v>0</v>
      </c>
      <c r="R82" s="101" t="n">
        <v>3658000</v>
      </c>
      <c r="S82" s="101" t="n">
        <v>0</v>
      </c>
      <c r="T82" s="101" t="n">
        <v>0</v>
      </c>
      <c r="U82" s="92" t="s">
        <v>192</v>
      </c>
      <c r="V82" s="92" t="s">
        <v>151</v>
      </c>
      <c r="Y82" s="92" t="s">
        <v>488</v>
      </c>
      <c r="Z82" s="92" t="s">
        <v>489</v>
      </c>
      <c r="AD82" s="92" t="s">
        <v>155</v>
      </c>
      <c r="AE82" s="92" t="s">
        <v>156</v>
      </c>
      <c r="AF82" s="92" t="s">
        <v>238</v>
      </c>
      <c r="AG82" s="92" t="s">
        <v>239</v>
      </c>
      <c r="AI82" s="92" t="s">
        <v>238</v>
      </c>
      <c r="AJ82" s="92" t="s">
        <v>239</v>
      </c>
      <c r="AK82" s="92" t="s">
        <v>159</v>
      </c>
      <c r="AL82" s="92" t="s">
        <v>240</v>
      </c>
      <c r="AM82" s="92" t="s">
        <v>161</v>
      </c>
      <c r="AP82" s="92" t="s">
        <v>489</v>
      </c>
      <c r="AQ82" s="92" t="s">
        <v>487</v>
      </c>
      <c r="AR82" s="92" t="s">
        <v>487</v>
      </c>
      <c r="AS82" s="92" t="s">
        <v>490</v>
      </c>
      <c r="AT82" s="101" t="n">
        <v>0</v>
      </c>
      <c r="AU82" s="101" t="n">
        <v>3658000</v>
      </c>
      <c r="AX82" s="92" t="s">
        <v>165</v>
      </c>
    </row>
    <row r="83" customFormat="false" ht="13.8" hidden="false" customHeight="false" outlineLevel="0" collapsed="false">
      <c r="A83" s="92" t="s">
        <v>142</v>
      </c>
      <c r="B83" s="92" t="s">
        <v>143</v>
      </c>
      <c r="C83" s="92" t="n">
        <v>45117965</v>
      </c>
      <c r="D83" s="92" t="s">
        <v>491</v>
      </c>
      <c r="E83" s="92" t="s">
        <v>233</v>
      </c>
      <c r="F83" s="92" t="s">
        <v>278</v>
      </c>
      <c r="G83" s="92" t="s">
        <v>147</v>
      </c>
      <c r="H83" s="92" t="s">
        <v>168</v>
      </c>
      <c r="I83" s="92" t="s">
        <v>492</v>
      </c>
      <c r="J83" s="92" t="s">
        <v>492</v>
      </c>
      <c r="K83" s="101" t="n">
        <v>254204.56</v>
      </c>
      <c r="L83" s="101" t="n">
        <f aca="false">K83-Q83+T83</f>
        <v>254204.56</v>
      </c>
      <c r="M83" s="92" t="s">
        <v>149</v>
      </c>
      <c r="N83" s="101" t="n">
        <v>254204.56</v>
      </c>
      <c r="O83" s="92" t="s">
        <v>149</v>
      </c>
      <c r="P83" s="101" t="n">
        <v>0</v>
      </c>
      <c r="Q83" s="101" t="n">
        <v>0</v>
      </c>
      <c r="R83" s="101" t="n">
        <v>254204.56</v>
      </c>
      <c r="S83" s="101" t="n">
        <v>0</v>
      </c>
      <c r="T83" s="101" t="n">
        <v>0</v>
      </c>
      <c r="U83" s="92" t="s">
        <v>192</v>
      </c>
      <c r="V83" s="92" t="s">
        <v>151</v>
      </c>
      <c r="Y83" s="92" t="s">
        <v>493</v>
      </c>
      <c r="Z83" s="92" t="s">
        <v>494</v>
      </c>
      <c r="AD83" s="92" t="s">
        <v>155</v>
      </c>
      <c r="AE83" s="92" t="s">
        <v>156</v>
      </c>
      <c r="AF83" s="92" t="s">
        <v>238</v>
      </c>
      <c r="AG83" s="92" t="s">
        <v>239</v>
      </c>
      <c r="AI83" s="92" t="s">
        <v>238</v>
      </c>
      <c r="AJ83" s="92" t="s">
        <v>239</v>
      </c>
      <c r="AK83" s="92" t="s">
        <v>159</v>
      </c>
      <c r="AL83" s="92" t="s">
        <v>240</v>
      </c>
      <c r="AM83" s="92" t="s">
        <v>161</v>
      </c>
      <c r="AP83" s="92" t="s">
        <v>494</v>
      </c>
      <c r="AQ83" s="92" t="s">
        <v>492</v>
      </c>
      <c r="AR83" s="92" t="s">
        <v>492</v>
      </c>
      <c r="AS83" s="92" t="s">
        <v>495</v>
      </c>
      <c r="AT83" s="101" t="n">
        <v>0</v>
      </c>
      <c r="AU83" s="101" t="n">
        <v>254204.56</v>
      </c>
      <c r="AX83" s="92" t="s">
        <v>220</v>
      </c>
    </row>
    <row r="84" customFormat="false" ht="13.8" hidden="false" customHeight="false" outlineLevel="0" collapsed="false">
      <c r="A84" s="92" t="s">
        <v>142</v>
      </c>
      <c r="B84" s="92" t="s">
        <v>143</v>
      </c>
      <c r="C84" s="92" t="n">
        <v>45117965</v>
      </c>
      <c r="D84" s="92" t="s">
        <v>491</v>
      </c>
      <c r="E84" s="92" t="s">
        <v>233</v>
      </c>
      <c r="F84" s="92" t="s">
        <v>167</v>
      </c>
      <c r="G84" s="92" t="s">
        <v>147</v>
      </c>
      <c r="H84" s="92" t="s">
        <v>168</v>
      </c>
      <c r="I84" s="92" t="s">
        <v>492</v>
      </c>
      <c r="J84" s="92" t="s">
        <v>492</v>
      </c>
      <c r="K84" s="101" t="n">
        <v>942044.98</v>
      </c>
      <c r="L84" s="101" t="n">
        <f aca="false">K84-Q84+T84</f>
        <v>942044.98</v>
      </c>
      <c r="M84" s="92" t="s">
        <v>149</v>
      </c>
      <c r="N84" s="101" t="n">
        <v>942044.98</v>
      </c>
      <c r="O84" s="92" t="s">
        <v>149</v>
      </c>
      <c r="P84" s="101" t="n">
        <v>0</v>
      </c>
      <c r="Q84" s="101" t="n">
        <v>0</v>
      </c>
      <c r="R84" s="101" t="n">
        <v>942044.98</v>
      </c>
      <c r="S84" s="101" t="n">
        <v>0</v>
      </c>
      <c r="T84" s="101" t="n">
        <v>0</v>
      </c>
      <c r="U84" s="92" t="s">
        <v>192</v>
      </c>
      <c r="V84" s="92" t="s">
        <v>151</v>
      </c>
      <c r="Y84" s="92" t="s">
        <v>493</v>
      </c>
      <c r="Z84" s="92" t="s">
        <v>494</v>
      </c>
      <c r="AD84" s="92" t="s">
        <v>155</v>
      </c>
      <c r="AE84" s="92" t="s">
        <v>156</v>
      </c>
      <c r="AF84" s="92" t="s">
        <v>238</v>
      </c>
      <c r="AG84" s="92" t="s">
        <v>239</v>
      </c>
      <c r="AI84" s="92" t="s">
        <v>238</v>
      </c>
      <c r="AJ84" s="92" t="s">
        <v>239</v>
      </c>
      <c r="AK84" s="92" t="s">
        <v>159</v>
      </c>
      <c r="AL84" s="92" t="s">
        <v>240</v>
      </c>
      <c r="AM84" s="92" t="s">
        <v>161</v>
      </c>
      <c r="AP84" s="92" t="s">
        <v>494</v>
      </c>
      <c r="AQ84" s="92" t="s">
        <v>492</v>
      </c>
      <c r="AR84" s="92" t="s">
        <v>492</v>
      </c>
      <c r="AS84" s="92" t="s">
        <v>495</v>
      </c>
      <c r="AT84" s="101" t="n">
        <v>0</v>
      </c>
      <c r="AU84" s="101" t="n">
        <v>942044.98</v>
      </c>
      <c r="AX84" s="92" t="s">
        <v>402</v>
      </c>
    </row>
    <row r="85" customFormat="false" ht="13.8" hidden="false" customHeight="false" outlineLevel="0" collapsed="false">
      <c r="A85" s="92" t="s">
        <v>142</v>
      </c>
      <c r="B85" s="92" t="s">
        <v>143</v>
      </c>
      <c r="C85" s="92" t="n">
        <v>45117965</v>
      </c>
      <c r="D85" s="92" t="s">
        <v>491</v>
      </c>
      <c r="E85" s="92" t="s">
        <v>233</v>
      </c>
      <c r="F85" s="92" t="s">
        <v>167</v>
      </c>
      <c r="G85" s="92" t="s">
        <v>147</v>
      </c>
      <c r="H85" s="92" t="s">
        <v>168</v>
      </c>
      <c r="I85" s="92" t="s">
        <v>492</v>
      </c>
      <c r="J85" s="92" t="s">
        <v>492</v>
      </c>
      <c r="K85" s="101" t="n">
        <v>125252.14</v>
      </c>
      <c r="L85" s="101" t="n">
        <f aca="false">K85-Q85+T85</f>
        <v>125252.14</v>
      </c>
      <c r="M85" s="92" t="s">
        <v>149</v>
      </c>
      <c r="N85" s="101" t="n">
        <v>125252.14</v>
      </c>
      <c r="O85" s="92" t="s">
        <v>149</v>
      </c>
      <c r="P85" s="101" t="n">
        <v>0</v>
      </c>
      <c r="Q85" s="101" t="n">
        <v>0</v>
      </c>
      <c r="R85" s="101" t="n">
        <v>125252.14</v>
      </c>
      <c r="S85" s="101" t="n">
        <v>0</v>
      </c>
      <c r="T85" s="101" t="n">
        <v>0</v>
      </c>
      <c r="U85" s="92" t="s">
        <v>192</v>
      </c>
      <c r="V85" s="92" t="s">
        <v>151</v>
      </c>
      <c r="Y85" s="92" t="s">
        <v>493</v>
      </c>
      <c r="Z85" s="92" t="s">
        <v>494</v>
      </c>
      <c r="AD85" s="92" t="s">
        <v>155</v>
      </c>
      <c r="AE85" s="92" t="s">
        <v>156</v>
      </c>
      <c r="AF85" s="92" t="s">
        <v>238</v>
      </c>
      <c r="AG85" s="92" t="s">
        <v>239</v>
      </c>
      <c r="AI85" s="92" t="s">
        <v>238</v>
      </c>
      <c r="AJ85" s="92" t="s">
        <v>239</v>
      </c>
      <c r="AK85" s="92" t="s">
        <v>159</v>
      </c>
      <c r="AL85" s="92" t="s">
        <v>240</v>
      </c>
      <c r="AM85" s="92" t="s">
        <v>161</v>
      </c>
      <c r="AP85" s="92" t="s">
        <v>494</v>
      </c>
      <c r="AQ85" s="92" t="s">
        <v>492</v>
      </c>
      <c r="AR85" s="92" t="s">
        <v>492</v>
      </c>
      <c r="AS85" s="92" t="s">
        <v>495</v>
      </c>
      <c r="AT85" s="101" t="n">
        <v>0</v>
      </c>
      <c r="AU85" s="101" t="n">
        <v>125252.14</v>
      </c>
      <c r="AX85" s="92" t="s">
        <v>168</v>
      </c>
    </row>
    <row r="86" customFormat="false" ht="13.8" hidden="false" customHeight="false" outlineLevel="0" collapsed="false">
      <c r="A86" s="92" t="s">
        <v>142</v>
      </c>
      <c r="B86" s="92" t="s">
        <v>143</v>
      </c>
      <c r="C86" s="92" t="n">
        <v>45117965</v>
      </c>
      <c r="D86" s="92" t="s">
        <v>491</v>
      </c>
      <c r="E86" s="92" t="s">
        <v>233</v>
      </c>
      <c r="F86" s="92" t="s">
        <v>167</v>
      </c>
      <c r="G86" s="92" t="s">
        <v>147</v>
      </c>
      <c r="H86" s="92" t="s">
        <v>168</v>
      </c>
      <c r="I86" s="92" t="s">
        <v>492</v>
      </c>
      <c r="J86" s="92" t="s">
        <v>492</v>
      </c>
      <c r="K86" s="101" t="n">
        <v>447876</v>
      </c>
      <c r="L86" s="101" t="n">
        <f aca="false">K86-Q86+T86</f>
        <v>447876</v>
      </c>
      <c r="M86" s="92" t="s">
        <v>149</v>
      </c>
      <c r="N86" s="101" t="n">
        <v>447876</v>
      </c>
      <c r="O86" s="92" t="s">
        <v>149</v>
      </c>
      <c r="P86" s="101" t="n">
        <v>0</v>
      </c>
      <c r="Q86" s="101" t="n">
        <v>0</v>
      </c>
      <c r="R86" s="101" t="n">
        <v>447876</v>
      </c>
      <c r="S86" s="101" t="n">
        <v>0</v>
      </c>
      <c r="T86" s="101" t="n">
        <v>0</v>
      </c>
      <c r="U86" s="92" t="s">
        <v>192</v>
      </c>
      <c r="V86" s="92" t="s">
        <v>151</v>
      </c>
      <c r="Y86" s="92" t="s">
        <v>493</v>
      </c>
      <c r="Z86" s="92" t="s">
        <v>494</v>
      </c>
      <c r="AD86" s="92" t="s">
        <v>155</v>
      </c>
      <c r="AE86" s="92" t="s">
        <v>156</v>
      </c>
      <c r="AF86" s="92" t="s">
        <v>238</v>
      </c>
      <c r="AG86" s="92" t="s">
        <v>239</v>
      </c>
      <c r="AI86" s="92" t="s">
        <v>238</v>
      </c>
      <c r="AJ86" s="92" t="s">
        <v>239</v>
      </c>
      <c r="AK86" s="92" t="s">
        <v>159</v>
      </c>
      <c r="AL86" s="92" t="s">
        <v>240</v>
      </c>
      <c r="AM86" s="92" t="s">
        <v>161</v>
      </c>
      <c r="AP86" s="92" t="s">
        <v>494</v>
      </c>
      <c r="AQ86" s="92" t="s">
        <v>492</v>
      </c>
      <c r="AR86" s="92" t="s">
        <v>492</v>
      </c>
      <c r="AS86" s="92" t="s">
        <v>495</v>
      </c>
      <c r="AT86" s="101" t="n">
        <v>0</v>
      </c>
      <c r="AU86" s="101" t="n">
        <v>447876</v>
      </c>
      <c r="AX86" s="92" t="s">
        <v>148</v>
      </c>
    </row>
    <row r="87" customFormat="false" ht="13.8" hidden="false" customHeight="false" outlineLevel="0" collapsed="false">
      <c r="A87" s="92" t="s">
        <v>142</v>
      </c>
      <c r="B87" s="92" t="s">
        <v>143</v>
      </c>
      <c r="C87" s="92" t="n">
        <v>45117965</v>
      </c>
      <c r="D87" s="92" t="s">
        <v>491</v>
      </c>
      <c r="E87" s="92" t="s">
        <v>233</v>
      </c>
      <c r="F87" s="92" t="s">
        <v>333</v>
      </c>
      <c r="G87" s="92" t="s">
        <v>147</v>
      </c>
      <c r="H87" s="92" t="s">
        <v>168</v>
      </c>
      <c r="I87" s="92" t="s">
        <v>492</v>
      </c>
      <c r="J87" s="92" t="s">
        <v>492</v>
      </c>
      <c r="K87" s="101" t="n">
        <v>2478000</v>
      </c>
      <c r="L87" s="101" t="n">
        <f aca="false">K87-Q87+T87</f>
        <v>2478000</v>
      </c>
      <c r="M87" s="92" t="s">
        <v>149</v>
      </c>
      <c r="N87" s="101" t="n">
        <v>2478000</v>
      </c>
      <c r="O87" s="92" t="s">
        <v>149</v>
      </c>
      <c r="P87" s="101" t="n">
        <v>0</v>
      </c>
      <c r="Q87" s="101" t="n">
        <v>0</v>
      </c>
      <c r="R87" s="101" t="n">
        <v>2478000</v>
      </c>
      <c r="S87" s="101" t="n">
        <v>0</v>
      </c>
      <c r="T87" s="101" t="n">
        <v>0</v>
      </c>
      <c r="U87" s="92" t="s">
        <v>192</v>
      </c>
      <c r="V87" s="92" t="s">
        <v>151</v>
      </c>
      <c r="Y87" s="92" t="s">
        <v>493</v>
      </c>
      <c r="Z87" s="92" t="s">
        <v>494</v>
      </c>
      <c r="AD87" s="92" t="s">
        <v>155</v>
      </c>
      <c r="AE87" s="92" t="s">
        <v>156</v>
      </c>
      <c r="AF87" s="92" t="s">
        <v>238</v>
      </c>
      <c r="AG87" s="92" t="s">
        <v>239</v>
      </c>
      <c r="AI87" s="92" t="s">
        <v>238</v>
      </c>
      <c r="AJ87" s="92" t="s">
        <v>239</v>
      </c>
      <c r="AK87" s="92" t="s">
        <v>159</v>
      </c>
      <c r="AL87" s="92" t="s">
        <v>240</v>
      </c>
      <c r="AM87" s="92" t="s">
        <v>161</v>
      </c>
      <c r="AP87" s="92" t="s">
        <v>494</v>
      </c>
      <c r="AQ87" s="92" t="s">
        <v>492</v>
      </c>
      <c r="AR87" s="92" t="s">
        <v>492</v>
      </c>
      <c r="AS87" s="92" t="s">
        <v>495</v>
      </c>
      <c r="AT87" s="101" t="n">
        <v>0</v>
      </c>
      <c r="AU87" s="101" t="n">
        <v>2478000</v>
      </c>
      <c r="AX87" s="92" t="s">
        <v>165</v>
      </c>
    </row>
    <row r="88" customFormat="false" ht="13.8" hidden="false" customHeight="false" outlineLevel="0" collapsed="false">
      <c r="A88" s="92" t="s">
        <v>142</v>
      </c>
      <c r="B88" s="92" t="s">
        <v>143</v>
      </c>
      <c r="C88" s="92" t="n">
        <v>45119405</v>
      </c>
      <c r="D88" s="92" t="s">
        <v>496</v>
      </c>
      <c r="E88" s="92" t="s">
        <v>233</v>
      </c>
      <c r="F88" s="92" t="s">
        <v>297</v>
      </c>
      <c r="G88" s="92" t="s">
        <v>147</v>
      </c>
      <c r="H88" s="92" t="s">
        <v>168</v>
      </c>
      <c r="I88" s="92" t="s">
        <v>497</v>
      </c>
      <c r="J88" s="92" t="s">
        <v>497</v>
      </c>
      <c r="K88" s="101" t="n">
        <v>329886.08</v>
      </c>
      <c r="L88" s="101" t="n">
        <f aca="false">K88-Q88+T88</f>
        <v>329886.08</v>
      </c>
      <c r="M88" s="92" t="s">
        <v>149</v>
      </c>
      <c r="N88" s="101" t="n">
        <v>329886.08</v>
      </c>
      <c r="O88" s="92" t="s">
        <v>149</v>
      </c>
      <c r="P88" s="101" t="n">
        <v>0</v>
      </c>
      <c r="Q88" s="101" t="n">
        <v>0</v>
      </c>
      <c r="R88" s="101" t="n">
        <v>329886.08</v>
      </c>
      <c r="S88" s="101" t="n">
        <v>0</v>
      </c>
      <c r="T88" s="101" t="n">
        <v>0</v>
      </c>
      <c r="U88" s="92" t="s">
        <v>192</v>
      </c>
      <c r="V88" s="92" t="s">
        <v>151</v>
      </c>
      <c r="Y88" s="92" t="s">
        <v>498</v>
      </c>
      <c r="Z88" s="92" t="s">
        <v>499</v>
      </c>
      <c r="AD88" s="92" t="s">
        <v>155</v>
      </c>
      <c r="AE88" s="92" t="s">
        <v>156</v>
      </c>
      <c r="AF88" s="92" t="s">
        <v>238</v>
      </c>
      <c r="AG88" s="92" t="s">
        <v>239</v>
      </c>
      <c r="AI88" s="92" t="s">
        <v>238</v>
      </c>
      <c r="AJ88" s="92" t="s">
        <v>239</v>
      </c>
      <c r="AK88" s="92" t="s">
        <v>159</v>
      </c>
      <c r="AL88" s="92" t="s">
        <v>240</v>
      </c>
      <c r="AM88" s="92" t="s">
        <v>161</v>
      </c>
      <c r="AP88" s="92" t="s">
        <v>499</v>
      </c>
      <c r="AQ88" s="92" t="s">
        <v>497</v>
      </c>
      <c r="AR88" s="92" t="s">
        <v>497</v>
      </c>
      <c r="AS88" s="92" t="s">
        <v>500</v>
      </c>
      <c r="AT88" s="101" t="n">
        <v>0</v>
      </c>
      <c r="AU88" s="101" t="n">
        <v>329886.08</v>
      </c>
      <c r="AX88" s="92" t="s">
        <v>165</v>
      </c>
    </row>
    <row r="89" customFormat="false" ht="13.8" hidden="false" customHeight="false" outlineLevel="0" collapsed="false">
      <c r="A89" s="92" t="s">
        <v>142</v>
      </c>
      <c r="B89" s="92" t="s">
        <v>143</v>
      </c>
      <c r="C89" s="92" t="n">
        <v>45119806</v>
      </c>
      <c r="D89" s="92" t="s">
        <v>501</v>
      </c>
      <c r="E89" s="92" t="s">
        <v>233</v>
      </c>
      <c r="F89" s="92" t="s">
        <v>146</v>
      </c>
      <c r="G89" s="92" t="s">
        <v>147</v>
      </c>
      <c r="H89" s="92" t="s">
        <v>168</v>
      </c>
      <c r="I89" s="92" t="s">
        <v>497</v>
      </c>
      <c r="J89" s="92" t="s">
        <v>497</v>
      </c>
      <c r="K89" s="101" t="n">
        <v>312778.66</v>
      </c>
      <c r="L89" s="101" t="n">
        <f aca="false">K89-Q89+T89</f>
        <v>312778.66</v>
      </c>
      <c r="M89" s="92" t="s">
        <v>149</v>
      </c>
      <c r="N89" s="101" t="n">
        <v>312778.66</v>
      </c>
      <c r="O89" s="92" t="s">
        <v>149</v>
      </c>
      <c r="P89" s="101" t="n">
        <v>0</v>
      </c>
      <c r="Q89" s="101" t="n">
        <v>0</v>
      </c>
      <c r="R89" s="101" t="n">
        <v>312778.66</v>
      </c>
      <c r="S89" s="101" t="n">
        <v>0</v>
      </c>
      <c r="T89" s="101" t="n">
        <v>0</v>
      </c>
      <c r="U89" s="92" t="s">
        <v>150</v>
      </c>
      <c r="V89" s="92" t="s">
        <v>151</v>
      </c>
      <c r="Y89" s="92" t="s">
        <v>502</v>
      </c>
      <c r="Z89" s="92" t="s">
        <v>503</v>
      </c>
      <c r="AD89" s="92" t="s">
        <v>155</v>
      </c>
      <c r="AE89" s="92" t="s">
        <v>156</v>
      </c>
      <c r="AF89" s="92" t="s">
        <v>238</v>
      </c>
      <c r="AG89" s="92" t="s">
        <v>239</v>
      </c>
      <c r="AI89" s="92" t="s">
        <v>238</v>
      </c>
      <c r="AJ89" s="92" t="s">
        <v>239</v>
      </c>
      <c r="AK89" s="92" t="s">
        <v>159</v>
      </c>
      <c r="AL89" s="92" t="s">
        <v>240</v>
      </c>
      <c r="AM89" s="92" t="s">
        <v>161</v>
      </c>
      <c r="AP89" s="92" t="s">
        <v>503</v>
      </c>
      <c r="AQ89" s="92" t="s">
        <v>497</v>
      </c>
      <c r="AR89" s="92" t="s">
        <v>497</v>
      </c>
      <c r="AS89" s="92" t="s">
        <v>504</v>
      </c>
      <c r="AT89" s="101" t="n">
        <v>0</v>
      </c>
      <c r="AU89" s="101" t="n">
        <v>312778.66</v>
      </c>
      <c r="AX89" s="92" t="s">
        <v>165</v>
      </c>
    </row>
    <row r="90" customFormat="false" ht="13.8" hidden="false" customHeight="false" outlineLevel="0" collapsed="false">
      <c r="A90" s="92" t="s">
        <v>142</v>
      </c>
      <c r="B90" s="92" t="s">
        <v>143</v>
      </c>
      <c r="C90" s="92" t="n">
        <v>45122600</v>
      </c>
      <c r="D90" s="92" t="s">
        <v>505</v>
      </c>
      <c r="E90" s="92" t="s">
        <v>233</v>
      </c>
      <c r="F90" s="92" t="s">
        <v>297</v>
      </c>
      <c r="G90" s="92" t="s">
        <v>147</v>
      </c>
      <c r="H90" s="92" t="s">
        <v>168</v>
      </c>
      <c r="I90" s="92" t="s">
        <v>506</v>
      </c>
      <c r="J90" s="92" t="s">
        <v>506</v>
      </c>
      <c r="K90" s="101" t="n">
        <v>18773844.95</v>
      </c>
      <c r="L90" s="101" t="n">
        <f aca="false">K90-Q90+T90</f>
        <v>18773844.95</v>
      </c>
      <c r="M90" s="92" t="s">
        <v>149</v>
      </c>
      <c r="N90" s="101" t="n">
        <v>18773844.95</v>
      </c>
      <c r="O90" s="92" t="s">
        <v>149</v>
      </c>
      <c r="P90" s="101" t="n">
        <v>0</v>
      </c>
      <c r="Q90" s="101" t="n">
        <v>0</v>
      </c>
      <c r="R90" s="101" t="n">
        <v>18773844.95</v>
      </c>
      <c r="S90" s="101" t="n">
        <v>0</v>
      </c>
      <c r="T90" s="101" t="n">
        <v>0</v>
      </c>
      <c r="U90" s="92" t="s">
        <v>192</v>
      </c>
      <c r="V90" s="92" t="s">
        <v>151</v>
      </c>
      <c r="Y90" s="92" t="s">
        <v>507</v>
      </c>
      <c r="Z90" s="92" t="s">
        <v>508</v>
      </c>
      <c r="AD90" s="92" t="s">
        <v>155</v>
      </c>
      <c r="AE90" s="92" t="s">
        <v>156</v>
      </c>
      <c r="AF90" s="92" t="s">
        <v>238</v>
      </c>
      <c r="AG90" s="92" t="s">
        <v>239</v>
      </c>
      <c r="AI90" s="92" t="s">
        <v>238</v>
      </c>
      <c r="AJ90" s="92" t="s">
        <v>239</v>
      </c>
      <c r="AK90" s="92" t="s">
        <v>159</v>
      </c>
      <c r="AL90" s="92" t="s">
        <v>240</v>
      </c>
      <c r="AM90" s="92" t="s">
        <v>161</v>
      </c>
      <c r="AP90" s="92" t="s">
        <v>508</v>
      </c>
      <c r="AQ90" s="92" t="s">
        <v>506</v>
      </c>
      <c r="AR90" s="92" t="s">
        <v>506</v>
      </c>
      <c r="AS90" s="92" t="s">
        <v>509</v>
      </c>
      <c r="AT90" s="101" t="n">
        <v>0</v>
      </c>
      <c r="AU90" s="101" t="n">
        <v>18773844.95</v>
      </c>
      <c r="AX90" s="92" t="s">
        <v>165</v>
      </c>
    </row>
    <row r="91" customFormat="false" ht="13.8" hidden="false" customHeight="false" outlineLevel="0" collapsed="false">
      <c r="A91" s="92" t="s">
        <v>142</v>
      </c>
      <c r="B91" s="92" t="s">
        <v>143</v>
      </c>
      <c r="C91" s="92" t="n">
        <v>45124517</v>
      </c>
      <c r="D91" s="92" t="s">
        <v>510</v>
      </c>
      <c r="E91" s="92" t="s">
        <v>233</v>
      </c>
      <c r="F91" s="92" t="s">
        <v>511</v>
      </c>
      <c r="G91" s="92" t="s">
        <v>147</v>
      </c>
      <c r="H91" s="92" t="s">
        <v>168</v>
      </c>
      <c r="I91" s="92" t="s">
        <v>512</v>
      </c>
      <c r="J91" s="92" t="s">
        <v>512</v>
      </c>
      <c r="K91" s="101" t="n">
        <v>3211488.92</v>
      </c>
      <c r="L91" s="101" t="n">
        <f aca="false">K91-Q91+T91</f>
        <v>3211488.92</v>
      </c>
      <c r="M91" s="92" t="s">
        <v>149</v>
      </c>
      <c r="N91" s="101" t="n">
        <v>3211488.92</v>
      </c>
      <c r="O91" s="92" t="s">
        <v>149</v>
      </c>
      <c r="P91" s="101" t="n">
        <v>0</v>
      </c>
      <c r="Q91" s="101" t="n">
        <v>0</v>
      </c>
      <c r="R91" s="101" t="n">
        <v>3211488.92</v>
      </c>
      <c r="S91" s="101" t="n">
        <v>0</v>
      </c>
      <c r="T91" s="101" t="n">
        <v>0</v>
      </c>
      <c r="U91" s="92" t="s">
        <v>192</v>
      </c>
      <c r="V91" s="92" t="s">
        <v>151</v>
      </c>
      <c r="Y91" s="92" t="s">
        <v>513</v>
      </c>
      <c r="Z91" s="92" t="s">
        <v>514</v>
      </c>
      <c r="AD91" s="92" t="s">
        <v>155</v>
      </c>
      <c r="AE91" s="92" t="s">
        <v>156</v>
      </c>
      <c r="AF91" s="92" t="s">
        <v>238</v>
      </c>
      <c r="AG91" s="92" t="s">
        <v>239</v>
      </c>
      <c r="AI91" s="92" t="s">
        <v>238</v>
      </c>
      <c r="AJ91" s="92" t="s">
        <v>239</v>
      </c>
      <c r="AK91" s="92" t="s">
        <v>159</v>
      </c>
      <c r="AL91" s="92" t="s">
        <v>240</v>
      </c>
      <c r="AM91" s="92" t="s">
        <v>161</v>
      </c>
      <c r="AP91" s="92" t="s">
        <v>514</v>
      </c>
      <c r="AQ91" s="92" t="s">
        <v>512</v>
      </c>
      <c r="AR91" s="92" t="s">
        <v>512</v>
      </c>
      <c r="AS91" s="92" t="s">
        <v>515</v>
      </c>
      <c r="AT91" s="101" t="n">
        <v>0</v>
      </c>
      <c r="AU91" s="101" t="n">
        <v>3211488.92</v>
      </c>
      <c r="AX91" s="92" t="s">
        <v>165</v>
      </c>
    </row>
    <row r="92" customFormat="false" ht="13.8" hidden="false" customHeight="false" outlineLevel="0" collapsed="false">
      <c r="A92" s="92" t="s">
        <v>142</v>
      </c>
      <c r="B92" s="92" t="s">
        <v>143</v>
      </c>
      <c r="C92" s="92" t="n">
        <v>45124517</v>
      </c>
      <c r="D92" s="92" t="s">
        <v>510</v>
      </c>
      <c r="E92" s="92" t="s">
        <v>233</v>
      </c>
      <c r="F92" s="92" t="s">
        <v>297</v>
      </c>
      <c r="G92" s="92" t="s">
        <v>147</v>
      </c>
      <c r="H92" s="92" t="s">
        <v>168</v>
      </c>
      <c r="I92" s="92" t="s">
        <v>512</v>
      </c>
      <c r="J92" s="92" t="s">
        <v>512</v>
      </c>
      <c r="K92" s="101" t="n">
        <v>220224.47</v>
      </c>
      <c r="L92" s="101" t="n">
        <f aca="false">K92-Q92+T92</f>
        <v>220224.47</v>
      </c>
      <c r="M92" s="92" t="s">
        <v>149</v>
      </c>
      <c r="N92" s="101" t="n">
        <v>220224.47</v>
      </c>
      <c r="O92" s="92" t="s">
        <v>149</v>
      </c>
      <c r="P92" s="101" t="n">
        <v>0</v>
      </c>
      <c r="Q92" s="101" t="n">
        <v>0</v>
      </c>
      <c r="R92" s="101" t="n">
        <v>220224.47</v>
      </c>
      <c r="S92" s="101" t="n">
        <v>0</v>
      </c>
      <c r="T92" s="101" t="n">
        <v>0</v>
      </c>
      <c r="U92" s="92" t="s">
        <v>192</v>
      </c>
      <c r="V92" s="92" t="s">
        <v>151</v>
      </c>
      <c r="Y92" s="92" t="s">
        <v>513</v>
      </c>
      <c r="Z92" s="92" t="s">
        <v>514</v>
      </c>
      <c r="AD92" s="92" t="s">
        <v>155</v>
      </c>
      <c r="AE92" s="92" t="s">
        <v>156</v>
      </c>
      <c r="AF92" s="92" t="s">
        <v>238</v>
      </c>
      <c r="AG92" s="92" t="s">
        <v>239</v>
      </c>
      <c r="AI92" s="92" t="s">
        <v>238</v>
      </c>
      <c r="AJ92" s="92" t="s">
        <v>239</v>
      </c>
      <c r="AK92" s="92" t="s">
        <v>159</v>
      </c>
      <c r="AL92" s="92" t="s">
        <v>240</v>
      </c>
      <c r="AM92" s="92" t="s">
        <v>161</v>
      </c>
      <c r="AP92" s="92" t="s">
        <v>514</v>
      </c>
      <c r="AQ92" s="92" t="s">
        <v>512</v>
      </c>
      <c r="AR92" s="92" t="s">
        <v>512</v>
      </c>
      <c r="AS92" s="92" t="s">
        <v>515</v>
      </c>
      <c r="AT92" s="101" t="n">
        <v>0</v>
      </c>
      <c r="AU92" s="101" t="n">
        <v>220224.47</v>
      </c>
      <c r="AX92" s="92" t="s">
        <v>220</v>
      </c>
    </row>
    <row r="93" customFormat="false" ht="13.8" hidden="false" customHeight="false" outlineLevel="0" collapsed="false">
      <c r="A93" s="92" t="s">
        <v>142</v>
      </c>
      <c r="B93" s="92" t="s">
        <v>143</v>
      </c>
      <c r="C93" s="92" t="n">
        <v>45127109</v>
      </c>
      <c r="D93" s="92" t="s">
        <v>516</v>
      </c>
      <c r="E93" s="92" t="s">
        <v>233</v>
      </c>
      <c r="F93" s="92" t="s">
        <v>142</v>
      </c>
      <c r="G93" s="92" t="s">
        <v>147</v>
      </c>
      <c r="H93" s="92" t="s">
        <v>175</v>
      </c>
      <c r="I93" s="92" t="s">
        <v>517</v>
      </c>
      <c r="J93" s="92" t="s">
        <v>517</v>
      </c>
      <c r="K93" s="101" t="n">
        <v>460405.5</v>
      </c>
      <c r="L93" s="101" t="n">
        <f aca="false">K93-Q93+T93</f>
        <v>460405.5</v>
      </c>
      <c r="M93" s="92" t="s">
        <v>149</v>
      </c>
      <c r="N93" s="101" t="n">
        <v>460405.5</v>
      </c>
      <c r="O93" s="92" t="s">
        <v>149</v>
      </c>
      <c r="P93" s="101" t="n">
        <v>0</v>
      </c>
      <c r="Q93" s="101" t="n">
        <v>0</v>
      </c>
      <c r="R93" s="101" t="n">
        <v>460405.5</v>
      </c>
      <c r="S93" s="101" t="n">
        <v>0</v>
      </c>
      <c r="T93" s="101" t="n">
        <v>0</v>
      </c>
      <c r="U93" s="92" t="s">
        <v>150</v>
      </c>
      <c r="V93" s="92" t="s">
        <v>151</v>
      </c>
      <c r="Y93" s="92" t="s">
        <v>518</v>
      </c>
      <c r="Z93" s="92" t="s">
        <v>519</v>
      </c>
      <c r="AD93" s="92" t="s">
        <v>155</v>
      </c>
      <c r="AE93" s="92" t="s">
        <v>156</v>
      </c>
      <c r="AF93" s="92" t="s">
        <v>238</v>
      </c>
      <c r="AG93" s="92" t="s">
        <v>239</v>
      </c>
      <c r="AI93" s="92" t="s">
        <v>238</v>
      </c>
      <c r="AJ93" s="92" t="s">
        <v>239</v>
      </c>
      <c r="AK93" s="92" t="s">
        <v>159</v>
      </c>
      <c r="AL93" s="92" t="s">
        <v>240</v>
      </c>
      <c r="AM93" s="92" t="s">
        <v>161</v>
      </c>
      <c r="AP93" s="92" t="s">
        <v>519</v>
      </c>
      <c r="AQ93" s="92" t="s">
        <v>517</v>
      </c>
      <c r="AR93" s="92" t="s">
        <v>517</v>
      </c>
      <c r="AS93" s="92" t="s">
        <v>520</v>
      </c>
      <c r="AT93" s="101" t="n">
        <v>0</v>
      </c>
      <c r="AU93" s="101" t="n">
        <v>460405.5</v>
      </c>
      <c r="AX93" s="92" t="s">
        <v>165</v>
      </c>
    </row>
    <row r="94" customFormat="false" ht="13.8" hidden="false" customHeight="false" outlineLevel="0" collapsed="false">
      <c r="A94" s="92" t="s">
        <v>142</v>
      </c>
      <c r="B94" s="92" t="s">
        <v>143</v>
      </c>
      <c r="C94" s="92" t="n">
        <v>45127109</v>
      </c>
      <c r="D94" s="92" t="s">
        <v>516</v>
      </c>
      <c r="E94" s="92" t="s">
        <v>233</v>
      </c>
      <c r="F94" s="92" t="s">
        <v>212</v>
      </c>
      <c r="G94" s="92" t="s">
        <v>147</v>
      </c>
      <c r="H94" s="92" t="s">
        <v>175</v>
      </c>
      <c r="I94" s="92" t="s">
        <v>517</v>
      </c>
      <c r="J94" s="92" t="s">
        <v>517</v>
      </c>
      <c r="K94" s="101" t="n">
        <v>2858759.86</v>
      </c>
      <c r="L94" s="101" t="n">
        <f aca="false">K94-Q94+T94</f>
        <v>2858759.86</v>
      </c>
      <c r="M94" s="92" t="s">
        <v>149</v>
      </c>
      <c r="N94" s="101" t="n">
        <v>2858759.86</v>
      </c>
      <c r="O94" s="92" t="s">
        <v>149</v>
      </c>
      <c r="P94" s="101" t="n">
        <v>0</v>
      </c>
      <c r="Q94" s="101" t="n">
        <v>0</v>
      </c>
      <c r="R94" s="101" t="n">
        <v>2858759.86</v>
      </c>
      <c r="S94" s="101" t="n">
        <v>0</v>
      </c>
      <c r="T94" s="101" t="n">
        <v>0</v>
      </c>
      <c r="U94" s="92" t="s">
        <v>150</v>
      </c>
      <c r="V94" s="92" t="s">
        <v>151</v>
      </c>
      <c r="Y94" s="92" t="s">
        <v>518</v>
      </c>
      <c r="Z94" s="92" t="s">
        <v>519</v>
      </c>
      <c r="AD94" s="92" t="s">
        <v>155</v>
      </c>
      <c r="AE94" s="92" t="s">
        <v>156</v>
      </c>
      <c r="AF94" s="92" t="s">
        <v>238</v>
      </c>
      <c r="AG94" s="92" t="s">
        <v>239</v>
      </c>
      <c r="AI94" s="92" t="s">
        <v>238</v>
      </c>
      <c r="AJ94" s="92" t="s">
        <v>239</v>
      </c>
      <c r="AK94" s="92" t="s">
        <v>159</v>
      </c>
      <c r="AL94" s="92" t="s">
        <v>240</v>
      </c>
      <c r="AM94" s="92" t="s">
        <v>161</v>
      </c>
      <c r="AP94" s="92" t="s">
        <v>519</v>
      </c>
      <c r="AQ94" s="92" t="s">
        <v>517</v>
      </c>
      <c r="AR94" s="92" t="s">
        <v>517</v>
      </c>
      <c r="AS94" s="92" t="s">
        <v>520</v>
      </c>
      <c r="AT94" s="101" t="n">
        <v>0</v>
      </c>
      <c r="AU94" s="101" t="n">
        <v>2858759.86</v>
      </c>
      <c r="AX94" s="92" t="s">
        <v>220</v>
      </c>
    </row>
    <row r="95" customFormat="false" ht="13.8" hidden="false" customHeight="false" outlineLevel="0" collapsed="false">
      <c r="A95" s="92" t="s">
        <v>142</v>
      </c>
      <c r="B95" s="92" t="s">
        <v>143</v>
      </c>
      <c r="C95" s="92" t="n">
        <v>45133189</v>
      </c>
      <c r="D95" s="92" t="s">
        <v>521</v>
      </c>
      <c r="E95" s="92" t="s">
        <v>233</v>
      </c>
      <c r="F95" s="92" t="s">
        <v>212</v>
      </c>
      <c r="G95" s="92" t="s">
        <v>147</v>
      </c>
      <c r="H95" s="92" t="s">
        <v>175</v>
      </c>
      <c r="I95" s="92" t="s">
        <v>522</v>
      </c>
      <c r="J95" s="92" t="s">
        <v>522</v>
      </c>
      <c r="K95" s="101" t="n">
        <v>775455.15</v>
      </c>
      <c r="L95" s="101" t="n">
        <f aca="false">K95-Q95+T95</f>
        <v>775455.15</v>
      </c>
      <c r="M95" s="92" t="s">
        <v>149</v>
      </c>
      <c r="N95" s="101" t="n">
        <v>775455.15</v>
      </c>
      <c r="O95" s="92" t="s">
        <v>149</v>
      </c>
      <c r="P95" s="101" t="n">
        <v>0</v>
      </c>
      <c r="Q95" s="101" t="n">
        <v>0</v>
      </c>
      <c r="R95" s="101" t="n">
        <v>775455.15</v>
      </c>
      <c r="S95" s="101" t="n">
        <v>0</v>
      </c>
      <c r="T95" s="101" t="n">
        <v>0</v>
      </c>
      <c r="U95" s="92" t="s">
        <v>150</v>
      </c>
      <c r="V95" s="92" t="s">
        <v>151</v>
      </c>
      <c r="Y95" s="92" t="s">
        <v>523</v>
      </c>
      <c r="Z95" s="92" t="s">
        <v>524</v>
      </c>
      <c r="AD95" s="92" t="s">
        <v>155</v>
      </c>
      <c r="AE95" s="92" t="s">
        <v>156</v>
      </c>
      <c r="AF95" s="92" t="s">
        <v>238</v>
      </c>
      <c r="AG95" s="92" t="s">
        <v>239</v>
      </c>
      <c r="AI95" s="92" t="s">
        <v>238</v>
      </c>
      <c r="AJ95" s="92" t="s">
        <v>239</v>
      </c>
      <c r="AK95" s="92" t="s">
        <v>159</v>
      </c>
      <c r="AL95" s="92" t="s">
        <v>240</v>
      </c>
      <c r="AM95" s="92" t="s">
        <v>161</v>
      </c>
      <c r="AP95" s="92" t="s">
        <v>524</v>
      </c>
      <c r="AQ95" s="92" t="s">
        <v>522</v>
      </c>
      <c r="AR95" s="92" t="s">
        <v>522</v>
      </c>
      <c r="AS95" s="92" t="s">
        <v>525</v>
      </c>
      <c r="AT95" s="101" t="n">
        <v>0</v>
      </c>
      <c r="AU95" s="101" t="n">
        <v>775455.15</v>
      </c>
      <c r="AX95" s="92" t="s">
        <v>165</v>
      </c>
    </row>
    <row r="96" customFormat="false" ht="13.8" hidden="false" customHeight="false" outlineLevel="0" collapsed="false">
      <c r="A96" s="92" t="s">
        <v>142</v>
      </c>
      <c r="B96" s="92" t="s">
        <v>143</v>
      </c>
      <c r="C96" s="92" t="n">
        <v>45133189</v>
      </c>
      <c r="D96" s="92" t="s">
        <v>521</v>
      </c>
      <c r="E96" s="92" t="s">
        <v>233</v>
      </c>
      <c r="F96" s="92" t="s">
        <v>212</v>
      </c>
      <c r="G96" s="92" t="s">
        <v>147</v>
      </c>
      <c r="H96" s="92" t="s">
        <v>175</v>
      </c>
      <c r="I96" s="92" t="s">
        <v>522</v>
      </c>
      <c r="J96" s="92" t="s">
        <v>522</v>
      </c>
      <c r="K96" s="101" t="n">
        <v>2839100.39</v>
      </c>
      <c r="L96" s="101" t="n">
        <f aca="false">K96-Q96+T96</f>
        <v>2839100.39</v>
      </c>
      <c r="M96" s="92" t="s">
        <v>149</v>
      </c>
      <c r="N96" s="101" t="n">
        <v>2839100.39</v>
      </c>
      <c r="O96" s="92" t="s">
        <v>149</v>
      </c>
      <c r="P96" s="101" t="n">
        <v>0</v>
      </c>
      <c r="Q96" s="101" t="n">
        <v>0</v>
      </c>
      <c r="R96" s="101" t="n">
        <v>2839100.39</v>
      </c>
      <c r="S96" s="101" t="n">
        <v>0</v>
      </c>
      <c r="T96" s="101" t="n">
        <v>0</v>
      </c>
      <c r="U96" s="92" t="s">
        <v>150</v>
      </c>
      <c r="V96" s="92" t="s">
        <v>151</v>
      </c>
      <c r="Y96" s="92" t="s">
        <v>523</v>
      </c>
      <c r="Z96" s="92" t="s">
        <v>524</v>
      </c>
      <c r="AD96" s="92" t="s">
        <v>155</v>
      </c>
      <c r="AE96" s="92" t="s">
        <v>156</v>
      </c>
      <c r="AF96" s="92" t="s">
        <v>238</v>
      </c>
      <c r="AG96" s="92" t="s">
        <v>239</v>
      </c>
      <c r="AI96" s="92" t="s">
        <v>238</v>
      </c>
      <c r="AJ96" s="92" t="s">
        <v>239</v>
      </c>
      <c r="AK96" s="92" t="s">
        <v>159</v>
      </c>
      <c r="AL96" s="92" t="s">
        <v>240</v>
      </c>
      <c r="AM96" s="92" t="s">
        <v>161</v>
      </c>
      <c r="AP96" s="92" t="s">
        <v>524</v>
      </c>
      <c r="AQ96" s="92" t="s">
        <v>522</v>
      </c>
      <c r="AR96" s="92" t="s">
        <v>522</v>
      </c>
      <c r="AS96" s="92" t="s">
        <v>525</v>
      </c>
      <c r="AT96" s="101" t="n">
        <v>0</v>
      </c>
      <c r="AU96" s="101" t="n">
        <v>2839100.39</v>
      </c>
      <c r="AX96" s="92" t="s">
        <v>148</v>
      </c>
    </row>
    <row r="97" customFormat="false" ht="13.8" hidden="false" customHeight="false" outlineLevel="0" collapsed="false">
      <c r="A97" s="92" t="s">
        <v>142</v>
      </c>
      <c r="B97" s="92" t="s">
        <v>143</v>
      </c>
      <c r="C97" s="92" t="n">
        <v>45133189</v>
      </c>
      <c r="D97" s="92" t="s">
        <v>521</v>
      </c>
      <c r="E97" s="92" t="s">
        <v>233</v>
      </c>
      <c r="F97" s="92" t="s">
        <v>167</v>
      </c>
      <c r="G97" s="92" t="s">
        <v>147</v>
      </c>
      <c r="H97" s="92" t="s">
        <v>175</v>
      </c>
      <c r="I97" s="92" t="s">
        <v>522</v>
      </c>
      <c r="J97" s="92" t="s">
        <v>522</v>
      </c>
      <c r="K97" s="101" t="n">
        <v>0.3</v>
      </c>
      <c r="L97" s="101" t="n">
        <f aca="false">K97-Q97+T97</f>
        <v>0.3</v>
      </c>
      <c r="M97" s="92" t="s">
        <v>149</v>
      </c>
      <c r="N97" s="101" t="n">
        <v>0.3</v>
      </c>
      <c r="O97" s="92" t="s">
        <v>149</v>
      </c>
      <c r="P97" s="101" t="n">
        <v>0</v>
      </c>
      <c r="Q97" s="101" t="n">
        <v>0</v>
      </c>
      <c r="R97" s="101" t="n">
        <v>0.3</v>
      </c>
      <c r="S97" s="101" t="n">
        <v>0</v>
      </c>
      <c r="T97" s="101" t="n">
        <v>0</v>
      </c>
      <c r="U97" s="92" t="s">
        <v>150</v>
      </c>
      <c r="V97" s="92" t="s">
        <v>151</v>
      </c>
      <c r="Y97" s="92" t="s">
        <v>523</v>
      </c>
      <c r="Z97" s="92" t="s">
        <v>524</v>
      </c>
      <c r="AD97" s="92" t="s">
        <v>155</v>
      </c>
      <c r="AE97" s="92" t="s">
        <v>156</v>
      </c>
      <c r="AF97" s="92" t="s">
        <v>238</v>
      </c>
      <c r="AG97" s="92" t="s">
        <v>239</v>
      </c>
      <c r="AI97" s="92" t="s">
        <v>238</v>
      </c>
      <c r="AJ97" s="92" t="s">
        <v>239</v>
      </c>
      <c r="AK97" s="92" t="s">
        <v>159</v>
      </c>
      <c r="AL97" s="92" t="s">
        <v>240</v>
      </c>
      <c r="AM97" s="92" t="s">
        <v>161</v>
      </c>
      <c r="AP97" s="92" t="s">
        <v>524</v>
      </c>
      <c r="AQ97" s="92" t="s">
        <v>522</v>
      </c>
      <c r="AR97" s="92" t="s">
        <v>522</v>
      </c>
      <c r="AS97" s="92" t="s">
        <v>525</v>
      </c>
      <c r="AT97" s="101" t="n">
        <v>0</v>
      </c>
      <c r="AU97" s="101" t="n">
        <v>0.3</v>
      </c>
      <c r="AX97" s="92" t="s">
        <v>220</v>
      </c>
    </row>
    <row r="98" customFormat="false" ht="13.8" hidden="false" customHeight="false" outlineLevel="0" collapsed="false">
      <c r="A98" s="92" t="s">
        <v>142</v>
      </c>
      <c r="B98" s="92" t="s">
        <v>143</v>
      </c>
      <c r="C98" s="92" t="n">
        <v>45146299</v>
      </c>
      <c r="D98" s="92" t="s">
        <v>526</v>
      </c>
      <c r="E98" s="92" t="s">
        <v>233</v>
      </c>
      <c r="F98" s="92" t="s">
        <v>167</v>
      </c>
      <c r="G98" s="92" t="s">
        <v>147</v>
      </c>
      <c r="H98" s="92" t="s">
        <v>175</v>
      </c>
      <c r="I98" s="92" t="s">
        <v>527</v>
      </c>
      <c r="J98" s="92" t="s">
        <v>527</v>
      </c>
      <c r="K98" s="101" t="n">
        <v>35727.9</v>
      </c>
      <c r="L98" s="101" t="n">
        <f aca="false">K98-Q98+T98</f>
        <v>35727.9</v>
      </c>
      <c r="M98" s="92" t="s">
        <v>149</v>
      </c>
      <c r="N98" s="101" t="n">
        <v>35727.9</v>
      </c>
      <c r="O98" s="92" t="s">
        <v>149</v>
      </c>
      <c r="P98" s="101" t="n">
        <v>0</v>
      </c>
      <c r="Q98" s="101" t="n">
        <v>0</v>
      </c>
      <c r="R98" s="101" t="n">
        <v>35727.9</v>
      </c>
      <c r="S98" s="101" t="n">
        <v>0</v>
      </c>
      <c r="T98" s="101" t="n">
        <v>0</v>
      </c>
      <c r="U98" s="92" t="s">
        <v>192</v>
      </c>
      <c r="V98" s="92" t="s">
        <v>151</v>
      </c>
      <c r="Y98" s="92" t="s">
        <v>528</v>
      </c>
      <c r="Z98" s="92" t="s">
        <v>529</v>
      </c>
      <c r="AD98" s="92" t="s">
        <v>155</v>
      </c>
      <c r="AE98" s="92" t="s">
        <v>156</v>
      </c>
      <c r="AF98" s="92" t="s">
        <v>238</v>
      </c>
      <c r="AG98" s="92" t="s">
        <v>239</v>
      </c>
      <c r="AI98" s="92" t="s">
        <v>238</v>
      </c>
      <c r="AJ98" s="92" t="s">
        <v>239</v>
      </c>
      <c r="AK98" s="92" t="s">
        <v>159</v>
      </c>
      <c r="AL98" s="92" t="s">
        <v>240</v>
      </c>
      <c r="AM98" s="92" t="s">
        <v>161</v>
      </c>
      <c r="AP98" s="92" t="s">
        <v>529</v>
      </c>
      <c r="AQ98" s="92" t="s">
        <v>527</v>
      </c>
      <c r="AR98" s="92" t="s">
        <v>527</v>
      </c>
      <c r="AS98" s="92" t="s">
        <v>530</v>
      </c>
      <c r="AT98" s="101" t="n">
        <v>0</v>
      </c>
      <c r="AU98" s="101" t="n">
        <v>35727.9</v>
      </c>
      <c r="AX98" s="92" t="s">
        <v>402</v>
      </c>
    </row>
    <row r="99" customFormat="false" ht="13.8" hidden="false" customHeight="false" outlineLevel="0" collapsed="false">
      <c r="A99" s="92" t="s">
        <v>142</v>
      </c>
      <c r="B99" s="92" t="s">
        <v>143</v>
      </c>
      <c r="C99" s="92" t="n">
        <v>45146299</v>
      </c>
      <c r="D99" s="92" t="s">
        <v>526</v>
      </c>
      <c r="E99" s="92" t="s">
        <v>233</v>
      </c>
      <c r="F99" s="92" t="s">
        <v>167</v>
      </c>
      <c r="G99" s="92" t="s">
        <v>147</v>
      </c>
      <c r="H99" s="92" t="s">
        <v>175</v>
      </c>
      <c r="I99" s="92" t="s">
        <v>527</v>
      </c>
      <c r="J99" s="92" t="s">
        <v>527</v>
      </c>
      <c r="K99" s="101" t="n">
        <v>698320</v>
      </c>
      <c r="L99" s="101" t="n">
        <f aca="false">K99-Q99+T99</f>
        <v>698320</v>
      </c>
      <c r="M99" s="92" t="s">
        <v>149</v>
      </c>
      <c r="N99" s="101" t="n">
        <v>698320</v>
      </c>
      <c r="O99" s="92" t="s">
        <v>149</v>
      </c>
      <c r="P99" s="101" t="n">
        <v>0</v>
      </c>
      <c r="Q99" s="101" t="n">
        <v>0</v>
      </c>
      <c r="R99" s="101" t="n">
        <v>698320</v>
      </c>
      <c r="S99" s="101" t="n">
        <v>0</v>
      </c>
      <c r="T99" s="101" t="n">
        <v>0</v>
      </c>
      <c r="U99" s="92" t="s">
        <v>192</v>
      </c>
      <c r="V99" s="92" t="s">
        <v>151</v>
      </c>
      <c r="Y99" s="92" t="s">
        <v>528</v>
      </c>
      <c r="Z99" s="92" t="s">
        <v>529</v>
      </c>
      <c r="AD99" s="92" t="s">
        <v>155</v>
      </c>
      <c r="AE99" s="92" t="s">
        <v>156</v>
      </c>
      <c r="AF99" s="92" t="s">
        <v>238</v>
      </c>
      <c r="AG99" s="92" t="s">
        <v>239</v>
      </c>
      <c r="AI99" s="92" t="s">
        <v>238</v>
      </c>
      <c r="AJ99" s="92" t="s">
        <v>239</v>
      </c>
      <c r="AK99" s="92" t="s">
        <v>159</v>
      </c>
      <c r="AL99" s="92" t="s">
        <v>240</v>
      </c>
      <c r="AM99" s="92" t="s">
        <v>161</v>
      </c>
      <c r="AP99" s="92" t="s">
        <v>529</v>
      </c>
      <c r="AQ99" s="92" t="s">
        <v>527</v>
      </c>
      <c r="AR99" s="92" t="s">
        <v>527</v>
      </c>
      <c r="AS99" s="92" t="s">
        <v>530</v>
      </c>
      <c r="AT99" s="101" t="n">
        <v>0</v>
      </c>
      <c r="AU99" s="101" t="n">
        <v>698320</v>
      </c>
      <c r="AX99" s="92" t="s">
        <v>220</v>
      </c>
    </row>
    <row r="100" customFormat="false" ht="13.8" hidden="false" customHeight="false" outlineLevel="0" collapsed="false">
      <c r="A100" s="92" t="s">
        <v>142</v>
      </c>
      <c r="B100" s="92" t="s">
        <v>143</v>
      </c>
      <c r="C100" s="92" t="n">
        <v>45146299</v>
      </c>
      <c r="D100" s="92" t="s">
        <v>526</v>
      </c>
      <c r="E100" s="92" t="s">
        <v>233</v>
      </c>
      <c r="F100" s="92" t="s">
        <v>234</v>
      </c>
      <c r="G100" s="92" t="s">
        <v>147</v>
      </c>
      <c r="H100" s="92" t="s">
        <v>175</v>
      </c>
      <c r="I100" s="92" t="s">
        <v>527</v>
      </c>
      <c r="J100" s="92" t="s">
        <v>527</v>
      </c>
      <c r="K100" s="101" t="n">
        <v>4249829</v>
      </c>
      <c r="L100" s="101" t="n">
        <f aca="false">K100-Q100+T100</f>
        <v>4249829</v>
      </c>
      <c r="M100" s="92" t="s">
        <v>149</v>
      </c>
      <c r="N100" s="101" t="n">
        <v>4249829</v>
      </c>
      <c r="O100" s="92" t="s">
        <v>149</v>
      </c>
      <c r="P100" s="101" t="n">
        <v>0</v>
      </c>
      <c r="Q100" s="101" t="n">
        <v>0</v>
      </c>
      <c r="R100" s="101" t="n">
        <v>4249829</v>
      </c>
      <c r="S100" s="101" t="n">
        <v>0</v>
      </c>
      <c r="T100" s="101" t="n">
        <v>0</v>
      </c>
      <c r="U100" s="92" t="s">
        <v>192</v>
      </c>
      <c r="V100" s="92" t="s">
        <v>151</v>
      </c>
      <c r="Y100" s="92" t="s">
        <v>528</v>
      </c>
      <c r="Z100" s="92" t="s">
        <v>529</v>
      </c>
      <c r="AD100" s="92" t="s">
        <v>155</v>
      </c>
      <c r="AE100" s="92" t="s">
        <v>156</v>
      </c>
      <c r="AF100" s="92" t="s">
        <v>238</v>
      </c>
      <c r="AG100" s="92" t="s">
        <v>239</v>
      </c>
      <c r="AI100" s="92" t="s">
        <v>238</v>
      </c>
      <c r="AJ100" s="92" t="s">
        <v>239</v>
      </c>
      <c r="AK100" s="92" t="s">
        <v>159</v>
      </c>
      <c r="AL100" s="92" t="s">
        <v>240</v>
      </c>
      <c r="AM100" s="92" t="s">
        <v>161</v>
      </c>
      <c r="AP100" s="92" t="s">
        <v>529</v>
      </c>
      <c r="AQ100" s="92" t="s">
        <v>527</v>
      </c>
      <c r="AR100" s="92" t="s">
        <v>527</v>
      </c>
      <c r="AS100" s="92" t="s">
        <v>530</v>
      </c>
      <c r="AT100" s="101" t="n">
        <v>0</v>
      </c>
      <c r="AU100" s="101" t="n">
        <v>4249829</v>
      </c>
      <c r="AX100" s="92" t="s">
        <v>165</v>
      </c>
    </row>
    <row r="101" customFormat="false" ht="13.8" hidden="false" customHeight="false" outlineLevel="0" collapsed="false">
      <c r="A101" s="92" t="s">
        <v>142</v>
      </c>
      <c r="B101" s="92" t="s">
        <v>143</v>
      </c>
      <c r="C101" s="92" t="n">
        <v>45146299</v>
      </c>
      <c r="D101" s="92" t="s">
        <v>526</v>
      </c>
      <c r="E101" s="92" t="s">
        <v>233</v>
      </c>
      <c r="F101" s="92" t="s">
        <v>167</v>
      </c>
      <c r="G101" s="92" t="s">
        <v>147</v>
      </c>
      <c r="H101" s="92" t="s">
        <v>175</v>
      </c>
      <c r="I101" s="92" t="s">
        <v>527</v>
      </c>
      <c r="J101" s="92" t="s">
        <v>527</v>
      </c>
      <c r="K101" s="101" t="n">
        <v>512904.9</v>
      </c>
      <c r="L101" s="101" t="n">
        <f aca="false">K101-Q101+T101</f>
        <v>512904.9</v>
      </c>
      <c r="M101" s="92" t="s">
        <v>149</v>
      </c>
      <c r="N101" s="101" t="n">
        <v>512904.9</v>
      </c>
      <c r="O101" s="92" t="s">
        <v>149</v>
      </c>
      <c r="P101" s="101" t="n">
        <v>0</v>
      </c>
      <c r="Q101" s="101" t="n">
        <v>0</v>
      </c>
      <c r="R101" s="101" t="n">
        <v>512904.9</v>
      </c>
      <c r="S101" s="101" t="n">
        <v>0</v>
      </c>
      <c r="T101" s="101" t="n">
        <v>0</v>
      </c>
      <c r="U101" s="92" t="s">
        <v>192</v>
      </c>
      <c r="V101" s="92" t="s">
        <v>151</v>
      </c>
      <c r="Y101" s="92" t="s">
        <v>528</v>
      </c>
      <c r="Z101" s="92" t="s">
        <v>529</v>
      </c>
      <c r="AD101" s="92" t="s">
        <v>155</v>
      </c>
      <c r="AE101" s="92" t="s">
        <v>156</v>
      </c>
      <c r="AF101" s="92" t="s">
        <v>238</v>
      </c>
      <c r="AG101" s="92" t="s">
        <v>239</v>
      </c>
      <c r="AI101" s="92" t="s">
        <v>238</v>
      </c>
      <c r="AJ101" s="92" t="s">
        <v>239</v>
      </c>
      <c r="AK101" s="92" t="s">
        <v>159</v>
      </c>
      <c r="AL101" s="92" t="s">
        <v>240</v>
      </c>
      <c r="AM101" s="92" t="s">
        <v>161</v>
      </c>
      <c r="AP101" s="92" t="s">
        <v>529</v>
      </c>
      <c r="AQ101" s="92" t="s">
        <v>527</v>
      </c>
      <c r="AR101" s="92" t="s">
        <v>527</v>
      </c>
      <c r="AS101" s="92" t="s">
        <v>530</v>
      </c>
      <c r="AT101" s="101" t="n">
        <v>0</v>
      </c>
      <c r="AU101" s="101" t="n">
        <v>512904.9</v>
      </c>
      <c r="AX101" s="92" t="s">
        <v>148</v>
      </c>
    </row>
    <row r="102" customFormat="false" ht="13.8" hidden="false" customHeight="false" outlineLevel="0" collapsed="false">
      <c r="A102" s="92" t="s">
        <v>142</v>
      </c>
      <c r="B102" s="92" t="s">
        <v>143</v>
      </c>
      <c r="C102" s="92" t="n">
        <v>45146301</v>
      </c>
      <c r="D102" s="92" t="s">
        <v>531</v>
      </c>
      <c r="E102" s="92" t="s">
        <v>233</v>
      </c>
      <c r="F102" s="92" t="s">
        <v>146</v>
      </c>
      <c r="G102" s="92" t="s">
        <v>147</v>
      </c>
      <c r="H102" s="92" t="s">
        <v>175</v>
      </c>
      <c r="I102" s="92" t="s">
        <v>527</v>
      </c>
      <c r="J102" s="92" t="s">
        <v>527</v>
      </c>
      <c r="K102" s="101" t="n">
        <v>389760</v>
      </c>
      <c r="L102" s="101" t="n">
        <f aca="false">K102-Q102+T102</f>
        <v>389760</v>
      </c>
      <c r="M102" s="92" t="s">
        <v>149</v>
      </c>
      <c r="N102" s="101" t="n">
        <v>389760</v>
      </c>
      <c r="O102" s="92" t="s">
        <v>149</v>
      </c>
      <c r="P102" s="101" t="n">
        <v>0</v>
      </c>
      <c r="Q102" s="101" t="n">
        <v>0</v>
      </c>
      <c r="R102" s="101" t="n">
        <v>389760</v>
      </c>
      <c r="S102" s="101" t="n">
        <v>0</v>
      </c>
      <c r="T102" s="101" t="n">
        <v>0</v>
      </c>
      <c r="U102" s="92" t="s">
        <v>150</v>
      </c>
      <c r="V102" s="92" t="s">
        <v>151</v>
      </c>
      <c r="Y102" s="92" t="s">
        <v>528</v>
      </c>
      <c r="Z102" s="92" t="s">
        <v>532</v>
      </c>
      <c r="AD102" s="92" t="s">
        <v>155</v>
      </c>
      <c r="AE102" s="92" t="s">
        <v>156</v>
      </c>
      <c r="AF102" s="92" t="s">
        <v>238</v>
      </c>
      <c r="AG102" s="92" t="s">
        <v>239</v>
      </c>
      <c r="AI102" s="92" t="s">
        <v>238</v>
      </c>
      <c r="AJ102" s="92" t="s">
        <v>239</v>
      </c>
      <c r="AK102" s="92" t="s">
        <v>159</v>
      </c>
      <c r="AL102" s="92" t="s">
        <v>240</v>
      </c>
      <c r="AM102" s="92" t="s">
        <v>161</v>
      </c>
      <c r="AP102" s="92" t="s">
        <v>532</v>
      </c>
      <c r="AQ102" s="92" t="s">
        <v>527</v>
      </c>
      <c r="AR102" s="92" t="s">
        <v>527</v>
      </c>
      <c r="AS102" s="92" t="s">
        <v>533</v>
      </c>
      <c r="AT102" s="101" t="n">
        <v>0</v>
      </c>
      <c r="AU102" s="101" t="n">
        <v>389760</v>
      </c>
      <c r="AX102" s="92" t="s">
        <v>165</v>
      </c>
    </row>
    <row r="103" customFormat="false" ht="13.8" hidden="false" customHeight="false" outlineLevel="0" collapsed="false">
      <c r="A103" s="92" t="s">
        <v>142</v>
      </c>
      <c r="B103" s="92" t="s">
        <v>143</v>
      </c>
      <c r="C103" s="92" t="n">
        <v>45148134</v>
      </c>
      <c r="D103" s="92" t="s">
        <v>534</v>
      </c>
      <c r="E103" s="92" t="s">
        <v>233</v>
      </c>
      <c r="F103" s="92" t="s">
        <v>146</v>
      </c>
      <c r="G103" s="92" t="s">
        <v>147</v>
      </c>
      <c r="H103" s="92" t="s">
        <v>535</v>
      </c>
      <c r="I103" s="92" t="s">
        <v>536</v>
      </c>
      <c r="J103" s="92" t="s">
        <v>536</v>
      </c>
      <c r="K103" s="101" t="n">
        <v>283342.34</v>
      </c>
      <c r="L103" s="101" t="n">
        <f aca="false">K103-Q103+T103</f>
        <v>283342.34</v>
      </c>
      <c r="M103" s="92" t="s">
        <v>149</v>
      </c>
      <c r="N103" s="101" t="n">
        <v>283342.34</v>
      </c>
      <c r="O103" s="92" t="s">
        <v>149</v>
      </c>
      <c r="P103" s="101" t="n">
        <v>0</v>
      </c>
      <c r="Q103" s="101" t="n">
        <v>0</v>
      </c>
      <c r="R103" s="101" t="n">
        <v>283342.34</v>
      </c>
      <c r="S103" s="101" t="n">
        <v>0</v>
      </c>
      <c r="T103" s="101" t="n">
        <v>0</v>
      </c>
      <c r="U103" s="92" t="s">
        <v>150</v>
      </c>
      <c r="V103" s="92" t="s">
        <v>151</v>
      </c>
      <c r="Y103" s="92" t="s">
        <v>537</v>
      </c>
      <c r="Z103" s="92" t="s">
        <v>538</v>
      </c>
      <c r="AD103" s="92" t="s">
        <v>155</v>
      </c>
      <c r="AE103" s="92" t="s">
        <v>156</v>
      </c>
      <c r="AF103" s="92" t="s">
        <v>238</v>
      </c>
      <c r="AG103" s="92" t="s">
        <v>239</v>
      </c>
      <c r="AI103" s="92" t="s">
        <v>238</v>
      </c>
      <c r="AJ103" s="92" t="s">
        <v>239</v>
      </c>
      <c r="AK103" s="92" t="s">
        <v>159</v>
      </c>
      <c r="AL103" s="92" t="s">
        <v>240</v>
      </c>
      <c r="AM103" s="92" t="s">
        <v>161</v>
      </c>
      <c r="AP103" s="92" t="s">
        <v>538</v>
      </c>
      <c r="AQ103" s="92" t="s">
        <v>536</v>
      </c>
      <c r="AR103" s="92" t="s">
        <v>536</v>
      </c>
      <c r="AS103" s="92" t="s">
        <v>539</v>
      </c>
      <c r="AT103" s="101" t="n">
        <v>0</v>
      </c>
      <c r="AU103" s="101" t="n">
        <v>283342.34</v>
      </c>
      <c r="AX103" s="92" t="s">
        <v>165</v>
      </c>
    </row>
    <row r="104" customFormat="false" ht="13.8" hidden="false" customHeight="false" outlineLevel="0" collapsed="false">
      <c r="A104" s="92" t="s">
        <v>142</v>
      </c>
      <c r="B104" s="92" t="s">
        <v>143</v>
      </c>
      <c r="C104" s="92" t="n">
        <v>45158225</v>
      </c>
      <c r="D104" s="92" t="s">
        <v>540</v>
      </c>
      <c r="E104" s="92" t="s">
        <v>233</v>
      </c>
      <c r="F104" s="92" t="s">
        <v>297</v>
      </c>
      <c r="G104" s="92" t="s">
        <v>147</v>
      </c>
      <c r="H104" s="92" t="s">
        <v>535</v>
      </c>
      <c r="I104" s="92" t="s">
        <v>541</v>
      </c>
      <c r="J104" s="92" t="s">
        <v>541</v>
      </c>
      <c r="K104" s="101" t="n">
        <v>1271591.45</v>
      </c>
      <c r="L104" s="101" t="n">
        <f aca="false">K104-Q104+T104</f>
        <v>1271591.45</v>
      </c>
      <c r="M104" s="92" t="s">
        <v>149</v>
      </c>
      <c r="N104" s="101" t="n">
        <v>1271591.45</v>
      </c>
      <c r="O104" s="92" t="s">
        <v>149</v>
      </c>
      <c r="P104" s="101" t="n">
        <v>0</v>
      </c>
      <c r="Q104" s="101" t="n">
        <v>0</v>
      </c>
      <c r="R104" s="101" t="n">
        <v>1271591.45</v>
      </c>
      <c r="S104" s="101" t="n">
        <v>0</v>
      </c>
      <c r="T104" s="101" t="n">
        <v>0</v>
      </c>
      <c r="U104" s="92" t="s">
        <v>192</v>
      </c>
      <c r="V104" s="92" t="s">
        <v>151</v>
      </c>
      <c r="Y104" s="92" t="s">
        <v>542</v>
      </c>
      <c r="Z104" s="92" t="s">
        <v>543</v>
      </c>
      <c r="AD104" s="92" t="s">
        <v>155</v>
      </c>
      <c r="AE104" s="92" t="s">
        <v>156</v>
      </c>
      <c r="AF104" s="92" t="s">
        <v>238</v>
      </c>
      <c r="AG104" s="92" t="s">
        <v>239</v>
      </c>
      <c r="AI104" s="92" t="s">
        <v>238</v>
      </c>
      <c r="AJ104" s="92" t="s">
        <v>239</v>
      </c>
      <c r="AK104" s="92" t="s">
        <v>159</v>
      </c>
      <c r="AL104" s="92" t="s">
        <v>240</v>
      </c>
      <c r="AM104" s="92" t="s">
        <v>161</v>
      </c>
      <c r="AP104" s="92" t="s">
        <v>543</v>
      </c>
      <c r="AQ104" s="92" t="s">
        <v>541</v>
      </c>
      <c r="AR104" s="92" t="s">
        <v>541</v>
      </c>
      <c r="AS104" s="92" t="s">
        <v>544</v>
      </c>
      <c r="AT104" s="101" t="n">
        <v>0</v>
      </c>
      <c r="AU104" s="101" t="n">
        <v>1271591.45</v>
      </c>
      <c r="AX104" s="92" t="s">
        <v>165</v>
      </c>
    </row>
    <row r="105" customFormat="false" ht="13.8" hidden="false" customHeight="false" outlineLevel="0" collapsed="false">
      <c r="A105" s="92" t="s">
        <v>142</v>
      </c>
      <c r="B105" s="92" t="s">
        <v>143</v>
      </c>
      <c r="C105" s="92" t="n">
        <v>45167201</v>
      </c>
      <c r="D105" s="92" t="s">
        <v>545</v>
      </c>
      <c r="E105" s="92" t="s">
        <v>233</v>
      </c>
      <c r="F105" s="92" t="s">
        <v>212</v>
      </c>
      <c r="G105" s="92" t="s">
        <v>147</v>
      </c>
      <c r="H105" s="92" t="s">
        <v>535</v>
      </c>
      <c r="I105" s="92" t="s">
        <v>546</v>
      </c>
      <c r="J105" s="92" t="s">
        <v>546</v>
      </c>
      <c r="K105" s="101" t="n">
        <v>2759778.1</v>
      </c>
      <c r="L105" s="101" t="n">
        <f aca="false">K105-Q105+T105</f>
        <v>2759778.1</v>
      </c>
      <c r="M105" s="92" t="s">
        <v>149</v>
      </c>
      <c r="N105" s="101" t="n">
        <v>2759778.1</v>
      </c>
      <c r="O105" s="92" t="s">
        <v>149</v>
      </c>
      <c r="P105" s="101" t="n">
        <v>0</v>
      </c>
      <c r="Q105" s="101" t="n">
        <v>0</v>
      </c>
      <c r="R105" s="101" t="n">
        <v>2759778.1</v>
      </c>
      <c r="S105" s="101" t="n">
        <v>0</v>
      </c>
      <c r="T105" s="101" t="n">
        <v>0</v>
      </c>
      <c r="U105" s="92" t="s">
        <v>150</v>
      </c>
      <c r="V105" s="92" t="s">
        <v>151</v>
      </c>
      <c r="Y105" s="92" t="s">
        <v>547</v>
      </c>
      <c r="Z105" s="92" t="s">
        <v>548</v>
      </c>
      <c r="AD105" s="92" t="s">
        <v>155</v>
      </c>
      <c r="AE105" s="92" t="s">
        <v>156</v>
      </c>
      <c r="AF105" s="92" t="s">
        <v>238</v>
      </c>
      <c r="AG105" s="92" t="s">
        <v>239</v>
      </c>
      <c r="AI105" s="92" t="s">
        <v>238</v>
      </c>
      <c r="AJ105" s="92" t="s">
        <v>239</v>
      </c>
      <c r="AK105" s="92" t="s">
        <v>159</v>
      </c>
      <c r="AL105" s="92" t="s">
        <v>240</v>
      </c>
      <c r="AM105" s="92" t="s">
        <v>161</v>
      </c>
      <c r="AP105" s="92" t="s">
        <v>548</v>
      </c>
      <c r="AQ105" s="92" t="s">
        <v>546</v>
      </c>
      <c r="AR105" s="92" t="s">
        <v>546</v>
      </c>
      <c r="AS105" s="92" t="s">
        <v>549</v>
      </c>
      <c r="AT105" s="101" t="n">
        <v>0</v>
      </c>
      <c r="AU105" s="101" t="n">
        <v>2759778.1</v>
      </c>
      <c r="AX105" s="92" t="s">
        <v>165</v>
      </c>
    </row>
    <row r="106" customFormat="false" ht="13.8" hidden="false" customHeight="false" outlineLevel="0" collapsed="false">
      <c r="A106" s="92" t="s">
        <v>142</v>
      </c>
      <c r="B106" s="92" t="s">
        <v>143</v>
      </c>
      <c r="C106" s="92" t="n">
        <v>45167201</v>
      </c>
      <c r="D106" s="92" t="s">
        <v>545</v>
      </c>
      <c r="E106" s="92" t="s">
        <v>233</v>
      </c>
      <c r="F106" s="92" t="s">
        <v>212</v>
      </c>
      <c r="G106" s="92" t="s">
        <v>147</v>
      </c>
      <c r="H106" s="92" t="s">
        <v>535</v>
      </c>
      <c r="I106" s="92" t="s">
        <v>546</v>
      </c>
      <c r="J106" s="92" t="s">
        <v>546</v>
      </c>
      <c r="K106" s="101" t="n">
        <v>1126900</v>
      </c>
      <c r="L106" s="101" t="n">
        <f aca="false">K106-Q106+T106</f>
        <v>1126900</v>
      </c>
      <c r="M106" s="92" t="s">
        <v>149</v>
      </c>
      <c r="N106" s="101" t="n">
        <v>1126900</v>
      </c>
      <c r="O106" s="92" t="s">
        <v>149</v>
      </c>
      <c r="P106" s="101" t="n">
        <v>0</v>
      </c>
      <c r="Q106" s="101" t="n">
        <v>0</v>
      </c>
      <c r="R106" s="101" t="n">
        <v>1126900</v>
      </c>
      <c r="S106" s="101" t="n">
        <v>0</v>
      </c>
      <c r="T106" s="101" t="n">
        <v>0</v>
      </c>
      <c r="U106" s="92" t="s">
        <v>150</v>
      </c>
      <c r="V106" s="92" t="s">
        <v>151</v>
      </c>
      <c r="Y106" s="92" t="s">
        <v>547</v>
      </c>
      <c r="Z106" s="92" t="s">
        <v>548</v>
      </c>
      <c r="AD106" s="92" t="s">
        <v>155</v>
      </c>
      <c r="AE106" s="92" t="s">
        <v>156</v>
      </c>
      <c r="AF106" s="92" t="s">
        <v>238</v>
      </c>
      <c r="AG106" s="92" t="s">
        <v>239</v>
      </c>
      <c r="AI106" s="92" t="s">
        <v>238</v>
      </c>
      <c r="AJ106" s="92" t="s">
        <v>239</v>
      </c>
      <c r="AK106" s="92" t="s">
        <v>159</v>
      </c>
      <c r="AL106" s="92" t="s">
        <v>240</v>
      </c>
      <c r="AM106" s="92" t="s">
        <v>161</v>
      </c>
      <c r="AP106" s="92" t="s">
        <v>548</v>
      </c>
      <c r="AQ106" s="92" t="s">
        <v>546</v>
      </c>
      <c r="AR106" s="92" t="s">
        <v>546</v>
      </c>
      <c r="AS106" s="92" t="s">
        <v>549</v>
      </c>
      <c r="AT106" s="101" t="n">
        <v>0</v>
      </c>
      <c r="AU106" s="101" t="n">
        <v>1126900</v>
      </c>
      <c r="AX106" s="92" t="s">
        <v>220</v>
      </c>
    </row>
    <row r="107" customFormat="false" ht="13.8" hidden="false" customHeight="false" outlineLevel="0" collapsed="false">
      <c r="A107" s="92" t="s">
        <v>142</v>
      </c>
      <c r="B107" s="92" t="s">
        <v>143</v>
      </c>
      <c r="C107" s="92" t="n">
        <v>45167654</v>
      </c>
      <c r="D107" s="92" t="s">
        <v>550</v>
      </c>
      <c r="E107" s="92" t="s">
        <v>233</v>
      </c>
      <c r="F107" s="92" t="s">
        <v>297</v>
      </c>
      <c r="G107" s="92" t="s">
        <v>147</v>
      </c>
      <c r="H107" s="92" t="s">
        <v>535</v>
      </c>
      <c r="I107" s="92" t="s">
        <v>551</v>
      </c>
      <c r="J107" s="92" t="s">
        <v>551</v>
      </c>
      <c r="K107" s="101" t="n">
        <v>7216477.74</v>
      </c>
      <c r="L107" s="101" t="n">
        <f aca="false">K107-Q107+T107</f>
        <v>7216477.74</v>
      </c>
      <c r="M107" s="92" t="s">
        <v>149</v>
      </c>
      <c r="N107" s="101" t="n">
        <v>7216477.74</v>
      </c>
      <c r="O107" s="92" t="s">
        <v>149</v>
      </c>
      <c r="P107" s="101" t="n">
        <v>0</v>
      </c>
      <c r="Q107" s="101" t="n">
        <v>0</v>
      </c>
      <c r="R107" s="101" t="n">
        <v>7216477.74</v>
      </c>
      <c r="S107" s="101" t="n">
        <v>0</v>
      </c>
      <c r="T107" s="101" t="n">
        <v>0</v>
      </c>
      <c r="U107" s="92" t="s">
        <v>192</v>
      </c>
      <c r="V107" s="92" t="s">
        <v>151</v>
      </c>
      <c r="Y107" s="92" t="s">
        <v>552</v>
      </c>
      <c r="Z107" s="92" t="s">
        <v>553</v>
      </c>
      <c r="AD107" s="92" t="s">
        <v>155</v>
      </c>
      <c r="AE107" s="92" t="s">
        <v>156</v>
      </c>
      <c r="AF107" s="92" t="s">
        <v>238</v>
      </c>
      <c r="AG107" s="92" t="s">
        <v>239</v>
      </c>
      <c r="AI107" s="92" t="s">
        <v>238</v>
      </c>
      <c r="AJ107" s="92" t="s">
        <v>239</v>
      </c>
      <c r="AK107" s="92" t="s">
        <v>159</v>
      </c>
      <c r="AL107" s="92" t="s">
        <v>240</v>
      </c>
      <c r="AM107" s="92" t="s">
        <v>161</v>
      </c>
      <c r="AP107" s="92" t="s">
        <v>553</v>
      </c>
      <c r="AQ107" s="92" t="s">
        <v>551</v>
      </c>
      <c r="AR107" s="92" t="s">
        <v>551</v>
      </c>
      <c r="AS107" s="92" t="s">
        <v>554</v>
      </c>
      <c r="AT107" s="101" t="n">
        <v>0</v>
      </c>
      <c r="AU107" s="101" t="n">
        <v>7216477.74</v>
      </c>
      <c r="AX107" s="92" t="s">
        <v>165</v>
      </c>
    </row>
    <row r="108" customFormat="false" ht="13.8" hidden="false" customHeight="false" outlineLevel="0" collapsed="false">
      <c r="A108" s="92" t="s">
        <v>142</v>
      </c>
      <c r="B108" s="92" t="s">
        <v>143</v>
      </c>
      <c r="C108" s="92" t="n">
        <v>45173873</v>
      </c>
      <c r="D108" s="92" t="s">
        <v>555</v>
      </c>
      <c r="E108" s="92" t="s">
        <v>233</v>
      </c>
      <c r="F108" s="92" t="s">
        <v>297</v>
      </c>
      <c r="G108" s="92" t="s">
        <v>147</v>
      </c>
      <c r="H108" s="92" t="s">
        <v>556</v>
      </c>
      <c r="I108" s="92" t="s">
        <v>557</v>
      </c>
      <c r="J108" s="92" t="s">
        <v>557</v>
      </c>
      <c r="K108" s="101" t="n">
        <v>1763761.46</v>
      </c>
      <c r="L108" s="101" t="n">
        <f aca="false">K108-Q108+T108</f>
        <v>1763761.46</v>
      </c>
      <c r="M108" s="92" t="s">
        <v>149</v>
      </c>
      <c r="N108" s="101" t="n">
        <v>1763761.46</v>
      </c>
      <c r="O108" s="92" t="s">
        <v>149</v>
      </c>
      <c r="P108" s="101" t="n">
        <v>0</v>
      </c>
      <c r="Q108" s="101" t="n">
        <v>0</v>
      </c>
      <c r="R108" s="101" t="n">
        <v>1763761.46</v>
      </c>
      <c r="S108" s="101" t="n">
        <v>0</v>
      </c>
      <c r="T108" s="101" t="n">
        <v>0</v>
      </c>
      <c r="U108" s="92" t="s">
        <v>192</v>
      </c>
      <c r="V108" s="92" t="s">
        <v>151</v>
      </c>
      <c r="Y108" s="92" t="s">
        <v>558</v>
      </c>
      <c r="Z108" s="92" t="s">
        <v>559</v>
      </c>
      <c r="AD108" s="92" t="s">
        <v>155</v>
      </c>
      <c r="AE108" s="92" t="s">
        <v>156</v>
      </c>
      <c r="AF108" s="92" t="s">
        <v>238</v>
      </c>
      <c r="AG108" s="92" t="s">
        <v>239</v>
      </c>
      <c r="AI108" s="92" t="s">
        <v>238</v>
      </c>
      <c r="AJ108" s="92" t="s">
        <v>239</v>
      </c>
      <c r="AK108" s="92" t="s">
        <v>159</v>
      </c>
      <c r="AL108" s="92" t="s">
        <v>240</v>
      </c>
      <c r="AM108" s="92" t="s">
        <v>161</v>
      </c>
      <c r="AP108" s="92" t="s">
        <v>559</v>
      </c>
      <c r="AQ108" s="92" t="s">
        <v>557</v>
      </c>
      <c r="AR108" s="92" t="s">
        <v>557</v>
      </c>
      <c r="AS108" s="92" t="s">
        <v>560</v>
      </c>
      <c r="AT108" s="101" t="n">
        <v>0</v>
      </c>
      <c r="AU108" s="101" t="n">
        <v>1763761.46</v>
      </c>
      <c r="AX108" s="92" t="s">
        <v>165</v>
      </c>
    </row>
    <row r="109" customFormat="false" ht="13.8" hidden="false" customHeight="false" outlineLevel="0" collapsed="false">
      <c r="A109" s="92" t="s">
        <v>142</v>
      </c>
      <c r="B109" s="92" t="s">
        <v>143</v>
      </c>
      <c r="C109" s="92" t="n">
        <v>45173971</v>
      </c>
      <c r="D109" s="92" t="s">
        <v>561</v>
      </c>
      <c r="E109" s="92" t="s">
        <v>233</v>
      </c>
      <c r="F109" s="92" t="s">
        <v>297</v>
      </c>
      <c r="G109" s="92" t="s">
        <v>147</v>
      </c>
      <c r="H109" s="92" t="s">
        <v>556</v>
      </c>
      <c r="I109" s="92" t="s">
        <v>557</v>
      </c>
      <c r="J109" s="92" t="s">
        <v>557</v>
      </c>
      <c r="K109" s="101" t="n">
        <v>311252.02</v>
      </c>
      <c r="L109" s="101" t="n">
        <f aca="false">K109-Q109+T109</f>
        <v>311252.02</v>
      </c>
      <c r="M109" s="92" t="s">
        <v>149</v>
      </c>
      <c r="N109" s="101" t="n">
        <v>311252.02</v>
      </c>
      <c r="O109" s="92" t="s">
        <v>149</v>
      </c>
      <c r="P109" s="101" t="n">
        <v>0</v>
      </c>
      <c r="Q109" s="101" t="n">
        <v>0</v>
      </c>
      <c r="R109" s="101" t="n">
        <v>311252.02</v>
      </c>
      <c r="S109" s="101" t="n">
        <v>0</v>
      </c>
      <c r="T109" s="101" t="n">
        <v>0</v>
      </c>
      <c r="U109" s="92" t="s">
        <v>192</v>
      </c>
      <c r="V109" s="92" t="s">
        <v>151</v>
      </c>
      <c r="Y109" s="92" t="s">
        <v>562</v>
      </c>
      <c r="Z109" s="92" t="s">
        <v>563</v>
      </c>
      <c r="AD109" s="92" t="s">
        <v>155</v>
      </c>
      <c r="AE109" s="92" t="s">
        <v>156</v>
      </c>
      <c r="AF109" s="92" t="s">
        <v>238</v>
      </c>
      <c r="AG109" s="92" t="s">
        <v>239</v>
      </c>
      <c r="AI109" s="92" t="s">
        <v>238</v>
      </c>
      <c r="AJ109" s="92" t="s">
        <v>239</v>
      </c>
      <c r="AK109" s="92" t="s">
        <v>159</v>
      </c>
      <c r="AL109" s="92" t="s">
        <v>240</v>
      </c>
      <c r="AM109" s="92" t="s">
        <v>161</v>
      </c>
      <c r="AP109" s="92" t="s">
        <v>563</v>
      </c>
      <c r="AQ109" s="92" t="s">
        <v>557</v>
      </c>
      <c r="AR109" s="92" t="s">
        <v>557</v>
      </c>
      <c r="AS109" s="92" t="s">
        <v>564</v>
      </c>
      <c r="AT109" s="101" t="n">
        <v>0</v>
      </c>
      <c r="AU109" s="101" t="n">
        <v>311252.02</v>
      </c>
      <c r="AX109" s="92" t="s">
        <v>165</v>
      </c>
    </row>
    <row r="110" customFormat="false" ht="13.8" hidden="false" customHeight="false" outlineLevel="0" collapsed="false">
      <c r="A110" s="92" t="s">
        <v>142</v>
      </c>
      <c r="B110" s="92" t="s">
        <v>143</v>
      </c>
      <c r="C110" s="92" t="n">
        <v>45176169</v>
      </c>
      <c r="D110" s="92" t="s">
        <v>565</v>
      </c>
      <c r="E110" s="92" t="s">
        <v>233</v>
      </c>
      <c r="F110" s="92" t="s">
        <v>266</v>
      </c>
      <c r="G110" s="92" t="s">
        <v>147</v>
      </c>
      <c r="H110" s="92" t="s">
        <v>556</v>
      </c>
      <c r="I110" s="92" t="s">
        <v>566</v>
      </c>
      <c r="J110" s="92" t="s">
        <v>566</v>
      </c>
      <c r="K110" s="101" t="n">
        <v>506582.87</v>
      </c>
      <c r="L110" s="101" t="n">
        <f aca="false">K110-Q110+T110</f>
        <v>506582.87</v>
      </c>
      <c r="M110" s="92" t="s">
        <v>149</v>
      </c>
      <c r="N110" s="101" t="n">
        <v>506582.87</v>
      </c>
      <c r="O110" s="92" t="s">
        <v>149</v>
      </c>
      <c r="P110" s="101" t="n">
        <v>0</v>
      </c>
      <c r="Q110" s="101" t="n">
        <v>0</v>
      </c>
      <c r="R110" s="101" t="n">
        <v>506582.87</v>
      </c>
      <c r="S110" s="101" t="n">
        <v>0</v>
      </c>
      <c r="T110" s="101" t="n">
        <v>0</v>
      </c>
      <c r="U110" s="92" t="s">
        <v>192</v>
      </c>
      <c r="V110" s="92" t="s">
        <v>151</v>
      </c>
      <c r="Y110" s="92" t="s">
        <v>567</v>
      </c>
      <c r="Z110" s="92" t="s">
        <v>568</v>
      </c>
      <c r="AD110" s="92" t="s">
        <v>155</v>
      </c>
      <c r="AE110" s="92" t="s">
        <v>156</v>
      </c>
      <c r="AF110" s="92" t="s">
        <v>238</v>
      </c>
      <c r="AG110" s="92" t="s">
        <v>239</v>
      </c>
      <c r="AI110" s="92" t="s">
        <v>238</v>
      </c>
      <c r="AJ110" s="92" t="s">
        <v>239</v>
      </c>
      <c r="AK110" s="92" t="s">
        <v>159</v>
      </c>
      <c r="AL110" s="92" t="s">
        <v>240</v>
      </c>
      <c r="AM110" s="92" t="s">
        <v>161</v>
      </c>
      <c r="AP110" s="92" t="s">
        <v>568</v>
      </c>
      <c r="AQ110" s="92" t="s">
        <v>566</v>
      </c>
      <c r="AR110" s="92" t="s">
        <v>566</v>
      </c>
      <c r="AS110" s="92" t="s">
        <v>569</v>
      </c>
      <c r="AT110" s="101" t="n">
        <v>0</v>
      </c>
      <c r="AU110" s="101" t="n">
        <v>506582.87</v>
      </c>
      <c r="AX110" s="92" t="s">
        <v>165</v>
      </c>
    </row>
    <row r="111" customFormat="false" ht="13.8" hidden="false" customHeight="false" outlineLevel="0" collapsed="false">
      <c r="A111" s="92" t="s">
        <v>142</v>
      </c>
      <c r="B111" s="92" t="s">
        <v>143</v>
      </c>
      <c r="C111" s="92" t="n">
        <v>45182412</v>
      </c>
      <c r="D111" s="92" t="s">
        <v>570</v>
      </c>
      <c r="E111" s="92" t="s">
        <v>233</v>
      </c>
      <c r="F111" s="92" t="s">
        <v>167</v>
      </c>
      <c r="G111" s="92" t="s">
        <v>147</v>
      </c>
      <c r="H111" s="92" t="s">
        <v>556</v>
      </c>
      <c r="I111" s="92" t="s">
        <v>571</v>
      </c>
      <c r="J111" s="92" t="s">
        <v>571</v>
      </c>
      <c r="K111" s="101" t="n">
        <v>1595048.78</v>
      </c>
      <c r="L111" s="101" t="n">
        <f aca="false">K111-Q111+T111</f>
        <v>1595048.78</v>
      </c>
      <c r="M111" s="92" t="s">
        <v>149</v>
      </c>
      <c r="N111" s="101" t="n">
        <v>1595048.78</v>
      </c>
      <c r="O111" s="92" t="s">
        <v>149</v>
      </c>
      <c r="P111" s="101" t="n">
        <v>0</v>
      </c>
      <c r="Q111" s="101" t="n">
        <v>0</v>
      </c>
      <c r="R111" s="101" t="n">
        <v>1595048.78</v>
      </c>
      <c r="S111" s="101" t="n">
        <v>0</v>
      </c>
      <c r="T111" s="101" t="n">
        <v>0</v>
      </c>
      <c r="U111" s="92" t="s">
        <v>192</v>
      </c>
      <c r="V111" s="92" t="s">
        <v>151</v>
      </c>
      <c r="Y111" s="92" t="s">
        <v>572</v>
      </c>
      <c r="Z111" s="92" t="s">
        <v>573</v>
      </c>
      <c r="AD111" s="92" t="s">
        <v>155</v>
      </c>
      <c r="AE111" s="92" t="s">
        <v>156</v>
      </c>
      <c r="AF111" s="92" t="s">
        <v>238</v>
      </c>
      <c r="AG111" s="92" t="s">
        <v>239</v>
      </c>
      <c r="AI111" s="92" t="s">
        <v>238</v>
      </c>
      <c r="AJ111" s="92" t="s">
        <v>239</v>
      </c>
      <c r="AK111" s="92" t="s">
        <v>159</v>
      </c>
      <c r="AL111" s="92" t="s">
        <v>240</v>
      </c>
      <c r="AM111" s="92" t="s">
        <v>161</v>
      </c>
      <c r="AP111" s="92" t="s">
        <v>573</v>
      </c>
      <c r="AQ111" s="92" t="s">
        <v>571</v>
      </c>
      <c r="AR111" s="92" t="s">
        <v>571</v>
      </c>
      <c r="AS111" s="92" t="s">
        <v>574</v>
      </c>
      <c r="AT111" s="101" t="n">
        <v>0</v>
      </c>
      <c r="AU111" s="101" t="n">
        <v>1595048.78</v>
      </c>
      <c r="AX111" s="92" t="s">
        <v>220</v>
      </c>
    </row>
    <row r="112" customFormat="false" ht="13.8" hidden="false" customHeight="false" outlineLevel="0" collapsed="false">
      <c r="A112" s="92" t="s">
        <v>142</v>
      </c>
      <c r="B112" s="92" t="s">
        <v>143</v>
      </c>
      <c r="C112" s="92" t="n">
        <v>45182412</v>
      </c>
      <c r="D112" s="92" t="s">
        <v>570</v>
      </c>
      <c r="E112" s="92" t="s">
        <v>233</v>
      </c>
      <c r="F112" s="92" t="s">
        <v>167</v>
      </c>
      <c r="G112" s="92" t="s">
        <v>147</v>
      </c>
      <c r="H112" s="92" t="s">
        <v>556</v>
      </c>
      <c r="I112" s="92" t="s">
        <v>571</v>
      </c>
      <c r="J112" s="92" t="s">
        <v>571</v>
      </c>
      <c r="K112" s="101" t="n">
        <v>815269.98</v>
      </c>
      <c r="L112" s="101" t="n">
        <f aca="false">K112-Q112+T112</f>
        <v>815269.98</v>
      </c>
      <c r="M112" s="92" t="s">
        <v>149</v>
      </c>
      <c r="N112" s="101" t="n">
        <v>815269.98</v>
      </c>
      <c r="O112" s="92" t="s">
        <v>149</v>
      </c>
      <c r="P112" s="101" t="n">
        <v>0</v>
      </c>
      <c r="Q112" s="101" t="n">
        <v>0</v>
      </c>
      <c r="R112" s="101" t="n">
        <v>815269.98</v>
      </c>
      <c r="S112" s="101" t="n">
        <v>0</v>
      </c>
      <c r="T112" s="101" t="n">
        <v>0</v>
      </c>
      <c r="U112" s="92" t="s">
        <v>192</v>
      </c>
      <c r="V112" s="92" t="s">
        <v>151</v>
      </c>
      <c r="Y112" s="92" t="s">
        <v>572</v>
      </c>
      <c r="Z112" s="92" t="s">
        <v>573</v>
      </c>
      <c r="AD112" s="92" t="s">
        <v>155</v>
      </c>
      <c r="AE112" s="92" t="s">
        <v>156</v>
      </c>
      <c r="AF112" s="92" t="s">
        <v>238</v>
      </c>
      <c r="AG112" s="92" t="s">
        <v>239</v>
      </c>
      <c r="AI112" s="92" t="s">
        <v>238</v>
      </c>
      <c r="AJ112" s="92" t="s">
        <v>239</v>
      </c>
      <c r="AK112" s="92" t="s">
        <v>159</v>
      </c>
      <c r="AL112" s="92" t="s">
        <v>240</v>
      </c>
      <c r="AM112" s="92" t="s">
        <v>161</v>
      </c>
      <c r="AP112" s="92" t="s">
        <v>573</v>
      </c>
      <c r="AQ112" s="92" t="s">
        <v>571</v>
      </c>
      <c r="AR112" s="92" t="s">
        <v>571</v>
      </c>
      <c r="AS112" s="92" t="s">
        <v>574</v>
      </c>
      <c r="AT112" s="101" t="n">
        <v>0</v>
      </c>
      <c r="AU112" s="101" t="n">
        <v>815269.98</v>
      </c>
      <c r="AX112" s="92" t="s">
        <v>165</v>
      </c>
    </row>
    <row r="113" customFormat="false" ht="13.8" hidden="false" customHeight="false" outlineLevel="0" collapsed="false">
      <c r="A113" s="92" t="s">
        <v>142</v>
      </c>
      <c r="B113" s="92" t="s">
        <v>143</v>
      </c>
      <c r="C113" s="92" t="n">
        <v>45182412</v>
      </c>
      <c r="D113" s="92" t="s">
        <v>570</v>
      </c>
      <c r="E113" s="92" t="s">
        <v>233</v>
      </c>
      <c r="F113" s="92" t="s">
        <v>167</v>
      </c>
      <c r="G113" s="92" t="s">
        <v>147</v>
      </c>
      <c r="H113" s="92" t="s">
        <v>556</v>
      </c>
      <c r="I113" s="92" t="s">
        <v>571</v>
      </c>
      <c r="J113" s="92" t="s">
        <v>571</v>
      </c>
      <c r="K113" s="101" t="n">
        <v>10938.8</v>
      </c>
      <c r="L113" s="101" t="n">
        <f aca="false">K113-Q113+T113</f>
        <v>10938.8</v>
      </c>
      <c r="M113" s="92" t="s">
        <v>149</v>
      </c>
      <c r="N113" s="101" t="n">
        <v>10938.8</v>
      </c>
      <c r="O113" s="92" t="s">
        <v>149</v>
      </c>
      <c r="P113" s="101" t="n">
        <v>0</v>
      </c>
      <c r="Q113" s="101" t="n">
        <v>0</v>
      </c>
      <c r="R113" s="101" t="n">
        <v>10938.8</v>
      </c>
      <c r="S113" s="101" t="n">
        <v>0</v>
      </c>
      <c r="T113" s="101" t="n">
        <v>0</v>
      </c>
      <c r="U113" s="92" t="s">
        <v>192</v>
      </c>
      <c r="V113" s="92" t="s">
        <v>151</v>
      </c>
      <c r="Y113" s="92" t="s">
        <v>572</v>
      </c>
      <c r="Z113" s="92" t="s">
        <v>573</v>
      </c>
      <c r="AD113" s="92" t="s">
        <v>155</v>
      </c>
      <c r="AE113" s="92" t="s">
        <v>156</v>
      </c>
      <c r="AF113" s="92" t="s">
        <v>238</v>
      </c>
      <c r="AG113" s="92" t="s">
        <v>239</v>
      </c>
      <c r="AI113" s="92" t="s">
        <v>238</v>
      </c>
      <c r="AJ113" s="92" t="s">
        <v>239</v>
      </c>
      <c r="AK113" s="92" t="s">
        <v>159</v>
      </c>
      <c r="AL113" s="92" t="s">
        <v>240</v>
      </c>
      <c r="AM113" s="92" t="s">
        <v>161</v>
      </c>
      <c r="AP113" s="92" t="s">
        <v>573</v>
      </c>
      <c r="AQ113" s="92" t="s">
        <v>571</v>
      </c>
      <c r="AR113" s="92" t="s">
        <v>571</v>
      </c>
      <c r="AS113" s="92" t="s">
        <v>574</v>
      </c>
      <c r="AT113" s="101" t="n">
        <v>0</v>
      </c>
      <c r="AU113" s="101" t="n">
        <v>10938.8</v>
      </c>
      <c r="AX113" s="92" t="s">
        <v>148</v>
      </c>
    </row>
    <row r="114" customFormat="false" ht="13.8" hidden="false" customHeight="false" outlineLevel="0" collapsed="false">
      <c r="A114" s="92" t="s">
        <v>142</v>
      </c>
      <c r="B114" s="92" t="s">
        <v>143</v>
      </c>
      <c r="C114" s="92" t="n">
        <v>45185673</v>
      </c>
      <c r="D114" s="92" t="s">
        <v>575</v>
      </c>
      <c r="E114" s="92" t="s">
        <v>233</v>
      </c>
      <c r="F114" s="92" t="s">
        <v>278</v>
      </c>
      <c r="G114" s="92" t="s">
        <v>147</v>
      </c>
      <c r="H114" s="92" t="s">
        <v>556</v>
      </c>
      <c r="I114" s="92" t="s">
        <v>576</v>
      </c>
      <c r="J114" s="92" t="s">
        <v>576</v>
      </c>
      <c r="K114" s="101" t="n">
        <v>2467760.44</v>
      </c>
      <c r="L114" s="101" t="n">
        <f aca="false">K114-Q114+T114</f>
        <v>2467760.44</v>
      </c>
      <c r="M114" s="92" t="s">
        <v>149</v>
      </c>
      <c r="N114" s="101" t="n">
        <v>2467760.44</v>
      </c>
      <c r="O114" s="92" t="s">
        <v>149</v>
      </c>
      <c r="P114" s="101" t="n">
        <v>0</v>
      </c>
      <c r="Q114" s="101" t="n">
        <v>0</v>
      </c>
      <c r="R114" s="101" t="n">
        <v>2467760.44</v>
      </c>
      <c r="S114" s="101" t="n">
        <v>0</v>
      </c>
      <c r="T114" s="101" t="n">
        <v>0</v>
      </c>
      <c r="U114" s="92" t="s">
        <v>150</v>
      </c>
      <c r="V114" s="92" t="s">
        <v>151</v>
      </c>
      <c r="Y114" s="92" t="s">
        <v>577</v>
      </c>
      <c r="Z114" s="92" t="s">
        <v>578</v>
      </c>
      <c r="AD114" s="92" t="s">
        <v>155</v>
      </c>
      <c r="AE114" s="92" t="s">
        <v>156</v>
      </c>
      <c r="AF114" s="92" t="s">
        <v>238</v>
      </c>
      <c r="AG114" s="92" t="s">
        <v>239</v>
      </c>
      <c r="AI114" s="92" t="s">
        <v>238</v>
      </c>
      <c r="AJ114" s="92" t="s">
        <v>239</v>
      </c>
      <c r="AK114" s="92" t="s">
        <v>159</v>
      </c>
      <c r="AL114" s="92" t="s">
        <v>240</v>
      </c>
      <c r="AM114" s="92" t="s">
        <v>161</v>
      </c>
      <c r="AP114" s="92" t="s">
        <v>578</v>
      </c>
      <c r="AQ114" s="92" t="s">
        <v>576</v>
      </c>
      <c r="AR114" s="92" t="s">
        <v>576</v>
      </c>
      <c r="AS114" s="92" t="s">
        <v>579</v>
      </c>
      <c r="AT114" s="101" t="n">
        <v>0</v>
      </c>
      <c r="AU114" s="101" t="n">
        <v>2467760.44</v>
      </c>
      <c r="AX114" s="92" t="s">
        <v>165</v>
      </c>
    </row>
    <row r="115" customFormat="false" ht="13.8" hidden="false" customHeight="false" outlineLevel="0" collapsed="false">
      <c r="A115" s="92" t="s">
        <v>142</v>
      </c>
      <c r="B115" s="92" t="s">
        <v>143</v>
      </c>
      <c r="C115" s="92" t="n">
        <v>45186957</v>
      </c>
      <c r="D115" s="92" t="s">
        <v>580</v>
      </c>
      <c r="E115" s="92" t="s">
        <v>233</v>
      </c>
      <c r="F115" s="92" t="s">
        <v>212</v>
      </c>
      <c r="G115" s="92" t="s">
        <v>147</v>
      </c>
      <c r="H115" s="92" t="s">
        <v>556</v>
      </c>
      <c r="I115" s="92" t="s">
        <v>581</v>
      </c>
      <c r="J115" s="92" t="s">
        <v>581</v>
      </c>
      <c r="K115" s="101" t="n">
        <v>193963.39</v>
      </c>
      <c r="L115" s="101" t="n">
        <f aca="false">K115-Q115+T115</f>
        <v>193963.39</v>
      </c>
      <c r="M115" s="92" t="s">
        <v>149</v>
      </c>
      <c r="N115" s="101" t="n">
        <v>193963.39</v>
      </c>
      <c r="O115" s="92" t="s">
        <v>149</v>
      </c>
      <c r="P115" s="101" t="n">
        <v>0</v>
      </c>
      <c r="Q115" s="101" t="n">
        <v>0</v>
      </c>
      <c r="R115" s="101" t="n">
        <v>193963.39</v>
      </c>
      <c r="S115" s="101" t="n">
        <v>0</v>
      </c>
      <c r="T115" s="101" t="n">
        <v>0</v>
      </c>
      <c r="U115" s="92" t="s">
        <v>150</v>
      </c>
      <c r="V115" s="92" t="s">
        <v>151</v>
      </c>
      <c r="Y115" s="92" t="s">
        <v>582</v>
      </c>
      <c r="Z115" s="92" t="s">
        <v>583</v>
      </c>
      <c r="AD115" s="92" t="s">
        <v>155</v>
      </c>
      <c r="AE115" s="92" t="s">
        <v>156</v>
      </c>
      <c r="AF115" s="92" t="s">
        <v>238</v>
      </c>
      <c r="AG115" s="92" t="s">
        <v>239</v>
      </c>
      <c r="AI115" s="92" t="s">
        <v>238</v>
      </c>
      <c r="AJ115" s="92" t="s">
        <v>239</v>
      </c>
      <c r="AK115" s="92" t="s">
        <v>159</v>
      </c>
      <c r="AL115" s="92" t="s">
        <v>240</v>
      </c>
      <c r="AM115" s="92" t="s">
        <v>161</v>
      </c>
      <c r="AP115" s="92" t="s">
        <v>583</v>
      </c>
      <c r="AQ115" s="92" t="s">
        <v>581</v>
      </c>
      <c r="AR115" s="92" t="s">
        <v>581</v>
      </c>
      <c r="AS115" s="92" t="s">
        <v>584</v>
      </c>
      <c r="AT115" s="101" t="n">
        <v>0</v>
      </c>
      <c r="AU115" s="101" t="n">
        <v>193963.39</v>
      </c>
      <c r="AX115" s="92" t="s">
        <v>165</v>
      </c>
    </row>
    <row r="116" customFormat="false" ht="13.8" hidden="false" customHeight="false" outlineLevel="0" collapsed="false">
      <c r="A116" s="92" t="s">
        <v>142</v>
      </c>
      <c r="B116" s="92" t="s">
        <v>143</v>
      </c>
      <c r="C116" s="92" t="n">
        <v>45186957</v>
      </c>
      <c r="D116" s="92" t="s">
        <v>580</v>
      </c>
      <c r="E116" s="92" t="s">
        <v>233</v>
      </c>
      <c r="F116" s="92" t="s">
        <v>212</v>
      </c>
      <c r="G116" s="92" t="s">
        <v>147</v>
      </c>
      <c r="H116" s="92" t="s">
        <v>556</v>
      </c>
      <c r="I116" s="92" t="s">
        <v>581</v>
      </c>
      <c r="J116" s="92" t="s">
        <v>581</v>
      </c>
      <c r="K116" s="101" t="n">
        <v>44637.96</v>
      </c>
      <c r="L116" s="101" t="n">
        <f aca="false">K116-Q116+T116</f>
        <v>44637.96</v>
      </c>
      <c r="M116" s="92" t="s">
        <v>149</v>
      </c>
      <c r="N116" s="101" t="n">
        <v>44637.96</v>
      </c>
      <c r="O116" s="92" t="s">
        <v>149</v>
      </c>
      <c r="P116" s="101" t="n">
        <v>0</v>
      </c>
      <c r="Q116" s="101" t="n">
        <v>0</v>
      </c>
      <c r="R116" s="101" t="n">
        <v>44637.96</v>
      </c>
      <c r="S116" s="101" t="n">
        <v>0</v>
      </c>
      <c r="T116" s="101" t="n">
        <v>0</v>
      </c>
      <c r="U116" s="92" t="s">
        <v>150</v>
      </c>
      <c r="V116" s="92" t="s">
        <v>151</v>
      </c>
      <c r="Y116" s="92" t="s">
        <v>582</v>
      </c>
      <c r="Z116" s="92" t="s">
        <v>583</v>
      </c>
      <c r="AD116" s="92" t="s">
        <v>155</v>
      </c>
      <c r="AE116" s="92" t="s">
        <v>156</v>
      </c>
      <c r="AF116" s="92" t="s">
        <v>238</v>
      </c>
      <c r="AG116" s="92" t="s">
        <v>239</v>
      </c>
      <c r="AI116" s="92" t="s">
        <v>238</v>
      </c>
      <c r="AJ116" s="92" t="s">
        <v>239</v>
      </c>
      <c r="AK116" s="92" t="s">
        <v>159</v>
      </c>
      <c r="AL116" s="92" t="s">
        <v>240</v>
      </c>
      <c r="AM116" s="92" t="s">
        <v>161</v>
      </c>
      <c r="AP116" s="92" t="s">
        <v>583</v>
      </c>
      <c r="AQ116" s="92" t="s">
        <v>581</v>
      </c>
      <c r="AR116" s="92" t="s">
        <v>581</v>
      </c>
      <c r="AS116" s="92" t="s">
        <v>584</v>
      </c>
      <c r="AT116" s="101" t="n">
        <v>0</v>
      </c>
      <c r="AU116" s="101" t="n">
        <v>44637.96</v>
      </c>
      <c r="AX116" s="92" t="s">
        <v>148</v>
      </c>
    </row>
    <row r="117" customFormat="false" ht="13.8" hidden="false" customHeight="false" outlineLevel="0" collapsed="false">
      <c r="A117" s="92" t="s">
        <v>142</v>
      </c>
      <c r="B117" s="92" t="s">
        <v>143</v>
      </c>
      <c r="C117" s="92" t="n">
        <v>45186957</v>
      </c>
      <c r="D117" s="92" t="s">
        <v>580</v>
      </c>
      <c r="E117" s="92" t="s">
        <v>233</v>
      </c>
      <c r="F117" s="92" t="s">
        <v>212</v>
      </c>
      <c r="G117" s="92" t="s">
        <v>147</v>
      </c>
      <c r="H117" s="92" t="s">
        <v>556</v>
      </c>
      <c r="I117" s="92" t="s">
        <v>581</v>
      </c>
      <c r="J117" s="92" t="s">
        <v>581</v>
      </c>
      <c r="K117" s="101" t="n">
        <v>118879.68</v>
      </c>
      <c r="L117" s="101" t="n">
        <f aca="false">K117-Q117+T117</f>
        <v>118879.68</v>
      </c>
      <c r="M117" s="92" t="s">
        <v>149</v>
      </c>
      <c r="N117" s="101" t="n">
        <v>118879.68</v>
      </c>
      <c r="O117" s="92" t="s">
        <v>149</v>
      </c>
      <c r="P117" s="101" t="n">
        <v>0</v>
      </c>
      <c r="Q117" s="101" t="n">
        <v>0</v>
      </c>
      <c r="R117" s="101" t="n">
        <v>118879.68</v>
      </c>
      <c r="S117" s="101" t="n">
        <v>0</v>
      </c>
      <c r="T117" s="101" t="n">
        <v>0</v>
      </c>
      <c r="U117" s="92" t="s">
        <v>150</v>
      </c>
      <c r="V117" s="92" t="s">
        <v>151</v>
      </c>
      <c r="Y117" s="92" t="s">
        <v>582</v>
      </c>
      <c r="Z117" s="92" t="s">
        <v>583</v>
      </c>
      <c r="AD117" s="92" t="s">
        <v>155</v>
      </c>
      <c r="AE117" s="92" t="s">
        <v>156</v>
      </c>
      <c r="AF117" s="92" t="s">
        <v>238</v>
      </c>
      <c r="AG117" s="92" t="s">
        <v>239</v>
      </c>
      <c r="AI117" s="92" t="s">
        <v>238</v>
      </c>
      <c r="AJ117" s="92" t="s">
        <v>239</v>
      </c>
      <c r="AK117" s="92" t="s">
        <v>159</v>
      </c>
      <c r="AL117" s="92" t="s">
        <v>240</v>
      </c>
      <c r="AM117" s="92" t="s">
        <v>161</v>
      </c>
      <c r="AP117" s="92" t="s">
        <v>583</v>
      </c>
      <c r="AQ117" s="92" t="s">
        <v>581</v>
      </c>
      <c r="AR117" s="92" t="s">
        <v>581</v>
      </c>
      <c r="AS117" s="92" t="s">
        <v>584</v>
      </c>
      <c r="AT117" s="101" t="n">
        <v>0</v>
      </c>
      <c r="AU117" s="101" t="n">
        <v>118879.68</v>
      </c>
      <c r="AX117" s="92" t="s">
        <v>220</v>
      </c>
    </row>
    <row r="118" customFormat="false" ht="13.8" hidden="false" customHeight="false" outlineLevel="0" collapsed="false">
      <c r="A118" s="92" t="s">
        <v>142</v>
      </c>
      <c r="B118" s="92" t="s">
        <v>143</v>
      </c>
      <c r="C118" s="92" t="n">
        <v>45186957</v>
      </c>
      <c r="D118" s="92" t="s">
        <v>580</v>
      </c>
      <c r="E118" s="92" t="s">
        <v>233</v>
      </c>
      <c r="F118" s="92" t="s">
        <v>212</v>
      </c>
      <c r="G118" s="92" t="s">
        <v>147</v>
      </c>
      <c r="H118" s="92" t="s">
        <v>556</v>
      </c>
      <c r="I118" s="92" t="s">
        <v>581</v>
      </c>
      <c r="J118" s="92" t="s">
        <v>581</v>
      </c>
      <c r="K118" s="101" t="n">
        <v>83059.7</v>
      </c>
      <c r="L118" s="101" t="n">
        <f aca="false">K118-Q118+T118</f>
        <v>83059.7</v>
      </c>
      <c r="M118" s="92" t="s">
        <v>149</v>
      </c>
      <c r="N118" s="101" t="n">
        <v>83059.7</v>
      </c>
      <c r="O118" s="92" t="s">
        <v>149</v>
      </c>
      <c r="P118" s="101" t="n">
        <v>0</v>
      </c>
      <c r="Q118" s="101" t="n">
        <v>0</v>
      </c>
      <c r="R118" s="101" t="n">
        <v>83059.7</v>
      </c>
      <c r="S118" s="101" t="n">
        <v>0</v>
      </c>
      <c r="T118" s="101" t="n">
        <v>0</v>
      </c>
      <c r="U118" s="92" t="s">
        <v>150</v>
      </c>
      <c r="V118" s="92" t="s">
        <v>151</v>
      </c>
      <c r="Y118" s="92" t="s">
        <v>582</v>
      </c>
      <c r="Z118" s="92" t="s">
        <v>583</v>
      </c>
      <c r="AD118" s="92" t="s">
        <v>155</v>
      </c>
      <c r="AE118" s="92" t="s">
        <v>156</v>
      </c>
      <c r="AF118" s="92" t="s">
        <v>238</v>
      </c>
      <c r="AG118" s="92" t="s">
        <v>239</v>
      </c>
      <c r="AI118" s="92" t="s">
        <v>238</v>
      </c>
      <c r="AJ118" s="92" t="s">
        <v>239</v>
      </c>
      <c r="AK118" s="92" t="s">
        <v>159</v>
      </c>
      <c r="AL118" s="92" t="s">
        <v>240</v>
      </c>
      <c r="AM118" s="92" t="s">
        <v>161</v>
      </c>
      <c r="AP118" s="92" t="s">
        <v>583</v>
      </c>
      <c r="AQ118" s="92" t="s">
        <v>581</v>
      </c>
      <c r="AR118" s="92" t="s">
        <v>581</v>
      </c>
      <c r="AS118" s="92" t="s">
        <v>584</v>
      </c>
      <c r="AT118" s="101" t="n">
        <v>0</v>
      </c>
      <c r="AU118" s="101" t="n">
        <v>83059.7</v>
      </c>
      <c r="AX118" s="92" t="s">
        <v>402</v>
      </c>
    </row>
    <row r="119" customFormat="false" ht="13.8" hidden="false" customHeight="false" outlineLevel="0" collapsed="false">
      <c r="A119" s="92" t="s">
        <v>142</v>
      </c>
      <c r="B119" s="92" t="s">
        <v>143</v>
      </c>
      <c r="C119" s="92" t="n">
        <v>45193542</v>
      </c>
      <c r="D119" s="92" t="s">
        <v>585</v>
      </c>
      <c r="E119" s="92" t="s">
        <v>233</v>
      </c>
      <c r="F119" s="92" t="s">
        <v>266</v>
      </c>
      <c r="G119" s="92" t="s">
        <v>147</v>
      </c>
      <c r="H119" s="92" t="s">
        <v>586</v>
      </c>
      <c r="I119" s="92" t="s">
        <v>587</v>
      </c>
      <c r="J119" s="92" t="s">
        <v>587</v>
      </c>
      <c r="K119" s="101" t="n">
        <v>1739403.83</v>
      </c>
      <c r="L119" s="101" t="n">
        <f aca="false">K119-Q119+T119</f>
        <v>1739403.83</v>
      </c>
      <c r="M119" s="92" t="s">
        <v>149</v>
      </c>
      <c r="N119" s="101" t="n">
        <v>1739403.83</v>
      </c>
      <c r="O119" s="92" t="s">
        <v>149</v>
      </c>
      <c r="P119" s="101" t="n">
        <v>0</v>
      </c>
      <c r="Q119" s="101" t="n">
        <v>0</v>
      </c>
      <c r="R119" s="101" t="n">
        <v>1739403.83</v>
      </c>
      <c r="S119" s="101" t="n">
        <v>0</v>
      </c>
      <c r="T119" s="101" t="n">
        <v>0</v>
      </c>
      <c r="U119" s="92" t="s">
        <v>192</v>
      </c>
      <c r="V119" s="92" t="s">
        <v>151</v>
      </c>
      <c r="Y119" s="92" t="s">
        <v>588</v>
      </c>
      <c r="Z119" s="92" t="s">
        <v>589</v>
      </c>
      <c r="AD119" s="92" t="s">
        <v>155</v>
      </c>
      <c r="AE119" s="92" t="s">
        <v>156</v>
      </c>
      <c r="AF119" s="92" t="s">
        <v>238</v>
      </c>
      <c r="AG119" s="92" t="s">
        <v>239</v>
      </c>
      <c r="AI119" s="92" t="s">
        <v>238</v>
      </c>
      <c r="AJ119" s="92" t="s">
        <v>239</v>
      </c>
      <c r="AK119" s="92" t="s">
        <v>159</v>
      </c>
      <c r="AL119" s="92" t="s">
        <v>240</v>
      </c>
      <c r="AM119" s="92" t="s">
        <v>161</v>
      </c>
      <c r="AP119" s="92" t="s">
        <v>589</v>
      </c>
      <c r="AQ119" s="92" t="s">
        <v>587</v>
      </c>
      <c r="AR119" s="92" t="s">
        <v>587</v>
      </c>
      <c r="AS119" s="92" t="s">
        <v>590</v>
      </c>
      <c r="AT119" s="101" t="n">
        <v>0</v>
      </c>
      <c r="AU119" s="101" t="n">
        <v>1739403.83</v>
      </c>
      <c r="AX119" s="92" t="s">
        <v>165</v>
      </c>
    </row>
    <row r="120" customFormat="false" ht="13.8" hidden="false" customHeight="false" outlineLevel="0" collapsed="false">
      <c r="A120" s="92" t="s">
        <v>142</v>
      </c>
      <c r="B120" s="92" t="s">
        <v>143</v>
      </c>
      <c r="C120" s="92" t="n">
        <v>45195918</v>
      </c>
      <c r="D120" s="92" t="s">
        <v>591</v>
      </c>
      <c r="E120" s="92" t="s">
        <v>233</v>
      </c>
      <c r="F120" s="92" t="s">
        <v>297</v>
      </c>
      <c r="G120" s="92" t="s">
        <v>147</v>
      </c>
      <c r="H120" s="92" t="s">
        <v>586</v>
      </c>
      <c r="I120" s="92" t="s">
        <v>592</v>
      </c>
      <c r="J120" s="92" t="s">
        <v>592</v>
      </c>
      <c r="K120" s="101" t="n">
        <v>817451.64</v>
      </c>
      <c r="L120" s="101" t="n">
        <f aca="false">K120-Q120+T120</f>
        <v>817451.64</v>
      </c>
      <c r="M120" s="92" t="s">
        <v>149</v>
      </c>
      <c r="N120" s="101" t="n">
        <v>817451.64</v>
      </c>
      <c r="O120" s="92" t="s">
        <v>149</v>
      </c>
      <c r="P120" s="101" t="n">
        <v>0</v>
      </c>
      <c r="Q120" s="101" t="n">
        <v>0</v>
      </c>
      <c r="R120" s="101" t="n">
        <v>817451.64</v>
      </c>
      <c r="S120" s="101" t="n">
        <v>0</v>
      </c>
      <c r="T120" s="101" t="n">
        <v>0</v>
      </c>
      <c r="U120" s="92" t="s">
        <v>192</v>
      </c>
      <c r="V120" s="92" t="s">
        <v>151</v>
      </c>
      <c r="Y120" s="92" t="s">
        <v>593</v>
      </c>
      <c r="Z120" s="92" t="s">
        <v>594</v>
      </c>
      <c r="AD120" s="92" t="s">
        <v>155</v>
      </c>
      <c r="AE120" s="92" t="s">
        <v>156</v>
      </c>
      <c r="AF120" s="92" t="s">
        <v>238</v>
      </c>
      <c r="AG120" s="92" t="s">
        <v>239</v>
      </c>
      <c r="AI120" s="92" t="s">
        <v>238</v>
      </c>
      <c r="AJ120" s="92" t="s">
        <v>239</v>
      </c>
      <c r="AK120" s="92" t="s">
        <v>159</v>
      </c>
      <c r="AL120" s="92" t="s">
        <v>240</v>
      </c>
      <c r="AM120" s="92" t="s">
        <v>161</v>
      </c>
      <c r="AP120" s="92" t="s">
        <v>594</v>
      </c>
      <c r="AQ120" s="92" t="s">
        <v>592</v>
      </c>
      <c r="AR120" s="92" t="s">
        <v>592</v>
      </c>
      <c r="AS120" s="92" t="s">
        <v>595</v>
      </c>
      <c r="AT120" s="101" t="n">
        <v>0</v>
      </c>
      <c r="AU120" s="101" t="n">
        <v>817451.64</v>
      </c>
      <c r="AX120" s="92" t="s">
        <v>165</v>
      </c>
    </row>
    <row r="121" customFormat="false" ht="13.8" hidden="false" customHeight="false" outlineLevel="0" collapsed="false">
      <c r="A121" s="92" t="s">
        <v>142</v>
      </c>
      <c r="B121" s="92" t="s">
        <v>143</v>
      </c>
      <c r="C121" s="92" t="n">
        <v>45200579</v>
      </c>
      <c r="D121" s="92" t="s">
        <v>596</v>
      </c>
      <c r="E121" s="92" t="s">
        <v>233</v>
      </c>
      <c r="F121" s="92" t="s">
        <v>146</v>
      </c>
      <c r="G121" s="92" t="s">
        <v>147</v>
      </c>
      <c r="H121" s="92" t="s">
        <v>586</v>
      </c>
      <c r="I121" s="92" t="s">
        <v>597</v>
      </c>
      <c r="J121" s="92" t="s">
        <v>597</v>
      </c>
      <c r="K121" s="101" t="n">
        <v>33408</v>
      </c>
      <c r="L121" s="101" t="n">
        <f aca="false">K121-Q121+T121</f>
        <v>33408</v>
      </c>
      <c r="M121" s="92" t="s">
        <v>149</v>
      </c>
      <c r="N121" s="101" t="n">
        <v>33408</v>
      </c>
      <c r="O121" s="92" t="s">
        <v>149</v>
      </c>
      <c r="P121" s="101" t="n">
        <v>0</v>
      </c>
      <c r="Q121" s="101" t="n">
        <v>0</v>
      </c>
      <c r="R121" s="101" t="n">
        <v>33408</v>
      </c>
      <c r="S121" s="101" t="n">
        <v>0</v>
      </c>
      <c r="T121" s="101" t="n">
        <v>0</v>
      </c>
      <c r="U121" s="92" t="s">
        <v>150</v>
      </c>
      <c r="V121" s="92" t="s">
        <v>151</v>
      </c>
      <c r="Y121" s="92" t="s">
        <v>598</v>
      </c>
      <c r="Z121" s="92" t="s">
        <v>599</v>
      </c>
      <c r="AD121" s="92" t="s">
        <v>155</v>
      </c>
      <c r="AE121" s="92" t="s">
        <v>156</v>
      </c>
      <c r="AF121" s="92" t="s">
        <v>238</v>
      </c>
      <c r="AG121" s="92" t="s">
        <v>239</v>
      </c>
      <c r="AI121" s="92" t="s">
        <v>238</v>
      </c>
      <c r="AJ121" s="92" t="s">
        <v>239</v>
      </c>
      <c r="AK121" s="92" t="s">
        <v>159</v>
      </c>
      <c r="AL121" s="92" t="s">
        <v>240</v>
      </c>
      <c r="AM121" s="92" t="s">
        <v>161</v>
      </c>
      <c r="AP121" s="92" t="s">
        <v>599</v>
      </c>
      <c r="AQ121" s="92" t="s">
        <v>597</v>
      </c>
      <c r="AR121" s="92" t="s">
        <v>597</v>
      </c>
      <c r="AS121" s="92" t="s">
        <v>600</v>
      </c>
      <c r="AT121" s="101" t="n">
        <v>0</v>
      </c>
      <c r="AU121" s="101" t="n">
        <v>33408</v>
      </c>
      <c r="AX121" s="92" t="s">
        <v>165</v>
      </c>
    </row>
    <row r="122" customFormat="false" ht="13.8" hidden="false" customHeight="false" outlineLevel="0" collapsed="false">
      <c r="A122" s="92" t="s">
        <v>142</v>
      </c>
      <c r="B122" s="92" t="s">
        <v>143</v>
      </c>
      <c r="C122" s="92" t="n">
        <v>45200896</v>
      </c>
      <c r="D122" s="92" t="s">
        <v>601</v>
      </c>
      <c r="E122" s="92" t="s">
        <v>233</v>
      </c>
      <c r="F122" s="92" t="s">
        <v>297</v>
      </c>
      <c r="G122" s="92" t="s">
        <v>147</v>
      </c>
      <c r="H122" s="92" t="s">
        <v>586</v>
      </c>
      <c r="I122" s="92" t="s">
        <v>597</v>
      </c>
      <c r="J122" s="92" t="s">
        <v>597</v>
      </c>
      <c r="K122" s="101" t="n">
        <v>296339.2</v>
      </c>
      <c r="L122" s="101" t="n">
        <f aca="false">K122-Q122+T122</f>
        <v>296339.2</v>
      </c>
      <c r="M122" s="92" t="s">
        <v>149</v>
      </c>
      <c r="N122" s="101" t="n">
        <v>296339.2</v>
      </c>
      <c r="O122" s="92" t="s">
        <v>149</v>
      </c>
      <c r="P122" s="101" t="n">
        <v>0</v>
      </c>
      <c r="Q122" s="101" t="n">
        <v>0</v>
      </c>
      <c r="R122" s="101" t="n">
        <v>296339.2</v>
      </c>
      <c r="S122" s="101" t="n">
        <v>0</v>
      </c>
      <c r="T122" s="101" t="n">
        <v>0</v>
      </c>
      <c r="U122" s="92" t="s">
        <v>192</v>
      </c>
      <c r="V122" s="92" t="s">
        <v>151</v>
      </c>
      <c r="Y122" s="92" t="s">
        <v>602</v>
      </c>
      <c r="Z122" s="92" t="s">
        <v>603</v>
      </c>
      <c r="AD122" s="92" t="s">
        <v>155</v>
      </c>
      <c r="AE122" s="92" t="s">
        <v>156</v>
      </c>
      <c r="AF122" s="92" t="s">
        <v>238</v>
      </c>
      <c r="AG122" s="92" t="s">
        <v>239</v>
      </c>
      <c r="AI122" s="92" t="s">
        <v>238</v>
      </c>
      <c r="AJ122" s="92" t="s">
        <v>239</v>
      </c>
      <c r="AK122" s="92" t="s">
        <v>159</v>
      </c>
      <c r="AL122" s="92" t="s">
        <v>240</v>
      </c>
      <c r="AM122" s="92" t="s">
        <v>161</v>
      </c>
      <c r="AP122" s="92" t="s">
        <v>603</v>
      </c>
      <c r="AQ122" s="92" t="s">
        <v>597</v>
      </c>
      <c r="AR122" s="92" t="s">
        <v>597</v>
      </c>
      <c r="AS122" s="92" t="s">
        <v>604</v>
      </c>
      <c r="AT122" s="101" t="n">
        <v>0</v>
      </c>
      <c r="AU122" s="101" t="n">
        <v>296339.2</v>
      </c>
      <c r="AX122" s="92" t="s">
        <v>165</v>
      </c>
    </row>
    <row r="123" customFormat="false" ht="13.8" hidden="false" customHeight="false" outlineLevel="0" collapsed="false">
      <c r="A123" s="92" t="s">
        <v>142</v>
      </c>
      <c r="B123" s="92" t="s">
        <v>143</v>
      </c>
      <c r="C123" s="92" t="n">
        <v>45204949</v>
      </c>
      <c r="D123" s="92" t="s">
        <v>605</v>
      </c>
      <c r="E123" s="92" t="s">
        <v>233</v>
      </c>
      <c r="F123" s="92" t="s">
        <v>234</v>
      </c>
      <c r="G123" s="92" t="s">
        <v>147</v>
      </c>
      <c r="H123" s="92" t="s">
        <v>586</v>
      </c>
      <c r="I123" s="92" t="s">
        <v>606</v>
      </c>
      <c r="J123" s="92" t="s">
        <v>606</v>
      </c>
      <c r="K123" s="101" t="n">
        <v>2221397.2</v>
      </c>
      <c r="L123" s="101" t="n">
        <f aca="false">K123-Q123+T123</f>
        <v>2221397.2</v>
      </c>
      <c r="M123" s="92" t="s">
        <v>149</v>
      </c>
      <c r="N123" s="101" t="n">
        <v>2221397.2</v>
      </c>
      <c r="O123" s="92" t="s">
        <v>149</v>
      </c>
      <c r="P123" s="101" t="n">
        <v>0</v>
      </c>
      <c r="Q123" s="101" t="n">
        <v>0</v>
      </c>
      <c r="R123" s="101" t="n">
        <v>2221397.2</v>
      </c>
      <c r="S123" s="101" t="n">
        <v>0</v>
      </c>
      <c r="T123" s="101" t="n">
        <v>0</v>
      </c>
      <c r="U123" s="92" t="s">
        <v>192</v>
      </c>
      <c r="V123" s="92" t="s">
        <v>151</v>
      </c>
      <c r="Y123" s="92" t="s">
        <v>607</v>
      </c>
      <c r="Z123" s="92" t="s">
        <v>608</v>
      </c>
      <c r="AD123" s="92" t="s">
        <v>155</v>
      </c>
      <c r="AE123" s="92" t="s">
        <v>156</v>
      </c>
      <c r="AF123" s="92" t="s">
        <v>238</v>
      </c>
      <c r="AG123" s="92" t="s">
        <v>239</v>
      </c>
      <c r="AI123" s="92" t="s">
        <v>238</v>
      </c>
      <c r="AJ123" s="92" t="s">
        <v>239</v>
      </c>
      <c r="AK123" s="92" t="s">
        <v>159</v>
      </c>
      <c r="AL123" s="92" t="s">
        <v>240</v>
      </c>
      <c r="AM123" s="92" t="s">
        <v>161</v>
      </c>
      <c r="AP123" s="92" t="s">
        <v>608</v>
      </c>
      <c r="AQ123" s="92" t="s">
        <v>606</v>
      </c>
      <c r="AR123" s="92" t="s">
        <v>606</v>
      </c>
      <c r="AS123" s="92" t="s">
        <v>609</v>
      </c>
      <c r="AT123" s="101" t="n">
        <v>0</v>
      </c>
      <c r="AU123" s="101" t="n">
        <v>2221397.2</v>
      </c>
      <c r="AX123" s="92" t="s">
        <v>165</v>
      </c>
    </row>
    <row r="124" customFormat="false" ht="13.8" hidden="false" customHeight="false" outlineLevel="0" collapsed="false">
      <c r="A124" s="92" t="s">
        <v>142</v>
      </c>
      <c r="B124" s="92" t="s">
        <v>143</v>
      </c>
      <c r="C124" s="92" t="n">
        <v>45204950</v>
      </c>
      <c r="D124" s="92" t="s">
        <v>610</v>
      </c>
      <c r="E124" s="92" t="s">
        <v>233</v>
      </c>
      <c r="F124" s="92" t="s">
        <v>212</v>
      </c>
      <c r="G124" s="92" t="s">
        <v>147</v>
      </c>
      <c r="H124" s="92" t="s">
        <v>586</v>
      </c>
      <c r="I124" s="92" t="s">
        <v>606</v>
      </c>
      <c r="J124" s="92" t="s">
        <v>606</v>
      </c>
      <c r="K124" s="101" t="n">
        <v>1727200</v>
      </c>
      <c r="L124" s="101" t="n">
        <f aca="false">K124-Q124+T124</f>
        <v>1727200</v>
      </c>
      <c r="M124" s="92" t="s">
        <v>149</v>
      </c>
      <c r="N124" s="101" t="n">
        <v>1727200</v>
      </c>
      <c r="O124" s="92" t="s">
        <v>149</v>
      </c>
      <c r="P124" s="101" t="n">
        <v>0</v>
      </c>
      <c r="Q124" s="101" t="n">
        <v>0</v>
      </c>
      <c r="R124" s="101" t="n">
        <v>1727200</v>
      </c>
      <c r="S124" s="101" t="n">
        <v>0</v>
      </c>
      <c r="T124" s="101" t="n">
        <v>0</v>
      </c>
      <c r="U124" s="92" t="s">
        <v>150</v>
      </c>
      <c r="V124" s="92" t="s">
        <v>151</v>
      </c>
      <c r="Y124" s="92" t="s">
        <v>607</v>
      </c>
      <c r="Z124" s="92" t="s">
        <v>611</v>
      </c>
      <c r="AD124" s="92" t="s">
        <v>155</v>
      </c>
      <c r="AE124" s="92" t="s">
        <v>156</v>
      </c>
      <c r="AF124" s="92" t="s">
        <v>238</v>
      </c>
      <c r="AG124" s="92" t="s">
        <v>239</v>
      </c>
      <c r="AI124" s="92" t="s">
        <v>238</v>
      </c>
      <c r="AJ124" s="92" t="s">
        <v>239</v>
      </c>
      <c r="AK124" s="92" t="s">
        <v>159</v>
      </c>
      <c r="AL124" s="92" t="s">
        <v>240</v>
      </c>
      <c r="AM124" s="92" t="s">
        <v>161</v>
      </c>
      <c r="AP124" s="92" t="s">
        <v>611</v>
      </c>
      <c r="AQ124" s="92" t="s">
        <v>606</v>
      </c>
      <c r="AR124" s="92" t="s">
        <v>606</v>
      </c>
      <c r="AS124" s="92" t="s">
        <v>609</v>
      </c>
      <c r="AT124" s="101" t="n">
        <v>0</v>
      </c>
      <c r="AU124" s="101" t="n">
        <v>1727200</v>
      </c>
      <c r="AX124" s="92" t="s">
        <v>220</v>
      </c>
    </row>
    <row r="125" customFormat="false" ht="13.8" hidden="false" customHeight="false" outlineLevel="0" collapsed="false">
      <c r="A125" s="92" t="s">
        <v>142</v>
      </c>
      <c r="B125" s="92" t="s">
        <v>143</v>
      </c>
      <c r="C125" s="92" t="n">
        <v>45204950</v>
      </c>
      <c r="D125" s="92" t="s">
        <v>610</v>
      </c>
      <c r="E125" s="92" t="s">
        <v>233</v>
      </c>
      <c r="F125" s="92" t="s">
        <v>142</v>
      </c>
      <c r="G125" s="92" t="s">
        <v>147</v>
      </c>
      <c r="H125" s="92" t="s">
        <v>586</v>
      </c>
      <c r="I125" s="92" t="s">
        <v>606</v>
      </c>
      <c r="J125" s="92" t="s">
        <v>606</v>
      </c>
      <c r="K125" s="101" t="n">
        <v>680000</v>
      </c>
      <c r="L125" s="101" t="n">
        <f aca="false">K125-Q125+T125</f>
        <v>680000</v>
      </c>
      <c r="M125" s="92" t="s">
        <v>149</v>
      </c>
      <c r="N125" s="101" t="n">
        <v>680000</v>
      </c>
      <c r="O125" s="92" t="s">
        <v>149</v>
      </c>
      <c r="P125" s="101" t="n">
        <v>0</v>
      </c>
      <c r="Q125" s="101" t="n">
        <v>0</v>
      </c>
      <c r="R125" s="101" t="n">
        <v>680000</v>
      </c>
      <c r="S125" s="101" t="n">
        <v>0</v>
      </c>
      <c r="T125" s="101" t="n">
        <v>0</v>
      </c>
      <c r="U125" s="92" t="s">
        <v>150</v>
      </c>
      <c r="V125" s="92" t="s">
        <v>151</v>
      </c>
      <c r="Y125" s="92" t="s">
        <v>607</v>
      </c>
      <c r="Z125" s="92" t="s">
        <v>611</v>
      </c>
      <c r="AD125" s="92" t="s">
        <v>155</v>
      </c>
      <c r="AE125" s="92" t="s">
        <v>156</v>
      </c>
      <c r="AF125" s="92" t="s">
        <v>238</v>
      </c>
      <c r="AG125" s="92" t="s">
        <v>239</v>
      </c>
      <c r="AI125" s="92" t="s">
        <v>238</v>
      </c>
      <c r="AJ125" s="92" t="s">
        <v>239</v>
      </c>
      <c r="AK125" s="92" t="s">
        <v>159</v>
      </c>
      <c r="AL125" s="92" t="s">
        <v>240</v>
      </c>
      <c r="AM125" s="92" t="s">
        <v>161</v>
      </c>
      <c r="AP125" s="92" t="s">
        <v>611</v>
      </c>
      <c r="AQ125" s="92" t="s">
        <v>606</v>
      </c>
      <c r="AR125" s="92" t="s">
        <v>606</v>
      </c>
      <c r="AS125" s="92" t="s">
        <v>609</v>
      </c>
      <c r="AT125" s="101" t="n">
        <v>0</v>
      </c>
      <c r="AU125" s="101" t="n">
        <v>680000</v>
      </c>
      <c r="AX125" s="92" t="s">
        <v>165</v>
      </c>
    </row>
    <row r="126" customFormat="false" ht="13.8" hidden="false" customHeight="false" outlineLevel="0" collapsed="false">
      <c r="A126" s="92" t="s">
        <v>142</v>
      </c>
      <c r="B126" s="92" t="s">
        <v>143</v>
      </c>
      <c r="C126" s="92" t="n">
        <v>45207380</v>
      </c>
      <c r="D126" s="92" t="s">
        <v>612</v>
      </c>
      <c r="E126" s="92" t="s">
        <v>233</v>
      </c>
      <c r="F126" s="92" t="s">
        <v>212</v>
      </c>
      <c r="G126" s="92" t="s">
        <v>147</v>
      </c>
      <c r="H126" s="92" t="s">
        <v>586</v>
      </c>
      <c r="I126" s="92" t="s">
        <v>613</v>
      </c>
      <c r="J126" s="92" t="s">
        <v>613</v>
      </c>
      <c r="K126" s="101" t="n">
        <v>3300649.75</v>
      </c>
      <c r="L126" s="101" t="n">
        <f aca="false">K126-Q126+T126</f>
        <v>3300649.75</v>
      </c>
      <c r="M126" s="92" t="s">
        <v>149</v>
      </c>
      <c r="N126" s="101" t="n">
        <v>3300649.75</v>
      </c>
      <c r="O126" s="92" t="s">
        <v>149</v>
      </c>
      <c r="P126" s="101" t="n">
        <v>0</v>
      </c>
      <c r="Q126" s="101" t="n">
        <v>0</v>
      </c>
      <c r="R126" s="101" t="n">
        <v>3300649.75</v>
      </c>
      <c r="S126" s="101" t="n">
        <v>0</v>
      </c>
      <c r="T126" s="101" t="n">
        <v>0</v>
      </c>
      <c r="U126" s="92" t="s">
        <v>150</v>
      </c>
      <c r="V126" s="92" t="s">
        <v>151</v>
      </c>
      <c r="Y126" s="92" t="s">
        <v>614</v>
      </c>
      <c r="Z126" s="92" t="s">
        <v>615</v>
      </c>
      <c r="AD126" s="92" t="s">
        <v>155</v>
      </c>
      <c r="AE126" s="92" t="s">
        <v>156</v>
      </c>
      <c r="AF126" s="92" t="s">
        <v>238</v>
      </c>
      <c r="AG126" s="92" t="s">
        <v>239</v>
      </c>
      <c r="AI126" s="92" t="s">
        <v>238</v>
      </c>
      <c r="AJ126" s="92" t="s">
        <v>239</v>
      </c>
      <c r="AK126" s="92" t="s">
        <v>159</v>
      </c>
      <c r="AL126" s="92" t="s">
        <v>240</v>
      </c>
      <c r="AM126" s="92" t="s">
        <v>161</v>
      </c>
      <c r="AP126" s="92" t="s">
        <v>615</v>
      </c>
      <c r="AQ126" s="92" t="s">
        <v>613</v>
      </c>
      <c r="AR126" s="92" t="s">
        <v>613</v>
      </c>
      <c r="AS126" s="92" t="s">
        <v>616</v>
      </c>
      <c r="AT126" s="101" t="n">
        <v>0</v>
      </c>
      <c r="AU126" s="101" t="n">
        <v>3300649.75</v>
      </c>
      <c r="AX126" s="92" t="s">
        <v>165</v>
      </c>
    </row>
    <row r="127" customFormat="false" ht="13.8" hidden="false" customHeight="false" outlineLevel="0" collapsed="false">
      <c r="A127" s="92" t="s">
        <v>142</v>
      </c>
      <c r="B127" s="92" t="s">
        <v>143</v>
      </c>
      <c r="C127" s="92" t="n">
        <v>45207813</v>
      </c>
      <c r="D127" s="92" t="s">
        <v>617</v>
      </c>
      <c r="E127" s="92" t="s">
        <v>233</v>
      </c>
      <c r="F127" s="92" t="s">
        <v>297</v>
      </c>
      <c r="G127" s="92" t="s">
        <v>147</v>
      </c>
      <c r="H127" s="92" t="s">
        <v>586</v>
      </c>
      <c r="I127" s="92" t="s">
        <v>613</v>
      </c>
      <c r="J127" s="92" t="s">
        <v>613</v>
      </c>
      <c r="K127" s="101" t="n">
        <v>1943718.37</v>
      </c>
      <c r="L127" s="101" t="n">
        <f aca="false">K127-Q127+T127</f>
        <v>1943718.37</v>
      </c>
      <c r="M127" s="92" t="s">
        <v>149</v>
      </c>
      <c r="N127" s="101" t="n">
        <v>1943718.37</v>
      </c>
      <c r="O127" s="92" t="s">
        <v>149</v>
      </c>
      <c r="P127" s="101" t="n">
        <v>0</v>
      </c>
      <c r="Q127" s="101" t="n">
        <v>0</v>
      </c>
      <c r="R127" s="101" t="n">
        <v>1943718.37</v>
      </c>
      <c r="S127" s="101" t="n">
        <v>0</v>
      </c>
      <c r="T127" s="101" t="n">
        <v>0</v>
      </c>
      <c r="U127" s="92" t="s">
        <v>192</v>
      </c>
      <c r="V127" s="92" t="s">
        <v>151</v>
      </c>
      <c r="Y127" s="92" t="s">
        <v>618</v>
      </c>
      <c r="Z127" s="92" t="s">
        <v>619</v>
      </c>
      <c r="AD127" s="92" t="s">
        <v>155</v>
      </c>
      <c r="AE127" s="92" t="s">
        <v>156</v>
      </c>
      <c r="AF127" s="92" t="s">
        <v>238</v>
      </c>
      <c r="AG127" s="92" t="s">
        <v>239</v>
      </c>
      <c r="AI127" s="92" t="s">
        <v>238</v>
      </c>
      <c r="AJ127" s="92" t="s">
        <v>239</v>
      </c>
      <c r="AK127" s="92" t="s">
        <v>159</v>
      </c>
      <c r="AL127" s="92" t="s">
        <v>240</v>
      </c>
      <c r="AM127" s="92" t="s">
        <v>161</v>
      </c>
      <c r="AP127" s="92" t="s">
        <v>619</v>
      </c>
      <c r="AQ127" s="92" t="s">
        <v>613</v>
      </c>
      <c r="AR127" s="92" t="s">
        <v>613</v>
      </c>
      <c r="AS127" s="92" t="s">
        <v>620</v>
      </c>
      <c r="AT127" s="101" t="n">
        <v>0</v>
      </c>
      <c r="AU127" s="101" t="n">
        <v>1943718.37</v>
      </c>
      <c r="AX127" s="92" t="s">
        <v>165</v>
      </c>
    </row>
    <row r="128" customFormat="false" ht="13.8" hidden="false" customHeight="false" outlineLevel="0" collapsed="false">
      <c r="A128" s="92" t="s">
        <v>142</v>
      </c>
      <c r="B128" s="92" t="s">
        <v>143</v>
      </c>
      <c r="C128" s="92" t="n">
        <v>45207813</v>
      </c>
      <c r="D128" s="92" t="s">
        <v>617</v>
      </c>
      <c r="E128" s="92" t="s">
        <v>233</v>
      </c>
      <c r="F128" s="92" t="s">
        <v>167</v>
      </c>
      <c r="G128" s="92" t="s">
        <v>147</v>
      </c>
      <c r="H128" s="92" t="s">
        <v>586</v>
      </c>
      <c r="I128" s="92" t="s">
        <v>613</v>
      </c>
      <c r="J128" s="92" t="s">
        <v>613</v>
      </c>
      <c r="K128" s="101" t="n">
        <v>1381500.24</v>
      </c>
      <c r="L128" s="101" t="n">
        <f aca="false">K128-Q128+T128</f>
        <v>1381500.24</v>
      </c>
      <c r="M128" s="92" t="s">
        <v>149</v>
      </c>
      <c r="N128" s="101" t="n">
        <v>1381500.24</v>
      </c>
      <c r="O128" s="92" t="s">
        <v>149</v>
      </c>
      <c r="P128" s="101" t="n">
        <v>0</v>
      </c>
      <c r="Q128" s="101" t="n">
        <v>0</v>
      </c>
      <c r="R128" s="101" t="n">
        <v>1381500.24</v>
      </c>
      <c r="S128" s="101" t="n">
        <v>0</v>
      </c>
      <c r="T128" s="101" t="n">
        <v>0</v>
      </c>
      <c r="U128" s="92" t="s">
        <v>192</v>
      </c>
      <c r="V128" s="92" t="s">
        <v>151</v>
      </c>
      <c r="Y128" s="92" t="s">
        <v>618</v>
      </c>
      <c r="Z128" s="92" t="s">
        <v>619</v>
      </c>
      <c r="AD128" s="92" t="s">
        <v>155</v>
      </c>
      <c r="AE128" s="92" t="s">
        <v>156</v>
      </c>
      <c r="AF128" s="92" t="s">
        <v>238</v>
      </c>
      <c r="AG128" s="92" t="s">
        <v>239</v>
      </c>
      <c r="AI128" s="92" t="s">
        <v>238</v>
      </c>
      <c r="AJ128" s="92" t="s">
        <v>239</v>
      </c>
      <c r="AK128" s="92" t="s">
        <v>159</v>
      </c>
      <c r="AL128" s="92" t="s">
        <v>240</v>
      </c>
      <c r="AM128" s="92" t="s">
        <v>161</v>
      </c>
      <c r="AP128" s="92" t="s">
        <v>619</v>
      </c>
      <c r="AQ128" s="92" t="s">
        <v>613</v>
      </c>
      <c r="AR128" s="92" t="s">
        <v>613</v>
      </c>
      <c r="AS128" s="92" t="s">
        <v>620</v>
      </c>
      <c r="AT128" s="101" t="n">
        <v>0</v>
      </c>
      <c r="AU128" s="101" t="n">
        <v>1381500.24</v>
      </c>
      <c r="AX128" s="92" t="s">
        <v>148</v>
      </c>
    </row>
    <row r="129" customFormat="false" ht="13.8" hidden="false" customHeight="false" outlineLevel="0" collapsed="false">
      <c r="A129" s="92" t="s">
        <v>142</v>
      </c>
      <c r="B129" s="92" t="s">
        <v>143</v>
      </c>
      <c r="C129" s="92" t="n">
        <v>45207813</v>
      </c>
      <c r="D129" s="92" t="s">
        <v>617</v>
      </c>
      <c r="E129" s="92" t="s">
        <v>233</v>
      </c>
      <c r="F129" s="92" t="s">
        <v>167</v>
      </c>
      <c r="G129" s="92" t="s">
        <v>147</v>
      </c>
      <c r="H129" s="92" t="s">
        <v>586</v>
      </c>
      <c r="I129" s="92" t="s">
        <v>613</v>
      </c>
      <c r="J129" s="92" t="s">
        <v>613</v>
      </c>
      <c r="K129" s="101" t="n">
        <v>-12118.45</v>
      </c>
      <c r="L129" s="101" t="n">
        <f aca="false">K129-Q129+T129</f>
        <v>-12118.45</v>
      </c>
      <c r="M129" s="92" t="s">
        <v>149</v>
      </c>
      <c r="N129" s="101" t="n">
        <v>-12118.45</v>
      </c>
      <c r="O129" s="92" t="s">
        <v>149</v>
      </c>
      <c r="P129" s="101" t="n">
        <v>0</v>
      </c>
      <c r="Q129" s="101" t="n">
        <v>0</v>
      </c>
      <c r="R129" s="101" t="n">
        <v>-12118.45</v>
      </c>
      <c r="S129" s="101" t="n">
        <v>0</v>
      </c>
      <c r="T129" s="101" t="n">
        <v>0</v>
      </c>
      <c r="U129" s="92" t="s">
        <v>192</v>
      </c>
      <c r="V129" s="92" t="s">
        <v>151</v>
      </c>
      <c r="Y129" s="92" t="s">
        <v>618</v>
      </c>
      <c r="Z129" s="92" t="s">
        <v>619</v>
      </c>
      <c r="AD129" s="92" t="s">
        <v>155</v>
      </c>
      <c r="AE129" s="92" t="s">
        <v>156</v>
      </c>
      <c r="AF129" s="92" t="s">
        <v>238</v>
      </c>
      <c r="AG129" s="92" t="s">
        <v>239</v>
      </c>
      <c r="AI129" s="92" t="s">
        <v>238</v>
      </c>
      <c r="AJ129" s="92" t="s">
        <v>239</v>
      </c>
      <c r="AK129" s="92" t="s">
        <v>159</v>
      </c>
      <c r="AL129" s="92" t="s">
        <v>621</v>
      </c>
      <c r="AM129" s="92" t="s">
        <v>225</v>
      </c>
      <c r="AP129" s="92" t="s">
        <v>619</v>
      </c>
      <c r="AQ129" s="92" t="s">
        <v>613</v>
      </c>
      <c r="AR129" s="92" t="s">
        <v>613</v>
      </c>
      <c r="AS129" s="92" t="s">
        <v>620</v>
      </c>
      <c r="AT129" s="101" t="n">
        <v>0</v>
      </c>
      <c r="AU129" s="101" t="n">
        <v>-12118.45</v>
      </c>
      <c r="AX129" s="92" t="s">
        <v>402</v>
      </c>
    </row>
    <row r="130" customFormat="false" ht="13.8" hidden="false" customHeight="false" outlineLevel="0" collapsed="false">
      <c r="A130" s="92" t="s">
        <v>142</v>
      </c>
      <c r="B130" s="92" t="s">
        <v>143</v>
      </c>
      <c r="C130" s="92" t="n">
        <v>45207813</v>
      </c>
      <c r="D130" s="92" t="s">
        <v>617</v>
      </c>
      <c r="E130" s="92" t="s">
        <v>233</v>
      </c>
      <c r="F130" s="92" t="s">
        <v>167</v>
      </c>
      <c r="G130" s="92" t="s">
        <v>147</v>
      </c>
      <c r="H130" s="92" t="s">
        <v>586</v>
      </c>
      <c r="I130" s="92" t="s">
        <v>613</v>
      </c>
      <c r="J130" s="92" t="s">
        <v>613</v>
      </c>
      <c r="K130" s="101" t="n">
        <v>429234.41</v>
      </c>
      <c r="L130" s="101" t="n">
        <f aca="false">K130-Q130+T130</f>
        <v>429234.41</v>
      </c>
      <c r="M130" s="92" t="s">
        <v>149</v>
      </c>
      <c r="N130" s="101" t="n">
        <v>429234.41</v>
      </c>
      <c r="O130" s="92" t="s">
        <v>149</v>
      </c>
      <c r="P130" s="101" t="n">
        <v>0</v>
      </c>
      <c r="Q130" s="101" t="n">
        <v>0</v>
      </c>
      <c r="R130" s="101" t="n">
        <v>429234.41</v>
      </c>
      <c r="S130" s="101" t="n">
        <v>0</v>
      </c>
      <c r="T130" s="101" t="n">
        <v>0</v>
      </c>
      <c r="U130" s="92" t="s">
        <v>192</v>
      </c>
      <c r="V130" s="92" t="s">
        <v>151</v>
      </c>
      <c r="Y130" s="92" t="s">
        <v>618</v>
      </c>
      <c r="Z130" s="92" t="s">
        <v>619</v>
      </c>
      <c r="AD130" s="92" t="s">
        <v>155</v>
      </c>
      <c r="AE130" s="92" t="s">
        <v>156</v>
      </c>
      <c r="AF130" s="92" t="s">
        <v>238</v>
      </c>
      <c r="AG130" s="92" t="s">
        <v>239</v>
      </c>
      <c r="AI130" s="92" t="s">
        <v>238</v>
      </c>
      <c r="AJ130" s="92" t="s">
        <v>239</v>
      </c>
      <c r="AK130" s="92" t="s">
        <v>159</v>
      </c>
      <c r="AL130" s="92" t="s">
        <v>240</v>
      </c>
      <c r="AM130" s="92" t="s">
        <v>161</v>
      </c>
      <c r="AP130" s="92" t="s">
        <v>619</v>
      </c>
      <c r="AQ130" s="92" t="s">
        <v>613</v>
      </c>
      <c r="AR130" s="92" t="s">
        <v>613</v>
      </c>
      <c r="AS130" s="92" t="s">
        <v>620</v>
      </c>
      <c r="AT130" s="101" t="n">
        <v>0</v>
      </c>
      <c r="AU130" s="101" t="n">
        <v>429234.41</v>
      </c>
      <c r="AX130" s="92" t="s">
        <v>220</v>
      </c>
    </row>
    <row r="131" customFormat="false" ht="13.8" hidden="false" customHeight="false" outlineLevel="0" collapsed="false">
      <c r="A131" s="92" t="s">
        <v>142</v>
      </c>
      <c r="B131" s="92" t="s">
        <v>143</v>
      </c>
      <c r="C131" s="92" t="n">
        <v>45208872</v>
      </c>
      <c r="D131" s="92" t="s">
        <v>622</v>
      </c>
      <c r="E131" s="92" t="s">
        <v>233</v>
      </c>
      <c r="F131" s="92" t="s">
        <v>167</v>
      </c>
      <c r="G131" s="92" t="s">
        <v>147</v>
      </c>
      <c r="H131" s="92" t="s">
        <v>191</v>
      </c>
      <c r="I131" s="92" t="s">
        <v>623</v>
      </c>
      <c r="J131" s="92" t="s">
        <v>623</v>
      </c>
      <c r="K131" s="101" t="n">
        <v>162896.77</v>
      </c>
      <c r="L131" s="101" t="n">
        <f aca="false">K131-Q131+T131</f>
        <v>162896.77</v>
      </c>
      <c r="M131" s="92" t="s">
        <v>149</v>
      </c>
      <c r="N131" s="101" t="n">
        <v>162896.77</v>
      </c>
      <c r="O131" s="92" t="s">
        <v>149</v>
      </c>
      <c r="P131" s="101" t="n">
        <v>0</v>
      </c>
      <c r="Q131" s="101" t="n">
        <v>0</v>
      </c>
      <c r="R131" s="101" t="n">
        <v>162896.77</v>
      </c>
      <c r="S131" s="101" t="n">
        <v>0</v>
      </c>
      <c r="T131" s="101" t="n">
        <v>0</v>
      </c>
      <c r="U131" s="92" t="s">
        <v>192</v>
      </c>
      <c r="V131" s="92" t="s">
        <v>151</v>
      </c>
      <c r="Y131" s="92" t="s">
        <v>624</v>
      </c>
      <c r="Z131" s="92" t="s">
        <v>625</v>
      </c>
      <c r="AD131" s="92" t="s">
        <v>155</v>
      </c>
      <c r="AE131" s="92" t="s">
        <v>156</v>
      </c>
      <c r="AF131" s="92" t="s">
        <v>238</v>
      </c>
      <c r="AG131" s="92" t="s">
        <v>239</v>
      </c>
      <c r="AI131" s="92" t="s">
        <v>238</v>
      </c>
      <c r="AJ131" s="92" t="s">
        <v>239</v>
      </c>
      <c r="AK131" s="92" t="s">
        <v>159</v>
      </c>
      <c r="AL131" s="92" t="s">
        <v>240</v>
      </c>
      <c r="AM131" s="92" t="s">
        <v>161</v>
      </c>
      <c r="AP131" s="92" t="s">
        <v>625</v>
      </c>
      <c r="AQ131" s="92" t="s">
        <v>623</v>
      </c>
      <c r="AR131" s="92" t="s">
        <v>623</v>
      </c>
      <c r="AS131" s="92" t="s">
        <v>626</v>
      </c>
      <c r="AT131" s="101" t="n">
        <v>0</v>
      </c>
      <c r="AU131" s="101" t="n">
        <v>162896.77</v>
      </c>
      <c r="AX131" s="92" t="s">
        <v>165</v>
      </c>
    </row>
    <row r="132" customFormat="false" ht="13.8" hidden="false" customHeight="false" outlineLevel="0" collapsed="false">
      <c r="A132" s="92" t="s">
        <v>142</v>
      </c>
      <c r="B132" s="92" t="s">
        <v>143</v>
      </c>
      <c r="C132" s="92" t="n">
        <v>45208873</v>
      </c>
      <c r="D132" s="92" t="s">
        <v>627</v>
      </c>
      <c r="E132" s="92" t="s">
        <v>233</v>
      </c>
      <c r="F132" s="92" t="s">
        <v>212</v>
      </c>
      <c r="G132" s="92" t="s">
        <v>147</v>
      </c>
      <c r="H132" s="92" t="s">
        <v>191</v>
      </c>
      <c r="I132" s="92" t="s">
        <v>623</v>
      </c>
      <c r="J132" s="92" t="s">
        <v>623</v>
      </c>
      <c r="K132" s="101" t="n">
        <v>394075.11</v>
      </c>
      <c r="L132" s="101" t="n">
        <f aca="false">K132-Q132+T132</f>
        <v>394075.11</v>
      </c>
      <c r="M132" s="92" t="s">
        <v>149</v>
      </c>
      <c r="N132" s="101" t="n">
        <v>394075.11</v>
      </c>
      <c r="O132" s="92" t="s">
        <v>149</v>
      </c>
      <c r="P132" s="101" t="n">
        <v>0</v>
      </c>
      <c r="Q132" s="101" t="n">
        <v>0</v>
      </c>
      <c r="R132" s="101" t="n">
        <v>394075.11</v>
      </c>
      <c r="S132" s="101" t="n">
        <v>0</v>
      </c>
      <c r="T132" s="101" t="n">
        <v>0</v>
      </c>
      <c r="U132" s="92" t="s">
        <v>150</v>
      </c>
      <c r="V132" s="92" t="s">
        <v>151</v>
      </c>
      <c r="Y132" s="92" t="s">
        <v>624</v>
      </c>
      <c r="Z132" s="92" t="s">
        <v>628</v>
      </c>
      <c r="AD132" s="92" t="s">
        <v>155</v>
      </c>
      <c r="AE132" s="92" t="s">
        <v>156</v>
      </c>
      <c r="AF132" s="92" t="s">
        <v>238</v>
      </c>
      <c r="AG132" s="92" t="s">
        <v>239</v>
      </c>
      <c r="AI132" s="92" t="s">
        <v>238</v>
      </c>
      <c r="AJ132" s="92" t="s">
        <v>239</v>
      </c>
      <c r="AK132" s="92" t="s">
        <v>159</v>
      </c>
      <c r="AL132" s="92" t="s">
        <v>240</v>
      </c>
      <c r="AM132" s="92" t="s">
        <v>161</v>
      </c>
      <c r="AP132" s="92" t="s">
        <v>628</v>
      </c>
      <c r="AQ132" s="92" t="s">
        <v>623</v>
      </c>
      <c r="AR132" s="92" t="s">
        <v>623</v>
      </c>
      <c r="AS132" s="92" t="s">
        <v>626</v>
      </c>
      <c r="AT132" s="101" t="n">
        <v>0</v>
      </c>
      <c r="AU132" s="101" t="n">
        <v>394075.11</v>
      </c>
      <c r="AX132" s="92" t="s">
        <v>165</v>
      </c>
    </row>
    <row r="133" customFormat="false" ht="13.8" hidden="false" customHeight="false" outlineLevel="0" collapsed="false">
      <c r="A133" s="92" t="s">
        <v>142</v>
      </c>
      <c r="B133" s="92" t="s">
        <v>143</v>
      </c>
      <c r="C133" s="92" t="n">
        <v>45208873</v>
      </c>
      <c r="D133" s="92" t="s">
        <v>627</v>
      </c>
      <c r="E133" s="92" t="s">
        <v>233</v>
      </c>
      <c r="F133" s="92" t="s">
        <v>212</v>
      </c>
      <c r="G133" s="92" t="s">
        <v>147</v>
      </c>
      <c r="H133" s="92" t="s">
        <v>191</v>
      </c>
      <c r="I133" s="92" t="s">
        <v>623</v>
      </c>
      <c r="J133" s="92" t="s">
        <v>623</v>
      </c>
      <c r="K133" s="101" t="n">
        <v>1565337.9</v>
      </c>
      <c r="L133" s="101" t="n">
        <f aca="false">K133-Q133+T133</f>
        <v>1565337.9</v>
      </c>
      <c r="M133" s="92" t="s">
        <v>149</v>
      </c>
      <c r="N133" s="101" t="n">
        <v>1565337.9</v>
      </c>
      <c r="O133" s="92" t="s">
        <v>149</v>
      </c>
      <c r="P133" s="101" t="n">
        <v>0</v>
      </c>
      <c r="Q133" s="101" t="n">
        <v>0</v>
      </c>
      <c r="R133" s="101" t="n">
        <v>1565337.9</v>
      </c>
      <c r="S133" s="101" t="n">
        <v>0</v>
      </c>
      <c r="T133" s="101" t="n">
        <v>0</v>
      </c>
      <c r="U133" s="92" t="s">
        <v>150</v>
      </c>
      <c r="V133" s="92" t="s">
        <v>151</v>
      </c>
      <c r="Y133" s="92" t="s">
        <v>624</v>
      </c>
      <c r="Z133" s="92" t="s">
        <v>628</v>
      </c>
      <c r="AD133" s="92" t="s">
        <v>155</v>
      </c>
      <c r="AE133" s="92" t="s">
        <v>156</v>
      </c>
      <c r="AF133" s="92" t="s">
        <v>238</v>
      </c>
      <c r="AG133" s="92" t="s">
        <v>239</v>
      </c>
      <c r="AI133" s="92" t="s">
        <v>238</v>
      </c>
      <c r="AJ133" s="92" t="s">
        <v>239</v>
      </c>
      <c r="AK133" s="92" t="s">
        <v>159</v>
      </c>
      <c r="AL133" s="92" t="s">
        <v>240</v>
      </c>
      <c r="AM133" s="92" t="s">
        <v>161</v>
      </c>
      <c r="AP133" s="92" t="s">
        <v>628</v>
      </c>
      <c r="AQ133" s="92" t="s">
        <v>623</v>
      </c>
      <c r="AR133" s="92" t="s">
        <v>623</v>
      </c>
      <c r="AS133" s="92" t="s">
        <v>626</v>
      </c>
      <c r="AT133" s="101" t="n">
        <v>0</v>
      </c>
      <c r="AU133" s="101" t="n">
        <v>1565337.9</v>
      </c>
      <c r="AX133" s="92" t="s">
        <v>148</v>
      </c>
    </row>
    <row r="134" customFormat="false" ht="13.8" hidden="false" customHeight="false" outlineLevel="0" collapsed="false">
      <c r="A134" s="92" t="s">
        <v>142</v>
      </c>
      <c r="B134" s="92" t="s">
        <v>143</v>
      </c>
      <c r="C134" s="92" t="n">
        <v>45208873</v>
      </c>
      <c r="D134" s="92" t="s">
        <v>627</v>
      </c>
      <c r="E134" s="92" t="s">
        <v>233</v>
      </c>
      <c r="F134" s="92" t="s">
        <v>212</v>
      </c>
      <c r="G134" s="92" t="s">
        <v>147</v>
      </c>
      <c r="H134" s="92" t="s">
        <v>191</v>
      </c>
      <c r="I134" s="92" t="s">
        <v>623</v>
      </c>
      <c r="J134" s="92" t="s">
        <v>623</v>
      </c>
      <c r="K134" s="101" t="n">
        <v>0.01</v>
      </c>
      <c r="L134" s="101" t="n">
        <f aca="false">K134-Q134+T134</f>
        <v>0.01</v>
      </c>
      <c r="M134" s="92" t="s">
        <v>149</v>
      </c>
      <c r="N134" s="101" t="n">
        <v>0.01</v>
      </c>
      <c r="O134" s="92" t="s">
        <v>149</v>
      </c>
      <c r="P134" s="101" t="n">
        <v>0</v>
      </c>
      <c r="Q134" s="101" t="n">
        <v>0</v>
      </c>
      <c r="R134" s="101" t="n">
        <v>0.01</v>
      </c>
      <c r="S134" s="101" t="n">
        <v>0</v>
      </c>
      <c r="T134" s="101" t="n">
        <v>0</v>
      </c>
      <c r="U134" s="92" t="s">
        <v>150</v>
      </c>
      <c r="V134" s="92" t="s">
        <v>151</v>
      </c>
      <c r="Y134" s="92" t="s">
        <v>624</v>
      </c>
      <c r="Z134" s="92" t="s">
        <v>628</v>
      </c>
      <c r="AD134" s="92" t="s">
        <v>155</v>
      </c>
      <c r="AE134" s="92" t="s">
        <v>156</v>
      </c>
      <c r="AF134" s="92" t="s">
        <v>238</v>
      </c>
      <c r="AG134" s="92" t="s">
        <v>239</v>
      </c>
      <c r="AI134" s="92" t="s">
        <v>238</v>
      </c>
      <c r="AJ134" s="92" t="s">
        <v>239</v>
      </c>
      <c r="AK134" s="92" t="s">
        <v>159</v>
      </c>
      <c r="AL134" s="92" t="s">
        <v>240</v>
      </c>
      <c r="AM134" s="92" t="s">
        <v>161</v>
      </c>
      <c r="AP134" s="92" t="s">
        <v>628</v>
      </c>
      <c r="AQ134" s="92" t="s">
        <v>623</v>
      </c>
      <c r="AR134" s="92" t="s">
        <v>623</v>
      </c>
      <c r="AS134" s="92" t="s">
        <v>626</v>
      </c>
      <c r="AT134" s="101" t="n">
        <v>0</v>
      </c>
      <c r="AU134" s="101" t="n">
        <v>0.01</v>
      </c>
      <c r="AX134" s="92" t="s">
        <v>220</v>
      </c>
    </row>
    <row r="135" customFormat="false" ht="13.8" hidden="false" customHeight="false" outlineLevel="0" collapsed="false">
      <c r="A135" s="92" t="s">
        <v>142</v>
      </c>
      <c r="B135" s="92" t="s">
        <v>143</v>
      </c>
      <c r="C135" s="92" t="n">
        <v>45208873</v>
      </c>
      <c r="D135" s="92" t="s">
        <v>627</v>
      </c>
      <c r="E135" s="92" t="s">
        <v>233</v>
      </c>
      <c r="F135" s="92" t="s">
        <v>167</v>
      </c>
      <c r="G135" s="92" t="s">
        <v>147</v>
      </c>
      <c r="H135" s="92" t="s">
        <v>191</v>
      </c>
      <c r="I135" s="92" t="s">
        <v>623</v>
      </c>
      <c r="J135" s="92" t="s">
        <v>623</v>
      </c>
      <c r="K135" s="101" t="n">
        <v>94059.56</v>
      </c>
      <c r="L135" s="101" t="n">
        <f aca="false">K135-Q135+T135</f>
        <v>94059.56</v>
      </c>
      <c r="M135" s="92" t="s">
        <v>149</v>
      </c>
      <c r="N135" s="101" t="n">
        <v>94059.56</v>
      </c>
      <c r="O135" s="92" t="s">
        <v>149</v>
      </c>
      <c r="P135" s="101" t="n">
        <v>0</v>
      </c>
      <c r="Q135" s="101" t="n">
        <v>0</v>
      </c>
      <c r="R135" s="101" t="n">
        <v>94059.56</v>
      </c>
      <c r="S135" s="101" t="n">
        <v>0</v>
      </c>
      <c r="T135" s="101" t="n">
        <v>0</v>
      </c>
      <c r="U135" s="92" t="s">
        <v>150</v>
      </c>
      <c r="V135" s="92" t="s">
        <v>151</v>
      </c>
      <c r="Y135" s="92" t="s">
        <v>624</v>
      </c>
      <c r="Z135" s="92" t="s">
        <v>628</v>
      </c>
      <c r="AD135" s="92" t="s">
        <v>155</v>
      </c>
      <c r="AE135" s="92" t="s">
        <v>156</v>
      </c>
      <c r="AF135" s="92" t="s">
        <v>238</v>
      </c>
      <c r="AG135" s="92" t="s">
        <v>239</v>
      </c>
      <c r="AI135" s="92" t="s">
        <v>238</v>
      </c>
      <c r="AJ135" s="92" t="s">
        <v>239</v>
      </c>
      <c r="AK135" s="92" t="s">
        <v>159</v>
      </c>
      <c r="AL135" s="92" t="s">
        <v>240</v>
      </c>
      <c r="AM135" s="92" t="s">
        <v>161</v>
      </c>
      <c r="AP135" s="92" t="s">
        <v>628</v>
      </c>
      <c r="AQ135" s="92" t="s">
        <v>623</v>
      </c>
      <c r="AR135" s="92" t="s">
        <v>623</v>
      </c>
      <c r="AS135" s="92" t="s">
        <v>626</v>
      </c>
      <c r="AT135" s="101" t="n">
        <v>0</v>
      </c>
      <c r="AU135" s="101" t="n">
        <v>94059.56</v>
      </c>
      <c r="AX135" s="92" t="s">
        <v>402</v>
      </c>
    </row>
    <row r="136" customFormat="false" ht="13.8" hidden="false" customHeight="false" outlineLevel="0" collapsed="false">
      <c r="A136" s="92" t="s">
        <v>142</v>
      </c>
      <c r="B136" s="92" t="s">
        <v>143</v>
      </c>
      <c r="C136" s="92" t="n">
        <v>45213260</v>
      </c>
      <c r="D136" s="92" t="s">
        <v>629</v>
      </c>
      <c r="E136" s="92" t="s">
        <v>233</v>
      </c>
      <c r="F136" s="92" t="s">
        <v>266</v>
      </c>
      <c r="G136" s="92" t="s">
        <v>147</v>
      </c>
      <c r="H136" s="92" t="s">
        <v>191</v>
      </c>
      <c r="I136" s="92" t="s">
        <v>630</v>
      </c>
      <c r="J136" s="92" t="s">
        <v>630</v>
      </c>
      <c r="K136" s="101" t="n">
        <v>384680</v>
      </c>
      <c r="L136" s="101" t="n">
        <f aca="false">K136-Q136+T136</f>
        <v>384680</v>
      </c>
      <c r="M136" s="92" t="s">
        <v>149</v>
      </c>
      <c r="N136" s="101" t="n">
        <v>384680</v>
      </c>
      <c r="O136" s="92" t="s">
        <v>149</v>
      </c>
      <c r="P136" s="101" t="n">
        <v>0</v>
      </c>
      <c r="Q136" s="101" t="n">
        <v>0</v>
      </c>
      <c r="R136" s="101" t="n">
        <v>384680</v>
      </c>
      <c r="S136" s="101" t="n">
        <v>0</v>
      </c>
      <c r="T136" s="101" t="n">
        <v>0</v>
      </c>
      <c r="U136" s="92" t="s">
        <v>192</v>
      </c>
      <c r="V136" s="92" t="s">
        <v>151</v>
      </c>
      <c r="Y136" s="92" t="s">
        <v>631</v>
      </c>
      <c r="Z136" s="92" t="s">
        <v>632</v>
      </c>
      <c r="AD136" s="92" t="s">
        <v>155</v>
      </c>
      <c r="AE136" s="92" t="s">
        <v>156</v>
      </c>
      <c r="AF136" s="92" t="s">
        <v>238</v>
      </c>
      <c r="AG136" s="92" t="s">
        <v>239</v>
      </c>
      <c r="AI136" s="92" t="s">
        <v>238</v>
      </c>
      <c r="AJ136" s="92" t="s">
        <v>239</v>
      </c>
      <c r="AK136" s="92" t="s">
        <v>159</v>
      </c>
      <c r="AL136" s="92" t="s">
        <v>240</v>
      </c>
      <c r="AM136" s="92" t="s">
        <v>161</v>
      </c>
      <c r="AP136" s="92" t="s">
        <v>632</v>
      </c>
      <c r="AQ136" s="92" t="s">
        <v>630</v>
      </c>
      <c r="AR136" s="92" t="s">
        <v>630</v>
      </c>
      <c r="AS136" s="92" t="s">
        <v>633</v>
      </c>
      <c r="AT136" s="101" t="n">
        <v>0</v>
      </c>
      <c r="AU136" s="101" t="n">
        <v>384680</v>
      </c>
      <c r="AX136" s="92" t="s">
        <v>165</v>
      </c>
    </row>
    <row r="137" customFormat="false" ht="13.8" hidden="false" customHeight="false" outlineLevel="0" collapsed="false">
      <c r="A137" s="92" t="s">
        <v>142</v>
      </c>
      <c r="B137" s="92" t="s">
        <v>143</v>
      </c>
      <c r="C137" s="92" t="n">
        <v>45214891</v>
      </c>
      <c r="D137" s="92" t="s">
        <v>634</v>
      </c>
      <c r="E137" s="92" t="s">
        <v>233</v>
      </c>
      <c r="F137" s="92" t="s">
        <v>278</v>
      </c>
      <c r="G137" s="92" t="s">
        <v>147</v>
      </c>
      <c r="H137" s="92" t="s">
        <v>191</v>
      </c>
      <c r="I137" s="92" t="s">
        <v>635</v>
      </c>
      <c r="J137" s="92" t="s">
        <v>635</v>
      </c>
      <c r="K137" s="101" t="n">
        <v>1970625.31</v>
      </c>
      <c r="L137" s="101" t="n">
        <f aca="false">K137-Q137+T137</f>
        <v>1970625.31</v>
      </c>
      <c r="M137" s="92" t="s">
        <v>149</v>
      </c>
      <c r="N137" s="101" t="n">
        <v>1970625.31</v>
      </c>
      <c r="O137" s="92" t="s">
        <v>149</v>
      </c>
      <c r="P137" s="101" t="n">
        <v>0</v>
      </c>
      <c r="Q137" s="101" t="n">
        <v>0</v>
      </c>
      <c r="R137" s="101" t="n">
        <v>1970625.31</v>
      </c>
      <c r="S137" s="101" t="n">
        <v>0</v>
      </c>
      <c r="T137" s="101" t="n">
        <v>0</v>
      </c>
      <c r="U137" s="92" t="s">
        <v>192</v>
      </c>
      <c r="V137" s="92" t="s">
        <v>151</v>
      </c>
      <c r="Y137" s="92" t="s">
        <v>636</v>
      </c>
      <c r="Z137" s="92" t="s">
        <v>637</v>
      </c>
      <c r="AD137" s="92" t="s">
        <v>155</v>
      </c>
      <c r="AE137" s="92" t="s">
        <v>156</v>
      </c>
      <c r="AF137" s="92" t="s">
        <v>238</v>
      </c>
      <c r="AG137" s="92" t="s">
        <v>239</v>
      </c>
      <c r="AI137" s="92" t="s">
        <v>238</v>
      </c>
      <c r="AJ137" s="92" t="s">
        <v>239</v>
      </c>
      <c r="AK137" s="92" t="s">
        <v>159</v>
      </c>
      <c r="AL137" s="92" t="s">
        <v>240</v>
      </c>
      <c r="AM137" s="92" t="s">
        <v>161</v>
      </c>
      <c r="AP137" s="92" t="s">
        <v>637</v>
      </c>
      <c r="AQ137" s="92" t="s">
        <v>635</v>
      </c>
      <c r="AR137" s="92" t="s">
        <v>635</v>
      </c>
      <c r="AS137" s="92" t="s">
        <v>638</v>
      </c>
      <c r="AT137" s="101" t="n">
        <v>0</v>
      </c>
      <c r="AU137" s="101" t="n">
        <v>1970625.31</v>
      </c>
      <c r="AX137" s="92" t="s">
        <v>165</v>
      </c>
    </row>
    <row r="138" customFormat="false" ht="13.8" hidden="false" customHeight="false" outlineLevel="0" collapsed="false">
      <c r="A138" s="92" t="s">
        <v>142</v>
      </c>
      <c r="B138" s="92" t="s">
        <v>143</v>
      </c>
      <c r="C138" s="92" t="n">
        <v>45217918</v>
      </c>
      <c r="D138" s="92" t="s">
        <v>639</v>
      </c>
      <c r="E138" s="92" t="s">
        <v>233</v>
      </c>
      <c r="F138" s="92" t="s">
        <v>212</v>
      </c>
      <c r="G138" s="92" t="s">
        <v>147</v>
      </c>
      <c r="H138" s="92" t="s">
        <v>191</v>
      </c>
      <c r="I138" s="92" t="s">
        <v>640</v>
      </c>
      <c r="J138" s="92" t="s">
        <v>640</v>
      </c>
      <c r="K138" s="101" t="n">
        <v>1765280</v>
      </c>
      <c r="L138" s="101" t="n">
        <f aca="false">K138-Q138+T138</f>
        <v>1765280</v>
      </c>
      <c r="M138" s="92" t="s">
        <v>149</v>
      </c>
      <c r="N138" s="101" t="n">
        <v>1765280</v>
      </c>
      <c r="O138" s="92" t="s">
        <v>149</v>
      </c>
      <c r="P138" s="101" t="n">
        <v>0</v>
      </c>
      <c r="Q138" s="101" t="n">
        <v>0</v>
      </c>
      <c r="R138" s="101" t="n">
        <v>1765280</v>
      </c>
      <c r="S138" s="101" t="n">
        <v>0</v>
      </c>
      <c r="T138" s="101" t="n">
        <v>0</v>
      </c>
      <c r="U138" s="92" t="s">
        <v>150</v>
      </c>
      <c r="V138" s="92" t="s">
        <v>151</v>
      </c>
      <c r="Y138" s="92" t="s">
        <v>641</v>
      </c>
      <c r="Z138" s="92" t="s">
        <v>642</v>
      </c>
      <c r="AD138" s="92" t="s">
        <v>155</v>
      </c>
      <c r="AE138" s="92" t="s">
        <v>156</v>
      </c>
      <c r="AF138" s="92" t="s">
        <v>238</v>
      </c>
      <c r="AG138" s="92" t="s">
        <v>239</v>
      </c>
      <c r="AI138" s="92" t="s">
        <v>238</v>
      </c>
      <c r="AJ138" s="92" t="s">
        <v>239</v>
      </c>
      <c r="AK138" s="92" t="s">
        <v>159</v>
      </c>
      <c r="AL138" s="92" t="s">
        <v>240</v>
      </c>
      <c r="AM138" s="92" t="s">
        <v>161</v>
      </c>
      <c r="AP138" s="92" t="s">
        <v>642</v>
      </c>
      <c r="AQ138" s="92" t="s">
        <v>640</v>
      </c>
      <c r="AR138" s="92" t="s">
        <v>640</v>
      </c>
      <c r="AS138" s="92" t="s">
        <v>643</v>
      </c>
      <c r="AT138" s="101" t="n">
        <v>0</v>
      </c>
      <c r="AU138" s="101" t="n">
        <v>1765280</v>
      </c>
      <c r="AX138" s="92" t="s">
        <v>165</v>
      </c>
    </row>
    <row r="139" customFormat="false" ht="13.8" hidden="false" customHeight="false" outlineLevel="0" collapsed="false">
      <c r="A139" s="92" t="s">
        <v>142</v>
      </c>
      <c r="B139" s="92" t="s">
        <v>143</v>
      </c>
      <c r="C139" s="92" t="n">
        <v>45218248</v>
      </c>
      <c r="D139" s="92" t="s">
        <v>644</v>
      </c>
      <c r="E139" s="92" t="s">
        <v>233</v>
      </c>
      <c r="F139" s="92" t="s">
        <v>167</v>
      </c>
      <c r="G139" s="92" t="s">
        <v>147</v>
      </c>
      <c r="H139" s="92" t="s">
        <v>191</v>
      </c>
      <c r="I139" s="92" t="s">
        <v>640</v>
      </c>
      <c r="J139" s="92" t="s">
        <v>640</v>
      </c>
      <c r="K139" s="101" t="n">
        <v>10319736.12</v>
      </c>
      <c r="L139" s="101" t="n">
        <f aca="false">K139-Q139+T139</f>
        <v>10319736.12</v>
      </c>
      <c r="M139" s="92" t="s">
        <v>149</v>
      </c>
      <c r="N139" s="101" t="n">
        <v>10319736.12</v>
      </c>
      <c r="O139" s="92" t="s">
        <v>149</v>
      </c>
      <c r="P139" s="101" t="n">
        <v>0</v>
      </c>
      <c r="Q139" s="101" t="n">
        <v>0</v>
      </c>
      <c r="R139" s="101" t="n">
        <v>10319736.12</v>
      </c>
      <c r="S139" s="101" t="n">
        <v>0</v>
      </c>
      <c r="T139" s="101" t="n">
        <v>0</v>
      </c>
      <c r="U139" s="92" t="s">
        <v>192</v>
      </c>
      <c r="V139" s="92" t="s">
        <v>151</v>
      </c>
      <c r="Y139" s="92" t="s">
        <v>645</v>
      </c>
      <c r="Z139" s="92" t="s">
        <v>646</v>
      </c>
      <c r="AD139" s="92" t="s">
        <v>155</v>
      </c>
      <c r="AE139" s="92" t="s">
        <v>156</v>
      </c>
      <c r="AF139" s="92" t="s">
        <v>238</v>
      </c>
      <c r="AG139" s="92" t="s">
        <v>239</v>
      </c>
      <c r="AI139" s="92" t="s">
        <v>238</v>
      </c>
      <c r="AJ139" s="92" t="s">
        <v>239</v>
      </c>
      <c r="AK139" s="92" t="s">
        <v>159</v>
      </c>
      <c r="AL139" s="92" t="s">
        <v>240</v>
      </c>
      <c r="AM139" s="92" t="s">
        <v>161</v>
      </c>
      <c r="AP139" s="92" t="s">
        <v>646</v>
      </c>
      <c r="AQ139" s="92" t="s">
        <v>640</v>
      </c>
      <c r="AR139" s="92" t="s">
        <v>640</v>
      </c>
      <c r="AS139" s="92" t="s">
        <v>647</v>
      </c>
      <c r="AT139" s="101" t="n">
        <v>0</v>
      </c>
      <c r="AU139" s="101" t="n">
        <v>10319736.12</v>
      </c>
      <c r="AX139" s="92" t="s">
        <v>165</v>
      </c>
    </row>
    <row r="140" customFormat="false" ht="13.8" hidden="false" customHeight="false" outlineLevel="0" collapsed="false">
      <c r="A140" s="92" t="s">
        <v>142</v>
      </c>
      <c r="B140" s="92" t="s">
        <v>143</v>
      </c>
      <c r="C140" s="92" t="n">
        <v>45219563</v>
      </c>
      <c r="D140" s="92" t="s">
        <v>648</v>
      </c>
      <c r="E140" s="92" t="s">
        <v>233</v>
      </c>
      <c r="F140" s="92" t="s">
        <v>297</v>
      </c>
      <c r="G140" s="92" t="s">
        <v>147</v>
      </c>
      <c r="H140" s="92" t="s">
        <v>191</v>
      </c>
      <c r="I140" s="92" t="s">
        <v>640</v>
      </c>
      <c r="J140" s="92" t="s">
        <v>640</v>
      </c>
      <c r="K140" s="101" t="n">
        <v>230723.4</v>
      </c>
      <c r="L140" s="101" t="n">
        <f aca="false">K140-Q140+T140</f>
        <v>230723.4</v>
      </c>
      <c r="M140" s="92" t="s">
        <v>149</v>
      </c>
      <c r="N140" s="101" t="n">
        <v>230723.4</v>
      </c>
      <c r="O140" s="92" t="s">
        <v>149</v>
      </c>
      <c r="P140" s="101" t="n">
        <v>0</v>
      </c>
      <c r="Q140" s="101" t="n">
        <v>0</v>
      </c>
      <c r="R140" s="101" t="n">
        <v>230723.4</v>
      </c>
      <c r="S140" s="101" t="n">
        <v>0</v>
      </c>
      <c r="T140" s="101" t="n">
        <v>0</v>
      </c>
      <c r="U140" s="92" t="s">
        <v>192</v>
      </c>
      <c r="V140" s="92" t="s">
        <v>151</v>
      </c>
      <c r="Y140" s="92" t="s">
        <v>649</v>
      </c>
      <c r="Z140" s="92" t="s">
        <v>650</v>
      </c>
      <c r="AD140" s="92" t="s">
        <v>155</v>
      </c>
      <c r="AE140" s="92" t="s">
        <v>156</v>
      </c>
      <c r="AF140" s="92" t="s">
        <v>238</v>
      </c>
      <c r="AG140" s="92" t="s">
        <v>239</v>
      </c>
      <c r="AI140" s="92" t="s">
        <v>238</v>
      </c>
      <c r="AJ140" s="92" t="s">
        <v>239</v>
      </c>
      <c r="AK140" s="92" t="s">
        <v>159</v>
      </c>
      <c r="AL140" s="92" t="s">
        <v>240</v>
      </c>
      <c r="AM140" s="92" t="s">
        <v>161</v>
      </c>
      <c r="AP140" s="92" t="s">
        <v>650</v>
      </c>
      <c r="AQ140" s="92" t="s">
        <v>640</v>
      </c>
      <c r="AR140" s="92" t="s">
        <v>640</v>
      </c>
      <c r="AS140" s="92" t="s">
        <v>651</v>
      </c>
      <c r="AT140" s="101" t="n">
        <v>0</v>
      </c>
      <c r="AU140" s="101" t="n">
        <v>230723.4</v>
      </c>
      <c r="AX140" s="92" t="s">
        <v>165</v>
      </c>
    </row>
    <row r="141" customFormat="false" ht="13.8" hidden="false" customHeight="false" outlineLevel="0" collapsed="false">
      <c r="A141" s="92" t="s">
        <v>142</v>
      </c>
      <c r="B141" s="92" t="s">
        <v>143</v>
      </c>
      <c r="C141" s="92" t="n">
        <v>45220348</v>
      </c>
      <c r="D141" s="92" t="s">
        <v>652</v>
      </c>
      <c r="E141" s="92" t="s">
        <v>233</v>
      </c>
      <c r="F141" s="92" t="s">
        <v>167</v>
      </c>
      <c r="G141" s="92" t="s">
        <v>147</v>
      </c>
      <c r="H141" s="92" t="s">
        <v>191</v>
      </c>
      <c r="I141" s="92" t="s">
        <v>653</v>
      </c>
      <c r="J141" s="92" t="s">
        <v>653</v>
      </c>
      <c r="K141" s="101" t="n">
        <v>39600.9</v>
      </c>
      <c r="L141" s="101" t="n">
        <f aca="false">K141-Q141+T141</f>
        <v>39600.9</v>
      </c>
      <c r="M141" s="92" t="s">
        <v>149</v>
      </c>
      <c r="N141" s="101" t="n">
        <v>39600.9</v>
      </c>
      <c r="O141" s="92" t="s">
        <v>149</v>
      </c>
      <c r="P141" s="101" t="n">
        <v>0</v>
      </c>
      <c r="Q141" s="101" t="n">
        <v>0</v>
      </c>
      <c r="R141" s="101" t="n">
        <v>39600.9</v>
      </c>
      <c r="S141" s="101" t="n">
        <v>0</v>
      </c>
      <c r="T141" s="101" t="n">
        <v>0</v>
      </c>
      <c r="U141" s="92" t="s">
        <v>150</v>
      </c>
      <c r="V141" s="92" t="s">
        <v>151</v>
      </c>
      <c r="Y141" s="92" t="s">
        <v>654</v>
      </c>
      <c r="Z141" s="92" t="s">
        <v>655</v>
      </c>
      <c r="AD141" s="92" t="s">
        <v>155</v>
      </c>
      <c r="AE141" s="92" t="s">
        <v>156</v>
      </c>
      <c r="AF141" s="92" t="s">
        <v>238</v>
      </c>
      <c r="AG141" s="92" t="s">
        <v>239</v>
      </c>
      <c r="AI141" s="92" t="s">
        <v>238</v>
      </c>
      <c r="AJ141" s="92" t="s">
        <v>239</v>
      </c>
      <c r="AK141" s="92" t="s">
        <v>159</v>
      </c>
      <c r="AL141" s="92" t="s">
        <v>240</v>
      </c>
      <c r="AM141" s="92" t="s">
        <v>161</v>
      </c>
      <c r="AP141" s="92" t="s">
        <v>655</v>
      </c>
      <c r="AQ141" s="92" t="s">
        <v>653</v>
      </c>
      <c r="AR141" s="92" t="s">
        <v>653</v>
      </c>
      <c r="AS141" s="92" t="s">
        <v>656</v>
      </c>
      <c r="AT141" s="101" t="n">
        <v>0</v>
      </c>
      <c r="AU141" s="101" t="n">
        <v>39600.9</v>
      </c>
      <c r="AX141" s="92" t="s">
        <v>165</v>
      </c>
    </row>
    <row r="142" customFormat="false" ht="13.8" hidden="false" customHeight="false" outlineLevel="0" collapsed="false">
      <c r="A142" s="92" t="s">
        <v>142</v>
      </c>
      <c r="B142" s="92" t="s">
        <v>143</v>
      </c>
      <c r="C142" s="92" t="n">
        <v>45220714</v>
      </c>
      <c r="D142" s="92" t="s">
        <v>657</v>
      </c>
      <c r="E142" s="92" t="s">
        <v>233</v>
      </c>
      <c r="F142" s="92" t="s">
        <v>212</v>
      </c>
      <c r="G142" s="92" t="s">
        <v>147</v>
      </c>
      <c r="H142" s="92" t="s">
        <v>191</v>
      </c>
      <c r="I142" s="92" t="s">
        <v>658</v>
      </c>
      <c r="J142" s="92" t="s">
        <v>658</v>
      </c>
      <c r="K142" s="101" t="n">
        <v>19306.46</v>
      </c>
      <c r="L142" s="101" t="n">
        <f aca="false">K142-Q142+T142</f>
        <v>19306.46</v>
      </c>
      <c r="M142" s="92" t="s">
        <v>149</v>
      </c>
      <c r="N142" s="101" t="n">
        <v>19306.46</v>
      </c>
      <c r="O142" s="92" t="s">
        <v>149</v>
      </c>
      <c r="P142" s="101" t="n">
        <v>0</v>
      </c>
      <c r="Q142" s="101" t="n">
        <v>0</v>
      </c>
      <c r="R142" s="101" t="n">
        <v>19306.46</v>
      </c>
      <c r="S142" s="101" t="n">
        <v>0</v>
      </c>
      <c r="T142" s="101" t="n">
        <v>0</v>
      </c>
      <c r="U142" s="92" t="s">
        <v>150</v>
      </c>
      <c r="V142" s="92" t="s">
        <v>151</v>
      </c>
      <c r="Y142" s="92" t="s">
        <v>659</v>
      </c>
      <c r="Z142" s="92" t="s">
        <v>660</v>
      </c>
      <c r="AD142" s="92" t="s">
        <v>155</v>
      </c>
      <c r="AE142" s="92" t="s">
        <v>156</v>
      </c>
      <c r="AF142" s="92" t="s">
        <v>238</v>
      </c>
      <c r="AG142" s="92" t="s">
        <v>239</v>
      </c>
      <c r="AI142" s="92" t="s">
        <v>238</v>
      </c>
      <c r="AJ142" s="92" t="s">
        <v>239</v>
      </c>
      <c r="AK142" s="92" t="s">
        <v>159</v>
      </c>
      <c r="AL142" s="92" t="s">
        <v>240</v>
      </c>
      <c r="AM142" s="92" t="s">
        <v>161</v>
      </c>
      <c r="AP142" s="92" t="s">
        <v>660</v>
      </c>
      <c r="AQ142" s="92" t="s">
        <v>658</v>
      </c>
      <c r="AR142" s="92" t="s">
        <v>658</v>
      </c>
      <c r="AS142" s="92" t="s">
        <v>661</v>
      </c>
      <c r="AT142" s="101" t="n">
        <v>0</v>
      </c>
      <c r="AU142" s="101" t="n">
        <v>19306.46</v>
      </c>
      <c r="AX142" s="92" t="s">
        <v>165</v>
      </c>
    </row>
    <row r="143" customFormat="false" ht="13.8" hidden="false" customHeight="false" outlineLevel="0" collapsed="false">
      <c r="A143" s="92" t="s">
        <v>142</v>
      </c>
      <c r="B143" s="92" t="s">
        <v>143</v>
      </c>
      <c r="C143" s="92" t="n">
        <v>45223719</v>
      </c>
      <c r="D143" s="92" t="s">
        <v>662</v>
      </c>
      <c r="E143" s="92" t="s">
        <v>233</v>
      </c>
      <c r="F143" s="92" t="s">
        <v>234</v>
      </c>
      <c r="G143" s="92" t="s">
        <v>147</v>
      </c>
      <c r="H143" s="92" t="s">
        <v>191</v>
      </c>
      <c r="I143" s="92" t="s">
        <v>663</v>
      </c>
      <c r="J143" s="92" t="s">
        <v>663</v>
      </c>
      <c r="K143" s="101" t="n">
        <v>8905595.55</v>
      </c>
      <c r="L143" s="101" t="n">
        <f aca="false">K143-Q143+T143</f>
        <v>8905595.55</v>
      </c>
      <c r="M143" s="92" t="s">
        <v>149</v>
      </c>
      <c r="N143" s="101" t="n">
        <v>8905595.55</v>
      </c>
      <c r="O143" s="92" t="s">
        <v>149</v>
      </c>
      <c r="P143" s="101" t="n">
        <v>0</v>
      </c>
      <c r="Q143" s="101" t="n">
        <v>0</v>
      </c>
      <c r="R143" s="101" t="n">
        <v>8905595.55</v>
      </c>
      <c r="S143" s="101" t="n">
        <v>0</v>
      </c>
      <c r="T143" s="101" t="n">
        <v>0</v>
      </c>
      <c r="U143" s="92" t="s">
        <v>192</v>
      </c>
      <c r="V143" s="92" t="s">
        <v>151</v>
      </c>
      <c r="Y143" s="92" t="s">
        <v>664</v>
      </c>
      <c r="Z143" s="92" t="s">
        <v>665</v>
      </c>
      <c r="AD143" s="92" t="s">
        <v>155</v>
      </c>
      <c r="AE143" s="92" t="s">
        <v>156</v>
      </c>
      <c r="AF143" s="92" t="s">
        <v>238</v>
      </c>
      <c r="AG143" s="92" t="s">
        <v>239</v>
      </c>
      <c r="AI143" s="92" t="s">
        <v>238</v>
      </c>
      <c r="AJ143" s="92" t="s">
        <v>239</v>
      </c>
      <c r="AK143" s="92" t="s">
        <v>159</v>
      </c>
      <c r="AL143" s="92" t="s">
        <v>240</v>
      </c>
      <c r="AM143" s="92" t="s">
        <v>161</v>
      </c>
      <c r="AP143" s="92" t="s">
        <v>665</v>
      </c>
      <c r="AQ143" s="92" t="s">
        <v>663</v>
      </c>
      <c r="AR143" s="92" t="s">
        <v>663</v>
      </c>
      <c r="AS143" s="92" t="s">
        <v>666</v>
      </c>
      <c r="AT143" s="101" t="n">
        <v>0</v>
      </c>
      <c r="AU143" s="101" t="n">
        <v>8905595.55</v>
      </c>
      <c r="AX143" s="92" t="s">
        <v>165</v>
      </c>
    </row>
    <row r="144" customFormat="false" ht="13.8" hidden="false" customHeight="false" outlineLevel="0" collapsed="false">
      <c r="A144" s="92" t="s">
        <v>142</v>
      </c>
      <c r="B144" s="92" t="s">
        <v>143</v>
      </c>
      <c r="C144" s="92" t="n">
        <v>45225487</v>
      </c>
      <c r="D144" s="92" t="s">
        <v>667</v>
      </c>
      <c r="E144" s="92" t="s">
        <v>233</v>
      </c>
      <c r="F144" s="92" t="s">
        <v>167</v>
      </c>
      <c r="G144" s="92" t="s">
        <v>147</v>
      </c>
      <c r="H144" s="92" t="s">
        <v>191</v>
      </c>
      <c r="I144" s="92" t="s">
        <v>668</v>
      </c>
      <c r="J144" s="92" t="s">
        <v>668</v>
      </c>
      <c r="K144" s="101" t="n">
        <v>1784213.07</v>
      </c>
      <c r="L144" s="101" t="n">
        <f aca="false">K144-Q144+T144</f>
        <v>1784213.07</v>
      </c>
      <c r="M144" s="92" t="s">
        <v>149</v>
      </c>
      <c r="N144" s="101" t="n">
        <v>1784213.07</v>
      </c>
      <c r="O144" s="92" t="s">
        <v>149</v>
      </c>
      <c r="P144" s="101" t="n">
        <v>0</v>
      </c>
      <c r="Q144" s="101" t="n">
        <v>0</v>
      </c>
      <c r="R144" s="101" t="n">
        <v>1784213.07</v>
      </c>
      <c r="S144" s="101" t="n">
        <v>0</v>
      </c>
      <c r="T144" s="101" t="n">
        <v>0</v>
      </c>
      <c r="U144" s="92" t="s">
        <v>192</v>
      </c>
      <c r="V144" s="92" t="s">
        <v>151</v>
      </c>
      <c r="Y144" s="92" t="s">
        <v>669</v>
      </c>
      <c r="Z144" s="92" t="s">
        <v>670</v>
      </c>
      <c r="AD144" s="92" t="s">
        <v>155</v>
      </c>
      <c r="AE144" s="92" t="s">
        <v>156</v>
      </c>
      <c r="AF144" s="92" t="s">
        <v>238</v>
      </c>
      <c r="AG144" s="92" t="s">
        <v>239</v>
      </c>
      <c r="AI144" s="92" t="s">
        <v>238</v>
      </c>
      <c r="AJ144" s="92" t="s">
        <v>239</v>
      </c>
      <c r="AK144" s="92" t="s">
        <v>159</v>
      </c>
      <c r="AL144" s="92" t="s">
        <v>240</v>
      </c>
      <c r="AM144" s="92" t="s">
        <v>161</v>
      </c>
      <c r="AP144" s="92" t="s">
        <v>670</v>
      </c>
      <c r="AQ144" s="92" t="s">
        <v>668</v>
      </c>
      <c r="AR144" s="92" t="s">
        <v>668</v>
      </c>
      <c r="AS144" s="92" t="s">
        <v>671</v>
      </c>
      <c r="AT144" s="101" t="n">
        <v>0</v>
      </c>
      <c r="AU144" s="101" t="n">
        <v>1784213.07</v>
      </c>
      <c r="AX144" s="92" t="s">
        <v>165</v>
      </c>
    </row>
    <row r="145" customFormat="false" ht="13.8" hidden="false" customHeight="false" outlineLevel="0" collapsed="false">
      <c r="A145" s="92" t="s">
        <v>142</v>
      </c>
      <c r="B145" s="92" t="s">
        <v>143</v>
      </c>
      <c r="C145" s="92" t="n">
        <v>45227761</v>
      </c>
      <c r="D145" s="92" t="s">
        <v>672</v>
      </c>
      <c r="E145" s="92" t="s">
        <v>233</v>
      </c>
      <c r="F145" s="92" t="s">
        <v>167</v>
      </c>
      <c r="G145" s="92" t="s">
        <v>147</v>
      </c>
      <c r="H145" s="92" t="s">
        <v>191</v>
      </c>
      <c r="I145" s="92" t="s">
        <v>673</v>
      </c>
      <c r="J145" s="92" t="s">
        <v>673</v>
      </c>
      <c r="K145" s="101" t="n">
        <v>240420.8</v>
      </c>
      <c r="L145" s="101" t="n">
        <f aca="false">K145-Q145+T145</f>
        <v>240420.8</v>
      </c>
      <c r="M145" s="92" t="s">
        <v>149</v>
      </c>
      <c r="N145" s="101" t="n">
        <v>240420.8</v>
      </c>
      <c r="O145" s="92" t="s">
        <v>149</v>
      </c>
      <c r="P145" s="101" t="n">
        <v>0</v>
      </c>
      <c r="Q145" s="101" t="n">
        <v>0</v>
      </c>
      <c r="R145" s="101" t="n">
        <v>240420.8</v>
      </c>
      <c r="S145" s="101" t="n">
        <v>0</v>
      </c>
      <c r="T145" s="101" t="n">
        <v>0</v>
      </c>
      <c r="U145" s="92" t="s">
        <v>192</v>
      </c>
      <c r="V145" s="92" t="s">
        <v>151</v>
      </c>
      <c r="Y145" s="92" t="s">
        <v>674</v>
      </c>
      <c r="Z145" s="92" t="s">
        <v>675</v>
      </c>
      <c r="AD145" s="92" t="s">
        <v>155</v>
      </c>
      <c r="AE145" s="92" t="s">
        <v>156</v>
      </c>
      <c r="AF145" s="92" t="s">
        <v>238</v>
      </c>
      <c r="AG145" s="92" t="s">
        <v>239</v>
      </c>
      <c r="AI145" s="92" t="s">
        <v>238</v>
      </c>
      <c r="AJ145" s="92" t="s">
        <v>239</v>
      </c>
      <c r="AK145" s="92" t="s">
        <v>159</v>
      </c>
      <c r="AL145" s="92" t="s">
        <v>240</v>
      </c>
      <c r="AM145" s="92" t="s">
        <v>161</v>
      </c>
      <c r="AP145" s="92" t="s">
        <v>675</v>
      </c>
      <c r="AQ145" s="92" t="s">
        <v>673</v>
      </c>
      <c r="AR145" s="92" t="s">
        <v>673</v>
      </c>
      <c r="AS145" s="92" t="s">
        <v>676</v>
      </c>
      <c r="AT145" s="101" t="n">
        <v>0</v>
      </c>
      <c r="AU145" s="101" t="n">
        <v>240420.8</v>
      </c>
      <c r="AX145" s="92" t="s">
        <v>165</v>
      </c>
    </row>
    <row r="146" customFormat="false" ht="13.8" hidden="false" customHeight="false" outlineLevel="0" collapsed="false">
      <c r="A146" s="92" t="s">
        <v>142</v>
      </c>
      <c r="B146" s="92" t="s">
        <v>143</v>
      </c>
      <c r="C146" s="92" t="n">
        <v>45235322</v>
      </c>
      <c r="D146" s="92" t="s">
        <v>677</v>
      </c>
      <c r="E146" s="92" t="s">
        <v>233</v>
      </c>
      <c r="F146" s="92" t="s">
        <v>212</v>
      </c>
      <c r="G146" s="92" t="s">
        <v>147</v>
      </c>
      <c r="H146" s="92" t="s">
        <v>200</v>
      </c>
      <c r="I146" s="92" t="s">
        <v>678</v>
      </c>
      <c r="J146" s="92" t="s">
        <v>678</v>
      </c>
      <c r="K146" s="101" t="n">
        <v>551319.01</v>
      </c>
      <c r="L146" s="101" t="n">
        <f aca="false">K146-Q146+T146</f>
        <v>551319.01</v>
      </c>
      <c r="M146" s="92" t="s">
        <v>149</v>
      </c>
      <c r="N146" s="101" t="n">
        <v>551319.01</v>
      </c>
      <c r="O146" s="92" t="s">
        <v>149</v>
      </c>
      <c r="P146" s="101" t="n">
        <v>0</v>
      </c>
      <c r="Q146" s="101" t="n">
        <v>0</v>
      </c>
      <c r="R146" s="101" t="n">
        <v>551319.01</v>
      </c>
      <c r="S146" s="101" t="n">
        <v>0</v>
      </c>
      <c r="T146" s="101" t="n">
        <v>0</v>
      </c>
      <c r="U146" s="92" t="s">
        <v>150</v>
      </c>
      <c r="V146" s="92" t="s">
        <v>151</v>
      </c>
      <c r="Y146" s="92" t="s">
        <v>679</v>
      </c>
      <c r="Z146" s="92" t="s">
        <v>680</v>
      </c>
      <c r="AD146" s="92" t="s">
        <v>155</v>
      </c>
      <c r="AE146" s="92" t="s">
        <v>156</v>
      </c>
      <c r="AF146" s="92" t="s">
        <v>238</v>
      </c>
      <c r="AG146" s="92" t="s">
        <v>239</v>
      </c>
      <c r="AI146" s="92" t="s">
        <v>238</v>
      </c>
      <c r="AJ146" s="92" t="s">
        <v>239</v>
      </c>
      <c r="AK146" s="92" t="s">
        <v>159</v>
      </c>
      <c r="AL146" s="92" t="s">
        <v>240</v>
      </c>
      <c r="AM146" s="92" t="s">
        <v>161</v>
      </c>
      <c r="AP146" s="92" t="s">
        <v>680</v>
      </c>
      <c r="AQ146" s="92" t="s">
        <v>678</v>
      </c>
      <c r="AR146" s="92" t="s">
        <v>678</v>
      </c>
      <c r="AS146" s="92" t="s">
        <v>681</v>
      </c>
      <c r="AT146" s="101" t="n">
        <v>0</v>
      </c>
      <c r="AU146" s="101" t="n">
        <v>551319.01</v>
      </c>
      <c r="AX146" s="92" t="s">
        <v>165</v>
      </c>
    </row>
    <row r="147" customFormat="false" ht="13.8" hidden="false" customHeight="false" outlineLevel="0" collapsed="false">
      <c r="A147" s="92" t="s">
        <v>142</v>
      </c>
      <c r="B147" s="92" t="s">
        <v>143</v>
      </c>
      <c r="C147" s="92" t="n">
        <v>45235322</v>
      </c>
      <c r="D147" s="92" t="s">
        <v>677</v>
      </c>
      <c r="E147" s="92" t="s">
        <v>233</v>
      </c>
      <c r="F147" s="92" t="s">
        <v>212</v>
      </c>
      <c r="G147" s="92" t="s">
        <v>147</v>
      </c>
      <c r="H147" s="92" t="s">
        <v>200</v>
      </c>
      <c r="I147" s="92" t="s">
        <v>678</v>
      </c>
      <c r="J147" s="92" t="s">
        <v>678</v>
      </c>
      <c r="K147" s="101" t="n">
        <v>3879740.29</v>
      </c>
      <c r="L147" s="101" t="n">
        <f aca="false">K147-Q147+T147</f>
        <v>3879740.29</v>
      </c>
      <c r="M147" s="92" t="s">
        <v>149</v>
      </c>
      <c r="N147" s="101" t="n">
        <v>3879740.29</v>
      </c>
      <c r="O147" s="92" t="s">
        <v>149</v>
      </c>
      <c r="P147" s="101" t="n">
        <v>0</v>
      </c>
      <c r="Q147" s="101" t="n">
        <v>0</v>
      </c>
      <c r="R147" s="101" t="n">
        <v>3879740.29</v>
      </c>
      <c r="S147" s="101" t="n">
        <v>0</v>
      </c>
      <c r="T147" s="101" t="n">
        <v>0</v>
      </c>
      <c r="U147" s="92" t="s">
        <v>150</v>
      </c>
      <c r="V147" s="92" t="s">
        <v>151</v>
      </c>
      <c r="Y147" s="92" t="s">
        <v>679</v>
      </c>
      <c r="Z147" s="92" t="s">
        <v>680</v>
      </c>
      <c r="AD147" s="92" t="s">
        <v>155</v>
      </c>
      <c r="AE147" s="92" t="s">
        <v>156</v>
      </c>
      <c r="AF147" s="92" t="s">
        <v>238</v>
      </c>
      <c r="AG147" s="92" t="s">
        <v>239</v>
      </c>
      <c r="AI147" s="92" t="s">
        <v>238</v>
      </c>
      <c r="AJ147" s="92" t="s">
        <v>239</v>
      </c>
      <c r="AK147" s="92" t="s">
        <v>159</v>
      </c>
      <c r="AL147" s="92" t="s">
        <v>240</v>
      </c>
      <c r="AM147" s="92" t="s">
        <v>161</v>
      </c>
      <c r="AP147" s="92" t="s">
        <v>680</v>
      </c>
      <c r="AQ147" s="92" t="s">
        <v>678</v>
      </c>
      <c r="AR147" s="92" t="s">
        <v>678</v>
      </c>
      <c r="AS147" s="92" t="s">
        <v>681</v>
      </c>
      <c r="AT147" s="101" t="n">
        <v>0</v>
      </c>
      <c r="AU147" s="101" t="n">
        <v>3879740.29</v>
      </c>
      <c r="AX147" s="92" t="s">
        <v>220</v>
      </c>
    </row>
    <row r="148" customFormat="false" ht="13.8" hidden="false" customHeight="false" outlineLevel="0" collapsed="false">
      <c r="A148" s="92" t="s">
        <v>142</v>
      </c>
      <c r="B148" s="92" t="s">
        <v>143</v>
      </c>
      <c r="C148" s="92" t="n">
        <v>45235970</v>
      </c>
      <c r="D148" s="92" t="s">
        <v>682</v>
      </c>
      <c r="E148" s="92" t="s">
        <v>233</v>
      </c>
      <c r="F148" s="92" t="s">
        <v>297</v>
      </c>
      <c r="G148" s="92" t="s">
        <v>147</v>
      </c>
      <c r="H148" s="92" t="s">
        <v>200</v>
      </c>
      <c r="I148" s="92" t="s">
        <v>678</v>
      </c>
      <c r="J148" s="92" t="s">
        <v>678</v>
      </c>
      <c r="K148" s="101" t="n">
        <v>807359.06</v>
      </c>
      <c r="L148" s="101" t="n">
        <f aca="false">K148-Q148+T148</f>
        <v>807359.06</v>
      </c>
      <c r="M148" s="92" t="s">
        <v>149</v>
      </c>
      <c r="N148" s="101" t="n">
        <v>807359.06</v>
      </c>
      <c r="O148" s="92" t="s">
        <v>149</v>
      </c>
      <c r="P148" s="101" t="n">
        <v>0</v>
      </c>
      <c r="Q148" s="101" t="n">
        <v>0</v>
      </c>
      <c r="R148" s="101" t="n">
        <v>807359.06</v>
      </c>
      <c r="S148" s="101" t="n">
        <v>0</v>
      </c>
      <c r="T148" s="101" t="n">
        <v>0</v>
      </c>
      <c r="U148" s="92" t="s">
        <v>192</v>
      </c>
      <c r="V148" s="92" t="s">
        <v>151</v>
      </c>
      <c r="Y148" s="92" t="s">
        <v>683</v>
      </c>
      <c r="Z148" s="92" t="s">
        <v>684</v>
      </c>
      <c r="AD148" s="92" t="s">
        <v>155</v>
      </c>
      <c r="AE148" s="92" t="s">
        <v>156</v>
      </c>
      <c r="AF148" s="92" t="s">
        <v>238</v>
      </c>
      <c r="AG148" s="92" t="s">
        <v>239</v>
      </c>
      <c r="AI148" s="92" t="s">
        <v>238</v>
      </c>
      <c r="AJ148" s="92" t="s">
        <v>239</v>
      </c>
      <c r="AK148" s="92" t="s">
        <v>159</v>
      </c>
      <c r="AL148" s="92" t="s">
        <v>240</v>
      </c>
      <c r="AM148" s="92" t="s">
        <v>161</v>
      </c>
      <c r="AP148" s="92" t="s">
        <v>684</v>
      </c>
      <c r="AQ148" s="92" t="s">
        <v>678</v>
      </c>
      <c r="AR148" s="92" t="s">
        <v>678</v>
      </c>
      <c r="AS148" s="92" t="s">
        <v>685</v>
      </c>
      <c r="AT148" s="101" t="n">
        <v>0</v>
      </c>
      <c r="AU148" s="101" t="n">
        <v>807359.06</v>
      </c>
      <c r="AX148" s="92" t="s">
        <v>165</v>
      </c>
    </row>
    <row r="149" customFormat="false" ht="13.8" hidden="false" customHeight="false" outlineLevel="0" collapsed="false">
      <c r="A149" s="92" t="s">
        <v>142</v>
      </c>
      <c r="B149" s="92" t="s">
        <v>143</v>
      </c>
      <c r="C149" s="92" t="n">
        <v>45236726</v>
      </c>
      <c r="D149" s="92" t="s">
        <v>686</v>
      </c>
      <c r="E149" s="92" t="s">
        <v>233</v>
      </c>
      <c r="F149" s="92" t="s">
        <v>511</v>
      </c>
      <c r="G149" s="92" t="s">
        <v>147</v>
      </c>
      <c r="H149" s="92" t="s">
        <v>200</v>
      </c>
      <c r="I149" s="92" t="s">
        <v>204</v>
      </c>
      <c r="J149" s="92" t="s">
        <v>204</v>
      </c>
      <c r="K149" s="101" t="n">
        <v>612508.5</v>
      </c>
      <c r="L149" s="101" t="n">
        <f aca="false">K149-Q149+T149</f>
        <v>612508.5</v>
      </c>
      <c r="M149" s="92" t="s">
        <v>149</v>
      </c>
      <c r="N149" s="101" t="n">
        <v>612508.5</v>
      </c>
      <c r="O149" s="92" t="s">
        <v>149</v>
      </c>
      <c r="P149" s="101" t="n">
        <v>0</v>
      </c>
      <c r="Q149" s="101" t="n">
        <v>0</v>
      </c>
      <c r="R149" s="101" t="n">
        <v>612508.5</v>
      </c>
      <c r="S149" s="101" t="n">
        <v>0</v>
      </c>
      <c r="T149" s="101" t="n">
        <v>0</v>
      </c>
      <c r="U149" s="92" t="s">
        <v>192</v>
      </c>
      <c r="V149" s="92" t="s">
        <v>151</v>
      </c>
      <c r="Y149" s="92" t="s">
        <v>687</v>
      </c>
      <c r="Z149" s="92" t="s">
        <v>688</v>
      </c>
      <c r="AD149" s="92" t="s">
        <v>155</v>
      </c>
      <c r="AE149" s="92" t="s">
        <v>156</v>
      </c>
      <c r="AF149" s="92" t="s">
        <v>238</v>
      </c>
      <c r="AG149" s="92" t="s">
        <v>239</v>
      </c>
      <c r="AI149" s="92" t="s">
        <v>238</v>
      </c>
      <c r="AJ149" s="92" t="s">
        <v>239</v>
      </c>
      <c r="AK149" s="92" t="s">
        <v>159</v>
      </c>
      <c r="AL149" s="92" t="s">
        <v>240</v>
      </c>
      <c r="AM149" s="92" t="s">
        <v>161</v>
      </c>
      <c r="AP149" s="92" t="s">
        <v>688</v>
      </c>
      <c r="AQ149" s="92" t="s">
        <v>204</v>
      </c>
      <c r="AR149" s="92" t="s">
        <v>204</v>
      </c>
      <c r="AS149" s="92" t="s">
        <v>689</v>
      </c>
      <c r="AT149" s="101" t="n">
        <v>0</v>
      </c>
      <c r="AU149" s="101" t="n">
        <v>612508.5</v>
      </c>
      <c r="AX149" s="92" t="s">
        <v>165</v>
      </c>
    </row>
    <row r="150" customFormat="false" ht="13.8" hidden="false" customHeight="false" outlineLevel="0" collapsed="false">
      <c r="A150" s="92" t="s">
        <v>142</v>
      </c>
      <c r="B150" s="92" t="s">
        <v>143</v>
      </c>
      <c r="C150" s="92" t="n">
        <v>45237015</v>
      </c>
      <c r="D150" s="92" t="s">
        <v>690</v>
      </c>
      <c r="E150" s="92" t="s">
        <v>233</v>
      </c>
      <c r="F150" s="92" t="s">
        <v>212</v>
      </c>
      <c r="G150" s="92" t="s">
        <v>147</v>
      </c>
      <c r="H150" s="92" t="s">
        <v>200</v>
      </c>
      <c r="I150" s="92" t="s">
        <v>204</v>
      </c>
      <c r="J150" s="92" t="s">
        <v>204</v>
      </c>
      <c r="K150" s="101" t="n">
        <v>121506.46</v>
      </c>
      <c r="L150" s="101" t="n">
        <f aca="false">K150-Q150+T150</f>
        <v>121506.46</v>
      </c>
      <c r="M150" s="92" t="s">
        <v>149</v>
      </c>
      <c r="N150" s="101" t="n">
        <v>121506.46</v>
      </c>
      <c r="O150" s="92" t="s">
        <v>149</v>
      </c>
      <c r="P150" s="101" t="n">
        <v>0</v>
      </c>
      <c r="Q150" s="101" t="n">
        <v>0</v>
      </c>
      <c r="R150" s="101" t="n">
        <v>121506.46</v>
      </c>
      <c r="S150" s="101" t="n">
        <v>0</v>
      </c>
      <c r="T150" s="101" t="n">
        <v>0</v>
      </c>
      <c r="U150" s="92" t="s">
        <v>150</v>
      </c>
      <c r="V150" s="92" t="s">
        <v>151</v>
      </c>
      <c r="Y150" s="92" t="s">
        <v>691</v>
      </c>
      <c r="Z150" s="92" t="s">
        <v>692</v>
      </c>
      <c r="AD150" s="92" t="s">
        <v>155</v>
      </c>
      <c r="AE150" s="92" t="s">
        <v>156</v>
      </c>
      <c r="AF150" s="92" t="s">
        <v>238</v>
      </c>
      <c r="AG150" s="92" t="s">
        <v>239</v>
      </c>
      <c r="AI150" s="92" t="s">
        <v>238</v>
      </c>
      <c r="AJ150" s="92" t="s">
        <v>239</v>
      </c>
      <c r="AK150" s="92" t="s">
        <v>159</v>
      </c>
      <c r="AL150" s="92" t="s">
        <v>240</v>
      </c>
      <c r="AM150" s="92" t="s">
        <v>161</v>
      </c>
      <c r="AP150" s="92" t="s">
        <v>692</v>
      </c>
      <c r="AQ150" s="92" t="s">
        <v>204</v>
      </c>
      <c r="AR150" s="92" t="s">
        <v>204</v>
      </c>
      <c r="AS150" s="92" t="s">
        <v>693</v>
      </c>
      <c r="AT150" s="101" t="n">
        <v>0</v>
      </c>
      <c r="AU150" s="101" t="n">
        <v>121506.46</v>
      </c>
      <c r="AX150" s="92" t="s">
        <v>165</v>
      </c>
    </row>
    <row r="151" customFormat="false" ht="13.8" hidden="false" customHeight="false" outlineLevel="0" collapsed="false">
      <c r="A151" s="92" t="s">
        <v>142</v>
      </c>
      <c r="B151" s="92" t="s">
        <v>143</v>
      </c>
      <c r="C151" s="92" t="n">
        <v>45249471</v>
      </c>
      <c r="D151" s="92" t="s">
        <v>694</v>
      </c>
      <c r="E151" s="92" t="s">
        <v>233</v>
      </c>
      <c r="F151" s="92" t="s">
        <v>212</v>
      </c>
      <c r="G151" s="92" t="s">
        <v>147</v>
      </c>
      <c r="H151" s="92" t="s">
        <v>200</v>
      </c>
      <c r="I151" s="92" t="s">
        <v>695</v>
      </c>
      <c r="J151" s="92" t="s">
        <v>695</v>
      </c>
      <c r="K151" s="101" t="n">
        <v>423929.84</v>
      </c>
      <c r="L151" s="101" t="n">
        <f aca="false">K151-Q151+T151</f>
        <v>423929.84</v>
      </c>
      <c r="M151" s="92" t="s">
        <v>149</v>
      </c>
      <c r="N151" s="101" t="n">
        <v>423929.84</v>
      </c>
      <c r="O151" s="92" t="s">
        <v>149</v>
      </c>
      <c r="P151" s="101" t="n">
        <v>0</v>
      </c>
      <c r="Q151" s="101" t="n">
        <v>0</v>
      </c>
      <c r="R151" s="101" t="n">
        <v>423929.84</v>
      </c>
      <c r="S151" s="101" t="n">
        <v>0</v>
      </c>
      <c r="T151" s="101" t="n">
        <v>0</v>
      </c>
      <c r="U151" s="92" t="s">
        <v>150</v>
      </c>
      <c r="V151" s="92" t="s">
        <v>151</v>
      </c>
      <c r="Y151" s="92" t="s">
        <v>696</v>
      </c>
      <c r="Z151" s="92" t="s">
        <v>697</v>
      </c>
      <c r="AD151" s="92" t="s">
        <v>155</v>
      </c>
      <c r="AE151" s="92" t="s">
        <v>156</v>
      </c>
      <c r="AF151" s="92" t="s">
        <v>238</v>
      </c>
      <c r="AG151" s="92" t="s">
        <v>239</v>
      </c>
      <c r="AI151" s="92" t="s">
        <v>238</v>
      </c>
      <c r="AJ151" s="92" t="s">
        <v>239</v>
      </c>
      <c r="AK151" s="92" t="s">
        <v>159</v>
      </c>
      <c r="AL151" s="92" t="s">
        <v>240</v>
      </c>
      <c r="AM151" s="92" t="s">
        <v>161</v>
      </c>
      <c r="AP151" s="92" t="s">
        <v>697</v>
      </c>
      <c r="AQ151" s="92" t="s">
        <v>695</v>
      </c>
      <c r="AR151" s="92" t="s">
        <v>695</v>
      </c>
      <c r="AS151" s="92" t="s">
        <v>698</v>
      </c>
      <c r="AT151" s="101" t="n">
        <v>0</v>
      </c>
      <c r="AU151" s="101" t="n">
        <v>423929.84</v>
      </c>
      <c r="AX151" s="92" t="s">
        <v>165</v>
      </c>
    </row>
    <row r="152" customFormat="false" ht="13.8" hidden="false" customHeight="false" outlineLevel="0" collapsed="false">
      <c r="A152" s="92" t="s">
        <v>142</v>
      </c>
      <c r="B152" s="92" t="s">
        <v>143</v>
      </c>
      <c r="C152" s="92" t="n">
        <v>45253342</v>
      </c>
      <c r="D152" s="92" t="s">
        <v>699</v>
      </c>
      <c r="E152" s="92" t="s">
        <v>233</v>
      </c>
      <c r="F152" s="92" t="s">
        <v>212</v>
      </c>
      <c r="G152" s="92" t="s">
        <v>147</v>
      </c>
      <c r="H152" s="92" t="s">
        <v>213</v>
      </c>
      <c r="I152" s="92" t="s">
        <v>700</v>
      </c>
      <c r="J152" s="92" t="s">
        <v>700</v>
      </c>
      <c r="K152" s="101" t="n">
        <v>1639864.88</v>
      </c>
      <c r="L152" s="101" t="n">
        <f aca="false">K152-Q152+T152</f>
        <v>1639864.88</v>
      </c>
      <c r="M152" s="92" t="s">
        <v>149</v>
      </c>
      <c r="N152" s="101" t="n">
        <v>1639864.88</v>
      </c>
      <c r="O152" s="92" t="s">
        <v>149</v>
      </c>
      <c r="P152" s="101" t="n">
        <v>0</v>
      </c>
      <c r="Q152" s="101" t="n">
        <v>0</v>
      </c>
      <c r="R152" s="101" t="n">
        <v>1639864.88</v>
      </c>
      <c r="S152" s="101" t="n">
        <v>0</v>
      </c>
      <c r="T152" s="101" t="n">
        <v>0</v>
      </c>
      <c r="U152" s="92" t="s">
        <v>150</v>
      </c>
      <c r="V152" s="92" t="s">
        <v>151</v>
      </c>
      <c r="Y152" s="92" t="s">
        <v>701</v>
      </c>
      <c r="Z152" s="92" t="s">
        <v>702</v>
      </c>
      <c r="AD152" s="92" t="s">
        <v>155</v>
      </c>
      <c r="AE152" s="92" t="s">
        <v>156</v>
      </c>
      <c r="AF152" s="92" t="s">
        <v>238</v>
      </c>
      <c r="AG152" s="92" t="s">
        <v>239</v>
      </c>
      <c r="AI152" s="92" t="s">
        <v>238</v>
      </c>
      <c r="AJ152" s="92" t="s">
        <v>239</v>
      </c>
      <c r="AK152" s="92" t="s">
        <v>159</v>
      </c>
      <c r="AL152" s="92" t="s">
        <v>240</v>
      </c>
      <c r="AM152" s="92" t="s">
        <v>161</v>
      </c>
      <c r="AP152" s="92" t="s">
        <v>702</v>
      </c>
      <c r="AQ152" s="92" t="s">
        <v>700</v>
      </c>
      <c r="AR152" s="92" t="s">
        <v>700</v>
      </c>
      <c r="AS152" s="92" t="s">
        <v>703</v>
      </c>
      <c r="AT152" s="101" t="n">
        <v>0</v>
      </c>
      <c r="AU152" s="101" t="n">
        <v>1639864.88</v>
      </c>
      <c r="AX152" s="92" t="s">
        <v>220</v>
      </c>
    </row>
    <row r="153" customFormat="false" ht="13.8" hidden="false" customHeight="false" outlineLevel="0" collapsed="false">
      <c r="A153" s="92" t="s">
        <v>142</v>
      </c>
      <c r="B153" s="92" t="s">
        <v>143</v>
      </c>
      <c r="C153" s="92" t="n">
        <v>45253342</v>
      </c>
      <c r="D153" s="92" t="s">
        <v>699</v>
      </c>
      <c r="E153" s="92" t="s">
        <v>233</v>
      </c>
      <c r="F153" s="92" t="s">
        <v>212</v>
      </c>
      <c r="G153" s="92" t="s">
        <v>147</v>
      </c>
      <c r="H153" s="92" t="s">
        <v>213</v>
      </c>
      <c r="I153" s="92" t="s">
        <v>700</v>
      </c>
      <c r="J153" s="92" t="s">
        <v>700</v>
      </c>
      <c r="K153" s="101" t="n">
        <v>1237061.22</v>
      </c>
      <c r="L153" s="101" t="n">
        <f aca="false">K153-Q153+T153</f>
        <v>1237061.22</v>
      </c>
      <c r="M153" s="92" t="s">
        <v>149</v>
      </c>
      <c r="N153" s="101" t="n">
        <v>1237061.22</v>
      </c>
      <c r="O153" s="92" t="s">
        <v>149</v>
      </c>
      <c r="P153" s="101" t="n">
        <v>0</v>
      </c>
      <c r="Q153" s="101" t="n">
        <v>0</v>
      </c>
      <c r="R153" s="101" t="n">
        <v>1237061.22</v>
      </c>
      <c r="S153" s="101" t="n">
        <v>0</v>
      </c>
      <c r="T153" s="101" t="n">
        <v>0</v>
      </c>
      <c r="U153" s="92" t="s">
        <v>150</v>
      </c>
      <c r="V153" s="92" t="s">
        <v>151</v>
      </c>
      <c r="Y153" s="92" t="s">
        <v>701</v>
      </c>
      <c r="Z153" s="92" t="s">
        <v>702</v>
      </c>
      <c r="AD153" s="92" t="s">
        <v>155</v>
      </c>
      <c r="AE153" s="92" t="s">
        <v>156</v>
      </c>
      <c r="AF153" s="92" t="s">
        <v>238</v>
      </c>
      <c r="AG153" s="92" t="s">
        <v>239</v>
      </c>
      <c r="AI153" s="92" t="s">
        <v>238</v>
      </c>
      <c r="AJ153" s="92" t="s">
        <v>239</v>
      </c>
      <c r="AK153" s="92" t="s">
        <v>159</v>
      </c>
      <c r="AL153" s="92" t="s">
        <v>240</v>
      </c>
      <c r="AM153" s="92" t="s">
        <v>161</v>
      </c>
      <c r="AP153" s="92" t="s">
        <v>702</v>
      </c>
      <c r="AQ153" s="92" t="s">
        <v>700</v>
      </c>
      <c r="AR153" s="92" t="s">
        <v>700</v>
      </c>
      <c r="AS153" s="92" t="s">
        <v>703</v>
      </c>
      <c r="AT153" s="101" t="n">
        <v>0</v>
      </c>
      <c r="AU153" s="101" t="n">
        <v>1237061.22</v>
      </c>
      <c r="AX153" s="92" t="s">
        <v>165</v>
      </c>
    </row>
    <row r="154" customFormat="false" ht="13.8" hidden="false" customHeight="false" outlineLevel="0" collapsed="false">
      <c r="A154" s="92" t="s">
        <v>142</v>
      </c>
      <c r="B154" s="92" t="s">
        <v>143</v>
      </c>
      <c r="C154" s="92" t="n">
        <v>45259059</v>
      </c>
      <c r="D154" s="92" t="s">
        <v>704</v>
      </c>
      <c r="E154" s="92" t="s">
        <v>233</v>
      </c>
      <c r="F154" s="92" t="s">
        <v>167</v>
      </c>
      <c r="G154" s="92" t="s">
        <v>147</v>
      </c>
      <c r="H154" s="92" t="s">
        <v>213</v>
      </c>
      <c r="I154" s="92" t="s">
        <v>705</v>
      </c>
      <c r="J154" s="92" t="s">
        <v>705</v>
      </c>
      <c r="K154" s="101" t="n">
        <v>4979267.76</v>
      </c>
      <c r="L154" s="101" t="n">
        <f aca="false">K154-Q154+T154</f>
        <v>4979267.76</v>
      </c>
      <c r="M154" s="92" t="s">
        <v>149</v>
      </c>
      <c r="N154" s="101" t="n">
        <v>4979267.76</v>
      </c>
      <c r="O154" s="92" t="s">
        <v>149</v>
      </c>
      <c r="P154" s="101" t="n">
        <v>0</v>
      </c>
      <c r="Q154" s="101" t="n">
        <v>0</v>
      </c>
      <c r="R154" s="101" t="n">
        <v>4979267.76</v>
      </c>
      <c r="S154" s="101" t="n">
        <v>0</v>
      </c>
      <c r="T154" s="101" t="n">
        <v>0</v>
      </c>
      <c r="U154" s="92" t="s">
        <v>192</v>
      </c>
      <c r="V154" s="92" t="s">
        <v>151</v>
      </c>
      <c r="Y154" s="92" t="s">
        <v>706</v>
      </c>
      <c r="Z154" s="92" t="s">
        <v>707</v>
      </c>
      <c r="AD154" s="92" t="s">
        <v>155</v>
      </c>
      <c r="AE154" s="92" t="s">
        <v>156</v>
      </c>
      <c r="AF154" s="92" t="s">
        <v>238</v>
      </c>
      <c r="AG154" s="92" t="s">
        <v>239</v>
      </c>
      <c r="AI154" s="92" t="s">
        <v>238</v>
      </c>
      <c r="AJ154" s="92" t="s">
        <v>239</v>
      </c>
      <c r="AK154" s="92" t="s">
        <v>159</v>
      </c>
      <c r="AL154" s="92" t="s">
        <v>240</v>
      </c>
      <c r="AM154" s="92" t="s">
        <v>161</v>
      </c>
      <c r="AP154" s="92" t="s">
        <v>707</v>
      </c>
      <c r="AQ154" s="92" t="s">
        <v>705</v>
      </c>
      <c r="AR154" s="92" t="s">
        <v>705</v>
      </c>
      <c r="AS154" s="92" t="s">
        <v>708</v>
      </c>
      <c r="AT154" s="101" t="n">
        <v>0</v>
      </c>
      <c r="AU154" s="101" t="n">
        <v>4979267.76</v>
      </c>
      <c r="AX154" s="92" t="s">
        <v>165</v>
      </c>
    </row>
    <row r="155" customFormat="false" ht="13.8" hidden="false" customHeight="false" outlineLevel="0" collapsed="false">
      <c r="A155" s="92" t="s">
        <v>142</v>
      </c>
      <c r="B155" s="92" t="s">
        <v>143</v>
      </c>
      <c r="C155" s="92" t="n">
        <v>45259059</v>
      </c>
      <c r="D155" s="92" t="s">
        <v>704</v>
      </c>
      <c r="E155" s="92" t="s">
        <v>233</v>
      </c>
      <c r="F155" s="92" t="s">
        <v>167</v>
      </c>
      <c r="G155" s="92" t="s">
        <v>147</v>
      </c>
      <c r="H155" s="92" t="s">
        <v>213</v>
      </c>
      <c r="I155" s="92" t="s">
        <v>705</v>
      </c>
      <c r="J155" s="92" t="s">
        <v>705</v>
      </c>
      <c r="K155" s="101" t="n">
        <v>-1490846.75</v>
      </c>
      <c r="L155" s="101" t="n">
        <f aca="false">K155-Q155+T155</f>
        <v>-1490846.75</v>
      </c>
      <c r="M155" s="92" t="s">
        <v>149</v>
      </c>
      <c r="N155" s="101" t="n">
        <v>-1490846.75</v>
      </c>
      <c r="O155" s="92" t="s">
        <v>149</v>
      </c>
      <c r="P155" s="101" t="n">
        <v>0</v>
      </c>
      <c r="Q155" s="101" t="n">
        <v>0</v>
      </c>
      <c r="R155" s="101" t="n">
        <v>-1490846.75</v>
      </c>
      <c r="S155" s="101" t="n">
        <v>0</v>
      </c>
      <c r="T155" s="101" t="n">
        <v>0</v>
      </c>
      <c r="U155" s="92" t="s">
        <v>192</v>
      </c>
      <c r="V155" s="92" t="s">
        <v>151</v>
      </c>
      <c r="Y155" s="92" t="s">
        <v>706</v>
      </c>
      <c r="Z155" s="92" t="s">
        <v>707</v>
      </c>
      <c r="AD155" s="92" t="s">
        <v>155</v>
      </c>
      <c r="AE155" s="92" t="s">
        <v>156</v>
      </c>
      <c r="AF155" s="92" t="s">
        <v>192</v>
      </c>
      <c r="AG155" s="92" t="s">
        <v>151</v>
      </c>
      <c r="AI155" s="92" t="s">
        <v>155</v>
      </c>
      <c r="AJ155" s="92" t="s">
        <v>156</v>
      </c>
      <c r="AK155" s="92" t="s">
        <v>159</v>
      </c>
      <c r="AL155" s="92" t="s">
        <v>275</v>
      </c>
      <c r="AM155" s="92" t="s">
        <v>225</v>
      </c>
      <c r="AP155" s="92" t="s">
        <v>707</v>
      </c>
      <c r="AQ155" s="92" t="s">
        <v>705</v>
      </c>
      <c r="AR155" s="92" t="s">
        <v>705</v>
      </c>
      <c r="AS155" s="92" t="s">
        <v>708</v>
      </c>
      <c r="AT155" s="101" t="n">
        <v>0</v>
      </c>
      <c r="AU155" s="101" t="n">
        <v>-1490846.75</v>
      </c>
      <c r="AX155" s="92" t="s">
        <v>220</v>
      </c>
    </row>
    <row r="156" customFormat="false" ht="13.8" hidden="false" customHeight="false" outlineLevel="0" collapsed="false">
      <c r="A156" s="92" t="s">
        <v>142</v>
      </c>
      <c r="B156" s="92" t="s">
        <v>143</v>
      </c>
      <c r="C156" s="92" t="n">
        <v>45260059</v>
      </c>
      <c r="D156" s="92" t="s">
        <v>709</v>
      </c>
      <c r="E156" s="92" t="s">
        <v>233</v>
      </c>
      <c r="F156" s="92" t="s">
        <v>167</v>
      </c>
      <c r="G156" s="92" t="s">
        <v>147</v>
      </c>
      <c r="H156" s="92" t="s">
        <v>213</v>
      </c>
      <c r="I156" s="92" t="s">
        <v>710</v>
      </c>
      <c r="J156" s="92" t="s">
        <v>710</v>
      </c>
      <c r="K156" s="101" t="n">
        <v>93008.28</v>
      </c>
      <c r="L156" s="101" t="n">
        <f aca="false">K156-Q156+T156</f>
        <v>93008.28</v>
      </c>
      <c r="M156" s="92" t="s">
        <v>149</v>
      </c>
      <c r="N156" s="101" t="n">
        <v>93008.28</v>
      </c>
      <c r="O156" s="92" t="s">
        <v>149</v>
      </c>
      <c r="P156" s="101" t="n">
        <v>0</v>
      </c>
      <c r="Q156" s="101" t="n">
        <v>0</v>
      </c>
      <c r="R156" s="101" t="n">
        <v>93008.28</v>
      </c>
      <c r="S156" s="101" t="n">
        <v>0</v>
      </c>
      <c r="T156" s="101" t="n">
        <v>0</v>
      </c>
      <c r="U156" s="92" t="s">
        <v>192</v>
      </c>
      <c r="V156" s="92" t="s">
        <v>151</v>
      </c>
      <c r="Y156" s="92" t="s">
        <v>711</v>
      </c>
      <c r="Z156" s="92" t="s">
        <v>712</v>
      </c>
      <c r="AD156" s="92" t="s">
        <v>155</v>
      </c>
      <c r="AE156" s="92" t="s">
        <v>156</v>
      </c>
      <c r="AF156" s="92" t="s">
        <v>238</v>
      </c>
      <c r="AG156" s="92" t="s">
        <v>239</v>
      </c>
      <c r="AI156" s="92" t="s">
        <v>238</v>
      </c>
      <c r="AJ156" s="92" t="s">
        <v>239</v>
      </c>
      <c r="AK156" s="92" t="s">
        <v>159</v>
      </c>
      <c r="AL156" s="92" t="s">
        <v>240</v>
      </c>
      <c r="AM156" s="92" t="s">
        <v>161</v>
      </c>
      <c r="AP156" s="92" t="s">
        <v>712</v>
      </c>
      <c r="AQ156" s="92" t="s">
        <v>710</v>
      </c>
      <c r="AR156" s="92" t="s">
        <v>710</v>
      </c>
      <c r="AS156" s="92" t="s">
        <v>713</v>
      </c>
      <c r="AT156" s="101" t="n">
        <v>0</v>
      </c>
      <c r="AU156" s="101" t="n">
        <v>93008.28</v>
      </c>
      <c r="AX156" s="92" t="s">
        <v>220</v>
      </c>
    </row>
    <row r="157" customFormat="false" ht="13.8" hidden="false" customHeight="false" outlineLevel="0" collapsed="false">
      <c r="A157" s="92" t="s">
        <v>142</v>
      </c>
      <c r="B157" s="92" t="s">
        <v>143</v>
      </c>
      <c r="C157" s="92" t="n">
        <v>45260059</v>
      </c>
      <c r="D157" s="92" t="s">
        <v>709</v>
      </c>
      <c r="E157" s="92" t="s">
        <v>233</v>
      </c>
      <c r="F157" s="92" t="s">
        <v>167</v>
      </c>
      <c r="G157" s="92" t="s">
        <v>147</v>
      </c>
      <c r="H157" s="92" t="s">
        <v>213</v>
      </c>
      <c r="I157" s="92" t="s">
        <v>710</v>
      </c>
      <c r="J157" s="92" t="s">
        <v>710</v>
      </c>
      <c r="K157" s="101" t="n">
        <v>13444.32</v>
      </c>
      <c r="L157" s="101" t="n">
        <f aca="false">K157-Q157+T157</f>
        <v>13444.32</v>
      </c>
      <c r="M157" s="92" t="s">
        <v>149</v>
      </c>
      <c r="N157" s="101" t="n">
        <v>13444.32</v>
      </c>
      <c r="O157" s="92" t="s">
        <v>149</v>
      </c>
      <c r="P157" s="101" t="n">
        <v>0</v>
      </c>
      <c r="Q157" s="101" t="n">
        <v>0</v>
      </c>
      <c r="R157" s="101" t="n">
        <v>13444.32</v>
      </c>
      <c r="S157" s="101" t="n">
        <v>0</v>
      </c>
      <c r="T157" s="101" t="n">
        <v>0</v>
      </c>
      <c r="U157" s="92" t="s">
        <v>192</v>
      </c>
      <c r="V157" s="92" t="s">
        <v>151</v>
      </c>
      <c r="Y157" s="92" t="s">
        <v>711</v>
      </c>
      <c r="Z157" s="92" t="s">
        <v>712</v>
      </c>
      <c r="AD157" s="92" t="s">
        <v>155</v>
      </c>
      <c r="AE157" s="92" t="s">
        <v>156</v>
      </c>
      <c r="AF157" s="92" t="s">
        <v>238</v>
      </c>
      <c r="AG157" s="92" t="s">
        <v>239</v>
      </c>
      <c r="AI157" s="92" t="s">
        <v>238</v>
      </c>
      <c r="AJ157" s="92" t="s">
        <v>239</v>
      </c>
      <c r="AK157" s="92" t="s">
        <v>159</v>
      </c>
      <c r="AL157" s="92" t="s">
        <v>240</v>
      </c>
      <c r="AM157" s="92" t="s">
        <v>161</v>
      </c>
      <c r="AP157" s="92" t="s">
        <v>712</v>
      </c>
      <c r="AQ157" s="92" t="s">
        <v>710</v>
      </c>
      <c r="AR157" s="92" t="s">
        <v>710</v>
      </c>
      <c r="AS157" s="92" t="s">
        <v>713</v>
      </c>
      <c r="AT157" s="101" t="n">
        <v>0</v>
      </c>
      <c r="AU157" s="101" t="n">
        <v>13444.32</v>
      </c>
      <c r="AX157" s="92" t="s">
        <v>165</v>
      </c>
    </row>
    <row r="158" customFormat="false" ht="13.8" hidden="false" customHeight="false" outlineLevel="0" collapsed="false">
      <c r="A158" s="92" t="s">
        <v>142</v>
      </c>
      <c r="B158" s="92" t="s">
        <v>143</v>
      </c>
      <c r="C158" s="92" t="n">
        <v>45261798</v>
      </c>
      <c r="D158" s="92" t="s">
        <v>714</v>
      </c>
      <c r="E158" s="92" t="s">
        <v>233</v>
      </c>
      <c r="F158" s="92" t="s">
        <v>212</v>
      </c>
      <c r="G158" s="92" t="s">
        <v>147</v>
      </c>
      <c r="H158" s="92" t="s">
        <v>213</v>
      </c>
      <c r="I158" s="92" t="s">
        <v>715</v>
      </c>
      <c r="J158" s="92" t="s">
        <v>715</v>
      </c>
      <c r="K158" s="101" t="n">
        <v>23604.93</v>
      </c>
      <c r="L158" s="101" t="n">
        <f aca="false">K158-Q158+T158</f>
        <v>23604.93</v>
      </c>
      <c r="M158" s="92" t="s">
        <v>149</v>
      </c>
      <c r="N158" s="101" t="n">
        <v>23604.93</v>
      </c>
      <c r="O158" s="92" t="s">
        <v>149</v>
      </c>
      <c r="P158" s="101" t="n">
        <v>0</v>
      </c>
      <c r="Q158" s="101" t="n">
        <v>0</v>
      </c>
      <c r="R158" s="101" t="n">
        <v>23604.93</v>
      </c>
      <c r="S158" s="101" t="n">
        <v>0</v>
      </c>
      <c r="T158" s="101" t="n">
        <v>0</v>
      </c>
      <c r="U158" s="92" t="s">
        <v>150</v>
      </c>
      <c r="V158" s="92" t="s">
        <v>151</v>
      </c>
      <c r="Y158" s="92" t="s">
        <v>716</v>
      </c>
      <c r="Z158" s="92" t="s">
        <v>717</v>
      </c>
      <c r="AD158" s="92" t="s">
        <v>155</v>
      </c>
      <c r="AE158" s="92" t="s">
        <v>156</v>
      </c>
      <c r="AF158" s="92" t="s">
        <v>238</v>
      </c>
      <c r="AG158" s="92" t="s">
        <v>239</v>
      </c>
      <c r="AI158" s="92" t="s">
        <v>238</v>
      </c>
      <c r="AJ158" s="92" t="s">
        <v>239</v>
      </c>
      <c r="AK158" s="92" t="s">
        <v>159</v>
      </c>
      <c r="AL158" s="92" t="s">
        <v>240</v>
      </c>
      <c r="AM158" s="92" t="s">
        <v>161</v>
      </c>
      <c r="AP158" s="92" t="s">
        <v>717</v>
      </c>
      <c r="AQ158" s="92" t="s">
        <v>715</v>
      </c>
      <c r="AR158" s="92" t="s">
        <v>715</v>
      </c>
      <c r="AS158" s="92" t="s">
        <v>718</v>
      </c>
      <c r="AT158" s="101" t="n">
        <v>0</v>
      </c>
      <c r="AU158" s="101" t="n">
        <v>23604.93</v>
      </c>
      <c r="AX158" s="92" t="s">
        <v>165</v>
      </c>
    </row>
    <row r="159" customFormat="false" ht="13.8" hidden="false" customHeight="false" outlineLevel="0" collapsed="false">
      <c r="A159" s="92" t="s">
        <v>142</v>
      </c>
      <c r="B159" s="92" t="s">
        <v>143</v>
      </c>
      <c r="C159" s="92" t="n">
        <v>45261798</v>
      </c>
      <c r="D159" s="92" t="s">
        <v>714</v>
      </c>
      <c r="E159" s="92" t="s">
        <v>233</v>
      </c>
      <c r="F159" s="92" t="s">
        <v>167</v>
      </c>
      <c r="G159" s="92" t="s">
        <v>147</v>
      </c>
      <c r="H159" s="92" t="s">
        <v>213</v>
      </c>
      <c r="I159" s="92" t="s">
        <v>715</v>
      </c>
      <c r="J159" s="92" t="s">
        <v>715</v>
      </c>
      <c r="K159" s="101" t="n">
        <v>10140834.72</v>
      </c>
      <c r="L159" s="101" t="n">
        <f aca="false">K159-Q159+T159</f>
        <v>10140834.72</v>
      </c>
      <c r="M159" s="92" t="s">
        <v>149</v>
      </c>
      <c r="N159" s="101" t="n">
        <v>10140834.72</v>
      </c>
      <c r="O159" s="92" t="s">
        <v>149</v>
      </c>
      <c r="P159" s="101" t="n">
        <v>0</v>
      </c>
      <c r="Q159" s="101" t="n">
        <v>0</v>
      </c>
      <c r="R159" s="101" t="n">
        <v>10140834.72</v>
      </c>
      <c r="S159" s="101" t="n">
        <v>0</v>
      </c>
      <c r="T159" s="101" t="n">
        <v>0</v>
      </c>
      <c r="U159" s="92" t="s">
        <v>150</v>
      </c>
      <c r="V159" s="92" t="s">
        <v>151</v>
      </c>
      <c r="Y159" s="92" t="s">
        <v>716</v>
      </c>
      <c r="Z159" s="92" t="s">
        <v>717</v>
      </c>
      <c r="AD159" s="92" t="s">
        <v>155</v>
      </c>
      <c r="AE159" s="92" t="s">
        <v>156</v>
      </c>
      <c r="AF159" s="92" t="s">
        <v>238</v>
      </c>
      <c r="AG159" s="92" t="s">
        <v>239</v>
      </c>
      <c r="AI159" s="92" t="s">
        <v>238</v>
      </c>
      <c r="AJ159" s="92" t="s">
        <v>239</v>
      </c>
      <c r="AK159" s="92" t="s">
        <v>159</v>
      </c>
      <c r="AL159" s="92" t="s">
        <v>240</v>
      </c>
      <c r="AM159" s="92" t="s">
        <v>161</v>
      </c>
      <c r="AP159" s="92" t="s">
        <v>717</v>
      </c>
      <c r="AQ159" s="92" t="s">
        <v>715</v>
      </c>
      <c r="AR159" s="92" t="s">
        <v>715</v>
      </c>
      <c r="AS159" s="92" t="s">
        <v>718</v>
      </c>
      <c r="AT159" s="101" t="n">
        <v>0</v>
      </c>
      <c r="AU159" s="101" t="n">
        <v>10140834.72</v>
      </c>
      <c r="AX159" s="92" t="s">
        <v>220</v>
      </c>
    </row>
    <row r="160" customFormat="false" ht="13.8" hidden="false" customHeight="false" outlineLevel="0" collapsed="false">
      <c r="A160" s="92" t="s">
        <v>142</v>
      </c>
      <c r="B160" s="92" t="s">
        <v>143</v>
      </c>
      <c r="C160" s="92" t="n">
        <v>45262199</v>
      </c>
      <c r="D160" s="92" t="s">
        <v>719</v>
      </c>
      <c r="E160" s="92" t="s">
        <v>233</v>
      </c>
      <c r="F160" s="92" t="s">
        <v>167</v>
      </c>
      <c r="G160" s="92" t="s">
        <v>147</v>
      </c>
      <c r="H160" s="92" t="s">
        <v>213</v>
      </c>
      <c r="I160" s="92" t="s">
        <v>720</v>
      </c>
      <c r="J160" s="92" t="s">
        <v>720</v>
      </c>
      <c r="K160" s="101" t="n">
        <v>600451.7</v>
      </c>
      <c r="L160" s="101" t="n">
        <f aca="false">K160-Q160+T160</f>
        <v>600451.7</v>
      </c>
      <c r="M160" s="92" t="s">
        <v>149</v>
      </c>
      <c r="N160" s="101" t="n">
        <v>600451.7</v>
      </c>
      <c r="O160" s="92" t="s">
        <v>149</v>
      </c>
      <c r="P160" s="101" t="n">
        <v>0</v>
      </c>
      <c r="Q160" s="101" t="n">
        <v>0</v>
      </c>
      <c r="R160" s="101" t="n">
        <v>600451.7</v>
      </c>
      <c r="S160" s="101" t="n">
        <v>0</v>
      </c>
      <c r="T160" s="101" t="n">
        <v>0</v>
      </c>
      <c r="U160" s="92" t="s">
        <v>150</v>
      </c>
      <c r="V160" s="92" t="s">
        <v>151</v>
      </c>
      <c r="Y160" s="92" t="s">
        <v>721</v>
      </c>
      <c r="Z160" s="92" t="s">
        <v>722</v>
      </c>
      <c r="AD160" s="92" t="s">
        <v>155</v>
      </c>
      <c r="AE160" s="92" t="s">
        <v>156</v>
      </c>
      <c r="AF160" s="92" t="s">
        <v>238</v>
      </c>
      <c r="AG160" s="92" t="s">
        <v>239</v>
      </c>
      <c r="AI160" s="92" t="s">
        <v>238</v>
      </c>
      <c r="AJ160" s="92" t="s">
        <v>239</v>
      </c>
      <c r="AK160" s="92" t="s">
        <v>159</v>
      </c>
      <c r="AL160" s="92" t="s">
        <v>240</v>
      </c>
      <c r="AM160" s="92" t="s">
        <v>161</v>
      </c>
      <c r="AP160" s="92" t="s">
        <v>722</v>
      </c>
      <c r="AQ160" s="92" t="s">
        <v>720</v>
      </c>
      <c r="AR160" s="92" t="s">
        <v>720</v>
      </c>
      <c r="AS160" s="92" t="s">
        <v>723</v>
      </c>
      <c r="AT160" s="101" t="n">
        <v>0</v>
      </c>
      <c r="AU160" s="101" t="n">
        <v>600451.7</v>
      </c>
      <c r="AX160" s="92" t="s">
        <v>165</v>
      </c>
    </row>
    <row r="161" s="98" customFormat="true" ht="13.8" hidden="false" customHeight="false" outlineLevel="0" collapsed="false">
      <c r="A161" s="98" t="s">
        <v>142</v>
      </c>
      <c r="B161" s="98" t="s">
        <v>143</v>
      </c>
      <c r="C161" s="98" t="n">
        <v>51007775</v>
      </c>
      <c r="D161" s="98" t="s">
        <v>724</v>
      </c>
      <c r="E161" s="98" t="s">
        <v>725</v>
      </c>
      <c r="F161" s="98" t="s">
        <v>167</v>
      </c>
      <c r="G161" s="98" t="s">
        <v>147</v>
      </c>
      <c r="H161" s="98" t="s">
        <v>165</v>
      </c>
      <c r="I161" s="99" t="n">
        <v>43529</v>
      </c>
      <c r="J161" s="99" t="n">
        <v>43558</v>
      </c>
      <c r="K161" s="100" t="n">
        <v>-110831.38</v>
      </c>
      <c r="L161" s="100" t="n">
        <f aca="false">K161-Q161+T161</f>
        <v>-93924.9</v>
      </c>
      <c r="M161" s="98" t="s">
        <v>149</v>
      </c>
      <c r="N161" s="100" t="n">
        <v>-110831.38</v>
      </c>
      <c r="O161" s="98" t="s">
        <v>149</v>
      </c>
      <c r="P161" s="100" t="n">
        <v>-110831.38</v>
      </c>
      <c r="Q161" s="100" t="n">
        <v>-16906.48</v>
      </c>
      <c r="R161" s="100" t="n">
        <v>-93924.9</v>
      </c>
      <c r="S161" s="100" t="n">
        <v>0</v>
      </c>
      <c r="T161" s="100" t="n">
        <v>0</v>
      </c>
      <c r="U161" s="98" t="s">
        <v>192</v>
      </c>
      <c r="V161" s="98" t="s">
        <v>151</v>
      </c>
      <c r="Y161" s="98" t="s">
        <v>726</v>
      </c>
      <c r="Z161" s="98" t="s">
        <v>727</v>
      </c>
      <c r="AB161" s="98" t="s">
        <v>726</v>
      </c>
      <c r="AD161" s="98" t="s">
        <v>155</v>
      </c>
      <c r="AE161" s="98" t="s">
        <v>156</v>
      </c>
      <c r="AF161" s="98" t="s">
        <v>728</v>
      </c>
      <c r="AG161" s="98" t="s">
        <v>729</v>
      </c>
      <c r="AH161" s="98" t="s">
        <v>730</v>
      </c>
      <c r="AI161" s="98" t="s">
        <v>730</v>
      </c>
      <c r="AJ161" s="98" t="s">
        <v>731</v>
      </c>
      <c r="AK161" s="98" t="s">
        <v>159</v>
      </c>
      <c r="AL161" s="98" t="s">
        <v>224</v>
      </c>
      <c r="AM161" s="98" t="s">
        <v>225</v>
      </c>
      <c r="AP161" s="98" t="s">
        <v>285</v>
      </c>
      <c r="AQ161" s="98" t="s">
        <v>283</v>
      </c>
      <c r="AR161" s="98" t="s">
        <v>243</v>
      </c>
      <c r="AS161" s="98" t="s">
        <v>732</v>
      </c>
      <c r="AT161" s="100" t="n">
        <v>0</v>
      </c>
      <c r="AU161" s="100" t="n">
        <v>-110831.38</v>
      </c>
      <c r="AX161" s="98" t="s">
        <v>165</v>
      </c>
      <c r="AMH161" s="0"/>
      <c r="AMI161" s="0"/>
      <c r="AMJ161" s="0"/>
    </row>
    <row r="162" s="98" customFormat="true" ht="13.8" hidden="false" customHeight="false" outlineLevel="0" collapsed="false">
      <c r="A162" s="98" t="s">
        <v>142</v>
      </c>
      <c r="B162" s="98" t="s">
        <v>143</v>
      </c>
      <c r="C162" s="98" t="n">
        <v>51015501</v>
      </c>
      <c r="D162" s="98" t="s">
        <v>733</v>
      </c>
      <c r="E162" s="98" t="s">
        <v>725</v>
      </c>
      <c r="F162" s="98" t="s">
        <v>278</v>
      </c>
      <c r="G162" s="98" t="s">
        <v>147</v>
      </c>
      <c r="H162" s="98" t="s">
        <v>165</v>
      </c>
      <c r="I162" s="99" t="n">
        <v>43519</v>
      </c>
      <c r="J162" s="99" t="n">
        <v>43563</v>
      </c>
      <c r="K162" s="100" t="n">
        <v>-3510796.22</v>
      </c>
      <c r="L162" s="100" t="n">
        <f aca="false">K162-Q162+T162</f>
        <v>-2975250.93</v>
      </c>
      <c r="M162" s="98" t="s">
        <v>149</v>
      </c>
      <c r="N162" s="100" t="n">
        <v>-3510796.22</v>
      </c>
      <c r="O162" s="98" t="s">
        <v>149</v>
      </c>
      <c r="P162" s="100" t="n">
        <v>-3510796.22</v>
      </c>
      <c r="Q162" s="100" t="n">
        <v>-535545.29</v>
      </c>
      <c r="R162" s="100" t="n">
        <v>-2975250.93</v>
      </c>
      <c r="S162" s="100" t="n">
        <v>0</v>
      </c>
      <c r="T162" s="100" t="n">
        <v>0</v>
      </c>
      <c r="U162" s="98" t="s">
        <v>192</v>
      </c>
      <c r="V162" s="98" t="s">
        <v>151</v>
      </c>
      <c r="X162" s="98" t="s">
        <v>734</v>
      </c>
      <c r="Y162" s="98" t="s">
        <v>735</v>
      </c>
      <c r="Z162" s="98" t="s">
        <v>736</v>
      </c>
      <c r="AB162" s="98" t="s">
        <v>735</v>
      </c>
      <c r="AD162" s="98" t="s">
        <v>155</v>
      </c>
      <c r="AE162" s="98" t="s">
        <v>156</v>
      </c>
      <c r="AF162" s="98" t="s">
        <v>737</v>
      </c>
      <c r="AG162" s="98" t="s">
        <v>738</v>
      </c>
      <c r="AH162" s="98" t="s">
        <v>739</v>
      </c>
      <c r="AI162" s="98" t="s">
        <v>739</v>
      </c>
      <c r="AJ162" s="98" t="s">
        <v>740</v>
      </c>
      <c r="AK162" s="98" t="s">
        <v>159</v>
      </c>
      <c r="AL162" s="98" t="s">
        <v>224</v>
      </c>
      <c r="AM162" s="98" t="s">
        <v>225</v>
      </c>
      <c r="AP162" s="98" t="s">
        <v>280</v>
      </c>
      <c r="AQ162" s="98" t="s">
        <v>272</v>
      </c>
      <c r="AR162" s="98" t="s">
        <v>741</v>
      </c>
      <c r="AS162" s="98" t="s">
        <v>742</v>
      </c>
      <c r="AT162" s="100" t="n">
        <v>0</v>
      </c>
      <c r="AU162" s="100" t="n">
        <v>-3510796.22</v>
      </c>
      <c r="AX162" s="98" t="s">
        <v>165</v>
      </c>
      <c r="AMH162" s="0"/>
      <c r="AMI162" s="0"/>
      <c r="AMJ162" s="0"/>
    </row>
    <row r="163" s="98" customFormat="true" ht="13.8" hidden="false" customHeight="false" outlineLevel="0" collapsed="false">
      <c r="A163" s="98" t="s">
        <v>142</v>
      </c>
      <c r="B163" s="98" t="s">
        <v>143</v>
      </c>
      <c r="C163" s="98" t="n">
        <v>51017855</v>
      </c>
      <c r="D163" s="98" t="s">
        <v>743</v>
      </c>
      <c r="E163" s="98" t="s">
        <v>725</v>
      </c>
      <c r="F163" s="98" t="s">
        <v>167</v>
      </c>
      <c r="G163" s="98" t="s">
        <v>147</v>
      </c>
      <c r="H163" s="98" t="s">
        <v>165</v>
      </c>
      <c r="I163" s="99" t="n">
        <v>43551</v>
      </c>
      <c r="J163" s="99" t="n">
        <v>43564</v>
      </c>
      <c r="K163" s="100" t="n">
        <v>-425053.85</v>
      </c>
      <c r="L163" s="100" t="n">
        <f aca="false">K163-Q163+T163</f>
        <v>-366426.01</v>
      </c>
      <c r="M163" s="98" t="s">
        <v>149</v>
      </c>
      <c r="N163" s="100" t="n">
        <v>-425053.85</v>
      </c>
      <c r="O163" s="98" t="s">
        <v>149</v>
      </c>
      <c r="P163" s="100" t="n">
        <v>-432382.69</v>
      </c>
      <c r="Q163" s="100" t="n">
        <v>-65956.68</v>
      </c>
      <c r="R163" s="100" t="n">
        <v>-359097.17</v>
      </c>
      <c r="S163" s="100" t="n">
        <v>-366426.01</v>
      </c>
      <c r="T163" s="100" t="n">
        <v>-7328.84</v>
      </c>
      <c r="U163" s="98" t="s">
        <v>192</v>
      </c>
      <c r="V163" s="98" t="s">
        <v>151</v>
      </c>
      <c r="X163" s="98" t="s">
        <v>744</v>
      </c>
      <c r="Y163" s="98" t="s">
        <v>745</v>
      </c>
      <c r="Z163" s="98" t="s">
        <v>746</v>
      </c>
      <c r="AB163" s="98" t="s">
        <v>745</v>
      </c>
      <c r="AD163" s="98" t="s">
        <v>155</v>
      </c>
      <c r="AE163" s="98" t="s">
        <v>156</v>
      </c>
      <c r="AF163" s="98" t="s">
        <v>747</v>
      </c>
      <c r="AG163" s="98" t="s">
        <v>748</v>
      </c>
      <c r="AH163" s="98" t="s">
        <v>749</v>
      </c>
      <c r="AI163" s="98" t="s">
        <v>749</v>
      </c>
      <c r="AJ163" s="98" t="s">
        <v>750</v>
      </c>
      <c r="AK163" s="98" t="s">
        <v>159</v>
      </c>
      <c r="AL163" s="98" t="s">
        <v>224</v>
      </c>
      <c r="AM163" s="98" t="s">
        <v>225</v>
      </c>
      <c r="AP163" s="98" t="s">
        <v>316</v>
      </c>
      <c r="AQ163" s="98" t="s">
        <v>314</v>
      </c>
      <c r="AR163" s="98" t="s">
        <v>267</v>
      </c>
      <c r="AS163" s="98" t="s">
        <v>751</v>
      </c>
      <c r="AT163" s="100" t="n">
        <v>0</v>
      </c>
      <c r="AU163" s="100" t="n">
        <v>-425053.85</v>
      </c>
      <c r="AX163" s="98" t="s">
        <v>220</v>
      </c>
      <c r="AMH163" s="0"/>
      <c r="AMI163" s="0"/>
      <c r="AMJ163" s="0"/>
    </row>
    <row r="164" s="98" customFormat="true" ht="13.8" hidden="false" customHeight="false" outlineLevel="0" collapsed="false">
      <c r="A164" s="98" t="s">
        <v>142</v>
      </c>
      <c r="B164" s="98" t="s">
        <v>143</v>
      </c>
      <c r="C164" s="98" t="n">
        <v>51017855</v>
      </c>
      <c r="D164" s="98" t="s">
        <v>743</v>
      </c>
      <c r="E164" s="98" t="s">
        <v>725</v>
      </c>
      <c r="F164" s="98" t="s">
        <v>167</v>
      </c>
      <c r="G164" s="98" t="s">
        <v>147</v>
      </c>
      <c r="H164" s="98" t="s">
        <v>165</v>
      </c>
      <c r="I164" s="99" t="n">
        <v>43551</v>
      </c>
      <c r="J164" s="99" t="n">
        <v>43564</v>
      </c>
      <c r="K164" s="100" t="n">
        <v>-215527.83</v>
      </c>
      <c r="L164" s="100" t="n">
        <f aca="false">K164-Q164+T164</f>
        <v>-185799.99</v>
      </c>
      <c r="M164" s="98" t="s">
        <v>149</v>
      </c>
      <c r="N164" s="100" t="n">
        <v>-215527.83</v>
      </c>
      <c r="O164" s="98" t="s">
        <v>149</v>
      </c>
      <c r="P164" s="100" t="n">
        <v>-219243.99</v>
      </c>
      <c r="Q164" s="100" t="n">
        <v>-33444</v>
      </c>
      <c r="R164" s="100" t="n">
        <v>-182083.83</v>
      </c>
      <c r="S164" s="100" t="n">
        <v>-185799.99</v>
      </c>
      <c r="T164" s="100" t="n">
        <v>-3716.16</v>
      </c>
      <c r="U164" s="98" t="s">
        <v>192</v>
      </c>
      <c r="V164" s="98" t="s">
        <v>151</v>
      </c>
      <c r="X164" s="98" t="s">
        <v>744</v>
      </c>
      <c r="Y164" s="98" t="s">
        <v>745</v>
      </c>
      <c r="Z164" s="98" t="s">
        <v>746</v>
      </c>
      <c r="AB164" s="98" t="s">
        <v>745</v>
      </c>
      <c r="AD164" s="98" t="s">
        <v>155</v>
      </c>
      <c r="AE164" s="98" t="s">
        <v>156</v>
      </c>
      <c r="AF164" s="98" t="s">
        <v>747</v>
      </c>
      <c r="AG164" s="98" t="s">
        <v>748</v>
      </c>
      <c r="AH164" s="98" t="s">
        <v>749</v>
      </c>
      <c r="AI164" s="98" t="s">
        <v>749</v>
      </c>
      <c r="AJ164" s="98" t="s">
        <v>750</v>
      </c>
      <c r="AK164" s="98" t="s">
        <v>159</v>
      </c>
      <c r="AL164" s="98" t="s">
        <v>224</v>
      </c>
      <c r="AM164" s="98" t="s">
        <v>225</v>
      </c>
      <c r="AP164" s="98" t="s">
        <v>316</v>
      </c>
      <c r="AQ164" s="98" t="s">
        <v>314</v>
      </c>
      <c r="AR164" s="98" t="s">
        <v>267</v>
      </c>
      <c r="AS164" s="98" t="s">
        <v>751</v>
      </c>
      <c r="AT164" s="100" t="n">
        <v>0</v>
      </c>
      <c r="AU164" s="100" t="n">
        <v>-215527.83</v>
      </c>
      <c r="AX164" s="98" t="s">
        <v>165</v>
      </c>
      <c r="AMH164" s="0"/>
      <c r="AMI164" s="0"/>
      <c r="AMJ164" s="0"/>
    </row>
    <row r="165" s="98" customFormat="true" ht="13.8" hidden="false" customHeight="false" outlineLevel="0" collapsed="false">
      <c r="A165" s="98" t="s">
        <v>142</v>
      </c>
      <c r="B165" s="98" t="s">
        <v>143</v>
      </c>
      <c r="C165" s="98" t="n">
        <v>51017865</v>
      </c>
      <c r="D165" s="98" t="s">
        <v>752</v>
      </c>
      <c r="E165" s="98" t="s">
        <v>725</v>
      </c>
      <c r="F165" s="98" t="s">
        <v>167</v>
      </c>
      <c r="G165" s="98" t="s">
        <v>147</v>
      </c>
      <c r="H165" s="98" t="s">
        <v>165</v>
      </c>
      <c r="I165" s="99" t="n">
        <v>43551</v>
      </c>
      <c r="J165" s="99" t="n">
        <v>43564</v>
      </c>
      <c r="K165" s="100" t="n">
        <v>-208614.2</v>
      </c>
      <c r="L165" s="100" t="n">
        <f aca="false">K165-Q165+T165</f>
        <v>-179840</v>
      </c>
      <c r="M165" s="98" t="s">
        <v>149</v>
      </c>
      <c r="N165" s="100" t="n">
        <v>-208614.2</v>
      </c>
      <c r="O165" s="98" t="s">
        <v>149</v>
      </c>
      <c r="P165" s="100" t="n">
        <v>-212211.2</v>
      </c>
      <c r="Q165" s="100" t="n">
        <v>-32371.2</v>
      </c>
      <c r="R165" s="100" t="n">
        <v>-176243</v>
      </c>
      <c r="S165" s="100" t="n">
        <v>-179840</v>
      </c>
      <c r="T165" s="100" t="n">
        <v>-3597</v>
      </c>
      <c r="U165" s="98" t="s">
        <v>192</v>
      </c>
      <c r="V165" s="98" t="s">
        <v>151</v>
      </c>
      <c r="X165" s="98" t="s">
        <v>744</v>
      </c>
      <c r="Y165" s="98" t="s">
        <v>753</v>
      </c>
      <c r="Z165" s="98" t="s">
        <v>754</v>
      </c>
      <c r="AB165" s="98" t="s">
        <v>753</v>
      </c>
      <c r="AD165" s="98" t="s">
        <v>155</v>
      </c>
      <c r="AE165" s="98" t="s">
        <v>156</v>
      </c>
      <c r="AF165" s="98" t="s">
        <v>747</v>
      </c>
      <c r="AG165" s="98" t="s">
        <v>748</v>
      </c>
      <c r="AH165" s="98" t="s">
        <v>749</v>
      </c>
      <c r="AI165" s="98" t="s">
        <v>749</v>
      </c>
      <c r="AJ165" s="98" t="s">
        <v>750</v>
      </c>
      <c r="AK165" s="98" t="s">
        <v>159</v>
      </c>
      <c r="AL165" s="98" t="s">
        <v>224</v>
      </c>
      <c r="AM165" s="98" t="s">
        <v>225</v>
      </c>
      <c r="AP165" s="98" t="s">
        <v>316</v>
      </c>
      <c r="AQ165" s="98" t="s">
        <v>314</v>
      </c>
      <c r="AR165" s="98" t="s">
        <v>267</v>
      </c>
      <c r="AS165" s="98" t="s">
        <v>755</v>
      </c>
      <c r="AT165" s="100" t="n">
        <v>0</v>
      </c>
      <c r="AU165" s="100" t="n">
        <v>-208614.2</v>
      </c>
      <c r="AX165" s="98" t="s">
        <v>165</v>
      </c>
      <c r="AMH165" s="0"/>
      <c r="AMI165" s="0"/>
      <c r="AMJ165" s="0"/>
    </row>
    <row r="166" s="98" customFormat="true" ht="13.8" hidden="false" customHeight="false" outlineLevel="0" collapsed="false">
      <c r="A166" s="98" t="s">
        <v>142</v>
      </c>
      <c r="B166" s="98" t="s">
        <v>143</v>
      </c>
      <c r="C166" s="98" t="n">
        <v>51017868</v>
      </c>
      <c r="D166" s="98" t="s">
        <v>756</v>
      </c>
      <c r="E166" s="98" t="s">
        <v>725</v>
      </c>
      <c r="F166" s="98" t="s">
        <v>167</v>
      </c>
      <c r="G166" s="98" t="s">
        <v>147</v>
      </c>
      <c r="H166" s="98" t="s">
        <v>165</v>
      </c>
      <c r="I166" s="99" t="n">
        <v>43551</v>
      </c>
      <c r="J166" s="99" t="n">
        <v>43564</v>
      </c>
      <c r="K166" s="100" t="n">
        <v>-106070.26</v>
      </c>
      <c r="L166" s="100" t="n">
        <f aca="false">K166-Q166+T166</f>
        <v>-91440</v>
      </c>
      <c r="M166" s="98" t="s">
        <v>149</v>
      </c>
      <c r="N166" s="100" t="n">
        <v>-106070.26</v>
      </c>
      <c r="O166" s="98" t="s">
        <v>149</v>
      </c>
      <c r="P166" s="100" t="n">
        <v>-107899.2</v>
      </c>
      <c r="Q166" s="100" t="n">
        <v>-16459.2</v>
      </c>
      <c r="R166" s="100" t="n">
        <v>-89611.06</v>
      </c>
      <c r="S166" s="100" t="n">
        <v>-91440</v>
      </c>
      <c r="T166" s="100" t="n">
        <v>-1828.94</v>
      </c>
      <c r="U166" s="98" t="s">
        <v>192</v>
      </c>
      <c r="V166" s="98" t="s">
        <v>151</v>
      </c>
      <c r="X166" s="98" t="s">
        <v>744</v>
      </c>
      <c r="Y166" s="98" t="s">
        <v>757</v>
      </c>
      <c r="Z166" s="98" t="s">
        <v>758</v>
      </c>
      <c r="AB166" s="98" t="s">
        <v>757</v>
      </c>
      <c r="AD166" s="98" t="s">
        <v>155</v>
      </c>
      <c r="AE166" s="98" t="s">
        <v>156</v>
      </c>
      <c r="AF166" s="98" t="s">
        <v>747</v>
      </c>
      <c r="AG166" s="98" t="s">
        <v>748</v>
      </c>
      <c r="AH166" s="98" t="s">
        <v>749</v>
      </c>
      <c r="AI166" s="98" t="s">
        <v>749</v>
      </c>
      <c r="AJ166" s="98" t="s">
        <v>750</v>
      </c>
      <c r="AK166" s="98" t="s">
        <v>159</v>
      </c>
      <c r="AL166" s="98" t="s">
        <v>224</v>
      </c>
      <c r="AM166" s="98" t="s">
        <v>225</v>
      </c>
      <c r="AP166" s="98" t="s">
        <v>316</v>
      </c>
      <c r="AQ166" s="98" t="s">
        <v>314</v>
      </c>
      <c r="AR166" s="98" t="s">
        <v>267</v>
      </c>
      <c r="AS166" s="98" t="s">
        <v>759</v>
      </c>
      <c r="AT166" s="100" t="n">
        <v>0</v>
      </c>
      <c r="AU166" s="100" t="n">
        <v>-106070.26</v>
      </c>
      <c r="AX166" s="98" t="s">
        <v>148</v>
      </c>
      <c r="AMH166" s="0"/>
      <c r="AMI166" s="0"/>
      <c r="AMJ166" s="0"/>
    </row>
    <row r="167" s="98" customFormat="true" ht="13.8" hidden="false" customHeight="false" outlineLevel="0" collapsed="false">
      <c r="A167" s="98" t="s">
        <v>142</v>
      </c>
      <c r="B167" s="98" t="s">
        <v>143</v>
      </c>
      <c r="C167" s="98" t="n">
        <v>51017868</v>
      </c>
      <c r="D167" s="98" t="s">
        <v>756</v>
      </c>
      <c r="E167" s="98" t="s">
        <v>725</v>
      </c>
      <c r="F167" s="98" t="s">
        <v>167</v>
      </c>
      <c r="G167" s="98" t="s">
        <v>147</v>
      </c>
      <c r="H167" s="98" t="s">
        <v>165</v>
      </c>
      <c r="I167" s="99" t="n">
        <v>43551</v>
      </c>
      <c r="J167" s="99" t="n">
        <v>43564</v>
      </c>
      <c r="K167" s="100" t="n">
        <v>-129212.23</v>
      </c>
      <c r="L167" s="100" t="n">
        <f aca="false">K167-Q167+T167</f>
        <v>-111390</v>
      </c>
      <c r="M167" s="98" t="s">
        <v>149</v>
      </c>
      <c r="N167" s="100" t="n">
        <v>-129212.23</v>
      </c>
      <c r="O167" s="98" t="s">
        <v>149</v>
      </c>
      <c r="P167" s="100" t="n">
        <v>-131440.2</v>
      </c>
      <c r="Q167" s="100" t="n">
        <v>-20050.2</v>
      </c>
      <c r="R167" s="100" t="n">
        <v>-109162.03</v>
      </c>
      <c r="S167" s="100" t="n">
        <v>-111390</v>
      </c>
      <c r="T167" s="100" t="n">
        <v>-2227.97</v>
      </c>
      <c r="U167" s="98" t="s">
        <v>192</v>
      </c>
      <c r="V167" s="98" t="s">
        <v>151</v>
      </c>
      <c r="X167" s="98" t="s">
        <v>744</v>
      </c>
      <c r="Y167" s="98" t="s">
        <v>757</v>
      </c>
      <c r="Z167" s="98" t="s">
        <v>758</v>
      </c>
      <c r="AB167" s="98" t="s">
        <v>757</v>
      </c>
      <c r="AD167" s="98" t="s">
        <v>155</v>
      </c>
      <c r="AE167" s="98" t="s">
        <v>156</v>
      </c>
      <c r="AF167" s="98" t="s">
        <v>747</v>
      </c>
      <c r="AG167" s="98" t="s">
        <v>748</v>
      </c>
      <c r="AH167" s="98" t="s">
        <v>749</v>
      </c>
      <c r="AI167" s="98" t="s">
        <v>749</v>
      </c>
      <c r="AJ167" s="98" t="s">
        <v>750</v>
      </c>
      <c r="AK167" s="98" t="s">
        <v>159</v>
      </c>
      <c r="AL167" s="98" t="s">
        <v>224</v>
      </c>
      <c r="AM167" s="98" t="s">
        <v>225</v>
      </c>
      <c r="AP167" s="98" t="s">
        <v>316</v>
      </c>
      <c r="AQ167" s="98" t="s">
        <v>314</v>
      </c>
      <c r="AR167" s="98" t="s">
        <v>267</v>
      </c>
      <c r="AS167" s="98" t="s">
        <v>759</v>
      </c>
      <c r="AT167" s="100" t="n">
        <v>0</v>
      </c>
      <c r="AU167" s="100" t="n">
        <v>-129212.23</v>
      </c>
      <c r="AX167" s="98" t="s">
        <v>220</v>
      </c>
      <c r="AMH167" s="0"/>
      <c r="AMI167" s="0"/>
      <c r="AMJ167" s="0"/>
    </row>
    <row r="168" s="98" customFormat="true" ht="13.8" hidden="false" customHeight="false" outlineLevel="0" collapsed="false">
      <c r="A168" s="98" t="s">
        <v>142</v>
      </c>
      <c r="B168" s="98" t="s">
        <v>143</v>
      </c>
      <c r="C168" s="98" t="n">
        <v>51017868</v>
      </c>
      <c r="D168" s="98" t="s">
        <v>756</v>
      </c>
      <c r="E168" s="98" t="s">
        <v>725</v>
      </c>
      <c r="F168" s="98" t="s">
        <v>167</v>
      </c>
      <c r="G168" s="98" t="s">
        <v>147</v>
      </c>
      <c r="H168" s="98" t="s">
        <v>165</v>
      </c>
      <c r="I168" s="99" t="n">
        <v>43551</v>
      </c>
      <c r="J168" s="99" t="n">
        <v>43564</v>
      </c>
      <c r="K168" s="100" t="n">
        <v>-68903.91</v>
      </c>
      <c r="L168" s="100" t="n">
        <f aca="false">K168-Q168+T168</f>
        <v>-59400</v>
      </c>
      <c r="M168" s="98" t="s">
        <v>149</v>
      </c>
      <c r="N168" s="100" t="n">
        <v>-68903.91</v>
      </c>
      <c r="O168" s="98" t="s">
        <v>149</v>
      </c>
      <c r="P168" s="100" t="n">
        <v>-70092</v>
      </c>
      <c r="Q168" s="100" t="n">
        <v>-10692</v>
      </c>
      <c r="R168" s="100" t="n">
        <v>-58211.91</v>
      </c>
      <c r="S168" s="100" t="n">
        <v>-59400</v>
      </c>
      <c r="T168" s="100" t="n">
        <v>-1188.09</v>
      </c>
      <c r="U168" s="98" t="s">
        <v>192</v>
      </c>
      <c r="V168" s="98" t="s">
        <v>151</v>
      </c>
      <c r="X168" s="98" t="s">
        <v>744</v>
      </c>
      <c r="Y168" s="98" t="s">
        <v>757</v>
      </c>
      <c r="Z168" s="98" t="s">
        <v>758</v>
      </c>
      <c r="AB168" s="98" t="s">
        <v>757</v>
      </c>
      <c r="AD168" s="98" t="s">
        <v>155</v>
      </c>
      <c r="AE168" s="98" t="s">
        <v>156</v>
      </c>
      <c r="AF168" s="98" t="s">
        <v>747</v>
      </c>
      <c r="AG168" s="98" t="s">
        <v>748</v>
      </c>
      <c r="AH168" s="98" t="s">
        <v>749</v>
      </c>
      <c r="AI168" s="98" t="s">
        <v>749</v>
      </c>
      <c r="AJ168" s="98" t="s">
        <v>750</v>
      </c>
      <c r="AK168" s="98" t="s">
        <v>159</v>
      </c>
      <c r="AL168" s="98" t="s">
        <v>224</v>
      </c>
      <c r="AM168" s="98" t="s">
        <v>225</v>
      </c>
      <c r="AP168" s="98" t="s">
        <v>316</v>
      </c>
      <c r="AQ168" s="98" t="s">
        <v>314</v>
      </c>
      <c r="AR168" s="98" t="s">
        <v>267</v>
      </c>
      <c r="AS168" s="98" t="s">
        <v>759</v>
      </c>
      <c r="AT168" s="100" t="n">
        <v>0</v>
      </c>
      <c r="AU168" s="100" t="n">
        <v>-68903.91</v>
      </c>
      <c r="AX168" s="98" t="s">
        <v>165</v>
      </c>
      <c r="AMH168" s="0"/>
      <c r="AMI168" s="0"/>
      <c r="AMJ168" s="0"/>
    </row>
    <row r="169" s="98" customFormat="true" ht="13.8" hidden="false" customHeight="false" outlineLevel="0" collapsed="false">
      <c r="A169" s="98" t="s">
        <v>142</v>
      </c>
      <c r="B169" s="98" t="s">
        <v>143</v>
      </c>
      <c r="C169" s="98" t="n">
        <v>51017875</v>
      </c>
      <c r="D169" s="98" t="s">
        <v>760</v>
      </c>
      <c r="E169" s="98" t="s">
        <v>725</v>
      </c>
      <c r="F169" s="98" t="s">
        <v>167</v>
      </c>
      <c r="G169" s="98" t="s">
        <v>147</v>
      </c>
      <c r="H169" s="98" t="s">
        <v>165</v>
      </c>
      <c r="I169" s="99" t="n">
        <v>43551</v>
      </c>
      <c r="J169" s="99" t="n">
        <v>43564</v>
      </c>
      <c r="K169" s="100" t="n">
        <v>-414990</v>
      </c>
      <c r="L169" s="100" t="n">
        <f aca="false">K169-Q169+T169</f>
        <v>-357750</v>
      </c>
      <c r="M169" s="98" t="s">
        <v>149</v>
      </c>
      <c r="N169" s="100" t="n">
        <v>-414990</v>
      </c>
      <c r="O169" s="98" t="s">
        <v>149</v>
      </c>
      <c r="P169" s="100" t="n">
        <v>-422145</v>
      </c>
      <c r="Q169" s="100" t="n">
        <v>-64395</v>
      </c>
      <c r="R169" s="100" t="n">
        <v>-350595</v>
      </c>
      <c r="S169" s="100" t="n">
        <v>-357750</v>
      </c>
      <c r="T169" s="100" t="n">
        <v>-7155</v>
      </c>
      <c r="U169" s="98" t="s">
        <v>192</v>
      </c>
      <c r="V169" s="98" t="s">
        <v>151</v>
      </c>
      <c r="X169" s="98" t="s">
        <v>744</v>
      </c>
      <c r="Y169" s="98" t="s">
        <v>761</v>
      </c>
      <c r="Z169" s="98" t="s">
        <v>762</v>
      </c>
      <c r="AB169" s="98" t="s">
        <v>761</v>
      </c>
      <c r="AD169" s="98" t="s">
        <v>155</v>
      </c>
      <c r="AE169" s="98" t="s">
        <v>156</v>
      </c>
      <c r="AF169" s="98" t="s">
        <v>747</v>
      </c>
      <c r="AG169" s="98" t="s">
        <v>748</v>
      </c>
      <c r="AH169" s="98" t="s">
        <v>749</v>
      </c>
      <c r="AI169" s="98" t="s">
        <v>749</v>
      </c>
      <c r="AJ169" s="98" t="s">
        <v>750</v>
      </c>
      <c r="AK169" s="98" t="s">
        <v>159</v>
      </c>
      <c r="AL169" s="98" t="s">
        <v>224</v>
      </c>
      <c r="AM169" s="98" t="s">
        <v>225</v>
      </c>
      <c r="AP169" s="98" t="s">
        <v>316</v>
      </c>
      <c r="AQ169" s="98" t="s">
        <v>314</v>
      </c>
      <c r="AR169" s="98" t="s">
        <v>267</v>
      </c>
      <c r="AS169" s="98" t="s">
        <v>763</v>
      </c>
      <c r="AT169" s="100" t="n">
        <v>0</v>
      </c>
      <c r="AU169" s="100" t="n">
        <v>-414990</v>
      </c>
      <c r="AX169" s="98" t="s">
        <v>165</v>
      </c>
      <c r="AMH169" s="0"/>
      <c r="AMI169" s="0"/>
      <c r="AMJ169" s="0"/>
    </row>
    <row r="170" s="98" customFormat="true" ht="13.8" hidden="false" customHeight="false" outlineLevel="0" collapsed="false">
      <c r="A170" s="98" t="s">
        <v>142</v>
      </c>
      <c r="B170" s="98" t="s">
        <v>143</v>
      </c>
      <c r="C170" s="98" t="n">
        <v>51019236</v>
      </c>
      <c r="D170" s="98" t="s">
        <v>764</v>
      </c>
      <c r="E170" s="98" t="s">
        <v>725</v>
      </c>
      <c r="F170" s="98" t="s">
        <v>278</v>
      </c>
      <c r="G170" s="98" t="s">
        <v>147</v>
      </c>
      <c r="H170" s="98" t="s">
        <v>165</v>
      </c>
      <c r="I170" s="99" t="n">
        <v>43537</v>
      </c>
      <c r="J170" s="99" t="n">
        <v>43564</v>
      </c>
      <c r="K170" s="100" t="n">
        <v>-1844550.34</v>
      </c>
      <c r="L170" s="100" t="n">
        <f aca="false">K170-Q170+T170</f>
        <v>-1563178.35</v>
      </c>
      <c r="M170" s="98" t="s">
        <v>149</v>
      </c>
      <c r="N170" s="100" t="n">
        <v>-1844550.34</v>
      </c>
      <c r="O170" s="98" t="s">
        <v>149</v>
      </c>
      <c r="P170" s="100" t="n">
        <v>-1844550.34</v>
      </c>
      <c r="Q170" s="100" t="n">
        <v>-281371.99</v>
      </c>
      <c r="R170" s="100" t="n">
        <v>-1563178.35</v>
      </c>
      <c r="S170" s="100" t="n">
        <v>0</v>
      </c>
      <c r="T170" s="100" t="n">
        <v>0</v>
      </c>
      <c r="U170" s="98" t="s">
        <v>192</v>
      </c>
      <c r="V170" s="98" t="s">
        <v>151</v>
      </c>
      <c r="X170" s="98" t="s">
        <v>734</v>
      </c>
      <c r="Y170" s="98" t="s">
        <v>765</v>
      </c>
      <c r="Z170" s="98" t="s">
        <v>766</v>
      </c>
      <c r="AB170" s="98" t="s">
        <v>765</v>
      </c>
      <c r="AD170" s="98" t="s">
        <v>155</v>
      </c>
      <c r="AE170" s="98" t="s">
        <v>156</v>
      </c>
      <c r="AF170" s="98" t="s">
        <v>737</v>
      </c>
      <c r="AG170" s="98" t="s">
        <v>738</v>
      </c>
      <c r="AH170" s="98" t="s">
        <v>739</v>
      </c>
      <c r="AI170" s="98" t="s">
        <v>739</v>
      </c>
      <c r="AJ170" s="98" t="s">
        <v>740</v>
      </c>
      <c r="AK170" s="98" t="s">
        <v>159</v>
      </c>
      <c r="AL170" s="98" t="s">
        <v>224</v>
      </c>
      <c r="AM170" s="98" t="s">
        <v>225</v>
      </c>
      <c r="AP170" s="98" t="s">
        <v>289</v>
      </c>
      <c r="AQ170" s="98" t="s">
        <v>283</v>
      </c>
      <c r="AR170" s="98" t="s">
        <v>267</v>
      </c>
      <c r="AS170" s="98" t="s">
        <v>767</v>
      </c>
      <c r="AT170" s="100" t="n">
        <v>0</v>
      </c>
      <c r="AU170" s="100" t="n">
        <v>-1844550.34</v>
      </c>
      <c r="AX170" s="98" t="s">
        <v>165</v>
      </c>
      <c r="AMH170" s="0"/>
      <c r="AMI170" s="0"/>
      <c r="AMJ170" s="0"/>
    </row>
    <row r="171" s="98" customFormat="true" ht="13.8" hidden="false" customHeight="false" outlineLevel="0" collapsed="false">
      <c r="A171" s="98" t="s">
        <v>142</v>
      </c>
      <c r="B171" s="98" t="s">
        <v>143</v>
      </c>
      <c r="C171" s="98" t="n">
        <v>51019944</v>
      </c>
      <c r="D171" s="98" t="s">
        <v>768</v>
      </c>
      <c r="E171" s="98" t="s">
        <v>725</v>
      </c>
      <c r="F171" s="98" t="s">
        <v>167</v>
      </c>
      <c r="G171" s="98" t="s">
        <v>147</v>
      </c>
      <c r="H171" s="98" t="s">
        <v>165</v>
      </c>
      <c r="I171" s="99" t="n">
        <v>43492</v>
      </c>
      <c r="J171" s="99" t="n">
        <v>43565</v>
      </c>
      <c r="K171" s="100" t="n">
        <v>-309.75</v>
      </c>
      <c r="L171" s="100" t="n">
        <f aca="false">K171-Q171+T171</f>
        <v>-262.5</v>
      </c>
      <c r="M171" s="98" t="s">
        <v>149</v>
      </c>
      <c r="N171" s="100" t="n">
        <v>-309.75</v>
      </c>
      <c r="O171" s="98" t="s">
        <v>149</v>
      </c>
      <c r="P171" s="100" t="n">
        <v>-309.75</v>
      </c>
      <c r="Q171" s="100" t="n">
        <v>-47.25</v>
      </c>
      <c r="R171" s="100" t="n">
        <v>-262.5</v>
      </c>
      <c r="S171" s="100" t="n">
        <v>0</v>
      </c>
      <c r="T171" s="100" t="n">
        <v>0</v>
      </c>
      <c r="U171" s="98" t="s">
        <v>150</v>
      </c>
      <c r="V171" s="98" t="s">
        <v>151</v>
      </c>
      <c r="Y171" s="98" t="s">
        <v>769</v>
      </c>
      <c r="Z171" s="98" t="s">
        <v>770</v>
      </c>
      <c r="AB171" s="98" t="s">
        <v>769</v>
      </c>
      <c r="AD171" s="98" t="s">
        <v>155</v>
      </c>
      <c r="AE171" s="98" t="s">
        <v>156</v>
      </c>
      <c r="AF171" s="98" t="s">
        <v>728</v>
      </c>
      <c r="AG171" s="98" t="s">
        <v>729</v>
      </c>
      <c r="AH171" s="98" t="s">
        <v>730</v>
      </c>
      <c r="AI171" s="98" t="s">
        <v>730</v>
      </c>
      <c r="AJ171" s="98" t="s">
        <v>731</v>
      </c>
      <c r="AK171" s="98" t="s">
        <v>159</v>
      </c>
      <c r="AL171" s="98" t="s">
        <v>224</v>
      </c>
      <c r="AM171" s="98" t="s">
        <v>225</v>
      </c>
      <c r="AP171" s="98" t="s">
        <v>294</v>
      </c>
      <c r="AQ171" s="98" t="s">
        <v>292</v>
      </c>
      <c r="AR171" s="98" t="s">
        <v>771</v>
      </c>
      <c r="AS171" s="98" t="s">
        <v>772</v>
      </c>
      <c r="AT171" s="100" t="n">
        <v>0</v>
      </c>
      <c r="AU171" s="100" t="n">
        <v>-309.75</v>
      </c>
      <c r="AX171" s="98" t="s">
        <v>165</v>
      </c>
      <c r="AMH171" s="0"/>
      <c r="AMI171" s="0"/>
      <c r="AMJ171" s="0"/>
    </row>
    <row r="172" s="98" customFormat="true" ht="13.8" hidden="false" customHeight="false" outlineLevel="0" collapsed="false">
      <c r="A172" s="98" t="s">
        <v>142</v>
      </c>
      <c r="B172" s="98" t="s">
        <v>143</v>
      </c>
      <c r="C172" s="98" t="n">
        <v>51019945</v>
      </c>
      <c r="D172" s="98" t="s">
        <v>773</v>
      </c>
      <c r="E172" s="98" t="s">
        <v>725</v>
      </c>
      <c r="F172" s="98" t="s">
        <v>167</v>
      </c>
      <c r="G172" s="98" t="s">
        <v>147</v>
      </c>
      <c r="H172" s="98" t="s">
        <v>165</v>
      </c>
      <c r="I172" s="99" t="n">
        <v>43492</v>
      </c>
      <c r="J172" s="99" t="n">
        <v>43565</v>
      </c>
      <c r="K172" s="100" t="n">
        <v>-10752.75</v>
      </c>
      <c r="L172" s="100" t="n">
        <f aca="false">K172-Q172+T172</f>
        <v>-9112.5</v>
      </c>
      <c r="M172" s="98" t="s">
        <v>149</v>
      </c>
      <c r="N172" s="100" t="n">
        <v>-10752.75</v>
      </c>
      <c r="O172" s="98" t="s">
        <v>149</v>
      </c>
      <c r="P172" s="100" t="n">
        <v>-10752.75</v>
      </c>
      <c r="Q172" s="100" t="n">
        <v>-1640.25</v>
      </c>
      <c r="R172" s="100" t="n">
        <v>-9112.5</v>
      </c>
      <c r="S172" s="100" t="n">
        <v>0</v>
      </c>
      <c r="T172" s="100" t="n">
        <v>0</v>
      </c>
      <c r="U172" s="98" t="s">
        <v>150</v>
      </c>
      <c r="V172" s="98" t="s">
        <v>151</v>
      </c>
      <c r="Y172" s="98" t="s">
        <v>769</v>
      </c>
      <c r="Z172" s="98" t="s">
        <v>774</v>
      </c>
      <c r="AB172" s="98" t="s">
        <v>769</v>
      </c>
      <c r="AD172" s="98" t="s">
        <v>155</v>
      </c>
      <c r="AE172" s="98" t="s">
        <v>156</v>
      </c>
      <c r="AF172" s="98" t="s">
        <v>728</v>
      </c>
      <c r="AG172" s="98" t="s">
        <v>729</v>
      </c>
      <c r="AH172" s="98" t="s">
        <v>730</v>
      </c>
      <c r="AI172" s="98" t="s">
        <v>730</v>
      </c>
      <c r="AJ172" s="98" t="s">
        <v>731</v>
      </c>
      <c r="AK172" s="98" t="s">
        <v>159</v>
      </c>
      <c r="AL172" s="98" t="s">
        <v>224</v>
      </c>
      <c r="AM172" s="98" t="s">
        <v>225</v>
      </c>
      <c r="AP172" s="98" t="s">
        <v>294</v>
      </c>
      <c r="AQ172" s="98" t="s">
        <v>292</v>
      </c>
      <c r="AR172" s="98" t="s">
        <v>771</v>
      </c>
      <c r="AS172" s="98" t="s">
        <v>775</v>
      </c>
      <c r="AT172" s="100" t="n">
        <v>0</v>
      </c>
      <c r="AU172" s="100" t="n">
        <v>-10752.75</v>
      </c>
      <c r="AX172" s="98" t="s">
        <v>165</v>
      </c>
      <c r="AMH172" s="0"/>
      <c r="AMI172" s="0"/>
      <c r="AMJ172" s="0"/>
    </row>
    <row r="173" s="98" customFormat="true" ht="13.8" hidden="false" customHeight="false" outlineLevel="0" collapsed="false">
      <c r="A173" s="98" t="s">
        <v>142</v>
      </c>
      <c r="B173" s="98" t="s">
        <v>143</v>
      </c>
      <c r="C173" s="98" t="n">
        <v>51019946</v>
      </c>
      <c r="D173" s="98" t="s">
        <v>776</v>
      </c>
      <c r="E173" s="98" t="s">
        <v>725</v>
      </c>
      <c r="F173" s="98" t="s">
        <v>167</v>
      </c>
      <c r="G173" s="98" t="s">
        <v>147</v>
      </c>
      <c r="H173" s="98" t="s">
        <v>165</v>
      </c>
      <c r="I173" s="99" t="n">
        <v>43492</v>
      </c>
      <c r="J173" s="99" t="n">
        <v>43565</v>
      </c>
      <c r="K173" s="100" t="n">
        <v>-1618.96</v>
      </c>
      <c r="L173" s="100" t="n">
        <f aca="false">K173-Q173+T173</f>
        <v>-1372</v>
      </c>
      <c r="M173" s="98" t="s">
        <v>149</v>
      </c>
      <c r="N173" s="100" t="n">
        <v>-1618.96</v>
      </c>
      <c r="O173" s="98" t="s">
        <v>149</v>
      </c>
      <c r="P173" s="100" t="n">
        <v>-1618.96</v>
      </c>
      <c r="Q173" s="100" t="n">
        <v>-246.96</v>
      </c>
      <c r="R173" s="100" t="n">
        <v>-1372</v>
      </c>
      <c r="S173" s="100" t="n">
        <v>0</v>
      </c>
      <c r="T173" s="100" t="n">
        <v>0</v>
      </c>
      <c r="U173" s="98" t="s">
        <v>150</v>
      </c>
      <c r="V173" s="98" t="s">
        <v>151</v>
      </c>
      <c r="Y173" s="98" t="s">
        <v>769</v>
      </c>
      <c r="Z173" s="98" t="s">
        <v>777</v>
      </c>
      <c r="AB173" s="98" t="s">
        <v>769</v>
      </c>
      <c r="AD173" s="98" t="s">
        <v>155</v>
      </c>
      <c r="AE173" s="98" t="s">
        <v>156</v>
      </c>
      <c r="AF173" s="98" t="s">
        <v>728</v>
      </c>
      <c r="AG173" s="98" t="s">
        <v>729</v>
      </c>
      <c r="AH173" s="98" t="s">
        <v>730</v>
      </c>
      <c r="AI173" s="98" t="s">
        <v>730</v>
      </c>
      <c r="AJ173" s="98" t="s">
        <v>731</v>
      </c>
      <c r="AK173" s="98" t="s">
        <v>159</v>
      </c>
      <c r="AL173" s="98" t="s">
        <v>224</v>
      </c>
      <c r="AM173" s="98" t="s">
        <v>225</v>
      </c>
      <c r="AP173" s="98" t="s">
        <v>294</v>
      </c>
      <c r="AQ173" s="98" t="s">
        <v>292</v>
      </c>
      <c r="AR173" s="98" t="s">
        <v>771</v>
      </c>
      <c r="AS173" s="98" t="s">
        <v>778</v>
      </c>
      <c r="AT173" s="100" t="n">
        <v>0</v>
      </c>
      <c r="AU173" s="100" t="n">
        <v>-1618.96</v>
      </c>
      <c r="AX173" s="98" t="s">
        <v>165</v>
      </c>
      <c r="AMH173" s="0"/>
      <c r="AMI173" s="0"/>
      <c r="AMJ173" s="0"/>
    </row>
    <row r="174" s="98" customFormat="true" ht="13.8" hidden="false" customHeight="false" outlineLevel="0" collapsed="false">
      <c r="A174" s="98" t="s">
        <v>142</v>
      </c>
      <c r="B174" s="98" t="s">
        <v>143</v>
      </c>
      <c r="C174" s="98" t="n">
        <v>51019947</v>
      </c>
      <c r="D174" s="98" t="s">
        <v>779</v>
      </c>
      <c r="E174" s="98" t="s">
        <v>725</v>
      </c>
      <c r="F174" s="98" t="s">
        <v>167</v>
      </c>
      <c r="G174" s="98" t="s">
        <v>147</v>
      </c>
      <c r="H174" s="98" t="s">
        <v>165</v>
      </c>
      <c r="I174" s="99" t="n">
        <v>43492</v>
      </c>
      <c r="J174" s="99" t="n">
        <v>43565</v>
      </c>
      <c r="K174" s="100" t="n">
        <v>-5286.4</v>
      </c>
      <c r="L174" s="100" t="n">
        <f aca="false">K174-Q174+T174</f>
        <v>-4480</v>
      </c>
      <c r="M174" s="98" t="s">
        <v>149</v>
      </c>
      <c r="N174" s="100" t="n">
        <v>-5286.4</v>
      </c>
      <c r="O174" s="98" t="s">
        <v>149</v>
      </c>
      <c r="P174" s="100" t="n">
        <v>-5286.4</v>
      </c>
      <c r="Q174" s="100" t="n">
        <v>-806.4</v>
      </c>
      <c r="R174" s="100" t="n">
        <v>-4480</v>
      </c>
      <c r="S174" s="100" t="n">
        <v>0</v>
      </c>
      <c r="T174" s="100" t="n">
        <v>0</v>
      </c>
      <c r="U174" s="98" t="s">
        <v>150</v>
      </c>
      <c r="V174" s="98" t="s">
        <v>151</v>
      </c>
      <c r="Y174" s="98" t="s">
        <v>769</v>
      </c>
      <c r="Z174" s="98" t="s">
        <v>780</v>
      </c>
      <c r="AB174" s="98" t="s">
        <v>769</v>
      </c>
      <c r="AD174" s="98" t="s">
        <v>155</v>
      </c>
      <c r="AE174" s="98" t="s">
        <v>156</v>
      </c>
      <c r="AF174" s="98" t="s">
        <v>728</v>
      </c>
      <c r="AG174" s="98" t="s">
        <v>729</v>
      </c>
      <c r="AH174" s="98" t="s">
        <v>730</v>
      </c>
      <c r="AI174" s="98" t="s">
        <v>730</v>
      </c>
      <c r="AJ174" s="98" t="s">
        <v>731</v>
      </c>
      <c r="AK174" s="98" t="s">
        <v>159</v>
      </c>
      <c r="AL174" s="98" t="s">
        <v>224</v>
      </c>
      <c r="AM174" s="98" t="s">
        <v>225</v>
      </c>
      <c r="AP174" s="98" t="s">
        <v>294</v>
      </c>
      <c r="AQ174" s="98" t="s">
        <v>292</v>
      </c>
      <c r="AR174" s="98" t="s">
        <v>771</v>
      </c>
      <c r="AS174" s="98" t="s">
        <v>781</v>
      </c>
      <c r="AT174" s="100" t="n">
        <v>0</v>
      </c>
      <c r="AU174" s="100" t="n">
        <v>-5286.4</v>
      </c>
      <c r="AX174" s="98" t="s">
        <v>165</v>
      </c>
      <c r="AMH174" s="0"/>
      <c r="AMI174" s="0"/>
      <c r="AMJ174" s="0"/>
    </row>
    <row r="175" s="98" customFormat="true" ht="13.8" hidden="false" customHeight="false" outlineLevel="0" collapsed="false">
      <c r="A175" s="98" t="s">
        <v>142</v>
      </c>
      <c r="B175" s="98" t="s">
        <v>143</v>
      </c>
      <c r="C175" s="98" t="n">
        <v>51035916</v>
      </c>
      <c r="D175" s="98" t="s">
        <v>782</v>
      </c>
      <c r="E175" s="98" t="s">
        <v>725</v>
      </c>
      <c r="F175" s="98" t="s">
        <v>167</v>
      </c>
      <c r="G175" s="98" t="s">
        <v>147</v>
      </c>
      <c r="H175" s="98" t="s">
        <v>165</v>
      </c>
      <c r="I175" s="99" t="n">
        <v>43551</v>
      </c>
      <c r="J175" s="99" t="n">
        <v>43572</v>
      </c>
      <c r="K175" s="100" t="n">
        <v>-165299.87</v>
      </c>
      <c r="L175" s="100" t="n">
        <f aca="false">K175-Q175+T175</f>
        <v>-142500</v>
      </c>
      <c r="M175" s="98" t="s">
        <v>149</v>
      </c>
      <c r="N175" s="100" t="n">
        <v>-165299.87</v>
      </c>
      <c r="O175" s="98" t="s">
        <v>149</v>
      </c>
      <c r="P175" s="100" t="n">
        <v>-168150</v>
      </c>
      <c r="Q175" s="100" t="n">
        <v>-25650</v>
      </c>
      <c r="R175" s="100" t="n">
        <v>-139649.87</v>
      </c>
      <c r="S175" s="100" t="n">
        <v>-142500</v>
      </c>
      <c r="T175" s="100" t="n">
        <v>-2850.13</v>
      </c>
      <c r="U175" s="98" t="s">
        <v>192</v>
      </c>
      <c r="V175" s="98" t="s">
        <v>151</v>
      </c>
      <c r="X175" s="98" t="s">
        <v>783</v>
      </c>
      <c r="Y175" s="98" t="s">
        <v>784</v>
      </c>
      <c r="Z175" s="98" t="s">
        <v>785</v>
      </c>
      <c r="AB175" s="98" t="s">
        <v>784</v>
      </c>
      <c r="AD175" s="98" t="s">
        <v>155</v>
      </c>
      <c r="AE175" s="98" t="s">
        <v>156</v>
      </c>
      <c r="AF175" s="98" t="s">
        <v>747</v>
      </c>
      <c r="AG175" s="98" t="s">
        <v>748</v>
      </c>
      <c r="AH175" s="98" t="s">
        <v>786</v>
      </c>
      <c r="AI175" s="98" t="s">
        <v>786</v>
      </c>
      <c r="AJ175" s="98" t="s">
        <v>787</v>
      </c>
      <c r="AK175" s="98" t="s">
        <v>159</v>
      </c>
      <c r="AL175" s="98" t="s">
        <v>224</v>
      </c>
      <c r="AM175" s="98" t="s">
        <v>225</v>
      </c>
      <c r="AP175" s="98" t="s">
        <v>326</v>
      </c>
      <c r="AQ175" s="98" t="s">
        <v>324</v>
      </c>
      <c r="AR175" s="98" t="s">
        <v>292</v>
      </c>
      <c r="AS175" s="98" t="s">
        <v>788</v>
      </c>
      <c r="AT175" s="100" t="n">
        <v>0</v>
      </c>
      <c r="AU175" s="100" t="n">
        <v>-165299.87</v>
      </c>
      <c r="AX175" s="98" t="s">
        <v>220</v>
      </c>
      <c r="AMH175" s="0"/>
      <c r="AMI175" s="0"/>
      <c r="AMJ175" s="0"/>
    </row>
    <row r="176" s="98" customFormat="true" ht="13.8" hidden="false" customHeight="false" outlineLevel="0" collapsed="false">
      <c r="A176" s="98" t="s">
        <v>142</v>
      </c>
      <c r="B176" s="98" t="s">
        <v>143</v>
      </c>
      <c r="C176" s="98" t="n">
        <v>51035916</v>
      </c>
      <c r="D176" s="98" t="s">
        <v>782</v>
      </c>
      <c r="E176" s="98" t="s">
        <v>725</v>
      </c>
      <c r="F176" s="98" t="s">
        <v>167</v>
      </c>
      <c r="G176" s="98" t="s">
        <v>147</v>
      </c>
      <c r="H176" s="98" t="s">
        <v>165</v>
      </c>
      <c r="I176" s="99" t="n">
        <v>43551</v>
      </c>
      <c r="J176" s="99" t="n">
        <v>43572</v>
      </c>
      <c r="K176" s="100" t="n">
        <v>-214989.02</v>
      </c>
      <c r="L176" s="100" t="n">
        <f aca="false">K176-Q176+T176</f>
        <v>-185335.5</v>
      </c>
      <c r="M176" s="98" t="s">
        <v>149</v>
      </c>
      <c r="N176" s="100" t="n">
        <v>-214989.02</v>
      </c>
      <c r="O176" s="98" t="s">
        <v>149</v>
      </c>
      <c r="P176" s="100" t="n">
        <v>-218695.89</v>
      </c>
      <c r="Q176" s="100" t="n">
        <v>-33360.39</v>
      </c>
      <c r="R176" s="100" t="n">
        <v>-181628.63</v>
      </c>
      <c r="S176" s="100" t="n">
        <v>-185335.5</v>
      </c>
      <c r="T176" s="100" t="n">
        <v>-3706.87</v>
      </c>
      <c r="U176" s="98" t="s">
        <v>192</v>
      </c>
      <c r="V176" s="98" t="s">
        <v>151</v>
      </c>
      <c r="X176" s="98" t="s">
        <v>783</v>
      </c>
      <c r="Y176" s="98" t="s">
        <v>784</v>
      </c>
      <c r="Z176" s="98" t="s">
        <v>785</v>
      </c>
      <c r="AB176" s="98" t="s">
        <v>784</v>
      </c>
      <c r="AD176" s="98" t="s">
        <v>155</v>
      </c>
      <c r="AE176" s="98" t="s">
        <v>156</v>
      </c>
      <c r="AF176" s="98" t="s">
        <v>747</v>
      </c>
      <c r="AG176" s="98" t="s">
        <v>748</v>
      </c>
      <c r="AH176" s="98" t="s">
        <v>786</v>
      </c>
      <c r="AI176" s="98" t="s">
        <v>786</v>
      </c>
      <c r="AJ176" s="98" t="s">
        <v>787</v>
      </c>
      <c r="AK176" s="98" t="s">
        <v>159</v>
      </c>
      <c r="AL176" s="98" t="s">
        <v>224</v>
      </c>
      <c r="AM176" s="98" t="s">
        <v>225</v>
      </c>
      <c r="AP176" s="98" t="s">
        <v>326</v>
      </c>
      <c r="AQ176" s="98" t="s">
        <v>324</v>
      </c>
      <c r="AR176" s="98" t="s">
        <v>292</v>
      </c>
      <c r="AS176" s="98" t="s">
        <v>788</v>
      </c>
      <c r="AT176" s="100" t="n">
        <v>0</v>
      </c>
      <c r="AU176" s="100" t="n">
        <v>-214989.02</v>
      </c>
      <c r="AX176" s="98" t="s">
        <v>165</v>
      </c>
      <c r="AMH176" s="0"/>
      <c r="AMI176" s="0"/>
      <c r="AMJ176" s="0"/>
    </row>
    <row r="177" s="98" customFormat="true" ht="13.8" hidden="false" customHeight="false" outlineLevel="0" collapsed="false">
      <c r="A177" s="98" t="s">
        <v>142</v>
      </c>
      <c r="B177" s="98" t="s">
        <v>143</v>
      </c>
      <c r="C177" s="98" t="n">
        <v>51038398</v>
      </c>
      <c r="D177" s="98" t="s">
        <v>789</v>
      </c>
      <c r="E177" s="98" t="s">
        <v>725</v>
      </c>
      <c r="F177" s="98" t="s">
        <v>297</v>
      </c>
      <c r="G177" s="98" t="s">
        <v>147</v>
      </c>
      <c r="H177" s="98" t="s">
        <v>165</v>
      </c>
      <c r="I177" s="99" t="n">
        <v>43543</v>
      </c>
      <c r="J177" s="99" t="n">
        <v>43573</v>
      </c>
      <c r="K177" s="100" t="n">
        <v>-1164518</v>
      </c>
      <c r="L177" s="100" t="n">
        <f aca="false">K177-Q177+T177</f>
        <v>-986879.6</v>
      </c>
      <c r="M177" s="98" t="s">
        <v>149</v>
      </c>
      <c r="N177" s="100" t="n">
        <v>-1164518</v>
      </c>
      <c r="O177" s="98" t="s">
        <v>149</v>
      </c>
      <c r="P177" s="100" t="n">
        <v>-1164518</v>
      </c>
      <c r="Q177" s="100" t="n">
        <v>-177638.4</v>
      </c>
      <c r="R177" s="100" t="n">
        <v>-986879.6</v>
      </c>
      <c r="S177" s="100" t="n">
        <v>0</v>
      </c>
      <c r="T177" s="100" t="n">
        <v>0</v>
      </c>
      <c r="U177" s="98" t="s">
        <v>192</v>
      </c>
      <c r="V177" s="98" t="s">
        <v>151</v>
      </c>
      <c r="X177" s="98" t="s">
        <v>790</v>
      </c>
      <c r="Y177" s="98" t="s">
        <v>791</v>
      </c>
      <c r="Z177" s="98" t="s">
        <v>792</v>
      </c>
      <c r="AB177" s="98" t="s">
        <v>791</v>
      </c>
      <c r="AD177" s="98" t="s">
        <v>155</v>
      </c>
      <c r="AE177" s="98" t="s">
        <v>156</v>
      </c>
      <c r="AF177" s="98" t="s">
        <v>737</v>
      </c>
      <c r="AG177" s="98" t="s">
        <v>738</v>
      </c>
      <c r="AH177" s="98" t="s">
        <v>793</v>
      </c>
      <c r="AI177" s="98" t="s">
        <v>793</v>
      </c>
      <c r="AJ177" s="98" t="s">
        <v>794</v>
      </c>
      <c r="AK177" s="98" t="s">
        <v>159</v>
      </c>
      <c r="AL177" s="98" t="s">
        <v>224</v>
      </c>
      <c r="AM177" s="98" t="s">
        <v>225</v>
      </c>
      <c r="AP177" s="98" t="s">
        <v>300</v>
      </c>
      <c r="AQ177" s="98" t="s">
        <v>298</v>
      </c>
      <c r="AR177" s="98" t="s">
        <v>795</v>
      </c>
      <c r="AS177" s="98" t="s">
        <v>796</v>
      </c>
      <c r="AT177" s="100" t="n">
        <v>0</v>
      </c>
      <c r="AU177" s="100" t="n">
        <v>-1164518</v>
      </c>
      <c r="AX177" s="98" t="s">
        <v>165</v>
      </c>
      <c r="AMH177" s="0"/>
      <c r="AMI177" s="0"/>
      <c r="AMJ177" s="0"/>
    </row>
    <row r="178" s="98" customFormat="true" ht="13.8" hidden="false" customHeight="false" outlineLevel="0" collapsed="false">
      <c r="A178" s="98" t="s">
        <v>142</v>
      </c>
      <c r="B178" s="98" t="s">
        <v>143</v>
      </c>
      <c r="C178" s="98" t="n">
        <v>51038775</v>
      </c>
      <c r="D178" s="98" t="s">
        <v>797</v>
      </c>
      <c r="E178" s="98" t="s">
        <v>725</v>
      </c>
      <c r="F178" s="98" t="s">
        <v>297</v>
      </c>
      <c r="G178" s="98" t="s">
        <v>147</v>
      </c>
      <c r="H178" s="98" t="s">
        <v>165</v>
      </c>
      <c r="I178" s="99" t="n">
        <v>43543</v>
      </c>
      <c r="J178" s="99" t="n">
        <v>43573</v>
      </c>
      <c r="K178" s="100" t="n">
        <v>-974532</v>
      </c>
      <c r="L178" s="100" t="n">
        <f aca="false">K178-Q178+T178</f>
        <v>-825874.5</v>
      </c>
      <c r="M178" s="98" t="s">
        <v>149</v>
      </c>
      <c r="N178" s="100" t="n">
        <v>-974532</v>
      </c>
      <c r="O178" s="98" t="s">
        <v>149</v>
      </c>
      <c r="P178" s="100" t="n">
        <v>-974532</v>
      </c>
      <c r="Q178" s="100" t="n">
        <v>-148657.5</v>
      </c>
      <c r="R178" s="100" t="n">
        <v>-825874.5</v>
      </c>
      <c r="S178" s="100" t="n">
        <v>0</v>
      </c>
      <c r="T178" s="100" t="n">
        <v>0</v>
      </c>
      <c r="U178" s="98" t="s">
        <v>192</v>
      </c>
      <c r="V178" s="98" t="s">
        <v>151</v>
      </c>
      <c r="X178" s="98" t="s">
        <v>798</v>
      </c>
      <c r="Y178" s="98" t="s">
        <v>799</v>
      </c>
      <c r="Z178" s="98" t="s">
        <v>800</v>
      </c>
      <c r="AB178" s="98" t="s">
        <v>799</v>
      </c>
      <c r="AD178" s="98" t="s">
        <v>155</v>
      </c>
      <c r="AE178" s="98" t="s">
        <v>156</v>
      </c>
      <c r="AF178" s="98" t="s">
        <v>737</v>
      </c>
      <c r="AG178" s="98" t="s">
        <v>738</v>
      </c>
      <c r="AH178" s="98" t="s">
        <v>793</v>
      </c>
      <c r="AI178" s="98" t="s">
        <v>793</v>
      </c>
      <c r="AJ178" s="98" t="s">
        <v>794</v>
      </c>
      <c r="AK178" s="98" t="s">
        <v>159</v>
      </c>
      <c r="AL178" s="98" t="s">
        <v>224</v>
      </c>
      <c r="AM178" s="98" t="s">
        <v>225</v>
      </c>
      <c r="AP178" s="98" t="s">
        <v>300</v>
      </c>
      <c r="AQ178" s="98" t="s">
        <v>298</v>
      </c>
      <c r="AR178" s="98" t="s">
        <v>795</v>
      </c>
      <c r="AS178" s="98" t="s">
        <v>801</v>
      </c>
      <c r="AT178" s="100" t="n">
        <v>0</v>
      </c>
      <c r="AU178" s="100" t="n">
        <v>-974532</v>
      </c>
      <c r="AX178" s="98" t="s">
        <v>165</v>
      </c>
      <c r="AMH178" s="0"/>
      <c r="AMI178" s="0"/>
      <c r="AMJ178" s="0"/>
    </row>
    <row r="179" s="98" customFormat="true" ht="13.8" hidden="false" customHeight="false" outlineLevel="0" collapsed="false">
      <c r="A179" s="98" t="s">
        <v>142</v>
      </c>
      <c r="B179" s="98" t="s">
        <v>143</v>
      </c>
      <c r="C179" s="98" t="n">
        <v>51079211</v>
      </c>
      <c r="D179" s="98" t="s">
        <v>802</v>
      </c>
      <c r="E179" s="98" t="s">
        <v>725</v>
      </c>
      <c r="F179" s="98" t="s">
        <v>278</v>
      </c>
      <c r="G179" s="98" t="s">
        <v>147</v>
      </c>
      <c r="H179" s="98" t="s">
        <v>220</v>
      </c>
      <c r="I179" s="104" t="n">
        <v>43594</v>
      </c>
      <c r="J179" s="99" t="n">
        <v>43594</v>
      </c>
      <c r="K179" s="100" t="n">
        <v>24.55</v>
      </c>
      <c r="L179" s="100" t="n">
        <f aca="false">K179-Q179+T179</f>
        <v>24.55</v>
      </c>
      <c r="M179" s="98" t="s">
        <v>149</v>
      </c>
      <c r="N179" s="100" t="n">
        <v>24.55</v>
      </c>
      <c r="O179" s="98" t="s">
        <v>149</v>
      </c>
      <c r="P179" s="100" t="n">
        <v>24.55</v>
      </c>
      <c r="Q179" s="100" t="n">
        <v>0</v>
      </c>
      <c r="R179" s="100" t="n">
        <v>24.55</v>
      </c>
      <c r="S179" s="100" t="n">
        <v>0</v>
      </c>
      <c r="T179" s="100" t="n">
        <v>0</v>
      </c>
      <c r="U179" s="98" t="s">
        <v>192</v>
      </c>
      <c r="V179" s="98" t="s">
        <v>151</v>
      </c>
      <c r="X179" s="98" t="s">
        <v>803</v>
      </c>
      <c r="Y179" s="98" t="s">
        <v>802</v>
      </c>
      <c r="Z179" s="98" t="s">
        <v>804</v>
      </c>
      <c r="AB179" s="98" t="s">
        <v>802</v>
      </c>
      <c r="AD179" s="98" t="s">
        <v>155</v>
      </c>
      <c r="AE179" s="98" t="s">
        <v>156</v>
      </c>
      <c r="AF179" s="98" t="s">
        <v>805</v>
      </c>
      <c r="AG179" s="98" t="s">
        <v>806</v>
      </c>
      <c r="AH179" s="98" t="s">
        <v>730</v>
      </c>
      <c r="AI179" s="98" t="s">
        <v>730</v>
      </c>
      <c r="AJ179" s="98" t="s">
        <v>731</v>
      </c>
      <c r="AK179" s="98" t="s">
        <v>159</v>
      </c>
      <c r="AL179" s="98" t="s">
        <v>807</v>
      </c>
      <c r="AM179" s="98" t="s">
        <v>161</v>
      </c>
      <c r="AR179" s="98" t="s">
        <v>808</v>
      </c>
      <c r="AS179" s="98" t="s">
        <v>809</v>
      </c>
      <c r="AT179" s="100" t="n">
        <v>0</v>
      </c>
      <c r="AU179" s="100" t="n">
        <v>24.55</v>
      </c>
      <c r="AX179" s="98" t="s">
        <v>168</v>
      </c>
      <c r="AMH179" s="0"/>
      <c r="AMI179" s="0"/>
      <c r="AMJ179" s="0"/>
    </row>
    <row r="180" s="98" customFormat="true" ht="13.8" hidden="false" customHeight="false" outlineLevel="0" collapsed="false">
      <c r="A180" s="98" t="s">
        <v>142</v>
      </c>
      <c r="B180" s="98" t="s">
        <v>143</v>
      </c>
      <c r="C180" s="98" t="n">
        <v>51043071</v>
      </c>
      <c r="D180" s="98" t="s">
        <v>810</v>
      </c>
      <c r="E180" s="98" t="s">
        <v>725</v>
      </c>
      <c r="F180" s="98" t="s">
        <v>167</v>
      </c>
      <c r="G180" s="98" t="s">
        <v>147</v>
      </c>
      <c r="H180" s="98" t="s">
        <v>165</v>
      </c>
      <c r="I180" s="99" t="n">
        <v>43492</v>
      </c>
      <c r="J180" s="99" t="n">
        <v>43577</v>
      </c>
      <c r="K180" s="100" t="n">
        <v>-832.49</v>
      </c>
      <c r="L180" s="100" t="n">
        <f aca="false">K180-Q180+T180</f>
        <v>-705.5</v>
      </c>
      <c r="M180" s="98" t="s">
        <v>149</v>
      </c>
      <c r="N180" s="100" t="n">
        <v>-832.49</v>
      </c>
      <c r="O180" s="98" t="s">
        <v>149</v>
      </c>
      <c r="P180" s="100" t="n">
        <v>-832.49</v>
      </c>
      <c r="Q180" s="100" t="n">
        <v>-126.99</v>
      </c>
      <c r="R180" s="100" t="n">
        <v>-705.5</v>
      </c>
      <c r="S180" s="100" t="n">
        <v>0</v>
      </c>
      <c r="T180" s="100" t="n">
        <v>0</v>
      </c>
      <c r="U180" s="98" t="s">
        <v>150</v>
      </c>
      <c r="V180" s="98" t="s">
        <v>151</v>
      </c>
      <c r="X180" s="98" t="s">
        <v>811</v>
      </c>
      <c r="Y180" s="98" t="s">
        <v>769</v>
      </c>
      <c r="Z180" s="98" t="s">
        <v>812</v>
      </c>
      <c r="AB180" s="98" t="s">
        <v>769</v>
      </c>
      <c r="AD180" s="98" t="s">
        <v>155</v>
      </c>
      <c r="AE180" s="98" t="s">
        <v>156</v>
      </c>
      <c r="AF180" s="98" t="s">
        <v>728</v>
      </c>
      <c r="AG180" s="98" t="s">
        <v>729</v>
      </c>
      <c r="AH180" s="98" t="s">
        <v>730</v>
      </c>
      <c r="AI180" s="98" t="s">
        <v>730</v>
      </c>
      <c r="AJ180" s="98" t="s">
        <v>731</v>
      </c>
      <c r="AK180" s="98" t="s">
        <v>159</v>
      </c>
      <c r="AL180" s="98" t="s">
        <v>224</v>
      </c>
      <c r="AM180" s="98" t="s">
        <v>225</v>
      </c>
      <c r="AP180" s="98" t="s">
        <v>415</v>
      </c>
      <c r="AQ180" s="98" t="s">
        <v>413</v>
      </c>
      <c r="AR180" s="98" t="s">
        <v>298</v>
      </c>
      <c r="AS180" s="98" t="s">
        <v>813</v>
      </c>
      <c r="AT180" s="100" t="n">
        <v>0</v>
      </c>
      <c r="AU180" s="100" t="n">
        <v>-832.49</v>
      </c>
      <c r="AX180" s="98" t="s">
        <v>165</v>
      </c>
      <c r="AMH180" s="0"/>
      <c r="AMI180" s="0"/>
      <c r="AMJ180" s="0"/>
    </row>
    <row r="181" s="98" customFormat="true" ht="13.8" hidden="false" customHeight="false" outlineLevel="0" collapsed="false">
      <c r="A181" s="98" t="s">
        <v>142</v>
      </c>
      <c r="B181" s="98" t="s">
        <v>143</v>
      </c>
      <c r="C181" s="98" t="n">
        <v>51043072</v>
      </c>
      <c r="D181" s="98" t="s">
        <v>814</v>
      </c>
      <c r="E181" s="98" t="s">
        <v>725</v>
      </c>
      <c r="F181" s="98" t="s">
        <v>167</v>
      </c>
      <c r="G181" s="98" t="s">
        <v>147</v>
      </c>
      <c r="H181" s="98" t="s">
        <v>165</v>
      </c>
      <c r="I181" s="99" t="n">
        <v>43492</v>
      </c>
      <c r="J181" s="99" t="n">
        <v>43577</v>
      </c>
      <c r="K181" s="100" t="n">
        <v>-27251.51</v>
      </c>
      <c r="L181" s="100" t="n">
        <f aca="false">K181-Q181+T181</f>
        <v>-23094.5</v>
      </c>
      <c r="M181" s="98" t="s">
        <v>149</v>
      </c>
      <c r="N181" s="100" t="n">
        <v>-27251.51</v>
      </c>
      <c r="O181" s="98" t="s">
        <v>149</v>
      </c>
      <c r="P181" s="100" t="n">
        <v>-27251.51</v>
      </c>
      <c r="Q181" s="100" t="n">
        <v>-4157.01</v>
      </c>
      <c r="R181" s="100" t="n">
        <v>-23094.5</v>
      </c>
      <c r="S181" s="100" t="n">
        <v>0</v>
      </c>
      <c r="T181" s="100" t="n">
        <v>0</v>
      </c>
      <c r="U181" s="98" t="s">
        <v>150</v>
      </c>
      <c r="V181" s="98" t="s">
        <v>151</v>
      </c>
      <c r="X181" s="98" t="s">
        <v>811</v>
      </c>
      <c r="Y181" s="98" t="s">
        <v>769</v>
      </c>
      <c r="Z181" s="98" t="s">
        <v>815</v>
      </c>
      <c r="AB181" s="98" t="s">
        <v>769</v>
      </c>
      <c r="AD181" s="98" t="s">
        <v>155</v>
      </c>
      <c r="AE181" s="98" t="s">
        <v>156</v>
      </c>
      <c r="AF181" s="98" t="s">
        <v>728</v>
      </c>
      <c r="AG181" s="98" t="s">
        <v>729</v>
      </c>
      <c r="AH181" s="98" t="s">
        <v>730</v>
      </c>
      <c r="AI181" s="98" t="s">
        <v>730</v>
      </c>
      <c r="AJ181" s="98" t="s">
        <v>731</v>
      </c>
      <c r="AK181" s="98" t="s">
        <v>159</v>
      </c>
      <c r="AL181" s="98" t="s">
        <v>224</v>
      </c>
      <c r="AM181" s="98" t="s">
        <v>225</v>
      </c>
      <c r="AP181" s="98" t="s">
        <v>415</v>
      </c>
      <c r="AQ181" s="98" t="s">
        <v>413</v>
      </c>
      <c r="AR181" s="98" t="s">
        <v>298</v>
      </c>
      <c r="AS181" s="98" t="s">
        <v>816</v>
      </c>
      <c r="AT181" s="100" t="n">
        <v>0</v>
      </c>
      <c r="AU181" s="100" t="n">
        <v>-27251.51</v>
      </c>
      <c r="AX181" s="98" t="s">
        <v>165</v>
      </c>
      <c r="AMH181" s="0"/>
      <c r="AMI181" s="0"/>
      <c r="AMJ181" s="0"/>
    </row>
    <row r="182" s="98" customFormat="true" ht="13.8" hidden="false" customHeight="false" outlineLevel="0" collapsed="false">
      <c r="A182" s="98" t="s">
        <v>142</v>
      </c>
      <c r="B182" s="98" t="s">
        <v>143</v>
      </c>
      <c r="C182" s="98" t="n">
        <v>51043074</v>
      </c>
      <c r="D182" s="98" t="s">
        <v>817</v>
      </c>
      <c r="E182" s="98" t="s">
        <v>725</v>
      </c>
      <c r="F182" s="98" t="s">
        <v>167</v>
      </c>
      <c r="G182" s="98" t="s">
        <v>147</v>
      </c>
      <c r="H182" s="98" t="s">
        <v>165</v>
      </c>
      <c r="I182" s="99" t="n">
        <v>43492</v>
      </c>
      <c r="J182" s="99" t="n">
        <v>43577</v>
      </c>
      <c r="K182" s="100" t="n">
        <v>-4956</v>
      </c>
      <c r="L182" s="100" t="n">
        <f aca="false">K182-Q182+T182</f>
        <v>-4200</v>
      </c>
      <c r="M182" s="98" t="s">
        <v>149</v>
      </c>
      <c r="N182" s="100" t="n">
        <v>-4956</v>
      </c>
      <c r="O182" s="98" t="s">
        <v>149</v>
      </c>
      <c r="P182" s="100" t="n">
        <v>-4956</v>
      </c>
      <c r="Q182" s="100" t="n">
        <v>-756</v>
      </c>
      <c r="R182" s="100" t="n">
        <v>-4200</v>
      </c>
      <c r="S182" s="100" t="n">
        <v>0</v>
      </c>
      <c r="T182" s="100" t="n">
        <v>0</v>
      </c>
      <c r="U182" s="98" t="s">
        <v>150</v>
      </c>
      <c r="V182" s="98" t="s">
        <v>151</v>
      </c>
      <c r="X182" s="98" t="s">
        <v>811</v>
      </c>
      <c r="Y182" s="98" t="s">
        <v>769</v>
      </c>
      <c r="Z182" s="98" t="s">
        <v>818</v>
      </c>
      <c r="AB182" s="98" t="s">
        <v>769</v>
      </c>
      <c r="AD182" s="98" t="s">
        <v>155</v>
      </c>
      <c r="AE182" s="98" t="s">
        <v>156</v>
      </c>
      <c r="AF182" s="98" t="s">
        <v>728</v>
      </c>
      <c r="AG182" s="98" t="s">
        <v>729</v>
      </c>
      <c r="AH182" s="98" t="s">
        <v>730</v>
      </c>
      <c r="AI182" s="98" t="s">
        <v>730</v>
      </c>
      <c r="AJ182" s="98" t="s">
        <v>731</v>
      </c>
      <c r="AK182" s="98" t="s">
        <v>159</v>
      </c>
      <c r="AL182" s="98" t="s">
        <v>224</v>
      </c>
      <c r="AM182" s="98" t="s">
        <v>225</v>
      </c>
      <c r="AP182" s="98" t="s">
        <v>415</v>
      </c>
      <c r="AQ182" s="98" t="s">
        <v>413</v>
      </c>
      <c r="AR182" s="98" t="s">
        <v>298</v>
      </c>
      <c r="AS182" s="98" t="s">
        <v>819</v>
      </c>
      <c r="AT182" s="100" t="n">
        <v>0</v>
      </c>
      <c r="AU182" s="100" t="n">
        <v>-4956</v>
      </c>
      <c r="AX182" s="98" t="s">
        <v>165</v>
      </c>
      <c r="AMH182" s="0"/>
      <c r="AMI182" s="0"/>
      <c r="AMJ182" s="0"/>
    </row>
    <row r="183" s="98" customFormat="true" ht="13.8" hidden="false" customHeight="false" outlineLevel="0" collapsed="false">
      <c r="A183" s="98" t="s">
        <v>142</v>
      </c>
      <c r="B183" s="98" t="s">
        <v>143</v>
      </c>
      <c r="C183" s="98" t="n">
        <v>51043076</v>
      </c>
      <c r="D183" s="98" t="s">
        <v>820</v>
      </c>
      <c r="E183" s="98" t="s">
        <v>725</v>
      </c>
      <c r="F183" s="98" t="s">
        <v>167</v>
      </c>
      <c r="G183" s="98" t="s">
        <v>147</v>
      </c>
      <c r="H183" s="98" t="s">
        <v>165</v>
      </c>
      <c r="I183" s="99" t="n">
        <v>43492</v>
      </c>
      <c r="J183" s="99" t="n">
        <v>43577</v>
      </c>
      <c r="K183" s="100" t="n">
        <v>-8673</v>
      </c>
      <c r="L183" s="100" t="n">
        <f aca="false">K183-Q183+T183</f>
        <v>-7350</v>
      </c>
      <c r="M183" s="98" t="s">
        <v>149</v>
      </c>
      <c r="N183" s="100" t="n">
        <v>-8673</v>
      </c>
      <c r="O183" s="98" t="s">
        <v>149</v>
      </c>
      <c r="P183" s="100" t="n">
        <v>-8673</v>
      </c>
      <c r="Q183" s="100" t="n">
        <v>-1323</v>
      </c>
      <c r="R183" s="100" t="n">
        <v>-7350</v>
      </c>
      <c r="S183" s="100" t="n">
        <v>0</v>
      </c>
      <c r="T183" s="100" t="n">
        <v>0</v>
      </c>
      <c r="U183" s="98" t="s">
        <v>150</v>
      </c>
      <c r="V183" s="98" t="s">
        <v>151</v>
      </c>
      <c r="X183" s="98" t="s">
        <v>811</v>
      </c>
      <c r="Y183" s="98" t="s">
        <v>769</v>
      </c>
      <c r="Z183" s="98" t="s">
        <v>821</v>
      </c>
      <c r="AB183" s="98" t="s">
        <v>769</v>
      </c>
      <c r="AD183" s="98" t="s">
        <v>155</v>
      </c>
      <c r="AE183" s="98" t="s">
        <v>156</v>
      </c>
      <c r="AF183" s="98" t="s">
        <v>728</v>
      </c>
      <c r="AG183" s="98" t="s">
        <v>729</v>
      </c>
      <c r="AH183" s="98" t="s">
        <v>730</v>
      </c>
      <c r="AI183" s="98" t="s">
        <v>730</v>
      </c>
      <c r="AJ183" s="98" t="s">
        <v>731</v>
      </c>
      <c r="AK183" s="98" t="s">
        <v>159</v>
      </c>
      <c r="AL183" s="98" t="s">
        <v>224</v>
      </c>
      <c r="AM183" s="98" t="s">
        <v>225</v>
      </c>
      <c r="AP183" s="98" t="s">
        <v>415</v>
      </c>
      <c r="AQ183" s="98" t="s">
        <v>413</v>
      </c>
      <c r="AR183" s="98" t="s">
        <v>298</v>
      </c>
      <c r="AS183" s="98" t="s">
        <v>822</v>
      </c>
      <c r="AT183" s="100" t="n">
        <v>0</v>
      </c>
      <c r="AU183" s="100" t="n">
        <v>-8673</v>
      </c>
      <c r="AX183" s="98" t="s">
        <v>165</v>
      </c>
      <c r="AMH183" s="0"/>
      <c r="AMI183" s="0"/>
      <c r="AMJ183" s="0"/>
    </row>
    <row r="184" s="98" customFormat="true" ht="13.8" hidden="false" customHeight="false" outlineLevel="0" collapsed="false">
      <c r="A184" s="98" t="s">
        <v>142</v>
      </c>
      <c r="B184" s="98" t="s">
        <v>143</v>
      </c>
      <c r="C184" s="98" t="n">
        <v>51047406</v>
      </c>
      <c r="D184" s="98" t="s">
        <v>823</v>
      </c>
      <c r="E184" s="98" t="s">
        <v>725</v>
      </c>
      <c r="F184" s="98" t="s">
        <v>167</v>
      </c>
      <c r="G184" s="98" t="s">
        <v>147</v>
      </c>
      <c r="H184" s="98" t="s">
        <v>165</v>
      </c>
      <c r="I184" s="99" t="n">
        <v>43492</v>
      </c>
      <c r="J184" s="99" t="n">
        <v>43578</v>
      </c>
      <c r="K184" s="100" t="n">
        <v>-21655.36</v>
      </c>
      <c r="L184" s="100" t="n">
        <f aca="false">K184-Q184+T184</f>
        <v>-18352</v>
      </c>
      <c r="M184" s="98" t="s">
        <v>149</v>
      </c>
      <c r="N184" s="100" t="n">
        <v>-21655.36</v>
      </c>
      <c r="O184" s="98" t="s">
        <v>149</v>
      </c>
      <c r="P184" s="100" t="n">
        <v>-21655.36</v>
      </c>
      <c r="Q184" s="100" t="n">
        <v>-3303.36</v>
      </c>
      <c r="R184" s="100" t="n">
        <v>-18352</v>
      </c>
      <c r="S184" s="100" t="n">
        <v>0</v>
      </c>
      <c r="T184" s="100" t="n">
        <v>0</v>
      </c>
      <c r="U184" s="98" t="s">
        <v>150</v>
      </c>
      <c r="V184" s="98" t="s">
        <v>151</v>
      </c>
      <c r="X184" s="98" t="s">
        <v>811</v>
      </c>
      <c r="Y184" s="98" t="s">
        <v>769</v>
      </c>
      <c r="Z184" s="98" t="s">
        <v>824</v>
      </c>
      <c r="AB184" s="98" t="s">
        <v>769</v>
      </c>
      <c r="AD184" s="98" t="s">
        <v>155</v>
      </c>
      <c r="AE184" s="98" t="s">
        <v>156</v>
      </c>
      <c r="AF184" s="98" t="s">
        <v>728</v>
      </c>
      <c r="AG184" s="98" t="s">
        <v>729</v>
      </c>
      <c r="AH184" s="98" t="s">
        <v>730</v>
      </c>
      <c r="AI184" s="98" t="s">
        <v>730</v>
      </c>
      <c r="AJ184" s="98" t="s">
        <v>731</v>
      </c>
      <c r="AK184" s="98" t="s">
        <v>159</v>
      </c>
      <c r="AL184" s="98" t="s">
        <v>224</v>
      </c>
      <c r="AM184" s="98" t="s">
        <v>225</v>
      </c>
      <c r="AP184" s="98" t="s">
        <v>389</v>
      </c>
      <c r="AQ184" s="98" t="s">
        <v>387</v>
      </c>
      <c r="AR184" s="98" t="s">
        <v>825</v>
      </c>
      <c r="AS184" s="98" t="s">
        <v>826</v>
      </c>
      <c r="AT184" s="100" t="n">
        <v>0</v>
      </c>
      <c r="AU184" s="100" t="n">
        <v>-21655.36</v>
      </c>
      <c r="AX184" s="98" t="s">
        <v>165</v>
      </c>
      <c r="AMH184" s="0"/>
      <c r="AMI184" s="0"/>
      <c r="AMJ184" s="0"/>
    </row>
    <row r="185" s="98" customFormat="true" ht="13.8" hidden="false" customHeight="false" outlineLevel="0" collapsed="false">
      <c r="A185" s="98" t="s">
        <v>142</v>
      </c>
      <c r="B185" s="98" t="s">
        <v>143</v>
      </c>
      <c r="C185" s="98" t="n">
        <v>51047407</v>
      </c>
      <c r="D185" s="98" t="s">
        <v>827</v>
      </c>
      <c r="E185" s="98" t="s">
        <v>725</v>
      </c>
      <c r="F185" s="98" t="s">
        <v>167</v>
      </c>
      <c r="G185" s="98" t="s">
        <v>147</v>
      </c>
      <c r="H185" s="98" t="s">
        <v>165</v>
      </c>
      <c r="I185" s="99" t="n">
        <v>43492</v>
      </c>
      <c r="J185" s="99" t="n">
        <v>43578</v>
      </c>
      <c r="K185" s="100" t="n">
        <v>-21655.36</v>
      </c>
      <c r="L185" s="100" t="n">
        <f aca="false">K185-Q185+T185</f>
        <v>-18352</v>
      </c>
      <c r="M185" s="98" t="s">
        <v>149</v>
      </c>
      <c r="N185" s="100" t="n">
        <v>-21655.36</v>
      </c>
      <c r="O185" s="98" t="s">
        <v>149</v>
      </c>
      <c r="P185" s="100" t="n">
        <v>-21655.36</v>
      </c>
      <c r="Q185" s="100" t="n">
        <v>-3303.36</v>
      </c>
      <c r="R185" s="100" t="n">
        <v>-18352</v>
      </c>
      <c r="S185" s="100" t="n">
        <v>0</v>
      </c>
      <c r="T185" s="100" t="n">
        <v>0</v>
      </c>
      <c r="U185" s="98" t="s">
        <v>150</v>
      </c>
      <c r="V185" s="98" t="s">
        <v>151</v>
      </c>
      <c r="X185" s="98" t="s">
        <v>811</v>
      </c>
      <c r="Y185" s="98" t="s">
        <v>769</v>
      </c>
      <c r="Z185" s="98" t="s">
        <v>828</v>
      </c>
      <c r="AB185" s="98" t="s">
        <v>769</v>
      </c>
      <c r="AD185" s="98" t="s">
        <v>155</v>
      </c>
      <c r="AE185" s="98" t="s">
        <v>156</v>
      </c>
      <c r="AF185" s="98" t="s">
        <v>728</v>
      </c>
      <c r="AG185" s="98" t="s">
        <v>729</v>
      </c>
      <c r="AH185" s="98" t="s">
        <v>730</v>
      </c>
      <c r="AI185" s="98" t="s">
        <v>730</v>
      </c>
      <c r="AJ185" s="98" t="s">
        <v>731</v>
      </c>
      <c r="AK185" s="98" t="s">
        <v>159</v>
      </c>
      <c r="AL185" s="98" t="s">
        <v>224</v>
      </c>
      <c r="AM185" s="98" t="s">
        <v>225</v>
      </c>
      <c r="AP185" s="98" t="s">
        <v>389</v>
      </c>
      <c r="AQ185" s="98" t="s">
        <v>387</v>
      </c>
      <c r="AR185" s="98" t="s">
        <v>825</v>
      </c>
      <c r="AS185" s="98" t="s">
        <v>829</v>
      </c>
      <c r="AT185" s="100" t="n">
        <v>0</v>
      </c>
      <c r="AU185" s="100" t="n">
        <v>-21655.36</v>
      </c>
      <c r="AX185" s="98" t="s">
        <v>165</v>
      </c>
      <c r="AMH185" s="0"/>
      <c r="AMI185" s="0"/>
      <c r="AMJ185" s="0"/>
    </row>
    <row r="186" s="98" customFormat="true" ht="13.8" hidden="false" customHeight="false" outlineLevel="0" collapsed="false">
      <c r="A186" s="98" t="s">
        <v>142</v>
      </c>
      <c r="B186" s="98" t="s">
        <v>143</v>
      </c>
      <c r="C186" s="98" t="n">
        <v>51047408</v>
      </c>
      <c r="D186" s="98" t="s">
        <v>830</v>
      </c>
      <c r="E186" s="98" t="s">
        <v>725</v>
      </c>
      <c r="F186" s="98" t="s">
        <v>167</v>
      </c>
      <c r="G186" s="98" t="s">
        <v>147</v>
      </c>
      <c r="H186" s="98" t="s">
        <v>165</v>
      </c>
      <c r="I186" s="99" t="n">
        <v>43492</v>
      </c>
      <c r="J186" s="99" t="n">
        <v>43578</v>
      </c>
      <c r="K186" s="100" t="n">
        <v>-7858.8</v>
      </c>
      <c r="L186" s="100" t="n">
        <f aca="false">K186-Q186+T186</f>
        <v>-6660</v>
      </c>
      <c r="M186" s="98" t="s">
        <v>149</v>
      </c>
      <c r="N186" s="100" t="n">
        <v>-7858.8</v>
      </c>
      <c r="O186" s="98" t="s">
        <v>149</v>
      </c>
      <c r="P186" s="100" t="n">
        <v>-7858.8</v>
      </c>
      <c r="Q186" s="100" t="n">
        <v>-1198.8</v>
      </c>
      <c r="R186" s="100" t="n">
        <v>-6660</v>
      </c>
      <c r="S186" s="100" t="n">
        <v>0</v>
      </c>
      <c r="T186" s="100" t="n">
        <v>0</v>
      </c>
      <c r="U186" s="98" t="s">
        <v>150</v>
      </c>
      <c r="V186" s="98" t="s">
        <v>151</v>
      </c>
      <c r="X186" s="98" t="s">
        <v>811</v>
      </c>
      <c r="Y186" s="98" t="s">
        <v>769</v>
      </c>
      <c r="Z186" s="98" t="s">
        <v>831</v>
      </c>
      <c r="AB186" s="98" t="s">
        <v>769</v>
      </c>
      <c r="AD186" s="98" t="s">
        <v>155</v>
      </c>
      <c r="AE186" s="98" t="s">
        <v>156</v>
      </c>
      <c r="AF186" s="98" t="s">
        <v>728</v>
      </c>
      <c r="AG186" s="98" t="s">
        <v>729</v>
      </c>
      <c r="AH186" s="98" t="s">
        <v>730</v>
      </c>
      <c r="AI186" s="98" t="s">
        <v>730</v>
      </c>
      <c r="AJ186" s="98" t="s">
        <v>731</v>
      </c>
      <c r="AK186" s="98" t="s">
        <v>159</v>
      </c>
      <c r="AL186" s="98" t="s">
        <v>224</v>
      </c>
      <c r="AM186" s="98" t="s">
        <v>225</v>
      </c>
      <c r="AP186" s="98" t="s">
        <v>389</v>
      </c>
      <c r="AQ186" s="98" t="s">
        <v>387</v>
      </c>
      <c r="AR186" s="98" t="s">
        <v>825</v>
      </c>
      <c r="AS186" s="98" t="s">
        <v>832</v>
      </c>
      <c r="AT186" s="100" t="n">
        <v>0</v>
      </c>
      <c r="AU186" s="100" t="n">
        <v>-7858.8</v>
      </c>
      <c r="AX186" s="98" t="s">
        <v>165</v>
      </c>
      <c r="AMH186" s="0"/>
      <c r="AMI186" s="0"/>
      <c r="AMJ186" s="0"/>
    </row>
    <row r="187" s="98" customFormat="true" ht="13.8" hidden="false" customHeight="false" outlineLevel="0" collapsed="false">
      <c r="A187" s="98" t="s">
        <v>142</v>
      </c>
      <c r="B187" s="98" t="s">
        <v>143</v>
      </c>
      <c r="C187" s="98" t="n">
        <v>51047409</v>
      </c>
      <c r="D187" s="98" t="s">
        <v>833</v>
      </c>
      <c r="E187" s="98" t="s">
        <v>725</v>
      </c>
      <c r="F187" s="98" t="s">
        <v>167</v>
      </c>
      <c r="G187" s="98" t="s">
        <v>147</v>
      </c>
      <c r="H187" s="98" t="s">
        <v>165</v>
      </c>
      <c r="I187" s="99" t="n">
        <v>43492</v>
      </c>
      <c r="J187" s="99" t="n">
        <v>43578</v>
      </c>
      <c r="K187" s="100" t="n">
        <v>-2124</v>
      </c>
      <c r="L187" s="100" t="n">
        <f aca="false">K187-Q187+T187</f>
        <v>-1800</v>
      </c>
      <c r="M187" s="98" t="s">
        <v>149</v>
      </c>
      <c r="N187" s="100" t="n">
        <v>-2124</v>
      </c>
      <c r="O187" s="98" t="s">
        <v>149</v>
      </c>
      <c r="P187" s="100" t="n">
        <v>-2124</v>
      </c>
      <c r="Q187" s="100" t="n">
        <v>-324</v>
      </c>
      <c r="R187" s="100" t="n">
        <v>-1800</v>
      </c>
      <c r="S187" s="100" t="n">
        <v>0</v>
      </c>
      <c r="T187" s="100" t="n">
        <v>0</v>
      </c>
      <c r="U187" s="98" t="s">
        <v>150</v>
      </c>
      <c r="V187" s="98" t="s">
        <v>151</v>
      </c>
      <c r="X187" s="98" t="s">
        <v>811</v>
      </c>
      <c r="Y187" s="98" t="s">
        <v>769</v>
      </c>
      <c r="Z187" s="98" t="s">
        <v>834</v>
      </c>
      <c r="AB187" s="98" t="s">
        <v>769</v>
      </c>
      <c r="AD187" s="98" t="s">
        <v>155</v>
      </c>
      <c r="AE187" s="98" t="s">
        <v>156</v>
      </c>
      <c r="AF187" s="98" t="s">
        <v>728</v>
      </c>
      <c r="AG187" s="98" t="s">
        <v>729</v>
      </c>
      <c r="AH187" s="98" t="s">
        <v>730</v>
      </c>
      <c r="AI187" s="98" t="s">
        <v>730</v>
      </c>
      <c r="AJ187" s="98" t="s">
        <v>731</v>
      </c>
      <c r="AK187" s="98" t="s">
        <v>159</v>
      </c>
      <c r="AL187" s="98" t="s">
        <v>224</v>
      </c>
      <c r="AM187" s="98" t="s">
        <v>225</v>
      </c>
      <c r="AP187" s="98" t="s">
        <v>389</v>
      </c>
      <c r="AQ187" s="98" t="s">
        <v>387</v>
      </c>
      <c r="AR187" s="98" t="s">
        <v>825</v>
      </c>
      <c r="AS187" s="98" t="s">
        <v>835</v>
      </c>
      <c r="AT187" s="100" t="n">
        <v>0</v>
      </c>
      <c r="AU187" s="100" t="n">
        <v>-2124</v>
      </c>
      <c r="AX187" s="98" t="s">
        <v>165</v>
      </c>
      <c r="AMH187" s="0"/>
      <c r="AMI187" s="0"/>
      <c r="AMJ187" s="0"/>
    </row>
    <row r="188" s="98" customFormat="true" ht="13.8" hidden="false" customHeight="false" outlineLevel="0" collapsed="false">
      <c r="A188" s="98" t="s">
        <v>142</v>
      </c>
      <c r="B188" s="98" t="s">
        <v>143</v>
      </c>
      <c r="C188" s="98" t="n">
        <v>51047410</v>
      </c>
      <c r="D188" s="98" t="s">
        <v>836</v>
      </c>
      <c r="E188" s="98" t="s">
        <v>725</v>
      </c>
      <c r="F188" s="98" t="s">
        <v>167</v>
      </c>
      <c r="G188" s="98" t="s">
        <v>147</v>
      </c>
      <c r="H188" s="98" t="s">
        <v>165</v>
      </c>
      <c r="I188" s="99" t="n">
        <v>43492</v>
      </c>
      <c r="J188" s="99" t="n">
        <v>43578</v>
      </c>
      <c r="K188" s="100" t="n">
        <v>-511128.8</v>
      </c>
      <c r="L188" s="100" t="n">
        <f aca="false">K188-Q188+T188</f>
        <v>-433160</v>
      </c>
      <c r="M188" s="98" t="s">
        <v>149</v>
      </c>
      <c r="N188" s="100" t="n">
        <v>-511128.8</v>
      </c>
      <c r="O188" s="98" t="s">
        <v>149</v>
      </c>
      <c r="P188" s="100" t="n">
        <v>-511128.8</v>
      </c>
      <c r="Q188" s="100" t="n">
        <v>-77968.8</v>
      </c>
      <c r="R188" s="100" t="n">
        <v>-433160</v>
      </c>
      <c r="S188" s="100" t="n">
        <v>0</v>
      </c>
      <c r="T188" s="100" t="n">
        <v>0</v>
      </c>
      <c r="U188" s="98" t="s">
        <v>150</v>
      </c>
      <c r="V188" s="98" t="s">
        <v>151</v>
      </c>
      <c r="X188" s="98" t="s">
        <v>811</v>
      </c>
      <c r="Y188" s="98" t="s">
        <v>769</v>
      </c>
      <c r="Z188" s="98" t="s">
        <v>837</v>
      </c>
      <c r="AB188" s="98" t="s">
        <v>769</v>
      </c>
      <c r="AD188" s="98" t="s">
        <v>155</v>
      </c>
      <c r="AE188" s="98" t="s">
        <v>156</v>
      </c>
      <c r="AF188" s="98" t="s">
        <v>728</v>
      </c>
      <c r="AG188" s="98" t="s">
        <v>729</v>
      </c>
      <c r="AH188" s="98" t="s">
        <v>730</v>
      </c>
      <c r="AI188" s="98" t="s">
        <v>730</v>
      </c>
      <c r="AJ188" s="98" t="s">
        <v>731</v>
      </c>
      <c r="AK188" s="98" t="s">
        <v>159</v>
      </c>
      <c r="AL188" s="98" t="s">
        <v>224</v>
      </c>
      <c r="AM188" s="98" t="s">
        <v>225</v>
      </c>
      <c r="AP188" s="98" t="s">
        <v>389</v>
      </c>
      <c r="AQ188" s="98" t="s">
        <v>387</v>
      </c>
      <c r="AR188" s="98" t="s">
        <v>825</v>
      </c>
      <c r="AS188" s="98" t="s">
        <v>838</v>
      </c>
      <c r="AT188" s="100" t="n">
        <v>0</v>
      </c>
      <c r="AU188" s="100" t="n">
        <v>-511128.8</v>
      </c>
      <c r="AX188" s="98" t="s">
        <v>165</v>
      </c>
      <c r="AMH188" s="0"/>
      <c r="AMI188" s="0"/>
      <c r="AMJ188" s="0"/>
    </row>
    <row r="189" s="98" customFormat="true" ht="13.8" hidden="false" customHeight="false" outlineLevel="0" collapsed="false">
      <c r="A189" s="98" t="s">
        <v>142</v>
      </c>
      <c r="B189" s="98" t="s">
        <v>143</v>
      </c>
      <c r="C189" s="98" t="n">
        <v>51047411</v>
      </c>
      <c r="D189" s="98" t="s">
        <v>839</v>
      </c>
      <c r="E189" s="98" t="s">
        <v>725</v>
      </c>
      <c r="F189" s="98" t="s">
        <v>167</v>
      </c>
      <c r="G189" s="98" t="s">
        <v>147</v>
      </c>
      <c r="H189" s="98" t="s">
        <v>165</v>
      </c>
      <c r="I189" s="99" t="n">
        <v>43492</v>
      </c>
      <c r="J189" s="99" t="n">
        <v>43578</v>
      </c>
      <c r="K189" s="100" t="n">
        <v>-4956</v>
      </c>
      <c r="L189" s="100" t="n">
        <f aca="false">K189-Q189+T189</f>
        <v>-4200</v>
      </c>
      <c r="M189" s="98" t="s">
        <v>149</v>
      </c>
      <c r="N189" s="100" t="n">
        <v>-4956</v>
      </c>
      <c r="O189" s="98" t="s">
        <v>149</v>
      </c>
      <c r="P189" s="100" t="n">
        <v>-4956</v>
      </c>
      <c r="Q189" s="100" t="n">
        <v>-756</v>
      </c>
      <c r="R189" s="100" t="n">
        <v>-4200</v>
      </c>
      <c r="S189" s="100" t="n">
        <v>0</v>
      </c>
      <c r="T189" s="100" t="n">
        <v>0</v>
      </c>
      <c r="U189" s="98" t="s">
        <v>150</v>
      </c>
      <c r="V189" s="98" t="s">
        <v>151</v>
      </c>
      <c r="X189" s="98" t="s">
        <v>811</v>
      </c>
      <c r="Y189" s="98" t="s">
        <v>769</v>
      </c>
      <c r="Z189" s="98" t="s">
        <v>840</v>
      </c>
      <c r="AB189" s="98" t="s">
        <v>769</v>
      </c>
      <c r="AD189" s="98" t="s">
        <v>155</v>
      </c>
      <c r="AE189" s="98" t="s">
        <v>156</v>
      </c>
      <c r="AF189" s="98" t="s">
        <v>728</v>
      </c>
      <c r="AG189" s="98" t="s">
        <v>729</v>
      </c>
      <c r="AH189" s="98" t="s">
        <v>730</v>
      </c>
      <c r="AI189" s="98" t="s">
        <v>730</v>
      </c>
      <c r="AJ189" s="98" t="s">
        <v>731</v>
      </c>
      <c r="AK189" s="98" t="s">
        <v>159</v>
      </c>
      <c r="AL189" s="98" t="s">
        <v>224</v>
      </c>
      <c r="AM189" s="98" t="s">
        <v>225</v>
      </c>
      <c r="AP189" s="98" t="s">
        <v>389</v>
      </c>
      <c r="AQ189" s="98" t="s">
        <v>387</v>
      </c>
      <c r="AR189" s="98" t="s">
        <v>825</v>
      </c>
      <c r="AS189" s="98" t="s">
        <v>841</v>
      </c>
      <c r="AT189" s="100" t="n">
        <v>0</v>
      </c>
      <c r="AU189" s="100" t="n">
        <v>-4956</v>
      </c>
      <c r="AX189" s="98" t="s">
        <v>165</v>
      </c>
      <c r="AMH189" s="0"/>
      <c r="AMI189" s="0"/>
      <c r="AMJ189" s="0"/>
    </row>
    <row r="190" s="98" customFormat="true" ht="13.8" hidden="false" customHeight="false" outlineLevel="0" collapsed="false">
      <c r="A190" s="98" t="s">
        <v>142</v>
      </c>
      <c r="B190" s="98" t="s">
        <v>143</v>
      </c>
      <c r="C190" s="98" t="n">
        <v>51047412</v>
      </c>
      <c r="D190" s="98" t="s">
        <v>842</v>
      </c>
      <c r="E190" s="98" t="s">
        <v>725</v>
      </c>
      <c r="F190" s="98" t="s">
        <v>167</v>
      </c>
      <c r="G190" s="98" t="s">
        <v>147</v>
      </c>
      <c r="H190" s="98" t="s">
        <v>165</v>
      </c>
      <c r="I190" s="99" t="n">
        <v>43492</v>
      </c>
      <c r="J190" s="99" t="n">
        <v>43578</v>
      </c>
      <c r="K190" s="100" t="n">
        <v>-61914.6</v>
      </c>
      <c r="L190" s="100" t="n">
        <f aca="false">K190-Q190+T190</f>
        <v>-52470</v>
      </c>
      <c r="M190" s="98" t="s">
        <v>149</v>
      </c>
      <c r="N190" s="100" t="n">
        <v>-61914.6</v>
      </c>
      <c r="O190" s="98" t="s">
        <v>149</v>
      </c>
      <c r="P190" s="100" t="n">
        <v>-61914.6</v>
      </c>
      <c r="Q190" s="100" t="n">
        <v>-9444.6</v>
      </c>
      <c r="R190" s="100" t="n">
        <v>-52470</v>
      </c>
      <c r="S190" s="100" t="n">
        <v>0</v>
      </c>
      <c r="T190" s="100" t="n">
        <v>0</v>
      </c>
      <c r="U190" s="98" t="s">
        <v>150</v>
      </c>
      <c r="V190" s="98" t="s">
        <v>151</v>
      </c>
      <c r="X190" s="98" t="s">
        <v>811</v>
      </c>
      <c r="Y190" s="98" t="s">
        <v>769</v>
      </c>
      <c r="Z190" s="98" t="s">
        <v>843</v>
      </c>
      <c r="AB190" s="98" t="s">
        <v>769</v>
      </c>
      <c r="AD190" s="98" t="s">
        <v>155</v>
      </c>
      <c r="AE190" s="98" t="s">
        <v>156</v>
      </c>
      <c r="AF190" s="98" t="s">
        <v>728</v>
      </c>
      <c r="AG190" s="98" t="s">
        <v>729</v>
      </c>
      <c r="AH190" s="98" t="s">
        <v>730</v>
      </c>
      <c r="AI190" s="98" t="s">
        <v>730</v>
      </c>
      <c r="AJ190" s="98" t="s">
        <v>731</v>
      </c>
      <c r="AK190" s="98" t="s">
        <v>159</v>
      </c>
      <c r="AL190" s="98" t="s">
        <v>224</v>
      </c>
      <c r="AM190" s="98" t="s">
        <v>225</v>
      </c>
      <c r="AP190" s="98" t="s">
        <v>389</v>
      </c>
      <c r="AQ190" s="98" t="s">
        <v>387</v>
      </c>
      <c r="AR190" s="98" t="s">
        <v>825</v>
      </c>
      <c r="AS190" s="98" t="s">
        <v>844</v>
      </c>
      <c r="AT190" s="100" t="n">
        <v>0</v>
      </c>
      <c r="AU190" s="100" t="n">
        <v>-61914.6</v>
      </c>
      <c r="AX190" s="98" t="s">
        <v>165</v>
      </c>
      <c r="AMH190" s="0"/>
      <c r="AMI190" s="0"/>
      <c r="AMJ190" s="0"/>
    </row>
    <row r="191" s="98" customFormat="true" ht="13.8" hidden="false" customHeight="false" outlineLevel="0" collapsed="false">
      <c r="A191" s="98" t="s">
        <v>142</v>
      </c>
      <c r="B191" s="98" t="s">
        <v>143</v>
      </c>
      <c r="C191" s="98" t="n">
        <v>51047413</v>
      </c>
      <c r="D191" s="98" t="s">
        <v>845</v>
      </c>
      <c r="E191" s="98" t="s">
        <v>725</v>
      </c>
      <c r="F191" s="98" t="s">
        <v>167</v>
      </c>
      <c r="G191" s="98" t="s">
        <v>147</v>
      </c>
      <c r="H191" s="98" t="s">
        <v>165</v>
      </c>
      <c r="I191" s="99" t="n">
        <v>43492</v>
      </c>
      <c r="J191" s="99" t="n">
        <v>43578</v>
      </c>
      <c r="K191" s="100" t="n">
        <v>-61914.6</v>
      </c>
      <c r="L191" s="100" t="n">
        <f aca="false">K191-Q191+T191</f>
        <v>-52470</v>
      </c>
      <c r="M191" s="98" t="s">
        <v>149</v>
      </c>
      <c r="N191" s="100" t="n">
        <v>-61914.6</v>
      </c>
      <c r="O191" s="98" t="s">
        <v>149</v>
      </c>
      <c r="P191" s="100" t="n">
        <v>-61914.6</v>
      </c>
      <c r="Q191" s="100" t="n">
        <v>-9444.6</v>
      </c>
      <c r="R191" s="100" t="n">
        <v>-52470</v>
      </c>
      <c r="S191" s="100" t="n">
        <v>0</v>
      </c>
      <c r="T191" s="100" t="n">
        <v>0</v>
      </c>
      <c r="U191" s="98" t="s">
        <v>150</v>
      </c>
      <c r="V191" s="98" t="s">
        <v>151</v>
      </c>
      <c r="X191" s="98" t="s">
        <v>811</v>
      </c>
      <c r="Y191" s="98" t="s">
        <v>769</v>
      </c>
      <c r="Z191" s="98" t="s">
        <v>846</v>
      </c>
      <c r="AB191" s="98" t="s">
        <v>769</v>
      </c>
      <c r="AD191" s="98" t="s">
        <v>155</v>
      </c>
      <c r="AE191" s="98" t="s">
        <v>156</v>
      </c>
      <c r="AF191" s="98" t="s">
        <v>728</v>
      </c>
      <c r="AG191" s="98" t="s">
        <v>729</v>
      </c>
      <c r="AH191" s="98" t="s">
        <v>730</v>
      </c>
      <c r="AI191" s="98" t="s">
        <v>730</v>
      </c>
      <c r="AJ191" s="98" t="s">
        <v>731</v>
      </c>
      <c r="AK191" s="98" t="s">
        <v>159</v>
      </c>
      <c r="AL191" s="98" t="s">
        <v>224</v>
      </c>
      <c r="AM191" s="98" t="s">
        <v>225</v>
      </c>
      <c r="AP191" s="98" t="s">
        <v>389</v>
      </c>
      <c r="AQ191" s="98" t="s">
        <v>387</v>
      </c>
      <c r="AR191" s="98" t="s">
        <v>825</v>
      </c>
      <c r="AS191" s="98" t="s">
        <v>847</v>
      </c>
      <c r="AT191" s="100" t="n">
        <v>0</v>
      </c>
      <c r="AU191" s="100" t="n">
        <v>-61914.6</v>
      </c>
      <c r="AX191" s="98" t="s">
        <v>165</v>
      </c>
      <c r="AMH191" s="0"/>
      <c r="AMI191" s="0"/>
      <c r="AMJ191" s="0"/>
    </row>
    <row r="192" s="98" customFormat="true" ht="13.8" hidden="false" customHeight="false" outlineLevel="0" collapsed="false">
      <c r="A192" s="98" t="s">
        <v>142</v>
      </c>
      <c r="B192" s="98" t="s">
        <v>143</v>
      </c>
      <c r="C192" s="98" t="n">
        <v>51047414</v>
      </c>
      <c r="D192" s="98" t="s">
        <v>848</v>
      </c>
      <c r="E192" s="98" t="s">
        <v>725</v>
      </c>
      <c r="F192" s="98" t="s">
        <v>167</v>
      </c>
      <c r="G192" s="98" t="s">
        <v>147</v>
      </c>
      <c r="H192" s="98" t="s">
        <v>165</v>
      </c>
      <c r="I192" s="99" t="n">
        <v>43492</v>
      </c>
      <c r="J192" s="99" t="n">
        <v>43578</v>
      </c>
      <c r="K192" s="100" t="n">
        <v>-61961.33</v>
      </c>
      <c r="L192" s="100" t="n">
        <f aca="false">K192-Q192+T192</f>
        <v>-52509.6</v>
      </c>
      <c r="M192" s="98" t="s">
        <v>149</v>
      </c>
      <c r="N192" s="100" t="n">
        <v>-61961.33</v>
      </c>
      <c r="O192" s="98" t="s">
        <v>149</v>
      </c>
      <c r="P192" s="100" t="n">
        <v>-61961.33</v>
      </c>
      <c r="Q192" s="100" t="n">
        <v>-9451.73</v>
      </c>
      <c r="R192" s="100" t="n">
        <v>-52509.6</v>
      </c>
      <c r="S192" s="100" t="n">
        <v>0</v>
      </c>
      <c r="T192" s="100" t="n">
        <v>0</v>
      </c>
      <c r="U192" s="98" t="s">
        <v>150</v>
      </c>
      <c r="V192" s="98" t="s">
        <v>151</v>
      </c>
      <c r="X192" s="98" t="s">
        <v>811</v>
      </c>
      <c r="Y192" s="98" t="s">
        <v>769</v>
      </c>
      <c r="Z192" s="98" t="s">
        <v>849</v>
      </c>
      <c r="AB192" s="98" t="s">
        <v>769</v>
      </c>
      <c r="AD192" s="98" t="s">
        <v>155</v>
      </c>
      <c r="AE192" s="98" t="s">
        <v>156</v>
      </c>
      <c r="AF192" s="98" t="s">
        <v>728</v>
      </c>
      <c r="AG192" s="98" t="s">
        <v>729</v>
      </c>
      <c r="AH192" s="98" t="s">
        <v>730</v>
      </c>
      <c r="AI192" s="98" t="s">
        <v>730</v>
      </c>
      <c r="AJ192" s="98" t="s">
        <v>731</v>
      </c>
      <c r="AK192" s="98" t="s">
        <v>159</v>
      </c>
      <c r="AL192" s="98" t="s">
        <v>224</v>
      </c>
      <c r="AM192" s="98" t="s">
        <v>225</v>
      </c>
      <c r="AP192" s="98" t="s">
        <v>389</v>
      </c>
      <c r="AQ192" s="98" t="s">
        <v>387</v>
      </c>
      <c r="AR192" s="98" t="s">
        <v>825</v>
      </c>
      <c r="AS192" s="98" t="s">
        <v>850</v>
      </c>
      <c r="AT192" s="100" t="n">
        <v>0</v>
      </c>
      <c r="AU192" s="100" t="n">
        <v>-61961.33</v>
      </c>
      <c r="AX192" s="98" t="s">
        <v>165</v>
      </c>
      <c r="AMH192" s="0"/>
      <c r="AMI192" s="0"/>
      <c r="AMJ192" s="0"/>
    </row>
    <row r="193" s="98" customFormat="true" ht="13.8" hidden="false" customHeight="false" outlineLevel="0" collapsed="false">
      <c r="A193" s="98" t="s">
        <v>142</v>
      </c>
      <c r="B193" s="98" t="s">
        <v>143</v>
      </c>
      <c r="C193" s="98" t="n">
        <v>51047416</v>
      </c>
      <c r="D193" s="98" t="s">
        <v>851</v>
      </c>
      <c r="E193" s="98" t="s">
        <v>725</v>
      </c>
      <c r="F193" s="98" t="s">
        <v>167</v>
      </c>
      <c r="G193" s="98" t="s">
        <v>147</v>
      </c>
      <c r="H193" s="98" t="s">
        <v>165</v>
      </c>
      <c r="I193" s="99" t="n">
        <v>43492</v>
      </c>
      <c r="J193" s="99" t="n">
        <v>43578</v>
      </c>
      <c r="K193" s="100" t="n">
        <v>-31167.58</v>
      </c>
      <c r="L193" s="100" t="n">
        <f aca="false">K193-Q193+T193</f>
        <v>-26413.2</v>
      </c>
      <c r="M193" s="98" t="s">
        <v>149</v>
      </c>
      <c r="N193" s="100" t="n">
        <v>-31167.58</v>
      </c>
      <c r="O193" s="98" t="s">
        <v>149</v>
      </c>
      <c r="P193" s="100" t="n">
        <v>-31167.58</v>
      </c>
      <c r="Q193" s="100" t="n">
        <v>-4754.38</v>
      </c>
      <c r="R193" s="100" t="n">
        <v>-26413.2</v>
      </c>
      <c r="S193" s="100" t="n">
        <v>0</v>
      </c>
      <c r="T193" s="100" t="n">
        <v>0</v>
      </c>
      <c r="U193" s="98" t="s">
        <v>150</v>
      </c>
      <c r="V193" s="98" t="s">
        <v>151</v>
      </c>
      <c r="X193" s="98" t="s">
        <v>811</v>
      </c>
      <c r="Y193" s="98" t="s">
        <v>769</v>
      </c>
      <c r="Z193" s="98" t="s">
        <v>852</v>
      </c>
      <c r="AB193" s="98" t="s">
        <v>769</v>
      </c>
      <c r="AD193" s="98" t="s">
        <v>155</v>
      </c>
      <c r="AE193" s="98" t="s">
        <v>156</v>
      </c>
      <c r="AF193" s="98" t="s">
        <v>728</v>
      </c>
      <c r="AG193" s="98" t="s">
        <v>729</v>
      </c>
      <c r="AH193" s="98" t="s">
        <v>730</v>
      </c>
      <c r="AI193" s="98" t="s">
        <v>730</v>
      </c>
      <c r="AJ193" s="98" t="s">
        <v>731</v>
      </c>
      <c r="AK193" s="98" t="s">
        <v>159</v>
      </c>
      <c r="AL193" s="98" t="s">
        <v>224</v>
      </c>
      <c r="AM193" s="98" t="s">
        <v>225</v>
      </c>
      <c r="AP193" s="98" t="s">
        <v>389</v>
      </c>
      <c r="AQ193" s="98" t="s">
        <v>387</v>
      </c>
      <c r="AR193" s="98" t="s">
        <v>825</v>
      </c>
      <c r="AS193" s="98" t="s">
        <v>853</v>
      </c>
      <c r="AT193" s="100" t="n">
        <v>0</v>
      </c>
      <c r="AU193" s="100" t="n">
        <v>-31167.58</v>
      </c>
      <c r="AX193" s="98" t="s">
        <v>165</v>
      </c>
      <c r="AMH193" s="0"/>
      <c r="AMI193" s="0"/>
      <c r="AMJ193" s="0"/>
    </row>
    <row r="194" s="98" customFormat="true" ht="13.8" hidden="false" customHeight="false" outlineLevel="0" collapsed="false">
      <c r="A194" s="98" t="s">
        <v>142</v>
      </c>
      <c r="B194" s="98" t="s">
        <v>143</v>
      </c>
      <c r="C194" s="98" t="n">
        <v>51047418</v>
      </c>
      <c r="D194" s="98" t="s">
        <v>854</v>
      </c>
      <c r="E194" s="98" t="s">
        <v>725</v>
      </c>
      <c r="F194" s="98" t="s">
        <v>167</v>
      </c>
      <c r="G194" s="98" t="s">
        <v>147</v>
      </c>
      <c r="H194" s="98" t="s">
        <v>165</v>
      </c>
      <c r="I194" s="99" t="n">
        <v>43492</v>
      </c>
      <c r="J194" s="99" t="n">
        <v>43578</v>
      </c>
      <c r="K194" s="100" t="n">
        <v>-14018.4</v>
      </c>
      <c r="L194" s="100" t="n">
        <f aca="false">K194-Q194+T194</f>
        <v>-11880</v>
      </c>
      <c r="M194" s="98" t="s">
        <v>149</v>
      </c>
      <c r="N194" s="100" t="n">
        <v>-14018.4</v>
      </c>
      <c r="O194" s="98" t="s">
        <v>149</v>
      </c>
      <c r="P194" s="100" t="n">
        <v>-14018.4</v>
      </c>
      <c r="Q194" s="100" t="n">
        <v>-2138.4</v>
      </c>
      <c r="R194" s="100" t="n">
        <v>-11880</v>
      </c>
      <c r="S194" s="100" t="n">
        <v>0</v>
      </c>
      <c r="T194" s="100" t="n">
        <v>0</v>
      </c>
      <c r="U194" s="98" t="s">
        <v>150</v>
      </c>
      <c r="V194" s="98" t="s">
        <v>151</v>
      </c>
      <c r="X194" s="98" t="s">
        <v>811</v>
      </c>
      <c r="Y194" s="98" t="s">
        <v>769</v>
      </c>
      <c r="Z194" s="98" t="s">
        <v>855</v>
      </c>
      <c r="AB194" s="98" t="s">
        <v>769</v>
      </c>
      <c r="AD194" s="98" t="s">
        <v>155</v>
      </c>
      <c r="AE194" s="98" t="s">
        <v>156</v>
      </c>
      <c r="AF194" s="98" t="s">
        <v>728</v>
      </c>
      <c r="AG194" s="98" t="s">
        <v>729</v>
      </c>
      <c r="AH194" s="98" t="s">
        <v>730</v>
      </c>
      <c r="AI194" s="98" t="s">
        <v>730</v>
      </c>
      <c r="AJ194" s="98" t="s">
        <v>731</v>
      </c>
      <c r="AK194" s="98" t="s">
        <v>159</v>
      </c>
      <c r="AL194" s="98" t="s">
        <v>224</v>
      </c>
      <c r="AM194" s="98" t="s">
        <v>225</v>
      </c>
      <c r="AP194" s="98" t="s">
        <v>389</v>
      </c>
      <c r="AQ194" s="98" t="s">
        <v>387</v>
      </c>
      <c r="AR194" s="98" t="s">
        <v>825</v>
      </c>
      <c r="AS194" s="98" t="s">
        <v>856</v>
      </c>
      <c r="AT194" s="100" t="n">
        <v>0</v>
      </c>
      <c r="AU194" s="100" t="n">
        <v>-14018.4</v>
      </c>
      <c r="AX194" s="98" t="s">
        <v>165</v>
      </c>
      <c r="AMH194" s="0"/>
      <c r="AMI194" s="0"/>
      <c r="AMJ194" s="0"/>
    </row>
    <row r="195" s="98" customFormat="true" ht="13.8" hidden="false" customHeight="false" outlineLevel="0" collapsed="false">
      <c r="A195" s="98" t="s">
        <v>142</v>
      </c>
      <c r="B195" s="98" t="s">
        <v>143</v>
      </c>
      <c r="C195" s="98" t="n">
        <v>51760890</v>
      </c>
      <c r="D195" s="98" t="s">
        <v>857</v>
      </c>
      <c r="E195" s="98" t="s">
        <v>725</v>
      </c>
      <c r="F195" s="98" t="s">
        <v>234</v>
      </c>
      <c r="G195" s="98" t="s">
        <v>147</v>
      </c>
      <c r="H195" s="98" t="s">
        <v>213</v>
      </c>
      <c r="I195" s="104" t="n">
        <v>40379</v>
      </c>
      <c r="J195" s="99" t="n">
        <v>43908</v>
      </c>
      <c r="K195" s="100" t="n">
        <v>-2834</v>
      </c>
      <c r="L195" s="100" t="n">
        <f aca="false">K195-Q195+T195</f>
        <v>-2834</v>
      </c>
      <c r="M195" s="98" t="s">
        <v>149</v>
      </c>
      <c r="N195" s="100" t="n">
        <v>-2834</v>
      </c>
      <c r="O195" s="98" t="s">
        <v>149</v>
      </c>
      <c r="P195" s="100" t="n">
        <v>-2834</v>
      </c>
      <c r="Q195" s="100" t="n">
        <v>0</v>
      </c>
      <c r="R195" s="100" t="n">
        <v>-2834</v>
      </c>
      <c r="S195" s="100" t="n">
        <v>0</v>
      </c>
      <c r="T195" s="100" t="n">
        <v>0</v>
      </c>
      <c r="U195" s="98" t="s">
        <v>192</v>
      </c>
      <c r="V195" s="98" t="s">
        <v>151</v>
      </c>
      <c r="X195" s="98" t="s">
        <v>858</v>
      </c>
      <c r="Y195" s="98" t="s">
        <v>859</v>
      </c>
      <c r="Z195" s="98" t="s">
        <v>860</v>
      </c>
      <c r="AB195" s="98" t="s">
        <v>861</v>
      </c>
      <c r="AD195" s="98" t="s">
        <v>155</v>
      </c>
      <c r="AE195" s="98" t="s">
        <v>156</v>
      </c>
      <c r="AF195" s="98" t="s">
        <v>862</v>
      </c>
      <c r="AG195" s="98" t="s">
        <v>863</v>
      </c>
      <c r="AH195" s="98" t="s">
        <v>864</v>
      </c>
      <c r="AI195" s="98" t="s">
        <v>864</v>
      </c>
      <c r="AJ195" s="98" t="s">
        <v>865</v>
      </c>
      <c r="AK195" s="98" t="s">
        <v>159</v>
      </c>
      <c r="AL195" s="98" t="s">
        <v>224</v>
      </c>
      <c r="AM195" s="98" t="s">
        <v>225</v>
      </c>
      <c r="AP195" s="98" t="s">
        <v>866</v>
      </c>
      <c r="AQ195" s="98" t="s">
        <v>867</v>
      </c>
      <c r="AR195" s="98" t="s">
        <v>868</v>
      </c>
      <c r="AS195" s="98" t="s">
        <v>869</v>
      </c>
      <c r="AT195" s="100" t="n">
        <v>0</v>
      </c>
      <c r="AU195" s="100" t="n">
        <v>-2834</v>
      </c>
      <c r="AX195" s="98" t="s">
        <v>165</v>
      </c>
      <c r="AMH195" s="0"/>
      <c r="AMI195" s="0"/>
      <c r="AMJ195" s="0"/>
    </row>
    <row r="196" s="98" customFormat="true" ht="13.8" hidden="false" customHeight="false" outlineLevel="0" collapsed="false">
      <c r="A196" s="98" t="s">
        <v>142</v>
      </c>
      <c r="B196" s="98" t="s">
        <v>143</v>
      </c>
      <c r="C196" s="98" t="n">
        <v>51760823</v>
      </c>
      <c r="D196" s="98" t="s">
        <v>220</v>
      </c>
      <c r="E196" s="98" t="s">
        <v>725</v>
      </c>
      <c r="F196" s="98" t="s">
        <v>234</v>
      </c>
      <c r="G196" s="98" t="s">
        <v>147</v>
      </c>
      <c r="H196" s="98" t="s">
        <v>213</v>
      </c>
      <c r="I196" s="104" t="n">
        <v>40382</v>
      </c>
      <c r="J196" s="99" t="n">
        <v>43908</v>
      </c>
      <c r="K196" s="100" t="n">
        <v>-7802.46</v>
      </c>
      <c r="L196" s="100" t="n">
        <f aca="false">K196-Q196+T196</f>
        <v>-7802.46</v>
      </c>
      <c r="M196" s="98" t="s">
        <v>149</v>
      </c>
      <c r="N196" s="100" t="n">
        <v>-7802.46</v>
      </c>
      <c r="O196" s="98" t="s">
        <v>149</v>
      </c>
      <c r="P196" s="100" t="n">
        <v>-7802.46</v>
      </c>
      <c r="Q196" s="100" t="n">
        <v>0</v>
      </c>
      <c r="R196" s="100" t="n">
        <v>-7802.46</v>
      </c>
      <c r="S196" s="100" t="n">
        <v>0</v>
      </c>
      <c r="T196" s="100" t="n">
        <v>0</v>
      </c>
      <c r="U196" s="98" t="s">
        <v>192</v>
      </c>
      <c r="V196" s="98" t="s">
        <v>151</v>
      </c>
      <c r="X196" s="98" t="s">
        <v>858</v>
      </c>
      <c r="Y196" s="98" t="s">
        <v>859</v>
      </c>
      <c r="Z196" s="98" t="s">
        <v>870</v>
      </c>
      <c r="AB196" s="98" t="s">
        <v>871</v>
      </c>
      <c r="AD196" s="98" t="s">
        <v>155</v>
      </c>
      <c r="AE196" s="98" t="s">
        <v>156</v>
      </c>
      <c r="AF196" s="98" t="s">
        <v>862</v>
      </c>
      <c r="AG196" s="98" t="s">
        <v>863</v>
      </c>
      <c r="AH196" s="98" t="s">
        <v>864</v>
      </c>
      <c r="AI196" s="98" t="s">
        <v>864</v>
      </c>
      <c r="AJ196" s="98" t="s">
        <v>865</v>
      </c>
      <c r="AK196" s="98" t="s">
        <v>159</v>
      </c>
      <c r="AL196" s="98" t="s">
        <v>224</v>
      </c>
      <c r="AM196" s="98" t="s">
        <v>225</v>
      </c>
      <c r="AP196" s="98" t="s">
        <v>872</v>
      </c>
      <c r="AQ196" s="98" t="s">
        <v>873</v>
      </c>
      <c r="AR196" s="98" t="s">
        <v>868</v>
      </c>
      <c r="AS196" s="98" t="s">
        <v>874</v>
      </c>
      <c r="AT196" s="100" t="n">
        <v>0</v>
      </c>
      <c r="AU196" s="100" t="n">
        <v>-7802.46</v>
      </c>
      <c r="AX196" s="98" t="s">
        <v>165</v>
      </c>
      <c r="AMH196" s="0"/>
      <c r="AMI196" s="0"/>
      <c r="AMJ196" s="0"/>
    </row>
    <row r="197" s="98" customFormat="true" ht="13.8" hidden="false" customHeight="false" outlineLevel="0" collapsed="false">
      <c r="A197" s="98" t="s">
        <v>142</v>
      </c>
      <c r="B197" s="98" t="s">
        <v>143</v>
      </c>
      <c r="C197" s="98" t="n">
        <v>51786309</v>
      </c>
      <c r="D197" s="98" t="s">
        <v>875</v>
      </c>
      <c r="E197" s="98" t="s">
        <v>725</v>
      </c>
      <c r="F197" s="98" t="s">
        <v>278</v>
      </c>
      <c r="G197" s="98" t="s">
        <v>147</v>
      </c>
      <c r="H197" s="98" t="s">
        <v>213</v>
      </c>
      <c r="I197" s="104" t="n">
        <v>40448</v>
      </c>
      <c r="J197" s="99" t="n">
        <v>43921</v>
      </c>
      <c r="K197" s="100" t="n">
        <v>-12970.19</v>
      </c>
      <c r="L197" s="100" t="n">
        <f aca="false">K197-Q197+T197</f>
        <v>-12970.19</v>
      </c>
      <c r="M197" s="98" t="s">
        <v>149</v>
      </c>
      <c r="N197" s="100" t="n">
        <v>-12970.19</v>
      </c>
      <c r="O197" s="98" t="s">
        <v>149</v>
      </c>
      <c r="P197" s="100" t="n">
        <v>-12970.19</v>
      </c>
      <c r="Q197" s="100" t="n">
        <v>0</v>
      </c>
      <c r="R197" s="100" t="n">
        <v>-12970.19</v>
      </c>
      <c r="S197" s="100" t="n">
        <v>0</v>
      </c>
      <c r="T197" s="100" t="n">
        <v>0</v>
      </c>
      <c r="U197" s="98" t="s">
        <v>192</v>
      </c>
      <c r="V197" s="98" t="s">
        <v>151</v>
      </c>
      <c r="X197" s="98" t="s">
        <v>876</v>
      </c>
      <c r="Y197" s="98" t="s">
        <v>877</v>
      </c>
      <c r="Z197" s="98" t="s">
        <v>878</v>
      </c>
      <c r="AB197" s="98" t="s">
        <v>879</v>
      </c>
      <c r="AD197" s="98" t="s">
        <v>155</v>
      </c>
      <c r="AE197" s="98" t="s">
        <v>156</v>
      </c>
      <c r="AF197" s="98" t="s">
        <v>862</v>
      </c>
      <c r="AG197" s="98" t="s">
        <v>863</v>
      </c>
      <c r="AH197" s="98" t="s">
        <v>864</v>
      </c>
      <c r="AI197" s="98" t="s">
        <v>864</v>
      </c>
      <c r="AJ197" s="98" t="s">
        <v>865</v>
      </c>
      <c r="AK197" s="98" t="s">
        <v>159</v>
      </c>
      <c r="AL197" s="98" t="s">
        <v>224</v>
      </c>
      <c r="AM197" s="98" t="s">
        <v>225</v>
      </c>
      <c r="AR197" s="98" t="s">
        <v>880</v>
      </c>
      <c r="AS197" s="98" t="s">
        <v>881</v>
      </c>
      <c r="AT197" s="100" t="n">
        <v>0</v>
      </c>
      <c r="AU197" s="100" t="n">
        <v>-12970.19</v>
      </c>
      <c r="AX197" s="98" t="s">
        <v>165</v>
      </c>
      <c r="AMH197" s="0"/>
      <c r="AMI197" s="0"/>
      <c r="AMJ197" s="0"/>
    </row>
    <row r="198" s="98" customFormat="true" ht="13.8" hidden="false" customHeight="false" outlineLevel="0" collapsed="false">
      <c r="A198" s="98" t="s">
        <v>142</v>
      </c>
      <c r="B198" s="98" t="s">
        <v>143</v>
      </c>
      <c r="C198" s="98" t="n">
        <v>51062273</v>
      </c>
      <c r="D198" s="98" t="s">
        <v>882</v>
      </c>
      <c r="E198" s="98" t="s">
        <v>725</v>
      </c>
      <c r="F198" s="98" t="s">
        <v>167</v>
      </c>
      <c r="G198" s="98" t="s">
        <v>147</v>
      </c>
      <c r="H198" s="98" t="s">
        <v>165</v>
      </c>
      <c r="I198" s="99" t="n">
        <v>43492</v>
      </c>
      <c r="J198" s="99" t="n">
        <v>43585</v>
      </c>
      <c r="K198" s="100" t="n">
        <v>-43091.71</v>
      </c>
      <c r="L198" s="100" t="n">
        <f aca="false">K198-Q198+T198</f>
        <v>-36518.4</v>
      </c>
      <c r="M198" s="98" t="s">
        <v>149</v>
      </c>
      <c r="N198" s="100" t="n">
        <v>-43091.71</v>
      </c>
      <c r="O198" s="98" t="s">
        <v>149</v>
      </c>
      <c r="P198" s="100" t="n">
        <v>-43091.71</v>
      </c>
      <c r="Q198" s="100" t="n">
        <v>-6573.31</v>
      </c>
      <c r="R198" s="100" t="n">
        <v>-36518.4</v>
      </c>
      <c r="S198" s="100" t="n">
        <v>0</v>
      </c>
      <c r="T198" s="100" t="n">
        <v>0</v>
      </c>
      <c r="U198" s="98" t="s">
        <v>150</v>
      </c>
      <c r="V198" s="98" t="s">
        <v>151</v>
      </c>
      <c r="Y198" s="98" t="s">
        <v>769</v>
      </c>
      <c r="Z198" s="98" t="s">
        <v>883</v>
      </c>
      <c r="AB198" s="98" t="s">
        <v>769</v>
      </c>
      <c r="AD198" s="98" t="s">
        <v>155</v>
      </c>
      <c r="AE198" s="98" t="s">
        <v>156</v>
      </c>
      <c r="AF198" s="98" t="s">
        <v>728</v>
      </c>
      <c r="AG198" s="98" t="s">
        <v>729</v>
      </c>
      <c r="AH198" s="98" t="s">
        <v>730</v>
      </c>
      <c r="AI198" s="98" t="s">
        <v>730</v>
      </c>
      <c r="AJ198" s="98" t="s">
        <v>731</v>
      </c>
      <c r="AK198" s="98" t="s">
        <v>159</v>
      </c>
      <c r="AL198" s="98" t="s">
        <v>224</v>
      </c>
      <c r="AM198" s="98" t="s">
        <v>225</v>
      </c>
      <c r="AP198" s="98" t="s">
        <v>321</v>
      </c>
      <c r="AQ198" s="98" t="s">
        <v>319</v>
      </c>
      <c r="AR198" s="98" t="s">
        <v>884</v>
      </c>
      <c r="AS198" s="98" t="s">
        <v>885</v>
      </c>
      <c r="AT198" s="100" t="n">
        <v>0</v>
      </c>
      <c r="AU198" s="100" t="n">
        <v>-43091.71</v>
      </c>
      <c r="AX198" s="98" t="s">
        <v>165</v>
      </c>
      <c r="AMH198" s="0"/>
      <c r="AMI198" s="0"/>
      <c r="AMJ198" s="0"/>
    </row>
    <row r="199" s="98" customFormat="true" ht="13.8" hidden="false" customHeight="false" outlineLevel="0" collapsed="false">
      <c r="A199" s="98" t="s">
        <v>142</v>
      </c>
      <c r="B199" s="98" t="s">
        <v>143</v>
      </c>
      <c r="C199" s="98" t="n">
        <v>51062274</v>
      </c>
      <c r="D199" s="98" t="s">
        <v>886</v>
      </c>
      <c r="E199" s="98" t="s">
        <v>725</v>
      </c>
      <c r="F199" s="98" t="s">
        <v>167</v>
      </c>
      <c r="G199" s="98" t="s">
        <v>147</v>
      </c>
      <c r="H199" s="98" t="s">
        <v>165</v>
      </c>
      <c r="I199" s="99" t="n">
        <v>43492</v>
      </c>
      <c r="J199" s="99" t="n">
        <v>43585</v>
      </c>
      <c r="K199" s="100" t="n">
        <v>-121118.98</v>
      </c>
      <c r="L199" s="100" t="n">
        <f aca="false">K199-Q199+T199</f>
        <v>-102643.2</v>
      </c>
      <c r="M199" s="98" t="s">
        <v>149</v>
      </c>
      <c r="N199" s="100" t="n">
        <v>-121118.98</v>
      </c>
      <c r="O199" s="98" t="s">
        <v>149</v>
      </c>
      <c r="P199" s="100" t="n">
        <v>-121118.98</v>
      </c>
      <c r="Q199" s="100" t="n">
        <v>-18475.78</v>
      </c>
      <c r="R199" s="100" t="n">
        <v>-102643.2</v>
      </c>
      <c r="S199" s="100" t="n">
        <v>0</v>
      </c>
      <c r="T199" s="100" t="n">
        <v>0</v>
      </c>
      <c r="U199" s="98" t="s">
        <v>150</v>
      </c>
      <c r="V199" s="98" t="s">
        <v>151</v>
      </c>
      <c r="Y199" s="98" t="s">
        <v>769</v>
      </c>
      <c r="Z199" s="98" t="s">
        <v>887</v>
      </c>
      <c r="AB199" s="98" t="s">
        <v>769</v>
      </c>
      <c r="AD199" s="98" t="s">
        <v>155</v>
      </c>
      <c r="AE199" s="98" t="s">
        <v>156</v>
      </c>
      <c r="AF199" s="98" t="s">
        <v>728</v>
      </c>
      <c r="AG199" s="98" t="s">
        <v>729</v>
      </c>
      <c r="AH199" s="98" t="s">
        <v>730</v>
      </c>
      <c r="AI199" s="98" t="s">
        <v>730</v>
      </c>
      <c r="AJ199" s="98" t="s">
        <v>731</v>
      </c>
      <c r="AK199" s="98" t="s">
        <v>159</v>
      </c>
      <c r="AL199" s="98" t="s">
        <v>224</v>
      </c>
      <c r="AM199" s="98" t="s">
        <v>225</v>
      </c>
      <c r="AP199" s="98" t="s">
        <v>335</v>
      </c>
      <c r="AQ199" s="98" t="s">
        <v>329</v>
      </c>
      <c r="AR199" s="98" t="s">
        <v>884</v>
      </c>
      <c r="AS199" s="98" t="s">
        <v>888</v>
      </c>
      <c r="AT199" s="100" t="n">
        <v>0</v>
      </c>
      <c r="AU199" s="100" t="n">
        <v>-121118.98</v>
      </c>
      <c r="AX199" s="98" t="s">
        <v>165</v>
      </c>
      <c r="AMH199" s="0"/>
      <c r="AMI199" s="0"/>
      <c r="AMJ199" s="0"/>
    </row>
    <row r="200" s="98" customFormat="true" ht="13.8" hidden="false" customHeight="false" outlineLevel="0" collapsed="false">
      <c r="A200" s="98" t="s">
        <v>142</v>
      </c>
      <c r="B200" s="98" t="s">
        <v>143</v>
      </c>
      <c r="C200" s="98" t="n">
        <v>51062276</v>
      </c>
      <c r="D200" s="98" t="s">
        <v>889</v>
      </c>
      <c r="E200" s="98" t="s">
        <v>725</v>
      </c>
      <c r="F200" s="98" t="s">
        <v>167</v>
      </c>
      <c r="G200" s="98" t="s">
        <v>147</v>
      </c>
      <c r="H200" s="98" t="s">
        <v>165</v>
      </c>
      <c r="I200" s="99" t="n">
        <v>43492</v>
      </c>
      <c r="J200" s="99" t="n">
        <v>43585</v>
      </c>
      <c r="K200" s="100" t="n">
        <v>-13345.8</v>
      </c>
      <c r="L200" s="100" t="n">
        <f aca="false">K200-Q200+T200</f>
        <v>-11310</v>
      </c>
      <c r="M200" s="98" t="s">
        <v>149</v>
      </c>
      <c r="N200" s="100" t="n">
        <v>-13345.8</v>
      </c>
      <c r="O200" s="98" t="s">
        <v>149</v>
      </c>
      <c r="P200" s="100" t="n">
        <v>-13345.8</v>
      </c>
      <c r="Q200" s="100" t="n">
        <v>-2035.8</v>
      </c>
      <c r="R200" s="100" t="n">
        <v>-11310</v>
      </c>
      <c r="S200" s="100" t="n">
        <v>0</v>
      </c>
      <c r="T200" s="100" t="n">
        <v>0</v>
      </c>
      <c r="U200" s="98" t="s">
        <v>150</v>
      </c>
      <c r="V200" s="98" t="s">
        <v>151</v>
      </c>
      <c r="Y200" s="98" t="s">
        <v>769</v>
      </c>
      <c r="Z200" s="98" t="s">
        <v>890</v>
      </c>
      <c r="AB200" s="98" t="s">
        <v>769</v>
      </c>
      <c r="AD200" s="98" t="s">
        <v>155</v>
      </c>
      <c r="AE200" s="98" t="s">
        <v>156</v>
      </c>
      <c r="AF200" s="98" t="s">
        <v>728</v>
      </c>
      <c r="AG200" s="98" t="s">
        <v>729</v>
      </c>
      <c r="AH200" s="98" t="s">
        <v>730</v>
      </c>
      <c r="AI200" s="98" t="s">
        <v>730</v>
      </c>
      <c r="AJ200" s="98" t="s">
        <v>731</v>
      </c>
      <c r="AK200" s="98" t="s">
        <v>159</v>
      </c>
      <c r="AL200" s="98" t="s">
        <v>224</v>
      </c>
      <c r="AM200" s="98" t="s">
        <v>225</v>
      </c>
      <c r="AP200" s="98" t="s">
        <v>321</v>
      </c>
      <c r="AQ200" s="98" t="s">
        <v>319</v>
      </c>
      <c r="AR200" s="98" t="s">
        <v>884</v>
      </c>
      <c r="AS200" s="98" t="s">
        <v>891</v>
      </c>
      <c r="AT200" s="100" t="n">
        <v>0</v>
      </c>
      <c r="AU200" s="100" t="n">
        <v>-13345.8</v>
      </c>
      <c r="AX200" s="98" t="s">
        <v>165</v>
      </c>
      <c r="AMH200" s="0"/>
      <c r="AMI200" s="0"/>
      <c r="AMJ200" s="0"/>
    </row>
    <row r="201" s="98" customFormat="true" ht="13.8" hidden="false" customHeight="false" outlineLevel="0" collapsed="false">
      <c r="A201" s="98" t="s">
        <v>142</v>
      </c>
      <c r="B201" s="98" t="s">
        <v>143</v>
      </c>
      <c r="C201" s="98" t="n">
        <v>51062277</v>
      </c>
      <c r="D201" s="98" t="s">
        <v>892</v>
      </c>
      <c r="E201" s="98" t="s">
        <v>725</v>
      </c>
      <c r="F201" s="98" t="s">
        <v>167</v>
      </c>
      <c r="G201" s="98" t="s">
        <v>147</v>
      </c>
      <c r="H201" s="98" t="s">
        <v>165</v>
      </c>
      <c r="I201" s="99" t="n">
        <v>43492</v>
      </c>
      <c r="J201" s="99" t="n">
        <v>43585</v>
      </c>
      <c r="K201" s="100" t="n">
        <v>-2950</v>
      </c>
      <c r="L201" s="100" t="n">
        <f aca="false">K201-Q201+T201</f>
        <v>-2500</v>
      </c>
      <c r="M201" s="98" t="s">
        <v>149</v>
      </c>
      <c r="N201" s="100" t="n">
        <v>-2950</v>
      </c>
      <c r="O201" s="98" t="s">
        <v>149</v>
      </c>
      <c r="P201" s="100" t="n">
        <v>-2950</v>
      </c>
      <c r="Q201" s="100" t="n">
        <v>-450</v>
      </c>
      <c r="R201" s="100" t="n">
        <v>-2500</v>
      </c>
      <c r="S201" s="100" t="n">
        <v>0</v>
      </c>
      <c r="T201" s="100" t="n">
        <v>0</v>
      </c>
      <c r="U201" s="98" t="s">
        <v>150</v>
      </c>
      <c r="V201" s="98" t="s">
        <v>151</v>
      </c>
      <c r="Y201" s="98" t="s">
        <v>769</v>
      </c>
      <c r="Z201" s="98" t="s">
        <v>893</v>
      </c>
      <c r="AB201" s="98" t="s">
        <v>769</v>
      </c>
      <c r="AD201" s="98" t="s">
        <v>155</v>
      </c>
      <c r="AE201" s="98" t="s">
        <v>156</v>
      </c>
      <c r="AF201" s="98" t="s">
        <v>728</v>
      </c>
      <c r="AG201" s="98" t="s">
        <v>729</v>
      </c>
      <c r="AH201" s="98" t="s">
        <v>730</v>
      </c>
      <c r="AI201" s="98" t="s">
        <v>730</v>
      </c>
      <c r="AJ201" s="98" t="s">
        <v>731</v>
      </c>
      <c r="AK201" s="98" t="s">
        <v>159</v>
      </c>
      <c r="AL201" s="98" t="s">
        <v>224</v>
      </c>
      <c r="AM201" s="98" t="s">
        <v>225</v>
      </c>
      <c r="AP201" s="98" t="s">
        <v>321</v>
      </c>
      <c r="AQ201" s="98" t="s">
        <v>319</v>
      </c>
      <c r="AR201" s="98" t="s">
        <v>884</v>
      </c>
      <c r="AS201" s="98" t="s">
        <v>894</v>
      </c>
      <c r="AT201" s="100" t="n">
        <v>0</v>
      </c>
      <c r="AU201" s="100" t="n">
        <v>-2950</v>
      </c>
      <c r="AX201" s="98" t="s">
        <v>165</v>
      </c>
      <c r="AMH201" s="0"/>
      <c r="AMI201" s="0"/>
      <c r="AMJ201" s="0"/>
    </row>
    <row r="202" s="98" customFormat="true" ht="13.8" hidden="false" customHeight="false" outlineLevel="0" collapsed="false">
      <c r="A202" s="98" t="s">
        <v>142</v>
      </c>
      <c r="B202" s="98" t="s">
        <v>143</v>
      </c>
      <c r="C202" s="98" t="n">
        <v>51062278</v>
      </c>
      <c r="D202" s="98" t="s">
        <v>895</v>
      </c>
      <c r="E202" s="98" t="s">
        <v>725</v>
      </c>
      <c r="F202" s="98" t="s">
        <v>167</v>
      </c>
      <c r="G202" s="98" t="s">
        <v>147</v>
      </c>
      <c r="H202" s="98" t="s">
        <v>165</v>
      </c>
      <c r="I202" s="99" t="n">
        <v>43492</v>
      </c>
      <c r="J202" s="99" t="n">
        <v>43585</v>
      </c>
      <c r="K202" s="100" t="n">
        <v>-4425</v>
      </c>
      <c r="L202" s="100" t="n">
        <f aca="false">K202-Q202+T202</f>
        <v>-3750</v>
      </c>
      <c r="M202" s="98" t="s">
        <v>149</v>
      </c>
      <c r="N202" s="100" t="n">
        <v>-4425</v>
      </c>
      <c r="O202" s="98" t="s">
        <v>149</v>
      </c>
      <c r="P202" s="100" t="n">
        <v>-4425</v>
      </c>
      <c r="Q202" s="100" t="n">
        <v>-675</v>
      </c>
      <c r="R202" s="100" t="n">
        <v>-3750</v>
      </c>
      <c r="S202" s="100" t="n">
        <v>0</v>
      </c>
      <c r="T202" s="100" t="n">
        <v>0</v>
      </c>
      <c r="U202" s="98" t="s">
        <v>150</v>
      </c>
      <c r="V202" s="98" t="s">
        <v>151</v>
      </c>
      <c r="Y202" s="98" t="s">
        <v>769</v>
      </c>
      <c r="Z202" s="98" t="s">
        <v>896</v>
      </c>
      <c r="AB202" s="98" t="s">
        <v>769</v>
      </c>
      <c r="AD202" s="98" t="s">
        <v>155</v>
      </c>
      <c r="AE202" s="98" t="s">
        <v>156</v>
      </c>
      <c r="AF202" s="98" t="s">
        <v>728</v>
      </c>
      <c r="AG202" s="98" t="s">
        <v>729</v>
      </c>
      <c r="AH202" s="98" t="s">
        <v>730</v>
      </c>
      <c r="AI202" s="98" t="s">
        <v>730</v>
      </c>
      <c r="AJ202" s="98" t="s">
        <v>731</v>
      </c>
      <c r="AK202" s="98" t="s">
        <v>159</v>
      </c>
      <c r="AL202" s="98" t="s">
        <v>224</v>
      </c>
      <c r="AM202" s="98" t="s">
        <v>225</v>
      </c>
      <c r="AP202" s="98" t="s">
        <v>321</v>
      </c>
      <c r="AQ202" s="98" t="s">
        <v>319</v>
      </c>
      <c r="AR202" s="98" t="s">
        <v>884</v>
      </c>
      <c r="AS202" s="98" t="s">
        <v>897</v>
      </c>
      <c r="AT202" s="100" t="n">
        <v>0</v>
      </c>
      <c r="AU202" s="100" t="n">
        <v>-4425</v>
      </c>
      <c r="AX202" s="98" t="s">
        <v>165</v>
      </c>
      <c r="AMH202" s="0"/>
      <c r="AMI202" s="0"/>
      <c r="AMJ202" s="0"/>
    </row>
    <row r="203" s="98" customFormat="true" ht="13.8" hidden="false" customHeight="false" outlineLevel="0" collapsed="false">
      <c r="A203" s="98" t="s">
        <v>142</v>
      </c>
      <c r="B203" s="98" t="s">
        <v>143</v>
      </c>
      <c r="C203" s="98" t="n">
        <v>51062279</v>
      </c>
      <c r="D203" s="98" t="s">
        <v>898</v>
      </c>
      <c r="E203" s="98" t="s">
        <v>725</v>
      </c>
      <c r="F203" s="98" t="s">
        <v>167</v>
      </c>
      <c r="G203" s="98" t="s">
        <v>147</v>
      </c>
      <c r="H203" s="98" t="s">
        <v>165</v>
      </c>
      <c r="I203" s="99" t="n">
        <v>43492</v>
      </c>
      <c r="J203" s="99" t="n">
        <v>43585</v>
      </c>
      <c r="K203" s="100" t="n">
        <v>-3186</v>
      </c>
      <c r="L203" s="100" t="n">
        <f aca="false">K203-Q203+T203</f>
        <v>-2700</v>
      </c>
      <c r="M203" s="98" t="s">
        <v>149</v>
      </c>
      <c r="N203" s="100" t="n">
        <v>-3186</v>
      </c>
      <c r="O203" s="98" t="s">
        <v>149</v>
      </c>
      <c r="P203" s="100" t="n">
        <v>-3186</v>
      </c>
      <c r="Q203" s="100" t="n">
        <v>-486</v>
      </c>
      <c r="R203" s="100" t="n">
        <v>-2700</v>
      </c>
      <c r="S203" s="100" t="n">
        <v>0</v>
      </c>
      <c r="T203" s="100" t="n">
        <v>0</v>
      </c>
      <c r="U203" s="98" t="s">
        <v>150</v>
      </c>
      <c r="V203" s="98" t="s">
        <v>151</v>
      </c>
      <c r="Y203" s="98" t="s">
        <v>769</v>
      </c>
      <c r="Z203" s="98" t="s">
        <v>899</v>
      </c>
      <c r="AB203" s="98" t="s">
        <v>769</v>
      </c>
      <c r="AD203" s="98" t="s">
        <v>155</v>
      </c>
      <c r="AE203" s="98" t="s">
        <v>156</v>
      </c>
      <c r="AF203" s="98" t="s">
        <v>728</v>
      </c>
      <c r="AG203" s="98" t="s">
        <v>729</v>
      </c>
      <c r="AH203" s="98" t="s">
        <v>730</v>
      </c>
      <c r="AI203" s="98" t="s">
        <v>730</v>
      </c>
      <c r="AJ203" s="98" t="s">
        <v>731</v>
      </c>
      <c r="AK203" s="98" t="s">
        <v>159</v>
      </c>
      <c r="AL203" s="98" t="s">
        <v>224</v>
      </c>
      <c r="AM203" s="98" t="s">
        <v>225</v>
      </c>
      <c r="AP203" s="98" t="s">
        <v>321</v>
      </c>
      <c r="AQ203" s="98" t="s">
        <v>319</v>
      </c>
      <c r="AR203" s="98" t="s">
        <v>884</v>
      </c>
      <c r="AS203" s="98" t="s">
        <v>900</v>
      </c>
      <c r="AT203" s="100" t="n">
        <v>0</v>
      </c>
      <c r="AU203" s="100" t="n">
        <v>-3186</v>
      </c>
      <c r="AX203" s="98" t="s">
        <v>165</v>
      </c>
      <c r="AMH203" s="0"/>
      <c r="AMI203" s="0"/>
      <c r="AMJ203" s="0"/>
    </row>
    <row r="204" s="98" customFormat="true" ht="13.8" hidden="false" customHeight="false" outlineLevel="0" collapsed="false">
      <c r="A204" s="98" t="s">
        <v>142</v>
      </c>
      <c r="B204" s="98" t="s">
        <v>143</v>
      </c>
      <c r="C204" s="98" t="n">
        <v>51062280</v>
      </c>
      <c r="D204" s="98" t="s">
        <v>901</v>
      </c>
      <c r="E204" s="98" t="s">
        <v>725</v>
      </c>
      <c r="F204" s="98" t="s">
        <v>167</v>
      </c>
      <c r="G204" s="98" t="s">
        <v>147</v>
      </c>
      <c r="H204" s="98" t="s">
        <v>165</v>
      </c>
      <c r="I204" s="99" t="n">
        <v>43492</v>
      </c>
      <c r="J204" s="99" t="n">
        <v>43585</v>
      </c>
      <c r="K204" s="100" t="n">
        <v>-660.8</v>
      </c>
      <c r="L204" s="100" t="n">
        <f aca="false">K204-Q204+T204</f>
        <v>-560</v>
      </c>
      <c r="M204" s="98" t="s">
        <v>149</v>
      </c>
      <c r="N204" s="100" t="n">
        <v>-660.8</v>
      </c>
      <c r="O204" s="98" t="s">
        <v>149</v>
      </c>
      <c r="P204" s="100" t="n">
        <v>-660.8</v>
      </c>
      <c r="Q204" s="100" t="n">
        <v>-100.8</v>
      </c>
      <c r="R204" s="100" t="n">
        <v>-560</v>
      </c>
      <c r="S204" s="100" t="n">
        <v>0</v>
      </c>
      <c r="T204" s="100" t="n">
        <v>0</v>
      </c>
      <c r="U204" s="98" t="s">
        <v>150</v>
      </c>
      <c r="V204" s="98" t="s">
        <v>151</v>
      </c>
      <c r="Y204" s="98" t="s">
        <v>769</v>
      </c>
      <c r="Z204" s="98" t="s">
        <v>902</v>
      </c>
      <c r="AB204" s="98" t="s">
        <v>769</v>
      </c>
      <c r="AD204" s="98" t="s">
        <v>155</v>
      </c>
      <c r="AE204" s="98" t="s">
        <v>156</v>
      </c>
      <c r="AF204" s="98" t="s">
        <v>728</v>
      </c>
      <c r="AG204" s="98" t="s">
        <v>729</v>
      </c>
      <c r="AH204" s="98" t="s">
        <v>730</v>
      </c>
      <c r="AI204" s="98" t="s">
        <v>730</v>
      </c>
      <c r="AJ204" s="98" t="s">
        <v>731</v>
      </c>
      <c r="AK204" s="98" t="s">
        <v>159</v>
      </c>
      <c r="AL204" s="98" t="s">
        <v>224</v>
      </c>
      <c r="AM204" s="98" t="s">
        <v>225</v>
      </c>
      <c r="AP204" s="98" t="s">
        <v>321</v>
      </c>
      <c r="AQ204" s="98" t="s">
        <v>319</v>
      </c>
      <c r="AR204" s="98" t="s">
        <v>884</v>
      </c>
      <c r="AS204" s="98" t="s">
        <v>903</v>
      </c>
      <c r="AT204" s="100" t="n">
        <v>0</v>
      </c>
      <c r="AU204" s="100" t="n">
        <v>-660.8</v>
      </c>
      <c r="AX204" s="98" t="s">
        <v>165</v>
      </c>
      <c r="AMH204" s="0"/>
      <c r="AMI204" s="0"/>
      <c r="AMJ204" s="0"/>
    </row>
    <row r="205" s="98" customFormat="true" ht="13.8" hidden="false" customHeight="false" outlineLevel="0" collapsed="false">
      <c r="A205" s="98" t="s">
        <v>142</v>
      </c>
      <c r="B205" s="98" t="s">
        <v>143</v>
      </c>
      <c r="C205" s="98" t="n">
        <v>51079211</v>
      </c>
      <c r="D205" s="98" t="s">
        <v>802</v>
      </c>
      <c r="E205" s="98" t="s">
        <v>725</v>
      </c>
      <c r="F205" s="98" t="s">
        <v>212</v>
      </c>
      <c r="G205" s="98" t="s">
        <v>147</v>
      </c>
      <c r="H205" s="98" t="s">
        <v>220</v>
      </c>
      <c r="I205" s="104" t="n">
        <v>43594</v>
      </c>
      <c r="J205" s="99" t="n">
        <v>43594</v>
      </c>
      <c r="K205" s="100" t="n">
        <v>-24.56</v>
      </c>
      <c r="L205" s="100" t="n">
        <f aca="false">K205-Q205+T205</f>
        <v>-24.56</v>
      </c>
      <c r="M205" s="98" t="s">
        <v>149</v>
      </c>
      <c r="N205" s="100" t="n">
        <v>-24.56</v>
      </c>
      <c r="O205" s="98" t="s">
        <v>149</v>
      </c>
      <c r="P205" s="100" t="n">
        <v>-24.56</v>
      </c>
      <c r="Q205" s="100" t="n">
        <v>0</v>
      </c>
      <c r="R205" s="100" t="n">
        <v>-24.56</v>
      </c>
      <c r="S205" s="100" t="n">
        <v>0</v>
      </c>
      <c r="T205" s="100" t="n">
        <v>0</v>
      </c>
      <c r="U205" s="98" t="s">
        <v>192</v>
      </c>
      <c r="V205" s="98" t="s">
        <v>151</v>
      </c>
      <c r="X205" s="98" t="s">
        <v>803</v>
      </c>
      <c r="Y205" s="98" t="s">
        <v>802</v>
      </c>
      <c r="Z205" s="98" t="s">
        <v>804</v>
      </c>
      <c r="AB205" s="98" t="s">
        <v>802</v>
      </c>
      <c r="AD205" s="98" t="s">
        <v>155</v>
      </c>
      <c r="AE205" s="98" t="s">
        <v>156</v>
      </c>
      <c r="AF205" s="98" t="s">
        <v>805</v>
      </c>
      <c r="AG205" s="98" t="s">
        <v>806</v>
      </c>
      <c r="AH205" s="98" t="s">
        <v>730</v>
      </c>
      <c r="AI205" s="98" t="s">
        <v>730</v>
      </c>
      <c r="AJ205" s="98" t="s">
        <v>731</v>
      </c>
      <c r="AK205" s="98" t="s">
        <v>159</v>
      </c>
      <c r="AL205" s="98" t="s">
        <v>224</v>
      </c>
      <c r="AM205" s="98" t="s">
        <v>225</v>
      </c>
      <c r="AR205" s="98" t="s">
        <v>808</v>
      </c>
      <c r="AS205" s="98" t="s">
        <v>809</v>
      </c>
      <c r="AT205" s="100" t="n">
        <v>0</v>
      </c>
      <c r="AU205" s="100" t="n">
        <v>-24.56</v>
      </c>
      <c r="AX205" s="98" t="s">
        <v>175</v>
      </c>
      <c r="AMH205" s="0"/>
      <c r="AMI205" s="0"/>
      <c r="AMJ205" s="0"/>
    </row>
    <row r="206" s="98" customFormat="true" ht="13.8" hidden="false" customHeight="false" outlineLevel="0" collapsed="false">
      <c r="A206" s="98" t="s">
        <v>142</v>
      </c>
      <c r="B206" s="98" t="s">
        <v>143</v>
      </c>
      <c r="C206" s="98" t="n">
        <v>51041862</v>
      </c>
      <c r="D206" s="98" t="s">
        <v>904</v>
      </c>
      <c r="E206" s="98" t="s">
        <v>725</v>
      </c>
      <c r="F206" s="98" t="s">
        <v>146</v>
      </c>
      <c r="G206" s="98" t="s">
        <v>147</v>
      </c>
      <c r="H206" s="98" t="s">
        <v>165</v>
      </c>
      <c r="I206" s="99" t="n">
        <v>43574</v>
      </c>
      <c r="J206" s="99" t="n">
        <v>43575</v>
      </c>
      <c r="K206" s="100" t="n">
        <v>-236918.2</v>
      </c>
      <c r="L206" s="100" t="n">
        <f aca="false">K206-Q206+T206</f>
        <v>-204240</v>
      </c>
      <c r="M206" s="98" t="s">
        <v>149</v>
      </c>
      <c r="N206" s="100" t="n">
        <v>-236918.2</v>
      </c>
      <c r="O206" s="98" t="s">
        <v>149</v>
      </c>
      <c r="P206" s="100" t="n">
        <v>-241003.2</v>
      </c>
      <c r="Q206" s="100" t="n">
        <v>-36763.2</v>
      </c>
      <c r="R206" s="100" t="n">
        <v>-200155</v>
      </c>
      <c r="S206" s="100" t="n">
        <v>-204240</v>
      </c>
      <c r="T206" s="100" t="n">
        <v>-4085</v>
      </c>
      <c r="U206" s="98" t="s">
        <v>150</v>
      </c>
      <c r="V206" s="98" t="s">
        <v>151</v>
      </c>
      <c r="X206" s="98" t="s">
        <v>905</v>
      </c>
      <c r="Y206" s="98" t="s">
        <v>906</v>
      </c>
      <c r="Z206" s="98" t="s">
        <v>907</v>
      </c>
      <c r="AB206" s="98" t="s">
        <v>906</v>
      </c>
      <c r="AD206" s="98" t="s">
        <v>155</v>
      </c>
      <c r="AE206" s="98" t="s">
        <v>156</v>
      </c>
      <c r="AF206" s="98" t="s">
        <v>747</v>
      </c>
      <c r="AG206" s="98" t="s">
        <v>748</v>
      </c>
      <c r="AH206" s="98" t="s">
        <v>908</v>
      </c>
      <c r="AI206" s="98" t="s">
        <v>908</v>
      </c>
      <c r="AJ206" s="98" t="s">
        <v>909</v>
      </c>
      <c r="AK206" s="98" t="s">
        <v>159</v>
      </c>
      <c r="AL206" s="98" t="s">
        <v>224</v>
      </c>
      <c r="AM206" s="98" t="s">
        <v>225</v>
      </c>
      <c r="AP206" s="98" t="s">
        <v>339</v>
      </c>
      <c r="AQ206" s="98" t="s">
        <v>337</v>
      </c>
      <c r="AR206" s="98" t="s">
        <v>910</v>
      </c>
      <c r="AS206" s="98" t="s">
        <v>911</v>
      </c>
      <c r="AT206" s="100" t="n">
        <v>0</v>
      </c>
      <c r="AU206" s="100" t="n">
        <v>-236918.2</v>
      </c>
      <c r="AX206" s="98" t="s">
        <v>165</v>
      </c>
      <c r="AMH206" s="0"/>
      <c r="AMI206" s="0"/>
      <c r="AMJ206" s="0"/>
    </row>
    <row r="207" s="98" customFormat="true" ht="13.8" hidden="false" customHeight="false" outlineLevel="0" collapsed="false">
      <c r="A207" s="98" t="s">
        <v>142</v>
      </c>
      <c r="B207" s="98" t="s">
        <v>143</v>
      </c>
      <c r="C207" s="98" t="n">
        <v>51253749</v>
      </c>
      <c r="D207" s="98" t="s">
        <v>912</v>
      </c>
      <c r="E207" s="98" t="s">
        <v>725</v>
      </c>
      <c r="F207" s="98" t="s">
        <v>167</v>
      </c>
      <c r="G207" s="98" t="s">
        <v>147</v>
      </c>
      <c r="H207" s="98" t="s">
        <v>402</v>
      </c>
      <c r="I207" s="99" t="n">
        <v>43669</v>
      </c>
      <c r="J207" s="99" t="n">
        <v>43671</v>
      </c>
      <c r="K207" s="100" t="n">
        <v>-529366</v>
      </c>
      <c r="L207" s="100" t="n">
        <f aca="false">K207-Q207+T207</f>
        <v>-456350</v>
      </c>
      <c r="M207" s="98" t="s">
        <v>149</v>
      </c>
      <c r="N207" s="100" t="n">
        <v>-529366</v>
      </c>
      <c r="O207" s="98" t="s">
        <v>149</v>
      </c>
      <c r="P207" s="100" t="n">
        <v>-538493</v>
      </c>
      <c r="Q207" s="100" t="n">
        <v>-82143</v>
      </c>
      <c r="R207" s="100" t="n">
        <v>-447223</v>
      </c>
      <c r="S207" s="100" t="n">
        <v>-456350</v>
      </c>
      <c r="T207" s="100" t="n">
        <v>-9127</v>
      </c>
      <c r="U207" s="98" t="s">
        <v>192</v>
      </c>
      <c r="V207" s="98" t="s">
        <v>151</v>
      </c>
      <c r="X207" s="98" t="s">
        <v>744</v>
      </c>
      <c r="Y207" s="98" t="s">
        <v>913</v>
      </c>
      <c r="Z207" s="98" t="s">
        <v>914</v>
      </c>
      <c r="AB207" s="98" t="s">
        <v>913</v>
      </c>
      <c r="AD207" s="98" t="s">
        <v>155</v>
      </c>
      <c r="AE207" s="98" t="s">
        <v>156</v>
      </c>
      <c r="AF207" s="98" t="s">
        <v>747</v>
      </c>
      <c r="AG207" s="98" t="s">
        <v>748</v>
      </c>
      <c r="AH207" s="98" t="s">
        <v>749</v>
      </c>
      <c r="AI207" s="98" t="s">
        <v>749</v>
      </c>
      <c r="AJ207" s="98" t="s">
        <v>750</v>
      </c>
      <c r="AK207" s="98" t="s">
        <v>159</v>
      </c>
      <c r="AL207" s="98" t="s">
        <v>224</v>
      </c>
      <c r="AM207" s="98" t="s">
        <v>225</v>
      </c>
      <c r="AP207" s="98" t="s">
        <v>494</v>
      </c>
      <c r="AQ207" s="98" t="s">
        <v>492</v>
      </c>
      <c r="AR207" s="98" t="s">
        <v>452</v>
      </c>
      <c r="AS207" s="98" t="s">
        <v>915</v>
      </c>
      <c r="AT207" s="100" t="n">
        <v>0</v>
      </c>
      <c r="AU207" s="100" t="n">
        <v>-529366</v>
      </c>
      <c r="AX207" s="98" t="s">
        <v>165</v>
      </c>
      <c r="AMH207" s="0"/>
      <c r="AMI207" s="0"/>
      <c r="AMJ207" s="0"/>
    </row>
    <row r="208" s="98" customFormat="true" ht="13.8" hidden="false" customHeight="false" outlineLevel="0" collapsed="false">
      <c r="A208" s="98" t="s">
        <v>142</v>
      </c>
      <c r="B208" s="98" t="s">
        <v>143</v>
      </c>
      <c r="C208" s="98" t="n">
        <v>51253765</v>
      </c>
      <c r="D208" s="98" t="s">
        <v>916</v>
      </c>
      <c r="E208" s="98" t="s">
        <v>725</v>
      </c>
      <c r="F208" s="98" t="s">
        <v>167</v>
      </c>
      <c r="G208" s="98" t="s">
        <v>147</v>
      </c>
      <c r="H208" s="98" t="s">
        <v>402</v>
      </c>
      <c r="I208" s="99" t="n">
        <v>43669</v>
      </c>
      <c r="J208" s="99" t="n">
        <v>43671</v>
      </c>
      <c r="K208" s="100" t="n">
        <v>-114840</v>
      </c>
      <c r="L208" s="100" t="n">
        <f aca="false">K208-Q208+T208</f>
        <v>-99000</v>
      </c>
      <c r="M208" s="98" t="s">
        <v>149</v>
      </c>
      <c r="N208" s="100" t="n">
        <v>-114840</v>
      </c>
      <c r="O208" s="98" t="s">
        <v>149</v>
      </c>
      <c r="P208" s="100" t="n">
        <v>-116820</v>
      </c>
      <c r="Q208" s="100" t="n">
        <v>-17820</v>
      </c>
      <c r="R208" s="100" t="n">
        <v>-97020</v>
      </c>
      <c r="S208" s="100" t="n">
        <v>-99000</v>
      </c>
      <c r="T208" s="100" t="n">
        <v>-1980</v>
      </c>
      <c r="U208" s="98" t="s">
        <v>192</v>
      </c>
      <c r="V208" s="98" t="s">
        <v>151</v>
      </c>
      <c r="X208" s="98" t="s">
        <v>744</v>
      </c>
      <c r="Y208" s="98" t="s">
        <v>917</v>
      </c>
      <c r="Z208" s="98" t="s">
        <v>918</v>
      </c>
      <c r="AB208" s="98" t="s">
        <v>917</v>
      </c>
      <c r="AD208" s="98" t="s">
        <v>155</v>
      </c>
      <c r="AE208" s="98" t="s">
        <v>156</v>
      </c>
      <c r="AF208" s="98" t="s">
        <v>747</v>
      </c>
      <c r="AG208" s="98" t="s">
        <v>748</v>
      </c>
      <c r="AH208" s="98" t="s">
        <v>749</v>
      </c>
      <c r="AI208" s="98" t="s">
        <v>749</v>
      </c>
      <c r="AJ208" s="98" t="s">
        <v>750</v>
      </c>
      <c r="AK208" s="98" t="s">
        <v>159</v>
      </c>
      <c r="AL208" s="98" t="s">
        <v>224</v>
      </c>
      <c r="AM208" s="98" t="s">
        <v>225</v>
      </c>
      <c r="AP208" s="98" t="s">
        <v>494</v>
      </c>
      <c r="AQ208" s="98" t="s">
        <v>492</v>
      </c>
      <c r="AR208" s="98" t="s">
        <v>452</v>
      </c>
      <c r="AS208" s="98" t="s">
        <v>919</v>
      </c>
      <c r="AT208" s="100" t="n">
        <v>0</v>
      </c>
      <c r="AU208" s="100" t="n">
        <v>-114840</v>
      </c>
      <c r="AX208" s="98" t="s">
        <v>165</v>
      </c>
      <c r="AMH208" s="0"/>
      <c r="AMI208" s="0"/>
      <c r="AMJ208" s="0"/>
    </row>
    <row r="209" s="98" customFormat="true" ht="13.8" hidden="false" customHeight="false" outlineLevel="0" collapsed="false">
      <c r="A209" s="98" t="s">
        <v>142</v>
      </c>
      <c r="B209" s="98" t="s">
        <v>143</v>
      </c>
      <c r="C209" s="98" t="n">
        <v>51253765</v>
      </c>
      <c r="D209" s="98" t="s">
        <v>916</v>
      </c>
      <c r="E209" s="98" t="s">
        <v>725</v>
      </c>
      <c r="F209" s="98" t="s">
        <v>167</v>
      </c>
      <c r="G209" s="98" t="s">
        <v>147</v>
      </c>
      <c r="H209" s="98" t="s">
        <v>402</v>
      </c>
      <c r="I209" s="99" t="n">
        <v>43669</v>
      </c>
      <c r="J209" s="99" t="n">
        <v>43671</v>
      </c>
      <c r="K209" s="100" t="n">
        <v>-447876</v>
      </c>
      <c r="L209" s="100" t="n">
        <f aca="false">K209-Q209+T209</f>
        <v>-386100</v>
      </c>
      <c r="M209" s="98" t="s">
        <v>149</v>
      </c>
      <c r="N209" s="100" t="n">
        <v>-447876</v>
      </c>
      <c r="O209" s="98" t="s">
        <v>149</v>
      </c>
      <c r="P209" s="100" t="n">
        <v>-455598</v>
      </c>
      <c r="Q209" s="100" t="n">
        <v>-69498</v>
      </c>
      <c r="R209" s="100" t="n">
        <v>-378378</v>
      </c>
      <c r="S209" s="100" t="n">
        <v>-386100</v>
      </c>
      <c r="T209" s="100" t="n">
        <v>-7722</v>
      </c>
      <c r="U209" s="98" t="s">
        <v>192</v>
      </c>
      <c r="V209" s="98" t="s">
        <v>151</v>
      </c>
      <c r="X209" s="98" t="s">
        <v>744</v>
      </c>
      <c r="Y209" s="98" t="s">
        <v>917</v>
      </c>
      <c r="Z209" s="98" t="s">
        <v>918</v>
      </c>
      <c r="AB209" s="98" t="s">
        <v>917</v>
      </c>
      <c r="AD209" s="98" t="s">
        <v>155</v>
      </c>
      <c r="AE209" s="98" t="s">
        <v>156</v>
      </c>
      <c r="AF209" s="98" t="s">
        <v>747</v>
      </c>
      <c r="AG209" s="98" t="s">
        <v>748</v>
      </c>
      <c r="AH209" s="98" t="s">
        <v>749</v>
      </c>
      <c r="AI209" s="98" t="s">
        <v>749</v>
      </c>
      <c r="AJ209" s="98" t="s">
        <v>750</v>
      </c>
      <c r="AK209" s="98" t="s">
        <v>159</v>
      </c>
      <c r="AL209" s="98" t="s">
        <v>224</v>
      </c>
      <c r="AM209" s="98" t="s">
        <v>225</v>
      </c>
      <c r="AP209" s="98" t="s">
        <v>494</v>
      </c>
      <c r="AQ209" s="98" t="s">
        <v>492</v>
      </c>
      <c r="AR209" s="98" t="s">
        <v>452</v>
      </c>
      <c r="AS209" s="98" t="s">
        <v>919</v>
      </c>
      <c r="AT209" s="100" t="n">
        <v>0</v>
      </c>
      <c r="AU209" s="100" t="n">
        <v>-447876</v>
      </c>
      <c r="AX209" s="98" t="s">
        <v>220</v>
      </c>
      <c r="AMH209" s="0"/>
      <c r="AMI209" s="0"/>
      <c r="AMJ209" s="0"/>
    </row>
    <row r="210" s="98" customFormat="true" ht="13.8" hidden="false" customHeight="false" outlineLevel="0" collapsed="false">
      <c r="A210" s="98" t="s">
        <v>142</v>
      </c>
      <c r="B210" s="98" t="s">
        <v>143</v>
      </c>
      <c r="C210" s="98" t="n">
        <v>51253775</v>
      </c>
      <c r="D210" s="98" t="s">
        <v>920</v>
      </c>
      <c r="E210" s="98" t="s">
        <v>725</v>
      </c>
      <c r="F210" s="98" t="s">
        <v>167</v>
      </c>
      <c r="G210" s="98" t="s">
        <v>147</v>
      </c>
      <c r="H210" s="98" t="s">
        <v>402</v>
      </c>
      <c r="I210" s="99" t="n">
        <v>43669</v>
      </c>
      <c r="J210" s="99" t="n">
        <v>43671</v>
      </c>
      <c r="K210" s="100" t="n">
        <v>-10412.14</v>
      </c>
      <c r="L210" s="100" t="n">
        <f aca="false">K210-Q210+T210</f>
        <v>-8975.99</v>
      </c>
      <c r="M210" s="98" t="s">
        <v>149</v>
      </c>
      <c r="N210" s="100" t="n">
        <v>-10412.14</v>
      </c>
      <c r="O210" s="98" t="s">
        <v>149</v>
      </c>
      <c r="P210" s="100" t="n">
        <v>-10591.67</v>
      </c>
      <c r="Q210" s="100" t="n">
        <v>-1615.68</v>
      </c>
      <c r="R210" s="100" t="n">
        <v>-8796.46</v>
      </c>
      <c r="S210" s="100" t="n">
        <v>-8975.99</v>
      </c>
      <c r="T210" s="100" t="n">
        <v>-179.53</v>
      </c>
      <c r="U210" s="98" t="s">
        <v>192</v>
      </c>
      <c r="V210" s="98" t="s">
        <v>151</v>
      </c>
      <c r="X210" s="98" t="s">
        <v>744</v>
      </c>
      <c r="Y210" s="98" t="s">
        <v>921</v>
      </c>
      <c r="Z210" s="98" t="s">
        <v>922</v>
      </c>
      <c r="AB210" s="98" t="s">
        <v>921</v>
      </c>
      <c r="AD210" s="98" t="s">
        <v>155</v>
      </c>
      <c r="AE210" s="98" t="s">
        <v>156</v>
      </c>
      <c r="AF210" s="98" t="s">
        <v>747</v>
      </c>
      <c r="AG210" s="98" t="s">
        <v>748</v>
      </c>
      <c r="AH210" s="98" t="s">
        <v>749</v>
      </c>
      <c r="AI210" s="98" t="s">
        <v>749</v>
      </c>
      <c r="AJ210" s="98" t="s">
        <v>750</v>
      </c>
      <c r="AK210" s="98" t="s">
        <v>159</v>
      </c>
      <c r="AL210" s="98" t="s">
        <v>224</v>
      </c>
      <c r="AM210" s="98" t="s">
        <v>225</v>
      </c>
      <c r="AP210" s="98" t="s">
        <v>494</v>
      </c>
      <c r="AQ210" s="98" t="s">
        <v>492</v>
      </c>
      <c r="AR210" s="98" t="s">
        <v>452</v>
      </c>
      <c r="AS210" s="98" t="s">
        <v>923</v>
      </c>
      <c r="AT210" s="100" t="n">
        <v>0</v>
      </c>
      <c r="AU210" s="100" t="n">
        <v>-10412.14</v>
      </c>
      <c r="AX210" s="98" t="s">
        <v>165</v>
      </c>
      <c r="AMH210" s="0"/>
      <c r="AMI210" s="0"/>
      <c r="AMJ210" s="0"/>
    </row>
    <row r="211" s="98" customFormat="true" ht="13.8" hidden="false" customHeight="false" outlineLevel="0" collapsed="false">
      <c r="A211" s="98" t="s">
        <v>142</v>
      </c>
      <c r="B211" s="98" t="s">
        <v>143</v>
      </c>
      <c r="C211" s="98" t="n">
        <v>51253775</v>
      </c>
      <c r="D211" s="98" t="s">
        <v>920</v>
      </c>
      <c r="E211" s="98" t="s">
        <v>725</v>
      </c>
      <c r="F211" s="98" t="s">
        <v>167</v>
      </c>
      <c r="G211" s="98" t="s">
        <v>147</v>
      </c>
      <c r="H211" s="98" t="s">
        <v>402</v>
      </c>
      <c r="I211" s="99" t="n">
        <v>43669</v>
      </c>
      <c r="J211" s="99" t="n">
        <v>43671</v>
      </c>
      <c r="K211" s="100" t="n">
        <v>-412678.98</v>
      </c>
      <c r="L211" s="100" t="n">
        <f aca="false">K211-Q211+T211</f>
        <v>-355758.01</v>
      </c>
      <c r="M211" s="98" t="s">
        <v>149</v>
      </c>
      <c r="N211" s="100" t="n">
        <v>-412678.98</v>
      </c>
      <c r="O211" s="98" t="s">
        <v>149</v>
      </c>
      <c r="P211" s="100" t="n">
        <v>-419794.45</v>
      </c>
      <c r="Q211" s="100" t="n">
        <v>-64036.44</v>
      </c>
      <c r="R211" s="100" t="n">
        <v>-348642.54</v>
      </c>
      <c r="S211" s="100" t="n">
        <v>-355758.01</v>
      </c>
      <c r="T211" s="100" t="n">
        <v>-7115.47</v>
      </c>
      <c r="U211" s="98" t="s">
        <v>192</v>
      </c>
      <c r="V211" s="98" t="s">
        <v>151</v>
      </c>
      <c r="X211" s="98" t="s">
        <v>744</v>
      </c>
      <c r="Y211" s="98" t="s">
        <v>921</v>
      </c>
      <c r="Z211" s="98" t="s">
        <v>922</v>
      </c>
      <c r="AB211" s="98" t="s">
        <v>921</v>
      </c>
      <c r="AD211" s="98" t="s">
        <v>155</v>
      </c>
      <c r="AE211" s="98" t="s">
        <v>156</v>
      </c>
      <c r="AF211" s="98" t="s">
        <v>747</v>
      </c>
      <c r="AG211" s="98" t="s">
        <v>748</v>
      </c>
      <c r="AH211" s="98" t="s">
        <v>749</v>
      </c>
      <c r="AI211" s="98" t="s">
        <v>749</v>
      </c>
      <c r="AJ211" s="98" t="s">
        <v>750</v>
      </c>
      <c r="AK211" s="98" t="s">
        <v>159</v>
      </c>
      <c r="AL211" s="98" t="s">
        <v>224</v>
      </c>
      <c r="AM211" s="98" t="s">
        <v>225</v>
      </c>
      <c r="AP211" s="98" t="s">
        <v>494</v>
      </c>
      <c r="AQ211" s="98" t="s">
        <v>492</v>
      </c>
      <c r="AR211" s="98" t="s">
        <v>452</v>
      </c>
      <c r="AS211" s="98" t="s">
        <v>923</v>
      </c>
      <c r="AT211" s="100" t="n">
        <v>0</v>
      </c>
      <c r="AU211" s="100" t="n">
        <v>-412678.98</v>
      </c>
      <c r="AX211" s="98" t="s">
        <v>220</v>
      </c>
      <c r="AMH211" s="0"/>
      <c r="AMI211" s="0"/>
      <c r="AMJ211" s="0"/>
    </row>
    <row r="212" s="98" customFormat="true" ht="13.8" hidden="false" customHeight="false" outlineLevel="0" collapsed="false">
      <c r="A212" s="98" t="s">
        <v>142</v>
      </c>
      <c r="B212" s="98" t="s">
        <v>143</v>
      </c>
      <c r="C212" s="98" t="n">
        <v>51786311</v>
      </c>
      <c r="D212" s="98" t="s">
        <v>924</v>
      </c>
      <c r="E212" s="98" t="s">
        <v>725</v>
      </c>
      <c r="F212" s="98" t="s">
        <v>278</v>
      </c>
      <c r="G212" s="98" t="s">
        <v>147</v>
      </c>
      <c r="H212" s="98" t="s">
        <v>213</v>
      </c>
      <c r="I212" s="104" t="n">
        <v>40448</v>
      </c>
      <c r="J212" s="99" t="n">
        <v>43921</v>
      </c>
      <c r="K212" s="100" t="n">
        <v>-9016.07</v>
      </c>
      <c r="L212" s="100" t="n">
        <f aca="false">K212-Q212+T212</f>
        <v>-9016.07</v>
      </c>
      <c r="M212" s="98" t="s">
        <v>149</v>
      </c>
      <c r="N212" s="100" t="n">
        <v>-9016.07</v>
      </c>
      <c r="O212" s="98" t="s">
        <v>149</v>
      </c>
      <c r="P212" s="100" t="n">
        <v>-9016.07</v>
      </c>
      <c r="Q212" s="100" t="n">
        <v>0</v>
      </c>
      <c r="R212" s="100" t="n">
        <v>-9016.07</v>
      </c>
      <c r="S212" s="100" t="n">
        <v>0</v>
      </c>
      <c r="T212" s="100" t="n">
        <v>0</v>
      </c>
      <c r="U212" s="98" t="s">
        <v>192</v>
      </c>
      <c r="V212" s="98" t="s">
        <v>151</v>
      </c>
      <c r="X212" s="98" t="s">
        <v>876</v>
      </c>
      <c r="Y212" s="98" t="s">
        <v>877</v>
      </c>
      <c r="Z212" s="98" t="s">
        <v>925</v>
      </c>
      <c r="AB212" s="98" t="s">
        <v>926</v>
      </c>
      <c r="AD212" s="98" t="s">
        <v>155</v>
      </c>
      <c r="AE212" s="98" t="s">
        <v>156</v>
      </c>
      <c r="AF212" s="98" t="s">
        <v>862</v>
      </c>
      <c r="AG212" s="98" t="s">
        <v>863</v>
      </c>
      <c r="AH212" s="98" t="s">
        <v>864</v>
      </c>
      <c r="AI212" s="98" t="s">
        <v>864</v>
      </c>
      <c r="AJ212" s="98" t="s">
        <v>865</v>
      </c>
      <c r="AK212" s="98" t="s">
        <v>159</v>
      </c>
      <c r="AL212" s="98" t="s">
        <v>224</v>
      </c>
      <c r="AM212" s="98" t="s">
        <v>225</v>
      </c>
      <c r="AR212" s="98" t="s">
        <v>880</v>
      </c>
      <c r="AS212" s="98" t="s">
        <v>927</v>
      </c>
      <c r="AT212" s="100" t="n">
        <v>0</v>
      </c>
      <c r="AU212" s="100" t="n">
        <v>-9016.07</v>
      </c>
      <c r="AX212" s="98" t="s">
        <v>165</v>
      </c>
      <c r="AMH212" s="0"/>
      <c r="AMI212" s="0"/>
      <c r="AMJ212" s="0"/>
    </row>
    <row r="213" s="98" customFormat="true" ht="13.8" hidden="false" customHeight="false" outlineLevel="0" collapsed="false">
      <c r="A213" s="98" t="s">
        <v>142</v>
      </c>
      <c r="B213" s="98" t="s">
        <v>143</v>
      </c>
      <c r="C213" s="98" t="n">
        <v>51786380</v>
      </c>
      <c r="D213" s="98" t="s">
        <v>928</v>
      </c>
      <c r="E213" s="98" t="s">
        <v>725</v>
      </c>
      <c r="F213" s="98" t="s">
        <v>278</v>
      </c>
      <c r="G213" s="98" t="s">
        <v>147</v>
      </c>
      <c r="H213" s="98" t="s">
        <v>213</v>
      </c>
      <c r="I213" s="104" t="n">
        <v>40448</v>
      </c>
      <c r="J213" s="99" t="n">
        <v>43921</v>
      </c>
      <c r="K213" s="100" t="n">
        <v>-33456.06</v>
      </c>
      <c r="L213" s="100" t="n">
        <f aca="false">K213-Q213+T213</f>
        <v>-33456.06</v>
      </c>
      <c r="M213" s="98" t="s">
        <v>149</v>
      </c>
      <c r="N213" s="100" t="n">
        <v>-33456.06</v>
      </c>
      <c r="O213" s="98" t="s">
        <v>149</v>
      </c>
      <c r="P213" s="100" t="n">
        <v>-33456.06</v>
      </c>
      <c r="Q213" s="100" t="n">
        <v>0</v>
      </c>
      <c r="R213" s="100" t="n">
        <v>-33456.06</v>
      </c>
      <c r="S213" s="100" t="n">
        <v>0</v>
      </c>
      <c r="T213" s="100" t="n">
        <v>0</v>
      </c>
      <c r="U213" s="98" t="s">
        <v>192</v>
      </c>
      <c r="V213" s="98" t="s">
        <v>151</v>
      </c>
      <c r="X213" s="98" t="s">
        <v>876</v>
      </c>
      <c r="Y213" s="98" t="s">
        <v>877</v>
      </c>
      <c r="Z213" s="98" t="s">
        <v>929</v>
      </c>
      <c r="AB213" s="98" t="s">
        <v>930</v>
      </c>
      <c r="AD213" s="98" t="s">
        <v>155</v>
      </c>
      <c r="AE213" s="98" t="s">
        <v>156</v>
      </c>
      <c r="AF213" s="98" t="s">
        <v>862</v>
      </c>
      <c r="AG213" s="98" t="s">
        <v>863</v>
      </c>
      <c r="AH213" s="98" t="s">
        <v>864</v>
      </c>
      <c r="AI213" s="98" t="s">
        <v>864</v>
      </c>
      <c r="AJ213" s="98" t="s">
        <v>865</v>
      </c>
      <c r="AK213" s="98" t="s">
        <v>159</v>
      </c>
      <c r="AL213" s="98" t="s">
        <v>224</v>
      </c>
      <c r="AM213" s="98" t="s">
        <v>225</v>
      </c>
      <c r="AR213" s="98" t="s">
        <v>931</v>
      </c>
      <c r="AS213" s="98" t="s">
        <v>932</v>
      </c>
      <c r="AT213" s="100" t="n">
        <v>0</v>
      </c>
      <c r="AU213" s="100" t="n">
        <v>-33456.06</v>
      </c>
      <c r="AX213" s="98" t="s">
        <v>165</v>
      </c>
      <c r="AMH213" s="0"/>
      <c r="AMI213" s="0"/>
      <c r="AMJ213" s="0"/>
    </row>
    <row r="214" s="98" customFormat="true" ht="13.8" hidden="false" customHeight="false" outlineLevel="0" collapsed="false">
      <c r="A214" s="98" t="s">
        <v>142</v>
      </c>
      <c r="B214" s="98" t="s">
        <v>143</v>
      </c>
      <c r="C214" s="98" t="n">
        <v>51214149</v>
      </c>
      <c r="D214" s="98" t="s">
        <v>933</v>
      </c>
      <c r="E214" s="98" t="s">
        <v>725</v>
      </c>
      <c r="F214" s="98" t="s">
        <v>167</v>
      </c>
      <c r="G214" s="98" t="s">
        <v>147</v>
      </c>
      <c r="H214" s="98" t="s">
        <v>402</v>
      </c>
      <c r="I214" s="99" t="n">
        <v>43651</v>
      </c>
      <c r="J214" s="99" t="n">
        <v>43654</v>
      </c>
      <c r="K214" s="100" t="n">
        <v>-429616.8</v>
      </c>
      <c r="L214" s="100" t="n">
        <f aca="false">K214-Q214+T214</f>
        <v>-370360</v>
      </c>
      <c r="M214" s="98" t="s">
        <v>149</v>
      </c>
      <c r="N214" s="100" t="n">
        <v>-429616.8</v>
      </c>
      <c r="O214" s="98" t="s">
        <v>149</v>
      </c>
      <c r="P214" s="100" t="n">
        <v>-437024.8</v>
      </c>
      <c r="Q214" s="100" t="n">
        <v>-66664.8</v>
      </c>
      <c r="R214" s="100" t="n">
        <v>-362952</v>
      </c>
      <c r="S214" s="100" t="n">
        <v>-370360</v>
      </c>
      <c r="T214" s="100" t="n">
        <v>-7408</v>
      </c>
      <c r="U214" s="98" t="s">
        <v>192</v>
      </c>
      <c r="V214" s="98" t="s">
        <v>151</v>
      </c>
      <c r="X214" s="98" t="s">
        <v>744</v>
      </c>
      <c r="Y214" s="98" t="s">
        <v>934</v>
      </c>
      <c r="Z214" s="98" t="s">
        <v>935</v>
      </c>
      <c r="AB214" s="98" t="s">
        <v>934</v>
      </c>
      <c r="AD214" s="98" t="s">
        <v>155</v>
      </c>
      <c r="AE214" s="98" t="s">
        <v>156</v>
      </c>
      <c r="AF214" s="98" t="s">
        <v>747</v>
      </c>
      <c r="AG214" s="98" t="s">
        <v>748</v>
      </c>
      <c r="AH214" s="98" t="s">
        <v>749</v>
      </c>
      <c r="AI214" s="98" t="s">
        <v>749</v>
      </c>
      <c r="AJ214" s="98" t="s">
        <v>750</v>
      </c>
      <c r="AK214" s="98" t="s">
        <v>159</v>
      </c>
      <c r="AL214" s="98" t="s">
        <v>224</v>
      </c>
      <c r="AM214" s="98" t="s">
        <v>225</v>
      </c>
      <c r="AP214" s="98" t="s">
        <v>479</v>
      </c>
      <c r="AQ214" s="98" t="s">
        <v>477</v>
      </c>
      <c r="AR214" s="98" t="s">
        <v>936</v>
      </c>
      <c r="AS214" s="98" t="s">
        <v>937</v>
      </c>
      <c r="AT214" s="100" t="n">
        <v>0</v>
      </c>
      <c r="AU214" s="100" t="n">
        <v>-429616.8</v>
      </c>
      <c r="AX214" s="98" t="s">
        <v>165</v>
      </c>
      <c r="AMH214" s="0"/>
      <c r="AMI214" s="0"/>
      <c r="AMJ214" s="0"/>
    </row>
    <row r="215" s="98" customFormat="true" ht="13.8" hidden="false" customHeight="false" outlineLevel="0" collapsed="false">
      <c r="A215" s="98" t="s">
        <v>142</v>
      </c>
      <c r="B215" s="98" t="s">
        <v>143</v>
      </c>
      <c r="C215" s="98" t="n">
        <v>51214169</v>
      </c>
      <c r="D215" s="98" t="s">
        <v>938</v>
      </c>
      <c r="E215" s="98" t="s">
        <v>725</v>
      </c>
      <c r="F215" s="98" t="s">
        <v>167</v>
      </c>
      <c r="G215" s="98" t="s">
        <v>147</v>
      </c>
      <c r="H215" s="98" t="s">
        <v>402</v>
      </c>
      <c r="I215" s="99" t="n">
        <v>43651</v>
      </c>
      <c r="J215" s="99" t="n">
        <v>43654</v>
      </c>
      <c r="K215" s="100" t="n">
        <v>-355956.8</v>
      </c>
      <c r="L215" s="100" t="n">
        <f aca="false">K215-Q215+T215</f>
        <v>-306860</v>
      </c>
      <c r="M215" s="98" t="s">
        <v>149</v>
      </c>
      <c r="N215" s="100" t="n">
        <v>-355956.8</v>
      </c>
      <c r="O215" s="98" t="s">
        <v>149</v>
      </c>
      <c r="P215" s="100" t="n">
        <v>-362094.8</v>
      </c>
      <c r="Q215" s="100" t="n">
        <v>-55234.8</v>
      </c>
      <c r="R215" s="100" t="n">
        <v>-300722</v>
      </c>
      <c r="S215" s="100" t="n">
        <v>-306860</v>
      </c>
      <c r="T215" s="100" t="n">
        <v>-6138</v>
      </c>
      <c r="U215" s="98" t="s">
        <v>192</v>
      </c>
      <c r="V215" s="98" t="s">
        <v>151</v>
      </c>
      <c r="X215" s="98" t="s">
        <v>744</v>
      </c>
      <c r="Y215" s="98" t="s">
        <v>939</v>
      </c>
      <c r="Z215" s="98" t="s">
        <v>940</v>
      </c>
      <c r="AB215" s="98" t="s">
        <v>939</v>
      </c>
      <c r="AD215" s="98" t="s">
        <v>155</v>
      </c>
      <c r="AE215" s="98" t="s">
        <v>156</v>
      </c>
      <c r="AF215" s="98" t="s">
        <v>747</v>
      </c>
      <c r="AG215" s="98" t="s">
        <v>748</v>
      </c>
      <c r="AH215" s="98" t="s">
        <v>749</v>
      </c>
      <c r="AI215" s="98" t="s">
        <v>749</v>
      </c>
      <c r="AJ215" s="98" t="s">
        <v>750</v>
      </c>
      <c r="AK215" s="98" t="s">
        <v>159</v>
      </c>
      <c r="AL215" s="98" t="s">
        <v>224</v>
      </c>
      <c r="AM215" s="98" t="s">
        <v>225</v>
      </c>
      <c r="AP215" s="98" t="s">
        <v>479</v>
      </c>
      <c r="AQ215" s="98" t="s">
        <v>477</v>
      </c>
      <c r="AR215" s="98" t="s">
        <v>936</v>
      </c>
      <c r="AS215" s="98" t="s">
        <v>941</v>
      </c>
      <c r="AT215" s="100" t="n">
        <v>0</v>
      </c>
      <c r="AU215" s="100" t="n">
        <v>-355956.8</v>
      </c>
      <c r="AX215" s="98" t="s">
        <v>165</v>
      </c>
      <c r="AMH215" s="0"/>
      <c r="AMI215" s="0"/>
      <c r="AMJ215" s="0"/>
    </row>
    <row r="216" s="98" customFormat="true" ht="13.8" hidden="false" customHeight="false" outlineLevel="0" collapsed="false">
      <c r="A216" s="98" t="s">
        <v>142</v>
      </c>
      <c r="B216" s="98" t="s">
        <v>143</v>
      </c>
      <c r="C216" s="98" t="n">
        <v>51214184</v>
      </c>
      <c r="D216" s="98" t="s">
        <v>942</v>
      </c>
      <c r="E216" s="98" t="s">
        <v>725</v>
      </c>
      <c r="F216" s="98" t="s">
        <v>167</v>
      </c>
      <c r="G216" s="98" t="s">
        <v>147</v>
      </c>
      <c r="H216" s="98" t="s">
        <v>402</v>
      </c>
      <c r="I216" s="99" t="n">
        <v>43651</v>
      </c>
      <c r="J216" s="99" t="n">
        <v>43654</v>
      </c>
      <c r="K216" s="100" t="n">
        <v>-206507.32</v>
      </c>
      <c r="L216" s="100" t="n">
        <f aca="false">K216-Q216+T216</f>
        <v>-178024</v>
      </c>
      <c r="M216" s="98" t="s">
        <v>149</v>
      </c>
      <c r="N216" s="100" t="n">
        <v>-206507.32</v>
      </c>
      <c r="O216" s="98" t="s">
        <v>149</v>
      </c>
      <c r="P216" s="100" t="n">
        <v>-210068.32</v>
      </c>
      <c r="Q216" s="100" t="n">
        <v>-32044.32</v>
      </c>
      <c r="R216" s="100" t="n">
        <v>-174463</v>
      </c>
      <c r="S216" s="100" t="n">
        <v>-178024</v>
      </c>
      <c r="T216" s="100" t="n">
        <v>-3561</v>
      </c>
      <c r="U216" s="98" t="s">
        <v>192</v>
      </c>
      <c r="V216" s="98" t="s">
        <v>151</v>
      </c>
      <c r="X216" s="98" t="s">
        <v>783</v>
      </c>
      <c r="Y216" s="98" t="s">
        <v>943</v>
      </c>
      <c r="Z216" s="98" t="s">
        <v>944</v>
      </c>
      <c r="AB216" s="98" t="s">
        <v>943</v>
      </c>
      <c r="AD216" s="98" t="s">
        <v>155</v>
      </c>
      <c r="AE216" s="98" t="s">
        <v>156</v>
      </c>
      <c r="AF216" s="98" t="s">
        <v>747</v>
      </c>
      <c r="AG216" s="98" t="s">
        <v>748</v>
      </c>
      <c r="AH216" s="98" t="s">
        <v>786</v>
      </c>
      <c r="AI216" s="98" t="s">
        <v>786</v>
      </c>
      <c r="AJ216" s="98" t="s">
        <v>787</v>
      </c>
      <c r="AK216" s="98" t="s">
        <v>159</v>
      </c>
      <c r="AL216" s="98" t="s">
        <v>224</v>
      </c>
      <c r="AM216" s="98" t="s">
        <v>225</v>
      </c>
      <c r="AP216" s="98" t="s">
        <v>479</v>
      </c>
      <c r="AQ216" s="98" t="s">
        <v>477</v>
      </c>
      <c r="AR216" s="98" t="s">
        <v>936</v>
      </c>
      <c r="AS216" s="98" t="s">
        <v>945</v>
      </c>
      <c r="AT216" s="100" t="n">
        <v>0</v>
      </c>
      <c r="AU216" s="100" t="n">
        <v>-206507.32</v>
      </c>
      <c r="AX216" s="98" t="s">
        <v>165</v>
      </c>
      <c r="AMH216" s="0"/>
      <c r="AMI216" s="0"/>
      <c r="AMJ216" s="0"/>
    </row>
    <row r="217" s="98" customFormat="true" ht="13.8" hidden="false" customHeight="false" outlineLevel="0" collapsed="false">
      <c r="A217" s="98" t="s">
        <v>142</v>
      </c>
      <c r="B217" s="98" t="s">
        <v>143</v>
      </c>
      <c r="C217" s="98" t="n">
        <v>51342555</v>
      </c>
      <c r="D217" s="98" t="s">
        <v>946</v>
      </c>
      <c r="E217" s="98" t="s">
        <v>725</v>
      </c>
      <c r="F217" s="98" t="s">
        <v>146</v>
      </c>
      <c r="G217" s="98" t="s">
        <v>147</v>
      </c>
      <c r="H217" s="98" t="s">
        <v>175</v>
      </c>
      <c r="I217" s="99" t="n">
        <v>43705</v>
      </c>
      <c r="J217" s="99" t="n">
        <v>43710</v>
      </c>
      <c r="K217" s="100" t="n">
        <v>-118470.88</v>
      </c>
      <c r="L217" s="100" t="n">
        <f aca="false">K217-Q217+T217</f>
        <v>-102130.4</v>
      </c>
      <c r="M217" s="98" t="s">
        <v>149</v>
      </c>
      <c r="N217" s="100" t="n">
        <v>-118470.88</v>
      </c>
      <c r="O217" s="98" t="s">
        <v>149</v>
      </c>
      <c r="P217" s="100" t="n">
        <v>-120513.88</v>
      </c>
      <c r="Q217" s="100" t="n">
        <v>-18383.48</v>
      </c>
      <c r="R217" s="100" t="n">
        <v>-100087.4</v>
      </c>
      <c r="S217" s="100" t="n">
        <v>-102130.4</v>
      </c>
      <c r="T217" s="100" t="n">
        <v>-2043</v>
      </c>
      <c r="U217" s="98" t="s">
        <v>150</v>
      </c>
      <c r="V217" s="98" t="s">
        <v>151</v>
      </c>
      <c r="X217" s="98" t="s">
        <v>947</v>
      </c>
      <c r="Y217" s="98" t="s">
        <v>948</v>
      </c>
      <c r="Z217" s="98" t="s">
        <v>949</v>
      </c>
      <c r="AB217" s="98" t="s">
        <v>948</v>
      </c>
      <c r="AD217" s="98" t="s">
        <v>155</v>
      </c>
      <c r="AE217" s="98" t="s">
        <v>156</v>
      </c>
      <c r="AF217" s="98" t="s">
        <v>747</v>
      </c>
      <c r="AG217" s="98" t="s">
        <v>748</v>
      </c>
      <c r="AH217" s="98" t="s">
        <v>908</v>
      </c>
      <c r="AI217" s="98" t="s">
        <v>908</v>
      </c>
      <c r="AJ217" s="98" t="s">
        <v>909</v>
      </c>
      <c r="AK217" s="98" t="s">
        <v>159</v>
      </c>
      <c r="AL217" s="98" t="s">
        <v>224</v>
      </c>
      <c r="AM217" s="98" t="s">
        <v>225</v>
      </c>
      <c r="AP217" s="98" t="s">
        <v>538</v>
      </c>
      <c r="AQ217" s="98" t="s">
        <v>536</v>
      </c>
      <c r="AR217" s="98" t="s">
        <v>517</v>
      </c>
      <c r="AS217" s="98" t="s">
        <v>950</v>
      </c>
      <c r="AT217" s="100" t="n">
        <v>0</v>
      </c>
      <c r="AU217" s="100" t="n">
        <v>-118470.88</v>
      </c>
      <c r="AX217" s="98" t="s">
        <v>165</v>
      </c>
      <c r="AMH217" s="0"/>
      <c r="AMI217" s="0"/>
      <c r="AMJ217" s="0"/>
    </row>
    <row r="218" s="98" customFormat="true" ht="13.8" hidden="false" customHeight="false" outlineLevel="0" collapsed="false">
      <c r="A218" s="98" t="s">
        <v>142</v>
      </c>
      <c r="B218" s="98" t="s">
        <v>143</v>
      </c>
      <c r="C218" s="98" t="n">
        <v>51093980</v>
      </c>
      <c r="D218" s="98" t="s">
        <v>951</v>
      </c>
      <c r="E218" s="98" t="s">
        <v>725</v>
      </c>
      <c r="F218" s="98" t="s">
        <v>167</v>
      </c>
      <c r="G218" s="98" t="s">
        <v>147</v>
      </c>
      <c r="H218" s="98" t="s">
        <v>220</v>
      </c>
      <c r="I218" s="104" t="n">
        <v>43433</v>
      </c>
      <c r="J218" s="99" t="n">
        <v>43600</v>
      </c>
      <c r="K218" s="100" t="n">
        <v>-619500</v>
      </c>
      <c r="L218" s="100" t="n">
        <f aca="false">K218-Q218+T218</f>
        <v>-525000</v>
      </c>
      <c r="M218" s="98" t="s">
        <v>149</v>
      </c>
      <c r="N218" s="100" t="n">
        <v>-619500</v>
      </c>
      <c r="O218" s="98" t="s">
        <v>149</v>
      </c>
      <c r="P218" s="100" t="n">
        <v>-619500</v>
      </c>
      <c r="Q218" s="100" t="n">
        <v>-94500</v>
      </c>
      <c r="R218" s="100" t="n">
        <v>-619500</v>
      </c>
      <c r="S218" s="100" t="n">
        <v>0</v>
      </c>
      <c r="T218" s="100" t="n">
        <v>0</v>
      </c>
      <c r="U218" s="98" t="s">
        <v>192</v>
      </c>
      <c r="V218" s="98" t="s">
        <v>151</v>
      </c>
      <c r="Y218" s="98" t="s">
        <v>952</v>
      </c>
      <c r="Z218" s="98" t="s">
        <v>953</v>
      </c>
      <c r="AB218" s="98" t="s">
        <v>952</v>
      </c>
      <c r="AD218" s="98" t="s">
        <v>155</v>
      </c>
      <c r="AE218" s="98" t="s">
        <v>156</v>
      </c>
      <c r="AF218" s="98" t="s">
        <v>728</v>
      </c>
      <c r="AG218" s="98" t="s">
        <v>729</v>
      </c>
      <c r="AH218" s="98" t="s">
        <v>730</v>
      </c>
      <c r="AI218" s="98" t="s">
        <v>730</v>
      </c>
      <c r="AJ218" s="98" t="s">
        <v>731</v>
      </c>
      <c r="AK218" s="98" t="s">
        <v>159</v>
      </c>
      <c r="AL218" s="98" t="s">
        <v>224</v>
      </c>
      <c r="AM218" s="98" t="s">
        <v>225</v>
      </c>
      <c r="AP218" s="98" t="s">
        <v>344</v>
      </c>
      <c r="AQ218" s="98" t="s">
        <v>342</v>
      </c>
      <c r="AR218" s="98" t="s">
        <v>954</v>
      </c>
      <c r="AS218" s="98" t="s">
        <v>955</v>
      </c>
      <c r="AT218" s="100" t="n">
        <v>0</v>
      </c>
      <c r="AU218" s="100" t="n">
        <v>-619500</v>
      </c>
      <c r="AX218" s="98" t="s">
        <v>165</v>
      </c>
      <c r="AMH218" s="0"/>
      <c r="AMI218" s="0"/>
      <c r="AMJ218" s="0"/>
    </row>
    <row r="219" s="98" customFormat="true" ht="13.8" hidden="false" customHeight="false" outlineLevel="0" collapsed="false">
      <c r="A219" s="98" t="s">
        <v>142</v>
      </c>
      <c r="B219" s="98" t="s">
        <v>143</v>
      </c>
      <c r="C219" s="98" t="n">
        <v>51087756</v>
      </c>
      <c r="D219" s="98" t="s">
        <v>956</v>
      </c>
      <c r="E219" s="98" t="s">
        <v>725</v>
      </c>
      <c r="F219" s="98" t="s">
        <v>167</v>
      </c>
      <c r="G219" s="98" t="s">
        <v>147</v>
      </c>
      <c r="H219" s="98" t="s">
        <v>220</v>
      </c>
      <c r="I219" s="104" t="n">
        <v>43434</v>
      </c>
      <c r="J219" s="99" t="n">
        <v>43599</v>
      </c>
      <c r="K219" s="100" t="n">
        <v>-1937796</v>
      </c>
      <c r="L219" s="100" t="n">
        <f aca="false">K219-Q219+T219</f>
        <v>-1642200</v>
      </c>
      <c r="M219" s="98" t="s">
        <v>149</v>
      </c>
      <c r="N219" s="100" t="n">
        <v>-1937796</v>
      </c>
      <c r="O219" s="98" t="s">
        <v>149</v>
      </c>
      <c r="P219" s="100" t="n">
        <v>-1937796</v>
      </c>
      <c r="Q219" s="100" t="n">
        <v>-295596</v>
      </c>
      <c r="R219" s="100" t="n">
        <v>-1937796</v>
      </c>
      <c r="S219" s="100" t="n">
        <v>0</v>
      </c>
      <c r="T219" s="100" t="n">
        <v>0</v>
      </c>
      <c r="U219" s="98" t="s">
        <v>192</v>
      </c>
      <c r="V219" s="98" t="s">
        <v>151</v>
      </c>
      <c r="Y219" s="98" t="s">
        <v>952</v>
      </c>
      <c r="Z219" s="98" t="s">
        <v>957</v>
      </c>
      <c r="AB219" s="98" t="s">
        <v>952</v>
      </c>
      <c r="AD219" s="98" t="s">
        <v>155</v>
      </c>
      <c r="AE219" s="98" t="s">
        <v>156</v>
      </c>
      <c r="AF219" s="98" t="s">
        <v>728</v>
      </c>
      <c r="AG219" s="98" t="s">
        <v>729</v>
      </c>
      <c r="AH219" s="98" t="s">
        <v>730</v>
      </c>
      <c r="AI219" s="98" t="s">
        <v>730</v>
      </c>
      <c r="AJ219" s="98" t="s">
        <v>731</v>
      </c>
      <c r="AK219" s="98" t="s">
        <v>159</v>
      </c>
      <c r="AL219" s="98" t="s">
        <v>224</v>
      </c>
      <c r="AM219" s="98" t="s">
        <v>225</v>
      </c>
      <c r="AP219" s="98" t="s">
        <v>331</v>
      </c>
      <c r="AQ219" s="98" t="s">
        <v>329</v>
      </c>
      <c r="AR219" s="98" t="s">
        <v>958</v>
      </c>
      <c r="AS219" s="98" t="s">
        <v>959</v>
      </c>
      <c r="AT219" s="100" t="n">
        <v>0</v>
      </c>
      <c r="AU219" s="100" t="n">
        <v>-1937796</v>
      </c>
      <c r="AX219" s="98" t="s">
        <v>165</v>
      </c>
      <c r="AMH219" s="0"/>
      <c r="AMI219" s="0"/>
      <c r="AMJ219" s="0"/>
    </row>
    <row r="220" s="98" customFormat="true" ht="13.8" hidden="false" customHeight="false" outlineLevel="0" collapsed="false">
      <c r="A220" s="98" t="s">
        <v>142</v>
      </c>
      <c r="B220" s="98" t="s">
        <v>143</v>
      </c>
      <c r="C220" s="98" t="n">
        <v>51087758</v>
      </c>
      <c r="D220" s="98" t="s">
        <v>960</v>
      </c>
      <c r="E220" s="98" t="s">
        <v>725</v>
      </c>
      <c r="F220" s="98" t="s">
        <v>167</v>
      </c>
      <c r="G220" s="98" t="s">
        <v>147</v>
      </c>
      <c r="H220" s="98" t="s">
        <v>220</v>
      </c>
      <c r="I220" s="104" t="n">
        <v>43434</v>
      </c>
      <c r="J220" s="99" t="n">
        <v>43599</v>
      </c>
      <c r="K220" s="100" t="n">
        <v>-1937796</v>
      </c>
      <c r="L220" s="100" t="n">
        <f aca="false">K220-Q220+T220</f>
        <v>-1642200</v>
      </c>
      <c r="M220" s="98" t="s">
        <v>149</v>
      </c>
      <c r="N220" s="100" t="n">
        <v>-1937796</v>
      </c>
      <c r="O220" s="98" t="s">
        <v>149</v>
      </c>
      <c r="P220" s="100" t="n">
        <v>-1937796</v>
      </c>
      <c r="Q220" s="100" t="n">
        <v>-295596</v>
      </c>
      <c r="R220" s="100" t="n">
        <v>-1937796</v>
      </c>
      <c r="S220" s="100" t="n">
        <v>0</v>
      </c>
      <c r="T220" s="100" t="n">
        <v>0</v>
      </c>
      <c r="U220" s="98" t="s">
        <v>192</v>
      </c>
      <c r="V220" s="98" t="s">
        <v>151</v>
      </c>
      <c r="Y220" s="98" t="s">
        <v>952</v>
      </c>
      <c r="Z220" s="98" t="s">
        <v>961</v>
      </c>
      <c r="AB220" s="98" t="s">
        <v>952</v>
      </c>
      <c r="AD220" s="98" t="s">
        <v>155</v>
      </c>
      <c r="AE220" s="98" t="s">
        <v>156</v>
      </c>
      <c r="AF220" s="98" t="s">
        <v>728</v>
      </c>
      <c r="AG220" s="98" t="s">
        <v>729</v>
      </c>
      <c r="AH220" s="98" t="s">
        <v>730</v>
      </c>
      <c r="AI220" s="98" t="s">
        <v>730</v>
      </c>
      <c r="AJ220" s="98" t="s">
        <v>731</v>
      </c>
      <c r="AK220" s="98" t="s">
        <v>159</v>
      </c>
      <c r="AL220" s="98" t="s">
        <v>224</v>
      </c>
      <c r="AM220" s="98" t="s">
        <v>225</v>
      </c>
      <c r="AP220" s="98" t="s">
        <v>331</v>
      </c>
      <c r="AQ220" s="98" t="s">
        <v>329</v>
      </c>
      <c r="AR220" s="98" t="s">
        <v>958</v>
      </c>
      <c r="AS220" s="98" t="s">
        <v>962</v>
      </c>
      <c r="AT220" s="100" t="n">
        <v>0</v>
      </c>
      <c r="AU220" s="100" t="n">
        <v>-1937796</v>
      </c>
      <c r="AX220" s="98" t="s">
        <v>165</v>
      </c>
      <c r="AMH220" s="0"/>
      <c r="AMI220" s="0"/>
      <c r="AMJ220" s="0"/>
    </row>
    <row r="221" s="98" customFormat="true" ht="13.8" hidden="false" customHeight="false" outlineLevel="0" collapsed="false">
      <c r="A221" s="98" t="s">
        <v>142</v>
      </c>
      <c r="B221" s="98" t="s">
        <v>143</v>
      </c>
      <c r="C221" s="98" t="n">
        <v>51093981</v>
      </c>
      <c r="D221" s="98" t="s">
        <v>963</v>
      </c>
      <c r="E221" s="98" t="s">
        <v>725</v>
      </c>
      <c r="F221" s="98" t="s">
        <v>167</v>
      </c>
      <c r="G221" s="98" t="s">
        <v>147</v>
      </c>
      <c r="H221" s="98" t="s">
        <v>220</v>
      </c>
      <c r="I221" s="104" t="n">
        <v>43434</v>
      </c>
      <c r="J221" s="99" t="n">
        <v>43600</v>
      </c>
      <c r="K221" s="100" t="n">
        <v>-1850240</v>
      </c>
      <c r="L221" s="100" t="n">
        <f aca="false">K221-Q221+T221</f>
        <v>-1568000</v>
      </c>
      <c r="M221" s="98" t="s">
        <v>149</v>
      </c>
      <c r="N221" s="100" t="n">
        <v>-1850240</v>
      </c>
      <c r="O221" s="98" t="s">
        <v>149</v>
      </c>
      <c r="P221" s="100" t="n">
        <v>-1850240</v>
      </c>
      <c r="Q221" s="100" t="n">
        <v>-282240</v>
      </c>
      <c r="R221" s="100" t="n">
        <v>-1850240</v>
      </c>
      <c r="S221" s="100" t="n">
        <v>0</v>
      </c>
      <c r="T221" s="100" t="n">
        <v>0</v>
      </c>
      <c r="U221" s="98" t="s">
        <v>192</v>
      </c>
      <c r="V221" s="98" t="s">
        <v>151</v>
      </c>
      <c r="Y221" s="98" t="s">
        <v>952</v>
      </c>
      <c r="Z221" s="98" t="s">
        <v>964</v>
      </c>
      <c r="AB221" s="98" t="s">
        <v>952</v>
      </c>
      <c r="AD221" s="98" t="s">
        <v>155</v>
      </c>
      <c r="AE221" s="98" t="s">
        <v>156</v>
      </c>
      <c r="AF221" s="98" t="s">
        <v>728</v>
      </c>
      <c r="AG221" s="98" t="s">
        <v>729</v>
      </c>
      <c r="AH221" s="98" t="s">
        <v>730</v>
      </c>
      <c r="AI221" s="98" t="s">
        <v>730</v>
      </c>
      <c r="AJ221" s="98" t="s">
        <v>731</v>
      </c>
      <c r="AK221" s="98" t="s">
        <v>159</v>
      </c>
      <c r="AL221" s="98" t="s">
        <v>224</v>
      </c>
      <c r="AM221" s="98" t="s">
        <v>225</v>
      </c>
      <c r="AP221" s="98" t="s">
        <v>344</v>
      </c>
      <c r="AQ221" s="98" t="s">
        <v>342</v>
      </c>
      <c r="AR221" s="98" t="s">
        <v>954</v>
      </c>
      <c r="AS221" s="98" t="s">
        <v>965</v>
      </c>
      <c r="AT221" s="100" t="n">
        <v>0</v>
      </c>
      <c r="AU221" s="100" t="n">
        <v>-1850240</v>
      </c>
      <c r="AX221" s="98" t="s">
        <v>165</v>
      </c>
      <c r="AMH221" s="0"/>
      <c r="AMI221" s="0"/>
      <c r="AMJ221" s="0"/>
    </row>
    <row r="222" s="98" customFormat="true" ht="13.8" hidden="false" customHeight="false" outlineLevel="0" collapsed="false">
      <c r="A222" s="98" t="s">
        <v>142</v>
      </c>
      <c r="B222" s="98" t="s">
        <v>143</v>
      </c>
      <c r="C222" s="98" t="n">
        <v>51093982</v>
      </c>
      <c r="D222" s="98" t="s">
        <v>966</v>
      </c>
      <c r="E222" s="98" t="s">
        <v>725</v>
      </c>
      <c r="F222" s="98" t="s">
        <v>167</v>
      </c>
      <c r="G222" s="98" t="s">
        <v>147</v>
      </c>
      <c r="H222" s="98" t="s">
        <v>220</v>
      </c>
      <c r="I222" s="104" t="n">
        <v>43434</v>
      </c>
      <c r="J222" s="99" t="n">
        <v>43600</v>
      </c>
      <c r="K222" s="100" t="n">
        <v>-1639610</v>
      </c>
      <c r="L222" s="100" t="n">
        <f aca="false">K222-Q222+T222</f>
        <v>-1389500</v>
      </c>
      <c r="M222" s="98" t="s">
        <v>149</v>
      </c>
      <c r="N222" s="100" t="n">
        <v>-1639610</v>
      </c>
      <c r="O222" s="98" t="s">
        <v>149</v>
      </c>
      <c r="P222" s="100" t="n">
        <v>-1639610</v>
      </c>
      <c r="Q222" s="100" t="n">
        <v>-250110</v>
      </c>
      <c r="R222" s="100" t="n">
        <v>-1639610</v>
      </c>
      <c r="S222" s="100" t="n">
        <v>0</v>
      </c>
      <c r="T222" s="100" t="n">
        <v>0</v>
      </c>
      <c r="U222" s="98" t="s">
        <v>192</v>
      </c>
      <c r="V222" s="98" t="s">
        <v>151</v>
      </c>
      <c r="Y222" s="98" t="s">
        <v>952</v>
      </c>
      <c r="Z222" s="98" t="s">
        <v>967</v>
      </c>
      <c r="AB222" s="98" t="s">
        <v>952</v>
      </c>
      <c r="AD222" s="98" t="s">
        <v>155</v>
      </c>
      <c r="AE222" s="98" t="s">
        <v>156</v>
      </c>
      <c r="AF222" s="98" t="s">
        <v>728</v>
      </c>
      <c r="AG222" s="98" t="s">
        <v>729</v>
      </c>
      <c r="AH222" s="98" t="s">
        <v>730</v>
      </c>
      <c r="AI222" s="98" t="s">
        <v>730</v>
      </c>
      <c r="AJ222" s="98" t="s">
        <v>731</v>
      </c>
      <c r="AK222" s="98" t="s">
        <v>159</v>
      </c>
      <c r="AL222" s="98" t="s">
        <v>224</v>
      </c>
      <c r="AM222" s="98" t="s">
        <v>225</v>
      </c>
      <c r="AP222" s="98" t="s">
        <v>344</v>
      </c>
      <c r="AQ222" s="98" t="s">
        <v>342</v>
      </c>
      <c r="AR222" s="98" t="s">
        <v>954</v>
      </c>
      <c r="AS222" s="98" t="s">
        <v>968</v>
      </c>
      <c r="AT222" s="100" t="n">
        <v>0</v>
      </c>
      <c r="AU222" s="100" t="n">
        <v>-1639610</v>
      </c>
      <c r="AX222" s="98" t="s">
        <v>165</v>
      </c>
      <c r="AMH222" s="0"/>
      <c r="AMI222" s="0"/>
      <c r="AMJ222" s="0"/>
    </row>
    <row r="223" s="98" customFormat="true" ht="13.8" hidden="false" customHeight="false" outlineLevel="0" collapsed="false">
      <c r="A223" s="98" t="s">
        <v>142</v>
      </c>
      <c r="B223" s="98" t="s">
        <v>143</v>
      </c>
      <c r="C223" s="98" t="n">
        <v>51050682</v>
      </c>
      <c r="D223" s="98" t="s">
        <v>969</v>
      </c>
      <c r="E223" s="98" t="s">
        <v>725</v>
      </c>
      <c r="F223" s="98" t="s">
        <v>308</v>
      </c>
      <c r="G223" s="98" t="s">
        <v>147</v>
      </c>
      <c r="H223" s="98" t="s">
        <v>165</v>
      </c>
      <c r="I223" s="104" t="n">
        <v>43462</v>
      </c>
      <c r="J223" s="99" t="n">
        <v>43580</v>
      </c>
      <c r="K223" s="100" t="n">
        <v>-11906.85</v>
      </c>
      <c r="L223" s="100" t="n">
        <f aca="false">K223-Q223+T223</f>
        <v>24842.32</v>
      </c>
      <c r="M223" s="98" t="s">
        <v>149</v>
      </c>
      <c r="N223" s="100" t="n">
        <v>-11906.85</v>
      </c>
      <c r="O223" s="98" t="s">
        <v>149</v>
      </c>
      <c r="P223" s="100" t="n">
        <v>-12112.85</v>
      </c>
      <c r="Q223" s="100" t="n">
        <v>-36954.56</v>
      </c>
      <c r="R223" s="100" t="n">
        <v>-11906.85</v>
      </c>
      <c r="S223" s="100" t="n">
        <v>-9751.37</v>
      </c>
      <c r="T223" s="100" t="n">
        <v>-205.39</v>
      </c>
      <c r="U223" s="98" t="s">
        <v>150</v>
      </c>
      <c r="V223" s="98" t="s">
        <v>151</v>
      </c>
      <c r="Y223" s="98" t="s">
        <v>170</v>
      </c>
      <c r="Z223" s="98" t="s">
        <v>970</v>
      </c>
      <c r="AB223" s="98" t="s">
        <v>170</v>
      </c>
      <c r="AD223" s="98" t="s">
        <v>155</v>
      </c>
      <c r="AE223" s="98" t="s">
        <v>156</v>
      </c>
      <c r="AF223" s="98" t="s">
        <v>747</v>
      </c>
      <c r="AG223" s="98" t="s">
        <v>748</v>
      </c>
      <c r="AH223" s="98" t="s">
        <v>971</v>
      </c>
      <c r="AI223" s="98" t="s">
        <v>971</v>
      </c>
      <c r="AJ223" s="98" t="s">
        <v>972</v>
      </c>
      <c r="AK223" s="98" t="s">
        <v>159</v>
      </c>
      <c r="AL223" s="98" t="s">
        <v>224</v>
      </c>
      <c r="AM223" s="98" t="s">
        <v>225</v>
      </c>
      <c r="AR223" s="98" t="s">
        <v>973</v>
      </c>
      <c r="AS223" s="98" t="s">
        <v>974</v>
      </c>
      <c r="AT223" s="100" t="n">
        <v>0</v>
      </c>
      <c r="AU223" s="100" t="n">
        <v>-11906.85</v>
      </c>
      <c r="AX223" s="98" t="s">
        <v>556</v>
      </c>
      <c r="AMH223" s="0"/>
      <c r="AMI223" s="0"/>
      <c r="AMJ223" s="0"/>
    </row>
    <row r="224" s="98" customFormat="true" ht="13.8" hidden="false" customHeight="false" outlineLevel="0" collapsed="false">
      <c r="A224" s="98" t="s">
        <v>142</v>
      </c>
      <c r="B224" s="98" t="s">
        <v>143</v>
      </c>
      <c r="C224" s="98" t="n">
        <v>51050682</v>
      </c>
      <c r="D224" s="98" t="s">
        <v>969</v>
      </c>
      <c r="E224" s="98" t="s">
        <v>725</v>
      </c>
      <c r="F224" s="98" t="s">
        <v>308</v>
      </c>
      <c r="G224" s="98" t="s">
        <v>147</v>
      </c>
      <c r="H224" s="98" t="s">
        <v>165</v>
      </c>
      <c r="I224" s="104" t="n">
        <v>43462</v>
      </c>
      <c r="J224" s="99" t="n">
        <v>43580</v>
      </c>
      <c r="K224" s="100" t="n">
        <v>-214335.34</v>
      </c>
      <c r="L224" s="100" t="n">
        <f aca="false">K224-Q224+T224</f>
        <v>-218032.56</v>
      </c>
      <c r="M224" s="98" t="s">
        <v>149</v>
      </c>
      <c r="N224" s="100" t="n">
        <v>-214335.34</v>
      </c>
      <c r="O224" s="98" t="s">
        <v>149</v>
      </c>
      <c r="P224" s="100" t="n">
        <v>-218031.34</v>
      </c>
      <c r="Q224" s="100" t="n">
        <v>0</v>
      </c>
      <c r="R224" s="100" t="n">
        <v>-214335.34</v>
      </c>
      <c r="S224" s="100" t="n">
        <v>-175534.61</v>
      </c>
      <c r="T224" s="100" t="n">
        <v>-3697.22</v>
      </c>
      <c r="U224" s="98" t="s">
        <v>150</v>
      </c>
      <c r="V224" s="98" t="s">
        <v>151</v>
      </c>
      <c r="Y224" s="98" t="s">
        <v>170</v>
      </c>
      <c r="Z224" s="98" t="s">
        <v>970</v>
      </c>
      <c r="AB224" s="98" t="s">
        <v>170</v>
      </c>
      <c r="AD224" s="98" t="s">
        <v>155</v>
      </c>
      <c r="AE224" s="98" t="s">
        <v>156</v>
      </c>
      <c r="AF224" s="98" t="s">
        <v>747</v>
      </c>
      <c r="AG224" s="98" t="s">
        <v>748</v>
      </c>
      <c r="AH224" s="98" t="s">
        <v>971</v>
      </c>
      <c r="AI224" s="98" t="s">
        <v>971</v>
      </c>
      <c r="AJ224" s="98" t="s">
        <v>972</v>
      </c>
      <c r="AK224" s="98" t="s">
        <v>159</v>
      </c>
      <c r="AL224" s="98" t="s">
        <v>224</v>
      </c>
      <c r="AM224" s="98" t="s">
        <v>225</v>
      </c>
      <c r="AP224" s="98" t="s">
        <v>311</v>
      </c>
      <c r="AQ224" s="98" t="s">
        <v>309</v>
      </c>
      <c r="AR224" s="98" t="s">
        <v>973</v>
      </c>
      <c r="AS224" s="98" t="s">
        <v>974</v>
      </c>
      <c r="AT224" s="100" t="n">
        <v>0</v>
      </c>
      <c r="AU224" s="100" t="n">
        <v>-214335.34</v>
      </c>
      <c r="AX224" s="98" t="s">
        <v>175</v>
      </c>
      <c r="AMH224" s="0"/>
      <c r="AMI224" s="0"/>
      <c r="AMJ224" s="0"/>
    </row>
    <row r="225" s="98" customFormat="true" ht="13.8" hidden="false" customHeight="false" outlineLevel="0" collapsed="false">
      <c r="A225" s="98" t="s">
        <v>142</v>
      </c>
      <c r="B225" s="98" t="s">
        <v>143</v>
      </c>
      <c r="C225" s="98" t="n">
        <v>51050682</v>
      </c>
      <c r="D225" s="98" t="s">
        <v>969</v>
      </c>
      <c r="E225" s="98" t="s">
        <v>725</v>
      </c>
      <c r="F225" s="98" t="s">
        <v>308</v>
      </c>
      <c r="G225" s="98" t="s">
        <v>147</v>
      </c>
      <c r="H225" s="98" t="s">
        <v>165</v>
      </c>
      <c r="I225" s="104" t="n">
        <v>43462</v>
      </c>
      <c r="J225" s="99" t="n">
        <v>43580</v>
      </c>
      <c r="K225" s="100" t="n">
        <v>-11906.85</v>
      </c>
      <c r="L225" s="100" t="n">
        <f aca="false">K225-Q225+T225</f>
        <v>-12112.24</v>
      </c>
      <c r="M225" s="98" t="s">
        <v>149</v>
      </c>
      <c r="N225" s="100" t="n">
        <v>-11906.85</v>
      </c>
      <c r="O225" s="98" t="s">
        <v>149</v>
      </c>
      <c r="P225" s="100" t="n">
        <v>-12112.85</v>
      </c>
      <c r="Q225" s="100" t="n">
        <v>0</v>
      </c>
      <c r="R225" s="100" t="n">
        <v>-11906.85</v>
      </c>
      <c r="S225" s="100" t="n">
        <v>-9751.37</v>
      </c>
      <c r="T225" s="100" t="n">
        <v>-205.39</v>
      </c>
      <c r="U225" s="98" t="s">
        <v>150</v>
      </c>
      <c r="V225" s="98" t="s">
        <v>151</v>
      </c>
      <c r="Y225" s="98" t="s">
        <v>170</v>
      </c>
      <c r="Z225" s="98" t="s">
        <v>970</v>
      </c>
      <c r="AB225" s="98" t="s">
        <v>170</v>
      </c>
      <c r="AD225" s="98" t="s">
        <v>155</v>
      </c>
      <c r="AE225" s="98" t="s">
        <v>156</v>
      </c>
      <c r="AF225" s="98" t="s">
        <v>747</v>
      </c>
      <c r="AG225" s="98" t="s">
        <v>748</v>
      </c>
      <c r="AH225" s="98" t="s">
        <v>971</v>
      </c>
      <c r="AI225" s="98" t="s">
        <v>971</v>
      </c>
      <c r="AJ225" s="98" t="s">
        <v>972</v>
      </c>
      <c r="AK225" s="98" t="s">
        <v>159</v>
      </c>
      <c r="AL225" s="98" t="s">
        <v>224</v>
      </c>
      <c r="AM225" s="98" t="s">
        <v>225</v>
      </c>
      <c r="AR225" s="98" t="s">
        <v>973</v>
      </c>
      <c r="AS225" s="98" t="s">
        <v>974</v>
      </c>
      <c r="AT225" s="100" t="n">
        <v>0</v>
      </c>
      <c r="AU225" s="100" t="n">
        <v>-11906.85</v>
      </c>
      <c r="AX225" s="98" t="s">
        <v>535</v>
      </c>
      <c r="AMH225" s="0"/>
      <c r="AMI225" s="0"/>
      <c r="AMJ225" s="0"/>
    </row>
    <row r="226" s="98" customFormat="true" ht="13.8" hidden="false" customHeight="false" outlineLevel="0" collapsed="false">
      <c r="A226" s="98" t="s">
        <v>142</v>
      </c>
      <c r="B226" s="98" t="s">
        <v>143</v>
      </c>
      <c r="C226" s="98" t="n">
        <v>51087753</v>
      </c>
      <c r="D226" s="98" t="s">
        <v>975</v>
      </c>
      <c r="E226" s="98" t="s">
        <v>725</v>
      </c>
      <c r="F226" s="98" t="s">
        <v>167</v>
      </c>
      <c r="G226" s="98" t="s">
        <v>147</v>
      </c>
      <c r="H226" s="98" t="s">
        <v>220</v>
      </c>
      <c r="I226" s="104" t="n">
        <v>43464</v>
      </c>
      <c r="J226" s="99" t="n">
        <v>43599</v>
      </c>
      <c r="K226" s="100" t="n">
        <v>-696683.8</v>
      </c>
      <c r="L226" s="100" t="n">
        <f aca="false">K226-Q226+T226</f>
        <v>-590410</v>
      </c>
      <c r="M226" s="98" t="s">
        <v>149</v>
      </c>
      <c r="N226" s="100" t="n">
        <v>-696683.8</v>
      </c>
      <c r="O226" s="98" t="s">
        <v>149</v>
      </c>
      <c r="P226" s="100" t="n">
        <v>-696683.8</v>
      </c>
      <c r="Q226" s="100" t="n">
        <v>-106273.8</v>
      </c>
      <c r="R226" s="100" t="n">
        <v>-696683.8</v>
      </c>
      <c r="S226" s="100" t="n">
        <v>0</v>
      </c>
      <c r="T226" s="100" t="n">
        <v>0</v>
      </c>
      <c r="U226" s="98" t="s">
        <v>192</v>
      </c>
      <c r="V226" s="98" t="s">
        <v>151</v>
      </c>
      <c r="Y226" s="98" t="s">
        <v>952</v>
      </c>
      <c r="Z226" s="98" t="s">
        <v>976</v>
      </c>
      <c r="AB226" s="98" t="s">
        <v>952</v>
      </c>
      <c r="AD226" s="98" t="s">
        <v>155</v>
      </c>
      <c r="AE226" s="98" t="s">
        <v>156</v>
      </c>
      <c r="AF226" s="98" t="s">
        <v>728</v>
      </c>
      <c r="AG226" s="98" t="s">
        <v>729</v>
      </c>
      <c r="AH226" s="98" t="s">
        <v>730</v>
      </c>
      <c r="AI226" s="98" t="s">
        <v>730</v>
      </c>
      <c r="AJ226" s="98" t="s">
        <v>731</v>
      </c>
      <c r="AK226" s="98" t="s">
        <v>159</v>
      </c>
      <c r="AL226" s="98" t="s">
        <v>224</v>
      </c>
      <c r="AM226" s="98" t="s">
        <v>225</v>
      </c>
      <c r="AP226" s="98" t="s">
        <v>331</v>
      </c>
      <c r="AQ226" s="98" t="s">
        <v>329</v>
      </c>
      <c r="AR226" s="98" t="s">
        <v>958</v>
      </c>
      <c r="AS226" s="98" t="s">
        <v>977</v>
      </c>
      <c r="AT226" s="100" t="n">
        <v>0</v>
      </c>
      <c r="AU226" s="100" t="n">
        <v>-696683.8</v>
      </c>
      <c r="AX226" s="98" t="s">
        <v>165</v>
      </c>
      <c r="AMH226" s="0"/>
      <c r="AMI226" s="0"/>
      <c r="AMJ226" s="0"/>
    </row>
    <row r="227" s="98" customFormat="true" ht="13.8" hidden="false" customHeight="false" outlineLevel="0" collapsed="false">
      <c r="A227" s="98" t="s">
        <v>142</v>
      </c>
      <c r="B227" s="98" t="s">
        <v>143</v>
      </c>
      <c r="C227" s="98" t="n">
        <v>51087754</v>
      </c>
      <c r="D227" s="98" t="s">
        <v>978</v>
      </c>
      <c r="E227" s="98" t="s">
        <v>725</v>
      </c>
      <c r="F227" s="98" t="s">
        <v>167</v>
      </c>
      <c r="G227" s="98" t="s">
        <v>147</v>
      </c>
      <c r="H227" s="98" t="s">
        <v>220</v>
      </c>
      <c r="I227" s="104" t="n">
        <v>43464</v>
      </c>
      <c r="J227" s="99" t="n">
        <v>43599</v>
      </c>
      <c r="K227" s="100" t="n">
        <v>-2045947.25</v>
      </c>
      <c r="L227" s="100" t="n">
        <f aca="false">K227-Q227+T227</f>
        <v>-1733853.6</v>
      </c>
      <c r="M227" s="98" t="s">
        <v>149</v>
      </c>
      <c r="N227" s="100" t="n">
        <v>-2045947.25</v>
      </c>
      <c r="O227" s="98" t="s">
        <v>149</v>
      </c>
      <c r="P227" s="100" t="n">
        <v>-2045947.25</v>
      </c>
      <c r="Q227" s="100" t="n">
        <v>-312093.65</v>
      </c>
      <c r="R227" s="100" t="n">
        <v>-2045947.25</v>
      </c>
      <c r="S227" s="100" t="n">
        <v>0</v>
      </c>
      <c r="T227" s="100" t="n">
        <v>0</v>
      </c>
      <c r="U227" s="98" t="s">
        <v>192</v>
      </c>
      <c r="V227" s="98" t="s">
        <v>151</v>
      </c>
      <c r="Y227" s="98" t="s">
        <v>952</v>
      </c>
      <c r="Z227" s="98" t="s">
        <v>979</v>
      </c>
      <c r="AB227" s="98" t="s">
        <v>952</v>
      </c>
      <c r="AD227" s="98" t="s">
        <v>155</v>
      </c>
      <c r="AE227" s="98" t="s">
        <v>156</v>
      </c>
      <c r="AF227" s="98" t="s">
        <v>728</v>
      </c>
      <c r="AG227" s="98" t="s">
        <v>729</v>
      </c>
      <c r="AH227" s="98" t="s">
        <v>730</v>
      </c>
      <c r="AI227" s="98" t="s">
        <v>730</v>
      </c>
      <c r="AJ227" s="98" t="s">
        <v>731</v>
      </c>
      <c r="AK227" s="98" t="s">
        <v>159</v>
      </c>
      <c r="AL227" s="98" t="s">
        <v>224</v>
      </c>
      <c r="AM227" s="98" t="s">
        <v>225</v>
      </c>
      <c r="AP227" s="98" t="s">
        <v>331</v>
      </c>
      <c r="AQ227" s="98" t="s">
        <v>329</v>
      </c>
      <c r="AR227" s="98" t="s">
        <v>958</v>
      </c>
      <c r="AS227" s="98" t="s">
        <v>980</v>
      </c>
      <c r="AT227" s="100" t="n">
        <v>0</v>
      </c>
      <c r="AU227" s="100" t="n">
        <v>-2045947.25</v>
      </c>
      <c r="AX227" s="98" t="s">
        <v>165</v>
      </c>
      <c r="AMH227" s="0"/>
      <c r="AMI227" s="0"/>
      <c r="AMJ227" s="0"/>
    </row>
    <row r="228" s="98" customFormat="true" ht="13.8" hidden="false" customHeight="false" outlineLevel="0" collapsed="false">
      <c r="A228" s="98" t="s">
        <v>142</v>
      </c>
      <c r="B228" s="98" t="s">
        <v>143</v>
      </c>
      <c r="C228" s="98" t="n">
        <v>51093219</v>
      </c>
      <c r="D228" s="98" t="s">
        <v>981</v>
      </c>
      <c r="E228" s="98" t="s">
        <v>725</v>
      </c>
      <c r="F228" s="98" t="s">
        <v>333</v>
      </c>
      <c r="G228" s="98" t="s">
        <v>147</v>
      </c>
      <c r="H228" s="98" t="s">
        <v>220</v>
      </c>
      <c r="I228" s="99" t="n">
        <v>43522</v>
      </c>
      <c r="J228" s="99" t="n">
        <v>43600</v>
      </c>
      <c r="K228" s="100" t="n">
        <v>-595900</v>
      </c>
      <c r="L228" s="100" t="n">
        <f aca="false">K228-Q228+T228</f>
        <v>-505000</v>
      </c>
      <c r="M228" s="98" t="s">
        <v>149</v>
      </c>
      <c r="N228" s="100" t="n">
        <v>-595900</v>
      </c>
      <c r="O228" s="98" t="s">
        <v>149</v>
      </c>
      <c r="P228" s="100" t="n">
        <v>-595900</v>
      </c>
      <c r="Q228" s="100" t="n">
        <v>-90900</v>
      </c>
      <c r="R228" s="100" t="n">
        <v>-505000</v>
      </c>
      <c r="S228" s="100" t="n">
        <v>0</v>
      </c>
      <c r="T228" s="100" t="n">
        <v>0</v>
      </c>
      <c r="U228" s="98" t="s">
        <v>192</v>
      </c>
      <c r="V228" s="98" t="s">
        <v>151</v>
      </c>
      <c r="Y228" s="98" t="s">
        <v>982</v>
      </c>
      <c r="Z228" s="98" t="s">
        <v>983</v>
      </c>
      <c r="AB228" s="98" t="s">
        <v>982</v>
      </c>
      <c r="AD228" s="98" t="s">
        <v>155</v>
      </c>
      <c r="AE228" s="98" t="s">
        <v>156</v>
      </c>
      <c r="AF228" s="98" t="s">
        <v>737</v>
      </c>
      <c r="AG228" s="98" t="s">
        <v>738</v>
      </c>
      <c r="AH228" s="98" t="s">
        <v>739</v>
      </c>
      <c r="AI228" s="98" t="s">
        <v>739</v>
      </c>
      <c r="AJ228" s="98" t="s">
        <v>740</v>
      </c>
      <c r="AK228" s="98" t="s">
        <v>159</v>
      </c>
      <c r="AL228" s="98" t="s">
        <v>224</v>
      </c>
      <c r="AM228" s="98" t="s">
        <v>225</v>
      </c>
      <c r="AP228" s="98" t="s">
        <v>331</v>
      </c>
      <c r="AQ228" s="98" t="s">
        <v>329</v>
      </c>
      <c r="AR228" s="98" t="s">
        <v>954</v>
      </c>
      <c r="AS228" s="98" t="s">
        <v>984</v>
      </c>
      <c r="AT228" s="100" t="n">
        <v>0</v>
      </c>
      <c r="AU228" s="100" t="n">
        <v>-595900</v>
      </c>
      <c r="AX228" s="98" t="s">
        <v>165</v>
      </c>
      <c r="AMH228" s="0"/>
      <c r="AMI228" s="0"/>
      <c r="AMJ228" s="0"/>
    </row>
    <row r="229" s="98" customFormat="true" ht="13.8" hidden="false" customHeight="false" outlineLevel="0" collapsed="false">
      <c r="A229" s="98" t="s">
        <v>142</v>
      </c>
      <c r="B229" s="98" t="s">
        <v>143</v>
      </c>
      <c r="C229" s="98" t="n">
        <v>51093319</v>
      </c>
      <c r="D229" s="98" t="s">
        <v>985</v>
      </c>
      <c r="E229" s="98" t="s">
        <v>725</v>
      </c>
      <c r="F229" s="98" t="s">
        <v>333</v>
      </c>
      <c r="G229" s="98" t="s">
        <v>147</v>
      </c>
      <c r="H229" s="98" t="s">
        <v>220</v>
      </c>
      <c r="I229" s="99" t="n">
        <v>43522</v>
      </c>
      <c r="J229" s="99" t="n">
        <v>43600</v>
      </c>
      <c r="K229" s="100" t="n">
        <v>-909780</v>
      </c>
      <c r="L229" s="100" t="n">
        <f aca="false">K229-Q229+T229</f>
        <v>-771000</v>
      </c>
      <c r="M229" s="98" t="s">
        <v>149</v>
      </c>
      <c r="N229" s="100" t="n">
        <v>-909780</v>
      </c>
      <c r="O229" s="98" t="s">
        <v>149</v>
      </c>
      <c r="P229" s="100" t="n">
        <v>-909780</v>
      </c>
      <c r="Q229" s="100" t="n">
        <v>-138780</v>
      </c>
      <c r="R229" s="100" t="n">
        <v>-771000</v>
      </c>
      <c r="S229" s="100" t="n">
        <v>0</v>
      </c>
      <c r="T229" s="100" t="n">
        <v>0</v>
      </c>
      <c r="U229" s="98" t="s">
        <v>192</v>
      </c>
      <c r="V229" s="98" t="s">
        <v>151</v>
      </c>
      <c r="Y229" s="98" t="s">
        <v>982</v>
      </c>
      <c r="Z229" s="98" t="s">
        <v>986</v>
      </c>
      <c r="AB229" s="98" t="s">
        <v>982</v>
      </c>
      <c r="AD229" s="98" t="s">
        <v>155</v>
      </c>
      <c r="AE229" s="98" t="s">
        <v>156</v>
      </c>
      <c r="AF229" s="98" t="s">
        <v>737</v>
      </c>
      <c r="AG229" s="98" t="s">
        <v>738</v>
      </c>
      <c r="AH229" s="98" t="s">
        <v>739</v>
      </c>
      <c r="AI229" s="98" t="s">
        <v>739</v>
      </c>
      <c r="AJ229" s="98" t="s">
        <v>740</v>
      </c>
      <c r="AK229" s="98" t="s">
        <v>159</v>
      </c>
      <c r="AL229" s="98" t="s">
        <v>224</v>
      </c>
      <c r="AM229" s="98" t="s">
        <v>225</v>
      </c>
      <c r="AP229" s="98" t="s">
        <v>331</v>
      </c>
      <c r="AQ229" s="98" t="s">
        <v>329</v>
      </c>
      <c r="AR229" s="98" t="s">
        <v>954</v>
      </c>
      <c r="AS229" s="98" t="s">
        <v>987</v>
      </c>
      <c r="AT229" s="100" t="n">
        <v>0</v>
      </c>
      <c r="AU229" s="100" t="n">
        <v>-909780</v>
      </c>
      <c r="AX229" s="98" t="s">
        <v>165</v>
      </c>
      <c r="AMH229" s="0"/>
      <c r="AMI229" s="0"/>
      <c r="AMJ229" s="0"/>
    </row>
    <row r="230" s="98" customFormat="true" ht="13.8" hidden="false" customHeight="false" outlineLevel="0" collapsed="false">
      <c r="A230" s="98" t="s">
        <v>142</v>
      </c>
      <c r="B230" s="98" t="s">
        <v>143</v>
      </c>
      <c r="C230" s="98" t="n">
        <v>51525079</v>
      </c>
      <c r="D230" s="98" t="s">
        <v>988</v>
      </c>
      <c r="E230" s="98" t="s">
        <v>725</v>
      </c>
      <c r="F230" s="98" t="s">
        <v>167</v>
      </c>
      <c r="G230" s="98" t="s">
        <v>147</v>
      </c>
      <c r="H230" s="98" t="s">
        <v>586</v>
      </c>
      <c r="I230" s="99" t="n">
        <v>43798</v>
      </c>
      <c r="J230" s="99" t="n">
        <v>43803</v>
      </c>
      <c r="K230" s="100" t="n">
        <v>-6495.99</v>
      </c>
      <c r="L230" s="100" t="n">
        <f aca="false">K230-Q230+T230</f>
        <v>-5600</v>
      </c>
      <c r="M230" s="98" t="s">
        <v>149</v>
      </c>
      <c r="N230" s="100" t="n">
        <v>-6495.99</v>
      </c>
      <c r="O230" s="98" t="s">
        <v>149</v>
      </c>
      <c r="P230" s="100" t="n">
        <v>-6608</v>
      </c>
      <c r="Q230" s="100" t="n">
        <v>-1008</v>
      </c>
      <c r="R230" s="100" t="n">
        <v>-5487.99</v>
      </c>
      <c r="S230" s="100" t="n">
        <v>-5600</v>
      </c>
      <c r="T230" s="100" t="n">
        <v>-112.01</v>
      </c>
      <c r="U230" s="98" t="s">
        <v>192</v>
      </c>
      <c r="V230" s="98" t="s">
        <v>151</v>
      </c>
      <c r="X230" s="98" t="s">
        <v>744</v>
      </c>
      <c r="Y230" s="98" t="s">
        <v>989</v>
      </c>
      <c r="Z230" s="98" t="s">
        <v>990</v>
      </c>
      <c r="AB230" s="98" t="s">
        <v>989</v>
      </c>
      <c r="AD230" s="98" t="s">
        <v>155</v>
      </c>
      <c r="AE230" s="98" t="s">
        <v>156</v>
      </c>
      <c r="AF230" s="98" t="s">
        <v>747</v>
      </c>
      <c r="AG230" s="98" t="s">
        <v>748</v>
      </c>
      <c r="AH230" s="98" t="s">
        <v>749</v>
      </c>
      <c r="AI230" s="98" t="s">
        <v>749</v>
      </c>
      <c r="AJ230" s="98" t="s">
        <v>750</v>
      </c>
      <c r="AK230" s="98" t="s">
        <v>159</v>
      </c>
      <c r="AL230" s="98" t="s">
        <v>224</v>
      </c>
      <c r="AM230" s="98" t="s">
        <v>225</v>
      </c>
      <c r="AP230" s="98" t="s">
        <v>619</v>
      </c>
      <c r="AQ230" s="98" t="s">
        <v>613</v>
      </c>
      <c r="AR230" s="98" t="s">
        <v>991</v>
      </c>
      <c r="AS230" s="98" t="s">
        <v>992</v>
      </c>
      <c r="AT230" s="100" t="n">
        <v>0</v>
      </c>
      <c r="AU230" s="100" t="n">
        <v>-6495.99</v>
      </c>
      <c r="AX230" s="98" t="s">
        <v>165</v>
      </c>
      <c r="AMH230" s="0"/>
      <c r="AMI230" s="0"/>
      <c r="AMJ230" s="0"/>
    </row>
    <row r="231" s="98" customFormat="true" ht="13.8" hidden="false" customHeight="false" outlineLevel="0" collapsed="false">
      <c r="A231" s="98" t="s">
        <v>142</v>
      </c>
      <c r="B231" s="98" t="s">
        <v>143</v>
      </c>
      <c r="C231" s="98" t="n">
        <v>51525079</v>
      </c>
      <c r="D231" s="98" t="s">
        <v>988</v>
      </c>
      <c r="E231" s="98" t="s">
        <v>725</v>
      </c>
      <c r="F231" s="98" t="s">
        <v>167</v>
      </c>
      <c r="G231" s="98" t="s">
        <v>147</v>
      </c>
      <c r="H231" s="98" t="s">
        <v>586</v>
      </c>
      <c r="I231" s="99" t="n">
        <v>43798</v>
      </c>
      <c r="J231" s="99" t="n">
        <v>43803</v>
      </c>
      <c r="K231" s="100" t="n">
        <v>-26447.97</v>
      </c>
      <c r="L231" s="100" t="n">
        <f aca="false">K231-Q231+T231</f>
        <v>-22800.01</v>
      </c>
      <c r="M231" s="98" t="s">
        <v>149</v>
      </c>
      <c r="N231" s="100" t="n">
        <v>-26447.97</v>
      </c>
      <c r="O231" s="98" t="s">
        <v>149</v>
      </c>
      <c r="P231" s="100" t="n">
        <v>-26904.01</v>
      </c>
      <c r="Q231" s="100" t="n">
        <v>-4104</v>
      </c>
      <c r="R231" s="100" t="n">
        <v>-22343.97</v>
      </c>
      <c r="S231" s="100" t="n">
        <v>-22800.01</v>
      </c>
      <c r="T231" s="100" t="n">
        <v>-456.04</v>
      </c>
      <c r="U231" s="98" t="s">
        <v>192</v>
      </c>
      <c r="V231" s="98" t="s">
        <v>151</v>
      </c>
      <c r="X231" s="98" t="s">
        <v>744</v>
      </c>
      <c r="Y231" s="98" t="s">
        <v>989</v>
      </c>
      <c r="Z231" s="98" t="s">
        <v>990</v>
      </c>
      <c r="AB231" s="98" t="s">
        <v>989</v>
      </c>
      <c r="AD231" s="98" t="s">
        <v>155</v>
      </c>
      <c r="AE231" s="98" t="s">
        <v>156</v>
      </c>
      <c r="AF231" s="98" t="s">
        <v>747</v>
      </c>
      <c r="AG231" s="98" t="s">
        <v>748</v>
      </c>
      <c r="AH231" s="98" t="s">
        <v>749</v>
      </c>
      <c r="AI231" s="98" t="s">
        <v>749</v>
      </c>
      <c r="AJ231" s="98" t="s">
        <v>750</v>
      </c>
      <c r="AK231" s="98" t="s">
        <v>159</v>
      </c>
      <c r="AL231" s="98" t="s">
        <v>224</v>
      </c>
      <c r="AM231" s="98" t="s">
        <v>225</v>
      </c>
      <c r="AP231" s="98" t="s">
        <v>619</v>
      </c>
      <c r="AQ231" s="98" t="s">
        <v>613</v>
      </c>
      <c r="AR231" s="98" t="s">
        <v>991</v>
      </c>
      <c r="AS231" s="98" t="s">
        <v>992</v>
      </c>
      <c r="AT231" s="100" t="n">
        <v>0</v>
      </c>
      <c r="AU231" s="100" t="n">
        <v>-26447.97</v>
      </c>
      <c r="AX231" s="98" t="s">
        <v>148</v>
      </c>
      <c r="AMH231" s="0"/>
      <c r="AMI231" s="0"/>
      <c r="AMJ231" s="0"/>
    </row>
    <row r="232" s="98" customFormat="true" ht="13.8" hidden="false" customHeight="false" outlineLevel="0" collapsed="false">
      <c r="A232" s="98" t="s">
        <v>142</v>
      </c>
      <c r="B232" s="98" t="s">
        <v>143</v>
      </c>
      <c r="C232" s="98" t="n">
        <v>51091615</v>
      </c>
      <c r="D232" s="98" t="s">
        <v>993</v>
      </c>
      <c r="E232" s="98" t="s">
        <v>725</v>
      </c>
      <c r="F232" s="98" t="s">
        <v>308</v>
      </c>
      <c r="G232" s="98" t="s">
        <v>147</v>
      </c>
      <c r="H232" s="98" t="s">
        <v>220</v>
      </c>
      <c r="I232" s="104" t="n">
        <v>43525</v>
      </c>
      <c r="J232" s="99" t="n">
        <v>43600</v>
      </c>
      <c r="K232" s="100" t="n">
        <v>-14267.87</v>
      </c>
      <c r="L232" s="100" t="n">
        <f aca="false">K232-Q232+T232</f>
        <v>29768.64</v>
      </c>
      <c r="M232" s="98" t="s">
        <v>149</v>
      </c>
      <c r="N232" s="100" t="n">
        <v>-14267.87</v>
      </c>
      <c r="O232" s="98" t="s">
        <v>149</v>
      </c>
      <c r="P232" s="100" t="n">
        <v>-14514.87</v>
      </c>
      <c r="Q232" s="100" t="n">
        <v>-44282.65</v>
      </c>
      <c r="R232" s="100" t="n">
        <v>-14267.87</v>
      </c>
      <c r="S232" s="100" t="n">
        <v>-12300</v>
      </c>
      <c r="T232" s="100" t="n">
        <v>-246.14</v>
      </c>
      <c r="U232" s="98" t="s">
        <v>150</v>
      </c>
      <c r="V232" s="98" t="s">
        <v>151</v>
      </c>
      <c r="Y232" s="98" t="s">
        <v>170</v>
      </c>
      <c r="Z232" s="98" t="s">
        <v>994</v>
      </c>
      <c r="AB232" s="98" t="s">
        <v>170</v>
      </c>
      <c r="AD232" s="98" t="s">
        <v>155</v>
      </c>
      <c r="AE232" s="98" t="s">
        <v>156</v>
      </c>
      <c r="AF232" s="98" t="s">
        <v>747</v>
      </c>
      <c r="AG232" s="98" t="s">
        <v>748</v>
      </c>
      <c r="AH232" s="98" t="s">
        <v>971</v>
      </c>
      <c r="AI232" s="98" t="s">
        <v>971</v>
      </c>
      <c r="AJ232" s="98" t="s">
        <v>972</v>
      </c>
      <c r="AK232" s="98" t="s">
        <v>159</v>
      </c>
      <c r="AL232" s="98" t="s">
        <v>224</v>
      </c>
      <c r="AM232" s="98" t="s">
        <v>225</v>
      </c>
      <c r="AR232" s="98" t="s">
        <v>954</v>
      </c>
      <c r="AS232" s="98" t="s">
        <v>995</v>
      </c>
      <c r="AT232" s="100" t="n">
        <v>0</v>
      </c>
      <c r="AU232" s="100" t="n">
        <v>-14267.87</v>
      </c>
      <c r="AX232" s="98" t="s">
        <v>535</v>
      </c>
      <c r="AMH232" s="0"/>
      <c r="AMI232" s="0"/>
      <c r="AMJ232" s="0"/>
    </row>
    <row r="233" s="98" customFormat="true" ht="13.8" hidden="false" customHeight="false" outlineLevel="0" collapsed="false">
      <c r="A233" s="98" t="s">
        <v>142</v>
      </c>
      <c r="B233" s="98" t="s">
        <v>143</v>
      </c>
      <c r="C233" s="98" t="n">
        <v>51091615</v>
      </c>
      <c r="D233" s="98" t="s">
        <v>993</v>
      </c>
      <c r="E233" s="98" t="s">
        <v>725</v>
      </c>
      <c r="F233" s="98" t="s">
        <v>308</v>
      </c>
      <c r="G233" s="98" t="s">
        <v>147</v>
      </c>
      <c r="H233" s="98" t="s">
        <v>220</v>
      </c>
      <c r="I233" s="104" t="n">
        <v>43525</v>
      </c>
      <c r="J233" s="99" t="n">
        <v>43600</v>
      </c>
      <c r="K233" s="100" t="n">
        <v>-256838.6</v>
      </c>
      <c r="L233" s="100" t="n">
        <f aca="false">K233-Q233+T233</f>
        <v>-261269.33</v>
      </c>
      <c r="M233" s="98" t="s">
        <v>149</v>
      </c>
      <c r="N233" s="100" t="n">
        <v>-256838.6</v>
      </c>
      <c r="O233" s="98" t="s">
        <v>149</v>
      </c>
      <c r="P233" s="100" t="n">
        <v>-261267.6</v>
      </c>
      <c r="Q233" s="100" t="n">
        <v>0</v>
      </c>
      <c r="R233" s="100" t="n">
        <v>-256838.6</v>
      </c>
      <c r="S233" s="100" t="n">
        <v>-221414.68</v>
      </c>
      <c r="T233" s="100" t="n">
        <v>-4430.73</v>
      </c>
      <c r="U233" s="98" t="s">
        <v>150</v>
      </c>
      <c r="V233" s="98" t="s">
        <v>151</v>
      </c>
      <c r="Y233" s="98" t="s">
        <v>170</v>
      </c>
      <c r="Z233" s="98" t="s">
        <v>994</v>
      </c>
      <c r="AB233" s="98" t="s">
        <v>170</v>
      </c>
      <c r="AD233" s="98" t="s">
        <v>155</v>
      </c>
      <c r="AE233" s="98" t="s">
        <v>156</v>
      </c>
      <c r="AF233" s="98" t="s">
        <v>747</v>
      </c>
      <c r="AG233" s="98" t="s">
        <v>748</v>
      </c>
      <c r="AH233" s="98" t="s">
        <v>971</v>
      </c>
      <c r="AI233" s="98" t="s">
        <v>971</v>
      </c>
      <c r="AJ233" s="98" t="s">
        <v>972</v>
      </c>
      <c r="AK233" s="98" t="s">
        <v>159</v>
      </c>
      <c r="AL233" s="98" t="s">
        <v>224</v>
      </c>
      <c r="AM233" s="98" t="s">
        <v>225</v>
      </c>
      <c r="AP233" s="98" t="s">
        <v>349</v>
      </c>
      <c r="AQ233" s="98" t="s">
        <v>347</v>
      </c>
      <c r="AR233" s="98" t="s">
        <v>954</v>
      </c>
      <c r="AS233" s="98" t="s">
        <v>995</v>
      </c>
      <c r="AT233" s="100" t="n">
        <v>0</v>
      </c>
      <c r="AU233" s="100" t="n">
        <v>-256838.6</v>
      </c>
      <c r="AX233" s="98" t="s">
        <v>175</v>
      </c>
      <c r="AMH233" s="0"/>
      <c r="AMI233" s="0"/>
      <c r="AMJ233" s="0"/>
    </row>
    <row r="234" s="98" customFormat="true" ht="13.8" hidden="false" customHeight="false" outlineLevel="0" collapsed="false">
      <c r="A234" s="98" t="s">
        <v>142</v>
      </c>
      <c r="B234" s="98" t="s">
        <v>143</v>
      </c>
      <c r="C234" s="98" t="n">
        <v>51091615</v>
      </c>
      <c r="D234" s="98" t="s">
        <v>993</v>
      </c>
      <c r="E234" s="98" t="s">
        <v>725</v>
      </c>
      <c r="F234" s="98" t="s">
        <v>308</v>
      </c>
      <c r="G234" s="98" t="s">
        <v>147</v>
      </c>
      <c r="H234" s="98" t="s">
        <v>220</v>
      </c>
      <c r="I234" s="104" t="n">
        <v>43525</v>
      </c>
      <c r="J234" s="99" t="n">
        <v>43600</v>
      </c>
      <c r="K234" s="100" t="n">
        <v>-14267.86</v>
      </c>
      <c r="L234" s="100" t="n">
        <f aca="false">K234-Q234+T234</f>
        <v>-14514</v>
      </c>
      <c r="M234" s="98" t="s">
        <v>149</v>
      </c>
      <c r="N234" s="100" t="n">
        <v>-14267.86</v>
      </c>
      <c r="O234" s="98" t="s">
        <v>149</v>
      </c>
      <c r="P234" s="100" t="n">
        <v>-14514.86</v>
      </c>
      <c r="Q234" s="100" t="n">
        <v>0</v>
      </c>
      <c r="R234" s="100" t="n">
        <v>-14267.86</v>
      </c>
      <c r="S234" s="100" t="n">
        <v>-12300</v>
      </c>
      <c r="T234" s="100" t="n">
        <v>-246.14</v>
      </c>
      <c r="U234" s="98" t="s">
        <v>150</v>
      </c>
      <c r="V234" s="98" t="s">
        <v>151</v>
      </c>
      <c r="Y234" s="98" t="s">
        <v>170</v>
      </c>
      <c r="Z234" s="98" t="s">
        <v>994</v>
      </c>
      <c r="AB234" s="98" t="s">
        <v>170</v>
      </c>
      <c r="AD234" s="98" t="s">
        <v>155</v>
      </c>
      <c r="AE234" s="98" t="s">
        <v>156</v>
      </c>
      <c r="AF234" s="98" t="s">
        <v>747</v>
      </c>
      <c r="AG234" s="98" t="s">
        <v>748</v>
      </c>
      <c r="AH234" s="98" t="s">
        <v>971</v>
      </c>
      <c r="AI234" s="98" t="s">
        <v>971</v>
      </c>
      <c r="AJ234" s="98" t="s">
        <v>972</v>
      </c>
      <c r="AK234" s="98" t="s">
        <v>159</v>
      </c>
      <c r="AL234" s="98" t="s">
        <v>224</v>
      </c>
      <c r="AM234" s="98" t="s">
        <v>225</v>
      </c>
      <c r="AR234" s="98" t="s">
        <v>954</v>
      </c>
      <c r="AS234" s="98" t="s">
        <v>995</v>
      </c>
      <c r="AT234" s="100" t="n">
        <v>0</v>
      </c>
      <c r="AU234" s="100" t="n">
        <v>-14267.86</v>
      </c>
      <c r="AX234" s="98" t="s">
        <v>556</v>
      </c>
      <c r="AMH234" s="0"/>
      <c r="AMI234" s="0"/>
      <c r="AMJ234" s="0"/>
    </row>
    <row r="235" s="98" customFormat="true" ht="13.8" hidden="false" customHeight="false" outlineLevel="0" collapsed="false">
      <c r="A235" s="98" t="s">
        <v>142</v>
      </c>
      <c r="B235" s="98" t="s">
        <v>143</v>
      </c>
      <c r="C235" s="98" t="n">
        <v>51099503</v>
      </c>
      <c r="D235" s="98" t="s">
        <v>996</v>
      </c>
      <c r="E235" s="98" t="s">
        <v>725</v>
      </c>
      <c r="F235" s="98" t="s">
        <v>167</v>
      </c>
      <c r="G235" s="98" t="s">
        <v>147</v>
      </c>
      <c r="H235" s="98" t="s">
        <v>220</v>
      </c>
      <c r="I235" s="99" t="n">
        <v>43464</v>
      </c>
      <c r="J235" s="99" t="n">
        <v>43602</v>
      </c>
      <c r="K235" s="100" t="n">
        <v>-59253.32</v>
      </c>
      <c r="L235" s="100" t="n">
        <f aca="false">K235-Q235+T235</f>
        <v>-50214.68</v>
      </c>
      <c r="M235" s="98" t="s">
        <v>149</v>
      </c>
      <c r="N235" s="100" t="n">
        <v>-59253.32</v>
      </c>
      <c r="O235" s="98" t="s">
        <v>149</v>
      </c>
      <c r="P235" s="100" t="n">
        <v>-59253.32</v>
      </c>
      <c r="Q235" s="100" t="n">
        <v>-9038.64</v>
      </c>
      <c r="R235" s="100" t="n">
        <v>-50214.68</v>
      </c>
      <c r="S235" s="100" t="n">
        <v>0</v>
      </c>
      <c r="T235" s="100" t="n">
        <v>0</v>
      </c>
      <c r="U235" s="98" t="s">
        <v>150</v>
      </c>
      <c r="V235" s="98" t="s">
        <v>151</v>
      </c>
      <c r="Y235" s="98" t="s">
        <v>769</v>
      </c>
      <c r="Z235" s="98" t="s">
        <v>997</v>
      </c>
      <c r="AB235" s="98" t="s">
        <v>769</v>
      </c>
      <c r="AD235" s="98" t="s">
        <v>155</v>
      </c>
      <c r="AE235" s="98" t="s">
        <v>156</v>
      </c>
      <c r="AF235" s="98" t="s">
        <v>728</v>
      </c>
      <c r="AG235" s="98" t="s">
        <v>729</v>
      </c>
      <c r="AH235" s="98" t="s">
        <v>730</v>
      </c>
      <c r="AI235" s="98" t="s">
        <v>730</v>
      </c>
      <c r="AJ235" s="98" t="s">
        <v>731</v>
      </c>
      <c r="AK235" s="98" t="s">
        <v>159</v>
      </c>
      <c r="AL235" s="98" t="s">
        <v>224</v>
      </c>
      <c r="AM235" s="98" t="s">
        <v>225</v>
      </c>
      <c r="AP235" s="98" t="s">
        <v>363</v>
      </c>
      <c r="AQ235" s="98" t="s">
        <v>357</v>
      </c>
      <c r="AR235" s="98" t="s">
        <v>998</v>
      </c>
      <c r="AS235" s="98" t="s">
        <v>999</v>
      </c>
      <c r="AT235" s="100" t="n">
        <v>0</v>
      </c>
      <c r="AU235" s="100" t="n">
        <v>-59253.32</v>
      </c>
      <c r="AX235" s="98" t="s">
        <v>165</v>
      </c>
      <c r="AMH235" s="0"/>
      <c r="AMI235" s="0"/>
      <c r="AMJ235" s="0"/>
    </row>
    <row r="236" s="98" customFormat="true" ht="13.8" hidden="false" customHeight="false" outlineLevel="0" collapsed="false">
      <c r="A236" s="98" t="s">
        <v>142</v>
      </c>
      <c r="B236" s="98" t="s">
        <v>143</v>
      </c>
      <c r="C236" s="98" t="n">
        <v>51525079</v>
      </c>
      <c r="D236" s="98" t="s">
        <v>988</v>
      </c>
      <c r="E236" s="98" t="s">
        <v>725</v>
      </c>
      <c r="F236" s="98" t="s">
        <v>167</v>
      </c>
      <c r="G236" s="98" t="s">
        <v>147</v>
      </c>
      <c r="H236" s="98" t="s">
        <v>586</v>
      </c>
      <c r="I236" s="99" t="n">
        <v>43798</v>
      </c>
      <c r="J236" s="99" t="n">
        <v>43803</v>
      </c>
      <c r="K236" s="100" t="n">
        <v>-481874.84</v>
      </c>
      <c r="L236" s="100" t="n">
        <f aca="false">K236-Q236+T236</f>
        <v>-415409.99</v>
      </c>
      <c r="M236" s="98" t="s">
        <v>149</v>
      </c>
      <c r="N236" s="100" t="n">
        <v>-481874.84</v>
      </c>
      <c r="O236" s="98" t="s">
        <v>149</v>
      </c>
      <c r="P236" s="100" t="n">
        <v>-490183.79</v>
      </c>
      <c r="Q236" s="100" t="n">
        <v>-74773.8</v>
      </c>
      <c r="R236" s="100" t="n">
        <v>-407101.04</v>
      </c>
      <c r="S236" s="100" t="n">
        <v>-415409.99</v>
      </c>
      <c r="T236" s="100" t="n">
        <v>-8308.95</v>
      </c>
      <c r="U236" s="98" t="s">
        <v>192</v>
      </c>
      <c r="V236" s="98" t="s">
        <v>151</v>
      </c>
      <c r="X236" s="98" t="s">
        <v>744</v>
      </c>
      <c r="Y236" s="98" t="s">
        <v>989</v>
      </c>
      <c r="Z236" s="98" t="s">
        <v>990</v>
      </c>
      <c r="AB236" s="98" t="s">
        <v>989</v>
      </c>
      <c r="AD236" s="98" t="s">
        <v>155</v>
      </c>
      <c r="AE236" s="98" t="s">
        <v>156</v>
      </c>
      <c r="AF236" s="98" t="s">
        <v>747</v>
      </c>
      <c r="AG236" s="98" t="s">
        <v>748</v>
      </c>
      <c r="AH236" s="98" t="s">
        <v>749</v>
      </c>
      <c r="AI236" s="98" t="s">
        <v>749</v>
      </c>
      <c r="AJ236" s="98" t="s">
        <v>750</v>
      </c>
      <c r="AK236" s="98" t="s">
        <v>159</v>
      </c>
      <c r="AL236" s="98" t="s">
        <v>224</v>
      </c>
      <c r="AM236" s="98" t="s">
        <v>225</v>
      </c>
      <c r="AP236" s="98" t="s">
        <v>619</v>
      </c>
      <c r="AQ236" s="98" t="s">
        <v>613</v>
      </c>
      <c r="AR236" s="98" t="s">
        <v>991</v>
      </c>
      <c r="AS236" s="98" t="s">
        <v>992</v>
      </c>
      <c r="AT236" s="100" t="n">
        <v>0</v>
      </c>
      <c r="AU236" s="100" t="n">
        <v>-481874.84</v>
      </c>
      <c r="AX236" s="98" t="s">
        <v>220</v>
      </c>
      <c r="AMH236" s="0"/>
      <c r="AMI236" s="0"/>
      <c r="AMJ236" s="0"/>
    </row>
    <row r="237" s="98" customFormat="true" ht="13.8" hidden="false" customHeight="false" outlineLevel="0" collapsed="false">
      <c r="A237" s="98" t="s">
        <v>142</v>
      </c>
      <c r="B237" s="98" t="s">
        <v>143</v>
      </c>
      <c r="C237" s="98" t="n">
        <v>51525088</v>
      </c>
      <c r="D237" s="98" t="s">
        <v>1000</v>
      </c>
      <c r="E237" s="98" t="s">
        <v>725</v>
      </c>
      <c r="F237" s="98" t="s">
        <v>167</v>
      </c>
      <c r="G237" s="98" t="s">
        <v>147</v>
      </c>
      <c r="H237" s="98" t="s">
        <v>586</v>
      </c>
      <c r="I237" s="99" t="n">
        <v>43798</v>
      </c>
      <c r="J237" s="99" t="n">
        <v>43803</v>
      </c>
      <c r="K237" s="100" t="n">
        <v>-550408.2</v>
      </c>
      <c r="L237" s="100" t="n">
        <f aca="false">K237-Q237+T237</f>
        <v>-474490</v>
      </c>
      <c r="M237" s="98" t="s">
        <v>149</v>
      </c>
      <c r="N237" s="100" t="n">
        <v>-550408.2</v>
      </c>
      <c r="O237" s="98" t="s">
        <v>149</v>
      </c>
      <c r="P237" s="100" t="n">
        <v>-559898.2</v>
      </c>
      <c r="Q237" s="100" t="n">
        <v>-85408.2</v>
      </c>
      <c r="R237" s="100" t="n">
        <v>-465000</v>
      </c>
      <c r="S237" s="100" t="n">
        <v>-474490</v>
      </c>
      <c r="T237" s="100" t="n">
        <v>-9490</v>
      </c>
      <c r="U237" s="98" t="s">
        <v>192</v>
      </c>
      <c r="V237" s="98" t="s">
        <v>151</v>
      </c>
      <c r="X237" s="98" t="s">
        <v>744</v>
      </c>
      <c r="Y237" s="98" t="s">
        <v>1001</v>
      </c>
      <c r="Z237" s="98" t="s">
        <v>1002</v>
      </c>
      <c r="AB237" s="98" t="s">
        <v>1001</v>
      </c>
      <c r="AD237" s="98" t="s">
        <v>155</v>
      </c>
      <c r="AE237" s="98" t="s">
        <v>156</v>
      </c>
      <c r="AF237" s="98" t="s">
        <v>747</v>
      </c>
      <c r="AG237" s="98" t="s">
        <v>748</v>
      </c>
      <c r="AH237" s="98" t="s">
        <v>749</v>
      </c>
      <c r="AI237" s="98" t="s">
        <v>749</v>
      </c>
      <c r="AJ237" s="98" t="s">
        <v>750</v>
      </c>
      <c r="AK237" s="98" t="s">
        <v>159</v>
      </c>
      <c r="AL237" s="98" t="s">
        <v>224</v>
      </c>
      <c r="AM237" s="98" t="s">
        <v>225</v>
      </c>
      <c r="AP237" s="98" t="s">
        <v>619</v>
      </c>
      <c r="AQ237" s="98" t="s">
        <v>613</v>
      </c>
      <c r="AR237" s="98" t="s">
        <v>991</v>
      </c>
      <c r="AS237" s="98" t="s">
        <v>1003</v>
      </c>
      <c r="AT237" s="100" t="n">
        <v>0</v>
      </c>
      <c r="AU237" s="100" t="n">
        <v>-550408.2</v>
      </c>
      <c r="AX237" s="98" t="s">
        <v>165</v>
      </c>
      <c r="AMH237" s="0"/>
      <c r="AMI237" s="0"/>
      <c r="AMJ237" s="0"/>
    </row>
    <row r="238" s="98" customFormat="true" ht="13.8" hidden="false" customHeight="false" outlineLevel="0" collapsed="false">
      <c r="A238" s="98" t="s">
        <v>142</v>
      </c>
      <c r="B238" s="98" t="s">
        <v>143</v>
      </c>
      <c r="C238" s="98" t="n">
        <v>51525096</v>
      </c>
      <c r="D238" s="98" t="s">
        <v>1004</v>
      </c>
      <c r="E238" s="98" t="s">
        <v>725</v>
      </c>
      <c r="F238" s="98" t="s">
        <v>167</v>
      </c>
      <c r="G238" s="98" t="s">
        <v>147</v>
      </c>
      <c r="H238" s="98" t="s">
        <v>586</v>
      </c>
      <c r="I238" s="99" t="n">
        <v>43798</v>
      </c>
      <c r="J238" s="99" t="n">
        <v>43803</v>
      </c>
      <c r="K238" s="100" t="n">
        <v>-16077.56</v>
      </c>
      <c r="L238" s="100" t="n">
        <f aca="false">K238-Q238+T238</f>
        <v>-13860</v>
      </c>
      <c r="M238" s="98" t="s">
        <v>149</v>
      </c>
      <c r="N238" s="100" t="n">
        <v>-16077.56</v>
      </c>
      <c r="O238" s="98" t="s">
        <v>149</v>
      </c>
      <c r="P238" s="100" t="n">
        <v>-16354.8</v>
      </c>
      <c r="Q238" s="100" t="n">
        <v>-2494.8</v>
      </c>
      <c r="R238" s="100" t="n">
        <v>-13582.76</v>
      </c>
      <c r="S238" s="100" t="n">
        <v>-13860</v>
      </c>
      <c r="T238" s="100" t="n">
        <v>-277.24</v>
      </c>
      <c r="U238" s="98" t="s">
        <v>192</v>
      </c>
      <c r="V238" s="98" t="s">
        <v>151</v>
      </c>
      <c r="X238" s="98" t="s">
        <v>744</v>
      </c>
      <c r="Y238" s="98" t="s">
        <v>1005</v>
      </c>
      <c r="Z238" s="98" t="s">
        <v>1006</v>
      </c>
      <c r="AB238" s="98" t="s">
        <v>1005</v>
      </c>
      <c r="AD238" s="98" t="s">
        <v>155</v>
      </c>
      <c r="AE238" s="98" t="s">
        <v>156</v>
      </c>
      <c r="AF238" s="98" t="s">
        <v>747</v>
      </c>
      <c r="AG238" s="98" t="s">
        <v>748</v>
      </c>
      <c r="AH238" s="98" t="s">
        <v>749</v>
      </c>
      <c r="AI238" s="98" t="s">
        <v>749</v>
      </c>
      <c r="AJ238" s="98" t="s">
        <v>750</v>
      </c>
      <c r="AK238" s="98" t="s">
        <v>159</v>
      </c>
      <c r="AL238" s="98" t="s">
        <v>224</v>
      </c>
      <c r="AM238" s="98" t="s">
        <v>225</v>
      </c>
      <c r="AP238" s="98" t="s">
        <v>619</v>
      </c>
      <c r="AQ238" s="98" t="s">
        <v>613</v>
      </c>
      <c r="AR238" s="98" t="s">
        <v>991</v>
      </c>
      <c r="AS238" s="98" t="s">
        <v>1007</v>
      </c>
      <c r="AT238" s="100" t="n">
        <v>0</v>
      </c>
      <c r="AU238" s="100" t="n">
        <v>-16077.56</v>
      </c>
      <c r="AX238" s="98" t="s">
        <v>220</v>
      </c>
      <c r="AMH238" s="0"/>
      <c r="AMI238" s="0"/>
      <c r="AMJ238" s="0"/>
    </row>
    <row r="239" s="98" customFormat="true" ht="13.8" hidden="false" customHeight="false" outlineLevel="0" collapsed="false">
      <c r="A239" s="98" t="s">
        <v>142</v>
      </c>
      <c r="B239" s="98" t="s">
        <v>143</v>
      </c>
      <c r="C239" s="98" t="n">
        <v>51525096</v>
      </c>
      <c r="D239" s="98" t="s">
        <v>1004</v>
      </c>
      <c r="E239" s="98" t="s">
        <v>725</v>
      </c>
      <c r="F239" s="98" t="s">
        <v>167</v>
      </c>
      <c r="G239" s="98" t="s">
        <v>147</v>
      </c>
      <c r="H239" s="98" t="s">
        <v>586</v>
      </c>
      <c r="I239" s="99" t="n">
        <v>43798</v>
      </c>
      <c r="J239" s="99" t="n">
        <v>43803</v>
      </c>
      <c r="K239" s="100" t="n">
        <v>-309777.24</v>
      </c>
      <c r="L239" s="100" t="n">
        <f aca="false">K239-Q239+T239</f>
        <v>-267050</v>
      </c>
      <c r="M239" s="98" t="s">
        <v>149</v>
      </c>
      <c r="N239" s="100" t="n">
        <v>-309777.24</v>
      </c>
      <c r="O239" s="98" t="s">
        <v>149</v>
      </c>
      <c r="P239" s="100" t="n">
        <v>-315119</v>
      </c>
      <c r="Q239" s="100" t="n">
        <v>-48069</v>
      </c>
      <c r="R239" s="100" t="n">
        <v>-261708.24</v>
      </c>
      <c r="S239" s="100" t="n">
        <v>-267050</v>
      </c>
      <c r="T239" s="100" t="n">
        <v>-5341.76</v>
      </c>
      <c r="U239" s="98" t="s">
        <v>192</v>
      </c>
      <c r="V239" s="98" t="s">
        <v>151</v>
      </c>
      <c r="X239" s="98" t="s">
        <v>744</v>
      </c>
      <c r="Y239" s="98" t="s">
        <v>1005</v>
      </c>
      <c r="Z239" s="98" t="s">
        <v>1006</v>
      </c>
      <c r="AB239" s="98" t="s">
        <v>1005</v>
      </c>
      <c r="AD239" s="98" t="s">
        <v>155</v>
      </c>
      <c r="AE239" s="98" t="s">
        <v>156</v>
      </c>
      <c r="AF239" s="98" t="s">
        <v>747</v>
      </c>
      <c r="AG239" s="98" t="s">
        <v>748</v>
      </c>
      <c r="AH239" s="98" t="s">
        <v>749</v>
      </c>
      <c r="AI239" s="98" t="s">
        <v>749</v>
      </c>
      <c r="AJ239" s="98" t="s">
        <v>750</v>
      </c>
      <c r="AK239" s="98" t="s">
        <v>159</v>
      </c>
      <c r="AL239" s="98" t="s">
        <v>224</v>
      </c>
      <c r="AM239" s="98" t="s">
        <v>225</v>
      </c>
      <c r="AP239" s="98" t="s">
        <v>619</v>
      </c>
      <c r="AQ239" s="98" t="s">
        <v>613</v>
      </c>
      <c r="AR239" s="98" t="s">
        <v>991</v>
      </c>
      <c r="AS239" s="98" t="s">
        <v>1007</v>
      </c>
      <c r="AT239" s="100" t="n">
        <v>0</v>
      </c>
      <c r="AU239" s="100" t="n">
        <v>-309777.24</v>
      </c>
      <c r="AX239" s="98" t="s">
        <v>165</v>
      </c>
      <c r="AMH239" s="0"/>
      <c r="AMI239" s="0"/>
      <c r="AMJ239" s="0"/>
    </row>
    <row r="240" s="98" customFormat="true" ht="13.8" hidden="false" customHeight="false" outlineLevel="0" collapsed="false">
      <c r="A240" s="98" t="s">
        <v>142</v>
      </c>
      <c r="B240" s="98" t="s">
        <v>143</v>
      </c>
      <c r="C240" s="98" t="n">
        <v>51525102</v>
      </c>
      <c r="D240" s="98" t="s">
        <v>1008</v>
      </c>
      <c r="E240" s="98" t="s">
        <v>725</v>
      </c>
      <c r="F240" s="98" t="s">
        <v>167</v>
      </c>
      <c r="G240" s="98" t="s">
        <v>147</v>
      </c>
      <c r="H240" s="98" t="s">
        <v>586</v>
      </c>
      <c r="I240" s="99" t="n">
        <v>43798</v>
      </c>
      <c r="J240" s="99" t="n">
        <v>43803</v>
      </c>
      <c r="K240" s="100" t="n">
        <v>-402786.44</v>
      </c>
      <c r="L240" s="100" t="n">
        <f aca="false">K240-Q240+T240</f>
        <v>-347230</v>
      </c>
      <c r="M240" s="98" t="s">
        <v>149</v>
      </c>
      <c r="N240" s="100" t="n">
        <v>-402786.44</v>
      </c>
      <c r="O240" s="98" t="s">
        <v>149</v>
      </c>
      <c r="P240" s="100" t="n">
        <v>-409731.4</v>
      </c>
      <c r="Q240" s="100" t="n">
        <v>-62501.4</v>
      </c>
      <c r="R240" s="100" t="n">
        <v>-340285.04</v>
      </c>
      <c r="S240" s="100" t="n">
        <v>-347230</v>
      </c>
      <c r="T240" s="100" t="n">
        <v>-6944.96</v>
      </c>
      <c r="U240" s="98" t="s">
        <v>192</v>
      </c>
      <c r="V240" s="98" t="s">
        <v>151</v>
      </c>
      <c r="X240" s="98" t="s">
        <v>744</v>
      </c>
      <c r="Y240" s="98" t="s">
        <v>1009</v>
      </c>
      <c r="Z240" s="98" t="s">
        <v>1010</v>
      </c>
      <c r="AB240" s="98" t="s">
        <v>1009</v>
      </c>
      <c r="AD240" s="98" t="s">
        <v>155</v>
      </c>
      <c r="AE240" s="98" t="s">
        <v>156</v>
      </c>
      <c r="AF240" s="98" t="s">
        <v>747</v>
      </c>
      <c r="AG240" s="98" t="s">
        <v>748</v>
      </c>
      <c r="AH240" s="98" t="s">
        <v>749</v>
      </c>
      <c r="AI240" s="98" t="s">
        <v>749</v>
      </c>
      <c r="AJ240" s="98" t="s">
        <v>750</v>
      </c>
      <c r="AK240" s="98" t="s">
        <v>159</v>
      </c>
      <c r="AL240" s="98" t="s">
        <v>224</v>
      </c>
      <c r="AM240" s="98" t="s">
        <v>225</v>
      </c>
      <c r="AP240" s="98" t="s">
        <v>619</v>
      </c>
      <c r="AQ240" s="98" t="s">
        <v>613</v>
      </c>
      <c r="AR240" s="98" t="s">
        <v>991</v>
      </c>
      <c r="AS240" s="98" t="s">
        <v>1011</v>
      </c>
      <c r="AT240" s="100" t="n">
        <v>0</v>
      </c>
      <c r="AU240" s="100" t="n">
        <v>-402786.44</v>
      </c>
      <c r="AX240" s="98" t="s">
        <v>165</v>
      </c>
      <c r="AMH240" s="0"/>
      <c r="AMI240" s="0"/>
      <c r="AMJ240" s="0"/>
    </row>
    <row r="241" s="98" customFormat="true" ht="13.8" hidden="false" customHeight="false" outlineLevel="0" collapsed="false">
      <c r="A241" s="98" t="s">
        <v>142</v>
      </c>
      <c r="B241" s="98" t="s">
        <v>143</v>
      </c>
      <c r="C241" s="98" t="n">
        <v>51525102</v>
      </c>
      <c r="D241" s="98" t="s">
        <v>1008</v>
      </c>
      <c r="E241" s="98" t="s">
        <v>725</v>
      </c>
      <c r="F241" s="98" t="s">
        <v>167</v>
      </c>
      <c r="G241" s="98" t="s">
        <v>147</v>
      </c>
      <c r="H241" s="98" t="s">
        <v>586</v>
      </c>
      <c r="I241" s="99" t="n">
        <v>43798</v>
      </c>
      <c r="J241" s="99" t="n">
        <v>43803</v>
      </c>
      <c r="K241" s="100" t="n">
        <v>-39439.96</v>
      </c>
      <c r="L241" s="100" t="n">
        <f aca="false">K241-Q241+T241</f>
        <v>-34000</v>
      </c>
      <c r="M241" s="98" t="s">
        <v>149</v>
      </c>
      <c r="N241" s="100" t="n">
        <v>-39439.96</v>
      </c>
      <c r="O241" s="98" t="s">
        <v>149</v>
      </c>
      <c r="P241" s="100" t="n">
        <v>-40120</v>
      </c>
      <c r="Q241" s="100" t="n">
        <v>-6120</v>
      </c>
      <c r="R241" s="100" t="n">
        <v>-33319.96</v>
      </c>
      <c r="S241" s="100" t="n">
        <v>-34000</v>
      </c>
      <c r="T241" s="100" t="n">
        <v>-680.04</v>
      </c>
      <c r="U241" s="98" t="s">
        <v>192</v>
      </c>
      <c r="V241" s="98" t="s">
        <v>151</v>
      </c>
      <c r="X241" s="98" t="s">
        <v>744</v>
      </c>
      <c r="Y241" s="98" t="s">
        <v>1009</v>
      </c>
      <c r="Z241" s="98" t="s">
        <v>1010</v>
      </c>
      <c r="AB241" s="98" t="s">
        <v>1009</v>
      </c>
      <c r="AD241" s="98" t="s">
        <v>155</v>
      </c>
      <c r="AE241" s="98" t="s">
        <v>156</v>
      </c>
      <c r="AF241" s="98" t="s">
        <v>747</v>
      </c>
      <c r="AG241" s="98" t="s">
        <v>748</v>
      </c>
      <c r="AH241" s="98" t="s">
        <v>749</v>
      </c>
      <c r="AI241" s="98" t="s">
        <v>749</v>
      </c>
      <c r="AJ241" s="98" t="s">
        <v>750</v>
      </c>
      <c r="AK241" s="98" t="s">
        <v>159</v>
      </c>
      <c r="AL241" s="98" t="s">
        <v>224</v>
      </c>
      <c r="AM241" s="98" t="s">
        <v>225</v>
      </c>
      <c r="AP241" s="98" t="s">
        <v>619</v>
      </c>
      <c r="AQ241" s="98" t="s">
        <v>613</v>
      </c>
      <c r="AR241" s="98" t="s">
        <v>991</v>
      </c>
      <c r="AS241" s="98" t="s">
        <v>1011</v>
      </c>
      <c r="AT241" s="100" t="n">
        <v>0</v>
      </c>
      <c r="AU241" s="100" t="n">
        <v>-39439.96</v>
      </c>
      <c r="AX241" s="98" t="s">
        <v>220</v>
      </c>
      <c r="AMH241" s="0"/>
      <c r="AMI241" s="0"/>
      <c r="AMJ241" s="0"/>
    </row>
    <row r="242" s="98" customFormat="true" ht="13.8" hidden="false" customHeight="false" outlineLevel="0" collapsed="false">
      <c r="A242" s="98" t="s">
        <v>142</v>
      </c>
      <c r="B242" s="98" t="s">
        <v>143</v>
      </c>
      <c r="C242" s="98" t="n">
        <v>51207592</v>
      </c>
      <c r="D242" s="98" t="s">
        <v>1012</v>
      </c>
      <c r="E242" s="98" t="s">
        <v>725</v>
      </c>
      <c r="F242" s="98" t="s">
        <v>167</v>
      </c>
      <c r="G242" s="98" t="s">
        <v>147</v>
      </c>
      <c r="H242" s="98" t="s">
        <v>402</v>
      </c>
      <c r="I242" s="99" t="n">
        <v>43644</v>
      </c>
      <c r="J242" s="99" t="n">
        <v>43650</v>
      </c>
      <c r="K242" s="100" t="n">
        <v>-381582</v>
      </c>
      <c r="L242" s="100" t="n">
        <f aca="false">K242-Q242+T242</f>
        <v>-328950</v>
      </c>
      <c r="M242" s="98" t="s">
        <v>149</v>
      </c>
      <c r="N242" s="100" t="n">
        <v>-381582</v>
      </c>
      <c r="O242" s="98" t="s">
        <v>149</v>
      </c>
      <c r="P242" s="100" t="n">
        <v>-388161</v>
      </c>
      <c r="Q242" s="100" t="n">
        <v>-59211</v>
      </c>
      <c r="R242" s="100" t="n">
        <v>-322371</v>
      </c>
      <c r="S242" s="100" t="n">
        <v>-328950</v>
      </c>
      <c r="T242" s="100" t="n">
        <v>-6579</v>
      </c>
      <c r="U242" s="98" t="s">
        <v>192</v>
      </c>
      <c r="V242" s="98" t="s">
        <v>151</v>
      </c>
      <c r="X242" s="98" t="s">
        <v>744</v>
      </c>
      <c r="Y242" s="98" t="s">
        <v>1013</v>
      </c>
      <c r="Z242" s="98" t="s">
        <v>1014</v>
      </c>
      <c r="AB242" s="98" t="s">
        <v>1013</v>
      </c>
      <c r="AD242" s="98" t="s">
        <v>155</v>
      </c>
      <c r="AE242" s="98" t="s">
        <v>156</v>
      </c>
      <c r="AF242" s="98" t="s">
        <v>747</v>
      </c>
      <c r="AG242" s="98" t="s">
        <v>748</v>
      </c>
      <c r="AH242" s="98" t="s">
        <v>749</v>
      </c>
      <c r="AI242" s="98" t="s">
        <v>749</v>
      </c>
      <c r="AJ242" s="98" t="s">
        <v>750</v>
      </c>
      <c r="AK242" s="98" t="s">
        <v>159</v>
      </c>
      <c r="AL242" s="98" t="s">
        <v>224</v>
      </c>
      <c r="AM242" s="98" t="s">
        <v>225</v>
      </c>
      <c r="AP242" s="98" t="s">
        <v>469</v>
      </c>
      <c r="AQ242" s="98" t="s">
        <v>467</v>
      </c>
      <c r="AR242" s="98" t="s">
        <v>413</v>
      </c>
      <c r="AS242" s="98" t="s">
        <v>1015</v>
      </c>
      <c r="AT242" s="100" t="n">
        <v>0</v>
      </c>
      <c r="AU242" s="100" t="n">
        <v>-381582</v>
      </c>
      <c r="AX242" s="98" t="s">
        <v>165</v>
      </c>
      <c r="AMH242" s="0"/>
      <c r="AMI242" s="0"/>
      <c r="AMJ242" s="0"/>
    </row>
    <row r="243" s="98" customFormat="true" ht="13.8" hidden="false" customHeight="false" outlineLevel="0" collapsed="false">
      <c r="A243" s="98" t="s">
        <v>142</v>
      </c>
      <c r="B243" s="98" t="s">
        <v>143</v>
      </c>
      <c r="C243" s="98" t="n">
        <v>51207607</v>
      </c>
      <c r="D243" s="98" t="s">
        <v>1016</v>
      </c>
      <c r="E243" s="98" t="s">
        <v>725</v>
      </c>
      <c r="F243" s="98" t="s">
        <v>167</v>
      </c>
      <c r="G243" s="98" t="s">
        <v>147</v>
      </c>
      <c r="H243" s="98" t="s">
        <v>402</v>
      </c>
      <c r="I243" s="99" t="n">
        <v>43644</v>
      </c>
      <c r="J243" s="99" t="n">
        <v>43650</v>
      </c>
      <c r="K243" s="100" t="n">
        <v>-443316.6</v>
      </c>
      <c r="L243" s="100" t="n">
        <f aca="false">K243-Q243+T243</f>
        <v>-382170</v>
      </c>
      <c r="M243" s="98" t="s">
        <v>149</v>
      </c>
      <c r="N243" s="100" t="n">
        <v>-443316.6</v>
      </c>
      <c r="O243" s="98" t="s">
        <v>149</v>
      </c>
      <c r="P243" s="100" t="n">
        <v>-450960.6</v>
      </c>
      <c r="Q243" s="100" t="n">
        <v>-68790.6</v>
      </c>
      <c r="R243" s="100" t="n">
        <v>-374526</v>
      </c>
      <c r="S243" s="100" t="n">
        <v>-382170</v>
      </c>
      <c r="T243" s="100" t="n">
        <v>-7644</v>
      </c>
      <c r="U243" s="98" t="s">
        <v>192</v>
      </c>
      <c r="V243" s="98" t="s">
        <v>151</v>
      </c>
      <c r="X243" s="98" t="s">
        <v>744</v>
      </c>
      <c r="Y243" s="98" t="s">
        <v>1017</v>
      </c>
      <c r="Z243" s="98" t="s">
        <v>1018</v>
      </c>
      <c r="AB243" s="98" t="s">
        <v>1017</v>
      </c>
      <c r="AD243" s="98" t="s">
        <v>155</v>
      </c>
      <c r="AE243" s="98" t="s">
        <v>156</v>
      </c>
      <c r="AF243" s="98" t="s">
        <v>747</v>
      </c>
      <c r="AG243" s="98" t="s">
        <v>748</v>
      </c>
      <c r="AH243" s="98" t="s">
        <v>749</v>
      </c>
      <c r="AI243" s="98" t="s">
        <v>749</v>
      </c>
      <c r="AJ243" s="98" t="s">
        <v>750</v>
      </c>
      <c r="AK243" s="98" t="s">
        <v>159</v>
      </c>
      <c r="AL243" s="98" t="s">
        <v>224</v>
      </c>
      <c r="AM243" s="98" t="s">
        <v>225</v>
      </c>
      <c r="AP243" s="98" t="s">
        <v>469</v>
      </c>
      <c r="AQ243" s="98" t="s">
        <v>467</v>
      </c>
      <c r="AR243" s="98" t="s">
        <v>413</v>
      </c>
      <c r="AS243" s="98" t="s">
        <v>1019</v>
      </c>
      <c r="AT243" s="100" t="n">
        <v>0</v>
      </c>
      <c r="AU243" s="100" t="n">
        <v>-443316.6</v>
      </c>
      <c r="AX243" s="98" t="s">
        <v>165</v>
      </c>
      <c r="AMH243" s="0"/>
      <c r="AMI243" s="0"/>
      <c r="AMJ243" s="0"/>
    </row>
    <row r="244" s="98" customFormat="true" ht="13.8" hidden="false" customHeight="false" outlineLevel="0" collapsed="false">
      <c r="A244" s="98" t="s">
        <v>142</v>
      </c>
      <c r="B244" s="98" t="s">
        <v>143</v>
      </c>
      <c r="C244" s="98" t="n">
        <v>51207615</v>
      </c>
      <c r="D244" s="98" t="s">
        <v>1020</v>
      </c>
      <c r="E244" s="98" t="s">
        <v>725</v>
      </c>
      <c r="F244" s="98" t="s">
        <v>167</v>
      </c>
      <c r="G244" s="98" t="s">
        <v>147</v>
      </c>
      <c r="H244" s="98" t="s">
        <v>402</v>
      </c>
      <c r="I244" s="99" t="n">
        <v>43644</v>
      </c>
      <c r="J244" s="99" t="n">
        <v>43650</v>
      </c>
      <c r="K244" s="100" t="n">
        <v>-338546</v>
      </c>
      <c r="L244" s="100" t="n">
        <f aca="false">K244-Q244+T244</f>
        <v>-291850</v>
      </c>
      <c r="M244" s="98" t="s">
        <v>149</v>
      </c>
      <c r="N244" s="100" t="n">
        <v>-338546</v>
      </c>
      <c r="O244" s="98" t="s">
        <v>149</v>
      </c>
      <c r="P244" s="100" t="n">
        <v>-344383</v>
      </c>
      <c r="Q244" s="100" t="n">
        <v>-52533</v>
      </c>
      <c r="R244" s="100" t="n">
        <v>-286013</v>
      </c>
      <c r="S244" s="100" t="n">
        <v>-291850</v>
      </c>
      <c r="T244" s="100" t="n">
        <v>-5837</v>
      </c>
      <c r="U244" s="98" t="s">
        <v>192</v>
      </c>
      <c r="V244" s="98" t="s">
        <v>151</v>
      </c>
      <c r="X244" s="98" t="s">
        <v>744</v>
      </c>
      <c r="Y244" s="98" t="s">
        <v>1021</v>
      </c>
      <c r="Z244" s="98" t="s">
        <v>1022</v>
      </c>
      <c r="AB244" s="98" t="s">
        <v>1021</v>
      </c>
      <c r="AD244" s="98" t="s">
        <v>155</v>
      </c>
      <c r="AE244" s="98" t="s">
        <v>156</v>
      </c>
      <c r="AF244" s="98" t="s">
        <v>747</v>
      </c>
      <c r="AG244" s="98" t="s">
        <v>748</v>
      </c>
      <c r="AH244" s="98" t="s">
        <v>749</v>
      </c>
      <c r="AI244" s="98" t="s">
        <v>749</v>
      </c>
      <c r="AJ244" s="98" t="s">
        <v>750</v>
      </c>
      <c r="AK244" s="98" t="s">
        <v>159</v>
      </c>
      <c r="AL244" s="98" t="s">
        <v>224</v>
      </c>
      <c r="AM244" s="98" t="s">
        <v>225</v>
      </c>
      <c r="AP244" s="98" t="s">
        <v>469</v>
      </c>
      <c r="AQ244" s="98" t="s">
        <v>467</v>
      </c>
      <c r="AR244" s="98" t="s">
        <v>413</v>
      </c>
      <c r="AS244" s="98" t="s">
        <v>1023</v>
      </c>
      <c r="AT244" s="100" t="n">
        <v>0</v>
      </c>
      <c r="AU244" s="100" t="n">
        <v>-338546</v>
      </c>
      <c r="AX244" s="98" t="s">
        <v>165</v>
      </c>
      <c r="AMH244" s="0"/>
      <c r="AMI244" s="0"/>
      <c r="AMJ244" s="0"/>
    </row>
    <row r="245" s="98" customFormat="true" ht="13.8" hidden="false" customHeight="false" outlineLevel="0" collapsed="false">
      <c r="A245" s="98" t="s">
        <v>142</v>
      </c>
      <c r="B245" s="98" t="s">
        <v>143</v>
      </c>
      <c r="C245" s="98" t="n">
        <v>51207630</v>
      </c>
      <c r="D245" s="98" t="s">
        <v>1024</v>
      </c>
      <c r="E245" s="98" t="s">
        <v>725</v>
      </c>
      <c r="F245" s="98" t="s">
        <v>167</v>
      </c>
      <c r="G245" s="98" t="s">
        <v>147</v>
      </c>
      <c r="H245" s="98" t="s">
        <v>402</v>
      </c>
      <c r="I245" s="99" t="n">
        <v>43644</v>
      </c>
      <c r="J245" s="99" t="n">
        <v>43650</v>
      </c>
      <c r="K245" s="100" t="n">
        <v>-232533.35</v>
      </c>
      <c r="L245" s="100" t="n">
        <f aca="false">K245-Q245+T245</f>
        <v>-200459.98</v>
      </c>
      <c r="M245" s="98" t="s">
        <v>149</v>
      </c>
      <c r="N245" s="100" t="n">
        <v>-232533.35</v>
      </c>
      <c r="O245" s="98" t="s">
        <v>149</v>
      </c>
      <c r="P245" s="100" t="n">
        <v>-236542.78</v>
      </c>
      <c r="Q245" s="100" t="n">
        <v>-36082.8</v>
      </c>
      <c r="R245" s="100" t="n">
        <v>-196450.55</v>
      </c>
      <c r="S245" s="100" t="n">
        <v>-200459.99</v>
      </c>
      <c r="T245" s="100" t="n">
        <v>-4009.43</v>
      </c>
      <c r="U245" s="98" t="s">
        <v>192</v>
      </c>
      <c r="V245" s="98" t="s">
        <v>151</v>
      </c>
      <c r="X245" s="98" t="s">
        <v>744</v>
      </c>
      <c r="Y245" s="98" t="s">
        <v>1025</v>
      </c>
      <c r="Z245" s="98" t="s">
        <v>1026</v>
      </c>
      <c r="AB245" s="98" t="s">
        <v>1025</v>
      </c>
      <c r="AD245" s="98" t="s">
        <v>155</v>
      </c>
      <c r="AE245" s="98" t="s">
        <v>156</v>
      </c>
      <c r="AF245" s="98" t="s">
        <v>747</v>
      </c>
      <c r="AG245" s="98" t="s">
        <v>748</v>
      </c>
      <c r="AH245" s="98" t="s">
        <v>749</v>
      </c>
      <c r="AI245" s="98" t="s">
        <v>749</v>
      </c>
      <c r="AJ245" s="98" t="s">
        <v>750</v>
      </c>
      <c r="AK245" s="98" t="s">
        <v>159</v>
      </c>
      <c r="AL245" s="98" t="s">
        <v>224</v>
      </c>
      <c r="AM245" s="98" t="s">
        <v>225</v>
      </c>
      <c r="AP245" s="98" t="s">
        <v>469</v>
      </c>
      <c r="AQ245" s="98" t="s">
        <v>467</v>
      </c>
      <c r="AR245" s="98" t="s">
        <v>413</v>
      </c>
      <c r="AS245" s="98" t="s">
        <v>1027</v>
      </c>
      <c r="AT245" s="100" t="n">
        <v>0</v>
      </c>
      <c r="AU245" s="100" t="n">
        <v>-232533.35</v>
      </c>
      <c r="AX245" s="98" t="s">
        <v>165</v>
      </c>
      <c r="AMH245" s="0"/>
      <c r="AMI245" s="0"/>
      <c r="AMJ245" s="0"/>
    </row>
    <row r="246" s="98" customFormat="true" ht="13.8" hidden="false" customHeight="false" outlineLevel="0" collapsed="false">
      <c r="A246" s="98" t="s">
        <v>142</v>
      </c>
      <c r="B246" s="98" t="s">
        <v>143</v>
      </c>
      <c r="C246" s="98" t="n">
        <v>51207630</v>
      </c>
      <c r="D246" s="98" t="s">
        <v>1024</v>
      </c>
      <c r="E246" s="98" t="s">
        <v>725</v>
      </c>
      <c r="F246" s="98" t="s">
        <v>167</v>
      </c>
      <c r="G246" s="98" t="s">
        <v>147</v>
      </c>
      <c r="H246" s="98" t="s">
        <v>402</v>
      </c>
      <c r="I246" s="99" t="n">
        <v>43644</v>
      </c>
      <c r="J246" s="99" t="n">
        <v>43650</v>
      </c>
      <c r="K246" s="100" t="n">
        <v>-142552.26</v>
      </c>
      <c r="L246" s="100" t="n">
        <f aca="false">K246-Q246+T246</f>
        <v>-122890</v>
      </c>
      <c r="M246" s="98" t="s">
        <v>149</v>
      </c>
      <c r="N246" s="100" t="n">
        <v>-142552.26</v>
      </c>
      <c r="O246" s="98" t="s">
        <v>149</v>
      </c>
      <c r="P246" s="100" t="n">
        <v>-145010.2</v>
      </c>
      <c r="Q246" s="100" t="n">
        <v>-22120.2</v>
      </c>
      <c r="R246" s="100" t="n">
        <v>-120432.06</v>
      </c>
      <c r="S246" s="100" t="n">
        <v>-122890</v>
      </c>
      <c r="T246" s="100" t="n">
        <v>-2457.94</v>
      </c>
      <c r="U246" s="98" t="s">
        <v>192</v>
      </c>
      <c r="V246" s="98" t="s">
        <v>151</v>
      </c>
      <c r="X246" s="98" t="s">
        <v>744</v>
      </c>
      <c r="Y246" s="98" t="s">
        <v>1025</v>
      </c>
      <c r="Z246" s="98" t="s">
        <v>1026</v>
      </c>
      <c r="AB246" s="98" t="s">
        <v>1025</v>
      </c>
      <c r="AD246" s="98" t="s">
        <v>155</v>
      </c>
      <c r="AE246" s="98" t="s">
        <v>156</v>
      </c>
      <c r="AF246" s="98" t="s">
        <v>747</v>
      </c>
      <c r="AG246" s="98" t="s">
        <v>748</v>
      </c>
      <c r="AH246" s="98" t="s">
        <v>749</v>
      </c>
      <c r="AI246" s="98" t="s">
        <v>749</v>
      </c>
      <c r="AJ246" s="98" t="s">
        <v>750</v>
      </c>
      <c r="AK246" s="98" t="s">
        <v>159</v>
      </c>
      <c r="AL246" s="98" t="s">
        <v>224</v>
      </c>
      <c r="AM246" s="98" t="s">
        <v>225</v>
      </c>
      <c r="AP246" s="98" t="s">
        <v>469</v>
      </c>
      <c r="AQ246" s="98" t="s">
        <v>467</v>
      </c>
      <c r="AR246" s="98" t="s">
        <v>413</v>
      </c>
      <c r="AS246" s="98" t="s">
        <v>1027</v>
      </c>
      <c r="AT246" s="100" t="n">
        <v>0</v>
      </c>
      <c r="AU246" s="100" t="n">
        <v>-142552.26</v>
      </c>
      <c r="AX246" s="98" t="s">
        <v>148</v>
      </c>
      <c r="AMH246" s="0"/>
      <c r="AMI246" s="0"/>
      <c r="AMJ246" s="0"/>
    </row>
    <row r="247" s="98" customFormat="true" ht="13.8" hidden="false" customHeight="false" outlineLevel="0" collapsed="false">
      <c r="A247" s="98" t="s">
        <v>142</v>
      </c>
      <c r="B247" s="98" t="s">
        <v>143</v>
      </c>
      <c r="C247" s="98" t="n">
        <v>51207630</v>
      </c>
      <c r="D247" s="98" t="s">
        <v>1024</v>
      </c>
      <c r="E247" s="98" t="s">
        <v>725</v>
      </c>
      <c r="F247" s="98" t="s">
        <v>167</v>
      </c>
      <c r="G247" s="98" t="s">
        <v>147</v>
      </c>
      <c r="H247" s="98" t="s">
        <v>402</v>
      </c>
      <c r="I247" s="99" t="n">
        <v>43644</v>
      </c>
      <c r="J247" s="99" t="n">
        <v>43650</v>
      </c>
      <c r="K247" s="100" t="n">
        <v>-80419.25</v>
      </c>
      <c r="L247" s="100" t="n">
        <f aca="false">K247-Q247+T247</f>
        <v>-69327.01</v>
      </c>
      <c r="M247" s="98" t="s">
        <v>149</v>
      </c>
      <c r="N247" s="100" t="n">
        <v>-80419.25</v>
      </c>
      <c r="O247" s="98" t="s">
        <v>149</v>
      </c>
      <c r="P247" s="100" t="n">
        <v>-81805.87</v>
      </c>
      <c r="Q247" s="100" t="n">
        <v>-12478.86</v>
      </c>
      <c r="R247" s="100" t="n">
        <v>-67940.39</v>
      </c>
      <c r="S247" s="100" t="n">
        <v>-69327.01</v>
      </c>
      <c r="T247" s="100" t="n">
        <v>-1386.62</v>
      </c>
      <c r="U247" s="98" t="s">
        <v>192</v>
      </c>
      <c r="V247" s="98" t="s">
        <v>151</v>
      </c>
      <c r="X247" s="98" t="s">
        <v>744</v>
      </c>
      <c r="Y247" s="98" t="s">
        <v>1025</v>
      </c>
      <c r="Z247" s="98" t="s">
        <v>1026</v>
      </c>
      <c r="AB247" s="98" t="s">
        <v>1025</v>
      </c>
      <c r="AD247" s="98" t="s">
        <v>155</v>
      </c>
      <c r="AE247" s="98" t="s">
        <v>156</v>
      </c>
      <c r="AF247" s="98" t="s">
        <v>747</v>
      </c>
      <c r="AG247" s="98" t="s">
        <v>748</v>
      </c>
      <c r="AH247" s="98" t="s">
        <v>749</v>
      </c>
      <c r="AI247" s="98" t="s">
        <v>749</v>
      </c>
      <c r="AJ247" s="98" t="s">
        <v>750</v>
      </c>
      <c r="AK247" s="98" t="s">
        <v>159</v>
      </c>
      <c r="AL247" s="98" t="s">
        <v>224</v>
      </c>
      <c r="AM247" s="98" t="s">
        <v>225</v>
      </c>
      <c r="AP247" s="98" t="s">
        <v>469</v>
      </c>
      <c r="AQ247" s="98" t="s">
        <v>467</v>
      </c>
      <c r="AR247" s="98" t="s">
        <v>413</v>
      </c>
      <c r="AS247" s="98" t="s">
        <v>1027</v>
      </c>
      <c r="AT247" s="100" t="n">
        <v>0</v>
      </c>
      <c r="AU247" s="100" t="n">
        <v>-80419.25</v>
      </c>
      <c r="AX247" s="98" t="s">
        <v>220</v>
      </c>
      <c r="AMH247" s="0"/>
      <c r="AMI247" s="0"/>
      <c r="AMJ247" s="0"/>
    </row>
    <row r="248" s="98" customFormat="true" ht="13.8" hidden="false" customHeight="false" outlineLevel="0" collapsed="false">
      <c r="A248" s="98" t="s">
        <v>142</v>
      </c>
      <c r="B248" s="98" t="s">
        <v>143</v>
      </c>
      <c r="C248" s="98" t="n">
        <v>51576871</v>
      </c>
      <c r="D248" s="98" t="s">
        <v>1028</v>
      </c>
      <c r="E248" s="98" t="s">
        <v>725</v>
      </c>
      <c r="F248" s="98" t="s">
        <v>167</v>
      </c>
      <c r="G248" s="98" t="s">
        <v>147</v>
      </c>
      <c r="H248" s="98" t="s">
        <v>191</v>
      </c>
      <c r="I248" s="99" t="n">
        <v>43825</v>
      </c>
      <c r="J248" s="99" t="n">
        <v>43831</v>
      </c>
      <c r="K248" s="100" t="n">
        <v>-240420.8</v>
      </c>
      <c r="L248" s="100" t="n">
        <f aca="false">K248-Q248+T248</f>
        <v>-207260</v>
      </c>
      <c r="M248" s="98" t="s">
        <v>149</v>
      </c>
      <c r="N248" s="100" t="n">
        <v>-240420.8</v>
      </c>
      <c r="O248" s="98" t="s">
        <v>149</v>
      </c>
      <c r="P248" s="100" t="n">
        <v>-244566.8</v>
      </c>
      <c r="Q248" s="100" t="n">
        <v>-37306.8</v>
      </c>
      <c r="R248" s="100" t="n">
        <v>-203114</v>
      </c>
      <c r="S248" s="100" t="n">
        <v>-207260</v>
      </c>
      <c r="T248" s="100" t="n">
        <v>-4146</v>
      </c>
      <c r="U248" s="98" t="s">
        <v>192</v>
      </c>
      <c r="V248" s="98" t="s">
        <v>151</v>
      </c>
      <c r="X248" s="98" t="s">
        <v>744</v>
      </c>
      <c r="Y248" s="98" t="s">
        <v>1029</v>
      </c>
      <c r="Z248" s="98" t="s">
        <v>1030</v>
      </c>
      <c r="AB248" s="98" t="s">
        <v>1029</v>
      </c>
      <c r="AD248" s="98" t="s">
        <v>155</v>
      </c>
      <c r="AE248" s="98" t="s">
        <v>156</v>
      </c>
      <c r="AF248" s="98" t="s">
        <v>747</v>
      </c>
      <c r="AG248" s="98" t="s">
        <v>748</v>
      </c>
      <c r="AH248" s="98" t="s">
        <v>749</v>
      </c>
      <c r="AI248" s="98" t="s">
        <v>749</v>
      </c>
      <c r="AJ248" s="98" t="s">
        <v>750</v>
      </c>
      <c r="AK248" s="98" t="s">
        <v>159</v>
      </c>
      <c r="AL248" s="98" t="s">
        <v>224</v>
      </c>
      <c r="AM248" s="98" t="s">
        <v>225</v>
      </c>
      <c r="AP248" s="98" t="s">
        <v>675</v>
      </c>
      <c r="AQ248" s="98" t="s">
        <v>673</v>
      </c>
      <c r="AR248" s="98" t="s">
        <v>623</v>
      </c>
      <c r="AS248" s="98" t="s">
        <v>1031</v>
      </c>
      <c r="AT248" s="100" t="n">
        <v>0</v>
      </c>
      <c r="AU248" s="100" t="n">
        <v>-240420.8</v>
      </c>
      <c r="AX248" s="98" t="s">
        <v>165</v>
      </c>
      <c r="AMH248" s="0"/>
      <c r="AMI248" s="0"/>
      <c r="AMJ248" s="0"/>
    </row>
    <row r="249" s="98" customFormat="true" ht="13.8" hidden="false" customHeight="false" outlineLevel="0" collapsed="false">
      <c r="A249" s="98" t="s">
        <v>142</v>
      </c>
      <c r="B249" s="98" t="s">
        <v>143</v>
      </c>
      <c r="C249" s="98" t="n">
        <v>51065036</v>
      </c>
      <c r="D249" s="98" t="s">
        <v>1032</v>
      </c>
      <c r="E249" s="98" t="s">
        <v>725</v>
      </c>
      <c r="F249" s="98" t="s">
        <v>167</v>
      </c>
      <c r="G249" s="98" t="s">
        <v>147</v>
      </c>
      <c r="H249" s="98" t="s">
        <v>220</v>
      </c>
      <c r="I249" s="99" t="n">
        <v>43580</v>
      </c>
      <c r="J249" s="99" t="n">
        <v>43587</v>
      </c>
      <c r="K249" s="100" t="n">
        <v>-470844</v>
      </c>
      <c r="L249" s="100" t="n">
        <f aca="false">K249-Q249+T249</f>
        <v>-405900</v>
      </c>
      <c r="M249" s="98" t="s">
        <v>149</v>
      </c>
      <c r="N249" s="100" t="n">
        <v>-470844</v>
      </c>
      <c r="O249" s="98" t="s">
        <v>149</v>
      </c>
      <c r="P249" s="100" t="n">
        <v>-478962</v>
      </c>
      <c r="Q249" s="100" t="n">
        <v>-73062</v>
      </c>
      <c r="R249" s="100" t="n">
        <v>-397782</v>
      </c>
      <c r="S249" s="100" t="n">
        <v>-405900</v>
      </c>
      <c r="T249" s="100" t="n">
        <v>-8118</v>
      </c>
      <c r="U249" s="98" t="s">
        <v>192</v>
      </c>
      <c r="V249" s="98" t="s">
        <v>151</v>
      </c>
      <c r="X249" s="98" t="s">
        <v>744</v>
      </c>
      <c r="Y249" s="98" t="s">
        <v>1033</v>
      </c>
      <c r="Z249" s="98" t="s">
        <v>1034</v>
      </c>
      <c r="AB249" s="98" t="s">
        <v>1033</v>
      </c>
      <c r="AD249" s="98" t="s">
        <v>155</v>
      </c>
      <c r="AE249" s="98" t="s">
        <v>156</v>
      </c>
      <c r="AF249" s="98" t="s">
        <v>747</v>
      </c>
      <c r="AG249" s="98" t="s">
        <v>748</v>
      </c>
      <c r="AH249" s="98" t="s">
        <v>749</v>
      </c>
      <c r="AI249" s="98" t="s">
        <v>749</v>
      </c>
      <c r="AJ249" s="98" t="s">
        <v>750</v>
      </c>
      <c r="AK249" s="98" t="s">
        <v>159</v>
      </c>
      <c r="AL249" s="98" t="s">
        <v>224</v>
      </c>
      <c r="AM249" s="98" t="s">
        <v>225</v>
      </c>
      <c r="AP249" s="98" t="s">
        <v>354</v>
      </c>
      <c r="AQ249" s="98" t="s">
        <v>352</v>
      </c>
      <c r="AR249" s="98" t="s">
        <v>1035</v>
      </c>
      <c r="AS249" s="98" t="s">
        <v>1036</v>
      </c>
      <c r="AT249" s="100" t="n">
        <v>0</v>
      </c>
      <c r="AU249" s="100" t="n">
        <v>-470844</v>
      </c>
      <c r="AX249" s="98" t="s">
        <v>165</v>
      </c>
      <c r="AMH249" s="0"/>
      <c r="AMI249" s="0"/>
      <c r="AMJ249" s="0"/>
    </row>
    <row r="250" s="98" customFormat="true" ht="13.8" hidden="false" customHeight="false" outlineLevel="0" collapsed="false">
      <c r="A250" s="98" t="s">
        <v>142</v>
      </c>
      <c r="B250" s="98" t="s">
        <v>143</v>
      </c>
      <c r="C250" s="98" t="n">
        <v>51065055</v>
      </c>
      <c r="D250" s="98" t="s">
        <v>1037</v>
      </c>
      <c r="E250" s="98" t="s">
        <v>725</v>
      </c>
      <c r="F250" s="98" t="s">
        <v>167</v>
      </c>
      <c r="G250" s="98" t="s">
        <v>147</v>
      </c>
      <c r="H250" s="98" t="s">
        <v>220</v>
      </c>
      <c r="I250" s="99" t="n">
        <v>43580</v>
      </c>
      <c r="J250" s="99" t="n">
        <v>43587</v>
      </c>
      <c r="K250" s="100" t="n">
        <v>-75857.24</v>
      </c>
      <c r="L250" s="100" t="n">
        <f aca="false">K250-Q250+T250</f>
        <v>-65394.19</v>
      </c>
      <c r="M250" s="98" t="s">
        <v>149</v>
      </c>
      <c r="N250" s="100" t="n">
        <v>-75857.24</v>
      </c>
      <c r="O250" s="98" t="s">
        <v>149</v>
      </c>
      <c r="P250" s="100" t="n">
        <v>-77165.15</v>
      </c>
      <c r="Q250" s="100" t="n">
        <v>-11770.96</v>
      </c>
      <c r="R250" s="100" t="n">
        <v>-64086.28</v>
      </c>
      <c r="S250" s="100" t="n">
        <v>-65394.2</v>
      </c>
      <c r="T250" s="100" t="n">
        <v>-1307.91</v>
      </c>
      <c r="U250" s="98" t="s">
        <v>192</v>
      </c>
      <c r="V250" s="98" t="s">
        <v>151</v>
      </c>
      <c r="X250" s="98" t="s">
        <v>783</v>
      </c>
      <c r="Y250" s="98" t="s">
        <v>1038</v>
      </c>
      <c r="Z250" s="98" t="s">
        <v>1039</v>
      </c>
      <c r="AB250" s="98" t="s">
        <v>1038</v>
      </c>
      <c r="AD250" s="98" t="s">
        <v>155</v>
      </c>
      <c r="AE250" s="98" t="s">
        <v>156</v>
      </c>
      <c r="AF250" s="98" t="s">
        <v>747</v>
      </c>
      <c r="AG250" s="98" t="s">
        <v>748</v>
      </c>
      <c r="AH250" s="98" t="s">
        <v>786</v>
      </c>
      <c r="AI250" s="98" t="s">
        <v>786</v>
      </c>
      <c r="AJ250" s="98" t="s">
        <v>787</v>
      </c>
      <c r="AK250" s="98" t="s">
        <v>159</v>
      </c>
      <c r="AL250" s="98" t="s">
        <v>224</v>
      </c>
      <c r="AM250" s="98" t="s">
        <v>225</v>
      </c>
      <c r="AP250" s="98" t="s">
        <v>354</v>
      </c>
      <c r="AQ250" s="98" t="s">
        <v>352</v>
      </c>
      <c r="AR250" s="98" t="s">
        <v>1035</v>
      </c>
      <c r="AS250" s="98" t="s">
        <v>1040</v>
      </c>
      <c r="AT250" s="100" t="n">
        <v>0</v>
      </c>
      <c r="AU250" s="100" t="n">
        <v>-75857.24</v>
      </c>
      <c r="AX250" s="98" t="s">
        <v>220</v>
      </c>
      <c r="AMH250" s="0"/>
      <c r="AMI250" s="0"/>
      <c r="AMJ250" s="0"/>
    </row>
    <row r="251" s="98" customFormat="true" ht="13.8" hidden="false" customHeight="false" outlineLevel="0" collapsed="false">
      <c r="A251" s="98" t="s">
        <v>142</v>
      </c>
      <c r="B251" s="98" t="s">
        <v>143</v>
      </c>
      <c r="C251" s="98" t="n">
        <v>51065055</v>
      </c>
      <c r="D251" s="98" t="s">
        <v>1037</v>
      </c>
      <c r="E251" s="98" t="s">
        <v>725</v>
      </c>
      <c r="F251" s="98" t="s">
        <v>167</v>
      </c>
      <c r="G251" s="98" t="s">
        <v>147</v>
      </c>
      <c r="H251" s="98" t="s">
        <v>220</v>
      </c>
      <c r="I251" s="99" t="n">
        <v>43580</v>
      </c>
      <c r="J251" s="99" t="n">
        <v>43587</v>
      </c>
      <c r="K251" s="100" t="n">
        <v>-224401.92</v>
      </c>
      <c r="L251" s="100" t="n">
        <f aca="false">K251-Q251+T251</f>
        <v>-193450.01</v>
      </c>
      <c r="M251" s="98" t="s">
        <v>149</v>
      </c>
      <c r="N251" s="100" t="n">
        <v>-224401.92</v>
      </c>
      <c r="O251" s="98" t="s">
        <v>149</v>
      </c>
      <c r="P251" s="100" t="n">
        <v>-228271.01</v>
      </c>
      <c r="Q251" s="100" t="n">
        <v>-34821</v>
      </c>
      <c r="R251" s="100" t="n">
        <v>-189580.92</v>
      </c>
      <c r="S251" s="100" t="n">
        <v>-193450</v>
      </c>
      <c r="T251" s="100" t="n">
        <v>-3869.09</v>
      </c>
      <c r="U251" s="98" t="s">
        <v>192</v>
      </c>
      <c r="V251" s="98" t="s">
        <v>151</v>
      </c>
      <c r="X251" s="98" t="s">
        <v>783</v>
      </c>
      <c r="Y251" s="98" t="s">
        <v>1038</v>
      </c>
      <c r="Z251" s="98" t="s">
        <v>1039</v>
      </c>
      <c r="AB251" s="98" t="s">
        <v>1038</v>
      </c>
      <c r="AD251" s="98" t="s">
        <v>155</v>
      </c>
      <c r="AE251" s="98" t="s">
        <v>156</v>
      </c>
      <c r="AF251" s="98" t="s">
        <v>747</v>
      </c>
      <c r="AG251" s="98" t="s">
        <v>748</v>
      </c>
      <c r="AH251" s="98" t="s">
        <v>786</v>
      </c>
      <c r="AI251" s="98" t="s">
        <v>786</v>
      </c>
      <c r="AJ251" s="98" t="s">
        <v>787</v>
      </c>
      <c r="AK251" s="98" t="s">
        <v>159</v>
      </c>
      <c r="AL251" s="98" t="s">
        <v>224</v>
      </c>
      <c r="AM251" s="98" t="s">
        <v>225</v>
      </c>
      <c r="AP251" s="98" t="s">
        <v>354</v>
      </c>
      <c r="AQ251" s="98" t="s">
        <v>352</v>
      </c>
      <c r="AR251" s="98" t="s">
        <v>1035</v>
      </c>
      <c r="AS251" s="98" t="s">
        <v>1040</v>
      </c>
      <c r="AT251" s="100" t="n">
        <v>0</v>
      </c>
      <c r="AU251" s="100" t="n">
        <v>-224401.92</v>
      </c>
      <c r="AX251" s="98" t="s">
        <v>165</v>
      </c>
      <c r="AMH251" s="0"/>
      <c r="AMI251" s="0"/>
      <c r="AMJ251" s="0"/>
    </row>
    <row r="252" s="98" customFormat="true" ht="13.8" hidden="false" customHeight="false" outlineLevel="0" collapsed="false">
      <c r="A252" s="98" t="s">
        <v>142</v>
      </c>
      <c r="B252" s="98" t="s">
        <v>143</v>
      </c>
      <c r="C252" s="98" t="n">
        <v>51065097</v>
      </c>
      <c r="D252" s="98" t="s">
        <v>1041</v>
      </c>
      <c r="E252" s="98" t="s">
        <v>725</v>
      </c>
      <c r="F252" s="98" t="s">
        <v>167</v>
      </c>
      <c r="G252" s="98" t="s">
        <v>147</v>
      </c>
      <c r="H252" s="98" t="s">
        <v>220</v>
      </c>
      <c r="I252" s="99" t="n">
        <v>43580</v>
      </c>
      <c r="J252" s="99" t="n">
        <v>43587</v>
      </c>
      <c r="K252" s="100" t="n">
        <v>-327155.58</v>
      </c>
      <c r="L252" s="100" t="n">
        <f aca="false">K252-Q252+T252</f>
        <v>-282031</v>
      </c>
      <c r="M252" s="98" t="s">
        <v>149</v>
      </c>
      <c r="N252" s="100" t="n">
        <v>-327155.58</v>
      </c>
      <c r="O252" s="98" t="s">
        <v>149</v>
      </c>
      <c r="P252" s="100" t="n">
        <v>-332796.58</v>
      </c>
      <c r="Q252" s="100" t="n">
        <v>-50765.58</v>
      </c>
      <c r="R252" s="100" t="n">
        <v>-276390</v>
      </c>
      <c r="S252" s="100" t="n">
        <v>-282031</v>
      </c>
      <c r="T252" s="100" t="n">
        <v>-5641</v>
      </c>
      <c r="U252" s="98" t="s">
        <v>192</v>
      </c>
      <c r="V252" s="98" t="s">
        <v>151</v>
      </c>
      <c r="X252" s="98" t="s">
        <v>783</v>
      </c>
      <c r="Y252" s="98" t="s">
        <v>1042</v>
      </c>
      <c r="Z252" s="98" t="s">
        <v>1043</v>
      </c>
      <c r="AB252" s="98" t="s">
        <v>1042</v>
      </c>
      <c r="AD252" s="98" t="s">
        <v>155</v>
      </c>
      <c r="AE252" s="98" t="s">
        <v>156</v>
      </c>
      <c r="AF252" s="98" t="s">
        <v>747</v>
      </c>
      <c r="AG252" s="98" t="s">
        <v>748</v>
      </c>
      <c r="AH252" s="98" t="s">
        <v>786</v>
      </c>
      <c r="AI252" s="98" t="s">
        <v>786</v>
      </c>
      <c r="AJ252" s="98" t="s">
        <v>787</v>
      </c>
      <c r="AK252" s="98" t="s">
        <v>159</v>
      </c>
      <c r="AL252" s="98" t="s">
        <v>224</v>
      </c>
      <c r="AM252" s="98" t="s">
        <v>225</v>
      </c>
      <c r="AP252" s="98" t="s">
        <v>354</v>
      </c>
      <c r="AQ252" s="98" t="s">
        <v>352</v>
      </c>
      <c r="AR252" s="98" t="s">
        <v>1035</v>
      </c>
      <c r="AS252" s="98" t="s">
        <v>1044</v>
      </c>
      <c r="AT252" s="100" t="n">
        <v>0</v>
      </c>
      <c r="AU252" s="100" t="n">
        <v>-327155.58</v>
      </c>
      <c r="AX252" s="98" t="s">
        <v>165</v>
      </c>
      <c r="AMH252" s="0"/>
      <c r="AMI252" s="0"/>
      <c r="AMJ252" s="0"/>
    </row>
    <row r="253" s="98" customFormat="true" ht="13.8" hidden="false" customHeight="false" outlineLevel="0" collapsed="false">
      <c r="A253" s="98" t="s">
        <v>142</v>
      </c>
      <c r="B253" s="98" t="s">
        <v>143</v>
      </c>
      <c r="C253" s="98" t="n">
        <v>51065114</v>
      </c>
      <c r="D253" s="98" t="s">
        <v>1045</v>
      </c>
      <c r="E253" s="98" t="s">
        <v>725</v>
      </c>
      <c r="F253" s="98" t="s">
        <v>167</v>
      </c>
      <c r="G253" s="98" t="s">
        <v>147</v>
      </c>
      <c r="H253" s="98" t="s">
        <v>220</v>
      </c>
      <c r="I253" s="99" t="n">
        <v>43580</v>
      </c>
      <c r="J253" s="99" t="n">
        <v>43587</v>
      </c>
      <c r="K253" s="100" t="n">
        <v>-120512.25</v>
      </c>
      <c r="L253" s="100" t="n">
        <f aca="false">K253-Q253+T253</f>
        <v>-103890.01</v>
      </c>
      <c r="M253" s="98" t="s">
        <v>149</v>
      </c>
      <c r="N253" s="100" t="n">
        <v>-120512.25</v>
      </c>
      <c r="O253" s="98" t="s">
        <v>149</v>
      </c>
      <c r="P253" s="100" t="n">
        <v>-122590.21</v>
      </c>
      <c r="Q253" s="100" t="n">
        <v>-18700.2</v>
      </c>
      <c r="R253" s="100" t="n">
        <v>-101812.05</v>
      </c>
      <c r="S253" s="100" t="n">
        <v>-103890.01</v>
      </c>
      <c r="T253" s="100" t="n">
        <v>-2077.96</v>
      </c>
      <c r="U253" s="98" t="s">
        <v>192</v>
      </c>
      <c r="V253" s="98" t="s">
        <v>151</v>
      </c>
      <c r="X253" s="98" t="s">
        <v>744</v>
      </c>
      <c r="Y253" s="98" t="s">
        <v>1046</v>
      </c>
      <c r="Z253" s="98" t="s">
        <v>1047</v>
      </c>
      <c r="AB253" s="98" t="s">
        <v>1046</v>
      </c>
      <c r="AD253" s="98" t="s">
        <v>155</v>
      </c>
      <c r="AE253" s="98" t="s">
        <v>156</v>
      </c>
      <c r="AF253" s="98" t="s">
        <v>747</v>
      </c>
      <c r="AG253" s="98" t="s">
        <v>748</v>
      </c>
      <c r="AH253" s="98" t="s">
        <v>749</v>
      </c>
      <c r="AI253" s="98" t="s">
        <v>749</v>
      </c>
      <c r="AJ253" s="98" t="s">
        <v>750</v>
      </c>
      <c r="AK253" s="98" t="s">
        <v>159</v>
      </c>
      <c r="AL253" s="98" t="s">
        <v>224</v>
      </c>
      <c r="AM253" s="98" t="s">
        <v>225</v>
      </c>
      <c r="AP253" s="98" t="s">
        <v>354</v>
      </c>
      <c r="AQ253" s="98" t="s">
        <v>352</v>
      </c>
      <c r="AR253" s="98" t="s">
        <v>1035</v>
      </c>
      <c r="AS253" s="98" t="s">
        <v>1048</v>
      </c>
      <c r="AT253" s="100" t="n">
        <v>0</v>
      </c>
      <c r="AU253" s="100" t="n">
        <v>-120512.25</v>
      </c>
      <c r="AX253" s="98" t="s">
        <v>220</v>
      </c>
      <c r="AMH253" s="0"/>
      <c r="AMI253" s="0"/>
      <c r="AMJ253" s="0"/>
    </row>
    <row r="254" s="98" customFormat="true" ht="13.8" hidden="false" customHeight="false" outlineLevel="0" collapsed="false">
      <c r="A254" s="98" t="s">
        <v>142</v>
      </c>
      <c r="B254" s="98" t="s">
        <v>143</v>
      </c>
      <c r="C254" s="98" t="n">
        <v>51065114</v>
      </c>
      <c r="D254" s="98" t="s">
        <v>1045</v>
      </c>
      <c r="E254" s="98" t="s">
        <v>725</v>
      </c>
      <c r="F254" s="98" t="s">
        <v>167</v>
      </c>
      <c r="G254" s="98" t="s">
        <v>147</v>
      </c>
      <c r="H254" s="98" t="s">
        <v>220</v>
      </c>
      <c r="I254" s="99" t="n">
        <v>43580</v>
      </c>
      <c r="J254" s="99" t="n">
        <v>43587</v>
      </c>
      <c r="K254" s="100" t="n">
        <v>-167319.33</v>
      </c>
      <c r="L254" s="100" t="n">
        <f aca="false">K254-Q254+T254</f>
        <v>-144240.99</v>
      </c>
      <c r="M254" s="98" t="s">
        <v>149</v>
      </c>
      <c r="N254" s="100" t="n">
        <v>-167319.33</v>
      </c>
      <c r="O254" s="98" t="s">
        <v>149</v>
      </c>
      <c r="P254" s="100" t="n">
        <v>-170204.37</v>
      </c>
      <c r="Q254" s="100" t="n">
        <v>-25963.38</v>
      </c>
      <c r="R254" s="100" t="n">
        <v>-141355.95</v>
      </c>
      <c r="S254" s="100" t="n">
        <v>-144240.99</v>
      </c>
      <c r="T254" s="100" t="n">
        <v>-2885.04</v>
      </c>
      <c r="U254" s="98" t="s">
        <v>192</v>
      </c>
      <c r="V254" s="98" t="s">
        <v>151</v>
      </c>
      <c r="X254" s="98" t="s">
        <v>744</v>
      </c>
      <c r="Y254" s="98" t="s">
        <v>1046</v>
      </c>
      <c r="Z254" s="98" t="s">
        <v>1047</v>
      </c>
      <c r="AB254" s="98" t="s">
        <v>1046</v>
      </c>
      <c r="AD254" s="98" t="s">
        <v>155</v>
      </c>
      <c r="AE254" s="98" t="s">
        <v>156</v>
      </c>
      <c r="AF254" s="98" t="s">
        <v>747</v>
      </c>
      <c r="AG254" s="98" t="s">
        <v>748</v>
      </c>
      <c r="AH254" s="98" t="s">
        <v>749</v>
      </c>
      <c r="AI254" s="98" t="s">
        <v>749</v>
      </c>
      <c r="AJ254" s="98" t="s">
        <v>750</v>
      </c>
      <c r="AK254" s="98" t="s">
        <v>159</v>
      </c>
      <c r="AL254" s="98" t="s">
        <v>224</v>
      </c>
      <c r="AM254" s="98" t="s">
        <v>225</v>
      </c>
      <c r="AP254" s="98" t="s">
        <v>354</v>
      </c>
      <c r="AQ254" s="98" t="s">
        <v>352</v>
      </c>
      <c r="AR254" s="98" t="s">
        <v>1035</v>
      </c>
      <c r="AS254" s="98" t="s">
        <v>1048</v>
      </c>
      <c r="AT254" s="100" t="n">
        <v>0</v>
      </c>
      <c r="AU254" s="100" t="n">
        <v>-167319.33</v>
      </c>
      <c r="AX254" s="98" t="s">
        <v>165</v>
      </c>
      <c r="AMH254" s="0"/>
      <c r="AMI254" s="0"/>
      <c r="AMJ254" s="0"/>
    </row>
    <row r="255" s="98" customFormat="true" ht="13.8" hidden="false" customHeight="false" outlineLevel="0" collapsed="false">
      <c r="A255" s="98" t="s">
        <v>142</v>
      </c>
      <c r="B255" s="98" t="s">
        <v>143</v>
      </c>
      <c r="C255" s="98" t="n">
        <v>51065126</v>
      </c>
      <c r="D255" s="98" t="s">
        <v>1049</v>
      </c>
      <c r="E255" s="98" t="s">
        <v>725</v>
      </c>
      <c r="F255" s="98" t="s">
        <v>167</v>
      </c>
      <c r="G255" s="98" t="s">
        <v>147</v>
      </c>
      <c r="H255" s="98" t="s">
        <v>220</v>
      </c>
      <c r="I255" s="99" t="n">
        <v>43580</v>
      </c>
      <c r="J255" s="99" t="n">
        <v>43587</v>
      </c>
      <c r="K255" s="100" t="n">
        <v>-377116</v>
      </c>
      <c r="L255" s="100" t="n">
        <f aca="false">K255-Q255+T255</f>
        <v>-325100</v>
      </c>
      <c r="M255" s="98" t="s">
        <v>149</v>
      </c>
      <c r="N255" s="100" t="n">
        <v>-377116</v>
      </c>
      <c r="O255" s="98" t="s">
        <v>149</v>
      </c>
      <c r="P255" s="100" t="n">
        <v>-383618</v>
      </c>
      <c r="Q255" s="100" t="n">
        <v>-58518</v>
      </c>
      <c r="R255" s="100" t="n">
        <v>-318598</v>
      </c>
      <c r="S255" s="100" t="n">
        <v>-325100</v>
      </c>
      <c r="T255" s="100" t="n">
        <v>-6502</v>
      </c>
      <c r="U255" s="98" t="s">
        <v>192</v>
      </c>
      <c r="V255" s="98" t="s">
        <v>151</v>
      </c>
      <c r="X255" s="98" t="s">
        <v>744</v>
      </c>
      <c r="Y255" s="98" t="s">
        <v>1050</v>
      </c>
      <c r="Z255" s="98" t="s">
        <v>1051</v>
      </c>
      <c r="AB255" s="98" t="s">
        <v>1050</v>
      </c>
      <c r="AD255" s="98" t="s">
        <v>155</v>
      </c>
      <c r="AE255" s="98" t="s">
        <v>156</v>
      </c>
      <c r="AF255" s="98" t="s">
        <v>747</v>
      </c>
      <c r="AG255" s="98" t="s">
        <v>748</v>
      </c>
      <c r="AH255" s="98" t="s">
        <v>749</v>
      </c>
      <c r="AI255" s="98" t="s">
        <v>749</v>
      </c>
      <c r="AJ255" s="98" t="s">
        <v>750</v>
      </c>
      <c r="AK255" s="98" t="s">
        <v>159</v>
      </c>
      <c r="AL255" s="98" t="s">
        <v>224</v>
      </c>
      <c r="AM255" s="98" t="s">
        <v>225</v>
      </c>
      <c r="AP255" s="98" t="s">
        <v>354</v>
      </c>
      <c r="AQ255" s="98" t="s">
        <v>352</v>
      </c>
      <c r="AR255" s="98" t="s">
        <v>1035</v>
      </c>
      <c r="AS255" s="98" t="s">
        <v>1052</v>
      </c>
      <c r="AT255" s="100" t="n">
        <v>0</v>
      </c>
      <c r="AU255" s="100" t="n">
        <v>-377116</v>
      </c>
      <c r="AX255" s="98" t="s">
        <v>165</v>
      </c>
      <c r="AMH255" s="0"/>
      <c r="AMI255" s="0"/>
      <c r="AMJ255" s="0"/>
    </row>
    <row r="256" s="98" customFormat="true" ht="13.8" hidden="false" customHeight="false" outlineLevel="0" collapsed="false">
      <c r="A256" s="98" t="s">
        <v>142</v>
      </c>
      <c r="B256" s="98" t="s">
        <v>143</v>
      </c>
      <c r="C256" s="98" t="n">
        <v>51343433</v>
      </c>
      <c r="D256" s="98" t="s">
        <v>1053</v>
      </c>
      <c r="E256" s="98" t="s">
        <v>725</v>
      </c>
      <c r="F256" s="98" t="s">
        <v>167</v>
      </c>
      <c r="G256" s="98" t="s">
        <v>147</v>
      </c>
      <c r="H256" s="98" t="s">
        <v>175</v>
      </c>
      <c r="I256" s="99" t="n">
        <v>43704</v>
      </c>
      <c r="J256" s="99" t="n">
        <v>43711</v>
      </c>
      <c r="K256" s="100" t="n">
        <v>-613002</v>
      </c>
      <c r="L256" s="100" t="n">
        <f aca="false">K256-Q256+T256</f>
        <v>-528450</v>
      </c>
      <c r="M256" s="98" t="s">
        <v>149</v>
      </c>
      <c r="N256" s="100" t="n">
        <v>-613002</v>
      </c>
      <c r="O256" s="98" t="s">
        <v>149</v>
      </c>
      <c r="P256" s="100" t="n">
        <v>-623571</v>
      </c>
      <c r="Q256" s="100" t="n">
        <v>-95121</v>
      </c>
      <c r="R256" s="100" t="n">
        <v>-517881</v>
      </c>
      <c r="S256" s="100" t="n">
        <v>-528450</v>
      </c>
      <c r="T256" s="100" t="n">
        <v>-10569</v>
      </c>
      <c r="U256" s="98" t="s">
        <v>192</v>
      </c>
      <c r="V256" s="98" t="s">
        <v>151</v>
      </c>
      <c r="X256" s="98" t="s">
        <v>744</v>
      </c>
      <c r="Y256" s="98" t="s">
        <v>1054</v>
      </c>
      <c r="Z256" s="98" t="s">
        <v>1055</v>
      </c>
      <c r="AB256" s="98" t="s">
        <v>1054</v>
      </c>
      <c r="AD256" s="98" t="s">
        <v>155</v>
      </c>
      <c r="AE256" s="98" t="s">
        <v>156</v>
      </c>
      <c r="AF256" s="98" t="s">
        <v>747</v>
      </c>
      <c r="AG256" s="98" t="s">
        <v>748</v>
      </c>
      <c r="AH256" s="98" t="s">
        <v>749</v>
      </c>
      <c r="AI256" s="98" t="s">
        <v>749</v>
      </c>
      <c r="AJ256" s="98" t="s">
        <v>750</v>
      </c>
      <c r="AK256" s="98" t="s">
        <v>159</v>
      </c>
      <c r="AL256" s="98" t="s">
        <v>224</v>
      </c>
      <c r="AM256" s="98" t="s">
        <v>225</v>
      </c>
      <c r="AP256" s="98" t="s">
        <v>529</v>
      </c>
      <c r="AQ256" s="98" t="s">
        <v>527</v>
      </c>
      <c r="AR256" s="98" t="s">
        <v>1056</v>
      </c>
      <c r="AS256" s="98" t="s">
        <v>1057</v>
      </c>
      <c r="AT256" s="100" t="n">
        <v>0</v>
      </c>
      <c r="AU256" s="100" t="n">
        <v>-613002</v>
      </c>
      <c r="AX256" s="98" t="s">
        <v>165</v>
      </c>
      <c r="AMH256" s="0"/>
      <c r="AMI256" s="0"/>
      <c r="AMJ256" s="0"/>
    </row>
    <row r="257" s="98" customFormat="true" ht="13.8" hidden="false" customHeight="false" outlineLevel="0" collapsed="false">
      <c r="A257" s="98" t="s">
        <v>142</v>
      </c>
      <c r="B257" s="98" t="s">
        <v>143</v>
      </c>
      <c r="C257" s="98" t="n">
        <v>51343484</v>
      </c>
      <c r="D257" s="98" t="s">
        <v>1058</v>
      </c>
      <c r="E257" s="98" t="s">
        <v>725</v>
      </c>
      <c r="F257" s="98" t="s">
        <v>167</v>
      </c>
      <c r="G257" s="98" t="s">
        <v>147</v>
      </c>
      <c r="H257" s="98" t="s">
        <v>175</v>
      </c>
      <c r="I257" s="99" t="n">
        <v>43704</v>
      </c>
      <c r="J257" s="99" t="n">
        <v>43711</v>
      </c>
      <c r="K257" s="100" t="n">
        <v>-244992</v>
      </c>
      <c r="L257" s="100" t="n">
        <f aca="false">K257-Q257+T257</f>
        <v>-211200</v>
      </c>
      <c r="M257" s="98" t="s">
        <v>149</v>
      </c>
      <c r="N257" s="100" t="n">
        <v>-244992</v>
      </c>
      <c r="O257" s="98" t="s">
        <v>149</v>
      </c>
      <c r="P257" s="100" t="n">
        <v>-249216</v>
      </c>
      <c r="Q257" s="100" t="n">
        <v>-38016</v>
      </c>
      <c r="R257" s="100" t="n">
        <v>-206976</v>
      </c>
      <c r="S257" s="100" t="n">
        <v>-211200</v>
      </c>
      <c r="T257" s="100" t="n">
        <v>-4224</v>
      </c>
      <c r="U257" s="98" t="s">
        <v>192</v>
      </c>
      <c r="V257" s="98" t="s">
        <v>151</v>
      </c>
      <c r="X257" s="98" t="s">
        <v>744</v>
      </c>
      <c r="Y257" s="98" t="s">
        <v>1059</v>
      </c>
      <c r="Z257" s="98" t="s">
        <v>1060</v>
      </c>
      <c r="AB257" s="98" t="s">
        <v>1059</v>
      </c>
      <c r="AD257" s="98" t="s">
        <v>155</v>
      </c>
      <c r="AE257" s="98" t="s">
        <v>156</v>
      </c>
      <c r="AF257" s="98" t="s">
        <v>747</v>
      </c>
      <c r="AG257" s="98" t="s">
        <v>748</v>
      </c>
      <c r="AH257" s="98" t="s">
        <v>749</v>
      </c>
      <c r="AI257" s="98" t="s">
        <v>749</v>
      </c>
      <c r="AJ257" s="98" t="s">
        <v>750</v>
      </c>
      <c r="AK257" s="98" t="s">
        <v>159</v>
      </c>
      <c r="AL257" s="98" t="s">
        <v>224</v>
      </c>
      <c r="AM257" s="98" t="s">
        <v>225</v>
      </c>
      <c r="AP257" s="98" t="s">
        <v>529</v>
      </c>
      <c r="AQ257" s="98" t="s">
        <v>527</v>
      </c>
      <c r="AR257" s="98" t="s">
        <v>1056</v>
      </c>
      <c r="AS257" s="98" t="s">
        <v>1061</v>
      </c>
      <c r="AT257" s="100" t="n">
        <v>0</v>
      </c>
      <c r="AU257" s="100" t="n">
        <v>-244992</v>
      </c>
      <c r="AX257" s="98" t="s">
        <v>165</v>
      </c>
      <c r="AMH257" s="0"/>
      <c r="AMI257" s="0"/>
      <c r="AMJ257" s="0"/>
    </row>
    <row r="258" s="98" customFormat="true" ht="13.8" hidden="false" customHeight="false" outlineLevel="0" collapsed="false">
      <c r="A258" s="98" t="s">
        <v>142</v>
      </c>
      <c r="B258" s="98" t="s">
        <v>143</v>
      </c>
      <c r="C258" s="98" t="n">
        <v>51343484</v>
      </c>
      <c r="D258" s="98" t="s">
        <v>1058</v>
      </c>
      <c r="E258" s="98" t="s">
        <v>725</v>
      </c>
      <c r="F258" s="98" t="s">
        <v>167</v>
      </c>
      <c r="G258" s="98" t="s">
        <v>147</v>
      </c>
      <c r="H258" s="98" t="s">
        <v>175</v>
      </c>
      <c r="I258" s="99" t="n">
        <v>43704</v>
      </c>
      <c r="J258" s="99" t="n">
        <v>43711</v>
      </c>
      <c r="K258" s="100" t="n">
        <v>-85318</v>
      </c>
      <c r="L258" s="100" t="n">
        <f aca="false">K258-Q258+T258</f>
        <v>-73550</v>
      </c>
      <c r="M258" s="98" t="s">
        <v>149</v>
      </c>
      <c r="N258" s="100" t="n">
        <v>-85318</v>
      </c>
      <c r="O258" s="98" t="s">
        <v>149</v>
      </c>
      <c r="P258" s="100" t="n">
        <v>-86789</v>
      </c>
      <c r="Q258" s="100" t="n">
        <v>-13239</v>
      </c>
      <c r="R258" s="100" t="n">
        <v>-72079</v>
      </c>
      <c r="S258" s="100" t="n">
        <v>-73550</v>
      </c>
      <c r="T258" s="100" t="n">
        <v>-1471</v>
      </c>
      <c r="U258" s="98" t="s">
        <v>192</v>
      </c>
      <c r="V258" s="98" t="s">
        <v>151</v>
      </c>
      <c r="X258" s="98" t="s">
        <v>744</v>
      </c>
      <c r="Y258" s="98" t="s">
        <v>1059</v>
      </c>
      <c r="Z258" s="98" t="s">
        <v>1060</v>
      </c>
      <c r="AB258" s="98" t="s">
        <v>1059</v>
      </c>
      <c r="AD258" s="98" t="s">
        <v>155</v>
      </c>
      <c r="AE258" s="98" t="s">
        <v>156</v>
      </c>
      <c r="AF258" s="98" t="s">
        <v>747</v>
      </c>
      <c r="AG258" s="98" t="s">
        <v>748</v>
      </c>
      <c r="AH258" s="98" t="s">
        <v>749</v>
      </c>
      <c r="AI258" s="98" t="s">
        <v>749</v>
      </c>
      <c r="AJ258" s="98" t="s">
        <v>750</v>
      </c>
      <c r="AK258" s="98" t="s">
        <v>159</v>
      </c>
      <c r="AL258" s="98" t="s">
        <v>224</v>
      </c>
      <c r="AM258" s="98" t="s">
        <v>225</v>
      </c>
      <c r="AP258" s="98" t="s">
        <v>529</v>
      </c>
      <c r="AQ258" s="98" t="s">
        <v>527</v>
      </c>
      <c r="AR258" s="98" t="s">
        <v>1056</v>
      </c>
      <c r="AS258" s="98" t="s">
        <v>1061</v>
      </c>
      <c r="AT258" s="100" t="n">
        <v>0</v>
      </c>
      <c r="AU258" s="100" t="n">
        <v>-85318</v>
      </c>
      <c r="AX258" s="98" t="s">
        <v>220</v>
      </c>
      <c r="AMH258" s="0"/>
      <c r="AMI258" s="0"/>
      <c r="AMJ258" s="0"/>
    </row>
    <row r="259" s="98" customFormat="true" ht="13.8" hidden="false" customHeight="false" outlineLevel="0" collapsed="false">
      <c r="A259" s="98" t="s">
        <v>142</v>
      </c>
      <c r="B259" s="98" t="s">
        <v>143</v>
      </c>
      <c r="C259" s="98" t="n">
        <v>51343509</v>
      </c>
      <c r="D259" s="98" t="s">
        <v>1062</v>
      </c>
      <c r="E259" s="98" t="s">
        <v>725</v>
      </c>
      <c r="F259" s="98" t="s">
        <v>167</v>
      </c>
      <c r="G259" s="98" t="s">
        <v>147</v>
      </c>
      <c r="H259" s="98" t="s">
        <v>175</v>
      </c>
      <c r="I259" s="99" t="n">
        <v>43704</v>
      </c>
      <c r="J259" s="99" t="n">
        <v>43711</v>
      </c>
      <c r="K259" s="100" t="n">
        <v>-35727.9</v>
      </c>
      <c r="L259" s="100" t="n">
        <f aca="false">K259-Q259+T259</f>
        <v>-30799.99</v>
      </c>
      <c r="M259" s="98" t="s">
        <v>149</v>
      </c>
      <c r="N259" s="100" t="n">
        <v>-35727.9</v>
      </c>
      <c r="O259" s="98" t="s">
        <v>149</v>
      </c>
      <c r="P259" s="100" t="n">
        <v>-36343.99</v>
      </c>
      <c r="Q259" s="100" t="n">
        <v>-5544</v>
      </c>
      <c r="R259" s="100" t="n">
        <v>-30183.9</v>
      </c>
      <c r="S259" s="100" t="n">
        <v>-30799.99</v>
      </c>
      <c r="T259" s="100" t="n">
        <v>-616.09</v>
      </c>
      <c r="U259" s="98" t="s">
        <v>192</v>
      </c>
      <c r="V259" s="98" t="s">
        <v>151</v>
      </c>
      <c r="X259" s="98" t="s">
        <v>744</v>
      </c>
      <c r="Y259" s="98" t="s">
        <v>1063</v>
      </c>
      <c r="Z259" s="98" t="s">
        <v>1064</v>
      </c>
      <c r="AB259" s="98" t="s">
        <v>1063</v>
      </c>
      <c r="AD259" s="98" t="s">
        <v>155</v>
      </c>
      <c r="AE259" s="98" t="s">
        <v>156</v>
      </c>
      <c r="AF259" s="98" t="s">
        <v>747</v>
      </c>
      <c r="AG259" s="98" t="s">
        <v>748</v>
      </c>
      <c r="AH259" s="98" t="s">
        <v>749</v>
      </c>
      <c r="AI259" s="98" t="s">
        <v>749</v>
      </c>
      <c r="AJ259" s="98" t="s">
        <v>750</v>
      </c>
      <c r="AK259" s="98" t="s">
        <v>159</v>
      </c>
      <c r="AL259" s="98" t="s">
        <v>224</v>
      </c>
      <c r="AM259" s="98" t="s">
        <v>225</v>
      </c>
      <c r="AP259" s="98" t="s">
        <v>529</v>
      </c>
      <c r="AQ259" s="98" t="s">
        <v>527</v>
      </c>
      <c r="AR259" s="98" t="s">
        <v>1056</v>
      </c>
      <c r="AS259" s="98" t="s">
        <v>1065</v>
      </c>
      <c r="AT259" s="100" t="n">
        <v>0</v>
      </c>
      <c r="AU259" s="100" t="n">
        <v>-35727.9</v>
      </c>
      <c r="AX259" s="98" t="s">
        <v>165</v>
      </c>
      <c r="AMH259" s="0"/>
      <c r="AMI259" s="0"/>
      <c r="AMJ259" s="0"/>
    </row>
    <row r="260" s="98" customFormat="true" ht="13.8" hidden="false" customHeight="false" outlineLevel="0" collapsed="false">
      <c r="A260" s="98" t="s">
        <v>142</v>
      </c>
      <c r="B260" s="98" t="s">
        <v>143</v>
      </c>
      <c r="C260" s="98" t="n">
        <v>51343509</v>
      </c>
      <c r="D260" s="98" t="s">
        <v>1062</v>
      </c>
      <c r="E260" s="98" t="s">
        <v>725</v>
      </c>
      <c r="F260" s="98" t="s">
        <v>167</v>
      </c>
      <c r="G260" s="98" t="s">
        <v>147</v>
      </c>
      <c r="H260" s="98" t="s">
        <v>175</v>
      </c>
      <c r="I260" s="99" t="n">
        <v>43704</v>
      </c>
      <c r="J260" s="99" t="n">
        <v>43711</v>
      </c>
      <c r="K260" s="100" t="n">
        <v>-267912.9</v>
      </c>
      <c r="L260" s="100" t="n">
        <f aca="false">K260-Q260+T260</f>
        <v>-230960.01</v>
      </c>
      <c r="M260" s="98" t="s">
        <v>149</v>
      </c>
      <c r="N260" s="100" t="n">
        <v>-267912.9</v>
      </c>
      <c r="O260" s="98" t="s">
        <v>149</v>
      </c>
      <c r="P260" s="100" t="n">
        <v>-272532.81</v>
      </c>
      <c r="Q260" s="100" t="n">
        <v>-41572.8</v>
      </c>
      <c r="R260" s="100" t="n">
        <v>-226340.1</v>
      </c>
      <c r="S260" s="100" t="n">
        <v>-230960.01</v>
      </c>
      <c r="T260" s="100" t="n">
        <v>-4619.91</v>
      </c>
      <c r="U260" s="98" t="s">
        <v>192</v>
      </c>
      <c r="V260" s="98" t="s">
        <v>151</v>
      </c>
      <c r="X260" s="98" t="s">
        <v>744</v>
      </c>
      <c r="Y260" s="98" t="s">
        <v>1063</v>
      </c>
      <c r="Z260" s="98" t="s">
        <v>1064</v>
      </c>
      <c r="AB260" s="98" t="s">
        <v>1063</v>
      </c>
      <c r="AD260" s="98" t="s">
        <v>155</v>
      </c>
      <c r="AE260" s="98" t="s">
        <v>156</v>
      </c>
      <c r="AF260" s="98" t="s">
        <v>747</v>
      </c>
      <c r="AG260" s="98" t="s">
        <v>748</v>
      </c>
      <c r="AH260" s="98" t="s">
        <v>749</v>
      </c>
      <c r="AI260" s="98" t="s">
        <v>749</v>
      </c>
      <c r="AJ260" s="98" t="s">
        <v>750</v>
      </c>
      <c r="AK260" s="98" t="s">
        <v>159</v>
      </c>
      <c r="AL260" s="98" t="s">
        <v>224</v>
      </c>
      <c r="AM260" s="98" t="s">
        <v>225</v>
      </c>
      <c r="AP260" s="98" t="s">
        <v>529</v>
      </c>
      <c r="AQ260" s="98" t="s">
        <v>527</v>
      </c>
      <c r="AR260" s="98" t="s">
        <v>1056</v>
      </c>
      <c r="AS260" s="98" t="s">
        <v>1065</v>
      </c>
      <c r="AT260" s="100" t="n">
        <v>0</v>
      </c>
      <c r="AU260" s="100" t="n">
        <v>-267912.9</v>
      </c>
      <c r="AX260" s="98" t="s">
        <v>220</v>
      </c>
      <c r="AMH260" s="0"/>
      <c r="AMI260" s="0"/>
      <c r="AMJ260" s="0"/>
    </row>
    <row r="261" s="98" customFormat="true" ht="13.8" hidden="false" customHeight="false" outlineLevel="0" collapsed="false">
      <c r="A261" s="98" t="s">
        <v>142</v>
      </c>
      <c r="B261" s="98" t="s">
        <v>143</v>
      </c>
      <c r="C261" s="98" t="n">
        <v>51345062</v>
      </c>
      <c r="D261" s="98" t="s">
        <v>1066</v>
      </c>
      <c r="E261" s="98" t="s">
        <v>725</v>
      </c>
      <c r="F261" s="98" t="s">
        <v>146</v>
      </c>
      <c r="G261" s="98" t="s">
        <v>147</v>
      </c>
      <c r="H261" s="98" t="s">
        <v>175</v>
      </c>
      <c r="I261" s="99" t="n">
        <v>43704</v>
      </c>
      <c r="J261" s="99" t="n">
        <v>43711</v>
      </c>
      <c r="K261" s="100" t="n">
        <v>-164871.46</v>
      </c>
      <c r="L261" s="100" t="n">
        <f aca="false">K261-Q261+T261</f>
        <v>-142130.9</v>
      </c>
      <c r="M261" s="98" t="s">
        <v>149</v>
      </c>
      <c r="N261" s="100" t="n">
        <v>-164871.46</v>
      </c>
      <c r="O261" s="98" t="s">
        <v>149</v>
      </c>
      <c r="P261" s="100" t="n">
        <v>-167714.46</v>
      </c>
      <c r="Q261" s="100" t="n">
        <v>-25583.56</v>
      </c>
      <c r="R261" s="100" t="n">
        <v>-139287.9</v>
      </c>
      <c r="S261" s="100" t="n">
        <v>-142130.9</v>
      </c>
      <c r="T261" s="100" t="n">
        <v>-2843</v>
      </c>
      <c r="U261" s="98" t="s">
        <v>150</v>
      </c>
      <c r="V261" s="98" t="s">
        <v>151</v>
      </c>
      <c r="X261" s="98" t="s">
        <v>947</v>
      </c>
      <c r="Y261" s="98" t="s">
        <v>1067</v>
      </c>
      <c r="Z261" s="98" t="s">
        <v>1068</v>
      </c>
      <c r="AB261" s="98" t="s">
        <v>1067</v>
      </c>
      <c r="AD261" s="98" t="s">
        <v>155</v>
      </c>
      <c r="AE261" s="98" t="s">
        <v>156</v>
      </c>
      <c r="AF261" s="98" t="s">
        <v>747</v>
      </c>
      <c r="AG261" s="98" t="s">
        <v>748</v>
      </c>
      <c r="AH261" s="98" t="s">
        <v>908</v>
      </c>
      <c r="AI261" s="98" t="s">
        <v>908</v>
      </c>
      <c r="AJ261" s="98" t="s">
        <v>909</v>
      </c>
      <c r="AK261" s="98" t="s">
        <v>159</v>
      </c>
      <c r="AL261" s="98" t="s">
        <v>224</v>
      </c>
      <c r="AM261" s="98" t="s">
        <v>225</v>
      </c>
      <c r="AP261" s="98" t="s">
        <v>538</v>
      </c>
      <c r="AQ261" s="98" t="s">
        <v>536</v>
      </c>
      <c r="AR261" s="98" t="s">
        <v>1056</v>
      </c>
      <c r="AS261" s="98" t="s">
        <v>1069</v>
      </c>
      <c r="AT261" s="100" t="n">
        <v>0</v>
      </c>
      <c r="AU261" s="100" t="n">
        <v>-164871.46</v>
      </c>
      <c r="AX261" s="98" t="s">
        <v>165</v>
      </c>
      <c r="AMH261" s="0"/>
      <c r="AMI261" s="0"/>
      <c r="AMJ261" s="0"/>
    </row>
    <row r="262" s="98" customFormat="true" ht="13.8" hidden="false" customHeight="false" outlineLevel="0" collapsed="false">
      <c r="A262" s="98" t="s">
        <v>142</v>
      </c>
      <c r="B262" s="98" t="s">
        <v>143</v>
      </c>
      <c r="C262" s="98" t="n">
        <v>51767530</v>
      </c>
      <c r="D262" s="98" t="s">
        <v>1070</v>
      </c>
      <c r="E262" s="98" t="s">
        <v>725</v>
      </c>
      <c r="F262" s="98" t="s">
        <v>167</v>
      </c>
      <c r="G262" s="98" t="s">
        <v>147</v>
      </c>
      <c r="H262" s="98" t="s">
        <v>213</v>
      </c>
      <c r="I262" s="99" t="n">
        <v>43903</v>
      </c>
      <c r="J262" s="99" t="n">
        <v>43910</v>
      </c>
      <c r="K262" s="100" t="n">
        <v>-561056.6</v>
      </c>
      <c r="L262" s="100" t="n">
        <f aca="false">K262-Q262+T262</f>
        <v>-483670</v>
      </c>
      <c r="M262" s="98" t="s">
        <v>149</v>
      </c>
      <c r="N262" s="100" t="n">
        <v>-561056.6</v>
      </c>
      <c r="O262" s="98" t="s">
        <v>149</v>
      </c>
      <c r="P262" s="100" t="n">
        <v>-570730.6</v>
      </c>
      <c r="Q262" s="100" t="n">
        <v>-87060.6</v>
      </c>
      <c r="R262" s="100" t="n">
        <v>-473996</v>
      </c>
      <c r="S262" s="100" t="n">
        <v>-483670</v>
      </c>
      <c r="T262" s="100" t="n">
        <v>-9674</v>
      </c>
      <c r="U262" s="98" t="s">
        <v>192</v>
      </c>
      <c r="V262" s="98" t="s">
        <v>151</v>
      </c>
      <c r="X262" s="98" t="s">
        <v>1071</v>
      </c>
      <c r="Y262" s="98" t="s">
        <v>1072</v>
      </c>
      <c r="Z262" s="98" t="s">
        <v>1073</v>
      </c>
      <c r="AB262" s="98" t="s">
        <v>1072</v>
      </c>
      <c r="AD262" s="98" t="s">
        <v>155</v>
      </c>
      <c r="AE262" s="98" t="s">
        <v>156</v>
      </c>
      <c r="AF262" s="98" t="s">
        <v>747</v>
      </c>
      <c r="AG262" s="98" t="s">
        <v>748</v>
      </c>
      <c r="AH262" s="98" t="s">
        <v>749</v>
      </c>
      <c r="AI262" s="98" t="s">
        <v>749</v>
      </c>
      <c r="AJ262" s="98" t="s">
        <v>750</v>
      </c>
      <c r="AK262" s="98" t="s">
        <v>159</v>
      </c>
      <c r="AL262" s="98" t="s">
        <v>224</v>
      </c>
      <c r="AM262" s="98" t="s">
        <v>225</v>
      </c>
      <c r="AR262" s="98" t="s">
        <v>1074</v>
      </c>
      <c r="AS262" s="98" t="s">
        <v>1075</v>
      </c>
      <c r="AT262" s="100" t="n">
        <v>0</v>
      </c>
      <c r="AU262" s="100" t="n">
        <v>-561056.6</v>
      </c>
      <c r="AX262" s="98" t="s">
        <v>165</v>
      </c>
      <c r="AMH262" s="0"/>
      <c r="AMI262" s="0"/>
      <c r="AMJ262" s="0"/>
    </row>
    <row r="263" s="98" customFormat="true" ht="13.8" hidden="false" customHeight="false" outlineLevel="0" collapsed="false">
      <c r="A263" s="98" t="s">
        <v>142</v>
      </c>
      <c r="B263" s="98" t="s">
        <v>143</v>
      </c>
      <c r="C263" s="98" t="n">
        <v>51767980</v>
      </c>
      <c r="D263" s="98" t="s">
        <v>1076</v>
      </c>
      <c r="E263" s="98" t="s">
        <v>725</v>
      </c>
      <c r="F263" s="98" t="s">
        <v>167</v>
      </c>
      <c r="G263" s="98" t="s">
        <v>147</v>
      </c>
      <c r="H263" s="98" t="s">
        <v>213</v>
      </c>
      <c r="I263" s="99" t="n">
        <v>43903</v>
      </c>
      <c r="J263" s="99" t="n">
        <v>43910</v>
      </c>
      <c r="K263" s="100" t="n">
        <v>-437378</v>
      </c>
      <c r="L263" s="100" t="n">
        <f aca="false">K263-Q263+T263</f>
        <v>-377050</v>
      </c>
      <c r="M263" s="98" t="s">
        <v>149</v>
      </c>
      <c r="N263" s="100" t="n">
        <v>-437378</v>
      </c>
      <c r="O263" s="98" t="s">
        <v>149</v>
      </c>
      <c r="P263" s="100" t="n">
        <v>-444919</v>
      </c>
      <c r="Q263" s="100" t="n">
        <v>-67869</v>
      </c>
      <c r="R263" s="100" t="n">
        <v>-369509</v>
      </c>
      <c r="S263" s="100" t="n">
        <v>-377050</v>
      </c>
      <c r="T263" s="100" t="n">
        <v>-7541</v>
      </c>
      <c r="U263" s="98" t="s">
        <v>192</v>
      </c>
      <c r="V263" s="98" t="s">
        <v>151</v>
      </c>
      <c r="X263" s="98" t="s">
        <v>1071</v>
      </c>
      <c r="Y263" s="98" t="s">
        <v>1077</v>
      </c>
      <c r="Z263" s="98" t="s">
        <v>1078</v>
      </c>
      <c r="AB263" s="98" t="s">
        <v>1077</v>
      </c>
      <c r="AD263" s="98" t="s">
        <v>155</v>
      </c>
      <c r="AE263" s="98" t="s">
        <v>156</v>
      </c>
      <c r="AF263" s="98" t="s">
        <v>747</v>
      </c>
      <c r="AG263" s="98" t="s">
        <v>748</v>
      </c>
      <c r="AH263" s="98" t="s">
        <v>749</v>
      </c>
      <c r="AI263" s="98" t="s">
        <v>749</v>
      </c>
      <c r="AJ263" s="98" t="s">
        <v>750</v>
      </c>
      <c r="AK263" s="98" t="s">
        <v>159</v>
      </c>
      <c r="AL263" s="98" t="s">
        <v>224</v>
      </c>
      <c r="AM263" s="98" t="s">
        <v>225</v>
      </c>
      <c r="AR263" s="98" t="s">
        <v>1074</v>
      </c>
      <c r="AS263" s="98" t="s">
        <v>1079</v>
      </c>
      <c r="AT263" s="100" t="n">
        <v>0</v>
      </c>
      <c r="AU263" s="100" t="n">
        <v>-437378</v>
      </c>
      <c r="AX263" s="98" t="s">
        <v>165</v>
      </c>
      <c r="AMH263" s="0"/>
      <c r="AMI263" s="0"/>
      <c r="AMJ263" s="0"/>
    </row>
    <row r="264" s="98" customFormat="true" ht="13.8" hidden="false" customHeight="false" outlineLevel="0" collapsed="false">
      <c r="A264" s="98" t="s">
        <v>142</v>
      </c>
      <c r="B264" s="98" t="s">
        <v>143</v>
      </c>
      <c r="C264" s="98" t="n">
        <v>51150576</v>
      </c>
      <c r="D264" s="98" t="s">
        <v>1080</v>
      </c>
      <c r="E264" s="98" t="s">
        <v>725</v>
      </c>
      <c r="F264" s="98" t="s">
        <v>167</v>
      </c>
      <c r="G264" s="98" t="s">
        <v>147</v>
      </c>
      <c r="H264" s="98" t="s">
        <v>148</v>
      </c>
      <c r="I264" s="99" t="n">
        <v>43615</v>
      </c>
      <c r="J264" s="99" t="n">
        <v>43626</v>
      </c>
      <c r="K264" s="100" t="n">
        <v>-19836</v>
      </c>
      <c r="L264" s="100" t="n">
        <f aca="false">K264-Q264+T264</f>
        <v>-17100</v>
      </c>
      <c r="M264" s="98" t="s">
        <v>149</v>
      </c>
      <c r="N264" s="100" t="n">
        <v>-19836</v>
      </c>
      <c r="O264" s="98" t="s">
        <v>149</v>
      </c>
      <c r="P264" s="100" t="n">
        <v>-20178</v>
      </c>
      <c r="Q264" s="100" t="n">
        <v>-3078</v>
      </c>
      <c r="R264" s="100" t="n">
        <v>-16758</v>
      </c>
      <c r="S264" s="100" t="n">
        <v>-17100</v>
      </c>
      <c r="T264" s="100" t="n">
        <v>-342</v>
      </c>
      <c r="U264" s="98" t="s">
        <v>192</v>
      </c>
      <c r="V264" s="98" t="s">
        <v>151</v>
      </c>
      <c r="X264" s="98" t="s">
        <v>744</v>
      </c>
      <c r="Y264" s="98" t="s">
        <v>1081</v>
      </c>
      <c r="Z264" s="98" t="s">
        <v>1082</v>
      </c>
      <c r="AB264" s="98" t="s">
        <v>1081</v>
      </c>
      <c r="AD264" s="98" t="s">
        <v>155</v>
      </c>
      <c r="AE264" s="98" t="s">
        <v>156</v>
      </c>
      <c r="AF264" s="98" t="s">
        <v>747</v>
      </c>
      <c r="AG264" s="98" t="s">
        <v>748</v>
      </c>
      <c r="AH264" s="98" t="s">
        <v>749</v>
      </c>
      <c r="AI264" s="98" t="s">
        <v>749</v>
      </c>
      <c r="AJ264" s="98" t="s">
        <v>750</v>
      </c>
      <c r="AK264" s="98" t="s">
        <v>159</v>
      </c>
      <c r="AL264" s="98" t="s">
        <v>224</v>
      </c>
      <c r="AM264" s="98" t="s">
        <v>225</v>
      </c>
      <c r="AP264" s="98" t="s">
        <v>429</v>
      </c>
      <c r="AQ264" s="98" t="s">
        <v>427</v>
      </c>
      <c r="AR264" s="98" t="s">
        <v>377</v>
      </c>
      <c r="AS264" s="98" t="s">
        <v>1083</v>
      </c>
      <c r="AT264" s="100" t="n">
        <v>0</v>
      </c>
      <c r="AU264" s="100" t="n">
        <v>-19836</v>
      </c>
      <c r="AX264" s="98" t="s">
        <v>165</v>
      </c>
      <c r="AMH264" s="0"/>
      <c r="AMI264" s="0"/>
      <c r="AMJ264" s="0"/>
    </row>
    <row r="265" s="98" customFormat="true" ht="13.8" hidden="false" customHeight="false" outlineLevel="0" collapsed="false">
      <c r="A265" s="98" t="s">
        <v>142</v>
      </c>
      <c r="B265" s="98" t="s">
        <v>143</v>
      </c>
      <c r="C265" s="98" t="n">
        <v>51150576</v>
      </c>
      <c r="D265" s="98" t="s">
        <v>1080</v>
      </c>
      <c r="E265" s="98" t="s">
        <v>725</v>
      </c>
      <c r="F265" s="98" t="s">
        <v>167</v>
      </c>
      <c r="G265" s="98" t="s">
        <v>147</v>
      </c>
      <c r="H265" s="98" t="s">
        <v>148</v>
      </c>
      <c r="I265" s="99" t="n">
        <v>43615</v>
      </c>
      <c r="J265" s="99" t="n">
        <v>43626</v>
      </c>
      <c r="K265" s="100" t="n">
        <v>-405652</v>
      </c>
      <c r="L265" s="100" t="n">
        <f aca="false">K265-Q265+T265</f>
        <v>-349700</v>
      </c>
      <c r="M265" s="98" t="s">
        <v>149</v>
      </c>
      <c r="N265" s="100" t="n">
        <v>-405652</v>
      </c>
      <c r="O265" s="98" t="s">
        <v>149</v>
      </c>
      <c r="P265" s="100" t="n">
        <v>-412646</v>
      </c>
      <c r="Q265" s="100" t="n">
        <v>-62946</v>
      </c>
      <c r="R265" s="100" t="n">
        <v>-342706</v>
      </c>
      <c r="S265" s="100" t="n">
        <v>-349700</v>
      </c>
      <c r="T265" s="100" t="n">
        <v>-6994</v>
      </c>
      <c r="U265" s="98" t="s">
        <v>192</v>
      </c>
      <c r="V265" s="98" t="s">
        <v>151</v>
      </c>
      <c r="X265" s="98" t="s">
        <v>744</v>
      </c>
      <c r="Y265" s="98" t="s">
        <v>1081</v>
      </c>
      <c r="Z265" s="98" t="s">
        <v>1082</v>
      </c>
      <c r="AB265" s="98" t="s">
        <v>1081</v>
      </c>
      <c r="AD265" s="98" t="s">
        <v>155</v>
      </c>
      <c r="AE265" s="98" t="s">
        <v>156</v>
      </c>
      <c r="AF265" s="98" t="s">
        <v>747</v>
      </c>
      <c r="AG265" s="98" t="s">
        <v>748</v>
      </c>
      <c r="AH265" s="98" t="s">
        <v>749</v>
      </c>
      <c r="AI265" s="98" t="s">
        <v>749</v>
      </c>
      <c r="AJ265" s="98" t="s">
        <v>750</v>
      </c>
      <c r="AK265" s="98" t="s">
        <v>159</v>
      </c>
      <c r="AL265" s="98" t="s">
        <v>224</v>
      </c>
      <c r="AM265" s="98" t="s">
        <v>225</v>
      </c>
      <c r="AP265" s="98" t="s">
        <v>429</v>
      </c>
      <c r="AQ265" s="98" t="s">
        <v>427</v>
      </c>
      <c r="AR265" s="98" t="s">
        <v>377</v>
      </c>
      <c r="AS265" s="98" t="s">
        <v>1083</v>
      </c>
      <c r="AT265" s="100" t="n">
        <v>0</v>
      </c>
      <c r="AU265" s="100" t="n">
        <v>-405652</v>
      </c>
      <c r="AX265" s="98" t="s">
        <v>220</v>
      </c>
      <c r="AMH265" s="0"/>
      <c r="AMI265" s="0"/>
      <c r="AMJ265" s="0"/>
    </row>
    <row r="266" s="98" customFormat="true" ht="13.8" hidden="false" customHeight="false" outlineLevel="0" collapsed="false">
      <c r="A266" s="98" t="s">
        <v>142</v>
      </c>
      <c r="B266" s="98" t="s">
        <v>143</v>
      </c>
      <c r="C266" s="98" t="n">
        <v>51150606</v>
      </c>
      <c r="D266" s="98" t="s">
        <v>1084</v>
      </c>
      <c r="E266" s="98" t="s">
        <v>725</v>
      </c>
      <c r="F266" s="98" t="s">
        <v>167</v>
      </c>
      <c r="G266" s="98" t="s">
        <v>147</v>
      </c>
      <c r="H266" s="98" t="s">
        <v>148</v>
      </c>
      <c r="I266" s="99" t="n">
        <v>43615</v>
      </c>
      <c r="J266" s="99" t="n">
        <v>43626</v>
      </c>
      <c r="K266" s="100" t="n">
        <v>-126266</v>
      </c>
      <c r="L266" s="100" t="n">
        <f aca="false">K266-Q266+T266</f>
        <v>-108850</v>
      </c>
      <c r="M266" s="98" t="s">
        <v>149</v>
      </c>
      <c r="N266" s="100" t="n">
        <v>-126266</v>
      </c>
      <c r="O266" s="98" t="s">
        <v>149</v>
      </c>
      <c r="P266" s="100" t="n">
        <v>-128443</v>
      </c>
      <c r="Q266" s="100" t="n">
        <v>-19593</v>
      </c>
      <c r="R266" s="100" t="n">
        <v>-106673</v>
      </c>
      <c r="S266" s="100" t="n">
        <v>-108850</v>
      </c>
      <c r="T266" s="100" t="n">
        <v>-2177</v>
      </c>
      <c r="U266" s="98" t="s">
        <v>192</v>
      </c>
      <c r="V266" s="98" t="s">
        <v>151</v>
      </c>
      <c r="X266" s="98" t="s">
        <v>744</v>
      </c>
      <c r="Y266" s="98" t="s">
        <v>1085</v>
      </c>
      <c r="Z266" s="98" t="s">
        <v>1086</v>
      </c>
      <c r="AB266" s="98" t="s">
        <v>1085</v>
      </c>
      <c r="AD266" s="98" t="s">
        <v>155</v>
      </c>
      <c r="AE266" s="98" t="s">
        <v>156</v>
      </c>
      <c r="AF266" s="98" t="s">
        <v>747</v>
      </c>
      <c r="AG266" s="98" t="s">
        <v>748</v>
      </c>
      <c r="AH266" s="98" t="s">
        <v>749</v>
      </c>
      <c r="AI266" s="98" t="s">
        <v>749</v>
      </c>
      <c r="AJ266" s="98" t="s">
        <v>750</v>
      </c>
      <c r="AK266" s="98" t="s">
        <v>159</v>
      </c>
      <c r="AL266" s="98" t="s">
        <v>224</v>
      </c>
      <c r="AM266" s="98" t="s">
        <v>225</v>
      </c>
      <c r="AP266" s="98" t="s">
        <v>429</v>
      </c>
      <c r="AQ266" s="98" t="s">
        <v>427</v>
      </c>
      <c r="AR266" s="98" t="s">
        <v>377</v>
      </c>
      <c r="AS266" s="98" t="s">
        <v>1087</v>
      </c>
      <c r="AT266" s="100" t="n">
        <v>0</v>
      </c>
      <c r="AU266" s="100" t="n">
        <v>-126266</v>
      </c>
      <c r="AX266" s="98" t="s">
        <v>220</v>
      </c>
      <c r="AMH266" s="0"/>
      <c r="AMI266" s="0"/>
      <c r="AMJ266" s="0"/>
    </row>
    <row r="267" s="98" customFormat="true" ht="13.8" hidden="false" customHeight="false" outlineLevel="0" collapsed="false">
      <c r="A267" s="98" t="s">
        <v>142</v>
      </c>
      <c r="B267" s="98" t="s">
        <v>143</v>
      </c>
      <c r="C267" s="98" t="n">
        <v>51150606</v>
      </c>
      <c r="D267" s="98" t="s">
        <v>1084</v>
      </c>
      <c r="E267" s="98" t="s">
        <v>725</v>
      </c>
      <c r="F267" s="98" t="s">
        <v>167</v>
      </c>
      <c r="G267" s="98" t="s">
        <v>147</v>
      </c>
      <c r="H267" s="98" t="s">
        <v>148</v>
      </c>
      <c r="I267" s="99" t="n">
        <v>43615</v>
      </c>
      <c r="J267" s="99" t="n">
        <v>43626</v>
      </c>
      <c r="K267" s="100" t="n">
        <v>-320102</v>
      </c>
      <c r="L267" s="100" t="n">
        <f aca="false">K267-Q267+T267</f>
        <v>-275950</v>
      </c>
      <c r="M267" s="98" t="s">
        <v>149</v>
      </c>
      <c r="N267" s="100" t="n">
        <v>-320102</v>
      </c>
      <c r="O267" s="98" t="s">
        <v>149</v>
      </c>
      <c r="P267" s="100" t="n">
        <v>-325621</v>
      </c>
      <c r="Q267" s="100" t="n">
        <v>-49671</v>
      </c>
      <c r="R267" s="100" t="n">
        <v>-270431</v>
      </c>
      <c r="S267" s="100" t="n">
        <v>-275950</v>
      </c>
      <c r="T267" s="100" t="n">
        <v>-5519</v>
      </c>
      <c r="U267" s="98" t="s">
        <v>192</v>
      </c>
      <c r="V267" s="98" t="s">
        <v>151</v>
      </c>
      <c r="X267" s="98" t="s">
        <v>744</v>
      </c>
      <c r="Y267" s="98" t="s">
        <v>1085</v>
      </c>
      <c r="Z267" s="98" t="s">
        <v>1086</v>
      </c>
      <c r="AB267" s="98" t="s">
        <v>1085</v>
      </c>
      <c r="AD267" s="98" t="s">
        <v>155</v>
      </c>
      <c r="AE267" s="98" t="s">
        <v>156</v>
      </c>
      <c r="AF267" s="98" t="s">
        <v>747</v>
      </c>
      <c r="AG267" s="98" t="s">
        <v>748</v>
      </c>
      <c r="AH267" s="98" t="s">
        <v>749</v>
      </c>
      <c r="AI267" s="98" t="s">
        <v>749</v>
      </c>
      <c r="AJ267" s="98" t="s">
        <v>750</v>
      </c>
      <c r="AK267" s="98" t="s">
        <v>159</v>
      </c>
      <c r="AL267" s="98" t="s">
        <v>224</v>
      </c>
      <c r="AM267" s="98" t="s">
        <v>225</v>
      </c>
      <c r="AP267" s="98" t="s">
        <v>429</v>
      </c>
      <c r="AQ267" s="98" t="s">
        <v>427</v>
      </c>
      <c r="AR267" s="98" t="s">
        <v>377</v>
      </c>
      <c r="AS267" s="98" t="s">
        <v>1087</v>
      </c>
      <c r="AT267" s="100" t="n">
        <v>0</v>
      </c>
      <c r="AU267" s="100" t="n">
        <v>-320102</v>
      </c>
      <c r="AX267" s="98" t="s">
        <v>165</v>
      </c>
      <c r="AMH267" s="0"/>
      <c r="AMI267" s="0"/>
      <c r="AMJ267" s="0"/>
    </row>
    <row r="268" s="98" customFormat="true" ht="13.8" hidden="false" customHeight="false" outlineLevel="0" collapsed="false">
      <c r="A268" s="98" t="s">
        <v>142</v>
      </c>
      <c r="B268" s="98" t="s">
        <v>143</v>
      </c>
      <c r="C268" s="98" t="n">
        <v>51150622</v>
      </c>
      <c r="D268" s="98" t="s">
        <v>1088</v>
      </c>
      <c r="E268" s="98" t="s">
        <v>725</v>
      </c>
      <c r="F268" s="98" t="s">
        <v>167</v>
      </c>
      <c r="G268" s="98" t="s">
        <v>147</v>
      </c>
      <c r="H268" s="98" t="s">
        <v>148</v>
      </c>
      <c r="I268" s="99" t="n">
        <v>43615</v>
      </c>
      <c r="J268" s="99" t="n">
        <v>43626</v>
      </c>
      <c r="K268" s="100" t="n">
        <v>-11279.83</v>
      </c>
      <c r="L268" s="100" t="n">
        <f aca="false">K268-Q268+T268</f>
        <v>-9723.99</v>
      </c>
      <c r="M268" s="98" t="s">
        <v>149</v>
      </c>
      <c r="N268" s="100" t="n">
        <v>-11279.83</v>
      </c>
      <c r="O268" s="98" t="s">
        <v>149</v>
      </c>
      <c r="P268" s="100" t="n">
        <v>-11474.31</v>
      </c>
      <c r="Q268" s="100" t="n">
        <v>-1750.32</v>
      </c>
      <c r="R268" s="100" t="n">
        <v>-9529.51</v>
      </c>
      <c r="S268" s="100" t="n">
        <v>-9724</v>
      </c>
      <c r="T268" s="100" t="n">
        <v>-194.48</v>
      </c>
      <c r="U268" s="98" t="s">
        <v>192</v>
      </c>
      <c r="V268" s="98" t="s">
        <v>151</v>
      </c>
      <c r="X268" s="98" t="s">
        <v>783</v>
      </c>
      <c r="Y268" s="98" t="s">
        <v>1089</v>
      </c>
      <c r="Z268" s="98" t="s">
        <v>1090</v>
      </c>
      <c r="AB268" s="98" t="s">
        <v>1089</v>
      </c>
      <c r="AD268" s="98" t="s">
        <v>155</v>
      </c>
      <c r="AE268" s="98" t="s">
        <v>156</v>
      </c>
      <c r="AF268" s="98" t="s">
        <v>747</v>
      </c>
      <c r="AG268" s="98" t="s">
        <v>748</v>
      </c>
      <c r="AH268" s="98" t="s">
        <v>786</v>
      </c>
      <c r="AI268" s="98" t="s">
        <v>786</v>
      </c>
      <c r="AJ268" s="98" t="s">
        <v>787</v>
      </c>
      <c r="AK268" s="98" t="s">
        <v>159</v>
      </c>
      <c r="AL268" s="98" t="s">
        <v>224</v>
      </c>
      <c r="AM268" s="98" t="s">
        <v>225</v>
      </c>
      <c r="AP268" s="98" t="s">
        <v>429</v>
      </c>
      <c r="AQ268" s="98" t="s">
        <v>427</v>
      </c>
      <c r="AR268" s="98" t="s">
        <v>377</v>
      </c>
      <c r="AS268" s="98" t="s">
        <v>1091</v>
      </c>
      <c r="AT268" s="100" t="n">
        <v>0</v>
      </c>
      <c r="AU268" s="100" t="n">
        <v>-11279.83</v>
      </c>
      <c r="AX268" s="98" t="s">
        <v>165</v>
      </c>
      <c r="AMH268" s="0"/>
      <c r="AMI268" s="0"/>
      <c r="AMJ268" s="0"/>
    </row>
    <row r="269" s="98" customFormat="true" ht="13.8" hidden="false" customHeight="false" outlineLevel="0" collapsed="false">
      <c r="A269" s="98" t="s">
        <v>142</v>
      </c>
      <c r="B269" s="98" t="s">
        <v>143</v>
      </c>
      <c r="C269" s="98" t="n">
        <v>51150622</v>
      </c>
      <c r="D269" s="98" t="s">
        <v>1088</v>
      </c>
      <c r="E269" s="98" t="s">
        <v>725</v>
      </c>
      <c r="F269" s="98" t="s">
        <v>167</v>
      </c>
      <c r="G269" s="98" t="s">
        <v>147</v>
      </c>
      <c r="H269" s="98" t="s">
        <v>148</v>
      </c>
      <c r="I269" s="99" t="n">
        <v>43615</v>
      </c>
      <c r="J269" s="99" t="n">
        <v>43626</v>
      </c>
      <c r="K269" s="100" t="n">
        <v>-521900.01</v>
      </c>
      <c r="L269" s="100" t="n">
        <f aca="false">K269-Q269+T269</f>
        <v>-449914.01</v>
      </c>
      <c r="M269" s="98" t="s">
        <v>149</v>
      </c>
      <c r="N269" s="100" t="n">
        <v>-521900.01</v>
      </c>
      <c r="O269" s="98" t="s">
        <v>149</v>
      </c>
      <c r="P269" s="100" t="n">
        <v>-530898.53</v>
      </c>
      <c r="Q269" s="100" t="n">
        <v>-80984.52</v>
      </c>
      <c r="R269" s="100" t="n">
        <v>-440915.49</v>
      </c>
      <c r="S269" s="100" t="n">
        <v>-449914</v>
      </c>
      <c r="T269" s="100" t="n">
        <v>-8998.52</v>
      </c>
      <c r="U269" s="98" t="s">
        <v>192</v>
      </c>
      <c r="V269" s="98" t="s">
        <v>151</v>
      </c>
      <c r="X269" s="98" t="s">
        <v>783</v>
      </c>
      <c r="Y269" s="98" t="s">
        <v>1089</v>
      </c>
      <c r="Z269" s="98" t="s">
        <v>1090</v>
      </c>
      <c r="AB269" s="98" t="s">
        <v>1089</v>
      </c>
      <c r="AD269" s="98" t="s">
        <v>155</v>
      </c>
      <c r="AE269" s="98" t="s">
        <v>156</v>
      </c>
      <c r="AF269" s="98" t="s">
        <v>747</v>
      </c>
      <c r="AG269" s="98" t="s">
        <v>748</v>
      </c>
      <c r="AH269" s="98" t="s">
        <v>786</v>
      </c>
      <c r="AI269" s="98" t="s">
        <v>786</v>
      </c>
      <c r="AJ269" s="98" t="s">
        <v>787</v>
      </c>
      <c r="AK269" s="98" t="s">
        <v>159</v>
      </c>
      <c r="AL269" s="98" t="s">
        <v>224</v>
      </c>
      <c r="AM269" s="98" t="s">
        <v>225</v>
      </c>
      <c r="AP269" s="98" t="s">
        <v>429</v>
      </c>
      <c r="AQ269" s="98" t="s">
        <v>427</v>
      </c>
      <c r="AR269" s="98" t="s">
        <v>377</v>
      </c>
      <c r="AS269" s="98" t="s">
        <v>1091</v>
      </c>
      <c r="AT269" s="100" t="n">
        <v>0</v>
      </c>
      <c r="AU269" s="100" t="n">
        <v>-521900.01</v>
      </c>
      <c r="AX269" s="98" t="s">
        <v>220</v>
      </c>
      <c r="AMH269" s="0"/>
      <c r="AMI269" s="0"/>
      <c r="AMJ269" s="0"/>
    </row>
    <row r="270" s="98" customFormat="true" ht="13.8" hidden="false" customHeight="false" outlineLevel="0" collapsed="false">
      <c r="A270" s="98" t="s">
        <v>142</v>
      </c>
      <c r="B270" s="98" t="s">
        <v>143</v>
      </c>
      <c r="C270" s="98" t="n">
        <v>51150640</v>
      </c>
      <c r="D270" s="98" t="s">
        <v>1092</v>
      </c>
      <c r="E270" s="98" t="s">
        <v>725</v>
      </c>
      <c r="F270" s="98" t="s">
        <v>167</v>
      </c>
      <c r="G270" s="98" t="s">
        <v>147</v>
      </c>
      <c r="H270" s="98" t="s">
        <v>148</v>
      </c>
      <c r="I270" s="99" t="n">
        <v>43615</v>
      </c>
      <c r="J270" s="99" t="n">
        <v>43626</v>
      </c>
      <c r="K270" s="100" t="n">
        <v>-415952.4</v>
      </c>
      <c r="L270" s="100" t="n">
        <f aca="false">K270-Q270+T270</f>
        <v>-358580</v>
      </c>
      <c r="M270" s="98" t="s">
        <v>149</v>
      </c>
      <c r="N270" s="100" t="n">
        <v>-415952.4</v>
      </c>
      <c r="O270" s="98" t="s">
        <v>149</v>
      </c>
      <c r="P270" s="100" t="n">
        <v>-423124.4</v>
      </c>
      <c r="Q270" s="100" t="n">
        <v>-64544.4</v>
      </c>
      <c r="R270" s="100" t="n">
        <v>-351408</v>
      </c>
      <c r="S270" s="100" t="n">
        <v>-358580</v>
      </c>
      <c r="T270" s="100" t="n">
        <v>-7172</v>
      </c>
      <c r="U270" s="98" t="s">
        <v>192</v>
      </c>
      <c r="V270" s="98" t="s">
        <v>151</v>
      </c>
      <c r="X270" s="98" t="s">
        <v>744</v>
      </c>
      <c r="Y270" s="98" t="s">
        <v>1093</v>
      </c>
      <c r="Z270" s="98" t="s">
        <v>1094</v>
      </c>
      <c r="AB270" s="98" t="s">
        <v>1093</v>
      </c>
      <c r="AD270" s="98" t="s">
        <v>155</v>
      </c>
      <c r="AE270" s="98" t="s">
        <v>156</v>
      </c>
      <c r="AF270" s="98" t="s">
        <v>747</v>
      </c>
      <c r="AG270" s="98" t="s">
        <v>748</v>
      </c>
      <c r="AH270" s="98" t="s">
        <v>749</v>
      </c>
      <c r="AI270" s="98" t="s">
        <v>749</v>
      </c>
      <c r="AJ270" s="98" t="s">
        <v>750</v>
      </c>
      <c r="AK270" s="98" t="s">
        <v>159</v>
      </c>
      <c r="AL270" s="98" t="s">
        <v>224</v>
      </c>
      <c r="AM270" s="98" t="s">
        <v>225</v>
      </c>
      <c r="AP270" s="98" t="s">
        <v>429</v>
      </c>
      <c r="AQ270" s="98" t="s">
        <v>427</v>
      </c>
      <c r="AR270" s="98" t="s">
        <v>377</v>
      </c>
      <c r="AS270" s="98" t="s">
        <v>1095</v>
      </c>
      <c r="AT270" s="100" t="n">
        <v>0</v>
      </c>
      <c r="AU270" s="100" t="n">
        <v>-415952.4</v>
      </c>
      <c r="AX270" s="98" t="s">
        <v>165</v>
      </c>
      <c r="AMH270" s="0"/>
      <c r="AMI270" s="0"/>
      <c r="AMJ270" s="0"/>
    </row>
    <row r="271" s="98" customFormat="true" ht="13.8" hidden="false" customHeight="false" outlineLevel="0" collapsed="false">
      <c r="A271" s="98" t="s">
        <v>142</v>
      </c>
      <c r="B271" s="98" t="s">
        <v>143</v>
      </c>
      <c r="C271" s="98" t="n">
        <v>51150661</v>
      </c>
      <c r="D271" s="98" t="s">
        <v>1096</v>
      </c>
      <c r="E271" s="98" t="s">
        <v>725</v>
      </c>
      <c r="F271" s="98" t="s">
        <v>167</v>
      </c>
      <c r="G271" s="98" t="s">
        <v>147</v>
      </c>
      <c r="H271" s="98" t="s">
        <v>148</v>
      </c>
      <c r="I271" s="99" t="n">
        <v>43615</v>
      </c>
      <c r="J271" s="99" t="n">
        <v>43626</v>
      </c>
      <c r="K271" s="100" t="n">
        <v>-313594.08</v>
      </c>
      <c r="L271" s="100" t="n">
        <f aca="false">K271-Q271+T271</f>
        <v>-270339.99</v>
      </c>
      <c r="M271" s="98" t="s">
        <v>149</v>
      </c>
      <c r="N271" s="100" t="n">
        <v>-313594.08</v>
      </c>
      <c r="O271" s="98" t="s">
        <v>149</v>
      </c>
      <c r="P271" s="100" t="n">
        <v>-319001.19</v>
      </c>
      <c r="Q271" s="100" t="n">
        <v>-48661.2</v>
      </c>
      <c r="R271" s="100" t="n">
        <v>-264932.88</v>
      </c>
      <c r="S271" s="100" t="n">
        <v>-270339.99</v>
      </c>
      <c r="T271" s="100" t="n">
        <v>-5407.11</v>
      </c>
      <c r="U271" s="98" t="s">
        <v>192</v>
      </c>
      <c r="V271" s="98" t="s">
        <v>151</v>
      </c>
      <c r="X271" s="98" t="s">
        <v>744</v>
      </c>
      <c r="Y271" s="98" t="s">
        <v>1097</v>
      </c>
      <c r="Z271" s="98" t="s">
        <v>1098</v>
      </c>
      <c r="AB271" s="98" t="s">
        <v>1097</v>
      </c>
      <c r="AD271" s="98" t="s">
        <v>155</v>
      </c>
      <c r="AE271" s="98" t="s">
        <v>156</v>
      </c>
      <c r="AF271" s="98" t="s">
        <v>747</v>
      </c>
      <c r="AG271" s="98" t="s">
        <v>748</v>
      </c>
      <c r="AH271" s="98" t="s">
        <v>749</v>
      </c>
      <c r="AI271" s="98" t="s">
        <v>749</v>
      </c>
      <c r="AJ271" s="98" t="s">
        <v>750</v>
      </c>
      <c r="AK271" s="98" t="s">
        <v>159</v>
      </c>
      <c r="AL271" s="98" t="s">
        <v>224</v>
      </c>
      <c r="AM271" s="98" t="s">
        <v>225</v>
      </c>
      <c r="AP271" s="98" t="s">
        <v>429</v>
      </c>
      <c r="AQ271" s="98" t="s">
        <v>427</v>
      </c>
      <c r="AR271" s="98" t="s">
        <v>377</v>
      </c>
      <c r="AS271" s="98" t="s">
        <v>1099</v>
      </c>
      <c r="AT271" s="100" t="n">
        <v>0</v>
      </c>
      <c r="AU271" s="100" t="n">
        <v>-313594.08</v>
      </c>
      <c r="AX271" s="98" t="s">
        <v>165</v>
      </c>
      <c r="AMH271" s="0"/>
      <c r="AMI271" s="0"/>
      <c r="AMJ271" s="0"/>
    </row>
    <row r="272" s="98" customFormat="true" ht="13.8" hidden="false" customHeight="false" outlineLevel="0" collapsed="false">
      <c r="A272" s="98" t="s">
        <v>142</v>
      </c>
      <c r="B272" s="98" t="s">
        <v>143</v>
      </c>
      <c r="C272" s="98" t="n">
        <v>51150661</v>
      </c>
      <c r="D272" s="98" t="s">
        <v>1096</v>
      </c>
      <c r="E272" s="98" t="s">
        <v>725</v>
      </c>
      <c r="F272" s="98" t="s">
        <v>167</v>
      </c>
      <c r="G272" s="98" t="s">
        <v>147</v>
      </c>
      <c r="H272" s="98" t="s">
        <v>148</v>
      </c>
      <c r="I272" s="99" t="n">
        <v>43615</v>
      </c>
      <c r="J272" s="99" t="n">
        <v>43626</v>
      </c>
      <c r="K272" s="100" t="n">
        <v>-87568.32</v>
      </c>
      <c r="L272" s="100" t="n">
        <f aca="false">K272-Q272+T272</f>
        <v>-75490.01</v>
      </c>
      <c r="M272" s="98" t="s">
        <v>149</v>
      </c>
      <c r="N272" s="100" t="n">
        <v>-87568.32</v>
      </c>
      <c r="O272" s="98" t="s">
        <v>149</v>
      </c>
      <c r="P272" s="100" t="n">
        <v>-89078.21</v>
      </c>
      <c r="Q272" s="100" t="n">
        <v>-13588.2</v>
      </c>
      <c r="R272" s="100" t="n">
        <v>-73980.12</v>
      </c>
      <c r="S272" s="100" t="n">
        <v>-75490.01</v>
      </c>
      <c r="T272" s="100" t="n">
        <v>-1509.89</v>
      </c>
      <c r="U272" s="98" t="s">
        <v>192</v>
      </c>
      <c r="V272" s="98" t="s">
        <v>151</v>
      </c>
      <c r="X272" s="98" t="s">
        <v>744</v>
      </c>
      <c r="Y272" s="98" t="s">
        <v>1097</v>
      </c>
      <c r="Z272" s="98" t="s">
        <v>1098</v>
      </c>
      <c r="AB272" s="98" t="s">
        <v>1097</v>
      </c>
      <c r="AD272" s="98" t="s">
        <v>155</v>
      </c>
      <c r="AE272" s="98" t="s">
        <v>156</v>
      </c>
      <c r="AF272" s="98" t="s">
        <v>747</v>
      </c>
      <c r="AG272" s="98" t="s">
        <v>748</v>
      </c>
      <c r="AH272" s="98" t="s">
        <v>749</v>
      </c>
      <c r="AI272" s="98" t="s">
        <v>749</v>
      </c>
      <c r="AJ272" s="98" t="s">
        <v>750</v>
      </c>
      <c r="AK272" s="98" t="s">
        <v>159</v>
      </c>
      <c r="AL272" s="98" t="s">
        <v>224</v>
      </c>
      <c r="AM272" s="98" t="s">
        <v>225</v>
      </c>
      <c r="AP272" s="98" t="s">
        <v>429</v>
      </c>
      <c r="AQ272" s="98" t="s">
        <v>427</v>
      </c>
      <c r="AR272" s="98" t="s">
        <v>377</v>
      </c>
      <c r="AS272" s="98" t="s">
        <v>1099</v>
      </c>
      <c r="AT272" s="100" t="n">
        <v>0</v>
      </c>
      <c r="AU272" s="100" t="n">
        <v>-87568.32</v>
      </c>
      <c r="AX272" s="98" t="s">
        <v>220</v>
      </c>
      <c r="AMH272" s="0"/>
      <c r="AMI272" s="0"/>
      <c r="AMJ272" s="0"/>
    </row>
    <row r="273" s="98" customFormat="true" ht="13.8" hidden="false" customHeight="false" outlineLevel="0" collapsed="false">
      <c r="A273" s="98" t="s">
        <v>142</v>
      </c>
      <c r="B273" s="98" t="s">
        <v>143</v>
      </c>
      <c r="C273" s="98" t="n">
        <v>51429152</v>
      </c>
      <c r="D273" s="98" t="s">
        <v>1100</v>
      </c>
      <c r="E273" s="98" t="s">
        <v>725</v>
      </c>
      <c r="F273" s="98" t="s">
        <v>167</v>
      </c>
      <c r="G273" s="98" t="s">
        <v>147</v>
      </c>
      <c r="H273" s="98" t="s">
        <v>535</v>
      </c>
      <c r="I273" s="99" t="n">
        <v>43748</v>
      </c>
      <c r="J273" s="99" t="n">
        <v>43759</v>
      </c>
      <c r="K273" s="100" t="n">
        <v>-11487.17</v>
      </c>
      <c r="L273" s="100" t="n">
        <f aca="false">K273-Q273+T273</f>
        <v>-9902.84</v>
      </c>
      <c r="M273" s="98" t="s">
        <v>149</v>
      </c>
      <c r="N273" s="100" t="n">
        <v>-11487.17</v>
      </c>
      <c r="O273" s="98" t="s">
        <v>149</v>
      </c>
      <c r="P273" s="100" t="n">
        <v>-11685.35</v>
      </c>
      <c r="Q273" s="100" t="n">
        <v>-1782.51</v>
      </c>
      <c r="R273" s="100" t="n">
        <v>-9704.66</v>
      </c>
      <c r="S273" s="100" t="n">
        <v>-9902.84</v>
      </c>
      <c r="T273" s="100" t="n">
        <v>-198.18</v>
      </c>
      <c r="U273" s="98" t="s">
        <v>192</v>
      </c>
      <c r="V273" s="98" t="s">
        <v>151</v>
      </c>
      <c r="X273" s="98" t="s">
        <v>783</v>
      </c>
      <c r="Y273" s="98" t="s">
        <v>1101</v>
      </c>
      <c r="Z273" s="98" t="s">
        <v>1102</v>
      </c>
      <c r="AB273" s="98" t="s">
        <v>1101</v>
      </c>
      <c r="AD273" s="98" t="s">
        <v>155</v>
      </c>
      <c r="AE273" s="98" t="s">
        <v>156</v>
      </c>
      <c r="AF273" s="98" t="s">
        <v>747</v>
      </c>
      <c r="AG273" s="98" t="s">
        <v>748</v>
      </c>
      <c r="AH273" s="98" t="s">
        <v>786</v>
      </c>
      <c r="AI273" s="98" t="s">
        <v>786</v>
      </c>
      <c r="AJ273" s="98" t="s">
        <v>787</v>
      </c>
      <c r="AK273" s="98" t="s">
        <v>159</v>
      </c>
      <c r="AL273" s="98" t="s">
        <v>224</v>
      </c>
      <c r="AM273" s="98" t="s">
        <v>225</v>
      </c>
      <c r="AP273" s="98" t="s">
        <v>573</v>
      </c>
      <c r="AQ273" s="98" t="s">
        <v>571</v>
      </c>
      <c r="AR273" s="98" t="s">
        <v>1103</v>
      </c>
      <c r="AS273" s="98" t="s">
        <v>1104</v>
      </c>
      <c r="AT273" s="100" t="n">
        <v>0</v>
      </c>
      <c r="AU273" s="100" t="n">
        <v>-11487.17</v>
      </c>
      <c r="AX273" s="98" t="s">
        <v>165</v>
      </c>
      <c r="AMH273" s="0"/>
      <c r="AMI273" s="0"/>
      <c r="AMJ273" s="0"/>
    </row>
    <row r="274" s="98" customFormat="true" ht="13.8" hidden="false" customHeight="false" outlineLevel="0" collapsed="false">
      <c r="A274" s="98" t="s">
        <v>142</v>
      </c>
      <c r="B274" s="98" t="s">
        <v>143</v>
      </c>
      <c r="C274" s="98" t="n">
        <v>51429152</v>
      </c>
      <c r="D274" s="98" t="s">
        <v>1100</v>
      </c>
      <c r="E274" s="98" t="s">
        <v>725</v>
      </c>
      <c r="F274" s="98" t="s">
        <v>167</v>
      </c>
      <c r="G274" s="98" t="s">
        <v>147</v>
      </c>
      <c r="H274" s="98" t="s">
        <v>535</v>
      </c>
      <c r="I274" s="99" t="n">
        <v>43748</v>
      </c>
      <c r="J274" s="99" t="n">
        <v>43759</v>
      </c>
      <c r="K274" s="100" t="n">
        <v>-56328.99</v>
      </c>
      <c r="L274" s="100" t="n">
        <f aca="false">K274-Q274+T274</f>
        <v>-48560.01</v>
      </c>
      <c r="M274" s="98" t="s">
        <v>149</v>
      </c>
      <c r="N274" s="100" t="n">
        <v>-56328.99</v>
      </c>
      <c r="O274" s="98" t="s">
        <v>149</v>
      </c>
      <c r="P274" s="100" t="n">
        <v>-57300.81</v>
      </c>
      <c r="Q274" s="100" t="n">
        <v>-8740.8</v>
      </c>
      <c r="R274" s="100" t="n">
        <v>-47588.19</v>
      </c>
      <c r="S274" s="100" t="n">
        <v>-48560.01</v>
      </c>
      <c r="T274" s="100" t="n">
        <v>-971.82</v>
      </c>
      <c r="U274" s="98" t="s">
        <v>192</v>
      </c>
      <c r="V274" s="98" t="s">
        <v>151</v>
      </c>
      <c r="X274" s="98" t="s">
        <v>783</v>
      </c>
      <c r="Y274" s="98" t="s">
        <v>1101</v>
      </c>
      <c r="Z274" s="98" t="s">
        <v>1102</v>
      </c>
      <c r="AB274" s="98" t="s">
        <v>1101</v>
      </c>
      <c r="AD274" s="98" t="s">
        <v>155</v>
      </c>
      <c r="AE274" s="98" t="s">
        <v>156</v>
      </c>
      <c r="AF274" s="98" t="s">
        <v>747</v>
      </c>
      <c r="AG274" s="98" t="s">
        <v>748</v>
      </c>
      <c r="AH274" s="98" t="s">
        <v>786</v>
      </c>
      <c r="AI274" s="98" t="s">
        <v>786</v>
      </c>
      <c r="AJ274" s="98" t="s">
        <v>787</v>
      </c>
      <c r="AK274" s="98" t="s">
        <v>159</v>
      </c>
      <c r="AL274" s="98" t="s">
        <v>224</v>
      </c>
      <c r="AM274" s="98" t="s">
        <v>225</v>
      </c>
      <c r="AP274" s="98" t="s">
        <v>573</v>
      </c>
      <c r="AQ274" s="98" t="s">
        <v>571</v>
      </c>
      <c r="AR274" s="98" t="s">
        <v>1103</v>
      </c>
      <c r="AS274" s="98" t="s">
        <v>1104</v>
      </c>
      <c r="AT274" s="100" t="n">
        <v>0</v>
      </c>
      <c r="AU274" s="100" t="n">
        <v>-56328.99</v>
      </c>
      <c r="AX274" s="98" t="s">
        <v>220</v>
      </c>
      <c r="AMH274" s="0"/>
      <c r="AMI274" s="0"/>
      <c r="AMJ274" s="0"/>
    </row>
    <row r="275" s="98" customFormat="true" ht="13.8" hidden="false" customHeight="false" outlineLevel="0" collapsed="false">
      <c r="A275" s="98" t="s">
        <v>142</v>
      </c>
      <c r="B275" s="98" t="s">
        <v>143</v>
      </c>
      <c r="C275" s="98" t="n">
        <v>51429153</v>
      </c>
      <c r="D275" s="98" t="s">
        <v>1105</v>
      </c>
      <c r="E275" s="98" t="s">
        <v>725</v>
      </c>
      <c r="F275" s="98" t="s">
        <v>167</v>
      </c>
      <c r="G275" s="98" t="s">
        <v>147</v>
      </c>
      <c r="H275" s="98" t="s">
        <v>535</v>
      </c>
      <c r="I275" s="99" t="n">
        <v>43748</v>
      </c>
      <c r="J275" s="99" t="n">
        <v>43759</v>
      </c>
      <c r="K275" s="100" t="n">
        <v>-438480</v>
      </c>
      <c r="L275" s="100" t="n">
        <f aca="false">K275-Q275+T275</f>
        <v>-378000</v>
      </c>
      <c r="M275" s="98" t="s">
        <v>149</v>
      </c>
      <c r="N275" s="100" t="n">
        <v>-438480</v>
      </c>
      <c r="O275" s="98" t="s">
        <v>149</v>
      </c>
      <c r="P275" s="100" t="n">
        <v>-446040</v>
      </c>
      <c r="Q275" s="100" t="n">
        <v>-68040</v>
      </c>
      <c r="R275" s="100" t="n">
        <v>-370440</v>
      </c>
      <c r="S275" s="100" t="n">
        <v>-378000</v>
      </c>
      <c r="T275" s="100" t="n">
        <v>-7560</v>
      </c>
      <c r="U275" s="98" t="s">
        <v>192</v>
      </c>
      <c r="V275" s="98" t="s">
        <v>151</v>
      </c>
      <c r="X275" s="98" t="s">
        <v>744</v>
      </c>
      <c r="Y275" s="98" t="s">
        <v>1106</v>
      </c>
      <c r="Z275" s="98" t="s">
        <v>1107</v>
      </c>
      <c r="AB275" s="98" t="s">
        <v>1106</v>
      </c>
      <c r="AD275" s="98" t="s">
        <v>155</v>
      </c>
      <c r="AE275" s="98" t="s">
        <v>156</v>
      </c>
      <c r="AF275" s="98" t="s">
        <v>747</v>
      </c>
      <c r="AG275" s="98" t="s">
        <v>748</v>
      </c>
      <c r="AH275" s="98" t="s">
        <v>749</v>
      </c>
      <c r="AI275" s="98" t="s">
        <v>749</v>
      </c>
      <c r="AJ275" s="98" t="s">
        <v>750</v>
      </c>
      <c r="AK275" s="98" t="s">
        <v>159</v>
      </c>
      <c r="AL275" s="98" t="s">
        <v>224</v>
      </c>
      <c r="AM275" s="98" t="s">
        <v>225</v>
      </c>
      <c r="AP275" s="98" t="s">
        <v>573</v>
      </c>
      <c r="AQ275" s="98" t="s">
        <v>571</v>
      </c>
      <c r="AR275" s="98" t="s">
        <v>1103</v>
      </c>
      <c r="AS275" s="98" t="s">
        <v>1108</v>
      </c>
      <c r="AT275" s="100" t="n">
        <v>0</v>
      </c>
      <c r="AU275" s="100" t="n">
        <v>-438480</v>
      </c>
      <c r="AX275" s="98" t="s">
        <v>165</v>
      </c>
      <c r="AMH275" s="0"/>
      <c r="AMI275" s="0"/>
      <c r="AMJ275" s="0"/>
    </row>
    <row r="276" s="98" customFormat="true" ht="13.8" hidden="false" customHeight="false" outlineLevel="0" collapsed="false">
      <c r="A276" s="98" t="s">
        <v>142</v>
      </c>
      <c r="B276" s="98" t="s">
        <v>143</v>
      </c>
      <c r="C276" s="98" t="n">
        <v>51429154</v>
      </c>
      <c r="D276" s="98" t="s">
        <v>1109</v>
      </c>
      <c r="E276" s="98" t="s">
        <v>725</v>
      </c>
      <c r="F276" s="98" t="s">
        <v>167</v>
      </c>
      <c r="G276" s="98" t="s">
        <v>147</v>
      </c>
      <c r="H276" s="98" t="s">
        <v>535</v>
      </c>
      <c r="I276" s="99" t="n">
        <v>43748</v>
      </c>
      <c r="J276" s="99" t="n">
        <v>43759</v>
      </c>
      <c r="K276" s="100" t="n">
        <v>-103355.81</v>
      </c>
      <c r="L276" s="100" t="n">
        <f aca="false">K276-Q276+T276</f>
        <v>-89100.01</v>
      </c>
      <c r="M276" s="98" t="s">
        <v>149</v>
      </c>
      <c r="N276" s="100" t="n">
        <v>-103355.81</v>
      </c>
      <c r="O276" s="98" t="s">
        <v>149</v>
      </c>
      <c r="P276" s="100" t="n">
        <v>-105138.01</v>
      </c>
      <c r="Q276" s="100" t="n">
        <v>-16038</v>
      </c>
      <c r="R276" s="100" t="n">
        <v>-87317.81</v>
      </c>
      <c r="S276" s="100" t="n">
        <v>-89100</v>
      </c>
      <c r="T276" s="100" t="n">
        <v>-1782.2</v>
      </c>
      <c r="U276" s="98" t="s">
        <v>192</v>
      </c>
      <c r="V276" s="98" t="s">
        <v>151</v>
      </c>
      <c r="X276" s="98" t="s">
        <v>744</v>
      </c>
      <c r="Y276" s="98" t="s">
        <v>1110</v>
      </c>
      <c r="Z276" s="98" t="s">
        <v>1111</v>
      </c>
      <c r="AB276" s="98" t="s">
        <v>1110</v>
      </c>
      <c r="AD276" s="98" t="s">
        <v>155</v>
      </c>
      <c r="AE276" s="98" t="s">
        <v>156</v>
      </c>
      <c r="AF276" s="98" t="s">
        <v>747</v>
      </c>
      <c r="AG276" s="98" t="s">
        <v>748</v>
      </c>
      <c r="AH276" s="98" t="s">
        <v>749</v>
      </c>
      <c r="AI276" s="98" t="s">
        <v>749</v>
      </c>
      <c r="AJ276" s="98" t="s">
        <v>750</v>
      </c>
      <c r="AK276" s="98" t="s">
        <v>159</v>
      </c>
      <c r="AL276" s="98" t="s">
        <v>224</v>
      </c>
      <c r="AM276" s="98" t="s">
        <v>225</v>
      </c>
      <c r="AP276" s="98" t="s">
        <v>573</v>
      </c>
      <c r="AQ276" s="98" t="s">
        <v>571</v>
      </c>
      <c r="AR276" s="98" t="s">
        <v>1103</v>
      </c>
      <c r="AS276" s="98" t="s">
        <v>1112</v>
      </c>
      <c r="AT276" s="100" t="n">
        <v>0</v>
      </c>
      <c r="AU276" s="100" t="n">
        <v>-103355.81</v>
      </c>
      <c r="AX276" s="98" t="s">
        <v>165</v>
      </c>
      <c r="AMH276" s="0"/>
      <c r="AMI276" s="0"/>
      <c r="AMJ276" s="0"/>
    </row>
    <row r="277" s="98" customFormat="true" ht="13.8" hidden="false" customHeight="false" outlineLevel="0" collapsed="false">
      <c r="A277" s="98" t="s">
        <v>142</v>
      </c>
      <c r="B277" s="98" t="s">
        <v>143</v>
      </c>
      <c r="C277" s="98" t="n">
        <v>51429154</v>
      </c>
      <c r="D277" s="98" t="s">
        <v>1109</v>
      </c>
      <c r="E277" s="98" t="s">
        <v>725</v>
      </c>
      <c r="F277" s="98" t="s">
        <v>167</v>
      </c>
      <c r="G277" s="98" t="s">
        <v>147</v>
      </c>
      <c r="H277" s="98" t="s">
        <v>535</v>
      </c>
      <c r="I277" s="99" t="n">
        <v>43748</v>
      </c>
      <c r="J277" s="99" t="n">
        <v>43759</v>
      </c>
      <c r="K277" s="100" t="n">
        <v>-320460.99</v>
      </c>
      <c r="L277" s="100" t="n">
        <f aca="false">K277-Q277+T277</f>
        <v>-276259.99</v>
      </c>
      <c r="M277" s="98" t="s">
        <v>149</v>
      </c>
      <c r="N277" s="100" t="n">
        <v>-320460.99</v>
      </c>
      <c r="O277" s="98" t="s">
        <v>149</v>
      </c>
      <c r="P277" s="100" t="n">
        <v>-325986.79</v>
      </c>
      <c r="Q277" s="100" t="n">
        <v>-49726.8</v>
      </c>
      <c r="R277" s="100" t="n">
        <v>-270734.19</v>
      </c>
      <c r="S277" s="100" t="n">
        <v>-276260</v>
      </c>
      <c r="T277" s="100" t="n">
        <v>-5525.8</v>
      </c>
      <c r="U277" s="98" t="s">
        <v>192</v>
      </c>
      <c r="V277" s="98" t="s">
        <v>151</v>
      </c>
      <c r="X277" s="98" t="s">
        <v>744</v>
      </c>
      <c r="Y277" s="98" t="s">
        <v>1110</v>
      </c>
      <c r="Z277" s="98" t="s">
        <v>1111</v>
      </c>
      <c r="AB277" s="98" t="s">
        <v>1110</v>
      </c>
      <c r="AD277" s="98" t="s">
        <v>155</v>
      </c>
      <c r="AE277" s="98" t="s">
        <v>156</v>
      </c>
      <c r="AF277" s="98" t="s">
        <v>747</v>
      </c>
      <c r="AG277" s="98" t="s">
        <v>748</v>
      </c>
      <c r="AH277" s="98" t="s">
        <v>749</v>
      </c>
      <c r="AI277" s="98" t="s">
        <v>749</v>
      </c>
      <c r="AJ277" s="98" t="s">
        <v>750</v>
      </c>
      <c r="AK277" s="98" t="s">
        <v>159</v>
      </c>
      <c r="AL277" s="98" t="s">
        <v>224</v>
      </c>
      <c r="AM277" s="98" t="s">
        <v>225</v>
      </c>
      <c r="AP277" s="98" t="s">
        <v>573</v>
      </c>
      <c r="AQ277" s="98" t="s">
        <v>571</v>
      </c>
      <c r="AR277" s="98" t="s">
        <v>1103</v>
      </c>
      <c r="AS277" s="98" t="s">
        <v>1112</v>
      </c>
      <c r="AT277" s="100" t="n">
        <v>0</v>
      </c>
      <c r="AU277" s="100" t="n">
        <v>-320460.99</v>
      </c>
      <c r="AX277" s="98" t="s">
        <v>220</v>
      </c>
      <c r="AMH277" s="0"/>
      <c r="AMI277" s="0"/>
      <c r="AMJ277" s="0"/>
    </row>
    <row r="278" s="98" customFormat="true" ht="13.8" hidden="false" customHeight="false" outlineLevel="0" collapsed="false">
      <c r="A278" s="98" t="s">
        <v>142</v>
      </c>
      <c r="B278" s="98" t="s">
        <v>143</v>
      </c>
      <c r="C278" s="98" t="n">
        <v>51429157</v>
      </c>
      <c r="D278" s="98" t="s">
        <v>1113</v>
      </c>
      <c r="E278" s="98" t="s">
        <v>725</v>
      </c>
      <c r="F278" s="98" t="s">
        <v>167</v>
      </c>
      <c r="G278" s="98" t="s">
        <v>147</v>
      </c>
      <c r="H278" s="98" t="s">
        <v>535</v>
      </c>
      <c r="I278" s="99" t="n">
        <v>43748</v>
      </c>
      <c r="J278" s="99" t="n">
        <v>43759</v>
      </c>
      <c r="K278" s="100" t="n">
        <v>-444998.6</v>
      </c>
      <c r="L278" s="100" t="n">
        <f aca="false">K278-Q278+T278</f>
        <v>-383620</v>
      </c>
      <c r="M278" s="98" t="s">
        <v>149</v>
      </c>
      <c r="N278" s="100" t="n">
        <v>-444998.6</v>
      </c>
      <c r="O278" s="98" t="s">
        <v>149</v>
      </c>
      <c r="P278" s="100" t="n">
        <v>-452671.6</v>
      </c>
      <c r="Q278" s="100" t="n">
        <v>-69051.6</v>
      </c>
      <c r="R278" s="100" t="n">
        <v>-375947</v>
      </c>
      <c r="S278" s="100" t="n">
        <v>-383620</v>
      </c>
      <c r="T278" s="100" t="n">
        <v>-7673</v>
      </c>
      <c r="U278" s="98" t="s">
        <v>192</v>
      </c>
      <c r="V278" s="98" t="s">
        <v>151</v>
      </c>
      <c r="X278" s="98" t="s">
        <v>744</v>
      </c>
      <c r="Y278" s="98" t="s">
        <v>1114</v>
      </c>
      <c r="Z278" s="98" t="s">
        <v>1115</v>
      </c>
      <c r="AB278" s="98" t="s">
        <v>1114</v>
      </c>
      <c r="AD278" s="98" t="s">
        <v>155</v>
      </c>
      <c r="AE278" s="98" t="s">
        <v>156</v>
      </c>
      <c r="AF278" s="98" t="s">
        <v>747</v>
      </c>
      <c r="AG278" s="98" t="s">
        <v>748</v>
      </c>
      <c r="AH278" s="98" t="s">
        <v>749</v>
      </c>
      <c r="AI278" s="98" t="s">
        <v>749</v>
      </c>
      <c r="AJ278" s="98" t="s">
        <v>750</v>
      </c>
      <c r="AK278" s="98" t="s">
        <v>159</v>
      </c>
      <c r="AL278" s="98" t="s">
        <v>224</v>
      </c>
      <c r="AM278" s="98" t="s">
        <v>225</v>
      </c>
      <c r="AP278" s="98" t="s">
        <v>573</v>
      </c>
      <c r="AQ278" s="98" t="s">
        <v>571</v>
      </c>
      <c r="AR278" s="98" t="s">
        <v>1103</v>
      </c>
      <c r="AS278" s="98" t="s">
        <v>1116</v>
      </c>
      <c r="AT278" s="100" t="n">
        <v>0</v>
      </c>
      <c r="AU278" s="100" t="n">
        <v>-444998.6</v>
      </c>
      <c r="AX278" s="98" t="s">
        <v>165</v>
      </c>
      <c r="AMH278" s="0"/>
      <c r="AMI278" s="0"/>
      <c r="AMJ278" s="0"/>
    </row>
    <row r="279" s="98" customFormat="true" ht="13.8" hidden="false" customHeight="false" outlineLevel="0" collapsed="false">
      <c r="A279" s="98" t="s">
        <v>142</v>
      </c>
      <c r="B279" s="98" t="s">
        <v>143</v>
      </c>
      <c r="C279" s="98" t="n">
        <v>51429159</v>
      </c>
      <c r="D279" s="98" t="s">
        <v>1117</v>
      </c>
      <c r="E279" s="98" t="s">
        <v>725</v>
      </c>
      <c r="F279" s="98" t="s">
        <v>167</v>
      </c>
      <c r="G279" s="98" t="s">
        <v>147</v>
      </c>
      <c r="H279" s="98" t="s">
        <v>535</v>
      </c>
      <c r="I279" s="99" t="n">
        <v>43748</v>
      </c>
      <c r="J279" s="99" t="n">
        <v>43759</v>
      </c>
      <c r="K279" s="100" t="n">
        <v>-491260</v>
      </c>
      <c r="L279" s="100" t="n">
        <f aca="false">K279-Q279+T279</f>
        <v>-423500</v>
      </c>
      <c r="M279" s="98" t="s">
        <v>149</v>
      </c>
      <c r="N279" s="100" t="n">
        <v>-491260</v>
      </c>
      <c r="O279" s="98" t="s">
        <v>149</v>
      </c>
      <c r="P279" s="100" t="n">
        <v>-499730</v>
      </c>
      <c r="Q279" s="100" t="n">
        <v>-76230</v>
      </c>
      <c r="R279" s="100" t="n">
        <v>-415030</v>
      </c>
      <c r="S279" s="100" t="n">
        <v>-423500</v>
      </c>
      <c r="T279" s="100" t="n">
        <v>-8470</v>
      </c>
      <c r="U279" s="98" t="s">
        <v>192</v>
      </c>
      <c r="V279" s="98" t="s">
        <v>151</v>
      </c>
      <c r="X279" s="98" t="s">
        <v>744</v>
      </c>
      <c r="Y279" s="98" t="s">
        <v>1118</v>
      </c>
      <c r="Z279" s="98" t="s">
        <v>1119</v>
      </c>
      <c r="AB279" s="98" t="s">
        <v>1118</v>
      </c>
      <c r="AD279" s="98" t="s">
        <v>155</v>
      </c>
      <c r="AE279" s="98" t="s">
        <v>156</v>
      </c>
      <c r="AF279" s="98" t="s">
        <v>747</v>
      </c>
      <c r="AG279" s="98" t="s">
        <v>748</v>
      </c>
      <c r="AH279" s="98" t="s">
        <v>749</v>
      </c>
      <c r="AI279" s="98" t="s">
        <v>749</v>
      </c>
      <c r="AJ279" s="98" t="s">
        <v>750</v>
      </c>
      <c r="AK279" s="98" t="s">
        <v>159</v>
      </c>
      <c r="AL279" s="98" t="s">
        <v>224</v>
      </c>
      <c r="AM279" s="98" t="s">
        <v>225</v>
      </c>
      <c r="AP279" s="98" t="s">
        <v>573</v>
      </c>
      <c r="AQ279" s="98" t="s">
        <v>571</v>
      </c>
      <c r="AR279" s="98" t="s">
        <v>1103</v>
      </c>
      <c r="AS279" s="98" t="s">
        <v>1120</v>
      </c>
      <c r="AT279" s="100" t="n">
        <v>0</v>
      </c>
      <c r="AU279" s="100" t="n">
        <v>-491260</v>
      </c>
      <c r="AX279" s="98" t="s">
        <v>165</v>
      </c>
      <c r="AMH279" s="0"/>
      <c r="AMI279" s="0"/>
      <c r="AMJ279" s="0"/>
    </row>
    <row r="280" s="98" customFormat="true" ht="13.8" hidden="false" customHeight="false" outlineLevel="0" collapsed="false">
      <c r="A280" s="98" t="s">
        <v>142</v>
      </c>
      <c r="B280" s="98" t="s">
        <v>143</v>
      </c>
      <c r="C280" s="98" t="n">
        <v>51429162</v>
      </c>
      <c r="D280" s="98" t="s">
        <v>1121</v>
      </c>
      <c r="E280" s="98" t="s">
        <v>725</v>
      </c>
      <c r="F280" s="98" t="s">
        <v>167</v>
      </c>
      <c r="G280" s="98" t="s">
        <v>147</v>
      </c>
      <c r="H280" s="98" t="s">
        <v>535</v>
      </c>
      <c r="I280" s="99" t="n">
        <v>43748</v>
      </c>
      <c r="J280" s="99" t="n">
        <v>43759</v>
      </c>
      <c r="K280" s="100" t="n">
        <v>-543947.2</v>
      </c>
      <c r="L280" s="100" t="n">
        <f aca="false">K280-Q280+T280</f>
        <v>-468920</v>
      </c>
      <c r="M280" s="98" t="s">
        <v>149</v>
      </c>
      <c r="N280" s="100" t="n">
        <v>-543947.2</v>
      </c>
      <c r="O280" s="98" t="s">
        <v>149</v>
      </c>
      <c r="P280" s="100" t="n">
        <v>-553325.6</v>
      </c>
      <c r="Q280" s="100" t="n">
        <v>-84405.6</v>
      </c>
      <c r="R280" s="100" t="n">
        <v>-459541.6</v>
      </c>
      <c r="S280" s="100" t="n">
        <v>-468920</v>
      </c>
      <c r="T280" s="100" t="n">
        <v>-9378.4</v>
      </c>
      <c r="U280" s="98" t="s">
        <v>192</v>
      </c>
      <c r="V280" s="98" t="s">
        <v>151</v>
      </c>
      <c r="X280" s="98" t="s">
        <v>744</v>
      </c>
      <c r="Y280" s="98" t="s">
        <v>1122</v>
      </c>
      <c r="Z280" s="98" t="s">
        <v>1123</v>
      </c>
      <c r="AB280" s="98" t="s">
        <v>1122</v>
      </c>
      <c r="AD280" s="98" t="s">
        <v>155</v>
      </c>
      <c r="AE280" s="98" t="s">
        <v>156</v>
      </c>
      <c r="AF280" s="98" t="s">
        <v>747</v>
      </c>
      <c r="AG280" s="98" t="s">
        <v>748</v>
      </c>
      <c r="AH280" s="98" t="s">
        <v>749</v>
      </c>
      <c r="AI280" s="98" t="s">
        <v>749</v>
      </c>
      <c r="AJ280" s="98" t="s">
        <v>750</v>
      </c>
      <c r="AK280" s="98" t="s">
        <v>159</v>
      </c>
      <c r="AL280" s="98" t="s">
        <v>224</v>
      </c>
      <c r="AM280" s="98" t="s">
        <v>225</v>
      </c>
      <c r="AP280" s="98" t="s">
        <v>573</v>
      </c>
      <c r="AQ280" s="98" t="s">
        <v>571</v>
      </c>
      <c r="AR280" s="98" t="s">
        <v>1103</v>
      </c>
      <c r="AS280" s="98" t="s">
        <v>1124</v>
      </c>
      <c r="AT280" s="100" t="n">
        <v>0</v>
      </c>
      <c r="AU280" s="100" t="n">
        <v>-543947.2</v>
      </c>
      <c r="AX280" s="98" t="s">
        <v>220</v>
      </c>
      <c r="AMH280" s="0"/>
      <c r="AMI280" s="0"/>
      <c r="AMJ280" s="0"/>
    </row>
    <row r="281" s="98" customFormat="true" ht="13.8" hidden="false" customHeight="false" outlineLevel="0" collapsed="false">
      <c r="A281" s="98" t="s">
        <v>142</v>
      </c>
      <c r="B281" s="98" t="s">
        <v>143</v>
      </c>
      <c r="C281" s="98" t="n">
        <v>51429162</v>
      </c>
      <c r="D281" s="98" t="s">
        <v>1121</v>
      </c>
      <c r="E281" s="98" t="s">
        <v>725</v>
      </c>
      <c r="F281" s="98" t="s">
        <v>167</v>
      </c>
      <c r="G281" s="98" t="s">
        <v>147</v>
      </c>
      <c r="H281" s="98" t="s">
        <v>535</v>
      </c>
      <c r="I281" s="99" t="n">
        <v>43748</v>
      </c>
      <c r="J281" s="99" t="n">
        <v>43759</v>
      </c>
      <c r="K281" s="100" t="n">
        <v>-10938.8</v>
      </c>
      <c r="L281" s="100" t="n">
        <f aca="false">K281-Q281+T281</f>
        <v>-9430</v>
      </c>
      <c r="M281" s="98" t="s">
        <v>149</v>
      </c>
      <c r="N281" s="100" t="n">
        <v>-10938.8</v>
      </c>
      <c r="O281" s="98" t="s">
        <v>149</v>
      </c>
      <c r="P281" s="100" t="n">
        <v>-11127.4</v>
      </c>
      <c r="Q281" s="100" t="n">
        <v>-1697.4</v>
      </c>
      <c r="R281" s="100" t="n">
        <v>-9241.4</v>
      </c>
      <c r="S281" s="100" t="n">
        <v>-9430</v>
      </c>
      <c r="T281" s="100" t="n">
        <v>-188.6</v>
      </c>
      <c r="U281" s="98" t="s">
        <v>192</v>
      </c>
      <c r="V281" s="98" t="s">
        <v>151</v>
      </c>
      <c r="X281" s="98" t="s">
        <v>744</v>
      </c>
      <c r="Y281" s="98" t="s">
        <v>1122</v>
      </c>
      <c r="Z281" s="98" t="s">
        <v>1123</v>
      </c>
      <c r="AB281" s="98" t="s">
        <v>1122</v>
      </c>
      <c r="AD281" s="98" t="s">
        <v>155</v>
      </c>
      <c r="AE281" s="98" t="s">
        <v>156</v>
      </c>
      <c r="AF281" s="98" t="s">
        <v>747</v>
      </c>
      <c r="AG281" s="98" t="s">
        <v>748</v>
      </c>
      <c r="AH281" s="98" t="s">
        <v>749</v>
      </c>
      <c r="AI281" s="98" t="s">
        <v>749</v>
      </c>
      <c r="AJ281" s="98" t="s">
        <v>750</v>
      </c>
      <c r="AK281" s="98" t="s">
        <v>159</v>
      </c>
      <c r="AL281" s="98" t="s">
        <v>224</v>
      </c>
      <c r="AM281" s="98" t="s">
        <v>225</v>
      </c>
      <c r="AP281" s="98" t="s">
        <v>573</v>
      </c>
      <c r="AQ281" s="98" t="s">
        <v>571</v>
      </c>
      <c r="AR281" s="98" t="s">
        <v>1103</v>
      </c>
      <c r="AS281" s="98" t="s">
        <v>1124</v>
      </c>
      <c r="AT281" s="100" t="n">
        <v>0</v>
      </c>
      <c r="AU281" s="100" t="n">
        <v>-10938.8</v>
      </c>
      <c r="AX281" s="98" t="s">
        <v>165</v>
      </c>
      <c r="AMH281" s="0"/>
      <c r="AMI281" s="0"/>
      <c r="AMJ281" s="0"/>
    </row>
    <row r="282" s="98" customFormat="true" ht="13.8" hidden="false" customHeight="false" outlineLevel="0" collapsed="false">
      <c r="A282" s="98" t="s">
        <v>142</v>
      </c>
      <c r="B282" s="98" t="s">
        <v>143</v>
      </c>
      <c r="C282" s="98" t="n">
        <v>51138984</v>
      </c>
      <c r="D282" s="98" t="s">
        <v>1125</v>
      </c>
      <c r="E282" s="98" t="s">
        <v>725</v>
      </c>
      <c r="F282" s="98" t="s">
        <v>278</v>
      </c>
      <c r="G282" s="98" t="s">
        <v>147</v>
      </c>
      <c r="H282" s="98" t="s">
        <v>148</v>
      </c>
      <c r="I282" s="99" t="n">
        <v>43609</v>
      </c>
      <c r="J282" s="99" t="n">
        <v>43621</v>
      </c>
      <c r="K282" s="100" t="n">
        <v>-254204.56</v>
      </c>
      <c r="L282" s="100" t="n">
        <f aca="false">K282-Q282+T282</f>
        <v>-215427.6</v>
      </c>
      <c r="M282" s="98" t="s">
        <v>149</v>
      </c>
      <c r="N282" s="100" t="n">
        <v>-254204.56</v>
      </c>
      <c r="O282" s="98" t="s">
        <v>149</v>
      </c>
      <c r="P282" s="100" t="n">
        <v>-254204.56</v>
      </c>
      <c r="Q282" s="100" t="n">
        <v>-38776.96</v>
      </c>
      <c r="R282" s="100" t="n">
        <v>-215427.6</v>
      </c>
      <c r="S282" s="100" t="n">
        <v>0</v>
      </c>
      <c r="T282" s="100" t="n">
        <v>0</v>
      </c>
      <c r="U282" s="98" t="s">
        <v>192</v>
      </c>
      <c r="V282" s="98" t="s">
        <v>151</v>
      </c>
      <c r="X282" s="98" t="s">
        <v>1126</v>
      </c>
      <c r="Y282" s="98" t="s">
        <v>1127</v>
      </c>
      <c r="Z282" s="98" t="s">
        <v>1128</v>
      </c>
      <c r="AB282" s="98" t="s">
        <v>1127</v>
      </c>
      <c r="AD282" s="98" t="s">
        <v>155</v>
      </c>
      <c r="AE282" s="98" t="s">
        <v>156</v>
      </c>
      <c r="AF282" s="98" t="s">
        <v>737</v>
      </c>
      <c r="AG282" s="98" t="s">
        <v>738</v>
      </c>
      <c r="AH282" s="98" t="s">
        <v>739</v>
      </c>
      <c r="AI282" s="98" t="s">
        <v>739</v>
      </c>
      <c r="AJ282" s="98" t="s">
        <v>740</v>
      </c>
      <c r="AK282" s="98" t="s">
        <v>159</v>
      </c>
      <c r="AL282" s="98" t="s">
        <v>224</v>
      </c>
      <c r="AM282" s="98" t="s">
        <v>225</v>
      </c>
      <c r="AP282" s="98" t="s">
        <v>424</v>
      </c>
      <c r="AQ282" s="98" t="s">
        <v>422</v>
      </c>
      <c r="AR282" s="98" t="s">
        <v>366</v>
      </c>
      <c r="AS282" s="98" t="s">
        <v>1129</v>
      </c>
      <c r="AT282" s="100" t="n">
        <v>0</v>
      </c>
      <c r="AU282" s="100" t="n">
        <v>-254204.56</v>
      </c>
      <c r="AX282" s="98" t="s">
        <v>165</v>
      </c>
      <c r="AMH282" s="0"/>
      <c r="AMI282" s="0"/>
      <c r="AMJ282" s="0"/>
    </row>
    <row r="283" s="98" customFormat="true" ht="13.8" hidden="false" customHeight="false" outlineLevel="0" collapsed="false">
      <c r="A283" s="98" t="s">
        <v>142</v>
      </c>
      <c r="B283" s="98" t="s">
        <v>143</v>
      </c>
      <c r="C283" s="98" t="n">
        <v>51139410</v>
      </c>
      <c r="D283" s="98" t="s">
        <v>1130</v>
      </c>
      <c r="E283" s="98" t="s">
        <v>725</v>
      </c>
      <c r="F283" s="98" t="s">
        <v>278</v>
      </c>
      <c r="G283" s="98" t="s">
        <v>147</v>
      </c>
      <c r="H283" s="98" t="s">
        <v>148</v>
      </c>
      <c r="I283" s="99" t="n">
        <v>43609</v>
      </c>
      <c r="J283" s="99" t="n">
        <v>43621</v>
      </c>
      <c r="K283" s="100" t="n">
        <v>-125936.2</v>
      </c>
      <c r="L283" s="100" t="n">
        <f aca="false">K283-Q283+T283</f>
        <v>-106725.6</v>
      </c>
      <c r="M283" s="98" t="s">
        <v>149</v>
      </c>
      <c r="N283" s="100" t="n">
        <v>-125936.2</v>
      </c>
      <c r="O283" s="98" t="s">
        <v>149</v>
      </c>
      <c r="P283" s="100" t="n">
        <v>-125936.2</v>
      </c>
      <c r="Q283" s="100" t="n">
        <v>-19210.6</v>
      </c>
      <c r="R283" s="100" t="n">
        <v>-106725.6</v>
      </c>
      <c r="S283" s="100" t="n">
        <v>0</v>
      </c>
      <c r="T283" s="100" t="n">
        <v>0</v>
      </c>
      <c r="U283" s="98" t="s">
        <v>192</v>
      </c>
      <c r="V283" s="98" t="s">
        <v>151</v>
      </c>
      <c r="X283" s="98" t="s">
        <v>1126</v>
      </c>
      <c r="Y283" s="98" t="s">
        <v>1131</v>
      </c>
      <c r="Z283" s="98" t="s">
        <v>1132</v>
      </c>
      <c r="AB283" s="98" t="s">
        <v>1131</v>
      </c>
      <c r="AD283" s="98" t="s">
        <v>155</v>
      </c>
      <c r="AE283" s="98" t="s">
        <v>156</v>
      </c>
      <c r="AF283" s="98" t="s">
        <v>737</v>
      </c>
      <c r="AG283" s="98" t="s">
        <v>738</v>
      </c>
      <c r="AH283" s="98" t="s">
        <v>739</v>
      </c>
      <c r="AI283" s="98" t="s">
        <v>739</v>
      </c>
      <c r="AJ283" s="98" t="s">
        <v>740</v>
      </c>
      <c r="AK283" s="98" t="s">
        <v>159</v>
      </c>
      <c r="AL283" s="98" t="s">
        <v>224</v>
      </c>
      <c r="AM283" s="98" t="s">
        <v>225</v>
      </c>
      <c r="AP283" s="98" t="s">
        <v>424</v>
      </c>
      <c r="AQ283" s="98" t="s">
        <v>422</v>
      </c>
      <c r="AR283" s="98" t="s">
        <v>366</v>
      </c>
      <c r="AS283" s="98" t="s">
        <v>1133</v>
      </c>
      <c r="AT283" s="100" t="n">
        <v>0</v>
      </c>
      <c r="AU283" s="100" t="n">
        <v>-125936.2</v>
      </c>
      <c r="AX283" s="98" t="s">
        <v>165</v>
      </c>
      <c r="AMH283" s="0"/>
      <c r="AMI283" s="0"/>
      <c r="AMJ283" s="0"/>
    </row>
    <row r="284" s="98" customFormat="true" ht="13.8" hidden="false" customHeight="false" outlineLevel="0" collapsed="false">
      <c r="A284" s="98" t="s">
        <v>142</v>
      </c>
      <c r="B284" s="98" t="s">
        <v>143</v>
      </c>
      <c r="C284" s="98" t="n">
        <v>51135741</v>
      </c>
      <c r="D284" s="98" t="s">
        <v>1134</v>
      </c>
      <c r="E284" s="98" t="s">
        <v>725</v>
      </c>
      <c r="F284" s="98" t="s">
        <v>234</v>
      </c>
      <c r="G284" s="98" t="s">
        <v>147</v>
      </c>
      <c r="H284" s="98" t="s">
        <v>148</v>
      </c>
      <c r="I284" s="99" t="n">
        <v>43537</v>
      </c>
      <c r="J284" s="99" t="n">
        <v>43619</v>
      </c>
      <c r="K284" s="100" t="n">
        <v>-1842039</v>
      </c>
      <c r="L284" s="100" t="n">
        <f aca="false">K284-Q284+T284</f>
        <v>-1561050</v>
      </c>
      <c r="M284" s="98" t="s">
        <v>149</v>
      </c>
      <c r="N284" s="100" t="n">
        <v>-1842039</v>
      </c>
      <c r="O284" s="98" t="s">
        <v>149</v>
      </c>
      <c r="P284" s="100" t="n">
        <v>-1842039</v>
      </c>
      <c r="Q284" s="100" t="n">
        <v>-280989</v>
      </c>
      <c r="R284" s="100" t="n">
        <v>-1561050</v>
      </c>
      <c r="S284" s="100" t="n">
        <v>0</v>
      </c>
      <c r="T284" s="100" t="n">
        <v>0</v>
      </c>
      <c r="U284" s="98" t="s">
        <v>192</v>
      </c>
      <c r="V284" s="98" t="s">
        <v>151</v>
      </c>
      <c r="X284" s="98" t="s">
        <v>1135</v>
      </c>
      <c r="Y284" s="98" t="s">
        <v>1135</v>
      </c>
      <c r="Z284" s="98" t="s">
        <v>1136</v>
      </c>
      <c r="AB284" s="98" t="s">
        <v>1135</v>
      </c>
      <c r="AD284" s="98" t="s">
        <v>155</v>
      </c>
      <c r="AE284" s="98" t="s">
        <v>156</v>
      </c>
      <c r="AF284" s="98" t="s">
        <v>737</v>
      </c>
      <c r="AG284" s="98" t="s">
        <v>738</v>
      </c>
      <c r="AH284" s="98" t="s">
        <v>739</v>
      </c>
      <c r="AI284" s="98" t="s">
        <v>739</v>
      </c>
      <c r="AJ284" s="98" t="s">
        <v>740</v>
      </c>
      <c r="AK284" s="98" t="s">
        <v>159</v>
      </c>
      <c r="AL284" s="98" t="s">
        <v>224</v>
      </c>
      <c r="AM284" s="98" t="s">
        <v>225</v>
      </c>
      <c r="AP284" s="98" t="s">
        <v>410</v>
      </c>
      <c r="AQ284" s="98" t="s">
        <v>408</v>
      </c>
      <c r="AR284" s="98" t="s">
        <v>1137</v>
      </c>
      <c r="AS284" s="98" t="s">
        <v>1138</v>
      </c>
      <c r="AT284" s="100" t="n">
        <v>0</v>
      </c>
      <c r="AU284" s="100" t="n">
        <v>-1842039</v>
      </c>
      <c r="AX284" s="98" t="s">
        <v>165</v>
      </c>
      <c r="AMH284" s="0"/>
      <c r="AMI284" s="0"/>
      <c r="AMJ284" s="0"/>
    </row>
    <row r="285" s="98" customFormat="true" ht="13.8" hidden="false" customHeight="false" outlineLevel="0" collapsed="false">
      <c r="A285" s="98" t="s">
        <v>142</v>
      </c>
      <c r="B285" s="98" t="s">
        <v>143</v>
      </c>
      <c r="C285" s="98" t="n">
        <v>51536896</v>
      </c>
      <c r="D285" s="98" t="s">
        <v>1139</v>
      </c>
      <c r="E285" s="98" t="s">
        <v>725</v>
      </c>
      <c r="F285" s="98" t="s">
        <v>266</v>
      </c>
      <c r="G285" s="98" t="s">
        <v>147</v>
      </c>
      <c r="H285" s="98" t="s">
        <v>586</v>
      </c>
      <c r="I285" s="99" t="n">
        <v>43797</v>
      </c>
      <c r="J285" s="99" t="n">
        <v>43810</v>
      </c>
      <c r="K285" s="100" t="n">
        <v>-384680</v>
      </c>
      <c r="L285" s="100" t="n">
        <f aca="false">K285-Q285+T285</f>
        <v>-326000</v>
      </c>
      <c r="M285" s="98" t="s">
        <v>149</v>
      </c>
      <c r="N285" s="100" t="n">
        <v>-384680</v>
      </c>
      <c r="O285" s="98" t="s">
        <v>149</v>
      </c>
      <c r="P285" s="100" t="n">
        <v>-384680</v>
      </c>
      <c r="Q285" s="100" t="n">
        <v>-58680</v>
      </c>
      <c r="R285" s="100" t="n">
        <v>-326000</v>
      </c>
      <c r="S285" s="100" t="n">
        <v>0</v>
      </c>
      <c r="T285" s="100" t="n">
        <v>0</v>
      </c>
      <c r="U285" s="98" t="s">
        <v>192</v>
      </c>
      <c r="V285" s="98" t="s">
        <v>151</v>
      </c>
      <c r="X285" s="98" t="s">
        <v>1140</v>
      </c>
      <c r="Y285" s="98" t="s">
        <v>1141</v>
      </c>
      <c r="Z285" s="98" t="s">
        <v>1142</v>
      </c>
      <c r="AB285" s="98" t="s">
        <v>1141</v>
      </c>
      <c r="AD285" s="98" t="s">
        <v>155</v>
      </c>
      <c r="AE285" s="98" t="s">
        <v>156</v>
      </c>
      <c r="AF285" s="98" t="s">
        <v>737</v>
      </c>
      <c r="AG285" s="98" t="s">
        <v>738</v>
      </c>
      <c r="AH285" s="98" t="s">
        <v>739</v>
      </c>
      <c r="AI285" s="98" t="s">
        <v>739</v>
      </c>
      <c r="AJ285" s="98" t="s">
        <v>740</v>
      </c>
      <c r="AK285" s="98" t="s">
        <v>159</v>
      </c>
      <c r="AL285" s="98" t="s">
        <v>224</v>
      </c>
      <c r="AM285" s="98" t="s">
        <v>225</v>
      </c>
      <c r="AP285" s="98" t="s">
        <v>632</v>
      </c>
      <c r="AQ285" s="98" t="s">
        <v>630</v>
      </c>
      <c r="AR285" s="98" t="s">
        <v>1143</v>
      </c>
      <c r="AS285" s="98" t="s">
        <v>1144</v>
      </c>
      <c r="AT285" s="100" t="n">
        <v>0</v>
      </c>
      <c r="AU285" s="100" t="n">
        <v>-384680</v>
      </c>
      <c r="AX285" s="98" t="s">
        <v>165</v>
      </c>
      <c r="AMH285" s="0"/>
      <c r="AMI285" s="0"/>
      <c r="AMJ285" s="0"/>
    </row>
    <row r="286" s="98" customFormat="true" ht="13.8" hidden="false" customHeight="false" outlineLevel="0" collapsed="false">
      <c r="A286" s="98" t="s">
        <v>142</v>
      </c>
      <c r="B286" s="98" t="s">
        <v>143</v>
      </c>
      <c r="C286" s="98" t="n">
        <v>51701922</v>
      </c>
      <c r="D286" s="98" t="s">
        <v>1145</v>
      </c>
      <c r="E286" s="98" t="s">
        <v>725</v>
      </c>
      <c r="F286" s="98" t="s">
        <v>146</v>
      </c>
      <c r="G286" s="98" t="s">
        <v>147</v>
      </c>
      <c r="H286" s="98" t="s">
        <v>200</v>
      </c>
      <c r="I286" s="99" t="n">
        <v>43874</v>
      </c>
      <c r="J286" s="99" t="n">
        <v>43887</v>
      </c>
      <c r="K286" s="100" t="n">
        <v>-434196.44</v>
      </c>
      <c r="L286" s="100" t="n">
        <f aca="false">K286-Q286+T286</f>
        <v>-374308</v>
      </c>
      <c r="M286" s="98" t="s">
        <v>149</v>
      </c>
      <c r="N286" s="100" t="n">
        <v>-434196.44</v>
      </c>
      <c r="O286" s="98" t="s">
        <v>149</v>
      </c>
      <c r="P286" s="100" t="n">
        <v>-441683.44</v>
      </c>
      <c r="Q286" s="100" t="n">
        <v>-67375.44</v>
      </c>
      <c r="R286" s="100" t="n">
        <v>-366821</v>
      </c>
      <c r="S286" s="100" t="n">
        <v>-374308</v>
      </c>
      <c r="T286" s="100" t="n">
        <v>-7487</v>
      </c>
      <c r="U286" s="98" t="s">
        <v>150</v>
      </c>
      <c r="V286" s="98" t="s">
        <v>151</v>
      </c>
      <c r="X286" s="98" t="s">
        <v>1146</v>
      </c>
      <c r="Y286" s="98" t="s">
        <v>1147</v>
      </c>
      <c r="Z286" s="98" t="s">
        <v>1148</v>
      </c>
      <c r="AB286" s="98" t="s">
        <v>1147</v>
      </c>
      <c r="AD286" s="98" t="s">
        <v>155</v>
      </c>
      <c r="AE286" s="98" t="s">
        <v>156</v>
      </c>
      <c r="AF286" s="98" t="s">
        <v>747</v>
      </c>
      <c r="AG286" s="98" t="s">
        <v>748</v>
      </c>
      <c r="AH286" s="98" t="s">
        <v>908</v>
      </c>
      <c r="AI286" s="98" t="s">
        <v>908</v>
      </c>
      <c r="AJ286" s="98" t="s">
        <v>909</v>
      </c>
      <c r="AK286" s="98" t="s">
        <v>159</v>
      </c>
      <c r="AL286" s="98" t="s">
        <v>224</v>
      </c>
      <c r="AM286" s="98" t="s">
        <v>225</v>
      </c>
      <c r="AR286" s="98" t="s">
        <v>695</v>
      </c>
      <c r="AS286" s="98" t="s">
        <v>1149</v>
      </c>
      <c r="AT286" s="100" t="n">
        <v>0</v>
      </c>
      <c r="AU286" s="100" t="n">
        <v>-434196.44</v>
      </c>
      <c r="AX286" s="98" t="s">
        <v>165</v>
      </c>
      <c r="AMH286" s="0"/>
      <c r="AMI286" s="0"/>
      <c r="AMJ286" s="0"/>
    </row>
    <row r="287" s="98" customFormat="true" ht="13.8" hidden="false" customHeight="false" outlineLevel="0" collapsed="false">
      <c r="A287" s="98" t="s">
        <v>142</v>
      </c>
      <c r="B287" s="98" t="s">
        <v>143</v>
      </c>
      <c r="C287" s="98" t="n">
        <v>51173178</v>
      </c>
      <c r="D287" s="98" t="s">
        <v>1150</v>
      </c>
      <c r="E287" s="98" t="s">
        <v>725</v>
      </c>
      <c r="F287" s="98" t="s">
        <v>371</v>
      </c>
      <c r="G287" s="98" t="s">
        <v>147</v>
      </c>
      <c r="H287" s="98" t="s">
        <v>148</v>
      </c>
      <c r="I287" s="99" t="n">
        <v>43622</v>
      </c>
      <c r="J287" s="99" t="n">
        <v>43636</v>
      </c>
      <c r="K287" s="100" t="n">
        <v>-941711</v>
      </c>
      <c r="L287" s="100" t="n">
        <f aca="false">K287-Q287+T287</f>
        <v>-798060.14</v>
      </c>
      <c r="M287" s="98" t="s">
        <v>149</v>
      </c>
      <c r="N287" s="100" t="n">
        <v>-941711</v>
      </c>
      <c r="O287" s="98" t="s">
        <v>149</v>
      </c>
      <c r="P287" s="100" t="n">
        <v>-941711</v>
      </c>
      <c r="Q287" s="100" t="n">
        <v>-143650.86</v>
      </c>
      <c r="R287" s="100" t="n">
        <v>-798060.14</v>
      </c>
      <c r="S287" s="100" t="n">
        <v>0</v>
      </c>
      <c r="T287" s="100" t="n">
        <v>0</v>
      </c>
      <c r="U287" s="98" t="s">
        <v>192</v>
      </c>
      <c r="V287" s="98" t="s">
        <v>151</v>
      </c>
      <c r="X287" s="98" t="s">
        <v>1151</v>
      </c>
      <c r="Y287" s="98" t="s">
        <v>1152</v>
      </c>
      <c r="Z287" s="98" t="s">
        <v>1153</v>
      </c>
      <c r="AB287" s="98" t="s">
        <v>1152</v>
      </c>
      <c r="AD287" s="98" t="s">
        <v>155</v>
      </c>
      <c r="AE287" s="98" t="s">
        <v>156</v>
      </c>
      <c r="AF287" s="98" t="s">
        <v>737</v>
      </c>
      <c r="AG287" s="98" t="s">
        <v>738</v>
      </c>
      <c r="AH287" s="98" t="s">
        <v>971</v>
      </c>
      <c r="AI287" s="98" t="s">
        <v>971</v>
      </c>
      <c r="AJ287" s="98" t="s">
        <v>972</v>
      </c>
      <c r="AK287" s="98" t="s">
        <v>159</v>
      </c>
      <c r="AL287" s="98" t="s">
        <v>224</v>
      </c>
      <c r="AM287" s="98" t="s">
        <v>225</v>
      </c>
      <c r="AP287" s="98" t="s">
        <v>434</v>
      </c>
      <c r="AQ287" s="98" t="s">
        <v>432</v>
      </c>
      <c r="AR287" s="98" t="s">
        <v>1154</v>
      </c>
      <c r="AS287" s="98" t="s">
        <v>1155</v>
      </c>
      <c r="AT287" s="100" t="n">
        <v>0</v>
      </c>
      <c r="AU287" s="100" t="n">
        <v>-941711</v>
      </c>
      <c r="AX287" s="98" t="s">
        <v>165</v>
      </c>
      <c r="AMH287" s="0"/>
      <c r="AMI287" s="0"/>
      <c r="AMJ287" s="0"/>
    </row>
    <row r="288" s="98" customFormat="true" ht="13.8" hidden="false" customHeight="false" outlineLevel="0" collapsed="false">
      <c r="A288" s="98" t="s">
        <v>142</v>
      </c>
      <c r="B288" s="98" t="s">
        <v>143</v>
      </c>
      <c r="C288" s="98" t="n">
        <v>51481693</v>
      </c>
      <c r="D288" s="98" t="s">
        <v>1156</v>
      </c>
      <c r="E288" s="98" t="s">
        <v>725</v>
      </c>
      <c r="F288" s="98" t="s">
        <v>212</v>
      </c>
      <c r="G288" s="98" t="s">
        <v>147</v>
      </c>
      <c r="H288" s="98" t="s">
        <v>556</v>
      </c>
      <c r="I288" s="99" t="n">
        <v>43769</v>
      </c>
      <c r="J288" s="99" t="n">
        <v>43783</v>
      </c>
      <c r="K288" s="100" t="n">
        <v>-1727200</v>
      </c>
      <c r="L288" s="100" t="n">
        <f aca="false">K288-Q288+T288</f>
        <v>-1463728.81</v>
      </c>
      <c r="M288" s="98" t="s">
        <v>149</v>
      </c>
      <c r="N288" s="100" t="n">
        <v>-1727200</v>
      </c>
      <c r="O288" s="98" t="s">
        <v>149</v>
      </c>
      <c r="P288" s="100" t="n">
        <v>-1727200</v>
      </c>
      <c r="Q288" s="100" t="n">
        <v>-263471.19</v>
      </c>
      <c r="R288" s="100" t="n">
        <v>-1463728.81</v>
      </c>
      <c r="S288" s="100" t="n">
        <v>0</v>
      </c>
      <c r="T288" s="100" t="n">
        <v>0</v>
      </c>
      <c r="U288" s="98" t="s">
        <v>150</v>
      </c>
      <c r="V288" s="98" t="s">
        <v>151</v>
      </c>
      <c r="X288" s="98" t="s">
        <v>1157</v>
      </c>
      <c r="Y288" s="98" t="s">
        <v>1158</v>
      </c>
      <c r="Z288" s="98" t="s">
        <v>1159</v>
      </c>
      <c r="AB288" s="98" t="s">
        <v>1158</v>
      </c>
      <c r="AD288" s="98" t="s">
        <v>155</v>
      </c>
      <c r="AE288" s="98" t="s">
        <v>156</v>
      </c>
      <c r="AF288" s="98" t="s">
        <v>737</v>
      </c>
      <c r="AG288" s="98" t="s">
        <v>738</v>
      </c>
      <c r="AH288" s="98" t="s">
        <v>793</v>
      </c>
      <c r="AI288" s="98" t="s">
        <v>793</v>
      </c>
      <c r="AJ288" s="98" t="s">
        <v>794</v>
      </c>
      <c r="AK288" s="98" t="s">
        <v>159</v>
      </c>
      <c r="AL288" s="98" t="s">
        <v>224</v>
      </c>
      <c r="AM288" s="98" t="s">
        <v>225</v>
      </c>
      <c r="AP288" s="98" t="s">
        <v>611</v>
      </c>
      <c r="AQ288" s="98" t="s">
        <v>606</v>
      </c>
      <c r="AR288" s="98" t="s">
        <v>1160</v>
      </c>
      <c r="AS288" s="98" t="s">
        <v>1161</v>
      </c>
      <c r="AT288" s="100" t="n">
        <v>0</v>
      </c>
      <c r="AU288" s="100" t="n">
        <v>-1727200</v>
      </c>
      <c r="AX288" s="98" t="s">
        <v>220</v>
      </c>
      <c r="AMH288" s="0"/>
      <c r="AMI288" s="0"/>
      <c r="AMJ288" s="0"/>
    </row>
    <row r="289" s="98" customFormat="true" ht="13.8" hidden="false" customHeight="false" outlineLevel="0" collapsed="false">
      <c r="A289" s="98" t="s">
        <v>142</v>
      </c>
      <c r="B289" s="98" t="s">
        <v>143</v>
      </c>
      <c r="C289" s="98" t="n">
        <v>51481693</v>
      </c>
      <c r="D289" s="98" t="s">
        <v>1156</v>
      </c>
      <c r="E289" s="98" t="s">
        <v>725</v>
      </c>
      <c r="F289" s="98" t="s">
        <v>142</v>
      </c>
      <c r="G289" s="98" t="s">
        <v>147</v>
      </c>
      <c r="H289" s="98" t="s">
        <v>556</v>
      </c>
      <c r="I289" s="99" t="n">
        <v>43769</v>
      </c>
      <c r="J289" s="99" t="n">
        <v>43783</v>
      </c>
      <c r="K289" s="100" t="n">
        <v>-680000</v>
      </c>
      <c r="L289" s="100" t="n">
        <f aca="false">K289-Q289+T289</f>
        <v>-576271.19</v>
      </c>
      <c r="M289" s="98" t="s">
        <v>149</v>
      </c>
      <c r="N289" s="100" t="n">
        <v>-680000</v>
      </c>
      <c r="O289" s="98" t="s">
        <v>149</v>
      </c>
      <c r="P289" s="100" t="n">
        <v>-680000</v>
      </c>
      <c r="Q289" s="100" t="n">
        <v>-103728.81</v>
      </c>
      <c r="R289" s="100" t="n">
        <v>-576271.19</v>
      </c>
      <c r="S289" s="100" t="n">
        <v>0</v>
      </c>
      <c r="T289" s="100" t="n">
        <v>0</v>
      </c>
      <c r="U289" s="98" t="s">
        <v>150</v>
      </c>
      <c r="V289" s="98" t="s">
        <v>151</v>
      </c>
      <c r="X289" s="98" t="s">
        <v>1157</v>
      </c>
      <c r="Y289" s="98" t="s">
        <v>1158</v>
      </c>
      <c r="Z289" s="98" t="s">
        <v>1159</v>
      </c>
      <c r="AB289" s="98" t="s">
        <v>1158</v>
      </c>
      <c r="AD289" s="98" t="s">
        <v>155</v>
      </c>
      <c r="AE289" s="98" t="s">
        <v>156</v>
      </c>
      <c r="AF289" s="98" t="s">
        <v>737</v>
      </c>
      <c r="AG289" s="98" t="s">
        <v>738</v>
      </c>
      <c r="AH289" s="98" t="s">
        <v>793</v>
      </c>
      <c r="AI289" s="98" t="s">
        <v>793</v>
      </c>
      <c r="AJ289" s="98" t="s">
        <v>794</v>
      </c>
      <c r="AK289" s="98" t="s">
        <v>159</v>
      </c>
      <c r="AL289" s="98" t="s">
        <v>224</v>
      </c>
      <c r="AM289" s="98" t="s">
        <v>225</v>
      </c>
      <c r="AP289" s="98" t="s">
        <v>611</v>
      </c>
      <c r="AQ289" s="98" t="s">
        <v>606</v>
      </c>
      <c r="AR289" s="98" t="s">
        <v>1160</v>
      </c>
      <c r="AS289" s="98" t="s">
        <v>1161</v>
      </c>
      <c r="AT289" s="100" t="n">
        <v>0</v>
      </c>
      <c r="AU289" s="100" t="n">
        <v>-680000</v>
      </c>
      <c r="AX289" s="98" t="s">
        <v>165</v>
      </c>
      <c r="AMH289" s="0"/>
      <c r="AMI289" s="0"/>
      <c r="AMJ289" s="0"/>
    </row>
    <row r="290" s="98" customFormat="true" ht="13.8" hidden="false" customHeight="false" outlineLevel="0" collapsed="false">
      <c r="A290" s="98" t="s">
        <v>142</v>
      </c>
      <c r="B290" s="98" t="s">
        <v>143</v>
      </c>
      <c r="C290" s="98" t="n">
        <v>51590710</v>
      </c>
      <c r="D290" s="98" t="s">
        <v>1162</v>
      </c>
      <c r="E290" s="98" t="s">
        <v>725</v>
      </c>
      <c r="F290" s="98" t="s">
        <v>212</v>
      </c>
      <c r="G290" s="98" t="s">
        <v>147</v>
      </c>
      <c r="H290" s="98" t="s">
        <v>191</v>
      </c>
      <c r="I290" s="99" t="n">
        <v>43824</v>
      </c>
      <c r="J290" s="99" t="n">
        <v>43838</v>
      </c>
      <c r="K290" s="100" t="n">
        <v>-3328862.6</v>
      </c>
      <c r="L290" s="100" t="n">
        <f aca="false">K290-Q290+T290</f>
        <v>-2821070</v>
      </c>
      <c r="M290" s="98" t="s">
        <v>149</v>
      </c>
      <c r="N290" s="100" t="n">
        <v>-3328862.6</v>
      </c>
      <c r="O290" s="98" t="s">
        <v>149</v>
      </c>
      <c r="P290" s="100" t="n">
        <v>-3328862.6</v>
      </c>
      <c r="Q290" s="100" t="n">
        <v>-507792.6</v>
      </c>
      <c r="R290" s="100" t="n">
        <v>-2821070</v>
      </c>
      <c r="S290" s="100" t="n">
        <v>0</v>
      </c>
      <c r="T290" s="100" t="n">
        <v>0</v>
      </c>
      <c r="U290" s="98" t="s">
        <v>150</v>
      </c>
      <c r="V290" s="98" t="s">
        <v>151</v>
      </c>
      <c r="X290" s="98" t="s">
        <v>1163</v>
      </c>
      <c r="Y290" s="98" t="s">
        <v>1164</v>
      </c>
      <c r="Z290" s="98" t="s">
        <v>1165</v>
      </c>
      <c r="AB290" s="98" t="s">
        <v>1164</v>
      </c>
      <c r="AD290" s="98" t="s">
        <v>155</v>
      </c>
      <c r="AE290" s="98" t="s">
        <v>156</v>
      </c>
      <c r="AF290" s="98" t="s">
        <v>737</v>
      </c>
      <c r="AG290" s="98" t="s">
        <v>738</v>
      </c>
      <c r="AH290" s="98" t="s">
        <v>793</v>
      </c>
      <c r="AI290" s="98" t="s">
        <v>793</v>
      </c>
      <c r="AJ290" s="98" t="s">
        <v>794</v>
      </c>
      <c r="AK290" s="98" t="s">
        <v>159</v>
      </c>
      <c r="AL290" s="98" t="s">
        <v>224</v>
      </c>
      <c r="AM290" s="98" t="s">
        <v>225</v>
      </c>
      <c r="AP290" s="98" t="s">
        <v>680</v>
      </c>
      <c r="AQ290" s="98" t="s">
        <v>678</v>
      </c>
      <c r="AR290" s="98" t="s">
        <v>1166</v>
      </c>
      <c r="AS290" s="98" t="s">
        <v>1167</v>
      </c>
      <c r="AT290" s="100" t="n">
        <v>0</v>
      </c>
      <c r="AU290" s="100" t="n">
        <v>-3328862.6</v>
      </c>
      <c r="AX290" s="98" t="s">
        <v>165</v>
      </c>
      <c r="AMH290" s="0"/>
      <c r="AMI290" s="0"/>
      <c r="AMJ290" s="0"/>
    </row>
    <row r="291" s="98" customFormat="true" ht="13.8" hidden="false" customHeight="false" outlineLevel="0" collapsed="false">
      <c r="A291" s="98" t="s">
        <v>142</v>
      </c>
      <c r="B291" s="98" t="s">
        <v>143</v>
      </c>
      <c r="C291" s="98" t="n">
        <v>51682323</v>
      </c>
      <c r="D291" s="98" t="s">
        <v>1168</v>
      </c>
      <c r="E291" s="98" t="s">
        <v>725</v>
      </c>
      <c r="F291" s="98" t="s">
        <v>167</v>
      </c>
      <c r="G291" s="98" t="s">
        <v>147</v>
      </c>
      <c r="H291" s="98" t="s">
        <v>200</v>
      </c>
      <c r="I291" s="99" t="n">
        <v>43866</v>
      </c>
      <c r="J291" s="99" t="n">
        <v>43880</v>
      </c>
      <c r="K291" s="100" t="n">
        <v>-93008.28</v>
      </c>
      <c r="L291" s="100" t="n">
        <f aca="false">K291-Q291+T291</f>
        <v>-80180</v>
      </c>
      <c r="M291" s="98" t="s">
        <v>149</v>
      </c>
      <c r="N291" s="100" t="n">
        <v>-93008.28</v>
      </c>
      <c r="O291" s="98" t="s">
        <v>149</v>
      </c>
      <c r="P291" s="100" t="n">
        <v>-94612.4</v>
      </c>
      <c r="Q291" s="100" t="n">
        <v>-14432.4</v>
      </c>
      <c r="R291" s="100" t="n">
        <v>-78575.88</v>
      </c>
      <c r="S291" s="100" t="n">
        <v>-80180</v>
      </c>
      <c r="T291" s="100" t="n">
        <v>-1604.12</v>
      </c>
      <c r="U291" s="98" t="s">
        <v>192</v>
      </c>
      <c r="V291" s="98" t="s">
        <v>151</v>
      </c>
      <c r="X291" s="98" t="s">
        <v>1169</v>
      </c>
      <c r="Y291" s="98" t="s">
        <v>1170</v>
      </c>
      <c r="Z291" s="98" t="s">
        <v>1171</v>
      </c>
      <c r="AB291" s="98" t="s">
        <v>1170</v>
      </c>
      <c r="AD291" s="98" t="s">
        <v>155</v>
      </c>
      <c r="AE291" s="98" t="s">
        <v>156</v>
      </c>
      <c r="AF291" s="98" t="s">
        <v>747</v>
      </c>
      <c r="AG291" s="98" t="s">
        <v>748</v>
      </c>
      <c r="AH291" s="98" t="s">
        <v>786</v>
      </c>
      <c r="AI291" s="98" t="s">
        <v>786</v>
      </c>
      <c r="AJ291" s="98" t="s">
        <v>787</v>
      </c>
      <c r="AK291" s="98" t="s">
        <v>159</v>
      </c>
      <c r="AL291" s="98" t="s">
        <v>224</v>
      </c>
      <c r="AM291" s="98" t="s">
        <v>225</v>
      </c>
      <c r="AP291" s="98" t="s">
        <v>712</v>
      </c>
      <c r="AQ291" s="98" t="s">
        <v>710</v>
      </c>
      <c r="AR291" s="98" t="s">
        <v>1172</v>
      </c>
      <c r="AS291" s="98" t="s">
        <v>1173</v>
      </c>
      <c r="AT291" s="100" t="n">
        <v>0</v>
      </c>
      <c r="AU291" s="100" t="n">
        <v>-93008.28</v>
      </c>
      <c r="AX291" s="98" t="s">
        <v>220</v>
      </c>
      <c r="AMH291" s="0"/>
      <c r="AMI291" s="0"/>
      <c r="AMJ291" s="0"/>
    </row>
    <row r="292" s="98" customFormat="true" ht="13.8" hidden="false" customHeight="false" outlineLevel="0" collapsed="false">
      <c r="A292" s="98" t="s">
        <v>142</v>
      </c>
      <c r="B292" s="98" t="s">
        <v>143</v>
      </c>
      <c r="C292" s="98" t="n">
        <v>51682323</v>
      </c>
      <c r="D292" s="98" t="s">
        <v>1168</v>
      </c>
      <c r="E292" s="98" t="s">
        <v>725</v>
      </c>
      <c r="F292" s="98" t="s">
        <v>167</v>
      </c>
      <c r="G292" s="98" t="s">
        <v>147</v>
      </c>
      <c r="H292" s="98" t="s">
        <v>200</v>
      </c>
      <c r="I292" s="99" t="n">
        <v>43866</v>
      </c>
      <c r="J292" s="99" t="n">
        <v>43880</v>
      </c>
      <c r="K292" s="100" t="n">
        <v>-13444.32</v>
      </c>
      <c r="L292" s="100" t="n">
        <f aca="false">K292-Q292+T292</f>
        <v>-11590</v>
      </c>
      <c r="M292" s="98" t="s">
        <v>149</v>
      </c>
      <c r="N292" s="100" t="n">
        <v>-13444.32</v>
      </c>
      <c r="O292" s="98" t="s">
        <v>149</v>
      </c>
      <c r="P292" s="100" t="n">
        <v>-13676.2</v>
      </c>
      <c r="Q292" s="100" t="n">
        <v>-2086.2</v>
      </c>
      <c r="R292" s="100" t="n">
        <v>-11358.12</v>
      </c>
      <c r="S292" s="100" t="n">
        <v>-11590</v>
      </c>
      <c r="T292" s="100" t="n">
        <v>-231.88</v>
      </c>
      <c r="U292" s="98" t="s">
        <v>192</v>
      </c>
      <c r="V292" s="98" t="s">
        <v>151</v>
      </c>
      <c r="X292" s="98" t="s">
        <v>1169</v>
      </c>
      <c r="Y292" s="98" t="s">
        <v>1170</v>
      </c>
      <c r="Z292" s="98" t="s">
        <v>1171</v>
      </c>
      <c r="AB292" s="98" t="s">
        <v>1170</v>
      </c>
      <c r="AD292" s="98" t="s">
        <v>155</v>
      </c>
      <c r="AE292" s="98" t="s">
        <v>156</v>
      </c>
      <c r="AF292" s="98" t="s">
        <v>747</v>
      </c>
      <c r="AG292" s="98" t="s">
        <v>748</v>
      </c>
      <c r="AH292" s="98" t="s">
        <v>786</v>
      </c>
      <c r="AI292" s="98" t="s">
        <v>786</v>
      </c>
      <c r="AJ292" s="98" t="s">
        <v>787</v>
      </c>
      <c r="AK292" s="98" t="s">
        <v>159</v>
      </c>
      <c r="AL292" s="98" t="s">
        <v>224</v>
      </c>
      <c r="AM292" s="98" t="s">
        <v>225</v>
      </c>
      <c r="AP292" s="98" t="s">
        <v>712</v>
      </c>
      <c r="AQ292" s="98" t="s">
        <v>710</v>
      </c>
      <c r="AR292" s="98" t="s">
        <v>1172</v>
      </c>
      <c r="AS292" s="98" t="s">
        <v>1173</v>
      </c>
      <c r="AT292" s="100" t="n">
        <v>0</v>
      </c>
      <c r="AU292" s="100" t="n">
        <v>-13444.32</v>
      </c>
      <c r="AX292" s="98" t="s">
        <v>165</v>
      </c>
      <c r="AMH292" s="0"/>
      <c r="AMI292" s="0"/>
      <c r="AMJ292" s="0"/>
    </row>
    <row r="293" s="98" customFormat="true" ht="13.8" hidden="false" customHeight="false" outlineLevel="0" collapsed="false">
      <c r="A293" s="98" t="s">
        <v>142</v>
      </c>
      <c r="B293" s="98" t="s">
        <v>143</v>
      </c>
      <c r="C293" s="98" t="n">
        <v>51693273</v>
      </c>
      <c r="D293" s="98" t="s">
        <v>1174</v>
      </c>
      <c r="E293" s="98" t="s">
        <v>725</v>
      </c>
      <c r="F293" s="98" t="s">
        <v>146</v>
      </c>
      <c r="G293" s="98" t="s">
        <v>147</v>
      </c>
      <c r="H293" s="98" t="s">
        <v>200</v>
      </c>
      <c r="I293" s="99" t="n">
        <v>43872</v>
      </c>
      <c r="J293" s="99" t="n">
        <v>43886</v>
      </c>
      <c r="K293" s="100" t="n">
        <v>-387476.08</v>
      </c>
      <c r="L293" s="100" t="n">
        <f aca="false">K293-Q293+T293</f>
        <v>-334031.1</v>
      </c>
      <c r="M293" s="98" t="s">
        <v>149</v>
      </c>
      <c r="N293" s="100" t="n">
        <v>-387476.08</v>
      </c>
      <c r="O293" s="98" t="s">
        <v>149</v>
      </c>
      <c r="P293" s="100" t="n">
        <v>-394156.7</v>
      </c>
      <c r="Q293" s="100" t="n">
        <v>-60125.6</v>
      </c>
      <c r="R293" s="100" t="n">
        <v>-327350.48</v>
      </c>
      <c r="S293" s="100" t="n">
        <v>-334031.1</v>
      </c>
      <c r="T293" s="100" t="n">
        <v>-6680.62</v>
      </c>
      <c r="U293" s="98" t="s">
        <v>150</v>
      </c>
      <c r="V293" s="98" t="s">
        <v>151</v>
      </c>
      <c r="X293" s="98" t="s">
        <v>1146</v>
      </c>
      <c r="Y293" s="98" t="s">
        <v>1175</v>
      </c>
      <c r="Z293" s="98" t="s">
        <v>1176</v>
      </c>
      <c r="AB293" s="98" t="s">
        <v>1175</v>
      </c>
      <c r="AD293" s="98" t="s">
        <v>155</v>
      </c>
      <c r="AE293" s="98" t="s">
        <v>156</v>
      </c>
      <c r="AF293" s="98" t="s">
        <v>747</v>
      </c>
      <c r="AG293" s="98" t="s">
        <v>748</v>
      </c>
      <c r="AH293" s="98" t="s">
        <v>908</v>
      </c>
      <c r="AI293" s="98" t="s">
        <v>908</v>
      </c>
      <c r="AJ293" s="98" t="s">
        <v>909</v>
      </c>
      <c r="AK293" s="98" t="s">
        <v>159</v>
      </c>
      <c r="AL293" s="98" t="s">
        <v>224</v>
      </c>
      <c r="AM293" s="98" t="s">
        <v>225</v>
      </c>
      <c r="AR293" s="98" t="s">
        <v>1177</v>
      </c>
      <c r="AS293" s="98" t="s">
        <v>1178</v>
      </c>
      <c r="AT293" s="100" t="n">
        <v>0</v>
      </c>
      <c r="AU293" s="100" t="n">
        <v>-387476.08</v>
      </c>
      <c r="AX293" s="98" t="s">
        <v>165</v>
      </c>
      <c r="AMH293" s="0"/>
      <c r="AMI293" s="0"/>
      <c r="AMJ293" s="0"/>
    </row>
    <row r="294" s="98" customFormat="true" ht="13.8" hidden="false" customHeight="false" outlineLevel="0" collapsed="false">
      <c r="A294" s="98" t="s">
        <v>142</v>
      </c>
      <c r="B294" s="98" t="s">
        <v>143</v>
      </c>
      <c r="C294" s="98" t="n">
        <v>51509727</v>
      </c>
      <c r="D294" s="98" t="s">
        <v>1179</v>
      </c>
      <c r="E294" s="98" t="s">
        <v>725</v>
      </c>
      <c r="F294" s="98" t="s">
        <v>278</v>
      </c>
      <c r="G294" s="98" t="s">
        <v>147</v>
      </c>
      <c r="H294" s="98" t="s">
        <v>556</v>
      </c>
      <c r="I294" s="99" t="n">
        <v>43782</v>
      </c>
      <c r="J294" s="99" t="n">
        <v>43797</v>
      </c>
      <c r="K294" s="100" t="n">
        <v>-1970625.31</v>
      </c>
      <c r="L294" s="100" t="n">
        <f aca="false">K294-Q294+T294</f>
        <v>-1670021.66</v>
      </c>
      <c r="M294" s="98" t="s">
        <v>149</v>
      </c>
      <c r="N294" s="100" t="n">
        <v>-1970625.31</v>
      </c>
      <c r="O294" s="98" t="s">
        <v>149</v>
      </c>
      <c r="P294" s="100" t="n">
        <v>-1970625.31</v>
      </c>
      <c r="Q294" s="100" t="n">
        <v>-300603.65</v>
      </c>
      <c r="R294" s="100" t="n">
        <v>-1670021.66</v>
      </c>
      <c r="S294" s="100" t="n">
        <v>0</v>
      </c>
      <c r="T294" s="100" t="n">
        <v>0</v>
      </c>
      <c r="U294" s="98" t="s">
        <v>192</v>
      </c>
      <c r="V294" s="98" t="s">
        <v>151</v>
      </c>
      <c r="X294" s="98" t="s">
        <v>1180</v>
      </c>
      <c r="Y294" s="98" t="s">
        <v>1181</v>
      </c>
      <c r="Z294" s="98" t="s">
        <v>1182</v>
      </c>
      <c r="AB294" s="98" t="s">
        <v>1181</v>
      </c>
      <c r="AD294" s="98" t="s">
        <v>155</v>
      </c>
      <c r="AE294" s="98" t="s">
        <v>156</v>
      </c>
      <c r="AF294" s="98" t="s">
        <v>737</v>
      </c>
      <c r="AG294" s="98" t="s">
        <v>738</v>
      </c>
      <c r="AH294" s="98" t="s">
        <v>739</v>
      </c>
      <c r="AI294" s="98" t="s">
        <v>739</v>
      </c>
      <c r="AJ294" s="98" t="s">
        <v>740</v>
      </c>
      <c r="AK294" s="98" t="s">
        <v>159</v>
      </c>
      <c r="AL294" s="98" t="s">
        <v>224</v>
      </c>
      <c r="AM294" s="98" t="s">
        <v>225</v>
      </c>
      <c r="AP294" s="98" t="s">
        <v>637</v>
      </c>
      <c r="AQ294" s="98" t="s">
        <v>635</v>
      </c>
      <c r="AR294" s="98" t="s">
        <v>581</v>
      </c>
      <c r="AS294" s="98" t="s">
        <v>1183</v>
      </c>
      <c r="AT294" s="100" t="n">
        <v>0</v>
      </c>
      <c r="AU294" s="100" t="n">
        <v>-1970625.31</v>
      </c>
      <c r="AX294" s="98" t="s">
        <v>165</v>
      </c>
      <c r="AMH294" s="0"/>
      <c r="AMI294" s="0"/>
      <c r="AMJ294" s="0"/>
    </row>
    <row r="295" s="98" customFormat="true" ht="13.8" hidden="false" customHeight="false" outlineLevel="0" collapsed="false">
      <c r="A295" s="98" t="s">
        <v>142</v>
      </c>
      <c r="B295" s="98" t="s">
        <v>143</v>
      </c>
      <c r="C295" s="98" t="n">
        <v>51654719</v>
      </c>
      <c r="D295" s="98" t="s">
        <v>1184</v>
      </c>
      <c r="E295" s="98" t="s">
        <v>725</v>
      </c>
      <c r="F295" s="98" t="s">
        <v>234</v>
      </c>
      <c r="G295" s="98" t="s">
        <v>147</v>
      </c>
      <c r="H295" s="98" t="s">
        <v>200</v>
      </c>
      <c r="I295" s="99" t="n">
        <v>43853</v>
      </c>
      <c r="J295" s="99" t="n">
        <v>43868</v>
      </c>
      <c r="K295" s="100" t="n">
        <v>-109858</v>
      </c>
      <c r="L295" s="100" t="n">
        <f aca="false">K295-Q295+T295</f>
        <v>-93100</v>
      </c>
      <c r="M295" s="98" t="s">
        <v>149</v>
      </c>
      <c r="N295" s="100" t="n">
        <v>-109858</v>
      </c>
      <c r="O295" s="98" t="s">
        <v>149</v>
      </c>
      <c r="P295" s="100" t="n">
        <v>-109858</v>
      </c>
      <c r="Q295" s="100" t="n">
        <v>-16758</v>
      </c>
      <c r="R295" s="100" t="n">
        <v>-93100</v>
      </c>
      <c r="S295" s="100" t="n">
        <v>0</v>
      </c>
      <c r="T295" s="100" t="n">
        <v>0</v>
      </c>
      <c r="U295" s="98" t="s">
        <v>192</v>
      </c>
      <c r="V295" s="98" t="s">
        <v>151</v>
      </c>
      <c r="X295" s="98" t="s">
        <v>1185</v>
      </c>
      <c r="Y295" s="98" t="s">
        <v>1186</v>
      </c>
      <c r="Z295" s="98" t="s">
        <v>1187</v>
      </c>
      <c r="AB295" s="98" t="s">
        <v>1186</v>
      </c>
      <c r="AD295" s="98" t="s">
        <v>155</v>
      </c>
      <c r="AE295" s="98" t="s">
        <v>156</v>
      </c>
      <c r="AF295" s="98" t="s">
        <v>737</v>
      </c>
      <c r="AG295" s="98" t="s">
        <v>738</v>
      </c>
      <c r="AH295" s="98" t="s">
        <v>1188</v>
      </c>
      <c r="AI295" s="98" t="s">
        <v>1188</v>
      </c>
      <c r="AJ295" s="98" t="s">
        <v>1189</v>
      </c>
      <c r="AK295" s="98" t="s">
        <v>159</v>
      </c>
      <c r="AL295" s="98" t="s">
        <v>224</v>
      </c>
      <c r="AM295" s="98" t="s">
        <v>225</v>
      </c>
      <c r="AP295" s="98" t="s">
        <v>1190</v>
      </c>
      <c r="AQ295" s="98" t="s">
        <v>1191</v>
      </c>
      <c r="AR295" s="98" t="s">
        <v>204</v>
      </c>
      <c r="AS295" s="98" t="s">
        <v>1192</v>
      </c>
      <c r="AT295" s="100" t="n">
        <v>0</v>
      </c>
      <c r="AU295" s="100" t="n">
        <v>-109858</v>
      </c>
      <c r="AX295" s="98" t="s">
        <v>165</v>
      </c>
      <c r="AMH295" s="0"/>
      <c r="AMI295" s="0"/>
      <c r="AMJ295" s="0"/>
    </row>
    <row r="296" s="98" customFormat="true" ht="13.8" hidden="false" customHeight="false" outlineLevel="0" collapsed="false">
      <c r="A296" s="98" t="s">
        <v>142</v>
      </c>
      <c r="B296" s="98" t="s">
        <v>143</v>
      </c>
      <c r="C296" s="98" t="n">
        <v>51283680</v>
      </c>
      <c r="D296" s="98" t="s">
        <v>1193</v>
      </c>
      <c r="E296" s="98" t="s">
        <v>725</v>
      </c>
      <c r="F296" s="98" t="s">
        <v>212</v>
      </c>
      <c r="G296" s="98" t="s">
        <v>147</v>
      </c>
      <c r="H296" s="98" t="s">
        <v>168</v>
      </c>
      <c r="I296" s="99" t="n">
        <v>43668</v>
      </c>
      <c r="J296" s="99" t="n">
        <v>43684</v>
      </c>
      <c r="K296" s="100" t="n">
        <v>-2858759.86</v>
      </c>
      <c r="L296" s="100" t="n">
        <f aca="false">K296-Q296+T296</f>
        <v>-2422677.83</v>
      </c>
      <c r="M296" s="98" t="s">
        <v>149</v>
      </c>
      <c r="N296" s="100" t="n">
        <v>-2858759.86</v>
      </c>
      <c r="O296" s="98" t="s">
        <v>149</v>
      </c>
      <c r="P296" s="100" t="n">
        <v>-2858759.86</v>
      </c>
      <c r="Q296" s="100" t="n">
        <v>-436082.03</v>
      </c>
      <c r="R296" s="100" t="n">
        <v>-2422677.83</v>
      </c>
      <c r="S296" s="100" t="n">
        <v>0</v>
      </c>
      <c r="T296" s="100" t="n">
        <v>0</v>
      </c>
      <c r="U296" s="98" t="s">
        <v>150</v>
      </c>
      <c r="V296" s="98" t="s">
        <v>151</v>
      </c>
      <c r="Y296" s="98" t="s">
        <v>1194</v>
      </c>
      <c r="Z296" s="98" t="s">
        <v>1195</v>
      </c>
      <c r="AB296" s="98" t="s">
        <v>1194</v>
      </c>
      <c r="AD296" s="98" t="s">
        <v>155</v>
      </c>
      <c r="AE296" s="98" t="s">
        <v>156</v>
      </c>
      <c r="AF296" s="98" t="s">
        <v>737</v>
      </c>
      <c r="AG296" s="98" t="s">
        <v>738</v>
      </c>
      <c r="AH296" s="98" t="s">
        <v>793</v>
      </c>
      <c r="AI296" s="98" t="s">
        <v>793</v>
      </c>
      <c r="AJ296" s="98" t="s">
        <v>794</v>
      </c>
      <c r="AK296" s="98" t="s">
        <v>159</v>
      </c>
      <c r="AL296" s="98" t="s">
        <v>224</v>
      </c>
      <c r="AM296" s="98" t="s">
        <v>225</v>
      </c>
      <c r="AP296" s="98" t="s">
        <v>519</v>
      </c>
      <c r="AQ296" s="98" t="s">
        <v>517</v>
      </c>
      <c r="AR296" s="98" t="s">
        <v>1196</v>
      </c>
      <c r="AS296" s="98" t="s">
        <v>1197</v>
      </c>
      <c r="AT296" s="100" t="n">
        <v>0</v>
      </c>
      <c r="AU296" s="100" t="n">
        <v>-2858759.86</v>
      </c>
      <c r="AX296" s="98" t="s">
        <v>165</v>
      </c>
      <c r="AMH296" s="0"/>
      <c r="AMI296" s="0"/>
      <c r="AMJ296" s="0"/>
    </row>
    <row r="297" s="98" customFormat="true" ht="13.8" hidden="false" customHeight="false" outlineLevel="0" collapsed="false">
      <c r="A297" s="98" t="s">
        <v>142</v>
      </c>
      <c r="B297" s="98" t="s">
        <v>143</v>
      </c>
      <c r="C297" s="98" t="n">
        <v>51283680</v>
      </c>
      <c r="D297" s="98" t="s">
        <v>1193</v>
      </c>
      <c r="E297" s="98" t="s">
        <v>725</v>
      </c>
      <c r="F297" s="98" t="s">
        <v>142</v>
      </c>
      <c r="G297" s="98" t="s">
        <v>147</v>
      </c>
      <c r="H297" s="98" t="s">
        <v>168</v>
      </c>
      <c r="I297" s="99" t="n">
        <v>43668</v>
      </c>
      <c r="J297" s="99" t="n">
        <v>43684</v>
      </c>
      <c r="K297" s="100" t="n">
        <v>-460405.5</v>
      </c>
      <c r="L297" s="100" t="n">
        <f aca="false">K297-Q297+T297</f>
        <v>-390174.15</v>
      </c>
      <c r="M297" s="98" t="s">
        <v>149</v>
      </c>
      <c r="N297" s="100" t="n">
        <v>-460405.5</v>
      </c>
      <c r="O297" s="98" t="s">
        <v>149</v>
      </c>
      <c r="P297" s="100" t="n">
        <v>-460405.5</v>
      </c>
      <c r="Q297" s="100" t="n">
        <v>-70231.35</v>
      </c>
      <c r="R297" s="100" t="n">
        <v>-390174.15</v>
      </c>
      <c r="S297" s="100" t="n">
        <v>0</v>
      </c>
      <c r="T297" s="100" t="n">
        <v>0</v>
      </c>
      <c r="U297" s="98" t="s">
        <v>150</v>
      </c>
      <c r="V297" s="98" t="s">
        <v>151</v>
      </c>
      <c r="Y297" s="98" t="s">
        <v>1194</v>
      </c>
      <c r="Z297" s="98" t="s">
        <v>1195</v>
      </c>
      <c r="AB297" s="98" t="s">
        <v>1194</v>
      </c>
      <c r="AD297" s="98" t="s">
        <v>155</v>
      </c>
      <c r="AE297" s="98" t="s">
        <v>156</v>
      </c>
      <c r="AF297" s="98" t="s">
        <v>737</v>
      </c>
      <c r="AG297" s="98" t="s">
        <v>738</v>
      </c>
      <c r="AH297" s="98" t="s">
        <v>793</v>
      </c>
      <c r="AI297" s="98" t="s">
        <v>793</v>
      </c>
      <c r="AJ297" s="98" t="s">
        <v>794</v>
      </c>
      <c r="AK297" s="98" t="s">
        <v>159</v>
      </c>
      <c r="AL297" s="98" t="s">
        <v>224</v>
      </c>
      <c r="AM297" s="98" t="s">
        <v>225</v>
      </c>
      <c r="AP297" s="98" t="s">
        <v>519</v>
      </c>
      <c r="AQ297" s="98" t="s">
        <v>517</v>
      </c>
      <c r="AR297" s="98" t="s">
        <v>1196</v>
      </c>
      <c r="AS297" s="98" t="s">
        <v>1197</v>
      </c>
      <c r="AT297" s="100" t="n">
        <v>0</v>
      </c>
      <c r="AU297" s="100" t="n">
        <v>-460405.5</v>
      </c>
      <c r="AX297" s="98" t="s">
        <v>220</v>
      </c>
      <c r="AMH297" s="0"/>
      <c r="AMI297" s="0"/>
      <c r="AMJ297" s="0"/>
    </row>
    <row r="298" s="98" customFormat="true" ht="13.8" hidden="false" customHeight="false" outlineLevel="0" collapsed="false">
      <c r="A298" s="98" t="s">
        <v>142</v>
      </c>
      <c r="B298" s="98" t="s">
        <v>143</v>
      </c>
      <c r="C298" s="98" t="n">
        <v>51470706</v>
      </c>
      <c r="D298" s="98" t="s">
        <v>1198</v>
      </c>
      <c r="E298" s="98" t="s">
        <v>725</v>
      </c>
      <c r="F298" s="98" t="s">
        <v>146</v>
      </c>
      <c r="G298" s="98" t="s">
        <v>147</v>
      </c>
      <c r="H298" s="98" t="s">
        <v>556</v>
      </c>
      <c r="I298" s="99" t="n">
        <v>43760</v>
      </c>
      <c r="J298" s="99" t="n">
        <v>43776</v>
      </c>
      <c r="K298" s="100" t="n">
        <v>-33408</v>
      </c>
      <c r="L298" s="100" t="n">
        <f aca="false">K298-Q298+T298</f>
        <v>-28800</v>
      </c>
      <c r="M298" s="98" t="s">
        <v>149</v>
      </c>
      <c r="N298" s="100" t="n">
        <v>-33408</v>
      </c>
      <c r="O298" s="98" t="s">
        <v>149</v>
      </c>
      <c r="P298" s="100" t="n">
        <v>-33984</v>
      </c>
      <c r="Q298" s="100" t="n">
        <v>-5184</v>
      </c>
      <c r="R298" s="100" t="n">
        <v>-28224</v>
      </c>
      <c r="S298" s="100" t="n">
        <v>-28800</v>
      </c>
      <c r="T298" s="100" t="n">
        <v>-576</v>
      </c>
      <c r="U298" s="98" t="s">
        <v>150</v>
      </c>
      <c r="V298" s="98" t="s">
        <v>151</v>
      </c>
      <c r="X298" s="98" t="s">
        <v>1199</v>
      </c>
      <c r="Y298" s="98" t="s">
        <v>1200</v>
      </c>
      <c r="Z298" s="98" t="s">
        <v>1201</v>
      </c>
      <c r="AB298" s="98" t="s">
        <v>1200</v>
      </c>
      <c r="AD298" s="98" t="s">
        <v>155</v>
      </c>
      <c r="AE298" s="98" t="s">
        <v>156</v>
      </c>
      <c r="AF298" s="98" t="s">
        <v>747</v>
      </c>
      <c r="AG298" s="98" t="s">
        <v>748</v>
      </c>
      <c r="AH298" s="98" t="s">
        <v>908</v>
      </c>
      <c r="AI298" s="98" t="s">
        <v>908</v>
      </c>
      <c r="AJ298" s="98" t="s">
        <v>909</v>
      </c>
      <c r="AK298" s="98" t="s">
        <v>159</v>
      </c>
      <c r="AL298" s="98" t="s">
        <v>224</v>
      </c>
      <c r="AM298" s="98" t="s">
        <v>225</v>
      </c>
      <c r="AP298" s="98" t="s">
        <v>599</v>
      </c>
      <c r="AQ298" s="98" t="s">
        <v>597</v>
      </c>
      <c r="AR298" s="98" t="s">
        <v>1202</v>
      </c>
      <c r="AS298" s="98" t="s">
        <v>1203</v>
      </c>
      <c r="AT298" s="100" t="n">
        <v>0</v>
      </c>
      <c r="AU298" s="100" t="n">
        <v>-33408</v>
      </c>
      <c r="AX298" s="98" t="s">
        <v>165</v>
      </c>
      <c r="AMH298" s="0"/>
      <c r="AMI298" s="0"/>
      <c r="AMJ298" s="0"/>
    </row>
    <row r="299" s="98" customFormat="true" ht="13.8" hidden="false" customHeight="false" outlineLevel="0" collapsed="false">
      <c r="A299" s="98" t="s">
        <v>142</v>
      </c>
      <c r="B299" s="98" t="s">
        <v>143</v>
      </c>
      <c r="C299" s="98" t="n">
        <v>51707305</v>
      </c>
      <c r="D299" s="98" t="s">
        <v>1204</v>
      </c>
      <c r="E299" s="98" t="s">
        <v>725</v>
      </c>
      <c r="F299" s="98" t="s">
        <v>1205</v>
      </c>
      <c r="G299" s="98" t="s">
        <v>147</v>
      </c>
      <c r="H299" s="98" t="s">
        <v>200</v>
      </c>
      <c r="I299" s="99" t="n">
        <v>43872</v>
      </c>
      <c r="J299" s="99" t="n">
        <v>43888</v>
      </c>
      <c r="K299" s="100" t="n">
        <v>-981760</v>
      </c>
      <c r="L299" s="100" t="n">
        <f aca="false">K299-Q299+T299</f>
        <v>-832000</v>
      </c>
      <c r="M299" s="98" t="s">
        <v>149</v>
      </c>
      <c r="N299" s="100" t="n">
        <v>-981760</v>
      </c>
      <c r="O299" s="98" t="s">
        <v>149</v>
      </c>
      <c r="P299" s="100" t="n">
        <v>-981760</v>
      </c>
      <c r="Q299" s="100" t="n">
        <v>-149760</v>
      </c>
      <c r="R299" s="100" t="n">
        <v>-832000</v>
      </c>
      <c r="S299" s="100" t="n">
        <v>0</v>
      </c>
      <c r="T299" s="100" t="n">
        <v>0</v>
      </c>
      <c r="U299" s="98" t="s">
        <v>192</v>
      </c>
      <c r="V299" s="98" t="s">
        <v>151</v>
      </c>
      <c r="X299" s="98" t="s">
        <v>1206</v>
      </c>
      <c r="Y299" s="98" t="s">
        <v>1207</v>
      </c>
      <c r="Z299" s="98" t="s">
        <v>1208</v>
      </c>
      <c r="AB299" s="98" t="s">
        <v>1207</v>
      </c>
      <c r="AD299" s="98" t="s">
        <v>155</v>
      </c>
      <c r="AE299" s="98" t="s">
        <v>156</v>
      </c>
      <c r="AF299" s="98" t="s">
        <v>737</v>
      </c>
      <c r="AG299" s="98" t="s">
        <v>738</v>
      </c>
      <c r="AH299" s="98" t="s">
        <v>739</v>
      </c>
      <c r="AI299" s="98" t="s">
        <v>739</v>
      </c>
      <c r="AJ299" s="98" t="s">
        <v>740</v>
      </c>
      <c r="AK299" s="98" t="s">
        <v>159</v>
      </c>
      <c r="AL299" s="98" t="s">
        <v>224</v>
      </c>
      <c r="AM299" s="98" t="s">
        <v>225</v>
      </c>
      <c r="AR299" s="98" t="s">
        <v>1209</v>
      </c>
      <c r="AS299" s="98" t="s">
        <v>1210</v>
      </c>
      <c r="AT299" s="100" t="n">
        <v>0</v>
      </c>
      <c r="AU299" s="100" t="n">
        <v>-981760</v>
      </c>
      <c r="AX299" s="98" t="s">
        <v>165</v>
      </c>
      <c r="AMH299" s="0"/>
      <c r="AMI299" s="0"/>
      <c r="AMJ299" s="0"/>
    </row>
    <row r="300" s="98" customFormat="true" ht="13.8" hidden="false" customHeight="false" outlineLevel="0" collapsed="false">
      <c r="A300" s="98" t="s">
        <v>142</v>
      </c>
      <c r="B300" s="98" t="s">
        <v>143</v>
      </c>
      <c r="C300" s="98" t="n">
        <v>51129414</v>
      </c>
      <c r="D300" s="98" t="s">
        <v>1211</v>
      </c>
      <c r="E300" s="98" t="s">
        <v>725</v>
      </c>
      <c r="F300" s="98" t="s">
        <v>297</v>
      </c>
      <c r="G300" s="98" t="s">
        <v>147</v>
      </c>
      <c r="H300" s="98" t="s">
        <v>220</v>
      </c>
      <c r="I300" s="99" t="n">
        <v>43599</v>
      </c>
      <c r="J300" s="99" t="n">
        <v>43616</v>
      </c>
      <c r="K300" s="100" t="n">
        <v>-79107.28</v>
      </c>
      <c r="L300" s="100" t="n">
        <f aca="false">K300-Q300+T300</f>
        <v>-67040.07</v>
      </c>
      <c r="M300" s="98" t="s">
        <v>149</v>
      </c>
      <c r="N300" s="100" t="n">
        <v>-79107.28</v>
      </c>
      <c r="O300" s="98" t="s">
        <v>149</v>
      </c>
      <c r="P300" s="100" t="n">
        <v>-79107.28</v>
      </c>
      <c r="Q300" s="100" t="n">
        <v>-12067.21</v>
      </c>
      <c r="R300" s="100" t="n">
        <v>-67040.07</v>
      </c>
      <c r="S300" s="100" t="n">
        <v>0</v>
      </c>
      <c r="T300" s="100" t="n">
        <v>0</v>
      </c>
      <c r="U300" s="98" t="s">
        <v>192</v>
      </c>
      <c r="V300" s="98" t="s">
        <v>151</v>
      </c>
      <c r="X300" s="98" t="s">
        <v>1212</v>
      </c>
      <c r="Y300" s="98" t="s">
        <v>1213</v>
      </c>
      <c r="Z300" s="98" t="s">
        <v>1214</v>
      </c>
      <c r="AB300" s="98" t="s">
        <v>1213</v>
      </c>
      <c r="AD300" s="98" t="s">
        <v>155</v>
      </c>
      <c r="AE300" s="98" t="s">
        <v>156</v>
      </c>
      <c r="AF300" s="98" t="s">
        <v>728</v>
      </c>
      <c r="AG300" s="98" t="s">
        <v>729</v>
      </c>
      <c r="AH300" s="98" t="s">
        <v>971</v>
      </c>
      <c r="AI300" s="98" t="s">
        <v>971</v>
      </c>
      <c r="AJ300" s="98" t="s">
        <v>972</v>
      </c>
      <c r="AK300" s="98" t="s">
        <v>159</v>
      </c>
      <c r="AL300" s="98" t="s">
        <v>224</v>
      </c>
      <c r="AM300" s="98" t="s">
        <v>225</v>
      </c>
      <c r="AP300" s="98" t="s">
        <v>553</v>
      </c>
      <c r="AQ300" s="98" t="s">
        <v>551</v>
      </c>
      <c r="AR300" s="98" t="s">
        <v>1215</v>
      </c>
      <c r="AS300" s="98" t="s">
        <v>1216</v>
      </c>
      <c r="AT300" s="100" t="n">
        <v>0</v>
      </c>
      <c r="AU300" s="100" t="n">
        <v>-79107.28</v>
      </c>
      <c r="AX300" s="98" t="s">
        <v>191</v>
      </c>
      <c r="AMH300" s="0"/>
      <c r="AMI300" s="0"/>
      <c r="AMJ300" s="0"/>
    </row>
    <row r="301" s="98" customFormat="true" ht="13.8" hidden="false" customHeight="false" outlineLevel="0" collapsed="false">
      <c r="A301" s="98" t="s">
        <v>142</v>
      </c>
      <c r="B301" s="98" t="s">
        <v>143</v>
      </c>
      <c r="C301" s="98" t="n">
        <v>51129414</v>
      </c>
      <c r="D301" s="98" t="s">
        <v>1211</v>
      </c>
      <c r="E301" s="98" t="s">
        <v>725</v>
      </c>
      <c r="F301" s="98" t="s">
        <v>297</v>
      </c>
      <c r="G301" s="98" t="s">
        <v>147</v>
      </c>
      <c r="H301" s="98" t="s">
        <v>220</v>
      </c>
      <c r="I301" s="99" t="n">
        <v>43599</v>
      </c>
      <c r="J301" s="99" t="n">
        <v>43616</v>
      </c>
      <c r="K301" s="100" t="n">
        <v>-1344823.88</v>
      </c>
      <c r="L301" s="100" t="n">
        <f aca="false">K301-Q301+T301</f>
        <v>-1139681.26</v>
      </c>
      <c r="M301" s="98" t="s">
        <v>149</v>
      </c>
      <c r="N301" s="100" t="n">
        <v>-1344823.88</v>
      </c>
      <c r="O301" s="98" t="s">
        <v>149</v>
      </c>
      <c r="P301" s="100" t="n">
        <v>-1344823.88</v>
      </c>
      <c r="Q301" s="100" t="n">
        <v>-205142.62</v>
      </c>
      <c r="R301" s="100" t="n">
        <v>-1139681.26</v>
      </c>
      <c r="S301" s="100" t="n">
        <v>0</v>
      </c>
      <c r="T301" s="100" t="n">
        <v>0</v>
      </c>
      <c r="U301" s="98" t="s">
        <v>192</v>
      </c>
      <c r="V301" s="98" t="s">
        <v>151</v>
      </c>
      <c r="X301" s="98" t="s">
        <v>1212</v>
      </c>
      <c r="Y301" s="98" t="s">
        <v>1213</v>
      </c>
      <c r="Z301" s="98" t="s">
        <v>1214</v>
      </c>
      <c r="AB301" s="98" t="s">
        <v>1213</v>
      </c>
      <c r="AD301" s="98" t="s">
        <v>155</v>
      </c>
      <c r="AE301" s="98" t="s">
        <v>156</v>
      </c>
      <c r="AF301" s="98" t="s">
        <v>728</v>
      </c>
      <c r="AG301" s="98" t="s">
        <v>729</v>
      </c>
      <c r="AH301" s="98" t="s">
        <v>971</v>
      </c>
      <c r="AI301" s="98" t="s">
        <v>971</v>
      </c>
      <c r="AJ301" s="98" t="s">
        <v>972</v>
      </c>
      <c r="AK301" s="98" t="s">
        <v>159</v>
      </c>
      <c r="AL301" s="98" t="s">
        <v>224</v>
      </c>
      <c r="AM301" s="98" t="s">
        <v>225</v>
      </c>
      <c r="AP301" s="98" t="s">
        <v>379</v>
      </c>
      <c r="AQ301" s="98" t="s">
        <v>377</v>
      </c>
      <c r="AR301" s="98" t="s">
        <v>1215</v>
      </c>
      <c r="AS301" s="98" t="s">
        <v>1216</v>
      </c>
      <c r="AT301" s="100" t="n">
        <v>0</v>
      </c>
      <c r="AU301" s="100" t="n">
        <v>-1344823.88</v>
      </c>
      <c r="AX301" s="98" t="s">
        <v>535</v>
      </c>
      <c r="AMH301" s="0"/>
      <c r="AMI301" s="0"/>
      <c r="AMJ301" s="0"/>
    </row>
    <row r="302" s="98" customFormat="true" ht="13.8" hidden="false" customHeight="false" outlineLevel="0" collapsed="false">
      <c r="A302" s="98" t="s">
        <v>142</v>
      </c>
      <c r="B302" s="98" t="s">
        <v>143</v>
      </c>
      <c r="C302" s="98" t="n">
        <v>51129414</v>
      </c>
      <c r="D302" s="98" t="s">
        <v>1211</v>
      </c>
      <c r="E302" s="98" t="s">
        <v>725</v>
      </c>
      <c r="F302" s="98" t="s">
        <v>297</v>
      </c>
      <c r="G302" s="98" t="s">
        <v>147</v>
      </c>
      <c r="H302" s="98" t="s">
        <v>220</v>
      </c>
      <c r="I302" s="99" t="n">
        <v>43599</v>
      </c>
      <c r="J302" s="99" t="n">
        <v>43616</v>
      </c>
      <c r="K302" s="100" t="n">
        <v>-79107.29</v>
      </c>
      <c r="L302" s="100" t="n">
        <f aca="false">K302-Q302+T302</f>
        <v>-67040.08</v>
      </c>
      <c r="M302" s="98" t="s">
        <v>149</v>
      </c>
      <c r="N302" s="100" t="n">
        <v>-79107.29</v>
      </c>
      <c r="O302" s="98" t="s">
        <v>149</v>
      </c>
      <c r="P302" s="100" t="n">
        <v>-79107.29</v>
      </c>
      <c r="Q302" s="100" t="n">
        <v>-12067.21</v>
      </c>
      <c r="R302" s="100" t="n">
        <v>-67040.08</v>
      </c>
      <c r="S302" s="100" t="n">
        <v>0</v>
      </c>
      <c r="T302" s="100" t="n">
        <v>0</v>
      </c>
      <c r="U302" s="98" t="s">
        <v>192</v>
      </c>
      <c r="V302" s="98" t="s">
        <v>151</v>
      </c>
      <c r="X302" s="98" t="s">
        <v>1212</v>
      </c>
      <c r="Y302" s="98" t="s">
        <v>1213</v>
      </c>
      <c r="Z302" s="98" t="s">
        <v>1214</v>
      </c>
      <c r="AB302" s="98" t="s">
        <v>1213</v>
      </c>
      <c r="AD302" s="98" t="s">
        <v>155</v>
      </c>
      <c r="AE302" s="98" t="s">
        <v>156</v>
      </c>
      <c r="AF302" s="98" t="s">
        <v>728</v>
      </c>
      <c r="AG302" s="98" t="s">
        <v>729</v>
      </c>
      <c r="AH302" s="98" t="s">
        <v>971</v>
      </c>
      <c r="AI302" s="98" t="s">
        <v>971</v>
      </c>
      <c r="AJ302" s="98" t="s">
        <v>972</v>
      </c>
      <c r="AK302" s="98" t="s">
        <v>159</v>
      </c>
      <c r="AL302" s="98" t="s">
        <v>224</v>
      </c>
      <c r="AM302" s="98" t="s">
        <v>225</v>
      </c>
      <c r="AP302" s="98" t="s">
        <v>553</v>
      </c>
      <c r="AQ302" s="98" t="s">
        <v>551</v>
      </c>
      <c r="AR302" s="98" t="s">
        <v>1215</v>
      </c>
      <c r="AS302" s="98" t="s">
        <v>1216</v>
      </c>
      <c r="AT302" s="100" t="n">
        <v>0</v>
      </c>
      <c r="AU302" s="100" t="n">
        <v>-79107.29</v>
      </c>
      <c r="AX302" s="98" t="s">
        <v>586</v>
      </c>
      <c r="AMH302" s="0"/>
      <c r="AMI302" s="0"/>
      <c r="AMJ302" s="0"/>
    </row>
    <row r="303" s="98" customFormat="true" ht="13.8" hidden="false" customHeight="false" outlineLevel="0" collapsed="false">
      <c r="A303" s="98" t="s">
        <v>142</v>
      </c>
      <c r="B303" s="98" t="s">
        <v>143</v>
      </c>
      <c r="C303" s="98" t="n">
        <v>51129414</v>
      </c>
      <c r="D303" s="98" t="s">
        <v>1211</v>
      </c>
      <c r="E303" s="98" t="s">
        <v>725</v>
      </c>
      <c r="F303" s="98" t="s">
        <v>297</v>
      </c>
      <c r="G303" s="98" t="s">
        <v>147</v>
      </c>
      <c r="H303" s="98" t="s">
        <v>220</v>
      </c>
      <c r="I303" s="99" t="n">
        <v>43599</v>
      </c>
      <c r="J303" s="99" t="n">
        <v>43616</v>
      </c>
      <c r="K303" s="100" t="n">
        <v>-79107.29</v>
      </c>
      <c r="L303" s="100" t="n">
        <f aca="false">K303-Q303+T303</f>
        <v>-67040.08</v>
      </c>
      <c r="M303" s="98" t="s">
        <v>149</v>
      </c>
      <c r="N303" s="100" t="n">
        <v>-79107.29</v>
      </c>
      <c r="O303" s="98" t="s">
        <v>149</v>
      </c>
      <c r="P303" s="100" t="n">
        <v>-79107.29</v>
      </c>
      <c r="Q303" s="100" t="n">
        <v>-12067.21</v>
      </c>
      <c r="R303" s="100" t="n">
        <v>-67040.08</v>
      </c>
      <c r="S303" s="100" t="n">
        <v>0</v>
      </c>
      <c r="T303" s="100" t="n">
        <v>0</v>
      </c>
      <c r="U303" s="98" t="s">
        <v>192</v>
      </c>
      <c r="V303" s="98" t="s">
        <v>151</v>
      </c>
      <c r="X303" s="98" t="s">
        <v>1212</v>
      </c>
      <c r="Y303" s="98" t="s">
        <v>1213</v>
      </c>
      <c r="Z303" s="98" t="s">
        <v>1214</v>
      </c>
      <c r="AB303" s="98" t="s">
        <v>1213</v>
      </c>
      <c r="AD303" s="98" t="s">
        <v>155</v>
      </c>
      <c r="AE303" s="98" t="s">
        <v>156</v>
      </c>
      <c r="AF303" s="98" t="s">
        <v>728</v>
      </c>
      <c r="AG303" s="98" t="s">
        <v>729</v>
      </c>
      <c r="AH303" s="98" t="s">
        <v>971</v>
      </c>
      <c r="AI303" s="98" t="s">
        <v>971</v>
      </c>
      <c r="AJ303" s="98" t="s">
        <v>972</v>
      </c>
      <c r="AK303" s="98" t="s">
        <v>159</v>
      </c>
      <c r="AL303" s="98" t="s">
        <v>224</v>
      </c>
      <c r="AM303" s="98" t="s">
        <v>225</v>
      </c>
      <c r="AP303" s="98" t="s">
        <v>553</v>
      </c>
      <c r="AQ303" s="98" t="s">
        <v>551</v>
      </c>
      <c r="AR303" s="98" t="s">
        <v>1215</v>
      </c>
      <c r="AS303" s="98" t="s">
        <v>1216</v>
      </c>
      <c r="AT303" s="100" t="n">
        <v>0</v>
      </c>
      <c r="AU303" s="100" t="n">
        <v>-79107.29</v>
      </c>
      <c r="AX303" s="98" t="s">
        <v>556</v>
      </c>
      <c r="AMH303" s="0"/>
      <c r="AMI303" s="0"/>
      <c r="AMJ303" s="0"/>
    </row>
    <row r="304" s="98" customFormat="true" ht="13.8" hidden="false" customHeight="false" outlineLevel="0" collapsed="false">
      <c r="A304" s="98" t="s">
        <v>142</v>
      </c>
      <c r="B304" s="98" t="s">
        <v>143</v>
      </c>
      <c r="C304" s="98" t="n">
        <v>51129771</v>
      </c>
      <c r="D304" s="98" t="s">
        <v>1217</v>
      </c>
      <c r="E304" s="98" t="s">
        <v>725</v>
      </c>
      <c r="F304" s="98" t="s">
        <v>297</v>
      </c>
      <c r="G304" s="98" t="s">
        <v>147</v>
      </c>
      <c r="H304" s="98" t="s">
        <v>220</v>
      </c>
      <c r="I304" s="99" t="n">
        <v>43599</v>
      </c>
      <c r="J304" s="99" t="n">
        <v>43616</v>
      </c>
      <c r="K304" s="100" t="n">
        <v>-1243174.65</v>
      </c>
      <c r="L304" s="100" t="n">
        <f aca="false">K304-Q304+T304</f>
        <v>-1053538.15</v>
      </c>
      <c r="M304" s="98" t="s">
        <v>149</v>
      </c>
      <c r="N304" s="100" t="n">
        <v>-1243174.65</v>
      </c>
      <c r="O304" s="98" t="s">
        <v>149</v>
      </c>
      <c r="P304" s="100" t="n">
        <v>-1243174.65</v>
      </c>
      <c r="Q304" s="100" t="n">
        <v>-189636.5</v>
      </c>
      <c r="R304" s="100" t="n">
        <v>-1053538.15</v>
      </c>
      <c r="S304" s="100" t="n">
        <v>0</v>
      </c>
      <c r="T304" s="100" t="n">
        <v>0</v>
      </c>
      <c r="U304" s="98" t="s">
        <v>192</v>
      </c>
      <c r="V304" s="98" t="s">
        <v>151</v>
      </c>
      <c r="X304" s="98" t="s">
        <v>1212</v>
      </c>
      <c r="Y304" s="98" t="s">
        <v>1213</v>
      </c>
      <c r="Z304" s="98" t="s">
        <v>1218</v>
      </c>
      <c r="AB304" s="98" t="s">
        <v>1213</v>
      </c>
      <c r="AD304" s="98" t="s">
        <v>155</v>
      </c>
      <c r="AE304" s="98" t="s">
        <v>156</v>
      </c>
      <c r="AF304" s="98" t="s">
        <v>728</v>
      </c>
      <c r="AG304" s="98" t="s">
        <v>729</v>
      </c>
      <c r="AH304" s="98" t="s">
        <v>971</v>
      </c>
      <c r="AI304" s="98" t="s">
        <v>971</v>
      </c>
      <c r="AJ304" s="98" t="s">
        <v>972</v>
      </c>
      <c r="AK304" s="98" t="s">
        <v>159</v>
      </c>
      <c r="AL304" s="98" t="s">
        <v>224</v>
      </c>
      <c r="AM304" s="98" t="s">
        <v>225</v>
      </c>
      <c r="AP304" s="98" t="s">
        <v>379</v>
      </c>
      <c r="AQ304" s="98" t="s">
        <v>377</v>
      </c>
      <c r="AR304" s="98" t="s">
        <v>1215</v>
      </c>
      <c r="AS304" s="98" t="s">
        <v>1219</v>
      </c>
      <c r="AT304" s="100" t="n">
        <v>0</v>
      </c>
      <c r="AU304" s="100" t="n">
        <v>-1243174.65</v>
      </c>
      <c r="AX304" s="98" t="s">
        <v>556</v>
      </c>
      <c r="AMH304" s="0"/>
      <c r="AMI304" s="0"/>
      <c r="AMJ304" s="0"/>
    </row>
    <row r="305" s="98" customFormat="true" ht="13.8" hidden="false" customHeight="false" outlineLevel="0" collapsed="false">
      <c r="A305" s="98" t="s">
        <v>142</v>
      </c>
      <c r="B305" s="98" t="s">
        <v>143</v>
      </c>
      <c r="C305" s="98" t="n">
        <v>51129771</v>
      </c>
      <c r="D305" s="98" t="s">
        <v>1217</v>
      </c>
      <c r="E305" s="98" t="s">
        <v>725</v>
      </c>
      <c r="F305" s="98" t="s">
        <v>297</v>
      </c>
      <c r="G305" s="98" t="s">
        <v>147</v>
      </c>
      <c r="H305" s="98" t="s">
        <v>220</v>
      </c>
      <c r="I305" s="99" t="n">
        <v>43599</v>
      </c>
      <c r="J305" s="99" t="n">
        <v>43616</v>
      </c>
      <c r="K305" s="100" t="n">
        <v>-73127.92</v>
      </c>
      <c r="L305" s="100" t="n">
        <f aca="false">K305-Q305+T305</f>
        <v>-61972.83</v>
      </c>
      <c r="M305" s="98" t="s">
        <v>149</v>
      </c>
      <c r="N305" s="100" t="n">
        <v>-73127.92</v>
      </c>
      <c r="O305" s="98" t="s">
        <v>149</v>
      </c>
      <c r="P305" s="100" t="n">
        <v>-73127.92</v>
      </c>
      <c r="Q305" s="100" t="n">
        <v>-11155.09</v>
      </c>
      <c r="R305" s="100" t="n">
        <v>-61972.83</v>
      </c>
      <c r="S305" s="100" t="n">
        <v>0</v>
      </c>
      <c r="T305" s="100" t="n">
        <v>0</v>
      </c>
      <c r="U305" s="98" t="s">
        <v>192</v>
      </c>
      <c r="V305" s="98" t="s">
        <v>151</v>
      </c>
      <c r="X305" s="98" t="s">
        <v>1212</v>
      </c>
      <c r="Y305" s="98" t="s">
        <v>1213</v>
      </c>
      <c r="Z305" s="98" t="s">
        <v>1218</v>
      </c>
      <c r="AB305" s="98" t="s">
        <v>1213</v>
      </c>
      <c r="AD305" s="98" t="s">
        <v>155</v>
      </c>
      <c r="AE305" s="98" t="s">
        <v>156</v>
      </c>
      <c r="AF305" s="98" t="s">
        <v>728</v>
      </c>
      <c r="AG305" s="98" t="s">
        <v>729</v>
      </c>
      <c r="AH305" s="98" t="s">
        <v>971</v>
      </c>
      <c r="AI305" s="98" t="s">
        <v>971</v>
      </c>
      <c r="AJ305" s="98" t="s">
        <v>972</v>
      </c>
      <c r="AK305" s="98" t="s">
        <v>159</v>
      </c>
      <c r="AL305" s="98" t="s">
        <v>224</v>
      </c>
      <c r="AM305" s="98" t="s">
        <v>225</v>
      </c>
      <c r="AP305" s="98" t="s">
        <v>553</v>
      </c>
      <c r="AQ305" s="98" t="s">
        <v>551</v>
      </c>
      <c r="AR305" s="98" t="s">
        <v>1215</v>
      </c>
      <c r="AS305" s="98" t="s">
        <v>1219</v>
      </c>
      <c r="AT305" s="100" t="n">
        <v>0</v>
      </c>
      <c r="AU305" s="100" t="n">
        <v>-73127.92</v>
      </c>
      <c r="AX305" s="98" t="s">
        <v>200</v>
      </c>
      <c r="AMH305" s="0"/>
      <c r="AMI305" s="0"/>
      <c r="AMJ305" s="0"/>
    </row>
    <row r="306" s="98" customFormat="true" ht="13.8" hidden="false" customHeight="false" outlineLevel="0" collapsed="false">
      <c r="A306" s="98" t="s">
        <v>142</v>
      </c>
      <c r="B306" s="98" t="s">
        <v>143</v>
      </c>
      <c r="C306" s="98" t="n">
        <v>51129771</v>
      </c>
      <c r="D306" s="98" t="s">
        <v>1217</v>
      </c>
      <c r="E306" s="98" t="s">
        <v>725</v>
      </c>
      <c r="F306" s="98" t="s">
        <v>297</v>
      </c>
      <c r="G306" s="98" t="s">
        <v>147</v>
      </c>
      <c r="H306" s="98" t="s">
        <v>220</v>
      </c>
      <c r="I306" s="99" t="n">
        <v>43599</v>
      </c>
      <c r="J306" s="99" t="n">
        <v>43616</v>
      </c>
      <c r="K306" s="100" t="n">
        <v>-73127.92</v>
      </c>
      <c r="L306" s="100" t="n">
        <f aca="false">K306-Q306+T306</f>
        <v>-61972.83</v>
      </c>
      <c r="M306" s="98" t="s">
        <v>149</v>
      </c>
      <c r="N306" s="100" t="n">
        <v>-73127.92</v>
      </c>
      <c r="O306" s="98" t="s">
        <v>149</v>
      </c>
      <c r="P306" s="100" t="n">
        <v>-73127.92</v>
      </c>
      <c r="Q306" s="100" t="n">
        <v>-11155.09</v>
      </c>
      <c r="R306" s="100" t="n">
        <v>-61972.83</v>
      </c>
      <c r="S306" s="100" t="n">
        <v>0</v>
      </c>
      <c r="T306" s="100" t="n">
        <v>0</v>
      </c>
      <c r="U306" s="98" t="s">
        <v>192</v>
      </c>
      <c r="V306" s="98" t="s">
        <v>151</v>
      </c>
      <c r="X306" s="98" t="s">
        <v>1212</v>
      </c>
      <c r="Y306" s="98" t="s">
        <v>1213</v>
      </c>
      <c r="Z306" s="98" t="s">
        <v>1218</v>
      </c>
      <c r="AB306" s="98" t="s">
        <v>1213</v>
      </c>
      <c r="AD306" s="98" t="s">
        <v>155</v>
      </c>
      <c r="AE306" s="98" t="s">
        <v>156</v>
      </c>
      <c r="AF306" s="98" t="s">
        <v>728</v>
      </c>
      <c r="AG306" s="98" t="s">
        <v>729</v>
      </c>
      <c r="AH306" s="98" t="s">
        <v>971</v>
      </c>
      <c r="AI306" s="98" t="s">
        <v>971</v>
      </c>
      <c r="AJ306" s="98" t="s">
        <v>972</v>
      </c>
      <c r="AK306" s="98" t="s">
        <v>159</v>
      </c>
      <c r="AL306" s="98" t="s">
        <v>224</v>
      </c>
      <c r="AM306" s="98" t="s">
        <v>225</v>
      </c>
      <c r="AP306" s="98" t="s">
        <v>553</v>
      </c>
      <c r="AQ306" s="98" t="s">
        <v>551</v>
      </c>
      <c r="AR306" s="98" t="s">
        <v>1215</v>
      </c>
      <c r="AS306" s="98" t="s">
        <v>1219</v>
      </c>
      <c r="AT306" s="100" t="n">
        <v>0</v>
      </c>
      <c r="AU306" s="100" t="n">
        <v>-73127.92</v>
      </c>
      <c r="AX306" s="98" t="s">
        <v>191</v>
      </c>
      <c r="AMH306" s="0"/>
      <c r="AMI306" s="0"/>
      <c r="AMJ306" s="0"/>
    </row>
    <row r="307" s="98" customFormat="true" ht="13.8" hidden="false" customHeight="false" outlineLevel="0" collapsed="false">
      <c r="A307" s="98" t="s">
        <v>142</v>
      </c>
      <c r="B307" s="98" t="s">
        <v>143</v>
      </c>
      <c r="C307" s="98" t="n">
        <v>51129771</v>
      </c>
      <c r="D307" s="98" t="s">
        <v>1217</v>
      </c>
      <c r="E307" s="98" t="s">
        <v>725</v>
      </c>
      <c r="F307" s="98" t="s">
        <v>297</v>
      </c>
      <c r="G307" s="98" t="s">
        <v>147</v>
      </c>
      <c r="H307" s="98" t="s">
        <v>220</v>
      </c>
      <c r="I307" s="99" t="n">
        <v>43599</v>
      </c>
      <c r="J307" s="99" t="n">
        <v>43616</v>
      </c>
      <c r="K307" s="100" t="n">
        <v>-73127.92</v>
      </c>
      <c r="L307" s="100" t="n">
        <f aca="false">K307-Q307+T307</f>
        <v>-61972.83</v>
      </c>
      <c r="M307" s="98" t="s">
        <v>149</v>
      </c>
      <c r="N307" s="100" t="n">
        <v>-73127.92</v>
      </c>
      <c r="O307" s="98" t="s">
        <v>149</v>
      </c>
      <c r="P307" s="100" t="n">
        <v>-73127.92</v>
      </c>
      <c r="Q307" s="100" t="n">
        <v>-11155.09</v>
      </c>
      <c r="R307" s="100" t="n">
        <v>-61972.83</v>
      </c>
      <c r="S307" s="100" t="n">
        <v>0</v>
      </c>
      <c r="T307" s="100" t="n">
        <v>0</v>
      </c>
      <c r="U307" s="98" t="s">
        <v>192</v>
      </c>
      <c r="V307" s="98" t="s">
        <v>151</v>
      </c>
      <c r="X307" s="98" t="s">
        <v>1212</v>
      </c>
      <c r="Y307" s="98" t="s">
        <v>1213</v>
      </c>
      <c r="Z307" s="98" t="s">
        <v>1218</v>
      </c>
      <c r="AB307" s="98" t="s">
        <v>1213</v>
      </c>
      <c r="AD307" s="98" t="s">
        <v>155</v>
      </c>
      <c r="AE307" s="98" t="s">
        <v>156</v>
      </c>
      <c r="AF307" s="98" t="s">
        <v>728</v>
      </c>
      <c r="AG307" s="98" t="s">
        <v>729</v>
      </c>
      <c r="AH307" s="98" t="s">
        <v>971</v>
      </c>
      <c r="AI307" s="98" t="s">
        <v>971</v>
      </c>
      <c r="AJ307" s="98" t="s">
        <v>972</v>
      </c>
      <c r="AK307" s="98" t="s">
        <v>159</v>
      </c>
      <c r="AL307" s="98" t="s">
        <v>224</v>
      </c>
      <c r="AM307" s="98" t="s">
        <v>225</v>
      </c>
      <c r="AP307" s="98" t="s">
        <v>553</v>
      </c>
      <c r="AQ307" s="98" t="s">
        <v>551</v>
      </c>
      <c r="AR307" s="98" t="s">
        <v>1215</v>
      </c>
      <c r="AS307" s="98" t="s">
        <v>1219</v>
      </c>
      <c r="AT307" s="100" t="n">
        <v>0</v>
      </c>
      <c r="AU307" s="100" t="n">
        <v>-73127.92</v>
      </c>
      <c r="AX307" s="98" t="s">
        <v>586</v>
      </c>
      <c r="AMH307" s="0"/>
      <c r="AMI307" s="0"/>
      <c r="AMJ307" s="0"/>
    </row>
    <row r="308" s="98" customFormat="true" ht="13.8" hidden="false" customHeight="false" outlineLevel="0" collapsed="false">
      <c r="A308" s="98" t="s">
        <v>142</v>
      </c>
      <c r="B308" s="98" t="s">
        <v>143</v>
      </c>
      <c r="C308" s="98" t="n">
        <v>51200273</v>
      </c>
      <c r="D308" s="98" t="s">
        <v>1220</v>
      </c>
      <c r="E308" s="98" t="s">
        <v>725</v>
      </c>
      <c r="F308" s="98" t="s">
        <v>234</v>
      </c>
      <c r="G308" s="98" t="s">
        <v>147</v>
      </c>
      <c r="H308" s="98" t="s">
        <v>402</v>
      </c>
      <c r="I308" s="99" t="n">
        <v>43630</v>
      </c>
      <c r="J308" s="99" t="n">
        <v>43647</v>
      </c>
      <c r="K308" s="100" t="n">
        <v>-774670</v>
      </c>
      <c r="L308" s="100" t="n">
        <f aca="false">K308-Q308+T308</f>
        <v>-656500</v>
      </c>
      <c r="M308" s="98" t="s">
        <v>149</v>
      </c>
      <c r="N308" s="100" t="n">
        <v>-774670</v>
      </c>
      <c r="O308" s="98" t="s">
        <v>149</v>
      </c>
      <c r="P308" s="100" t="n">
        <v>-774670</v>
      </c>
      <c r="Q308" s="100" t="n">
        <v>-118170</v>
      </c>
      <c r="R308" s="100" t="n">
        <v>-656500</v>
      </c>
      <c r="S308" s="100" t="n">
        <v>0</v>
      </c>
      <c r="T308" s="100" t="n">
        <v>0</v>
      </c>
      <c r="U308" s="98" t="s">
        <v>192</v>
      </c>
      <c r="V308" s="98" t="s">
        <v>151</v>
      </c>
      <c r="X308" s="98" t="s">
        <v>1221</v>
      </c>
      <c r="Y308" s="98" t="s">
        <v>1222</v>
      </c>
      <c r="Z308" s="98" t="s">
        <v>1223</v>
      </c>
      <c r="AB308" s="98" t="s">
        <v>1222</v>
      </c>
      <c r="AD308" s="98" t="s">
        <v>155</v>
      </c>
      <c r="AE308" s="98" t="s">
        <v>156</v>
      </c>
      <c r="AF308" s="98" t="s">
        <v>737</v>
      </c>
      <c r="AG308" s="98" t="s">
        <v>738</v>
      </c>
      <c r="AH308" s="98" t="s">
        <v>739</v>
      </c>
      <c r="AI308" s="98" t="s">
        <v>739</v>
      </c>
      <c r="AJ308" s="98" t="s">
        <v>740</v>
      </c>
      <c r="AK308" s="98" t="s">
        <v>159</v>
      </c>
      <c r="AL308" s="98" t="s">
        <v>224</v>
      </c>
      <c r="AM308" s="98" t="s">
        <v>225</v>
      </c>
      <c r="AP308" s="98" t="s">
        <v>454</v>
      </c>
      <c r="AQ308" s="98" t="s">
        <v>452</v>
      </c>
      <c r="AR308" s="98" t="s">
        <v>403</v>
      </c>
      <c r="AS308" s="98" t="s">
        <v>1224</v>
      </c>
      <c r="AT308" s="100" t="n">
        <v>0</v>
      </c>
      <c r="AU308" s="100" t="n">
        <v>-774670</v>
      </c>
      <c r="AX308" s="98" t="s">
        <v>165</v>
      </c>
      <c r="AMH308" s="0"/>
      <c r="AMI308" s="0"/>
      <c r="AMJ308" s="0"/>
    </row>
    <row r="309" s="98" customFormat="true" ht="13.8" hidden="false" customHeight="false" outlineLevel="0" collapsed="false">
      <c r="A309" s="98" t="s">
        <v>142</v>
      </c>
      <c r="B309" s="98" t="s">
        <v>143</v>
      </c>
      <c r="C309" s="98" t="n">
        <v>51129404</v>
      </c>
      <c r="D309" s="98" t="s">
        <v>1225</v>
      </c>
      <c r="E309" s="98" t="s">
        <v>725</v>
      </c>
      <c r="F309" s="98" t="s">
        <v>297</v>
      </c>
      <c r="G309" s="98" t="s">
        <v>147</v>
      </c>
      <c r="H309" s="98" t="s">
        <v>220</v>
      </c>
      <c r="I309" s="99" t="n">
        <v>43598</v>
      </c>
      <c r="J309" s="99" t="n">
        <v>43616</v>
      </c>
      <c r="K309" s="100" t="n">
        <v>-156840.54</v>
      </c>
      <c r="L309" s="100" t="n">
        <f aca="false">K309-Q309+T309</f>
        <v>-132915.7</v>
      </c>
      <c r="M309" s="98" t="s">
        <v>149</v>
      </c>
      <c r="N309" s="100" t="n">
        <v>-156840.54</v>
      </c>
      <c r="O309" s="98" t="s">
        <v>149</v>
      </c>
      <c r="P309" s="100" t="n">
        <v>-156840.54</v>
      </c>
      <c r="Q309" s="100" t="n">
        <v>-23924.84</v>
      </c>
      <c r="R309" s="100" t="n">
        <v>-132915.7</v>
      </c>
      <c r="S309" s="100" t="n">
        <v>0</v>
      </c>
      <c r="T309" s="100" t="n">
        <v>0</v>
      </c>
      <c r="U309" s="98" t="s">
        <v>192</v>
      </c>
      <c r="V309" s="98" t="s">
        <v>151</v>
      </c>
      <c r="X309" s="98" t="s">
        <v>1212</v>
      </c>
      <c r="Y309" s="98" t="s">
        <v>1213</v>
      </c>
      <c r="Z309" s="98" t="s">
        <v>1226</v>
      </c>
      <c r="AB309" s="98" t="s">
        <v>1213</v>
      </c>
      <c r="AD309" s="98" t="s">
        <v>155</v>
      </c>
      <c r="AE309" s="98" t="s">
        <v>156</v>
      </c>
      <c r="AF309" s="98" t="s">
        <v>728</v>
      </c>
      <c r="AG309" s="98" t="s">
        <v>729</v>
      </c>
      <c r="AH309" s="98" t="s">
        <v>971</v>
      </c>
      <c r="AI309" s="98" t="s">
        <v>971</v>
      </c>
      <c r="AJ309" s="98" t="s">
        <v>972</v>
      </c>
      <c r="AK309" s="98" t="s">
        <v>159</v>
      </c>
      <c r="AL309" s="98" t="s">
        <v>224</v>
      </c>
      <c r="AM309" s="98" t="s">
        <v>225</v>
      </c>
      <c r="AP309" s="98" t="s">
        <v>553</v>
      </c>
      <c r="AQ309" s="98" t="s">
        <v>551</v>
      </c>
      <c r="AR309" s="98" t="s">
        <v>1215</v>
      </c>
      <c r="AS309" s="98" t="s">
        <v>1227</v>
      </c>
      <c r="AT309" s="100" t="n">
        <v>0</v>
      </c>
      <c r="AU309" s="100" t="n">
        <v>-156840.54</v>
      </c>
      <c r="AX309" s="98" t="s">
        <v>213</v>
      </c>
      <c r="AMH309" s="0"/>
      <c r="AMI309" s="0"/>
      <c r="AMJ309" s="0"/>
    </row>
    <row r="310" s="98" customFormat="true" ht="13.8" hidden="false" customHeight="false" outlineLevel="0" collapsed="false">
      <c r="A310" s="98" t="s">
        <v>142</v>
      </c>
      <c r="B310" s="98" t="s">
        <v>143</v>
      </c>
      <c r="C310" s="98" t="n">
        <v>51129404</v>
      </c>
      <c r="D310" s="98" t="s">
        <v>1225</v>
      </c>
      <c r="E310" s="98" t="s">
        <v>725</v>
      </c>
      <c r="F310" s="98" t="s">
        <v>297</v>
      </c>
      <c r="G310" s="98" t="s">
        <v>147</v>
      </c>
      <c r="H310" s="98" t="s">
        <v>220</v>
      </c>
      <c r="I310" s="99" t="n">
        <v>43598</v>
      </c>
      <c r="J310" s="99" t="n">
        <v>43616</v>
      </c>
      <c r="K310" s="100" t="n">
        <v>-156840.54</v>
      </c>
      <c r="L310" s="100" t="n">
        <f aca="false">K310-Q310+T310</f>
        <v>-132915.7</v>
      </c>
      <c r="M310" s="98" t="s">
        <v>149</v>
      </c>
      <c r="N310" s="100" t="n">
        <v>-156840.54</v>
      </c>
      <c r="O310" s="98" t="s">
        <v>149</v>
      </c>
      <c r="P310" s="100" t="n">
        <v>-156840.54</v>
      </c>
      <c r="Q310" s="100" t="n">
        <v>-23924.84</v>
      </c>
      <c r="R310" s="100" t="n">
        <v>-132915.7</v>
      </c>
      <c r="S310" s="100" t="n">
        <v>0</v>
      </c>
      <c r="T310" s="100" t="n">
        <v>0</v>
      </c>
      <c r="U310" s="98" t="s">
        <v>192</v>
      </c>
      <c r="V310" s="98" t="s">
        <v>151</v>
      </c>
      <c r="X310" s="98" t="s">
        <v>1212</v>
      </c>
      <c r="Y310" s="98" t="s">
        <v>1213</v>
      </c>
      <c r="Z310" s="98" t="s">
        <v>1226</v>
      </c>
      <c r="AB310" s="98" t="s">
        <v>1213</v>
      </c>
      <c r="AD310" s="98" t="s">
        <v>155</v>
      </c>
      <c r="AE310" s="98" t="s">
        <v>156</v>
      </c>
      <c r="AF310" s="98" t="s">
        <v>728</v>
      </c>
      <c r="AG310" s="98" t="s">
        <v>729</v>
      </c>
      <c r="AH310" s="98" t="s">
        <v>971</v>
      </c>
      <c r="AI310" s="98" t="s">
        <v>971</v>
      </c>
      <c r="AJ310" s="98" t="s">
        <v>972</v>
      </c>
      <c r="AK310" s="98" t="s">
        <v>159</v>
      </c>
      <c r="AL310" s="98" t="s">
        <v>224</v>
      </c>
      <c r="AM310" s="98" t="s">
        <v>225</v>
      </c>
      <c r="AP310" s="98" t="s">
        <v>553</v>
      </c>
      <c r="AQ310" s="98" t="s">
        <v>551</v>
      </c>
      <c r="AR310" s="98" t="s">
        <v>1215</v>
      </c>
      <c r="AS310" s="98" t="s">
        <v>1227</v>
      </c>
      <c r="AT310" s="100" t="n">
        <v>0</v>
      </c>
      <c r="AU310" s="100" t="n">
        <v>-156840.54</v>
      </c>
      <c r="AX310" s="98" t="s">
        <v>200</v>
      </c>
      <c r="AMH310" s="0"/>
      <c r="AMI310" s="0"/>
      <c r="AMJ310" s="0"/>
    </row>
    <row r="311" s="98" customFormat="true" ht="13.8" hidden="false" customHeight="false" outlineLevel="0" collapsed="false">
      <c r="A311" s="98" t="s">
        <v>142</v>
      </c>
      <c r="B311" s="98" t="s">
        <v>143</v>
      </c>
      <c r="C311" s="98" t="n">
        <v>51129404</v>
      </c>
      <c r="D311" s="98" t="s">
        <v>1225</v>
      </c>
      <c r="E311" s="98" t="s">
        <v>725</v>
      </c>
      <c r="F311" s="98" t="s">
        <v>297</v>
      </c>
      <c r="G311" s="98" t="s">
        <v>147</v>
      </c>
      <c r="H311" s="98" t="s">
        <v>220</v>
      </c>
      <c r="I311" s="99" t="n">
        <v>43598</v>
      </c>
      <c r="J311" s="99" t="n">
        <v>43616</v>
      </c>
      <c r="K311" s="100" t="n">
        <v>-156840.54</v>
      </c>
      <c r="L311" s="100" t="n">
        <f aca="false">K311-Q311+T311</f>
        <v>-132915.7</v>
      </c>
      <c r="M311" s="98" t="s">
        <v>149</v>
      </c>
      <c r="N311" s="100" t="n">
        <v>-156840.54</v>
      </c>
      <c r="O311" s="98" t="s">
        <v>149</v>
      </c>
      <c r="P311" s="100" t="n">
        <v>-156840.54</v>
      </c>
      <c r="Q311" s="100" t="n">
        <v>-23924.84</v>
      </c>
      <c r="R311" s="100" t="n">
        <v>-132915.7</v>
      </c>
      <c r="S311" s="100" t="n">
        <v>0</v>
      </c>
      <c r="T311" s="100" t="n">
        <v>0</v>
      </c>
      <c r="U311" s="98" t="s">
        <v>192</v>
      </c>
      <c r="V311" s="98" t="s">
        <v>151</v>
      </c>
      <c r="X311" s="98" t="s">
        <v>1212</v>
      </c>
      <c r="Y311" s="98" t="s">
        <v>1213</v>
      </c>
      <c r="Z311" s="98" t="s">
        <v>1226</v>
      </c>
      <c r="AB311" s="98" t="s">
        <v>1213</v>
      </c>
      <c r="AD311" s="98" t="s">
        <v>155</v>
      </c>
      <c r="AE311" s="98" t="s">
        <v>156</v>
      </c>
      <c r="AF311" s="98" t="s">
        <v>728</v>
      </c>
      <c r="AG311" s="98" t="s">
        <v>729</v>
      </c>
      <c r="AH311" s="98" t="s">
        <v>971</v>
      </c>
      <c r="AI311" s="98" t="s">
        <v>971</v>
      </c>
      <c r="AJ311" s="98" t="s">
        <v>972</v>
      </c>
      <c r="AK311" s="98" t="s">
        <v>159</v>
      </c>
      <c r="AL311" s="98" t="s">
        <v>224</v>
      </c>
      <c r="AM311" s="98" t="s">
        <v>225</v>
      </c>
      <c r="AP311" s="98" t="s">
        <v>553</v>
      </c>
      <c r="AQ311" s="98" t="s">
        <v>551</v>
      </c>
      <c r="AR311" s="98" t="s">
        <v>1215</v>
      </c>
      <c r="AS311" s="98" t="s">
        <v>1227</v>
      </c>
      <c r="AT311" s="100" t="n">
        <v>0</v>
      </c>
      <c r="AU311" s="100" t="n">
        <v>-156840.54</v>
      </c>
      <c r="AX311" s="98" t="s">
        <v>191</v>
      </c>
      <c r="AMH311" s="0"/>
      <c r="AMI311" s="0"/>
      <c r="AMJ311" s="0"/>
    </row>
    <row r="312" s="98" customFormat="true" ht="13.8" hidden="false" customHeight="false" outlineLevel="0" collapsed="false">
      <c r="A312" s="98" t="s">
        <v>142</v>
      </c>
      <c r="B312" s="98" t="s">
        <v>143</v>
      </c>
      <c r="C312" s="98" t="n">
        <v>51129404</v>
      </c>
      <c r="D312" s="98" t="s">
        <v>1225</v>
      </c>
      <c r="E312" s="98" t="s">
        <v>725</v>
      </c>
      <c r="F312" s="98" t="s">
        <v>297</v>
      </c>
      <c r="G312" s="98" t="s">
        <v>147</v>
      </c>
      <c r="H312" s="98" t="s">
        <v>220</v>
      </c>
      <c r="I312" s="99" t="n">
        <v>43598</v>
      </c>
      <c r="J312" s="99" t="n">
        <v>43616</v>
      </c>
      <c r="K312" s="100" t="n">
        <v>-2666289.17</v>
      </c>
      <c r="L312" s="100" t="n">
        <f aca="false">K312-Q312+T312</f>
        <v>-2259566.91</v>
      </c>
      <c r="M312" s="98" t="s">
        <v>149</v>
      </c>
      <c r="N312" s="100" t="n">
        <v>-2666289.17</v>
      </c>
      <c r="O312" s="98" t="s">
        <v>149</v>
      </c>
      <c r="P312" s="100" t="n">
        <v>-2666289.17</v>
      </c>
      <c r="Q312" s="100" t="n">
        <v>-406722.26</v>
      </c>
      <c r="R312" s="100" t="n">
        <v>-2259566.91</v>
      </c>
      <c r="S312" s="100" t="n">
        <v>0</v>
      </c>
      <c r="T312" s="100" t="n">
        <v>0</v>
      </c>
      <c r="U312" s="98" t="s">
        <v>192</v>
      </c>
      <c r="V312" s="98" t="s">
        <v>151</v>
      </c>
      <c r="X312" s="98" t="s">
        <v>1212</v>
      </c>
      <c r="Y312" s="98" t="s">
        <v>1213</v>
      </c>
      <c r="Z312" s="98" t="s">
        <v>1226</v>
      </c>
      <c r="AB312" s="98" t="s">
        <v>1213</v>
      </c>
      <c r="AD312" s="98" t="s">
        <v>155</v>
      </c>
      <c r="AE312" s="98" t="s">
        <v>156</v>
      </c>
      <c r="AF312" s="98" t="s">
        <v>728</v>
      </c>
      <c r="AG312" s="98" t="s">
        <v>729</v>
      </c>
      <c r="AH312" s="98" t="s">
        <v>971</v>
      </c>
      <c r="AI312" s="98" t="s">
        <v>971</v>
      </c>
      <c r="AJ312" s="98" t="s">
        <v>972</v>
      </c>
      <c r="AK312" s="98" t="s">
        <v>159</v>
      </c>
      <c r="AL312" s="98" t="s">
        <v>224</v>
      </c>
      <c r="AM312" s="98" t="s">
        <v>225</v>
      </c>
      <c r="AP312" s="98" t="s">
        <v>379</v>
      </c>
      <c r="AQ312" s="98" t="s">
        <v>377</v>
      </c>
      <c r="AR312" s="98" t="s">
        <v>1215</v>
      </c>
      <c r="AS312" s="98" t="s">
        <v>1227</v>
      </c>
      <c r="AT312" s="100" t="n">
        <v>0</v>
      </c>
      <c r="AU312" s="100" t="n">
        <v>-2666289.17</v>
      </c>
      <c r="AX312" s="98" t="s">
        <v>586</v>
      </c>
      <c r="AMH312" s="0"/>
      <c r="AMI312" s="0"/>
      <c r="AMJ312" s="0"/>
    </row>
    <row r="313" s="98" customFormat="true" ht="13.8" hidden="false" customHeight="false" outlineLevel="0" collapsed="false">
      <c r="A313" s="98" t="s">
        <v>142</v>
      </c>
      <c r="B313" s="98" t="s">
        <v>143</v>
      </c>
      <c r="C313" s="98" t="n">
        <v>51246065</v>
      </c>
      <c r="D313" s="98" t="s">
        <v>1228</v>
      </c>
      <c r="E313" s="98" t="s">
        <v>725</v>
      </c>
      <c r="F313" s="98" t="s">
        <v>278</v>
      </c>
      <c r="G313" s="98" t="s">
        <v>147</v>
      </c>
      <c r="H313" s="98" t="s">
        <v>402</v>
      </c>
      <c r="I313" s="99" t="n">
        <v>43650</v>
      </c>
      <c r="J313" s="99" t="n">
        <v>43668</v>
      </c>
      <c r="K313" s="100" t="n">
        <v>-254204.56</v>
      </c>
      <c r="L313" s="100" t="n">
        <f aca="false">K313-Q313+T313</f>
        <v>-215427.6</v>
      </c>
      <c r="M313" s="98" t="s">
        <v>149</v>
      </c>
      <c r="N313" s="100" t="n">
        <v>-254204.56</v>
      </c>
      <c r="O313" s="98" t="s">
        <v>149</v>
      </c>
      <c r="P313" s="100" t="n">
        <v>-254204.56</v>
      </c>
      <c r="Q313" s="100" t="n">
        <v>-38776.96</v>
      </c>
      <c r="R313" s="100" t="n">
        <v>-215427.6</v>
      </c>
      <c r="S313" s="100" t="n">
        <v>0</v>
      </c>
      <c r="T313" s="100" t="n">
        <v>0</v>
      </c>
      <c r="U313" s="98" t="s">
        <v>192</v>
      </c>
      <c r="V313" s="98" t="s">
        <v>151</v>
      </c>
      <c r="X313" s="98" t="s">
        <v>1229</v>
      </c>
      <c r="Y313" s="98" t="s">
        <v>1230</v>
      </c>
      <c r="Z313" s="98" t="s">
        <v>1231</v>
      </c>
      <c r="AB313" s="98" t="s">
        <v>1230</v>
      </c>
      <c r="AD313" s="98" t="s">
        <v>155</v>
      </c>
      <c r="AE313" s="98" t="s">
        <v>156</v>
      </c>
      <c r="AF313" s="98" t="s">
        <v>737</v>
      </c>
      <c r="AG313" s="98" t="s">
        <v>738</v>
      </c>
      <c r="AH313" s="98" t="s">
        <v>739</v>
      </c>
      <c r="AI313" s="98" t="s">
        <v>739</v>
      </c>
      <c r="AJ313" s="98" t="s">
        <v>740</v>
      </c>
      <c r="AK313" s="98" t="s">
        <v>159</v>
      </c>
      <c r="AL313" s="98" t="s">
        <v>224</v>
      </c>
      <c r="AM313" s="98" t="s">
        <v>225</v>
      </c>
      <c r="AP313" s="98" t="s">
        <v>494</v>
      </c>
      <c r="AQ313" s="98" t="s">
        <v>492</v>
      </c>
      <c r="AR313" s="98" t="s">
        <v>1232</v>
      </c>
      <c r="AS313" s="98" t="s">
        <v>1233</v>
      </c>
      <c r="AT313" s="100" t="n">
        <v>0</v>
      </c>
      <c r="AU313" s="100" t="n">
        <v>-254204.56</v>
      </c>
      <c r="AX313" s="98" t="s">
        <v>165</v>
      </c>
      <c r="AMH313" s="0"/>
      <c r="AMI313" s="0"/>
      <c r="AMJ313" s="0"/>
    </row>
    <row r="314" s="98" customFormat="true" ht="13.8" hidden="false" customHeight="false" outlineLevel="0" collapsed="false">
      <c r="A314" s="98" t="s">
        <v>142</v>
      </c>
      <c r="B314" s="98" t="s">
        <v>143</v>
      </c>
      <c r="C314" s="98" t="n">
        <v>51583793</v>
      </c>
      <c r="D314" s="98" t="s">
        <v>1234</v>
      </c>
      <c r="E314" s="98" t="s">
        <v>725</v>
      </c>
      <c r="F314" s="98" t="s">
        <v>212</v>
      </c>
      <c r="G314" s="98" t="s">
        <v>147</v>
      </c>
      <c r="H314" s="98" t="s">
        <v>191</v>
      </c>
      <c r="I314" s="99" t="n">
        <v>43816</v>
      </c>
      <c r="J314" s="99" t="n">
        <v>43834</v>
      </c>
      <c r="K314" s="100" t="n">
        <v>-550877.69</v>
      </c>
      <c r="L314" s="100" t="n">
        <f aca="false">K314-Q314+T314</f>
        <v>-466845.5</v>
      </c>
      <c r="M314" s="98" t="s">
        <v>149</v>
      </c>
      <c r="N314" s="100" t="n">
        <v>-550877.69</v>
      </c>
      <c r="O314" s="98" t="s">
        <v>149</v>
      </c>
      <c r="P314" s="100" t="n">
        <v>-550877.69</v>
      </c>
      <c r="Q314" s="100" t="n">
        <v>-84032.19</v>
      </c>
      <c r="R314" s="100" t="n">
        <v>-466845.5</v>
      </c>
      <c r="S314" s="100" t="n">
        <v>0</v>
      </c>
      <c r="T314" s="100" t="n">
        <v>0</v>
      </c>
      <c r="U314" s="98" t="s">
        <v>150</v>
      </c>
      <c r="V314" s="98" t="s">
        <v>151</v>
      </c>
      <c r="X314" s="98" t="s">
        <v>1235</v>
      </c>
      <c r="Y314" s="98" t="s">
        <v>1236</v>
      </c>
      <c r="Z314" s="98" t="s">
        <v>1237</v>
      </c>
      <c r="AB314" s="98" t="s">
        <v>1236</v>
      </c>
      <c r="AD314" s="98" t="s">
        <v>155</v>
      </c>
      <c r="AE314" s="98" t="s">
        <v>156</v>
      </c>
      <c r="AF314" s="98" t="s">
        <v>737</v>
      </c>
      <c r="AG314" s="98" t="s">
        <v>738</v>
      </c>
      <c r="AH314" s="98" t="s">
        <v>793</v>
      </c>
      <c r="AI314" s="98" t="s">
        <v>793</v>
      </c>
      <c r="AJ314" s="98" t="s">
        <v>794</v>
      </c>
      <c r="AK314" s="98" t="s">
        <v>159</v>
      </c>
      <c r="AL314" s="98" t="s">
        <v>224</v>
      </c>
      <c r="AM314" s="98" t="s">
        <v>225</v>
      </c>
      <c r="AP314" s="98" t="s">
        <v>680</v>
      </c>
      <c r="AQ314" s="98" t="s">
        <v>678</v>
      </c>
      <c r="AR314" s="98" t="s">
        <v>1238</v>
      </c>
      <c r="AS314" s="98" t="s">
        <v>1239</v>
      </c>
      <c r="AT314" s="100" t="n">
        <v>0</v>
      </c>
      <c r="AU314" s="100" t="n">
        <v>-550877.69</v>
      </c>
      <c r="AX314" s="98" t="s">
        <v>220</v>
      </c>
      <c r="AMH314" s="0"/>
      <c r="AMI314" s="0"/>
      <c r="AMJ314" s="0"/>
    </row>
    <row r="315" s="98" customFormat="true" ht="13.8" hidden="false" customHeight="false" outlineLevel="0" collapsed="false">
      <c r="A315" s="98" t="s">
        <v>142</v>
      </c>
      <c r="B315" s="98" t="s">
        <v>143</v>
      </c>
      <c r="C315" s="98" t="n">
        <v>51583793</v>
      </c>
      <c r="D315" s="98" t="s">
        <v>1234</v>
      </c>
      <c r="E315" s="98" t="s">
        <v>725</v>
      </c>
      <c r="F315" s="98" t="s">
        <v>212</v>
      </c>
      <c r="G315" s="98" t="s">
        <v>147</v>
      </c>
      <c r="H315" s="98" t="s">
        <v>191</v>
      </c>
      <c r="I315" s="99" t="n">
        <v>43816</v>
      </c>
      <c r="J315" s="99" t="n">
        <v>43834</v>
      </c>
      <c r="K315" s="100" t="n">
        <v>-551319.01</v>
      </c>
      <c r="L315" s="100" t="n">
        <f aca="false">K315-Q315+T315</f>
        <v>-467219.5</v>
      </c>
      <c r="M315" s="98" t="s">
        <v>149</v>
      </c>
      <c r="N315" s="100" t="n">
        <v>-551319.01</v>
      </c>
      <c r="O315" s="98" t="s">
        <v>149</v>
      </c>
      <c r="P315" s="100" t="n">
        <v>-551319.01</v>
      </c>
      <c r="Q315" s="100" t="n">
        <v>-84099.51</v>
      </c>
      <c r="R315" s="100" t="n">
        <v>-467219.5</v>
      </c>
      <c r="S315" s="100" t="n">
        <v>0</v>
      </c>
      <c r="T315" s="100" t="n">
        <v>0</v>
      </c>
      <c r="U315" s="98" t="s">
        <v>150</v>
      </c>
      <c r="V315" s="98" t="s">
        <v>151</v>
      </c>
      <c r="X315" s="98" t="s">
        <v>1235</v>
      </c>
      <c r="Y315" s="98" t="s">
        <v>1236</v>
      </c>
      <c r="Z315" s="98" t="s">
        <v>1237</v>
      </c>
      <c r="AB315" s="98" t="s">
        <v>1236</v>
      </c>
      <c r="AD315" s="98" t="s">
        <v>155</v>
      </c>
      <c r="AE315" s="98" t="s">
        <v>156</v>
      </c>
      <c r="AF315" s="98" t="s">
        <v>737</v>
      </c>
      <c r="AG315" s="98" t="s">
        <v>738</v>
      </c>
      <c r="AH315" s="98" t="s">
        <v>793</v>
      </c>
      <c r="AI315" s="98" t="s">
        <v>793</v>
      </c>
      <c r="AJ315" s="98" t="s">
        <v>794</v>
      </c>
      <c r="AK315" s="98" t="s">
        <v>159</v>
      </c>
      <c r="AL315" s="98" t="s">
        <v>224</v>
      </c>
      <c r="AM315" s="98" t="s">
        <v>225</v>
      </c>
      <c r="AP315" s="98" t="s">
        <v>680</v>
      </c>
      <c r="AQ315" s="98" t="s">
        <v>678</v>
      </c>
      <c r="AR315" s="98" t="s">
        <v>1238</v>
      </c>
      <c r="AS315" s="98" t="s">
        <v>1239</v>
      </c>
      <c r="AT315" s="100" t="n">
        <v>0</v>
      </c>
      <c r="AU315" s="100" t="n">
        <v>-551319.01</v>
      </c>
      <c r="AX315" s="98" t="s">
        <v>165</v>
      </c>
      <c r="AMH315" s="0"/>
      <c r="AMI315" s="0"/>
      <c r="AMJ315" s="0"/>
    </row>
    <row r="316" s="98" customFormat="true" ht="13.8" hidden="false" customHeight="false" outlineLevel="0" collapsed="false">
      <c r="A316" s="98" t="s">
        <v>142</v>
      </c>
      <c r="B316" s="98" t="s">
        <v>143</v>
      </c>
      <c r="C316" s="98" t="n">
        <v>51784717</v>
      </c>
      <c r="D316" s="98" t="s">
        <v>1240</v>
      </c>
      <c r="E316" s="98" t="s">
        <v>725</v>
      </c>
      <c r="F316" s="98" t="s">
        <v>167</v>
      </c>
      <c r="G316" s="98" t="s">
        <v>147</v>
      </c>
      <c r="H316" s="98" t="s">
        <v>213</v>
      </c>
      <c r="I316" s="99" t="n">
        <v>43903</v>
      </c>
      <c r="J316" s="99" t="n">
        <v>43921</v>
      </c>
      <c r="K316" s="100" t="n">
        <v>-436392</v>
      </c>
      <c r="L316" s="100" t="n">
        <f aca="false">K316-Q316+T316</f>
        <v>-376200</v>
      </c>
      <c r="M316" s="98" t="s">
        <v>149</v>
      </c>
      <c r="N316" s="100" t="n">
        <v>-436392</v>
      </c>
      <c r="O316" s="98" t="s">
        <v>149</v>
      </c>
      <c r="P316" s="100" t="n">
        <v>-443916</v>
      </c>
      <c r="Q316" s="100" t="n">
        <v>-67716</v>
      </c>
      <c r="R316" s="100" t="n">
        <v>-368676</v>
      </c>
      <c r="S316" s="100" t="n">
        <v>-376200</v>
      </c>
      <c r="T316" s="100" t="n">
        <v>-7524</v>
      </c>
      <c r="U316" s="98" t="s">
        <v>192</v>
      </c>
      <c r="V316" s="98" t="s">
        <v>151</v>
      </c>
      <c r="X316" s="98" t="s">
        <v>1071</v>
      </c>
      <c r="Y316" s="98" t="s">
        <v>1241</v>
      </c>
      <c r="Z316" s="98" t="s">
        <v>1242</v>
      </c>
      <c r="AB316" s="98" t="s">
        <v>1241</v>
      </c>
      <c r="AD316" s="98" t="s">
        <v>155</v>
      </c>
      <c r="AE316" s="98" t="s">
        <v>156</v>
      </c>
      <c r="AF316" s="98" t="s">
        <v>747</v>
      </c>
      <c r="AG316" s="98" t="s">
        <v>748</v>
      </c>
      <c r="AH316" s="98" t="s">
        <v>749</v>
      </c>
      <c r="AI316" s="98" t="s">
        <v>749</v>
      </c>
      <c r="AJ316" s="98" t="s">
        <v>750</v>
      </c>
      <c r="AK316" s="98" t="s">
        <v>159</v>
      </c>
      <c r="AL316" s="98" t="s">
        <v>224</v>
      </c>
      <c r="AM316" s="98" t="s">
        <v>225</v>
      </c>
      <c r="AR316" s="98" t="s">
        <v>214</v>
      </c>
      <c r="AS316" s="98" t="s">
        <v>1243</v>
      </c>
      <c r="AT316" s="100" t="n">
        <v>0</v>
      </c>
      <c r="AU316" s="100" t="n">
        <v>-436392</v>
      </c>
      <c r="AX316" s="98" t="s">
        <v>165</v>
      </c>
      <c r="AMH316" s="0"/>
      <c r="AMI316" s="0"/>
      <c r="AMJ316" s="0"/>
    </row>
    <row r="317" s="98" customFormat="true" ht="13.8" hidden="false" customHeight="false" outlineLevel="0" collapsed="false">
      <c r="A317" s="98" t="s">
        <v>142</v>
      </c>
      <c r="B317" s="98" t="s">
        <v>143</v>
      </c>
      <c r="C317" s="98" t="n">
        <v>51784734</v>
      </c>
      <c r="D317" s="98" t="s">
        <v>1244</v>
      </c>
      <c r="E317" s="98" t="s">
        <v>725</v>
      </c>
      <c r="F317" s="98" t="s">
        <v>167</v>
      </c>
      <c r="G317" s="98" t="s">
        <v>147</v>
      </c>
      <c r="H317" s="98" t="s">
        <v>213</v>
      </c>
      <c r="I317" s="99" t="n">
        <v>43903</v>
      </c>
      <c r="J317" s="99" t="n">
        <v>43921</v>
      </c>
      <c r="K317" s="100" t="n">
        <v>-296912.8</v>
      </c>
      <c r="L317" s="100" t="n">
        <f aca="false">K317-Q317+T317</f>
        <v>-255960</v>
      </c>
      <c r="M317" s="98" t="s">
        <v>149</v>
      </c>
      <c r="N317" s="100" t="n">
        <v>-296912.8</v>
      </c>
      <c r="O317" s="98" t="s">
        <v>149</v>
      </c>
      <c r="P317" s="100" t="n">
        <v>-302032.8</v>
      </c>
      <c r="Q317" s="100" t="n">
        <v>-46072.8</v>
      </c>
      <c r="R317" s="100" t="n">
        <v>-250840</v>
      </c>
      <c r="S317" s="100" t="n">
        <v>-255960</v>
      </c>
      <c r="T317" s="100" t="n">
        <v>-5120</v>
      </c>
      <c r="U317" s="98" t="s">
        <v>192</v>
      </c>
      <c r="V317" s="98" t="s">
        <v>151</v>
      </c>
      <c r="X317" s="98" t="s">
        <v>1071</v>
      </c>
      <c r="Y317" s="98" t="s">
        <v>1245</v>
      </c>
      <c r="Z317" s="98" t="s">
        <v>1246</v>
      </c>
      <c r="AB317" s="98" t="s">
        <v>1245</v>
      </c>
      <c r="AD317" s="98" t="s">
        <v>155</v>
      </c>
      <c r="AE317" s="98" t="s">
        <v>156</v>
      </c>
      <c r="AF317" s="98" t="s">
        <v>747</v>
      </c>
      <c r="AG317" s="98" t="s">
        <v>748</v>
      </c>
      <c r="AH317" s="98" t="s">
        <v>749</v>
      </c>
      <c r="AI317" s="98" t="s">
        <v>749</v>
      </c>
      <c r="AJ317" s="98" t="s">
        <v>750</v>
      </c>
      <c r="AK317" s="98" t="s">
        <v>159</v>
      </c>
      <c r="AL317" s="98" t="s">
        <v>224</v>
      </c>
      <c r="AM317" s="98" t="s">
        <v>225</v>
      </c>
      <c r="AR317" s="98" t="s">
        <v>214</v>
      </c>
      <c r="AS317" s="98" t="s">
        <v>1247</v>
      </c>
      <c r="AT317" s="100" t="n">
        <v>0</v>
      </c>
      <c r="AU317" s="100" t="n">
        <v>-296912.8</v>
      </c>
      <c r="AX317" s="98" t="s">
        <v>165</v>
      </c>
      <c r="AMH317" s="0"/>
      <c r="AMI317" s="0"/>
      <c r="AMJ317" s="0"/>
    </row>
    <row r="318" s="98" customFormat="true" ht="13.8" hidden="false" customHeight="false" outlineLevel="0" collapsed="false">
      <c r="A318" s="98" t="s">
        <v>142</v>
      </c>
      <c r="B318" s="98" t="s">
        <v>143</v>
      </c>
      <c r="C318" s="98" t="n">
        <v>51785309</v>
      </c>
      <c r="D318" s="98" t="s">
        <v>1248</v>
      </c>
      <c r="E318" s="98" t="s">
        <v>725</v>
      </c>
      <c r="F318" s="98" t="s">
        <v>167</v>
      </c>
      <c r="G318" s="98" t="s">
        <v>147</v>
      </c>
      <c r="H318" s="98" t="s">
        <v>213</v>
      </c>
      <c r="I318" s="99" t="n">
        <v>43903</v>
      </c>
      <c r="J318" s="99" t="n">
        <v>43921</v>
      </c>
      <c r="K318" s="100" t="n">
        <v>-125221.86</v>
      </c>
      <c r="L318" s="100" t="n">
        <f aca="false">K318-Q318+T318</f>
        <v>-107950</v>
      </c>
      <c r="M318" s="98" t="s">
        <v>149</v>
      </c>
      <c r="N318" s="100" t="n">
        <v>-125221.86</v>
      </c>
      <c r="O318" s="98" t="s">
        <v>149</v>
      </c>
      <c r="P318" s="100" t="n">
        <v>-127381</v>
      </c>
      <c r="Q318" s="100" t="n">
        <v>-19431</v>
      </c>
      <c r="R318" s="100" t="n">
        <v>-105790.86</v>
      </c>
      <c r="S318" s="100" t="n">
        <v>-107950</v>
      </c>
      <c r="T318" s="100" t="n">
        <v>-2159.14</v>
      </c>
      <c r="U318" s="98" t="s">
        <v>192</v>
      </c>
      <c r="V318" s="98" t="s">
        <v>151</v>
      </c>
      <c r="X318" s="98" t="s">
        <v>1071</v>
      </c>
      <c r="Y318" s="98" t="s">
        <v>1249</v>
      </c>
      <c r="Z318" s="98" t="s">
        <v>1250</v>
      </c>
      <c r="AB318" s="98" t="s">
        <v>1249</v>
      </c>
      <c r="AD318" s="98" t="s">
        <v>155</v>
      </c>
      <c r="AE318" s="98" t="s">
        <v>156</v>
      </c>
      <c r="AF318" s="98" t="s">
        <v>747</v>
      </c>
      <c r="AG318" s="98" t="s">
        <v>748</v>
      </c>
      <c r="AH318" s="98" t="s">
        <v>749</v>
      </c>
      <c r="AI318" s="98" t="s">
        <v>749</v>
      </c>
      <c r="AJ318" s="98" t="s">
        <v>750</v>
      </c>
      <c r="AK318" s="98" t="s">
        <v>159</v>
      </c>
      <c r="AL318" s="98" t="s">
        <v>224</v>
      </c>
      <c r="AM318" s="98" t="s">
        <v>225</v>
      </c>
      <c r="AR318" s="98" t="s">
        <v>214</v>
      </c>
      <c r="AS318" s="98" t="s">
        <v>1251</v>
      </c>
      <c r="AT318" s="100" t="n">
        <v>0</v>
      </c>
      <c r="AU318" s="100" t="n">
        <v>-125221.86</v>
      </c>
      <c r="AX318" s="98" t="s">
        <v>220</v>
      </c>
      <c r="AMH318" s="0"/>
      <c r="AMI318" s="0"/>
      <c r="AMJ318" s="0"/>
    </row>
    <row r="319" s="98" customFormat="true" ht="13.8" hidden="false" customHeight="false" outlineLevel="0" collapsed="false">
      <c r="A319" s="98" t="s">
        <v>142</v>
      </c>
      <c r="B319" s="98" t="s">
        <v>143</v>
      </c>
      <c r="C319" s="98" t="n">
        <v>51785309</v>
      </c>
      <c r="D319" s="98" t="s">
        <v>1248</v>
      </c>
      <c r="E319" s="98" t="s">
        <v>725</v>
      </c>
      <c r="F319" s="98" t="s">
        <v>167</v>
      </c>
      <c r="G319" s="98" t="s">
        <v>147</v>
      </c>
      <c r="H319" s="98" t="s">
        <v>213</v>
      </c>
      <c r="I319" s="99" t="n">
        <v>43903</v>
      </c>
      <c r="J319" s="99" t="n">
        <v>43921</v>
      </c>
      <c r="K319" s="100" t="n">
        <v>-399468.74</v>
      </c>
      <c r="L319" s="100" t="n">
        <f aca="false">K319-Q319+T319</f>
        <v>-344370</v>
      </c>
      <c r="M319" s="98" t="s">
        <v>149</v>
      </c>
      <c r="N319" s="100" t="n">
        <v>-399468.74</v>
      </c>
      <c r="O319" s="98" t="s">
        <v>149</v>
      </c>
      <c r="P319" s="100" t="n">
        <v>-406356.6</v>
      </c>
      <c r="Q319" s="100" t="n">
        <v>-61986.6</v>
      </c>
      <c r="R319" s="100" t="n">
        <v>-337482.14</v>
      </c>
      <c r="S319" s="100" t="n">
        <v>-344370</v>
      </c>
      <c r="T319" s="100" t="n">
        <v>-6887.86</v>
      </c>
      <c r="U319" s="98" t="s">
        <v>192</v>
      </c>
      <c r="V319" s="98" t="s">
        <v>151</v>
      </c>
      <c r="X319" s="98" t="s">
        <v>1071</v>
      </c>
      <c r="Y319" s="98" t="s">
        <v>1249</v>
      </c>
      <c r="Z319" s="98" t="s">
        <v>1250</v>
      </c>
      <c r="AB319" s="98" t="s">
        <v>1249</v>
      </c>
      <c r="AD319" s="98" t="s">
        <v>155</v>
      </c>
      <c r="AE319" s="98" t="s">
        <v>156</v>
      </c>
      <c r="AF319" s="98" t="s">
        <v>747</v>
      </c>
      <c r="AG319" s="98" t="s">
        <v>748</v>
      </c>
      <c r="AH319" s="98" t="s">
        <v>749</v>
      </c>
      <c r="AI319" s="98" t="s">
        <v>749</v>
      </c>
      <c r="AJ319" s="98" t="s">
        <v>750</v>
      </c>
      <c r="AK319" s="98" t="s">
        <v>159</v>
      </c>
      <c r="AL319" s="98" t="s">
        <v>224</v>
      </c>
      <c r="AM319" s="98" t="s">
        <v>225</v>
      </c>
      <c r="AR319" s="98" t="s">
        <v>214</v>
      </c>
      <c r="AS319" s="98" t="s">
        <v>1251</v>
      </c>
      <c r="AT319" s="100" t="n">
        <v>0</v>
      </c>
      <c r="AU319" s="100" t="n">
        <v>-399468.74</v>
      </c>
      <c r="AX319" s="98" t="s">
        <v>165</v>
      </c>
      <c r="AMH319" s="0"/>
      <c r="AMI319" s="0"/>
      <c r="AMJ319" s="0"/>
    </row>
    <row r="320" s="98" customFormat="true" ht="13.8" hidden="false" customHeight="false" outlineLevel="0" collapsed="false">
      <c r="A320" s="98" t="s">
        <v>142</v>
      </c>
      <c r="B320" s="98" t="s">
        <v>143</v>
      </c>
      <c r="C320" s="98" t="n">
        <v>51785632</v>
      </c>
      <c r="D320" s="98" t="s">
        <v>1252</v>
      </c>
      <c r="E320" s="98" t="s">
        <v>725</v>
      </c>
      <c r="F320" s="98" t="s">
        <v>167</v>
      </c>
      <c r="G320" s="98" t="s">
        <v>147</v>
      </c>
      <c r="H320" s="98" t="s">
        <v>213</v>
      </c>
      <c r="I320" s="99" t="n">
        <v>43903</v>
      </c>
      <c r="J320" s="99" t="n">
        <v>43921</v>
      </c>
      <c r="K320" s="100" t="n">
        <v>-532926.6</v>
      </c>
      <c r="L320" s="100" t="n">
        <f aca="false">K320-Q320+T320</f>
        <v>-459420</v>
      </c>
      <c r="M320" s="98" t="s">
        <v>149</v>
      </c>
      <c r="N320" s="100" t="n">
        <v>-532926.6</v>
      </c>
      <c r="O320" s="98" t="s">
        <v>149</v>
      </c>
      <c r="P320" s="100" t="n">
        <v>-542115.6</v>
      </c>
      <c r="Q320" s="100" t="n">
        <v>-82695.6</v>
      </c>
      <c r="R320" s="100" t="n">
        <v>-450231</v>
      </c>
      <c r="S320" s="100" t="n">
        <v>-459420</v>
      </c>
      <c r="T320" s="100" t="n">
        <v>-9189</v>
      </c>
      <c r="U320" s="98" t="s">
        <v>192</v>
      </c>
      <c r="V320" s="98" t="s">
        <v>151</v>
      </c>
      <c r="X320" s="98" t="s">
        <v>1071</v>
      </c>
      <c r="Y320" s="98" t="s">
        <v>1253</v>
      </c>
      <c r="Z320" s="98" t="s">
        <v>1254</v>
      </c>
      <c r="AB320" s="98" t="s">
        <v>1253</v>
      </c>
      <c r="AD320" s="98" t="s">
        <v>155</v>
      </c>
      <c r="AE320" s="98" t="s">
        <v>156</v>
      </c>
      <c r="AF320" s="98" t="s">
        <v>747</v>
      </c>
      <c r="AG320" s="98" t="s">
        <v>748</v>
      </c>
      <c r="AH320" s="98" t="s">
        <v>749</v>
      </c>
      <c r="AI320" s="98" t="s">
        <v>749</v>
      </c>
      <c r="AJ320" s="98" t="s">
        <v>750</v>
      </c>
      <c r="AK320" s="98" t="s">
        <v>159</v>
      </c>
      <c r="AL320" s="98" t="s">
        <v>224</v>
      </c>
      <c r="AM320" s="98" t="s">
        <v>225</v>
      </c>
      <c r="AR320" s="98" t="s">
        <v>214</v>
      </c>
      <c r="AS320" s="98" t="s">
        <v>1255</v>
      </c>
      <c r="AT320" s="100" t="n">
        <v>0</v>
      </c>
      <c r="AU320" s="100" t="n">
        <v>-532926.6</v>
      </c>
      <c r="AX320" s="98" t="s">
        <v>165</v>
      </c>
      <c r="AMH320" s="0"/>
      <c r="AMI320" s="0"/>
      <c r="AMJ320" s="0"/>
    </row>
    <row r="321" s="98" customFormat="true" ht="13.8" hidden="false" customHeight="false" outlineLevel="0" collapsed="false">
      <c r="A321" s="98" t="s">
        <v>142</v>
      </c>
      <c r="B321" s="98" t="s">
        <v>143</v>
      </c>
      <c r="C321" s="98" t="n">
        <v>51129322</v>
      </c>
      <c r="D321" s="98" t="s">
        <v>1256</v>
      </c>
      <c r="E321" s="98" t="s">
        <v>725</v>
      </c>
      <c r="F321" s="98" t="s">
        <v>297</v>
      </c>
      <c r="G321" s="98" t="s">
        <v>147</v>
      </c>
      <c r="H321" s="98" t="s">
        <v>220</v>
      </c>
      <c r="I321" s="99" t="n">
        <v>43596</v>
      </c>
      <c r="J321" s="99" t="n">
        <v>43616</v>
      </c>
      <c r="K321" s="100" t="n">
        <v>-15332.8</v>
      </c>
      <c r="L321" s="100" t="n">
        <f aca="false">K321-Q321+T321</f>
        <v>-12993.8</v>
      </c>
      <c r="M321" s="98" t="s">
        <v>149</v>
      </c>
      <c r="N321" s="100" t="n">
        <v>-15332.8</v>
      </c>
      <c r="O321" s="98" t="s">
        <v>149</v>
      </c>
      <c r="P321" s="100" t="n">
        <v>-15332.8</v>
      </c>
      <c r="Q321" s="100" t="n">
        <v>-2339</v>
      </c>
      <c r="R321" s="100" t="n">
        <v>-12993.8</v>
      </c>
      <c r="S321" s="100" t="n">
        <v>0</v>
      </c>
      <c r="T321" s="100" t="n">
        <v>0</v>
      </c>
      <c r="U321" s="98" t="s">
        <v>192</v>
      </c>
      <c r="V321" s="98" t="s">
        <v>151</v>
      </c>
      <c r="X321" s="98" t="s">
        <v>1212</v>
      </c>
      <c r="Y321" s="98" t="s">
        <v>1213</v>
      </c>
      <c r="Z321" s="98" t="s">
        <v>1257</v>
      </c>
      <c r="AB321" s="98" t="s">
        <v>1213</v>
      </c>
      <c r="AD321" s="98" t="s">
        <v>155</v>
      </c>
      <c r="AE321" s="98" t="s">
        <v>156</v>
      </c>
      <c r="AF321" s="98" t="s">
        <v>728</v>
      </c>
      <c r="AG321" s="98" t="s">
        <v>729</v>
      </c>
      <c r="AH321" s="98" t="s">
        <v>971</v>
      </c>
      <c r="AI321" s="98" t="s">
        <v>971</v>
      </c>
      <c r="AJ321" s="98" t="s">
        <v>972</v>
      </c>
      <c r="AK321" s="98" t="s">
        <v>159</v>
      </c>
      <c r="AL321" s="98" t="s">
        <v>224</v>
      </c>
      <c r="AM321" s="98" t="s">
        <v>225</v>
      </c>
      <c r="AP321" s="98" t="s">
        <v>553</v>
      </c>
      <c r="AQ321" s="98" t="s">
        <v>551</v>
      </c>
      <c r="AR321" s="98" t="s">
        <v>1215</v>
      </c>
      <c r="AS321" s="98" t="s">
        <v>1258</v>
      </c>
      <c r="AT321" s="100" t="n">
        <v>0</v>
      </c>
      <c r="AU321" s="100" t="n">
        <v>-15332.8</v>
      </c>
      <c r="AX321" s="98" t="s">
        <v>191</v>
      </c>
      <c r="AMH321" s="0"/>
      <c r="AMI321" s="0"/>
      <c r="AMJ321" s="0"/>
    </row>
    <row r="322" s="98" customFormat="true" ht="13.8" hidden="false" customHeight="false" outlineLevel="0" collapsed="false">
      <c r="A322" s="98" t="s">
        <v>142</v>
      </c>
      <c r="B322" s="98" t="s">
        <v>143</v>
      </c>
      <c r="C322" s="98" t="n">
        <v>51129322</v>
      </c>
      <c r="D322" s="98" t="s">
        <v>1256</v>
      </c>
      <c r="E322" s="98" t="s">
        <v>725</v>
      </c>
      <c r="F322" s="98" t="s">
        <v>297</v>
      </c>
      <c r="G322" s="98" t="s">
        <v>147</v>
      </c>
      <c r="H322" s="98" t="s">
        <v>220</v>
      </c>
      <c r="I322" s="99" t="n">
        <v>43596</v>
      </c>
      <c r="J322" s="99" t="n">
        <v>43616</v>
      </c>
      <c r="K322" s="100" t="n">
        <v>-260657.6</v>
      </c>
      <c r="L322" s="100" t="n">
        <f aca="false">K322-Q322+T322</f>
        <v>-220894.65</v>
      </c>
      <c r="M322" s="98" t="s">
        <v>149</v>
      </c>
      <c r="N322" s="100" t="n">
        <v>-260657.6</v>
      </c>
      <c r="O322" s="98" t="s">
        <v>149</v>
      </c>
      <c r="P322" s="100" t="n">
        <v>-260657.6</v>
      </c>
      <c r="Q322" s="100" t="n">
        <v>-39762.95</v>
      </c>
      <c r="R322" s="100" t="n">
        <v>-220894.65</v>
      </c>
      <c r="S322" s="100" t="n">
        <v>0</v>
      </c>
      <c r="T322" s="100" t="n">
        <v>0</v>
      </c>
      <c r="U322" s="98" t="s">
        <v>192</v>
      </c>
      <c r="V322" s="98" t="s">
        <v>151</v>
      </c>
      <c r="X322" s="98" t="s">
        <v>1212</v>
      </c>
      <c r="Y322" s="98" t="s">
        <v>1213</v>
      </c>
      <c r="Z322" s="98" t="s">
        <v>1257</v>
      </c>
      <c r="AB322" s="98" t="s">
        <v>1213</v>
      </c>
      <c r="AD322" s="98" t="s">
        <v>155</v>
      </c>
      <c r="AE322" s="98" t="s">
        <v>156</v>
      </c>
      <c r="AF322" s="98" t="s">
        <v>728</v>
      </c>
      <c r="AG322" s="98" t="s">
        <v>729</v>
      </c>
      <c r="AH322" s="98" t="s">
        <v>971</v>
      </c>
      <c r="AI322" s="98" t="s">
        <v>971</v>
      </c>
      <c r="AJ322" s="98" t="s">
        <v>972</v>
      </c>
      <c r="AK322" s="98" t="s">
        <v>159</v>
      </c>
      <c r="AL322" s="98" t="s">
        <v>224</v>
      </c>
      <c r="AM322" s="98" t="s">
        <v>225</v>
      </c>
      <c r="AP322" s="98" t="s">
        <v>379</v>
      </c>
      <c r="AQ322" s="98" t="s">
        <v>377</v>
      </c>
      <c r="AR322" s="98" t="s">
        <v>1215</v>
      </c>
      <c r="AS322" s="98" t="s">
        <v>1258</v>
      </c>
      <c r="AT322" s="100" t="n">
        <v>0</v>
      </c>
      <c r="AU322" s="100" t="n">
        <v>-260657.6</v>
      </c>
      <c r="AX322" s="98" t="s">
        <v>556</v>
      </c>
      <c r="AMH322" s="0"/>
      <c r="AMI322" s="0"/>
      <c r="AMJ322" s="0"/>
    </row>
    <row r="323" s="98" customFormat="true" ht="13.8" hidden="false" customHeight="false" outlineLevel="0" collapsed="false">
      <c r="A323" s="98" t="s">
        <v>142</v>
      </c>
      <c r="B323" s="98" t="s">
        <v>143</v>
      </c>
      <c r="C323" s="98" t="n">
        <v>51129322</v>
      </c>
      <c r="D323" s="98" t="s">
        <v>1256</v>
      </c>
      <c r="E323" s="98" t="s">
        <v>725</v>
      </c>
      <c r="F323" s="98" t="s">
        <v>297</v>
      </c>
      <c r="G323" s="98" t="s">
        <v>147</v>
      </c>
      <c r="H323" s="98" t="s">
        <v>220</v>
      </c>
      <c r="I323" s="99" t="n">
        <v>43596</v>
      </c>
      <c r="J323" s="99" t="n">
        <v>43616</v>
      </c>
      <c r="K323" s="100" t="n">
        <v>-15332.8</v>
      </c>
      <c r="L323" s="100" t="n">
        <f aca="false">K323-Q323+T323</f>
        <v>-12993.8</v>
      </c>
      <c r="M323" s="98" t="s">
        <v>149</v>
      </c>
      <c r="N323" s="100" t="n">
        <v>-15332.8</v>
      </c>
      <c r="O323" s="98" t="s">
        <v>149</v>
      </c>
      <c r="P323" s="100" t="n">
        <v>-15332.8</v>
      </c>
      <c r="Q323" s="100" t="n">
        <v>-2339</v>
      </c>
      <c r="R323" s="100" t="n">
        <v>-12993.8</v>
      </c>
      <c r="S323" s="100" t="n">
        <v>0</v>
      </c>
      <c r="T323" s="100" t="n">
        <v>0</v>
      </c>
      <c r="U323" s="98" t="s">
        <v>192</v>
      </c>
      <c r="V323" s="98" t="s">
        <v>151</v>
      </c>
      <c r="X323" s="98" t="s">
        <v>1212</v>
      </c>
      <c r="Y323" s="98" t="s">
        <v>1213</v>
      </c>
      <c r="Z323" s="98" t="s">
        <v>1257</v>
      </c>
      <c r="AB323" s="98" t="s">
        <v>1213</v>
      </c>
      <c r="AD323" s="98" t="s">
        <v>155</v>
      </c>
      <c r="AE323" s="98" t="s">
        <v>156</v>
      </c>
      <c r="AF323" s="98" t="s">
        <v>728</v>
      </c>
      <c r="AG323" s="98" t="s">
        <v>729</v>
      </c>
      <c r="AH323" s="98" t="s">
        <v>971</v>
      </c>
      <c r="AI323" s="98" t="s">
        <v>971</v>
      </c>
      <c r="AJ323" s="98" t="s">
        <v>972</v>
      </c>
      <c r="AK323" s="98" t="s">
        <v>159</v>
      </c>
      <c r="AL323" s="98" t="s">
        <v>224</v>
      </c>
      <c r="AM323" s="98" t="s">
        <v>225</v>
      </c>
      <c r="AP323" s="98" t="s">
        <v>553</v>
      </c>
      <c r="AQ323" s="98" t="s">
        <v>551</v>
      </c>
      <c r="AR323" s="98" t="s">
        <v>1215</v>
      </c>
      <c r="AS323" s="98" t="s">
        <v>1258</v>
      </c>
      <c r="AT323" s="100" t="n">
        <v>0</v>
      </c>
      <c r="AU323" s="100" t="n">
        <v>-15332.8</v>
      </c>
      <c r="AX323" s="98" t="s">
        <v>200</v>
      </c>
      <c r="AMH323" s="0"/>
      <c r="AMI323" s="0"/>
      <c r="AMJ323" s="0"/>
    </row>
    <row r="324" s="98" customFormat="true" ht="13.8" hidden="false" customHeight="false" outlineLevel="0" collapsed="false">
      <c r="A324" s="98" t="s">
        <v>142</v>
      </c>
      <c r="B324" s="98" t="s">
        <v>143</v>
      </c>
      <c r="C324" s="98" t="n">
        <v>51129322</v>
      </c>
      <c r="D324" s="98" t="s">
        <v>1256</v>
      </c>
      <c r="E324" s="98" t="s">
        <v>725</v>
      </c>
      <c r="F324" s="98" t="s">
        <v>297</v>
      </c>
      <c r="G324" s="98" t="s">
        <v>147</v>
      </c>
      <c r="H324" s="98" t="s">
        <v>220</v>
      </c>
      <c r="I324" s="99" t="n">
        <v>43596</v>
      </c>
      <c r="J324" s="99" t="n">
        <v>43616</v>
      </c>
      <c r="K324" s="100" t="n">
        <v>-15332.8</v>
      </c>
      <c r="L324" s="100" t="n">
        <f aca="false">K324-Q324+T324</f>
        <v>-12993.8</v>
      </c>
      <c r="M324" s="98" t="s">
        <v>149</v>
      </c>
      <c r="N324" s="100" t="n">
        <v>-15332.8</v>
      </c>
      <c r="O324" s="98" t="s">
        <v>149</v>
      </c>
      <c r="P324" s="100" t="n">
        <v>-15332.8</v>
      </c>
      <c r="Q324" s="100" t="n">
        <v>-2339</v>
      </c>
      <c r="R324" s="100" t="n">
        <v>-12993.8</v>
      </c>
      <c r="S324" s="100" t="n">
        <v>0</v>
      </c>
      <c r="T324" s="100" t="n">
        <v>0</v>
      </c>
      <c r="U324" s="98" t="s">
        <v>192</v>
      </c>
      <c r="V324" s="98" t="s">
        <v>151</v>
      </c>
      <c r="X324" s="98" t="s">
        <v>1212</v>
      </c>
      <c r="Y324" s="98" t="s">
        <v>1213</v>
      </c>
      <c r="Z324" s="98" t="s">
        <v>1257</v>
      </c>
      <c r="AB324" s="98" t="s">
        <v>1213</v>
      </c>
      <c r="AD324" s="98" t="s">
        <v>155</v>
      </c>
      <c r="AE324" s="98" t="s">
        <v>156</v>
      </c>
      <c r="AF324" s="98" t="s">
        <v>728</v>
      </c>
      <c r="AG324" s="98" t="s">
        <v>729</v>
      </c>
      <c r="AH324" s="98" t="s">
        <v>971</v>
      </c>
      <c r="AI324" s="98" t="s">
        <v>971</v>
      </c>
      <c r="AJ324" s="98" t="s">
        <v>972</v>
      </c>
      <c r="AK324" s="98" t="s">
        <v>159</v>
      </c>
      <c r="AL324" s="98" t="s">
        <v>224</v>
      </c>
      <c r="AM324" s="98" t="s">
        <v>225</v>
      </c>
      <c r="AP324" s="98" t="s">
        <v>553</v>
      </c>
      <c r="AQ324" s="98" t="s">
        <v>551</v>
      </c>
      <c r="AR324" s="98" t="s">
        <v>1215</v>
      </c>
      <c r="AS324" s="98" t="s">
        <v>1258</v>
      </c>
      <c r="AT324" s="100" t="n">
        <v>0</v>
      </c>
      <c r="AU324" s="100" t="n">
        <v>-15332.8</v>
      </c>
      <c r="AX324" s="98" t="s">
        <v>586</v>
      </c>
      <c r="AMH324" s="0"/>
      <c r="AMI324" s="0"/>
      <c r="AMJ324" s="0"/>
    </row>
    <row r="325" s="98" customFormat="true" ht="13.8" hidden="false" customHeight="false" outlineLevel="0" collapsed="false">
      <c r="A325" s="98" t="s">
        <v>142</v>
      </c>
      <c r="B325" s="98" t="s">
        <v>143</v>
      </c>
      <c r="C325" s="98" t="n">
        <v>51149227</v>
      </c>
      <c r="D325" s="98" t="s">
        <v>1259</v>
      </c>
      <c r="E325" s="98" t="s">
        <v>725</v>
      </c>
      <c r="F325" s="98" t="s">
        <v>297</v>
      </c>
      <c r="G325" s="98" t="s">
        <v>147</v>
      </c>
      <c r="H325" s="98" t="s">
        <v>148</v>
      </c>
      <c r="I325" s="99" t="n">
        <v>43606</v>
      </c>
      <c r="J325" s="99" t="n">
        <v>43626</v>
      </c>
      <c r="K325" s="100" t="n">
        <v>-64691.75</v>
      </c>
      <c r="L325" s="100" t="n">
        <f aca="false">K325-Q325+T325</f>
        <v>-54823.53</v>
      </c>
      <c r="M325" s="98" t="s">
        <v>149</v>
      </c>
      <c r="N325" s="100" t="n">
        <v>-64691.75</v>
      </c>
      <c r="O325" s="98" t="s">
        <v>149</v>
      </c>
      <c r="P325" s="100" t="n">
        <v>-64691.75</v>
      </c>
      <c r="Q325" s="100" t="n">
        <v>-9868.22</v>
      </c>
      <c r="R325" s="100" t="n">
        <v>-54823.53</v>
      </c>
      <c r="S325" s="100" t="n">
        <v>0</v>
      </c>
      <c r="T325" s="100" t="n">
        <v>0</v>
      </c>
      <c r="U325" s="98" t="s">
        <v>192</v>
      </c>
      <c r="V325" s="98" t="s">
        <v>151</v>
      </c>
      <c r="X325" s="98" t="s">
        <v>1212</v>
      </c>
      <c r="Y325" s="98" t="s">
        <v>1213</v>
      </c>
      <c r="Z325" s="98" t="s">
        <v>1260</v>
      </c>
      <c r="AB325" s="98" t="s">
        <v>1213</v>
      </c>
      <c r="AD325" s="98" t="s">
        <v>155</v>
      </c>
      <c r="AE325" s="98" t="s">
        <v>156</v>
      </c>
      <c r="AF325" s="98" t="s">
        <v>728</v>
      </c>
      <c r="AG325" s="98" t="s">
        <v>729</v>
      </c>
      <c r="AH325" s="98" t="s">
        <v>971</v>
      </c>
      <c r="AI325" s="98" t="s">
        <v>971</v>
      </c>
      <c r="AJ325" s="98" t="s">
        <v>972</v>
      </c>
      <c r="AK325" s="98" t="s">
        <v>159</v>
      </c>
      <c r="AL325" s="98" t="s">
        <v>224</v>
      </c>
      <c r="AM325" s="98" t="s">
        <v>225</v>
      </c>
      <c r="AP325" s="98" t="s">
        <v>553</v>
      </c>
      <c r="AQ325" s="98" t="s">
        <v>551</v>
      </c>
      <c r="AR325" s="98" t="s">
        <v>377</v>
      </c>
      <c r="AS325" s="98" t="s">
        <v>1261</v>
      </c>
      <c r="AT325" s="100" t="n">
        <v>0</v>
      </c>
      <c r="AU325" s="100" t="n">
        <v>-64691.75</v>
      </c>
      <c r="AX325" s="98" t="s">
        <v>191</v>
      </c>
      <c r="AMH325" s="0"/>
      <c r="AMI325" s="0"/>
      <c r="AMJ325" s="0"/>
    </row>
    <row r="326" s="98" customFormat="true" ht="13.8" hidden="false" customHeight="false" outlineLevel="0" collapsed="false">
      <c r="A326" s="98" t="s">
        <v>142</v>
      </c>
      <c r="B326" s="98" t="s">
        <v>143</v>
      </c>
      <c r="C326" s="98" t="n">
        <v>51149227</v>
      </c>
      <c r="D326" s="98" t="s">
        <v>1259</v>
      </c>
      <c r="E326" s="98" t="s">
        <v>725</v>
      </c>
      <c r="F326" s="98" t="s">
        <v>297</v>
      </c>
      <c r="G326" s="98" t="s">
        <v>147</v>
      </c>
      <c r="H326" s="98" t="s">
        <v>148</v>
      </c>
      <c r="I326" s="99" t="n">
        <v>43606</v>
      </c>
      <c r="J326" s="99" t="n">
        <v>43626</v>
      </c>
      <c r="K326" s="100" t="n">
        <v>-1099759.75</v>
      </c>
      <c r="L326" s="100" t="n">
        <f aca="false">K326-Q326+T326</f>
        <v>-931999.99</v>
      </c>
      <c r="M326" s="98" t="s">
        <v>149</v>
      </c>
      <c r="N326" s="100" t="n">
        <v>-1099759.75</v>
      </c>
      <c r="O326" s="98" t="s">
        <v>149</v>
      </c>
      <c r="P326" s="100" t="n">
        <v>-1099759.75</v>
      </c>
      <c r="Q326" s="100" t="n">
        <v>-167759.76</v>
      </c>
      <c r="R326" s="100" t="n">
        <v>-931999.99</v>
      </c>
      <c r="S326" s="100" t="n">
        <v>0</v>
      </c>
      <c r="T326" s="100" t="n">
        <v>0</v>
      </c>
      <c r="U326" s="98" t="s">
        <v>192</v>
      </c>
      <c r="V326" s="98" t="s">
        <v>151</v>
      </c>
      <c r="X326" s="98" t="s">
        <v>1212</v>
      </c>
      <c r="Y326" s="98" t="s">
        <v>1213</v>
      </c>
      <c r="Z326" s="98" t="s">
        <v>1260</v>
      </c>
      <c r="AB326" s="98" t="s">
        <v>1213</v>
      </c>
      <c r="AD326" s="98" t="s">
        <v>155</v>
      </c>
      <c r="AE326" s="98" t="s">
        <v>156</v>
      </c>
      <c r="AF326" s="98" t="s">
        <v>728</v>
      </c>
      <c r="AG326" s="98" t="s">
        <v>729</v>
      </c>
      <c r="AH326" s="98" t="s">
        <v>971</v>
      </c>
      <c r="AI326" s="98" t="s">
        <v>971</v>
      </c>
      <c r="AJ326" s="98" t="s">
        <v>972</v>
      </c>
      <c r="AK326" s="98" t="s">
        <v>159</v>
      </c>
      <c r="AL326" s="98" t="s">
        <v>224</v>
      </c>
      <c r="AM326" s="98" t="s">
        <v>225</v>
      </c>
      <c r="AP326" s="98" t="s">
        <v>399</v>
      </c>
      <c r="AQ326" s="98" t="s">
        <v>397</v>
      </c>
      <c r="AR326" s="98" t="s">
        <v>377</v>
      </c>
      <c r="AS326" s="98" t="s">
        <v>1261</v>
      </c>
      <c r="AT326" s="100" t="n">
        <v>0</v>
      </c>
      <c r="AU326" s="100" t="n">
        <v>-1099759.75</v>
      </c>
      <c r="AX326" s="98" t="s">
        <v>556</v>
      </c>
      <c r="AMH326" s="0"/>
      <c r="AMI326" s="0"/>
      <c r="AMJ326" s="0"/>
    </row>
    <row r="327" s="98" customFormat="true" ht="13.8" hidden="false" customHeight="false" outlineLevel="0" collapsed="false">
      <c r="A327" s="98" t="s">
        <v>142</v>
      </c>
      <c r="B327" s="98" t="s">
        <v>143</v>
      </c>
      <c r="C327" s="98" t="n">
        <v>51149227</v>
      </c>
      <c r="D327" s="98" t="s">
        <v>1259</v>
      </c>
      <c r="E327" s="98" t="s">
        <v>725</v>
      </c>
      <c r="F327" s="98" t="s">
        <v>297</v>
      </c>
      <c r="G327" s="98" t="s">
        <v>147</v>
      </c>
      <c r="H327" s="98" t="s">
        <v>148</v>
      </c>
      <c r="I327" s="99" t="n">
        <v>43606</v>
      </c>
      <c r="J327" s="99" t="n">
        <v>43626</v>
      </c>
      <c r="K327" s="100" t="n">
        <v>-64691.75</v>
      </c>
      <c r="L327" s="100" t="n">
        <f aca="false">K327-Q327+T327</f>
        <v>-54823.53</v>
      </c>
      <c r="M327" s="98" t="s">
        <v>149</v>
      </c>
      <c r="N327" s="100" t="n">
        <v>-64691.75</v>
      </c>
      <c r="O327" s="98" t="s">
        <v>149</v>
      </c>
      <c r="P327" s="100" t="n">
        <v>-64691.75</v>
      </c>
      <c r="Q327" s="100" t="n">
        <v>-9868.22</v>
      </c>
      <c r="R327" s="100" t="n">
        <v>-54823.53</v>
      </c>
      <c r="S327" s="100" t="n">
        <v>0</v>
      </c>
      <c r="T327" s="100" t="n">
        <v>0</v>
      </c>
      <c r="U327" s="98" t="s">
        <v>192</v>
      </c>
      <c r="V327" s="98" t="s">
        <v>151</v>
      </c>
      <c r="X327" s="98" t="s">
        <v>1212</v>
      </c>
      <c r="Y327" s="98" t="s">
        <v>1213</v>
      </c>
      <c r="Z327" s="98" t="s">
        <v>1260</v>
      </c>
      <c r="AB327" s="98" t="s">
        <v>1213</v>
      </c>
      <c r="AD327" s="98" t="s">
        <v>155</v>
      </c>
      <c r="AE327" s="98" t="s">
        <v>156</v>
      </c>
      <c r="AF327" s="98" t="s">
        <v>728</v>
      </c>
      <c r="AG327" s="98" t="s">
        <v>729</v>
      </c>
      <c r="AH327" s="98" t="s">
        <v>971</v>
      </c>
      <c r="AI327" s="98" t="s">
        <v>971</v>
      </c>
      <c r="AJ327" s="98" t="s">
        <v>972</v>
      </c>
      <c r="AK327" s="98" t="s">
        <v>159</v>
      </c>
      <c r="AL327" s="98" t="s">
        <v>224</v>
      </c>
      <c r="AM327" s="98" t="s">
        <v>225</v>
      </c>
      <c r="AP327" s="98" t="s">
        <v>553</v>
      </c>
      <c r="AQ327" s="98" t="s">
        <v>551</v>
      </c>
      <c r="AR327" s="98" t="s">
        <v>377</v>
      </c>
      <c r="AS327" s="98" t="s">
        <v>1261</v>
      </c>
      <c r="AT327" s="100" t="n">
        <v>0</v>
      </c>
      <c r="AU327" s="100" t="n">
        <v>-64691.75</v>
      </c>
      <c r="AX327" s="98" t="s">
        <v>586</v>
      </c>
      <c r="AMH327" s="0"/>
      <c r="AMI327" s="0"/>
      <c r="AMJ327" s="0"/>
    </row>
    <row r="328" s="98" customFormat="true" ht="13.8" hidden="false" customHeight="false" outlineLevel="0" collapsed="false">
      <c r="A328" s="98" t="s">
        <v>142</v>
      </c>
      <c r="B328" s="98" t="s">
        <v>143</v>
      </c>
      <c r="C328" s="98" t="n">
        <v>51149227</v>
      </c>
      <c r="D328" s="98" t="s">
        <v>1259</v>
      </c>
      <c r="E328" s="98" t="s">
        <v>725</v>
      </c>
      <c r="F328" s="98" t="s">
        <v>297</v>
      </c>
      <c r="G328" s="98" t="s">
        <v>147</v>
      </c>
      <c r="H328" s="98" t="s">
        <v>148</v>
      </c>
      <c r="I328" s="99" t="n">
        <v>43606</v>
      </c>
      <c r="J328" s="99" t="n">
        <v>43626</v>
      </c>
      <c r="K328" s="100" t="n">
        <v>-64691.75</v>
      </c>
      <c r="L328" s="100" t="n">
        <f aca="false">K328-Q328+T328</f>
        <v>-54823.53</v>
      </c>
      <c r="M328" s="98" t="s">
        <v>149</v>
      </c>
      <c r="N328" s="100" t="n">
        <v>-64691.75</v>
      </c>
      <c r="O328" s="98" t="s">
        <v>149</v>
      </c>
      <c r="P328" s="100" t="n">
        <v>-64691.75</v>
      </c>
      <c r="Q328" s="100" t="n">
        <v>-9868.22</v>
      </c>
      <c r="R328" s="100" t="n">
        <v>-54823.53</v>
      </c>
      <c r="S328" s="100" t="n">
        <v>0</v>
      </c>
      <c r="T328" s="100" t="n">
        <v>0</v>
      </c>
      <c r="U328" s="98" t="s">
        <v>192</v>
      </c>
      <c r="V328" s="98" t="s">
        <v>151</v>
      </c>
      <c r="X328" s="98" t="s">
        <v>1212</v>
      </c>
      <c r="Y328" s="98" t="s">
        <v>1213</v>
      </c>
      <c r="Z328" s="98" t="s">
        <v>1260</v>
      </c>
      <c r="AB328" s="98" t="s">
        <v>1213</v>
      </c>
      <c r="AD328" s="98" t="s">
        <v>155</v>
      </c>
      <c r="AE328" s="98" t="s">
        <v>156</v>
      </c>
      <c r="AF328" s="98" t="s">
        <v>728</v>
      </c>
      <c r="AG328" s="98" t="s">
        <v>729</v>
      </c>
      <c r="AH328" s="98" t="s">
        <v>971</v>
      </c>
      <c r="AI328" s="98" t="s">
        <v>971</v>
      </c>
      <c r="AJ328" s="98" t="s">
        <v>972</v>
      </c>
      <c r="AK328" s="98" t="s">
        <v>159</v>
      </c>
      <c r="AL328" s="98" t="s">
        <v>224</v>
      </c>
      <c r="AM328" s="98" t="s">
        <v>225</v>
      </c>
      <c r="AP328" s="98" t="s">
        <v>553</v>
      </c>
      <c r="AQ328" s="98" t="s">
        <v>551</v>
      </c>
      <c r="AR328" s="98" t="s">
        <v>377</v>
      </c>
      <c r="AS328" s="98" t="s">
        <v>1261</v>
      </c>
      <c r="AT328" s="100" t="n">
        <v>0</v>
      </c>
      <c r="AU328" s="100" t="n">
        <v>-64691.75</v>
      </c>
      <c r="AX328" s="98" t="s">
        <v>200</v>
      </c>
      <c r="AMH328" s="0"/>
      <c r="AMI328" s="0"/>
      <c r="AMJ328" s="0"/>
    </row>
    <row r="329" s="98" customFormat="true" ht="13.8" hidden="false" customHeight="false" outlineLevel="0" collapsed="false">
      <c r="A329" s="98" t="s">
        <v>142</v>
      </c>
      <c r="B329" s="98" t="s">
        <v>143</v>
      </c>
      <c r="C329" s="98" t="n">
        <v>51129352</v>
      </c>
      <c r="D329" s="98" t="s">
        <v>1262</v>
      </c>
      <c r="E329" s="98" t="s">
        <v>725</v>
      </c>
      <c r="F329" s="98" t="s">
        <v>297</v>
      </c>
      <c r="G329" s="98" t="s">
        <v>147</v>
      </c>
      <c r="H329" s="98" t="s">
        <v>220</v>
      </c>
      <c r="I329" s="99" t="n">
        <v>43595</v>
      </c>
      <c r="J329" s="99" t="n">
        <v>43616</v>
      </c>
      <c r="K329" s="100" t="n">
        <v>-1279891.75</v>
      </c>
      <c r="L329" s="100" t="n">
        <f aca="false">K329-Q329+T329</f>
        <v>-1084654.23</v>
      </c>
      <c r="M329" s="98" t="s">
        <v>149</v>
      </c>
      <c r="N329" s="100" t="n">
        <v>-1279891.75</v>
      </c>
      <c r="O329" s="98" t="s">
        <v>149</v>
      </c>
      <c r="P329" s="100" t="n">
        <v>-1279891.75</v>
      </c>
      <c r="Q329" s="100" t="n">
        <v>-195237.52</v>
      </c>
      <c r="R329" s="100" t="n">
        <v>-1084654.23</v>
      </c>
      <c r="S329" s="100" t="n">
        <v>0</v>
      </c>
      <c r="T329" s="100" t="n">
        <v>0</v>
      </c>
      <c r="U329" s="98" t="s">
        <v>192</v>
      </c>
      <c r="V329" s="98" t="s">
        <v>151</v>
      </c>
      <c r="X329" s="98" t="s">
        <v>1212</v>
      </c>
      <c r="Y329" s="98" t="s">
        <v>1213</v>
      </c>
      <c r="Z329" s="98" t="s">
        <v>1263</v>
      </c>
      <c r="AB329" s="98" t="s">
        <v>1213</v>
      </c>
      <c r="AD329" s="98" t="s">
        <v>155</v>
      </c>
      <c r="AE329" s="98" t="s">
        <v>156</v>
      </c>
      <c r="AF329" s="98" t="s">
        <v>728</v>
      </c>
      <c r="AG329" s="98" t="s">
        <v>729</v>
      </c>
      <c r="AH329" s="98" t="s">
        <v>971</v>
      </c>
      <c r="AI329" s="98" t="s">
        <v>971</v>
      </c>
      <c r="AJ329" s="98" t="s">
        <v>972</v>
      </c>
      <c r="AK329" s="98" t="s">
        <v>159</v>
      </c>
      <c r="AL329" s="98" t="s">
        <v>224</v>
      </c>
      <c r="AM329" s="98" t="s">
        <v>225</v>
      </c>
      <c r="AP329" s="98" t="s">
        <v>379</v>
      </c>
      <c r="AQ329" s="98" t="s">
        <v>377</v>
      </c>
      <c r="AR329" s="98" t="s">
        <v>1215</v>
      </c>
      <c r="AS329" s="98" t="s">
        <v>1264</v>
      </c>
      <c r="AT329" s="100" t="n">
        <v>0</v>
      </c>
      <c r="AU329" s="100" t="n">
        <v>-1279891.75</v>
      </c>
      <c r="AX329" s="98" t="s">
        <v>556</v>
      </c>
      <c r="AMH329" s="0"/>
      <c r="AMI329" s="0"/>
      <c r="AMJ329" s="0"/>
    </row>
    <row r="330" s="98" customFormat="true" ht="13.8" hidden="false" customHeight="false" outlineLevel="0" collapsed="false">
      <c r="A330" s="98" t="s">
        <v>142</v>
      </c>
      <c r="B330" s="98" t="s">
        <v>143</v>
      </c>
      <c r="C330" s="98" t="n">
        <v>51129352</v>
      </c>
      <c r="D330" s="98" t="s">
        <v>1262</v>
      </c>
      <c r="E330" s="98" t="s">
        <v>725</v>
      </c>
      <c r="F330" s="98" t="s">
        <v>297</v>
      </c>
      <c r="G330" s="98" t="s">
        <v>147</v>
      </c>
      <c r="H330" s="98" t="s">
        <v>220</v>
      </c>
      <c r="I330" s="99" t="n">
        <v>43595</v>
      </c>
      <c r="J330" s="99" t="n">
        <v>43616</v>
      </c>
      <c r="K330" s="100" t="n">
        <v>-75287.75</v>
      </c>
      <c r="L330" s="100" t="n">
        <f aca="false">K330-Q330+T330</f>
        <v>-63803.19</v>
      </c>
      <c r="M330" s="98" t="s">
        <v>149</v>
      </c>
      <c r="N330" s="100" t="n">
        <v>-75287.75</v>
      </c>
      <c r="O330" s="98" t="s">
        <v>149</v>
      </c>
      <c r="P330" s="100" t="n">
        <v>-75287.75</v>
      </c>
      <c r="Q330" s="100" t="n">
        <v>-11484.56</v>
      </c>
      <c r="R330" s="100" t="n">
        <v>-63803.19</v>
      </c>
      <c r="S330" s="100" t="n">
        <v>0</v>
      </c>
      <c r="T330" s="100" t="n">
        <v>0</v>
      </c>
      <c r="U330" s="98" t="s">
        <v>192</v>
      </c>
      <c r="V330" s="98" t="s">
        <v>151</v>
      </c>
      <c r="X330" s="98" t="s">
        <v>1212</v>
      </c>
      <c r="Y330" s="98" t="s">
        <v>1213</v>
      </c>
      <c r="Z330" s="98" t="s">
        <v>1263</v>
      </c>
      <c r="AB330" s="98" t="s">
        <v>1213</v>
      </c>
      <c r="AD330" s="98" t="s">
        <v>155</v>
      </c>
      <c r="AE330" s="98" t="s">
        <v>156</v>
      </c>
      <c r="AF330" s="98" t="s">
        <v>728</v>
      </c>
      <c r="AG330" s="98" t="s">
        <v>729</v>
      </c>
      <c r="AH330" s="98" t="s">
        <v>971</v>
      </c>
      <c r="AI330" s="98" t="s">
        <v>971</v>
      </c>
      <c r="AJ330" s="98" t="s">
        <v>972</v>
      </c>
      <c r="AK330" s="98" t="s">
        <v>159</v>
      </c>
      <c r="AL330" s="98" t="s">
        <v>224</v>
      </c>
      <c r="AM330" s="98" t="s">
        <v>225</v>
      </c>
      <c r="AP330" s="98" t="s">
        <v>553</v>
      </c>
      <c r="AQ330" s="98" t="s">
        <v>551</v>
      </c>
      <c r="AR330" s="98" t="s">
        <v>1215</v>
      </c>
      <c r="AS330" s="98" t="s">
        <v>1264</v>
      </c>
      <c r="AT330" s="100" t="n">
        <v>0</v>
      </c>
      <c r="AU330" s="100" t="n">
        <v>-75287.75</v>
      </c>
      <c r="AX330" s="98" t="s">
        <v>200</v>
      </c>
      <c r="AMH330" s="0"/>
      <c r="AMI330" s="0"/>
      <c r="AMJ330" s="0"/>
    </row>
    <row r="331" s="98" customFormat="true" ht="13.8" hidden="false" customHeight="false" outlineLevel="0" collapsed="false">
      <c r="A331" s="98" t="s">
        <v>142</v>
      </c>
      <c r="B331" s="98" t="s">
        <v>143</v>
      </c>
      <c r="C331" s="98" t="n">
        <v>51129352</v>
      </c>
      <c r="D331" s="98" t="s">
        <v>1262</v>
      </c>
      <c r="E331" s="98" t="s">
        <v>725</v>
      </c>
      <c r="F331" s="98" t="s">
        <v>297</v>
      </c>
      <c r="G331" s="98" t="s">
        <v>147</v>
      </c>
      <c r="H331" s="98" t="s">
        <v>220</v>
      </c>
      <c r="I331" s="99" t="n">
        <v>43595</v>
      </c>
      <c r="J331" s="99" t="n">
        <v>43616</v>
      </c>
      <c r="K331" s="100" t="n">
        <v>-75287.75</v>
      </c>
      <c r="L331" s="100" t="n">
        <f aca="false">K331-Q331+T331</f>
        <v>-63803.19</v>
      </c>
      <c r="M331" s="98" t="s">
        <v>149</v>
      </c>
      <c r="N331" s="100" t="n">
        <v>-75287.75</v>
      </c>
      <c r="O331" s="98" t="s">
        <v>149</v>
      </c>
      <c r="P331" s="100" t="n">
        <v>-75287.75</v>
      </c>
      <c r="Q331" s="100" t="n">
        <v>-11484.56</v>
      </c>
      <c r="R331" s="100" t="n">
        <v>-63803.19</v>
      </c>
      <c r="S331" s="100" t="n">
        <v>0</v>
      </c>
      <c r="T331" s="100" t="n">
        <v>0</v>
      </c>
      <c r="U331" s="98" t="s">
        <v>192</v>
      </c>
      <c r="V331" s="98" t="s">
        <v>151</v>
      </c>
      <c r="X331" s="98" t="s">
        <v>1212</v>
      </c>
      <c r="Y331" s="98" t="s">
        <v>1213</v>
      </c>
      <c r="Z331" s="98" t="s">
        <v>1263</v>
      </c>
      <c r="AB331" s="98" t="s">
        <v>1213</v>
      </c>
      <c r="AD331" s="98" t="s">
        <v>155</v>
      </c>
      <c r="AE331" s="98" t="s">
        <v>156</v>
      </c>
      <c r="AF331" s="98" t="s">
        <v>728</v>
      </c>
      <c r="AG331" s="98" t="s">
        <v>729</v>
      </c>
      <c r="AH331" s="98" t="s">
        <v>971</v>
      </c>
      <c r="AI331" s="98" t="s">
        <v>971</v>
      </c>
      <c r="AJ331" s="98" t="s">
        <v>972</v>
      </c>
      <c r="AK331" s="98" t="s">
        <v>159</v>
      </c>
      <c r="AL331" s="98" t="s">
        <v>224</v>
      </c>
      <c r="AM331" s="98" t="s">
        <v>225</v>
      </c>
      <c r="AP331" s="98" t="s">
        <v>553</v>
      </c>
      <c r="AQ331" s="98" t="s">
        <v>551</v>
      </c>
      <c r="AR331" s="98" t="s">
        <v>1215</v>
      </c>
      <c r="AS331" s="98" t="s">
        <v>1264</v>
      </c>
      <c r="AT331" s="100" t="n">
        <v>0</v>
      </c>
      <c r="AU331" s="100" t="n">
        <v>-75287.75</v>
      </c>
      <c r="AX331" s="98" t="s">
        <v>586</v>
      </c>
      <c r="AMH331" s="0"/>
      <c r="AMI331" s="0"/>
      <c r="AMJ331" s="0"/>
    </row>
    <row r="332" s="98" customFormat="true" ht="13.8" hidden="false" customHeight="false" outlineLevel="0" collapsed="false">
      <c r="A332" s="98" t="s">
        <v>142</v>
      </c>
      <c r="B332" s="98" t="s">
        <v>143</v>
      </c>
      <c r="C332" s="98" t="n">
        <v>51129352</v>
      </c>
      <c r="D332" s="98" t="s">
        <v>1262</v>
      </c>
      <c r="E332" s="98" t="s">
        <v>725</v>
      </c>
      <c r="F332" s="98" t="s">
        <v>297</v>
      </c>
      <c r="G332" s="98" t="s">
        <v>147</v>
      </c>
      <c r="H332" s="98" t="s">
        <v>220</v>
      </c>
      <c r="I332" s="99" t="n">
        <v>43595</v>
      </c>
      <c r="J332" s="99" t="n">
        <v>43616</v>
      </c>
      <c r="K332" s="100" t="n">
        <v>-75287.75</v>
      </c>
      <c r="L332" s="100" t="n">
        <f aca="false">K332-Q332+T332</f>
        <v>-63803.19</v>
      </c>
      <c r="M332" s="98" t="s">
        <v>149</v>
      </c>
      <c r="N332" s="100" t="n">
        <v>-75287.75</v>
      </c>
      <c r="O332" s="98" t="s">
        <v>149</v>
      </c>
      <c r="P332" s="100" t="n">
        <v>-75287.75</v>
      </c>
      <c r="Q332" s="100" t="n">
        <v>-11484.56</v>
      </c>
      <c r="R332" s="100" t="n">
        <v>-63803.19</v>
      </c>
      <c r="S332" s="100" t="n">
        <v>0</v>
      </c>
      <c r="T332" s="100" t="n">
        <v>0</v>
      </c>
      <c r="U332" s="98" t="s">
        <v>192</v>
      </c>
      <c r="V332" s="98" t="s">
        <v>151</v>
      </c>
      <c r="X332" s="98" t="s">
        <v>1212</v>
      </c>
      <c r="Y332" s="98" t="s">
        <v>1213</v>
      </c>
      <c r="Z332" s="98" t="s">
        <v>1263</v>
      </c>
      <c r="AB332" s="98" t="s">
        <v>1213</v>
      </c>
      <c r="AD332" s="98" t="s">
        <v>155</v>
      </c>
      <c r="AE332" s="98" t="s">
        <v>156</v>
      </c>
      <c r="AF332" s="98" t="s">
        <v>728</v>
      </c>
      <c r="AG332" s="98" t="s">
        <v>729</v>
      </c>
      <c r="AH332" s="98" t="s">
        <v>971</v>
      </c>
      <c r="AI332" s="98" t="s">
        <v>971</v>
      </c>
      <c r="AJ332" s="98" t="s">
        <v>972</v>
      </c>
      <c r="AK332" s="98" t="s">
        <v>159</v>
      </c>
      <c r="AL332" s="98" t="s">
        <v>224</v>
      </c>
      <c r="AM332" s="98" t="s">
        <v>225</v>
      </c>
      <c r="AP332" s="98" t="s">
        <v>553</v>
      </c>
      <c r="AQ332" s="98" t="s">
        <v>551</v>
      </c>
      <c r="AR332" s="98" t="s">
        <v>1215</v>
      </c>
      <c r="AS332" s="98" t="s">
        <v>1264</v>
      </c>
      <c r="AT332" s="100" t="n">
        <v>0</v>
      </c>
      <c r="AU332" s="100" t="n">
        <v>-75287.75</v>
      </c>
      <c r="AX332" s="98" t="s">
        <v>191</v>
      </c>
      <c r="AMH332" s="0"/>
      <c r="AMI332" s="0"/>
      <c r="AMJ332" s="0"/>
    </row>
    <row r="333" s="98" customFormat="true" ht="13.8" hidden="false" customHeight="false" outlineLevel="0" collapsed="false">
      <c r="A333" s="98" t="s">
        <v>142</v>
      </c>
      <c r="B333" s="98" t="s">
        <v>143</v>
      </c>
      <c r="C333" s="98" t="n">
        <v>51129653</v>
      </c>
      <c r="D333" s="98" t="s">
        <v>1265</v>
      </c>
      <c r="E333" s="98" t="s">
        <v>725</v>
      </c>
      <c r="F333" s="98" t="s">
        <v>297</v>
      </c>
      <c r="G333" s="98" t="s">
        <v>147</v>
      </c>
      <c r="H333" s="98" t="s">
        <v>220</v>
      </c>
      <c r="I333" s="99" t="n">
        <v>43595</v>
      </c>
      <c r="J333" s="99" t="n">
        <v>43616</v>
      </c>
      <c r="K333" s="100" t="n">
        <v>-69297.25</v>
      </c>
      <c r="L333" s="100" t="n">
        <f aca="false">K333-Q333+T333</f>
        <v>-58726.49</v>
      </c>
      <c r="M333" s="98" t="s">
        <v>149</v>
      </c>
      <c r="N333" s="100" t="n">
        <v>-69297.25</v>
      </c>
      <c r="O333" s="98" t="s">
        <v>149</v>
      </c>
      <c r="P333" s="100" t="n">
        <v>-69297.25</v>
      </c>
      <c r="Q333" s="100" t="n">
        <v>-10570.76</v>
      </c>
      <c r="R333" s="100" t="n">
        <v>-58726.49</v>
      </c>
      <c r="S333" s="100" t="n">
        <v>0</v>
      </c>
      <c r="T333" s="100" t="n">
        <v>0</v>
      </c>
      <c r="U333" s="98" t="s">
        <v>192</v>
      </c>
      <c r="V333" s="98" t="s">
        <v>151</v>
      </c>
      <c r="X333" s="98" t="s">
        <v>1212</v>
      </c>
      <c r="Y333" s="98" t="s">
        <v>1213</v>
      </c>
      <c r="Z333" s="98" t="s">
        <v>1266</v>
      </c>
      <c r="AB333" s="98" t="s">
        <v>1213</v>
      </c>
      <c r="AD333" s="98" t="s">
        <v>155</v>
      </c>
      <c r="AE333" s="98" t="s">
        <v>156</v>
      </c>
      <c r="AF333" s="98" t="s">
        <v>728</v>
      </c>
      <c r="AG333" s="98" t="s">
        <v>729</v>
      </c>
      <c r="AH333" s="98" t="s">
        <v>971</v>
      </c>
      <c r="AI333" s="98" t="s">
        <v>971</v>
      </c>
      <c r="AJ333" s="98" t="s">
        <v>972</v>
      </c>
      <c r="AK333" s="98" t="s">
        <v>159</v>
      </c>
      <c r="AL333" s="98" t="s">
        <v>224</v>
      </c>
      <c r="AM333" s="98" t="s">
        <v>225</v>
      </c>
      <c r="AP333" s="98" t="s">
        <v>553</v>
      </c>
      <c r="AQ333" s="98" t="s">
        <v>551</v>
      </c>
      <c r="AR333" s="98" t="s">
        <v>1215</v>
      </c>
      <c r="AS333" s="98" t="s">
        <v>1267</v>
      </c>
      <c r="AT333" s="100" t="n">
        <v>0</v>
      </c>
      <c r="AU333" s="100" t="n">
        <v>-69297.25</v>
      </c>
      <c r="AX333" s="98" t="s">
        <v>191</v>
      </c>
      <c r="AMH333" s="0"/>
      <c r="AMI333" s="0"/>
      <c r="AMJ333" s="0"/>
    </row>
    <row r="334" s="98" customFormat="true" ht="13.8" hidden="false" customHeight="false" outlineLevel="0" collapsed="false">
      <c r="A334" s="98" t="s">
        <v>142</v>
      </c>
      <c r="B334" s="98" t="s">
        <v>143</v>
      </c>
      <c r="C334" s="98" t="n">
        <v>51129653</v>
      </c>
      <c r="D334" s="98" t="s">
        <v>1265</v>
      </c>
      <c r="E334" s="98" t="s">
        <v>725</v>
      </c>
      <c r="F334" s="98" t="s">
        <v>297</v>
      </c>
      <c r="G334" s="98" t="s">
        <v>147</v>
      </c>
      <c r="H334" s="98" t="s">
        <v>220</v>
      </c>
      <c r="I334" s="99" t="n">
        <v>43595</v>
      </c>
      <c r="J334" s="99" t="n">
        <v>43616</v>
      </c>
      <c r="K334" s="100" t="n">
        <v>-69297.25</v>
      </c>
      <c r="L334" s="100" t="n">
        <f aca="false">K334-Q334+T334</f>
        <v>-58726.49</v>
      </c>
      <c r="M334" s="98" t="s">
        <v>149</v>
      </c>
      <c r="N334" s="100" t="n">
        <v>-69297.25</v>
      </c>
      <c r="O334" s="98" t="s">
        <v>149</v>
      </c>
      <c r="P334" s="100" t="n">
        <v>-69297.25</v>
      </c>
      <c r="Q334" s="100" t="n">
        <v>-10570.76</v>
      </c>
      <c r="R334" s="100" t="n">
        <v>-58726.49</v>
      </c>
      <c r="S334" s="100" t="n">
        <v>0</v>
      </c>
      <c r="T334" s="100" t="n">
        <v>0</v>
      </c>
      <c r="U334" s="98" t="s">
        <v>192</v>
      </c>
      <c r="V334" s="98" t="s">
        <v>151</v>
      </c>
      <c r="X334" s="98" t="s">
        <v>1212</v>
      </c>
      <c r="Y334" s="98" t="s">
        <v>1213</v>
      </c>
      <c r="Z334" s="98" t="s">
        <v>1266</v>
      </c>
      <c r="AB334" s="98" t="s">
        <v>1213</v>
      </c>
      <c r="AD334" s="98" t="s">
        <v>155</v>
      </c>
      <c r="AE334" s="98" t="s">
        <v>156</v>
      </c>
      <c r="AF334" s="98" t="s">
        <v>728</v>
      </c>
      <c r="AG334" s="98" t="s">
        <v>729</v>
      </c>
      <c r="AH334" s="98" t="s">
        <v>971</v>
      </c>
      <c r="AI334" s="98" t="s">
        <v>971</v>
      </c>
      <c r="AJ334" s="98" t="s">
        <v>972</v>
      </c>
      <c r="AK334" s="98" t="s">
        <v>159</v>
      </c>
      <c r="AL334" s="98" t="s">
        <v>224</v>
      </c>
      <c r="AM334" s="98" t="s">
        <v>225</v>
      </c>
      <c r="AP334" s="98" t="s">
        <v>553</v>
      </c>
      <c r="AQ334" s="98" t="s">
        <v>551</v>
      </c>
      <c r="AR334" s="98" t="s">
        <v>1215</v>
      </c>
      <c r="AS334" s="98" t="s">
        <v>1267</v>
      </c>
      <c r="AT334" s="100" t="n">
        <v>0</v>
      </c>
      <c r="AU334" s="100" t="n">
        <v>-69297.25</v>
      </c>
      <c r="AX334" s="98" t="s">
        <v>586</v>
      </c>
      <c r="AMH334" s="0"/>
      <c r="AMI334" s="0"/>
      <c r="AMJ334" s="0"/>
    </row>
    <row r="335" s="98" customFormat="true" ht="13.8" hidden="false" customHeight="false" outlineLevel="0" collapsed="false">
      <c r="A335" s="98" t="s">
        <v>142</v>
      </c>
      <c r="B335" s="98" t="s">
        <v>143</v>
      </c>
      <c r="C335" s="98" t="n">
        <v>51129653</v>
      </c>
      <c r="D335" s="98" t="s">
        <v>1265</v>
      </c>
      <c r="E335" s="98" t="s">
        <v>725</v>
      </c>
      <c r="F335" s="98" t="s">
        <v>297</v>
      </c>
      <c r="G335" s="98" t="s">
        <v>147</v>
      </c>
      <c r="H335" s="98" t="s">
        <v>220</v>
      </c>
      <c r="I335" s="99" t="n">
        <v>43595</v>
      </c>
      <c r="J335" s="99" t="n">
        <v>43616</v>
      </c>
      <c r="K335" s="100" t="n">
        <v>-1178053.25</v>
      </c>
      <c r="L335" s="100" t="n">
        <f aca="false">K335-Q335+T335</f>
        <v>-998350.36</v>
      </c>
      <c r="M335" s="98" t="s">
        <v>149</v>
      </c>
      <c r="N335" s="100" t="n">
        <v>-1178053.25</v>
      </c>
      <c r="O335" s="98" t="s">
        <v>149</v>
      </c>
      <c r="P335" s="100" t="n">
        <v>-1178053.25</v>
      </c>
      <c r="Q335" s="100" t="n">
        <v>-179702.89</v>
      </c>
      <c r="R335" s="100" t="n">
        <v>-998350.36</v>
      </c>
      <c r="S335" s="100" t="n">
        <v>0</v>
      </c>
      <c r="T335" s="100" t="n">
        <v>0</v>
      </c>
      <c r="U335" s="98" t="s">
        <v>192</v>
      </c>
      <c r="V335" s="98" t="s">
        <v>151</v>
      </c>
      <c r="X335" s="98" t="s">
        <v>1212</v>
      </c>
      <c r="Y335" s="98" t="s">
        <v>1213</v>
      </c>
      <c r="Z335" s="98" t="s">
        <v>1266</v>
      </c>
      <c r="AB335" s="98" t="s">
        <v>1213</v>
      </c>
      <c r="AD335" s="98" t="s">
        <v>155</v>
      </c>
      <c r="AE335" s="98" t="s">
        <v>156</v>
      </c>
      <c r="AF335" s="98" t="s">
        <v>728</v>
      </c>
      <c r="AG335" s="98" t="s">
        <v>729</v>
      </c>
      <c r="AH335" s="98" t="s">
        <v>971</v>
      </c>
      <c r="AI335" s="98" t="s">
        <v>971</v>
      </c>
      <c r="AJ335" s="98" t="s">
        <v>972</v>
      </c>
      <c r="AK335" s="98" t="s">
        <v>159</v>
      </c>
      <c r="AL335" s="98" t="s">
        <v>224</v>
      </c>
      <c r="AM335" s="98" t="s">
        <v>225</v>
      </c>
      <c r="AP335" s="98" t="s">
        <v>379</v>
      </c>
      <c r="AQ335" s="98" t="s">
        <v>377</v>
      </c>
      <c r="AR335" s="98" t="s">
        <v>1215</v>
      </c>
      <c r="AS335" s="98" t="s">
        <v>1267</v>
      </c>
      <c r="AT335" s="100" t="n">
        <v>0</v>
      </c>
      <c r="AU335" s="100" t="n">
        <v>-1178053.25</v>
      </c>
      <c r="AX335" s="98" t="s">
        <v>556</v>
      </c>
      <c r="AMH335" s="0"/>
      <c r="AMI335" s="0"/>
      <c r="AMJ335" s="0"/>
    </row>
    <row r="336" s="98" customFormat="true" ht="13.8" hidden="false" customHeight="false" outlineLevel="0" collapsed="false">
      <c r="A336" s="98" t="s">
        <v>142</v>
      </c>
      <c r="B336" s="98" t="s">
        <v>143</v>
      </c>
      <c r="C336" s="98" t="n">
        <v>51129653</v>
      </c>
      <c r="D336" s="98" t="s">
        <v>1265</v>
      </c>
      <c r="E336" s="98" t="s">
        <v>725</v>
      </c>
      <c r="F336" s="98" t="s">
        <v>297</v>
      </c>
      <c r="G336" s="98" t="s">
        <v>147</v>
      </c>
      <c r="H336" s="98" t="s">
        <v>220</v>
      </c>
      <c r="I336" s="99" t="n">
        <v>43595</v>
      </c>
      <c r="J336" s="99" t="n">
        <v>43616</v>
      </c>
      <c r="K336" s="100" t="n">
        <v>-69297.25</v>
      </c>
      <c r="L336" s="100" t="n">
        <f aca="false">K336-Q336+T336</f>
        <v>-58726.49</v>
      </c>
      <c r="M336" s="98" t="s">
        <v>149</v>
      </c>
      <c r="N336" s="100" t="n">
        <v>-69297.25</v>
      </c>
      <c r="O336" s="98" t="s">
        <v>149</v>
      </c>
      <c r="P336" s="100" t="n">
        <v>-69297.25</v>
      </c>
      <c r="Q336" s="100" t="n">
        <v>-10570.76</v>
      </c>
      <c r="R336" s="100" t="n">
        <v>-58726.49</v>
      </c>
      <c r="S336" s="100" t="n">
        <v>0</v>
      </c>
      <c r="T336" s="100" t="n">
        <v>0</v>
      </c>
      <c r="U336" s="98" t="s">
        <v>192</v>
      </c>
      <c r="V336" s="98" t="s">
        <v>151</v>
      </c>
      <c r="X336" s="98" t="s">
        <v>1212</v>
      </c>
      <c r="Y336" s="98" t="s">
        <v>1213</v>
      </c>
      <c r="Z336" s="98" t="s">
        <v>1266</v>
      </c>
      <c r="AB336" s="98" t="s">
        <v>1213</v>
      </c>
      <c r="AD336" s="98" t="s">
        <v>155</v>
      </c>
      <c r="AE336" s="98" t="s">
        <v>156</v>
      </c>
      <c r="AF336" s="98" t="s">
        <v>728</v>
      </c>
      <c r="AG336" s="98" t="s">
        <v>729</v>
      </c>
      <c r="AH336" s="98" t="s">
        <v>971</v>
      </c>
      <c r="AI336" s="98" t="s">
        <v>971</v>
      </c>
      <c r="AJ336" s="98" t="s">
        <v>972</v>
      </c>
      <c r="AK336" s="98" t="s">
        <v>159</v>
      </c>
      <c r="AL336" s="98" t="s">
        <v>224</v>
      </c>
      <c r="AM336" s="98" t="s">
        <v>225</v>
      </c>
      <c r="AP336" s="98" t="s">
        <v>553</v>
      </c>
      <c r="AQ336" s="98" t="s">
        <v>551</v>
      </c>
      <c r="AR336" s="98" t="s">
        <v>1215</v>
      </c>
      <c r="AS336" s="98" t="s">
        <v>1267</v>
      </c>
      <c r="AT336" s="100" t="n">
        <v>0</v>
      </c>
      <c r="AU336" s="100" t="n">
        <v>-69297.25</v>
      </c>
      <c r="AX336" s="98" t="s">
        <v>200</v>
      </c>
      <c r="AMH336" s="0"/>
      <c r="AMI336" s="0"/>
      <c r="AMJ336" s="0"/>
    </row>
    <row r="337" s="98" customFormat="true" ht="13.8" hidden="false" customHeight="false" outlineLevel="0" collapsed="false">
      <c r="A337" s="98" t="s">
        <v>142</v>
      </c>
      <c r="B337" s="98" t="s">
        <v>143</v>
      </c>
      <c r="C337" s="98" t="n">
        <v>51173596</v>
      </c>
      <c r="D337" s="98" t="s">
        <v>1268</v>
      </c>
      <c r="E337" s="98" t="s">
        <v>725</v>
      </c>
      <c r="F337" s="98" t="s">
        <v>371</v>
      </c>
      <c r="G337" s="98" t="s">
        <v>147</v>
      </c>
      <c r="H337" s="98" t="s">
        <v>148</v>
      </c>
      <c r="I337" s="99" t="n">
        <v>43615</v>
      </c>
      <c r="J337" s="99" t="n">
        <v>43636</v>
      </c>
      <c r="K337" s="100" t="n">
        <v>-2696044</v>
      </c>
      <c r="L337" s="100" t="n">
        <f aca="false">K337-Q337+T337</f>
        <v>-2284782.9</v>
      </c>
      <c r="M337" s="98" t="s">
        <v>149</v>
      </c>
      <c r="N337" s="100" t="n">
        <v>-2696044</v>
      </c>
      <c r="O337" s="98" t="s">
        <v>149</v>
      </c>
      <c r="P337" s="100" t="n">
        <v>-2696044</v>
      </c>
      <c r="Q337" s="100" t="n">
        <v>-411261.1</v>
      </c>
      <c r="R337" s="100" t="n">
        <v>-2284782.9</v>
      </c>
      <c r="S337" s="100" t="n">
        <v>0</v>
      </c>
      <c r="T337" s="100" t="n">
        <v>0</v>
      </c>
      <c r="U337" s="98" t="s">
        <v>192</v>
      </c>
      <c r="V337" s="98" t="s">
        <v>151</v>
      </c>
      <c r="X337" s="98" t="s">
        <v>1151</v>
      </c>
      <c r="Y337" s="98" t="s">
        <v>1269</v>
      </c>
      <c r="Z337" s="98" t="s">
        <v>1270</v>
      </c>
      <c r="AB337" s="98" t="s">
        <v>1269</v>
      </c>
      <c r="AD337" s="98" t="s">
        <v>155</v>
      </c>
      <c r="AE337" s="98" t="s">
        <v>156</v>
      </c>
      <c r="AF337" s="98" t="s">
        <v>737</v>
      </c>
      <c r="AG337" s="98" t="s">
        <v>738</v>
      </c>
      <c r="AH337" s="98" t="s">
        <v>971</v>
      </c>
      <c r="AI337" s="98" t="s">
        <v>971</v>
      </c>
      <c r="AJ337" s="98" t="s">
        <v>972</v>
      </c>
      <c r="AK337" s="98" t="s">
        <v>159</v>
      </c>
      <c r="AL337" s="98" t="s">
        <v>224</v>
      </c>
      <c r="AM337" s="98" t="s">
        <v>225</v>
      </c>
      <c r="AP337" s="98" t="s">
        <v>419</v>
      </c>
      <c r="AQ337" s="98" t="s">
        <v>413</v>
      </c>
      <c r="AR337" s="98" t="s">
        <v>1154</v>
      </c>
      <c r="AS337" s="98" t="s">
        <v>1271</v>
      </c>
      <c r="AT337" s="100" t="n">
        <v>0</v>
      </c>
      <c r="AU337" s="100" t="n">
        <v>-2696044</v>
      </c>
      <c r="AX337" s="98" t="s">
        <v>165</v>
      </c>
      <c r="AMH337" s="0"/>
      <c r="AMI337" s="0"/>
      <c r="AMJ337" s="0"/>
    </row>
    <row r="338" s="98" customFormat="true" ht="13.8" hidden="false" customHeight="false" outlineLevel="0" collapsed="false">
      <c r="A338" s="98" t="s">
        <v>142</v>
      </c>
      <c r="B338" s="98" t="s">
        <v>143</v>
      </c>
      <c r="C338" s="98" t="n">
        <v>51572306</v>
      </c>
      <c r="D338" s="98" t="s">
        <v>1272</v>
      </c>
      <c r="E338" s="98" t="s">
        <v>725</v>
      </c>
      <c r="F338" s="98" t="s">
        <v>212</v>
      </c>
      <c r="G338" s="98" t="s">
        <v>147</v>
      </c>
      <c r="H338" s="98" t="s">
        <v>586</v>
      </c>
      <c r="I338" s="99" t="n">
        <v>43809</v>
      </c>
      <c r="J338" s="99" t="n">
        <v>43830</v>
      </c>
      <c r="K338" s="100" t="n">
        <v>-1765280</v>
      </c>
      <c r="L338" s="100" t="n">
        <f aca="false">K338-Q338+T338</f>
        <v>-1496000</v>
      </c>
      <c r="M338" s="98" t="s">
        <v>149</v>
      </c>
      <c r="N338" s="100" t="n">
        <v>-1765280</v>
      </c>
      <c r="O338" s="98" t="s">
        <v>149</v>
      </c>
      <c r="P338" s="100" t="n">
        <v>-1765280</v>
      </c>
      <c r="Q338" s="100" t="n">
        <v>-269280</v>
      </c>
      <c r="R338" s="100" t="n">
        <v>-1496000</v>
      </c>
      <c r="S338" s="100" t="n">
        <v>0</v>
      </c>
      <c r="T338" s="100" t="n">
        <v>0</v>
      </c>
      <c r="U338" s="98" t="s">
        <v>150</v>
      </c>
      <c r="V338" s="98" t="s">
        <v>151</v>
      </c>
      <c r="X338" s="98" t="s">
        <v>1273</v>
      </c>
      <c r="Y338" s="98" t="s">
        <v>1274</v>
      </c>
      <c r="Z338" s="98" t="s">
        <v>1275</v>
      </c>
      <c r="AB338" s="98" t="s">
        <v>1274</v>
      </c>
      <c r="AD338" s="98" t="s">
        <v>155</v>
      </c>
      <c r="AE338" s="98" t="s">
        <v>156</v>
      </c>
      <c r="AF338" s="98" t="s">
        <v>737</v>
      </c>
      <c r="AG338" s="98" t="s">
        <v>738</v>
      </c>
      <c r="AH338" s="98" t="s">
        <v>793</v>
      </c>
      <c r="AI338" s="98" t="s">
        <v>793</v>
      </c>
      <c r="AJ338" s="98" t="s">
        <v>794</v>
      </c>
      <c r="AK338" s="98" t="s">
        <v>159</v>
      </c>
      <c r="AL338" s="98" t="s">
        <v>224</v>
      </c>
      <c r="AM338" s="98" t="s">
        <v>225</v>
      </c>
      <c r="AP338" s="98" t="s">
        <v>642</v>
      </c>
      <c r="AQ338" s="98" t="s">
        <v>640</v>
      </c>
      <c r="AR338" s="98" t="s">
        <v>1276</v>
      </c>
      <c r="AS338" s="98" t="s">
        <v>1277</v>
      </c>
      <c r="AT338" s="100" t="n">
        <v>0</v>
      </c>
      <c r="AU338" s="100" t="n">
        <v>-1765280</v>
      </c>
      <c r="AX338" s="98" t="s">
        <v>165</v>
      </c>
      <c r="AMH338" s="0"/>
      <c r="AMI338" s="0"/>
      <c r="AMJ338" s="0"/>
    </row>
    <row r="339" s="98" customFormat="true" ht="13.8" hidden="false" customHeight="false" outlineLevel="0" collapsed="false">
      <c r="A339" s="98" t="s">
        <v>142</v>
      </c>
      <c r="B339" s="98" t="s">
        <v>143</v>
      </c>
      <c r="C339" s="98" t="n">
        <v>51648942</v>
      </c>
      <c r="D339" s="98" t="s">
        <v>1278</v>
      </c>
      <c r="E339" s="98" t="s">
        <v>725</v>
      </c>
      <c r="F339" s="98" t="s">
        <v>212</v>
      </c>
      <c r="G339" s="98" t="s">
        <v>147</v>
      </c>
      <c r="H339" s="98" t="s">
        <v>200</v>
      </c>
      <c r="I339" s="99" t="n">
        <v>43844</v>
      </c>
      <c r="J339" s="99" t="n">
        <v>43865</v>
      </c>
      <c r="K339" s="100" t="n">
        <v>-1237110.82</v>
      </c>
      <c r="L339" s="100" t="n">
        <f aca="false">K339-Q339+T339</f>
        <v>-1048399</v>
      </c>
      <c r="M339" s="98" t="s">
        <v>149</v>
      </c>
      <c r="N339" s="100" t="n">
        <v>-1237110.82</v>
      </c>
      <c r="O339" s="98" t="s">
        <v>149</v>
      </c>
      <c r="P339" s="100" t="n">
        <v>-1237110.82</v>
      </c>
      <c r="Q339" s="100" t="n">
        <v>-188711.82</v>
      </c>
      <c r="R339" s="100" t="n">
        <v>-1048399</v>
      </c>
      <c r="S339" s="100" t="n">
        <v>0</v>
      </c>
      <c r="T339" s="100" t="n">
        <v>0</v>
      </c>
      <c r="U339" s="98" t="s">
        <v>150</v>
      </c>
      <c r="V339" s="98" t="s">
        <v>151</v>
      </c>
      <c r="X339" s="98" t="s">
        <v>1279</v>
      </c>
      <c r="Y339" s="98" t="s">
        <v>1280</v>
      </c>
      <c r="Z339" s="98" t="s">
        <v>1281</v>
      </c>
      <c r="AB339" s="98" t="s">
        <v>1280</v>
      </c>
      <c r="AD339" s="98" t="s">
        <v>155</v>
      </c>
      <c r="AE339" s="98" t="s">
        <v>156</v>
      </c>
      <c r="AF339" s="98" t="s">
        <v>737</v>
      </c>
      <c r="AG339" s="98" t="s">
        <v>738</v>
      </c>
      <c r="AH339" s="98" t="s">
        <v>793</v>
      </c>
      <c r="AI339" s="98" t="s">
        <v>793</v>
      </c>
      <c r="AJ339" s="98" t="s">
        <v>794</v>
      </c>
      <c r="AK339" s="98" t="s">
        <v>159</v>
      </c>
      <c r="AL339" s="98" t="s">
        <v>224</v>
      </c>
      <c r="AM339" s="98" t="s">
        <v>225</v>
      </c>
      <c r="AP339" s="98" t="s">
        <v>1282</v>
      </c>
      <c r="AQ339" s="98" t="s">
        <v>1172</v>
      </c>
      <c r="AR339" s="98" t="s">
        <v>1283</v>
      </c>
      <c r="AS339" s="98" t="s">
        <v>1284</v>
      </c>
      <c r="AT339" s="100" t="n">
        <v>0</v>
      </c>
      <c r="AU339" s="100" t="n">
        <v>-1237110.82</v>
      </c>
      <c r="AX339" s="98" t="s">
        <v>165</v>
      </c>
      <c r="AMH339" s="0"/>
      <c r="AMI339" s="0"/>
      <c r="AMJ339" s="0"/>
    </row>
    <row r="340" s="98" customFormat="true" ht="13.8" hidden="false" customHeight="false" outlineLevel="0" collapsed="false">
      <c r="A340" s="98" t="s">
        <v>142</v>
      </c>
      <c r="B340" s="98" t="s">
        <v>143</v>
      </c>
      <c r="C340" s="98" t="n">
        <v>51648942</v>
      </c>
      <c r="D340" s="98" t="s">
        <v>1278</v>
      </c>
      <c r="E340" s="98" t="s">
        <v>725</v>
      </c>
      <c r="F340" s="98" t="s">
        <v>212</v>
      </c>
      <c r="G340" s="98" t="s">
        <v>147</v>
      </c>
      <c r="H340" s="98" t="s">
        <v>200</v>
      </c>
      <c r="I340" s="99" t="n">
        <v>43844</v>
      </c>
      <c r="J340" s="99" t="n">
        <v>43865</v>
      </c>
      <c r="K340" s="100" t="n">
        <v>-1639864.88</v>
      </c>
      <c r="L340" s="100" t="n">
        <f aca="false">K340-Q340+T340</f>
        <v>-1389716</v>
      </c>
      <c r="M340" s="98" t="s">
        <v>149</v>
      </c>
      <c r="N340" s="100" t="n">
        <v>-1639864.88</v>
      </c>
      <c r="O340" s="98" t="s">
        <v>149</v>
      </c>
      <c r="P340" s="100" t="n">
        <v>-1639864.88</v>
      </c>
      <c r="Q340" s="100" t="n">
        <v>-250148.88</v>
      </c>
      <c r="R340" s="100" t="n">
        <v>-1389716</v>
      </c>
      <c r="S340" s="100" t="n">
        <v>0</v>
      </c>
      <c r="T340" s="100" t="n">
        <v>0</v>
      </c>
      <c r="U340" s="98" t="s">
        <v>150</v>
      </c>
      <c r="V340" s="98" t="s">
        <v>151</v>
      </c>
      <c r="X340" s="98" t="s">
        <v>1279</v>
      </c>
      <c r="Y340" s="98" t="s">
        <v>1280</v>
      </c>
      <c r="Z340" s="98" t="s">
        <v>1281</v>
      </c>
      <c r="AB340" s="98" t="s">
        <v>1280</v>
      </c>
      <c r="AD340" s="98" t="s">
        <v>155</v>
      </c>
      <c r="AE340" s="98" t="s">
        <v>156</v>
      </c>
      <c r="AF340" s="98" t="s">
        <v>737</v>
      </c>
      <c r="AG340" s="98" t="s">
        <v>738</v>
      </c>
      <c r="AH340" s="98" t="s">
        <v>793</v>
      </c>
      <c r="AI340" s="98" t="s">
        <v>793</v>
      </c>
      <c r="AJ340" s="98" t="s">
        <v>794</v>
      </c>
      <c r="AK340" s="98" t="s">
        <v>159</v>
      </c>
      <c r="AL340" s="98" t="s">
        <v>224</v>
      </c>
      <c r="AM340" s="98" t="s">
        <v>225</v>
      </c>
      <c r="AP340" s="98" t="s">
        <v>1282</v>
      </c>
      <c r="AQ340" s="98" t="s">
        <v>1172</v>
      </c>
      <c r="AR340" s="98" t="s">
        <v>1283</v>
      </c>
      <c r="AS340" s="98" t="s">
        <v>1284</v>
      </c>
      <c r="AT340" s="100" t="n">
        <v>0</v>
      </c>
      <c r="AU340" s="100" t="n">
        <v>-1639864.88</v>
      </c>
      <c r="AX340" s="98" t="s">
        <v>220</v>
      </c>
      <c r="AMH340" s="0"/>
      <c r="AMI340" s="0"/>
      <c r="AMJ340" s="0"/>
    </row>
    <row r="341" s="98" customFormat="true" ht="13.8" hidden="false" customHeight="false" outlineLevel="0" collapsed="false">
      <c r="A341" s="98" t="s">
        <v>142</v>
      </c>
      <c r="B341" s="98" t="s">
        <v>143</v>
      </c>
      <c r="C341" s="98" t="n">
        <v>51129338</v>
      </c>
      <c r="D341" s="98" t="s">
        <v>1285</v>
      </c>
      <c r="E341" s="98" t="s">
        <v>725</v>
      </c>
      <c r="F341" s="98" t="s">
        <v>297</v>
      </c>
      <c r="G341" s="98" t="s">
        <v>147</v>
      </c>
      <c r="H341" s="98" t="s">
        <v>220</v>
      </c>
      <c r="I341" s="99" t="n">
        <v>43594</v>
      </c>
      <c r="J341" s="99" t="n">
        <v>43616</v>
      </c>
      <c r="K341" s="100" t="n">
        <v>-47423.7</v>
      </c>
      <c r="L341" s="100" t="n">
        <f aca="false">K341-Q341+T341</f>
        <v>-40189.58</v>
      </c>
      <c r="M341" s="98" t="s">
        <v>149</v>
      </c>
      <c r="N341" s="100" t="n">
        <v>-47423.7</v>
      </c>
      <c r="O341" s="98" t="s">
        <v>149</v>
      </c>
      <c r="P341" s="100" t="n">
        <v>-47423.7</v>
      </c>
      <c r="Q341" s="100" t="n">
        <v>-7234.12</v>
      </c>
      <c r="R341" s="100" t="n">
        <v>-40189.58</v>
      </c>
      <c r="S341" s="100" t="n">
        <v>0</v>
      </c>
      <c r="T341" s="100" t="n">
        <v>0</v>
      </c>
      <c r="U341" s="98" t="s">
        <v>192</v>
      </c>
      <c r="V341" s="98" t="s">
        <v>151</v>
      </c>
      <c r="X341" s="98" t="s">
        <v>1212</v>
      </c>
      <c r="Y341" s="98" t="s">
        <v>1213</v>
      </c>
      <c r="Z341" s="98" t="s">
        <v>1286</v>
      </c>
      <c r="AB341" s="98" t="s">
        <v>1213</v>
      </c>
      <c r="AD341" s="98" t="s">
        <v>155</v>
      </c>
      <c r="AE341" s="98" t="s">
        <v>156</v>
      </c>
      <c r="AF341" s="98" t="s">
        <v>728</v>
      </c>
      <c r="AG341" s="98" t="s">
        <v>729</v>
      </c>
      <c r="AH341" s="98" t="s">
        <v>971</v>
      </c>
      <c r="AI341" s="98" t="s">
        <v>971</v>
      </c>
      <c r="AJ341" s="98" t="s">
        <v>972</v>
      </c>
      <c r="AK341" s="98" t="s">
        <v>159</v>
      </c>
      <c r="AL341" s="98" t="s">
        <v>224</v>
      </c>
      <c r="AM341" s="98" t="s">
        <v>225</v>
      </c>
      <c r="AP341" s="98" t="s">
        <v>553</v>
      </c>
      <c r="AQ341" s="98" t="s">
        <v>551</v>
      </c>
      <c r="AR341" s="98" t="s">
        <v>1215</v>
      </c>
      <c r="AS341" s="98" t="s">
        <v>1287</v>
      </c>
      <c r="AT341" s="100" t="n">
        <v>0</v>
      </c>
      <c r="AU341" s="100" t="n">
        <v>-47423.7</v>
      </c>
      <c r="AX341" s="98" t="s">
        <v>586</v>
      </c>
      <c r="AMH341" s="0"/>
      <c r="AMI341" s="0"/>
      <c r="AMJ341" s="0"/>
    </row>
    <row r="342" s="98" customFormat="true" ht="13.8" hidden="false" customHeight="false" outlineLevel="0" collapsed="false">
      <c r="A342" s="98" t="s">
        <v>142</v>
      </c>
      <c r="B342" s="98" t="s">
        <v>143</v>
      </c>
      <c r="C342" s="98" t="n">
        <v>51129338</v>
      </c>
      <c r="D342" s="98" t="s">
        <v>1285</v>
      </c>
      <c r="E342" s="98" t="s">
        <v>725</v>
      </c>
      <c r="F342" s="98" t="s">
        <v>297</v>
      </c>
      <c r="G342" s="98" t="s">
        <v>147</v>
      </c>
      <c r="H342" s="98" t="s">
        <v>220</v>
      </c>
      <c r="I342" s="99" t="n">
        <v>43594</v>
      </c>
      <c r="J342" s="99" t="n">
        <v>43616</v>
      </c>
      <c r="K342" s="100" t="n">
        <v>-47423.7</v>
      </c>
      <c r="L342" s="100" t="n">
        <f aca="false">K342-Q342+T342</f>
        <v>-40189.58</v>
      </c>
      <c r="M342" s="98" t="s">
        <v>149</v>
      </c>
      <c r="N342" s="100" t="n">
        <v>-47423.7</v>
      </c>
      <c r="O342" s="98" t="s">
        <v>149</v>
      </c>
      <c r="P342" s="100" t="n">
        <v>-47423.7</v>
      </c>
      <c r="Q342" s="100" t="n">
        <v>-7234.12</v>
      </c>
      <c r="R342" s="100" t="n">
        <v>-40189.58</v>
      </c>
      <c r="S342" s="100" t="n">
        <v>0</v>
      </c>
      <c r="T342" s="100" t="n">
        <v>0</v>
      </c>
      <c r="U342" s="98" t="s">
        <v>192</v>
      </c>
      <c r="V342" s="98" t="s">
        <v>151</v>
      </c>
      <c r="X342" s="98" t="s">
        <v>1212</v>
      </c>
      <c r="Y342" s="98" t="s">
        <v>1213</v>
      </c>
      <c r="Z342" s="98" t="s">
        <v>1286</v>
      </c>
      <c r="AB342" s="98" t="s">
        <v>1213</v>
      </c>
      <c r="AD342" s="98" t="s">
        <v>155</v>
      </c>
      <c r="AE342" s="98" t="s">
        <v>156</v>
      </c>
      <c r="AF342" s="98" t="s">
        <v>728</v>
      </c>
      <c r="AG342" s="98" t="s">
        <v>729</v>
      </c>
      <c r="AH342" s="98" t="s">
        <v>971</v>
      </c>
      <c r="AI342" s="98" t="s">
        <v>971</v>
      </c>
      <c r="AJ342" s="98" t="s">
        <v>972</v>
      </c>
      <c r="AK342" s="98" t="s">
        <v>159</v>
      </c>
      <c r="AL342" s="98" t="s">
        <v>224</v>
      </c>
      <c r="AM342" s="98" t="s">
        <v>225</v>
      </c>
      <c r="AP342" s="98" t="s">
        <v>553</v>
      </c>
      <c r="AQ342" s="98" t="s">
        <v>551</v>
      </c>
      <c r="AR342" s="98" t="s">
        <v>1215</v>
      </c>
      <c r="AS342" s="98" t="s">
        <v>1287</v>
      </c>
      <c r="AT342" s="100" t="n">
        <v>0</v>
      </c>
      <c r="AU342" s="100" t="n">
        <v>-47423.7</v>
      </c>
      <c r="AX342" s="98" t="s">
        <v>191</v>
      </c>
      <c r="AMH342" s="0"/>
      <c r="AMI342" s="0"/>
      <c r="AMJ342" s="0"/>
    </row>
    <row r="343" s="98" customFormat="true" ht="13.8" hidden="false" customHeight="false" outlineLevel="0" collapsed="false">
      <c r="A343" s="98" t="s">
        <v>142</v>
      </c>
      <c r="B343" s="98" t="s">
        <v>143</v>
      </c>
      <c r="C343" s="98" t="n">
        <v>51129338</v>
      </c>
      <c r="D343" s="98" t="s">
        <v>1285</v>
      </c>
      <c r="E343" s="98" t="s">
        <v>725</v>
      </c>
      <c r="F343" s="98" t="s">
        <v>297</v>
      </c>
      <c r="G343" s="98" t="s">
        <v>147</v>
      </c>
      <c r="H343" s="98" t="s">
        <v>220</v>
      </c>
      <c r="I343" s="99" t="n">
        <v>43594</v>
      </c>
      <c r="J343" s="99" t="n">
        <v>43616</v>
      </c>
      <c r="K343" s="100" t="n">
        <v>-806202.9</v>
      </c>
      <c r="L343" s="100" t="n">
        <f aca="false">K343-Q343+T343</f>
        <v>-683222.79</v>
      </c>
      <c r="M343" s="98" t="s">
        <v>149</v>
      </c>
      <c r="N343" s="100" t="n">
        <v>-806202.9</v>
      </c>
      <c r="O343" s="98" t="s">
        <v>149</v>
      </c>
      <c r="P343" s="100" t="n">
        <v>-806202.9</v>
      </c>
      <c r="Q343" s="100" t="n">
        <v>-122980.11</v>
      </c>
      <c r="R343" s="100" t="n">
        <v>-683222.79</v>
      </c>
      <c r="S343" s="100" t="n">
        <v>0</v>
      </c>
      <c r="T343" s="100" t="n">
        <v>0</v>
      </c>
      <c r="U343" s="98" t="s">
        <v>192</v>
      </c>
      <c r="V343" s="98" t="s">
        <v>151</v>
      </c>
      <c r="X343" s="98" t="s">
        <v>1212</v>
      </c>
      <c r="Y343" s="98" t="s">
        <v>1213</v>
      </c>
      <c r="Z343" s="98" t="s">
        <v>1286</v>
      </c>
      <c r="AB343" s="98" t="s">
        <v>1213</v>
      </c>
      <c r="AD343" s="98" t="s">
        <v>155</v>
      </c>
      <c r="AE343" s="98" t="s">
        <v>156</v>
      </c>
      <c r="AF343" s="98" t="s">
        <v>728</v>
      </c>
      <c r="AG343" s="98" t="s">
        <v>729</v>
      </c>
      <c r="AH343" s="98" t="s">
        <v>971</v>
      </c>
      <c r="AI343" s="98" t="s">
        <v>971</v>
      </c>
      <c r="AJ343" s="98" t="s">
        <v>972</v>
      </c>
      <c r="AK343" s="98" t="s">
        <v>159</v>
      </c>
      <c r="AL343" s="98" t="s">
        <v>224</v>
      </c>
      <c r="AM343" s="98" t="s">
        <v>225</v>
      </c>
      <c r="AP343" s="98" t="s">
        <v>379</v>
      </c>
      <c r="AQ343" s="98" t="s">
        <v>377</v>
      </c>
      <c r="AR343" s="98" t="s">
        <v>1215</v>
      </c>
      <c r="AS343" s="98" t="s">
        <v>1287</v>
      </c>
      <c r="AT343" s="100" t="n">
        <v>0</v>
      </c>
      <c r="AU343" s="100" t="n">
        <v>-806202.9</v>
      </c>
      <c r="AX343" s="98" t="s">
        <v>556</v>
      </c>
      <c r="AMH343" s="0"/>
      <c r="AMI343" s="0"/>
      <c r="AMJ343" s="0"/>
    </row>
    <row r="344" s="98" customFormat="true" ht="13.8" hidden="false" customHeight="false" outlineLevel="0" collapsed="false">
      <c r="A344" s="98" t="s">
        <v>142</v>
      </c>
      <c r="B344" s="98" t="s">
        <v>143</v>
      </c>
      <c r="C344" s="98" t="n">
        <v>51129338</v>
      </c>
      <c r="D344" s="98" t="s">
        <v>1285</v>
      </c>
      <c r="E344" s="98" t="s">
        <v>725</v>
      </c>
      <c r="F344" s="98" t="s">
        <v>297</v>
      </c>
      <c r="G344" s="98" t="s">
        <v>147</v>
      </c>
      <c r="H344" s="98" t="s">
        <v>220</v>
      </c>
      <c r="I344" s="99" t="n">
        <v>43594</v>
      </c>
      <c r="J344" s="99" t="n">
        <v>43616</v>
      </c>
      <c r="K344" s="100" t="n">
        <v>-47423.7</v>
      </c>
      <c r="L344" s="100" t="n">
        <f aca="false">K344-Q344+T344</f>
        <v>-40189.58</v>
      </c>
      <c r="M344" s="98" t="s">
        <v>149</v>
      </c>
      <c r="N344" s="100" t="n">
        <v>-47423.7</v>
      </c>
      <c r="O344" s="98" t="s">
        <v>149</v>
      </c>
      <c r="P344" s="100" t="n">
        <v>-47423.7</v>
      </c>
      <c r="Q344" s="100" t="n">
        <v>-7234.12</v>
      </c>
      <c r="R344" s="100" t="n">
        <v>-40189.58</v>
      </c>
      <c r="S344" s="100" t="n">
        <v>0</v>
      </c>
      <c r="T344" s="100" t="n">
        <v>0</v>
      </c>
      <c r="U344" s="98" t="s">
        <v>192</v>
      </c>
      <c r="V344" s="98" t="s">
        <v>151</v>
      </c>
      <c r="X344" s="98" t="s">
        <v>1212</v>
      </c>
      <c r="Y344" s="98" t="s">
        <v>1213</v>
      </c>
      <c r="Z344" s="98" t="s">
        <v>1286</v>
      </c>
      <c r="AB344" s="98" t="s">
        <v>1213</v>
      </c>
      <c r="AD344" s="98" t="s">
        <v>155</v>
      </c>
      <c r="AE344" s="98" t="s">
        <v>156</v>
      </c>
      <c r="AF344" s="98" t="s">
        <v>728</v>
      </c>
      <c r="AG344" s="98" t="s">
        <v>729</v>
      </c>
      <c r="AH344" s="98" t="s">
        <v>971</v>
      </c>
      <c r="AI344" s="98" t="s">
        <v>971</v>
      </c>
      <c r="AJ344" s="98" t="s">
        <v>972</v>
      </c>
      <c r="AK344" s="98" t="s">
        <v>159</v>
      </c>
      <c r="AL344" s="98" t="s">
        <v>224</v>
      </c>
      <c r="AM344" s="98" t="s">
        <v>225</v>
      </c>
      <c r="AP344" s="98" t="s">
        <v>553</v>
      </c>
      <c r="AQ344" s="98" t="s">
        <v>551</v>
      </c>
      <c r="AR344" s="98" t="s">
        <v>1215</v>
      </c>
      <c r="AS344" s="98" t="s">
        <v>1287</v>
      </c>
      <c r="AT344" s="100" t="n">
        <v>0</v>
      </c>
      <c r="AU344" s="100" t="n">
        <v>-47423.7</v>
      </c>
      <c r="AX344" s="98" t="s">
        <v>200</v>
      </c>
      <c r="AMH344" s="0"/>
      <c r="AMI344" s="0"/>
      <c r="AMJ344" s="0"/>
    </row>
    <row r="345" s="98" customFormat="true" ht="13.8" hidden="false" customHeight="false" outlineLevel="0" collapsed="false">
      <c r="A345" s="98" t="s">
        <v>142</v>
      </c>
      <c r="B345" s="98" t="s">
        <v>143</v>
      </c>
      <c r="C345" s="98" t="n">
        <v>51365136</v>
      </c>
      <c r="D345" s="98" t="s">
        <v>1288</v>
      </c>
      <c r="E345" s="98" t="s">
        <v>725</v>
      </c>
      <c r="F345" s="98" t="s">
        <v>234</v>
      </c>
      <c r="G345" s="98" t="s">
        <v>147</v>
      </c>
      <c r="H345" s="98" t="s">
        <v>175</v>
      </c>
      <c r="I345" s="99" t="n">
        <v>43703</v>
      </c>
      <c r="J345" s="99" t="n">
        <v>43725</v>
      </c>
      <c r="K345" s="100" t="n">
        <v>-1833661</v>
      </c>
      <c r="L345" s="100" t="n">
        <f aca="false">K345-Q345+T345</f>
        <v>-1553950</v>
      </c>
      <c r="M345" s="98" t="s">
        <v>149</v>
      </c>
      <c r="N345" s="100" t="n">
        <v>-1833661</v>
      </c>
      <c r="O345" s="98" t="s">
        <v>149</v>
      </c>
      <c r="P345" s="100" t="n">
        <v>-1833661</v>
      </c>
      <c r="Q345" s="100" t="n">
        <v>-279711</v>
      </c>
      <c r="R345" s="100" t="n">
        <v>-1553950</v>
      </c>
      <c r="S345" s="100" t="n">
        <v>0</v>
      </c>
      <c r="T345" s="100" t="n">
        <v>0</v>
      </c>
      <c r="U345" s="98" t="s">
        <v>192</v>
      </c>
      <c r="V345" s="98" t="s">
        <v>151</v>
      </c>
      <c r="X345" s="98" t="s">
        <v>1289</v>
      </c>
      <c r="Y345" s="98" t="s">
        <v>1290</v>
      </c>
      <c r="Z345" s="98" t="s">
        <v>1291</v>
      </c>
      <c r="AB345" s="98" t="s">
        <v>1290</v>
      </c>
      <c r="AD345" s="98" t="s">
        <v>155</v>
      </c>
      <c r="AE345" s="98" t="s">
        <v>156</v>
      </c>
      <c r="AF345" s="98" t="s">
        <v>737</v>
      </c>
      <c r="AG345" s="98" t="s">
        <v>738</v>
      </c>
      <c r="AH345" s="98" t="s">
        <v>739</v>
      </c>
      <c r="AI345" s="98" t="s">
        <v>739</v>
      </c>
      <c r="AJ345" s="98" t="s">
        <v>740</v>
      </c>
      <c r="AK345" s="98" t="s">
        <v>159</v>
      </c>
      <c r="AL345" s="98" t="s">
        <v>224</v>
      </c>
      <c r="AM345" s="98" t="s">
        <v>225</v>
      </c>
      <c r="AP345" s="98" t="s">
        <v>529</v>
      </c>
      <c r="AQ345" s="98" t="s">
        <v>527</v>
      </c>
      <c r="AR345" s="98" t="s">
        <v>1292</v>
      </c>
      <c r="AS345" s="98" t="s">
        <v>1293</v>
      </c>
      <c r="AT345" s="100" t="n">
        <v>0</v>
      </c>
      <c r="AU345" s="100" t="n">
        <v>-1833661</v>
      </c>
      <c r="AX345" s="98" t="s">
        <v>165</v>
      </c>
      <c r="AMH345" s="0"/>
      <c r="AMI345" s="0"/>
      <c r="AMJ345" s="0"/>
    </row>
    <row r="346" s="98" customFormat="true" ht="13.8" hidden="false" customHeight="false" outlineLevel="0" collapsed="false">
      <c r="A346" s="98" t="s">
        <v>142</v>
      </c>
      <c r="B346" s="98" t="s">
        <v>143</v>
      </c>
      <c r="C346" s="98" t="n">
        <v>51453540</v>
      </c>
      <c r="D346" s="98" t="s">
        <v>1294</v>
      </c>
      <c r="E346" s="98" t="s">
        <v>725</v>
      </c>
      <c r="F346" s="98" t="s">
        <v>297</v>
      </c>
      <c r="G346" s="98" t="s">
        <v>147</v>
      </c>
      <c r="H346" s="98" t="s">
        <v>535</v>
      </c>
      <c r="I346" s="99" t="n">
        <v>43747</v>
      </c>
      <c r="J346" s="99" t="n">
        <v>43769</v>
      </c>
      <c r="K346" s="100" t="n">
        <v>-103750.67</v>
      </c>
      <c r="L346" s="100" t="n">
        <f aca="false">K346-Q346+T346</f>
        <v>-87924.3</v>
      </c>
      <c r="M346" s="98" t="s">
        <v>149</v>
      </c>
      <c r="N346" s="100" t="n">
        <v>-103750.67</v>
      </c>
      <c r="O346" s="98" t="s">
        <v>149</v>
      </c>
      <c r="P346" s="100" t="n">
        <v>-103750.67</v>
      </c>
      <c r="Q346" s="100" t="n">
        <v>-15826.37</v>
      </c>
      <c r="R346" s="100" t="n">
        <v>-87924.3</v>
      </c>
      <c r="S346" s="100" t="n">
        <v>0</v>
      </c>
      <c r="T346" s="100" t="n">
        <v>0</v>
      </c>
      <c r="U346" s="98" t="s">
        <v>192</v>
      </c>
      <c r="V346" s="98" t="s">
        <v>151</v>
      </c>
      <c r="X346" s="98" t="s">
        <v>1295</v>
      </c>
      <c r="Y346" s="98" t="s">
        <v>1213</v>
      </c>
      <c r="Z346" s="98" t="s">
        <v>1296</v>
      </c>
      <c r="AB346" s="98" t="s">
        <v>1213</v>
      </c>
      <c r="AD346" s="98" t="s">
        <v>155</v>
      </c>
      <c r="AE346" s="98" t="s">
        <v>156</v>
      </c>
      <c r="AF346" s="98" t="s">
        <v>971</v>
      </c>
      <c r="AG346" s="98" t="s">
        <v>972</v>
      </c>
      <c r="AH346" s="98" t="s">
        <v>971</v>
      </c>
      <c r="AI346" s="98" t="s">
        <v>971</v>
      </c>
      <c r="AJ346" s="98" t="s">
        <v>972</v>
      </c>
      <c r="AK346" s="98" t="s">
        <v>159</v>
      </c>
      <c r="AL346" s="98" t="s">
        <v>224</v>
      </c>
      <c r="AM346" s="98" t="s">
        <v>225</v>
      </c>
      <c r="AP346" s="98" t="s">
        <v>563</v>
      </c>
      <c r="AQ346" s="98" t="s">
        <v>557</v>
      </c>
      <c r="AR346" s="98" t="s">
        <v>1297</v>
      </c>
      <c r="AS346" s="98" t="s">
        <v>1298</v>
      </c>
      <c r="AT346" s="100" t="n">
        <v>0</v>
      </c>
      <c r="AU346" s="100" t="n">
        <v>-103750.67</v>
      </c>
      <c r="AX346" s="98" t="s">
        <v>168</v>
      </c>
      <c r="AMH346" s="0"/>
      <c r="AMI346" s="0"/>
      <c r="AMJ346" s="0"/>
    </row>
    <row r="347" s="98" customFormat="true" ht="13.8" hidden="false" customHeight="false" outlineLevel="0" collapsed="false">
      <c r="A347" s="98" t="s">
        <v>142</v>
      </c>
      <c r="B347" s="98" t="s">
        <v>143</v>
      </c>
      <c r="C347" s="98" t="n">
        <v>51453540</v>
      </c>
      <c r="D347" s="98" t="s">
        <v>1294</v>
      </c>
      <c r="E347" s="98" t="s">
        <v>725</v>
      </c>
      <c r="F347" s="98" t="s">
        <v>297</v>
      </c>
      <c r="G347" s="98" t="s">
        <v>147</v>
      </c>
      <c r="H347" s="98" t="s">
        <v>535</v>
      </c>
      <c r="I347" s="99" t="n">
        <v>43747</v>
      </c>
      <c r="J347" s="99" t="n">
        <v>43769</v>
      </c>
      <c r="K347" s="100" t="n">
        <v>-103750.68</v>
      </c>
      <c r="L347" s="100" t="n">
        <f aca="false">K347-Q347+T347</f>
        <v>-87924.31</v>
      </c>
      <c r="M347" s="98" t="s">
        <v>149</v>
      </c>
      <c r="N347" s="100" t="n">
        <v>-103750.68</v>
      </c>
      <c r="O347" s="98" t="s">
        <v>149</v>
      </c>
      <c r="P347" s="100" t="n">
        <v>-103750.68</v>
      </c>
      <c r="Q347" s="100" t="n">
        <v>-15826.37</v>
      </c>
      <c r="R347" s="100" t="n">
        <v>-87924.31</v>
      </c>
      <c r="S347" s="100" t="n">
        <v>0</v>
      </c>
      <c r="T347" s="100" t="n">
        <v>0</v>
      </c>
      <c r="U347" s="98" t="s">
        <v>192</v>
      </c>
      <c r="V347" s="98" t="s">
        <v>151</v>
      </c>
      <c r="X347" s="98" t="s">
        <v>1295</v>
      </c>
      <c r="Y347" s="98" t="s">
        <v>1213</v>
      </c>
      <c r="Z347" s="98" t="s">
        <v>1296</v>
      </c>
      <c r="AB347" s="98" t="s">
        <v>1213</v>
      </c>
      <c r="AD347" s="98" t="s">
        <v>155</v>
      </c>
      <c r="AE347" s="98" t="s">
        <v>156</v>
      </c>
      <c r="AF347" s="98" t="s">
        <v>971</v>
      </c>
      <c r="AG347" s="98" t="s">
        <v>972</v>
      </c>
      <c r="AH347" s="98" t="s">
        <v>971</v>
      </c>
      <c r="AI347" s="98" t="s">
        <v>971</v>
      </c>
      <c r="AJ347" s="98" t="s">
        <v>972</v>
      </c>
      <c r="AK347" s="98" t="s">
        <v>159</v>
      </c>
      <c r="AL347" s="98" t="s">
        <v>224</v>
      </c>
      <c r="AM347" s="98" t="s">
        <v>225</v>
      </c>
      <c r="AP347" s="98" t="s">
        <v>563</v>
      </c>
      <c r="AQ347" s="98" t="s">
        <v>557</v>
      </c>
      <c r="AR347" s="98" t="s">
        <v>1297</v>
      </c>
      <c r="AS347" s="98" t="s">
        <v>1298</v>
      </c>
      <c r="AT347" s="100" t="n">
        <v>0</v>
      </c>
      <c r="AU347" s="100" t="n">
        <v>-103750.68</v>
      </c>
      <c r="AX347" s="98" t="s">
        <v>535</v>
      </c>
      <c r="AMH347" s="0"/>
      <c r="AMI347" s="0"/>
      <c r="AMJ347" s="0"/>
    </row>
    <row r="348" s="98" customFormat="true" ht="13.8" hidden="false" customHeight="false" outlineLevel="0" collapsed="false">
      <c r="A348" s="98" t="s">
        <v>142</v>
      </c>
      <c r="B348" s="98" t="s">
        <v>143</v>
      </c>
      <c r="C348" s="98" t="n">
        <v>51453540</v>
      </c>
      <c r="D348" s="98" t="s">
        <v>1294</v>
      </c>
      <c r="E348" s="98" t="s">
        <v>725</v>
      </c>
      <c r="F348" s="98" t="s">
        <v>297</v>
      </c>
      <c r="G348" s="98" t="s">
        <v>147</v>
      </c>
      <c r="H348" s="98" t="s">
        <v>535</v>
      </c>
      <c r="I348" s="99" t="n">
        <v>43747</v>
      </c>
      <c r="J348" s="99" t="n">
        <v>43769</v>
      </c>
      <c r="K348" s="100" t="n">
        <v>-103750.67</v>
      </c>
      <c r="L348" s="100" t="n">
        <f aca="false">K348-Q348+T348</f>
        <v>-87924.3</v>
      </c>
      <c r="M348" s="98" t="s">
        <v>149</v>
      </c>
      <c r="N348" s="100" t="n">
        <v>-103750.67</v>
      </c>
      <c r="O348" s="98" t="s">
        <v>149</v>
      </c>
      <c r="P348" s="100" t="n">
        <v>-103750.67</v>
      </c>
      <c r="Q348" s="100" t="n">
        <v>-15826.37</v>
      </c>
      <c r="R348" s="100" t="n">
        <v>-87924.3</v>
      </c>
      <c r="S348" s="100" t="n">
        <v>0</v>
      </c>
      <c r="T348" s="100" t="n">
        <v>0</v>
      </c>
      <c r="U348" s="98" t="s">
        <v>192</v>
      </c>
      <c r="V348" s="98" t="s">
        <v>151</v>
      </c>
      <c r="X348" s="98" t="s">
        <v>1295</v>
      </c>
      <c r="Y348" s="98" t="s">
        <v>1213</v>
      </c>
      <c r="Z348" s="98" t="s">
        <v>1296</v>
      </c>
      <c r="AB348" s="98" t="s">
        <v>1213</v>
      </c>
      <c r="AD348" s="98" t="s">
        <v>155</v>
      </c>
      <c r="AE348" s="98" t="s">
        <v>156</v>
      </c>
      <c r="AF348" s="98" t="s">
        <v>971</v>
      </c>
      <c r="AG348" s="98" t="s">
        <v>972</v>
      </c>
      <c r="AH348" s="98" t="s">
        <v>971</v>
      </c>
      <c r="AI348" s="98" t="s">
        <v>971</v>
      </c>
      <c r="AJ348" s="98" t="s">
        <v>972</v>
      </c>
      <c r="AK348" s="98" t="s">
        <v>159</v>
      </c>
      <c r="AL348" s="98" t="s">
        <v>224</v>
      </c>
      <c r="AM348" s="98" t="s">
        <v>225</v>
      </c>
      <c r="AP348" s="98" t="s">
        <v>563</v>
      </c>
      <c r="AQ348" s="98" t="s">
        <v>557</v>
      </c>
      <c r="AR348" s="98" t="s">
        <v>1297</v>
      </c>
      <c r="AS348" s="98" t="s">
        <v>1298</v>
      </c>
      <c r="AT348" s="100" t="n">
        <v>0</v>
      </c>
      <c r="AU348" s="100" t="n">
        <v>-103750.67</v>
      </c>
      <c r="AX348" s="98" t="s">
        <v>175</v>
      </c>
      <c r="AMH348" s="0"/>
      <c r="AMI348" s="0"/>
      <c r="AMJ348" s="0"/>
    </row>
    <row r="349" s="98" customFormat="true" ht="13.8" hidden="false" customHeight="false" outlineLevel="0" collapsed="false">
      <c r="A349" s="98" t="s">
        <v>142</v>
      </c>
      <c r="B349" s="98" t="s">
        <v>143</v>
      </c>
      <c r="C349" s="98" t="n">
        <v>51453540</v>
      </c>
      <c r="D349" s="98" t="s">
        <v>1294</v>
      </c>
      <c r="E349" s="98" t="s">
        <v>725</v>
      </c>
      <c r="F349" s="98" t="s">
        <v>297</v>
      </c>
      <c r="G349" s="98" t="s">
        <v>147</v>
      </c>
      <c r="H349" s="98" t="s">
        <v>535</v>
      </c>
      <c r="I349" s="99" t="n">
        <v>43747</v>
      </c>
      <c r="J349" s="99" t="n">
        <v>43769</v>
      </c>
      <c r="K349" s="100" t="n">
        <v>-1763761.46</v>
      </c>
      <c r="L349" s="100" t="n">
        <f aca="false">K349-Q349+T349</f>
        <v>-1494713.1</v>
      </c>
      <c r="M349" s="98" t="s">
        <v>149</v>
      </c>
      <c r="N349" s="100" t="n">
        <v>-1763761.46</v>
      </c>
      <c r="O349" s="98" t="s">
        <v>149</v>
      </c>
      <c r="P349" s="100" t="n">
        <v>-1763761.46</v>
      </c>
      <c r="Q349" s="100" t="n">
        <v>-269048.36</v>
      </c>
      <c r="R349" s="100" t="n">
        <v>-1494713.1</v>
      </c>
      <c r="S349" s="100" t="n">
        <v>0</v>
      </c>
      <c r="T349" s="100" t="n">
        <v>0</v>
      </c>
      <c r="U349" s="98" t="s">
        <v>192</v>
      </c>
      <c r="V349" s="98" t="s">
        <v>151</v>
      </c>
      <c r="X349" s="98" t="s">
        <v>1295</v>
      </c>
      <c r="Y349" s="98" t="s">
        <v>1213</v>
      </c>
      <c r="Z349" s="98" t="s">
        <v>1296</v>
      </c>
      <c r="AB349" s="98" t="s">
        <v>1213</v>
      </c>
      <c r="AD349" s="98" t="s">
        <v>155</v>
      </c>
      <c r="AE349" s="98" t="s">
        <v>156</v>
      </c>
      <c r="AF349" s="98" t="s">
        <v>971</v>
      </c>
      <c r="AG349" s="98" t="s">
        <v>972</v>
      </c>
      <c r="AH349" s="98" t="s">
        <v>971</v>
      </c>
      <c r="AI349" s="98" t="s">
        <v>971</v>
      </c>
      <c r="AJ349" s="98" t="s">
        <v>972</v>
      </c>
      <c r="AK349" s="98" t="s">
        <v>159</v>
      </c>
      <c r="AL349" s="98" t="s">
        <v>224</v>
      </c>
      <c r="AM349" s="98" t="s">
        <v>225</v>
      </c>
      <c r="AP349" s="98" t="s">
        <v>559</v>
      </c>
      <c r="AQ349" s="98" t="s">
        <v>557</v>
      </c>
      <c r="AR349" s="98" t="s">
        <v>1297</v>
      </c>
      <c r="AS349" s="98" t="s">
        <v>1298</v>
      </c>
      <c r="AT349" s="100" t="n">
        <v>0</v>
      </c>
      <c r="AU349" s="100" t="n">
        <v>-1763761.46</v>
      </c>
      <c r="AX349" s="98" t="s">
        <v>402</v>
      </c>
      <c r="AMH349" s="0"/>
      <c r="AMI349" s="0"/>
      <c r="AMJ349" s="0"/>
    </row>
    <row r="350" s="98" customFormat="true" ht="13.8" hidden="false" customHeight="false" outlineLevel="0" collapsed="false">
      <c r="A350" s="98" t="s">
        <v>142</v>
      </c>
      <c r="B350" s="98" t="s">
        <v>143</v>
      </c>
      <c r="C350" s="98" t="n">
        <v>51129461</v>
      </c>
      <c r="D350" s="98" t="s">
        <v>1299</v>
      </c>
      <c r="E350" s="98" t="s">
        <v>725</v>
      </c>
      <c r="F350" s="98" t="s">
        <v>297</v>
      </c>
      <c r="G350" s="98" t="s">
        <v>147</v>
      </c>
      <c r="H350" s="98" t="s">
        <v>220</v>
      </c>
      <c r="I350" s="99" t="n">
        <v>43593</v>
      </c>
      <c r="J350" s="99" t="n">
        <v>43616</v>
      </c>
      <c r="K350" s="100" t="n">
        <v>-48934.95</v>
      </c>
      <c r="L350" s="100" t="n">
        <f aca="false">K350-Q350+T350</f>
        <v>-41470.28</v>
      </c>
      <c r="M350" s="98" t="s">
        <v>149</v>
      </c>
      <c r="N350" s="100" t="n">
        <v>-48934.95</v>
      </c>
      <c r="O350" s="98" t="s">
        <v>149</v>
      </c>
      <c r="P350" s="100" t="n">
        <v>-48934.95</v>
      </c>
      <c r="Q350" s="100" t="n">
        <v>-7464.67</v>
      </c>
      <c r="R350" s="100" t="n">
        <v>-41470.28</v>
      </c>
      <c r="S350" s="100" t="n">
        <v>0</v>
      </c>
      <c r="T350" s="100" t="n">
        <v>0</v>
      </c>
      <c r="U350" s="98" t="s">
        <v>192</v>
      </c>
      <c r="V350" s="98" t="s">
        <v>151</v>
      </c>
      <c r="X350" s="98" t="s">
        <v>1212</v>
      </c>
      <c r="Y350" s="98" t="s">
        <v>1213</v>
      </c>
      <c r="Z350" s="98" t="s">
        <v>1300</v>
      </c>
      <c r="AB350" s="98" t="s">
        <v>1213</v>
      </c>
      <c r="AD350" s="98" t="s">
        <v>155</v>
      </c>
      <c r="AE350" s="98" t="s">
        <v>156</v>
      </c>
      <c r="AF350" s="98" t="s">
        <v>728</v>
      </c>
      <c r="AG350" s="98" t="s">
        <v>729</v>
      </c>
      <c r="AH350" s="98" t="s">
        <v>971</v>
      </c>
      <c r="AI350" s="98" t="s">
        <v>971</v>
      </c>
      <c r="AJ350" s="98" t="s">
        <v>972</v>
      </c>
      <c r="AK350" s="98" t="s">
        <v>159</v>
      </c>
      <c r="AL350" s="98" t="s">
        <v>224</v>
      </c>
      <c r="AM350" s="98" t="s">
        <v>225</v>
      </c>
      <c r="AP350" s="98" t="s">
        <v>553</v>
      </c>
      <c r="AQ350" s="98" t="s">
        <v>551</v>
      </c>
      <c r="AR350" s="98" t="s">
        <v>1215</v>
      </c>
      <c r="AS350" s="98" t="s">
        <v>962</v>
      </c>
      <c r="AT350" s="100" t="n">
        <v>0</v>
      </c>
      <c r="AU350" s="100" t="n">
        <v>-48934.95</v>
      </c>
      <c r="AX350" s="98" t="s">
        <v>191</v>
      </c>
      <c r="AMH350" s="0"/>
      <c r="AMI350" s="0"/>
      <c r="AMJ350" s="0"/>
    </row>
    <row r="351" s="98" customFormat="true" ht="13.8" hidden="false" customHeight="false" outlineLevel="0" collapsed="false">
      <c r="A351" s="98" t="s">
        <v>142</v>
      </c>
      <c r="B351" s="98" t="s">
        <v>143</v>
      </c>
      <c r="C351" s="98" t="n">
        <v>51129461</v>
      </c>
      <c r="D351" s="98" t="s">
        <v>1299</v>
      </c>
      <c r="E351" s="98" t="s">
        <v>725</v>
      </c>
      <c r="F351" s="98" t="s">
        <v>297</v>
      </c>
      <c r="G351" s="98" t="s">
        <v>147</v>
      </c>
      <c r="H351" s="98" t="s">
        <v>220</v>
      </c>
      <c r="I351" s="99" t="n">
        <v>43593</v>
      </c>
      <c r="J351" s="99" t="n">
        <v>43616</v>
      </c>
      <c r="K351" s="100" t="n">
        <v>-48934.95</v>
      </c>
      <c r="L351" s="100" t="n">
        <f aca="false">K351-Q351+T351</f>
        <v>-41470.28</v>
      </c>
      <c r="M351" s="98" t="s">
        <v>149</v>
      </c>
      <c r="N351" s="100" t="n">
        <v>-48934.95</v>
      </c>
      <c r="O351" s="98" t="s">
        <v>149</v>
      </c>
      <c r="P351" s="100" t="n">
        <v>-48934.95</v>
      </c>
      <c r="Q351" s="100" t="n">
        <v>-7464.67</v>
      </c>
      <c r="R351" s="100" t="n">
        <v>-41470.28</v>
      </c>
      <c r="S351" s="100" t="n">
        <v>0</v>
      </c>
      <c r="T351" s="100" t="n">
        <v>0</v>
      </c>
      <c r="U351" s="98" t="s">
        <v>192</v>
      </c>
      <c r="V351" s="98" t="s">
        <v>151</v>
      </c>
      <c r="X351" s="98" t="s">
        <v>1212</v>
      </c>
      <c r="Y351" s="98" t="s">
        <v>1213</v>
      </c>
      <c r="Z351" s="98" t="s">
        <v>1300</v>
      </c>
      <c r="AB351" s="98" t="s">
        <v>1213</v>
      </c>
      <c r="AD351" s="98" t="s">
        <v>155</v>
      </c>
      <c r="AE351" s="98" t="s">
        <v>156</v>
      </c>
      <c r="AF351" s="98" t="s">
        <v>728</v>
      </c>
      <c r="AG351" s="98" t="s">
        <v>729</v>
      </c>
      <c r="AH351" s="98" t="s">
        <v>971</v>
      </c>
      <c r="AI351" s="98" t="s">
        <v>971</v>
      </c>
      <c r="AJ351" s="98" t="s">
        <v>972</v>
      </c>
      <c r="AK351" s="98" t="s">
        <v>159</v>
      </c>
      <c r="AL351" s="98" t="s">
        <v>224</v>
      </c>
      <c r="AM351" s="98" t="s">
        <v>225</v>
      </c>
      <c r="AP351" s="98" t="s">
        <v>553</v>
      </c>
      <c r="AQ351" s="98" t="s">
        <v>551</v>
      </c>
      <c r="AR351" s="98" t="s">
        <v>1215</v>
      </c>
      <c r="AS351" s="98" t="s">
        <v>962</v>
      </c>
      <c r="AT351" s="100" t="n">
        <v>0</v>
      </c>
      <c r="AU351" s="100" t="n">
        <v>-48934.95</v>
      </c>
      <c r="AX351" s="98" t="s">
        <v>586</v>
      </c>
      <c r="AMH351" s="0"/>
      <c r="AMI351" s="0"/>
      <c r="AMJ351" s="0"/>
    </row>
    <row r="352" s="98" customFormat="true" ht="13.8" hidden="false" customHeight="false" outlineLevel="0" collapsed="false">
      <c r="A352" s="98" t="s">
        <v>142</v>
      </c>
      <c r="B352" s="98" t="s">
        <v>143</v>
      </c>
      <c r="C352" s="98" t="n">
        <v>51129461</v>
      </c>
      <c r="D352" s="98" t="s">
        <v>1299</v>
      </c>
      <c r="E352" s="98" t="s">
        <v>725</v>
      </c>
      <c r="F352" s="98" t="s">
        <v>297</v>
      </c>
      <c r="G352" s="98" t="s">
        <v>147</v>
      </c>
      <c r="H352" s="98" t="s">
        <v>220</v>
      </c>
      <c r="I352" s="99" t="n">
        <v>43593</v>
      </c>
      <c r="J352" s="99" t="n">
        <v>43616</v>
      </c>
      <c r="K352" s="100" t="n">
        <v>-831894.15</v>
      </c>
      <c r="L352" s="100" t="n">
        <f aca="false">K352-Q352+T352</f>
        <v>-704994.74</v>
      </c>
      <c r="M352" s="98" t="s">
        <v>149</v>
      </c>
      <c r="N352" s="100" t="n">
        <v>-831894.15</v>
      </c>
      <c r="O352" s="98" t="s">
        <v>149</v>
      </c>
      <c r="P352" s="100" t="n">
        <v>-831894.15</v>
      </c>
      <c r="Q352" s="100" t="n">
        <v>-126899.41</v>
      </c>
      <c r="R352" s="100" t="n">
        <v>-704994.74</v>
      </c>
      <c r="S352" s="100" t="n">
        <v>0</v>
      </c>
      <c r="T352" s="100" t="n">
        <v>0</v>
      </c>
      <c r="U352" s="98" t="s">
        <v>192</v>
      </c>
      <c r="V352" s="98" t="s">
        <v>151</v>
      </c>
      <c r="X352" s="98" t="s">
        <v>1212</v>
      </c>
      <c r="Y352" s="98" t="s">
        <v>1213</v>
      </c>
      <c r="Z352" s="98" t="s">
        <v>1300</v>
      </c>
      <c r="AB352" s="98" t="s">
        <v>1213</v>
      </c>
      <c r="AD352" s="98" t="s">
        <v>155</v>
      </c>
      <c r="AE352" s="98" t="s">
        <v>156</v>
      </c>
      <c r="AF352" s="98" t="s">
        <v>728</v>
      </c>
      <c r="AG352" s="98" t="s">
        <v>729</v>
      </c>
      <c r="AH352" s="98" t="s">
        <v>971</v>
      </c>
      <c r="AI352" s="98" t="s">
        <v>971</v>
      </c>
      <c r="AJ352" s="98" t="s">
        <v>972</v>
      </c>
      <c r="AK352" s="98" t="s">
        <v>159</v>
      </c>
      <c r="AL352" s="98" t="s">
        <v>224</v>
      </c>
      <c r="AM352" s="98" t="s">
        <v>225</v>
      </c>
      <c r="AP352" s="98" t="s">
        <v>379</v>
      </c>
      <c r="AQ352" s="98" t="s">
        <v>377</v>
      </c>
      <c r="AR352" s="98" t="s">
        <v>1215</v>
      </c>
      <c r="AS352" s="98" t="s">
        <v>962</v>
      </c>
      <c r="AT352" s="100" t="n">
        <v>0</v>
      </c>
      <c r="AU352" s="100" t="n">
        <v>-831894.15</v>
      </c>
      <c r="AX352" s="98" t="s">
        <v>556</v>
      </c>
      <c r="AMH352" s="0"/>
      <c r="AMI352" s="0"/>
      <c r="AMJ352" s="0"/>
    </row>
    <row r="353" s="98" customFormat="true" ht="13.8" hidden="false" customHeight="false" outlineLevel="0" collapsed="false">
      <c r="A353" s="98" t="s">
        <v>142</v>
      </c>
      <c r="B353" s="98" t="s">
        <v>143</v>
      </c>
      <c r="C353" s="98" t="n">
        <v>51129461</v>
      </c>
      <c r="D353" s="98" t="s">
        <v>1299</v>
      </c>
      <c r="E353" s="98" t="s">
        <v>725</v>
      </c>
      <c r="F353" s="98" t="s">
        <v>297</v>
      </c>
      <c r="G353" s="98" t="s">
        <v>147</v>
      </c>
      <c r="H353" s="98" t="s">
        <v>220</v>
      </c>
      <c r="I353" s="99" t="n">
        <v>43593</v>
      </c>
      <c r="J353" s="99" t="n">
        <v>43616</v>
      </c>
      <c r="K353" s="100" t="n">
        <v>-48934.95</v>
      </c>
      <c r="L353" s="100" t="n">
        <f aca="false">K353-Q353+T353</f>
        <v>-41470.28</v>
      </c>
      <c r="M353" s="98" t="s">
        <v>149</v>
      </c>
      <c r="N353" s="100" t="n">
        <v>-48934.95</v>
      </c>
      <c r="O353" s="98" t="s">
        <v>149</v>
      </c>
      <c r="P353" s="100" t="n">
        <v>-48934.95</v>
      </c>
      <c r="Q353" s="100" t="n">
        <v>-7464.67</v>
      </c>
      <c r="R353" s="100" t="n">
        <v>-41470.28</v>
      </c>
      <c r="S353" s="100" t="n">
        <v>0</v>
      </c>
      <c r="T353" s="100" t="n">
        <v>0</v>
      </c>
      <c r="U353" s="98" t="s">
        <v>192</v>
      </c>
      <c r="V353" s="98" t="s">
        <v>151</v>
      </c>
      <c r="X353" s="98" t="s">
        <v>1212</v>
      </c>
      <c r="Y353" s="98" t="s">
        <v>1213</v>
      </c>
      <c r="Z353" s="98" t="s">
        <v>1300</v>
      </c>
      <c r="AB353" s="98" t="s">
        <v>1213</v>
      </c>
      <c r="AD353" s="98" t="s">
        <v>155</v>
      </c>
      <c r="AE353" s="98" t="s">
        <v>156</v>
      </c>
      <c r="AF353" s="98" t="s">
        <v>728</v>
      </c>
      <c r="AG353" s="98" t="s">
        <v>729</v>
      </c>
      <c r="AH353" s="98" t="s">
        <v>971</v>
      </c>
      <c r="AI353" s="98" t="s">
        <v>971</v>
      </c>
      <c r="AJ353" s="98" t="s">
        <v>972</v>
      </c>
      <c r="AK353" s="98" t="s">
        <v>159</v>
      </c>
      <c r="AL353" s="98" t="s">
        <v>224</v>
      </c>
      <c r="AM353" s="98" t="s">
        <v>225</v>
      </c>
      <c r="AP353" s="98" t="s">
        <v>553</v>
      </c>
      <c r="AQ353" s="98" t="s">
        <v>551</v>
      </c>
      <c r="AR353" s="98" t="s">
        <v>1215</v>
      </c>
      <c r="AS353" s="98" t="s">
        <v>962</v>
      </c>
      <c r="AT353" s="100" t="n">
        <v>0</v>
      </c>
      <c r="AU353" s="100" t="n">
        <v>-48934.95</v>
      </c>
      <c r="AX353" s="98" t="s">
        <v>200</v>
      </c>
      <c r="AMH353" s="0"/>
      <c r="AMI353" s="0"/>
      <c r="AMJ353" s="0"/>
    </row>
    <row r="354" s="98" customFormat="true" ht="13.8" hidden="false" customHeight="false" outlineLevel="0" collapsed="false">
      <c r="A354" s="98" t="s">
        <v>142</v>
      </c>
      <c r="B354" s="98" t="s">
        <v>143</v>
      </c>
      <c r="C354" s="98" t="n">
        <v>51170242</v>
      </c>
      <c r="D354" s="98" t="s">
        <v>1301</v>
      </c>
      <c r="E354" s="98" t="s">
        <v>725</v>
      </c>
      <c r="F354" s="98" t="s">
        <v>297</v>
      </c>
      <c r="G354" s="98" t="s">
        <v>147</v>
      </c>
      <c r="H354" s="98" t="s">
        <v>148</v>
      </c>
      <c r="I354" s="99" t="n">
        <v>43612</v>
      </c>
      <c r="J354" s="99" t="n">
        <v>43635</v>
      </c>
      <c r="K354" s="100" t="n">
        <v>-82008.8</v>
      </c>
      <c r="L354" s="100" t="n">
        <f aca="false">K354-Q354+T354</f>
        <v>-69498.94</v>
      </c>
      <c r="M354" s="98" t="s">
        <v>149</v>
      </c>
      <c r="N354" s="100" t="n">
        <v>-82008.8</v>
      </c>
      <c r="O354" s="98" t="s">
        <v>149</v>
      </c>
      <c r="P354" s="100" t="n">
        <v>-82008.8</v>
      </c>
      <c r="Q354" s="100" t="n">
        <v>-12509.86</v>
      </c>
      <c r="R354" s="100" t="n">
        <v>-69498.94</v>
      </c>
      <c r="S354" s="100" t="n">
        <v>0</v>
      </c>
      <c r="T354" s="100" t="n">
        <v>0</v>
      </c>
      <c r="U354" s="98" t="s">
        <v>192</v>
      </c>
      <c r="V354" s="98" t="s">
        <v>151</v>
      </c>
      <c r="X354" s="98" t="s">
        <v>1212</v>
      </c>
      <c r="Y354" s="98" t="s">
        <v>1213</v>
      </c>
      <c r="Z354" s="98" t="s">
        <v>1302</v>
      </c>
      <c r="AB354" s="98" t="s">
        <v>1213</v>
      </c>
      <c r="AD354" s="98" t="s">
        <v>155</v>
      </c>
      <c r="AE354" s="98" t="s">
        <v>156</v>
      </c>
      <c r="AF354" s="98" t="s">
        <v>728</v>
      </c>
      <c r="AG354" s="98" t="s">
        <v>729</v>
      </c>
      <c r="AH354" s="98" t="s">
        <v>971</v>
      </c>
      <c r="AI354" s="98" t="s">
        <v>971</v>
      </c>
      <c r="AJ354" s="98" t="s">
        <v>972</v>
      </c>
      <c r="AK354" s="98" t="s">
        <v>159</v>
      </c>
      <c r="AL354" s="98" t="s">
        <v>224</v>
      </c>
      <c r="AM354" s="98" t="s">
        <v>225</v>
      </c>
      <c r="AP354" s="98" t="s">
        <v>553</v>
      </c>
      <c r="AQ354" s="98" t="s">
        <v>551</v>
      </c>
      <c r="AR354" s="98" t="s">
        <v>387</v>
      </c>
      <c r="AS354" s="98" t="s">
        <v>1303</v>
      </c>
      <c r="AT354" s="100" t="n">
        <v>0</v>
      </c>
      <c r="AU354" s="100" t="n">
        <v>-82008.8</v>
      </c>
      <c r="AX354" s="98" t="s">
        <v>586</v>
      </c>
      <c r="AMH354" s="0"/>
      <c r="AMI354" s="0"/>
      <c r="AMJ354" s="0"/>
    </row>
    <row r="355" s="98" customFormat="true" ht="13.8" hidden="false" customHeight="false" outlineLevel="0" collapsed="false">
      <c r="A355" s="98" t="s">
        <v>142</v>
      </c>
      <c r="B355" s="98" t="s">
        <v>143</v>
      </c>
      <c r="C355" s="98" t="n">
        <v>51170242</v>
      </c>
      <c r="D355" s="98" t="s">
        <v>1301</v>
      </c>
      <c r="E355" s="98" t="s">
        <v>725</v>
      </c>
      <c r="F355" s="98" t="s">
        <v>297</v>
      </c>
      <c r="G355" s="98" t="s">
        <v>147</v>
      </c>
      <c r="H355" s="98" t="s">
        <v>148</v>
      </c>
      <c r="I355" s="99" t="n">
        <v>43612</v>
      </c>
      <c r="J355" s="99" t="n">
        <v>43635</v>
      </c>
      <c r="K355" s="100" t="n">
        <v>-82008.8</v>
      </c>
      <c r="L355" s="100" t="n">
        <f aca="false">K355-Q355+T355</f>
        <v>-69498.94</v>
      </c>
      <c r="M355" s="98" t="s">
        <v>149</v>
      </c>
      <c r="N355" s="100" t="n">
        <v>-82008.8</v>
      </c>
      <c r="O355" s="98" t="s">
        <v>149</v>
      </c>
      <c r="P355" s="100" t="n">
        <v>-82008.8</v>
      </c>
      <c r="Q355" s="100" t="n">
        <v>-12509.86</v>
      </c>
      <c r="R355" s="100" t="n">
        <v>-69498.94</v>
      </c>
      <c r="S355" s="100" t="n">
        <v>0</v>
      </c>
      <c r="T355" s="100" t="n">
        <v>0</v>
      </c>
      <c r="U355" s="98" t="s">
        <v>192</v>
      </c>
      <c r="V355" s="98" t="s">
        <v>151</v>
      </c>
      <c r="X355" s="98" t="s">
        <v>1212</v>
      </c>
      <c r="Y355" s="98" t="s">
        <v>1213</v>
      </c>
      <c r="Z355" s="98" t="s">
        <v>1302</v>
      </c>
      <c r="AB355" s="98" t="s">
        <v>1213</v>
      </c>
      <c r="AD355" s="98" t="s">
        <v>155</v>
      </c>
      <c r="AE355" s="98" t="s">
        <v>156</v>
      </c>
      <c r="AF355" s="98" t="s">
        <v>728</v>
      </c>
      <c r="AG355" s="98" t="s">
        <v>729</v>
      </c>
      <c r="AH355" s="98" t="s">
        <v>971</v>
      </c>
      <c r="AI355" s="98" t="s">
        <v>971</v>
      </c>
      <c r="AJ355" s="98" t="s">
        <v>972</v>
      </c>
      <c r="AK355" s="98" t="s">
        <v>159</v>
      </c>
      <c r="AL355" s="98" t="s">
        <v>224</v>
      </c>
      <c r="AM355" s="98" t="s">
        <v>225</v>
      </c>
      <c r="AP355" s="98" t="s">
        <v>553</v>
      </c>
      <c r="AQ355" s="98" t="s">
        <v>551</v>
      </c>
      <c r="AR355" s="98" t="s">
        <v>387</v>
      </c>
      <c r="AS355" s="98" t="s">
        <v>1303</v>
      </c>
      <c r="AT355" s="100" t="n">
        <v>0</v>
      </c>
      <c r="AU355" s="100" t="n">
        <v>-82008.8</v>
      </c>
      <c r="AX355" s="98" t="s">
        <v>200</v>
      </c>
      <c r="AMH355" s="0"/>
      <c r="AMI355" s="0"/>
      <c r="AMJ355" s="0"/>
    </row>
    <row r="356" s="98" customFormat="true" ht="13.8" hidden="false" customHeight="false" outlineLevel="0" collapsed="false">
      <c r="A356" s="98" t="s">
        <v>142</v>
      </c>
      <c r="B356" s="98" t="s">
        <v>143</v>
      </c>
      <c r="C356" s="98" t="n">
        <v>51170242</v>
      </c>
      <c r="D356" s="98" t="s">
        <v>1301</v>
      </c>
      <c r="E356" s="98" t="s">
        <v>725</v>
      </c>
      <c r="F356" s="98" t="s">
        <v>297</v>
      </c>
      <c r="G356" s="98" t="s">
        <v>147</v>
      </c>
      <c r="H356" s="98" t="s">
        <v>148</v>
      </c>
      <c r="I356" s="99" t="n">
        <v>43612</v>
      </c>
      <c r="J356" s="99" t="n">
        <v>43635</v>
      </c>
      <c r="K356" s="100" t="n">
        <v>-1394149.6</v>
      </c>
      <c r="L356" s="100" t="n">
        <f aca="false">K356-Q356+T356</f>
        <v>-1181481.95</v>
      </c>
      <c r="M356" s="98" t="s">
        <v>149</v>
      </c>
      <c r="N356" s="100" t="n">
        <v>-1394149.6</v>
      </c>
      <c r="O356" s="98" t="s">
        <v>149</v>
      </c>
      <c r="P356" s="100" t="n">
        <v>-1394149.6</v>
      </c>
      <c r="Q356" s="100" t="n">
        <v>-212667.65</v>
      </c>
      <c r="R356" s="100" t="n">
        <v>-1181481.95</v>
      </c>
      <c r="S356" s="100" t="n">
        <v>0</v>
      </c>
      <c r="T356" s="100" t="n">
        <v>0</v>
      </c>
      <c r="U356" s="98" t="s">
        <v>192</v>
      </c>
      <c r="V356" s="98" t="s">
        <v>151</v>
      </c>
      <c r="X356" s="98" t="s">
        <v>1212</v>
      </c>
      <c r="Y356" s="98" t="s">
        <v>1213</v>
      </c>
      <c r="Z356" s="98" t="s">
        <v>1302</v>
      </c>
      <c r="AB356" s="98" t="s">
        <v>1213</v>
      </c>
      <c r="AD356" s="98" t="s">
        <v>155</v>
      </c>
      <c r="AE356" s="98" t="s">
        <v>156</v>
      </c>
      <c r="AF356" s="98" t="s">
        <v>728</v>
      </c>
      <c r="AG356" s="98" t="s">
        <v>729</v>
      </c>
      <c r="AH356" s="98" t="s">
        <v>971</v>
      </c>
      <c r="AI356" s="98" t="s">
        <v>971</v>
      </c>
      <c r="AJ356" s="98" t="s">
        <v>972</v>
      </c>
      <c r="AK356" s="98" t="s">
        <v>159</v>
      </c>
      <c r="AL356" s="98" t="s">
        <v>224</v>
      </c>
      <c r="AM356" s="98" t="s">
        <v>225</v>
      </c>
      <c r="AP356" s="98" t="s">
        <v>405</v>
      </c>
      <c r="AQ356" s="98" t="s">
        <v>403</v>
      </c>
      <c r="AR356" s="98" t="s">
        <v>387</v>
      </c>
      <c r="AS356" s="98" t="s">
        <v>1303</v>
      </c>
      <c r="AT356" s="100" t="n">
        <v>0</v>
      </c>
      <c r="AU356" s="100" t="n">
        <v>-1394149.6</v>
      </c>
      <c r="AX356" s="98" t="s">
        <v>556</v>
      </c>
      <c r="AMH356" s="0"/>
      <c r="AMI356" s="0"/>
      <c r="AMJ356" s="0"/>
    </row>
    <row r="357" s="98" customFormat="true" ht="13.8" hidden="false" customHeight="false" outlineLevel="0" collapsed="false">
      <c r="A357" s="98" t="s">
        <v>142</v>
      </c>
      <c r="B357" s="98" t="s">
        <v>143</v>
      </c>
      <c r="C357" s="98" t="n">
        <v>51170242</v>
      </c>
      <c r="D357" s="98" t="s">
        <v>1301</v>
      </c>
      <c r="E357" s="98" t="s">
        <v>725</v>
      </c>
      <c r="F357" s="98" t="s">
        <v>297</v>
      </c>
      <c r="G357" s="98" t="s">
        <v>147</v>
      </c>
      <c r="H357" s="98" t="s">
        <v>148</v>
      </c>
      <c r="I357" s="99" t="n">
        <v>43612</v>
      </c>
      <c r="J357" s="99" t="n">
        <v>43635</v>
      </c>
      <c r="K357" s="100" t="n">
        <v>-82008.8</v>
      </c>
      <c r="L357" s="100" t="n">
        <f aca="false">K357-Q357+T357</f>
        <v>-69498.94</v>
      </c>
      <c r="M357" s="98" t="s">
        <v>149</v>
      </c>
      <c r="N357" s="100" t="n">
        <v>-82008.8</v>
      </c>
      <c r="O357" s="98" t="s">
        <v>149</v>
      </c>
      <c r="P357" s="100" t="n">
        <v>-82008.8</v>
      </c>
      <c r="Q357" s="100" t="n">
        <v>-12509.86</v>
      </c>
      <c r="R357" s="100" t="n">
        <v>-69498.94</v>
      </c>
      <c r="S357" s="100" t="n">
        <v>0</v>
      </c>
      <c r="T357" s="100" t="n">
        <v>0</v>
      </c>
      <c r="U357" s="98" t="s">
        <v>192</v>
      </c>
      <c r="V357" s="98" t="s">
        <v>151</v>
      </c>
      <c r="X357" s="98" t="s">
        <v>1212</v>
      </c>
      <c r="Y357" s="98" t="s">
        <v>1213</v>
      </c>
      <c r="Z357" s="98" t="s">
        <v>1302</v>
      </c>
      <c r="AB357" s="98" t="s">
        <v>1213</v>
      </c>
      <c r="AD357" s="98" t="s">
        <v>155</v>
      </c>
      <c r="AE357" s="98" t="s">
        <v>156</v>
      </c>
      <c r="AF357" s="98" t="s">
        <v>728</v>
      </c>
      <c r="AG357" s="98" t="s">
        <v>729</v>
      </c>
      <c r="AH357" s="98" t="s">
        <v>971</v>
      </c>
      <c r="AI357" s="98" t="s">
        <v>971</v>
      </c>
      <c r="AJ357" s="98" t="s">
        <v>972</v>
      </c>
      <c r="AK357" s="98" t="s">
        <v>159</v>
      </c>
      <c r="AL357" s="98" t="s">
        <v>224</v>
      </c>
      <c r="AM357" s="98" t="s">
        <v>225</v>
      </c>
      <c r="AP357" s="98" t="s">
        <v>553</v>
      </c>
      <c r="AQ357" s="98" t="s">
        <v>551</v>
      </c>
      <c r="AR357" s="98" t="s">
        <v>387</v>
      </c>
      <c r="AS357" s="98" t="s">
        <v>1303</v>
      </c>
      <c r="AT357" s="100" t="n">
        <v>0</v>
      </c>
      <c r="AU357" s="100" t="n">
        <v>-82008.8</v>
      </c>
      <c r="AX357" s="98" t="s">
        <v>191</v>
      </c>
      <c r="AMH357" s="0"/>
      <c r="AMI357" s="0"/>
      <c r="AMJ357" s="0"/>
    </row>
    <row r="358" s="98" customFormat="true" ht="13.8" hidden="false" customHeight="false" outlineLevel="0" collapsed="false">
      <c r="A358" s="98" t="s">
        <v>142</v>
      </c>
      <c r="B358" s="98" t="s">
        <v>143</v>
      </c>
      <c r="C358" s="98" t="n">
        <v>51299692</v>
      </c>
      <c r="D358" s="98" t="s">
        <v>1304</v>
      </c>
      <c r="E358" s="98" t="s">
        <v>725</v>
      </c>
      <c r="F358" s="98" t="s">
        <v>297</v>
      </c>
      <c r="G358" s="98" t="s">
        <v>147</v>
      </c>
      <c r="H358" s="98" t="s">
        <v>168</v>
      </c>
      <c r="I358" s="99" t="n">
        <v>43668</v>
      </c>
      <c r="J358" s="99" t="n">
        <v>43691</v>
      </c>
      <c r="K358" s="100" t="n">
        <v>-1489577.96</v>
      </c>
      <c r="L358" s="100" t="n">
        <f aca="false">K358-Q358+T358</f>
        <v>-1284119.71</v>
      </c>
      <c r="M358" s="98" t="s">
        <v>149</v>
      </c>
      <c r="N358" s="100" t="n">
        <v>-1489577.96</v>
      </c>
      <c r="O358" s="98" t="s">
        <v>149</v>
      </c>
      <c r="P358" s="100" t="n">
        <v>-1515260.96</v>
      </c>
      <c r="Q358" s="100" t="n">
        <v>-231141.56</v>
      </c>
      <c r="R358" s="100" t="n">
        <v>-1258436.4</v>
      </c>
      <c r="S358" s="100" t="n">
        <v>-1284119.71</v>
      </c>
      <c r="T358" s="100" t="n">
        <v>-25683.31</v>
      </c>
      <c r="U358" s="98" t="s">
        <v>192</v>
      </c>
      <c r="V358" s="98" t="s">
        <v>151</v>
      </c>
      <c r="X358" s="98" t="s">
        <v>1305</v>
      </c>
      <c r="Y358" s="98" t="s">
        <v>1306</v>
      </c>
      <c r="Z358" s="98" t="s">
        <v>1307</v>
      </c>
      <c r="AB358" s="98" t="s">
        <v>1306</v>
      </c>
      <c r="AD358" s="98" t="s">
        <v>155</v>
      </c>
      <c r="AE358" s="98" t="s">
        <v>156</v>
      </c>
      <c r="AF358" s="98" t="s">
        <v>747</v>
      </c>
      <c r="AG358" s="98" t="s">
        <v>748</v>
      </c>
      <c r="AH358" s="98" t="s">
        <v>971</v>
      </c>
      <c r="AI358" s="98" t="s">
        <v>971</v>
      </c>
      <c r="AJ358" s="98" t="s">
        <v>972</v>
      </c>
      <c r="AK358" s="98" t="s">
        <v>159</v>
      </c>
      <c r="AL358" s="98" t="s">
        <v>224</v>
      </c>
      <c r="AM358" s="98" t="s">
        <v>225</v>
      </c>
      <c r="AP358" s="98" t="s">
        <v>508</v>
      </c>
      <c r="AQ358" s="98" t="s">
        <v>506</v>
      </c>
      <c r="AR358" s="98" t="s">
        <v>1308</v>
      </c>
      <c r="AS358" s="98" t="s">
        <v>1309</v>
      </c>
      <c r="AT358" s="100" t="n">
        <v>0</v>
      </c>
      <c r="AU358" s="100" t="n">
        <v>-1489577.96</v>
      </c>
      <c r="AX358" s="98" t="s">
        <v>402</v>
      </c>
      <c r="AMH358" s="0"/>
      <c r="AMI358" s="0"/>
      <c r="AMJ358" s="0"/>
    </row>
    <row r="359" s="98" customFormat="true" ht="13.8" hidden="false" customHeight="false" outlineLevel="0" collapsed="false">
      <c r="A359" s="98" t="s">
        <v>142</v>
      </c>
      <c r="B359" s="98" t="s">
        <v>143</v>
      </c>
      <c r="C359" s="98" t="n">
        <v>51299692</v>
      </c>
      <c r="D359" s="98" t="s">
        <v>1304</v>
      </c>
      <c r="E359" s="98" t="s">
        <v>725</v>
      </c>
      <c r="F359" s="98" t="s">
        <v>297</v>
      </c>
      <c r="G359" s="98" t="s">
        <v>147</v>
      </c>
      <c r="H359" s="98" t="s">
        <v>168</v>
      </c>
      <c r="I359" s="99" t="n">
        <v>43668</v>
      </c>
      <c r="J359" s="99" t="n">
        <v>43691</v>
      </c>
      <c r="K359" s="100" t="n">
        <v>-165508.33</v>
      </c>
      <c r="L359" s="100" t="n">
        <f aca="false">K359-Q359+T359</f>
        <v>-142679.68</v>
      </c>
      <c r="M359" s="98" t="s">
        <v>149</v>
      </c>
      <c r="N359" s="100" t="n">
        <v>-165508.33</v>
      </c>
      <c r="O359" s="98" t="s">
        <v>149</v>
      </c>
      <c r="P359" s="100" t="n">
        <v>-168362.33</v>
      </c>
      <c r="Q359" s="100" t="n">
        <v>-25682.34</v>
      </c>
      <c r="R359" s="100" t="n">
        <v>-139825.99</v>
      </c>
      <c r="S359" s="100" t="n">
        <v>-142679.68</v>
      </c>
      <c r="T359" s="100" t="n">
        <v>-2853.69</v>
      </c>
      <c r="U359" s="98" t="s">
        <v>192</v>
      </c>
      <c r="V359" s="98" t="s">
        <v>151</v>
      </c>
      <c r="X359" s="98" t="s">
        <v>1305</v>
      </c>
      <c r="Y359" s="98" t="s">
        <v>1306</v>
      </c>
      <c r="Z359" s="98" t="s">
        <v>1307</v>
      </c>
      <c r="AB359" s="98" t="s">
        <v>1306</v>
      </c>
      <c r="AD359" s="98" t="s">
        <v>155</v>
      </c>
      <c r="AE359" s="98" t="s">
        <v>156</v>
      </c>
      <c r="AF359" s="98" t="s">
        <v>747</v>
      </c>
      <c r="AG359" s="98" t="s">
        <v>748</v>
      </c>
      <c r="AH359" s="98" t="s">
        <v>971</v>
      </c>
      <c r="AI359" s="98" t="s">
        <v>971</v>
      </c>
      <c r="AJ359" s="98" t="s">
        <v>972</v>
      </c>
      <c r="AK359" s="98" t="s">
        <v>159</v>
      </c>
      <c r="AL359" s="98" t="s">
        <v>224</v>
      </c>
      <c r="AM359" s="98" t="s">
        <v>225</v>
      </c>
      <c r="AP359" s="98" t="s">
        <v>684</v>
      </c>
      <c r="AQ359" s="98" t="s">
        <v>678</v>
      </c>
      <c r="AR359" s="98" t="s">
        <v>1308</v>
      </c>
      <c r="AS359" s="98" t="s">
        <v>1309</v>
      </c>
      <c r="AT359" s="100" t="n">
        <v>0</v>
      </c>
      <c r="AU359" s="100" t="n">
        <v>-165508.33</v>
      </c>
      <c r="AX359" s="98" t="s">
        <v>168</v>
      </c>
      <c r="AMH359" s="0"/>
      <c r="AMI359" s="0"/>
      <c r="AMJ359" s="0"/>
    </row>
    <row r="360" s="98" customFormat="true" ht="13.8" hidden="false" customHeight="false" outlineLevel="0" collapsed="false">
      <c r="A360" s="98" t="s">
        <v>142</v>
      </c>
      <c r="B360" s="98" t="s">
        <v>143</v>
      </c>
      <c r="C360" s="98" t="n">
        <v>51489004</v>
      </c>
      <c r="D360" s="98" t="s">
        <v>1310</v>
      </c>
      <c r="E360" s="98" t="s">
        <v>725</v>
      </c>
      <c r="F360" s="98" t="s">
        <v>212</v>
      </c>
      <c r="G360" s="98" t="s">
        <v>147</v>
      </c>
      <c r="H360" s="98" t="s">
        <v>556</v>
      </c>
      <c r="I360" s="99" t="n">
        <v>43764</v>
      </c>
      <c r="J360" s="99" t="n">
        <v>43787</v>
      </c>
      <c r="K360" s="100" t="n">
        <v>-1650304.69</v>
      </c>
      <c r="L360" s="100" t="n">
        <f aca="false">K360-Q360+T360</f>
        <v>-1398563.29</v>
      </c>
      <c r="M360" s="98" t="s">
        <v>149</v>
      </c>
      <c r="N360" s="100" t="n">
        <v>-1650304.69</v>
      </c>
      <c r="O360" s="98" t="s">
        <v>149</v>
      </c>
      <c r="P360" s="100" t="n">
        <v>-1650304.69</v>
      </c>
      <c r="Q360" s="100" t="n">
        <v>-251741.4</v>
      </c>
      <c r="R360" s="100" t="n">
        <v>-1398563.29</v>
      </c>
      <c r="S360" s="100" t="n">
        <v>0</v>
      </c>
      <c r="T360" s="100" t="n">
        <v>0</v>
      </c>
      <c r="U360" s="98" t="s">
        <v>150</v>
      </c>
      <c r="V360" s="98" t="s">
        <v>151</v>
      </c>
      <c r="X360" s="98" t="s">
        <v>1311</v>
      </c>
      <c r="Y360" s="98" t="s">
        <v>1312</v>
      </c>
      <c r="Z360" s="98" t="s">
        <v>1313</v>
      </c>
      <c r="AB360" s="98" t="s">
        <v>1312</v>
      </c>
      <c r="AD360" s="98" t="s">
        <v>155</v>
      </c>
      <c r="AE360" s="98" t="s">
        <v>156</v>
      </c>
      <c r="AF360" s="98" t="s">
        <v>737</v>
      </c>
      <c r="AG360" s="98" t="s">
        <v>738</v>
      </c>
      <c r="AH360" s="98" t="s">
        <v>793</v>
      </c>
      <c r="AI360" s="98" t="s">
        <v>793</v>
      </c>
      <c r="AJ360" s="98" t="s">
        <v>794</v>
      </c>
      <c r="AK360" s="98" t="s">
        <v>159</v>
      </c>
      <c r="AL360" s="98" t="s">
        <v>224</v>
      </c>
      <c r="AM360" s="98" t="s">
        <v>225</v>
      </c>
      <c r="AP360" s="98" t="s">
        <v>615</v>
      </c>
      <c r="AQ360" s="98" t="s">
        <v>613</v>
      </c>
      <c r="AR360" s="98" t="s">
        <v>1314</v>
      </c>
      <c r="AS360" s="98" t="s">
        <v>1315</v>
      </c>
      <c r="AT360" s="100" t="n">
        <v>0</v>
      </c>
      <c r="AU360" s="100" t="n">
        <v>-1650304.69</v>
      </c>
      <c r="AX360" s="98" t="s">
        <v>165</v>
      </c>
      <c r="AMH360" s="0"/>
      <c r="AMI360" s="0"/>
      <c r="AMJ360" s="0"/>
    </row>
    <row r="361" s="98" customFormat="true" ht="13.8" hidden="false" customHeight="false" outlineLevel="0" collapsed="false">
      <c r="A361" s="98" t="s">
        <v>142</v>
      </c>
      <c r="B361" s="98" t="s">
        <v>143</v>
      </c>
      <c r="C361" s="98" t="n">
        <v>51129373</v>
      </c>
      <c r="D361" s="98" t="s">
        <v>1316</v>
      </c>
      <c r="E361" s="98" t="s">
        <v>725</v>
      </c>
      <c r="F361" s="98" t="s">
        <v>297</v>
      </c>
      <c r="G361" s="98" t="s">
        <v>147</v>
      </c>
      <c r="H361" s="98" t="s">
        <v>220</v>
      </c>
      <c r="I361" s="99" t="n">
        <v>43592</v>
      </c>
      <c r="J361" s="99" t="n">
        <v>43616</v>
      </c>
      <c r="K361" s="100" t="n">
        <v>-48971.18</v>
      </c>
      <c r="L361" s="100" t="n">
        <f aca="false">K361-Q361+T361</f>
        <v>-41500.64</v>
      </c>
      <c r="M361" s="98" t="s">
        <v>149</v>
      </c>
      <c r="N361" s="100" t="n">
        <v>-48971.18</v>
      </c>
      <c r="O361" s="98" t="s">
        <v>149</v>
      </c>
      <c r="P361" s="100" t="n">
        <v>-48971.18</v>
      </c>
      <c r="Q361" s="100" t="n">
        <v>-7470.54</v>
      </c>
      <c r="R361" s="100" t="n">
        <v>-41500.64</v>
      </c>
      <c r="S361" s="100" t="n">
        <v>0</v>
      </c>
      <c r="T361" s="100" t="n">
        <v>0</v>
      </c>
      <c r="U361" s="98" t="s">
        <v>192</v>
      </c>
      <c r="V361" s="98" t="s">
        <v>151</v>
      </c>
      <c r="X361" s="98" t="s">
        <v>1212</v>
      </c>
      <c r="Y361" s="98" t="s">
        <v>1213</v>
      </c>
      <c r="Z361" s="98" t="s">
        <v>1317</v>
      </c>
      <c r="AB361" s="98" t="s">
        <v>1213</v>
      </c>
      <c r="AD361" s="98" t="s">
        <v>155</v>
      </c>
      <c r="AE361" s="98" t="s">
        <v>156</v>
      </c>
      <c r="AF361" s="98" t="s">
        <v>728</v>
      </c>
      <c r="AG361" s="98" t="s">
        <v>729</v>
      </c>
      <c r="AH361" s="98" t="s">
        <v>971</v>
      </c>
      <c r="AI361" s="98" t="s">
        <v>971</v>
      </c>
      <c r="AJ361" s="98" t="s">
        <v>972</v>
      </c>
      <c r="AK361" s="98" t="s">
        <v>159</v>
      </c>
      <c r="AL361" s="98" t="s">
        <v>224</v>
      </c>
      <c r="AM361" s="98" t="s">
        <v>225</v>
      </c>
      <c r="AP361" s="98" t="s">
        <v>553</v>
      </c>
      <c r="AQ361" s="98" t="s">
        <v>551</v>
      </c>
      <c r="AR361" s="98" t="s">
        <v>1215</v>
      </c>
      <c r="AS361" s="98" t="s">
        <v>1318</v>
      </c>
      <c r="AT361" s="100" t="n">
        <v>0</v>
      </c>
      <c r="AU361" s="100" t="n">
        <v>-48971.18</v>
      </c>
      <c r="AX361" s="98" t="s">
        <v>586</v>
      </c>
      <c r="AMH361" s="0"/>
      <c r="AMI361" s="0"/>
      <c r="AMJ361" s="0"/>
    </row>
    <row r="362" s="98" customFormat="true" ht="13.8" hidden="false" customHeight="false" outlineLevel="0" collapsed="false">
      <c r="A362" s="98" t="s">
        <v>142</v>
      </c>
      <c r="B362" s="98" t="s">
        <v>143</v>
      </c>
      <c r="C362" s="98" t="n">
        <v>51129373</v>
      </c>
      <c r="D362" s="98" t="s">
        <v>1316</v>
      </c>
      <c r="E362" s="98" t="s">
        <v>725</v>
      </c>
      <c r="F362" s="98" t="s">
        <v>297</v>
      </c>
      <c r="G362" s="98" t="s">
        <v>147</v>
      </c>
      <c r="H362" s="98" t="s">
        <v>220</v>
      </c>
      <c r="I362" s="99" t="n">
        <v>43592</v>
      </c>
      <c r="J362" s="99" t="n">
        <v>43616</v>
      </c>
      <c r="K362" s="100" t="n">
        <v>-832509.98</v>
      </c>
      <c r="L362" s="100" t="n">
        <f aca="false">K362-Q362+T362</f>
        <v>-705510.82</v>
      </c>
      <c r="M362" s="98" t="s">
        <v>149</v>
      </c>
      <c r="N362" s="100" t="n">
        <v>-832509.98</v>
      </c>
      <c r="O362" s="98" t="s">
        <v>149</v>
      </c>
      <c r="P362" s="100" t="n">
        <v>-832509.98</v>
      </c>
      <c r="Q362" s="100" t="n">
        <v>-126999.16</v>
      </c>
      <c r="R362" s="100" t="n">
        <v>-705510.82</v>
      </c>
      <c r="S362" s="100" t="n">
        <v>0</v>
      </c>
      <c r="T362" s="100" t="n">
        <v>0</v>
      </c>
      <c r="U362" s="98" t="s">
        <v>192</v>
      </c>
      <c r="V362" s="98" t="s">
        <v>151</v>
      </c>
      <c r="X362" s="98" t="s">
        <v>1212</v>
      </c>
      <c r="Y362" s="98" t="s">
        <v>1213</v>
      </c>
      <c r="Z362" s="98" t="s">
        <v>1317</v>
      </c>
      <c r="AB362" s="98" t="s">
        <v>1213</v>
      </c>
      <c r="AD362" s="98" t="s">
        <v>155</v>
      </c>
      <c r="AE362" s="98" t="s">
        <v>156</v>
      </c>
      <c r="AF362" s="98" t="s">
        <v>728</v>
      </c>
      <c r="AG362" s="98" t="s">
        <v>729</v>
      </c>
      <c r="AH362" s="98" t="s">
        <v>971</v>
      </c>
      <c r="AI362" s="98" t="s">
        <v>971</v>
      </c>
      <c r="AJ362" s="98" t="s">
        <v>972</v>
      </c>
      <c r="AK362" s="98" t="s">
        <v>159</v>
      </c>
      <c r="AL362" s="98" t="s">
        <v>224</v>
      </c>
      <c r="AM362" s="98" t="s">
        <v>225</v>
      </c>
      <c r="AP362" s="98" t="s">
        <v>379</v>
      </c>
      <c r="AQ362" s="98" t="s">
        <v>377</v>
      </c>
      <c r="AR362" s="98" t="s">
        <v>1215</v>
      </c>
      <c r="AS362" s="98" t="s">
        <v>1318</v>
      </c>
      <c r="AT362" s="100" t="n">
        <v>0</v>
      </c>
      <c r="AU362" s="100" t="n">
        <v>-832509.98</v>
      </c>
      <c r="AX362" s="98" t="s">
        <v>556</v>
      </c>
      <c r="AMH362" s="0"/>
      <c r="AMI362" s="0"/>
      <c r="AMJ362" s="0"/>
    </row>
    <row r="363" s="98" customFormat="true" ht="13.8" hidden="false" customHeight="false" outlineLevel="0" collapsed="false">
      <c r="A363" s="98" t="s">
        <v>142</v>
      </c>
      <c r="B363" s="98" t="s">
        <v>143</v>
      </c>
      <c r="C363" s="98" t="n">
        <v>51129373</v>
      </c>
      <c r="D363" s="98" t="s">
        <v>1316</v>
      </c>
      <c r="E363" s="98" t="s">
        <v>725</v>
      </c>
      <c r="F363" s="98" t="s">
        <v>297</v>
      </c>
      <c r="G363" s="98" t="s">
        <v>147</v>
      </c>
      <c r="H363" s="98" t="s">
        <v>220</v>
      </c>
      <c r="I363" s="99" t="n">
        <v>43592</v>
      </c>
      <c r="J363" s="99" t="n">
        <v>43616</v>
      </c>
      <c r="K363" s="100" t="n">
        <v>-48971.18</v>
      </c>
      <c r="L363" s="100" t="n">
        <f aca="false">K363-Q363+T363</f>
        <v>-41500.64</v>
      </c>
      <c r="M363" s="98" t="s">
        <v>149</v>
      </c>
      <c r="N363" s="100" t="n">
        <v>-48971.18</v>
      </c>
      <c r="O363" s="98" t="s">
        <v>149</v>
      </c>
      <c r="P363" s="100" t="n">
        <v>-48971.18</v>
      </c>
      <c r="Q363" s="100" t="n">
        <v>-7470.54</v>
      </c>
      <c r="R363" s="100" t="n">
        <v>-41500.64</v>
      </c>
      <c r="S363" s="100" t="n">
        <v>0</v>
      </c>
      <c r="T363" s="100" t="n">
        <v>0</v>
      </c>
      <c r="U363" s="98" t="s">
        <v>192</v>
      </c>
      <c r="V363" s="98" t="s">
        <v>151</v>
      </c>
      <c r="X363" s="98" t="s">
        <v>1212</v>
      </c>
      <c r="Y363" s="98" t="s">
        <v>1213</v>
      </c>
      <c r="Z363" s="98" t="s">
        <v>1317</v>
      </c>
      <c r="AB363" s="98" t="s">
        <v>1213</v>
      </c>
      <c r="AD363" s="98" t="s">
        <v>155</v>
      </c>
      <c r="AE363" s="98" t="s">
        <v>156</v>
      </c>
      <c r="AF363" s="98" t="s">
        <v>728</v>
      </c>
      <c r="AG363" s="98" t="s">
        <v>729</v>
      </c>
      <c r="AH363" s="98" t="s">
        <v>971</v>
      </c>
      <c r="AI363" s="98" t="s">
        <v>971</v>
      </c>
      <c r="AJ363" s="98" t="s">
        <v>972</v>
      </c>
      <c r="AK363" s="98" t="s">
        <v>159</v>
      </c>
      <c r="AL363" s="98" t="s">
        <v>224</v>
      </c>
      <c r="AM363" s="98" t="s">
        <v>225</v>
      </c>
      <c r="AP363" s="98" t="s">
        <v>553</v>
      </c>
      <c r="AQ363" s="98" t="s">
        <v>551</v>
      </c>
      <c r="AR363" s="98" t="s">
        <v>1215</v>
      </c>
      <c r="AS363" s="98" t="s">
        <v>1318</v>
      </c>
      <c r="AT363" s="100" t="n">
        <v>0</v>
      </c>
      <c r="AU363" s="100" t="n">
        <v>-48971.18</v>
      </c>
      <c r="AX363" s="98" t="s">
        <v>191</v>
      </c>
      <c r="AMH363" s="0"/>
      <c r="AMI363" s="0"/>
      <c r="AMJ363" s="0"/>
    </row>
    <row r="364" s="98" customFormat="true" ht="13.8" hidden="false" customHeight="false" outlineLevel="0" collapsed="false">
      <c r="A364" s="98" t="s">
        <v>142</v>
      </c>
      <c r="B364" s="98" t="s">
        <v>143</v>
      </c>
      <c r="C364" s="98" t="n">
        <v>51129373</v>
      </c>
      <c r="D364" s="98" t="s">
        <v>1316</v>
      </c>
      <c r="E364" s="98" t="s">
        <v>725</v>
      </c>
      <c r="F364" s="98" t="s">
        <v>297</v>
      </c>
      <c r="G364" s="98" t="s">
        <v>147</v>
      </c>
      <c r="H364" s="98" t="s">
        <v>220</v>
      </c>
      <c r="I364" s="99" t="n">
        <v>43592</v>
      </c>
      <c r="J364" s="99" t="n">
        <v>43616</v>
      </c>
      <c r="K364" s="100" t="n">
        <v>-48971.16</v>
      </c>
      <c r="L364" s="100" t="n">
        <f aca="false">K364-Q364+T364</f>
        <v>-41500.62</v>
      </c>
      <c r="M364" s="98" t="s">
        <v>149</v>
      </c>
      <c r="N364" s="100" t="n">
        <v>-48971.16</v>
      </c>
      <c r="O364" s="98" t="s">
        <v>149</v>
      </c>
      <c r="P364" s="100" t="n">
        <v>-48971.16</v>
      </c>
      <c r="Q364" s="100" t="n">
        <v>-7470.54</v>
      </c>
      <c r="R364" s="100" t="n">
        <v>-41500.62</v>
      </c>
      <c r="S364" s="100" t="n">
        <v>0</v>
      </c>
      <c r="T364" s="100" t="n">
        <v>0</v>
      </c>
      <c r="U364" s="98" t="s">
        <v>192</v>
      </c>
      <c r="V364" s="98" t="s">
        <v>151</v>
      </c>
      <c r="X364" s="98" t="s">
        <v>1212</v>
      </c>
      <c r="Y364" s="98" t="s">
        <v>1213</v>
      </c>
      <c r="Z364" s="98" t="s">
        <v>1317</v>
      </c>
      <c r="AB364" s="98" t="s">
        <v>1213</v>
      </c>
      <c r="AD364" s="98" t="s">
        <v>155</v>
      </c>
      <c r="AE364" s="98" t="s">
        <v>156</v>
      </c>
      <c r="AF364" s="98" t="s">
        <v>728</v>
      </c>
      <c r="AG364" s="98" t="s">
        <v>729</v>
      </c>
      <c r="AH364" s="98" t="s">
        <v>971</v>
      </c>
      <c r="AI364" s="98" t="s">
        <v>971</v>
      </c>
      <c r="AJ364" s="98" t="s">
        <v>972</v>
      </c>
      <c r="AK364" s="98" t="s">
        <v>159</v>
      </c>
      <c r="AL364" s="98" t="s">
        <v>224</v>
      </c>
      <c r="AM364" s="98" t="s">
        <v>225</v>
      </c>
      <c r="AP364" s="98" t="s">
        <v>553</v>
      </c>
      <c r="AQ364" s="98" t="s">
        <v>551</v>
      </c>
      <c r="AR364" s="98" t="s">
        <v>1215</v>
      </c>
      <c r="AS364" s="98" t="s">
        <v>1318</v>
      </c>
      <c r="AT364" s="100" t="n">
        <v>0</v>
      </c>
      <c r="AU364" s="100" t="n">
        <v>-48971.16</v>
      </c>
      <c r="AX364" s="98" t="s">
        <v>200</v>
      </c>
      <c r="AMH364" s="0"/>
      <c r="AMI364" s="0"/>
      <c r="AMJ364" s="0"/>
    </row>
    <row r="365" s="98" customFormat="true" ht="13.8" hidden="false" customHeight="false" outlineLevel="0" collapsed="false">
      <c r="A365" s="98" t="s">
        <v>142</v>
      </c>
      <c r="B365" s="98" t="s">
        <v>143</v>
      </c>
      <c r="C365" s="98" t="n">
        <v>51227931</v>
      </c>
      <c r="D365" s="98" t="s">
        <v>1319</v>
      </c>
      <c r="E365" s="98" t="s">
        <v>725</v>
      </c>
      <c r="F365" s="98" t="s">
        <v>297</v>
      </c>
      <c r="G365" s="98" t="s">
        <v>147</v>
      </c>
      <c r="H365" s="98" t="s">
        <v>402</v>
      </c>
      <c r="I365" s="99" t="n">
        <v>43637</v>
      </c>
      <c r="J365" s="99" t="n">
        <v>43661</v>
      </c>
      <c r="K365" s="100" t="n">
        <v>-193766.12</v>
      </c>
      <c r="L365" s="100" t="n">
        <f aca="false">K365-Q365+T365</f>
        <v>-167039.85</v>
      </c>
      <c r="M365" s="98" t="s">
        <v>149</v>
      </c>
      <c r="N365" s="100" t="n">
        <v>-193766.12</v>
      </c>
      <c r="O365" s="98" t="s">
        <v>149</v>
      </c>
      <c r="P365" s="100" t="n">
        <v>-197107.12</v>
      </c>
      <c r="Q365" s="100" t="n">
        <v>-30067.17</v>
      </c>
      <c r="R365" s="100" t="n">
        <v>-163698.95</v>
      </c>
      <c r="S365" s="100" t="n">
        <v>-167039.85</v>
      </c>
      <c r="T365" s="100" t="n">
        <v>-3340.9</v>
      </c>
      <c r="U365" s="98" t="s">
        <v>192</v>
      </c>
      <c r="V365" s="98" t="s">
        <v>151</v>
      </c>
      <c r="X365" s="98" t="s">
        <v>1305</v>
      </c>
      <c r="Y365" s="98" t="s">
        <v>1306</v>
      </c>
      <c r="Z365" s="98" t="s">
        <v>1320</v>
      </c>
      <c r="AB365" s="98" t="s">
        <v>1306</v>
      </c>
      <c r="AD365" s="98" t="s">
        <v>155</v>
      </c>
      <c r="AE365" s="98" t="s">
        <v>156</v>
      </c>
      <c r="AF365" s="98" t="s">
        <v>747</v>
      </c>
      <c r="AG365" s="98" t="s">
        <v>748</v>
      </c>
      <c r="AH365" s="98" t="s">
        <v>971</v>
      </c>
      <c r="AI365" s="98" t="s">
        <v>971</v>
      </c>
      <c r="AJ365" s="98" t="s">
        <v>972</v>
      </c>
      <c r="AK365" s="98" t="s">
        <v>159</v>
      </c>
      <c r="AL365" s="98" t="s">
        <v>224</v>
      </c>
      <c r="AM365" s="98" t="s">
        <v>225</v>
      </c>
      <c r="AP365" s="98" t="s">
        <v>684</v>
      </c>
      <c r="AQ365" s="98" t="s">
        <v>678</v>
      </c>
      <c r="AR365" s="98" t="s">
        <v>1321</v>
      </c>
      <c r="AS365" s="98" t="s">
        <v>1322</v>
      </c>
      <c r="AT365" s="100" t="n">
        <v>0</v>
      </c>
      <c r="AU365" s="100" t="n">
        <v>-193766.12</v>
      </c>
      <c r="AX365" s="98" t="s">
        <v>168</v>
      </c>
      <c r="AMH365" s="0"/>
      <c r="AMI365" s="0"/>
      <c r="AMJ365" s="0"/>
    </row>
    <row r="366" s="98" customFormat="true" ht="13.8" hidden="false" customHeight="false" outlineLevel="0" collapsed="false">
      <c r="A366" s="98" t="s">
        <v>142</v>
      </c>
      <c r="B366" s="98" t="s">
        <v>143</v>
      </c>
      <c r="C366" s="98" t="n">
        <v>51227931</v>
      </c>
      <c r="D366" s="98" t="s">
        <v>1319</v>
      </c>
      <c r="E366" s="98" t="s">
        <v>725</v>
      </c>
      <c r="F366" s="98" t="s">
        <v>297</v>
      </c>
      <c r="G366" s="98" t="s">
        <v>147</v>
      </c>
      <c r="H366" s="98" t="s">
        <v>402</v>
      </c>
      <c r="I366" s="99" t="n">
        <v>43637</v>
      </c>
      <c r="J366" s="99" t="n">
        <v>43661</v>
      </c>
      <c r="K366" s="100" t="n">
        <v>-1743896.04</v>
      </c>
      <c r="L366" s="100" t="n">
        <f aca="false">K366-Q366+T366</f>
        <v>-1503359.43</v>
      </c>
      <c r="M366" s="98" t="s">
        <v>149</v>
      </c>
      <c r="N366" s="100" t="n">
        <v>-1743896.04</v>
      </c>
      <c r="O366" s="98" t="s">
        <v>149</v>
      </c>
      <c r="P366" s="100" t="n">
        <v>-1773964.04</v>
      </c>
      <c r="Q366" s="100" t="n">
        <v>-270604.71</v>
      </c>
      <c r="R366" s="100" t="n">
        <v>-1473291.33</v>
      </c>
      <c r="S366" s="100" t="n">
        <v>-1503359.43</v>
      </c>
      <c r="T366" s="100" t="n">
        <v>-30068.1</v>
      </c>
      <c r="U366" s="98" t="s">
        <v>192</v>
      </c>
      <c r="V366" s="98" t="s">
        <v>151</v>
      </c>
      <c r="X366" s="98" t="s">
        <v>1305</v>
      </c>
      <c r="Y366" s="98" t="s">
        <v>1306</v>
      </c>
      <c r="Z366" s="98" t="s">
        <v>1320</v>
      </c>
      <c r="AB366" s="98" t="s">
        <v>1306</v>
      </c>
      <c r="AD366" s="98" t="s">
        <v>155</v>
      </c>
      <c r="AE366" s="98" t="s">
        <v>156</v>
      </c>
      <c r="AF366" s="98" t="s">
        <v>747</v>
      </c>
      <c r="AG366" s="98" t="s">
        <v>748</v>
      </c>
      <c r="AH366" s="98" t="s">
        <v>971</v>
      </c>
      <c r="AI366" s="98" t="s">
        <v>971</v>
      </c>
      <c r="AJ366" s="98" t="s">
        <v>972</v>
      </c>
      <c r="AK366" s="98" t="s">
        <v>159</v>
      </c>
      <c r="AL366" s="98" t="s">
        <v>224</v>
      </c>
      <c r="AM366" s="98" t="s">
        <v>225</v>
      </c>
      <c r="AP366" s="98" t="s">
        <v>474</v>
      </c>
      <c r="AQ366" s="98" t="s">
        <v>472</v>
      </c>
      <c r="AR366" s="98" t="s">
        <v>1321</v>
      </c>
      <c r="AS366" s="98" t="s">
        <v>1322</v>
      </c>
      <c r="AT366" s="100" t="n">
        <v>0</v>
      </c>
      <c r="AU366" s="100" t="n">
        <v>-1743896.04</v>
      </c>
      <c r="AX366" s="98" t="s">
        <v>402</v>
      </c>
      <c r="AMH366" s="0"/>
      <c r="AMI366" s="0"/>
      <c r="AMJ366" s="0"/>
    </row>
    <row r="367" s="98" customFormat="true" ht="13.8" hidden="false" customHeight="false" outlineLevel="0" collapsed="false">
      <c r="A367" s="98" t="s">
        <v>142</v>
      </c>
      <c r="B367" s="98" t="s">
        <v>143</v>
      </c>
      <c r="C367" s="98" t="n">
        <v>51369456</v>
      </c>
      <c r="D367" s="98" t="s">
        <v>1323</v>
      </c>
      <c r="E367" s="98" t="s">
        <v>725</v>
      </c>
      <c r="F367" s="98" t="s">
        <v>297</v>
      </c>
      <c r="G367" s="98" t="s">
        <v>147</v>
      </c>
      <c r="H367" s="98" t="s">
        <v>175</v>
      </c>
      <c r="I367" s="99" t="n">
        <v>43703</v>
      </c>
      <c r="J367" s="99" t="n">
        <v>43727</v>
      </c>
      <c r="K367" s="100" t="n">
        <v>-141287.94</v>
      </c>
      <c r="L367" s="100" t="n">
        <f aca="false">K367-Q367+T367</f>
        <v>-121799.95</v>
      </c>
      <c r="M367" s="98" t="s">
        <v>149</v>
      </c>
      <c r="N367" s="100" t="n">
        <v>-141287.94</v>
      </c>
      <c r="O367" s="98" t="s">
        <v>149</v>
      </c>
      <c r="P367" s="100" t="n">
        <v>-143723.94</v>
      </c>
      <c r="Q367" s="100" t="n">
        <v>-21923.99</v>
      </c>
      <c r="R367" s="100" t="n">
        <v>-119363.95</v>
      </c>
      <c r="S367" s="100" t="n">
        <v>-121799.95</v>
      </c>
      <c r="T367" s="100" t="n">
        <v>-2436</v>
      </c>
      <c r="U367" s="98" t="s">
        <v>192</v>
      </c>
      <c r="V367" s="98" t="s">
        <v>151</v>
      </c>
      <c r="X367" s="98" t="s">
        <v>1324</v>
      </c>
      <c r="Y367" s="98" t="s">
        <v>1306</v>
      </c>
      <c r="Z367" s="98" t="s">
        <v>1325</v>
      </c>
      <c r="AB367" s="98" t="s">
        <v>1306</v>
      </c>
      <c r="AD367" s="98" t="s">
        <v>155</v>
      </c>
      <c r="AE367" s="98" t="s">
        <v>156</v>
      </c>
      <c r="AF367" s="98" t="s">
        <v>747</v>
      </c>
      <c r="AG367" s="98" t="s">
        <v>748</v>
      </c>
      <c r="AH367" s="98" t="s">
        <v>971</v>
      </c>
      <c r="AI367" s="98" t="s">
        <v>971</v>
      </c>
      <c r="AJ367" s="98" t="s">
        <v>972</v>
      </c>
      <c r="AK367" s="98" t="s">
        <v>159</v>
      </c>
      <c r="AL367" s="98" t="s">
        <v>224</v>
      </c>
      <c r="AM367" s="98" t="s">
        <v>225</v>
      </c>
      <c r="AP367" s="98" t="s">
        <v>684</v>
      </c>
      <c r="AQ367" s="98" t="s">
        <v>678</v>
      </c>
      <c r="AR367" s="98" t="s">
        <v>1326</v>
      </c>
      <c r="AS367" s="98" t="s">
        <v>1327</v>
      </c>
      <c r="AT367" s="100" t="n">
        <v>0</v>
      </c>
      <c r="AU367" s="100" t="n">
        <v>-141287.94</v>
      </c>
      <c r="AX367" s="98" t="s">
        <v>168</v>
      </c>
      <c r="AMH367" s="0"/>
      <c r="AMI367" s="0"/>
      <c r="AMJ367" s="0"/>
    </row>
    <row r="368" s="98" customFormat="true" ht="13.8" hidden="false" customHeight="false" outlineLevel="0" collapsed="false">
      <c r="A368" s="98" t="s">
        <v>142</v>
      </c>
      <c r="B368" s="98" t="s">
        <v>143</v>
      </c>
      <c r="C368" s="98" t="n">
        <v>51369456</v>
      </c>
      <c r="D368" s="98" t="s">
        <v>1323</v>
      </c>
      <c r="E368" s="98" t="s">
        <v>725</v>
      </c>
      <c r="F368" s="98" t="s">
        <v>297</v>
      </c>
      <c r="G368" s="98" t="s">
        <v>147</v>
      </c>
      <c r="H368" s="98" t="s">
        <v>175</v>
      </c>
      <c r="I368" s="99" t="n">
        <v>43703</v>
      </c>
      <c r="J368" s="99" t="n">
        <v>43727</v>
      </c>
      <c r="K368" s="100" t="n">
        <v>-1271591.45</v>
      </c>
      <c r="L368" s="100" t="n">
        <f aca="false">K368-Q368+T368</f>
        <v>-1096199.53</v>
      </c>
      <c r="M368" s="98" t="s">
        <v>149</v>
      </c>
      <c r="N368" s="100" t="n">
        <v>-1271591.45</v>
      </c>
      <c r="O368" s="98" t="s">
        <v>149</v>
      </c>
      <c r="P368" s="100" t="n">
        <v>-1293515.44</v>
      </c>
      <c r="Q368" s="100" t="n">
        <v>-197315.91</v>
      </c>
      <c r="R368" s="100" t="n">
        <v>-1074275.54</v>
      </c>
      <c r="S368" s="100" t="n">
        <v>-1096199.53</v>
      </c>
      <c r="T368" s="100" t="n">
        <v>-21923.99</v>
      </c>
      <c r="U368" s="98" t="s">
        <v>192</v>
      </c>
      <c r="V368" s="98" t="s">
        <v>151</v>
      </c>
      <c r="X368" s="98" t="s">
        <v>1324</v>
      </c>
      <c r="Y368" s="98" t="s">
        <v>1306</v>
      </c>
      <c r="Z368" s="98" t="s">
        <v>1325</v>
      </c>
      <c r="AB368" s="98" t="s">
        <v>1306</v>
      </c>
      <c r="AD368" s="98" t="s">
        <v>155</v>
      </c>
      <c r="AE368" s="98" t="s">
        <v>156</v>
      </c>
      <c r="AF368" s="98" t="s">
        <v>747</v>
      </c>
      <c r="AG368" s="98" t="s">
        <v>748</v>
      </c>
      <c r="AH368" s="98" t="s">
        <v>971</v>
      </c>
      <c r="AI368" s="98" t="s">
        <v>971</v>
      </c>
      <c r="AJ368" s="98" t="s">
        <v>972</v>
      </c>
      <c r="AK368" s="98" t="s">
        <v>159</v>
      </c>
      <c r="AL368" s="98" t="s">
        <v>224</v>
      </c>
      <c r="AM368" s="98" t="s">
        <v>225</v>
      </c>
      <c r="AP368" s="98" t="s">
        <v>543</v>
      </c>
      <c r="AQ368" s="98" t="s">
        <v>541</v>
      </c>
      <c r="AR368" s="98" t="s">
        <v>1326</v>
      </c>
      <c r="AS368" s="98" t="s">
        <v>1327</v>
      </c>
      <c r="AT368" s="100" t="n">
        <v>0</v>
      </c>
      <c r="AU368" s="100" t="n">
        <v>-1271591.45</v>
      </c>
      <c r="AX368" s="98" t="s">
        <v>402</v>
      </c>
      <c r="AMH368" s="0"/>
      <c r="AMI368" s="0"/>
      <c r="AMJ368" s="0"/>
    </row>
    <row r="369" s="98" customFormat="true" ht="13.8" hidden="false" customHeight="false" outlineLevel="0" collapsed="false">
      <c r="A369" s="98" t="s">
        <v>142</v>
      </c>
      <c r="B369" s="98" t="s">
        <v>143</v>
      </c>
      <c r="C369" s="98" t="n">
        <v>51138068</v>
      </c>
      <c r="D369" s="98" t="s">
        <v>1328</v>
      </c>
      <c r="E369" s="98" t="s">
        <v>725</v>
      </c>
      <c r="F369" s="98" t="s">
        <v>371</v>
      </c>
      <c r="G369" s="98" t="s">
        <v>147</v>
      </c>
      <c r="H369" s="98" t="s">
        <v>148</v>
      </c>
      <c r="I369" s="99" t="n">
        <v>43595</v>
      </c>
      <c r="J369" s="99" t="n">
        <v>43620</v>
      </c>
      <c r="K369" s="100" t="n">
        <v>-1253642</v>
      </c>
      <c r="L369" s="100" t="n">
        <f aca="false">K369-Q369+T369</f>
        <v>-1062408.54</v>
      </c>
      <c r="M369" s="98" t="s">
        <v>149</v>
      </c>
      <c r="N369" s="100" t="n">
        <v>-1253642</v>
      </c>
      <c r="O369" s="98" t="s">
        <v>149</v>
      </c>
      <c r="P369" s="100" t="n">
        <v>-1253642</v>
      </c>
      <c r="Q369" s="100" t="n">
        <v>-191233.46</v>
      </c>
      <c r="R369" s="100" t="n">
        <v>-1062408.54</v>
      </c>
      <c r="S369" s="100" t="n">
        <v>0</v>
      </c>
      <c r="T369" s="100" t="n">
        <v>0</v>
      </c>
      <c r="U369" s="98" t="s">
        <v>192</v>
      </c>
      <c r="V369" s="98" t="s">
        <v>151</v>
      </c>
      <c r="X369" s="98" t="s">
        <v>1151</v>
      </c>
      <c r="Y369" s="98" t="s">
        <v>1269</v>
      </c>
      <c r="Z369" s="98" t="s">
        <v>1329</v>
      </c>
      <c r="AB369" s="98" t="s">
        <v>1269</v>
      </c>
      <c r="AD369" s="98" t="s">
        <v>155</v>
      </c>
      <c r="AE369" s="98" t="s">
        <v>156</v>
      </c>
      <c r="AF369" s="98" t="s">
        <v>737</v>
      </c>
      <c r="AG369" s="98" t="s">
        <v>738</v>
      </c>
      <c r="AH369" s="98" t="s">
        <v>971</v>
      </c>
      <c r="AI369" s="98" t="s">
        <v>971</v>
      </c>
      <c r="AJ369" s="98" t="s">
        <v>972</v>
      </c>
      <c r="AK369" s="98" t="s">
        <v>159</v>
      </c>
      <c r="AL369" s="98" t="s">
        <v>224</v>
      </c>
      <c r="AM369" s="98" t="s">
        <v>225</v>
      </c>
      <c r="AP369" s="98" t="s">
        <v>394</v>
      </c>
      <c r="AQ369" s="98" t="s">
        <v>392</v>
      </c>
      <c r="AR369" s="98" t="s">
        <v>1330</v>
      </c>
      <c r="AS369" s="98" t="s">
        <v>1331</v>
      </c>
      <c r="AT369" s="100" t="n">
        <v>0</v>
      </c>
      <c r="AU369" s="100" t="n">
        <v>-1253642</v>
      </c>
      <c r="AX369" s="98" t="s">
        <v>165</v>
      </c>
      <c r="AMH369" s="0"/>
      <c r="AMI369" s="0"/>
      <c r="AMJ369" s="0"/>
    </row>
    <row r="370" s="98" customFormat="true" ht="13.8" hidden="false" customHeight="false" outlineLevel="0" collapsed="false">
      <c r="A370" s="98" t="s">
        <v>142</v>
      </c>
      <c r="B370" s="98" t="s">
        <v>143</v>
      </c>
      <c r="C370" s="98" t="n">
        <v>51344781</v>
      </c>
      <c r="D370" s="98" t="s">
        <v>1332</v>
      </c>
      <c r="E370" s="98" t="s">
        <v>725</v>
      </c>
      <c r="F370" s="98" t="s">
        <v>146</v>
      </c>
      <c r="G370" s="98" t="s">
        <v>147</v>
      </c>
      <c r="H370" s="98" t="s">
        <v>175</v>
      </c>
      <c r="I370" s="99" t="n">
        <v>43686</v>
      </c>
      <c r="J370" s="99" t="n">
        <v>43711</v>
      </c>
      <c r="K370" s="100" t="n">
        <v>-367488</v>
      </c>
      <c r="L370" s="100" t="n">
        <f aca="false">K370-Q370+T370</f>
        <v>-316800</v>
      </c>
      <c r="M370" s="98" t="s">
        <v>149</v>
      </c>
      <c r="N370" s="100" t="n">
        <v>-367488</v>
      </c>
      <c r="O370" s="98" t="s">
        <v>149</v>
      </c>
      <c r="P370" s="100" t="n">
        <v>-373824</v>
      </c>
      <c r="Q370" s="100" t="n">
        <v>-57024</v>
      </c>
      <c r="R370" s="100" t="n">
        <v>-310464</v>
      </c>
      <c r="S370" s="100" t="n">
        <v>-316800</v>
      </c>
      <c r="T370" s="100" t="n">
        <v>-6336</v>
      </c>
      <c r="U370" s="98" t="s">
        <v>150</v>
      </c>
      <c r="V370" s="98" t="s">
        <v>151</v>
      </c>
      <c r="X370" s="98" t="s">
        <v>1333</v>
      </c>
      <c r="Y370" s="98" t="s">
        <v>1334</v>
      </c>
      <c r="Z370" s="98" t="s">
        <v>1335</v>
      </c>
      <c r="AB370" s="98" t="s">
        <v>1334</v>
      </c>
      <c r="AD370" s="98" t="s">
        <v>155</v>
      </c>
      <c r="AE370" s="98" t="s">
        <v>156</v>
      </c>
      <c r="AF370" s="98" t="s">
        <v>747</v>
      </c>
      <c r="AG370" s="98" t="s">
        <v>748</v>
      </c>
      <c r="AH370" s="98" t="s">
        <v>908</v>
      </c>
      <c r="AI370" s="98" t="s">
        <v>908</v>
      </c>
      <c r="AJ370" s="98" t="s">
        <v>909</v>
      </c>
      <c r="AK370" s="98" t="s">
        <v>159</v>
      </c>
      <c r="AL370" s="98" t="s">
        <v>224</v>
      </c>
      <c r="AM370" s="98" t="s">
        <v>225</v>
      </c>
      <c r="AP370" s="98" t="s">
        <v>532</v>
      </c>
      <c r="AQ370" s="98" t="s">
        <v>527</v>
      </c>
      <c r="AR370" s="98" t="s">
        <v>1056</v>
      </c>
      <c r="AS370" s="98" t="s">
        <v>1336</v>
      </c>
      <c r="AT370" s="100" t="n">
        <v>0</v>
      </c>
      <c r="AU370" s="100" t="n">
        <v>-367488</v>
      </c>
      <c r="AX370" s="98" t="s">
        <v>165</v>
      </c>
      <c r="AMH370" s="0"/>
      <c r="AMI370" s="0"/>
      <c r="AMJ370" s="0"/>
    </row>
    <row r="371" s="98" customFormat="true" ht="13.8" hidden="false" customHeight="false" outlineLevel="0" collapsed="false">
      <c r="A371" s="98" t="s">
        <v>142</v>
      </c>
      <c r="B371" s="98" t="s">
        <v>143</v>
      </c>
      <c r="C371" s="98" t="n">
        <v>51344796</v>
      </c>
      <c r="D371" s="98" t="s">
        <v>1337</v>
      </c>
      <c r="E371" s="98" t="s">
        <v>725</v>
      </c>
      <c r="F371" s="98" t="s">
        <v>146</v>
      </c>
      <c r="G371" s="98" t="s">
        <v>147</v>
      </c>
      <c r="H371" s="98" t="s">
        <v>175</v>
      </c>
      <c r="I371" s="99" t="n">
        <v>43686</v>
      </c>
      <c r="J371" s="99" t="n">
        <v>43711</v>
      </c>
      <c r="K371" s="100" t="n">
        <v>-22272</v>
      </c>
      <c r="L371" s="100" t="n">
        <f aca="false">K371-Q371+T371</f>
        <v>-19200</v>
      </c>
      <c r="M371" s="98" t="s">
        <v>149</v>
      </c>
      <c r="N371" s="100" t="n">
        <v>-22272</v>
      </c>
      <c r="O371" s="98" t="s">
        <v>149</v>
      </c>
      <c r="P371" s="100" t="n">
        <v>-22656</v>
      </c>
      <c r="Q371" s="100" t="n">
        <v>-3456</v>
      </c>
      <c r="R371" s="100" t="n">
        <v>-18816</v>
      </c>
      <c r="S371" s="100" t="n">
        <v>-19200</v>
      </c>
      <c r="T371" s="100" t="n">
        <v>-384</v>
      </c>
      <c r="U371" s="98" t="s">
        <v>150</v>
      </c>
      <c r="V371" s="98" t="s">
        <v>151</v>
      </c>
      <c r="X371" s="98" t="s">
        <v>1333</v>
      </c>
      <c r="Y371" s="98" t="s">
        <v>1200</v>
      </c>
      <c r="Z371" s="98" t="s">
        <v>1338</v>
      </c>
      <c r="AB371" s="98" t="s">
        <v>1200</v>
      </c>
      <c r="AD371" s="98" t="s">
        <v>155</v>
      </c>
      <c r="AE371" s="98" t="s">
        <v>156</v>
      </c>
      <c r="AF371" s="98" t="s">
        <v>747</v>
      </c>
      <c r="AG371" s="98" t="s">
        <v>748</v>
      </c>
      <c r="AH371" s="98" t="s">
        <v>908</v>
      </c>
      <c r="AI371" s="98" t="s">
        <v>908</v>
      </c>
      <c r="AJ371" s="98" t="s">
        <v>909</v>
      </c>
      <c r="AK371" s="98" t="s">
        <v>159</v>
      </c>
      <c r="AL371" s="98" t="s">
        <v>224</v>
      </c>
      <c r="AM371" s="98" t="s">
        <v>225</v>
      </c>
      <c r="AP371" s="98" t="s">
        <v>532</v>
      </c>
      <c r="AQ371" s="98" t="s">
        <v>527</v>
      </c>
      <c r="AR371" s="98" t="s">
        <v>1056</v>
      </c>
      <c r="AS371" s="98" t="s">
        <v>1339</v>
      </c>
      <c r="AT371" s="100" t="n">
        <v>0</v>
      </c>
      <c r="AU371" s="100" t="n">
        <v>-22272</v>
      </c>
      <c r="AX371" s="98" t="s">
        <v>165</v>
      </c>
      <c r="AMH371" s="0"/>
      <c r="AMI371" s="0"/>
      <c r="AMJ371" s="0"/>
    </row>
    <row r="372" s="98" customFormat="true" ht="13.8" hidden="false" customHeight="false" outlineLevel="0" collapsed="false">
      <c r="A372" s="98" t="s">
        <v>142</v>
      </c>
      <c r="B372" s="98" t="s">
        <v>143</v>
      </c>
      <c r="C372" s="98" t="n">
        <v>51165764</v>
      </c>
      <c r="D372" s="98" t="s">
        <v>1340</v>
      </c>
      <c r="E372" s="98" t="s">
        <v>725</v>
      </c>
      <c r="F372" s="98" t="s">
        <v>266</v>
      </c>
      <c r="G372" s="98" t="s">
        <v>147</v>
      </c>
      <c r="H372" s="98" t="s">
        <v>148</v>
      </c>
      <c r="I372" s="99" t="n">
        <v>43607</v>
      </c>
      <c r="J372" s="99" t="n">
        <v>43633</v>
      </c>
      <c r="K372" s="100" t="n">
        <v>-3178667.39</v>
      </c>
      <c r="L372" s="100" t="n">
        <f aca="false">K372-Q372+T372</f>
        <v>-2693785.92</v>
      </c>
      <c r="M372" s="98" t="s">
        <v>149</v>
      </c>
      <c r="N372" s="100" t="n">
        <v>-3178667.39</v>
      </c>
      <c r="O372" s="98" t="s">
        <v>149</v>
      </c>
      <c r="P372" s="100" t="n">
        <v>-3178667.39</v>
      </c>
      <c r="Q372" s="100" t="n">
        <v>-484881.47</v>
      </c>
      <c r="R372" s="100" t="n">
        <v>-2693785.92</v>
      </c>
      <c r="S372" s="100" t="n">
        <v>0</v>
      </c>
      <c r="T372" s="100" t="n">
        <v>0</v>
      </c>
      <c r="U372" s="98" t="s">
        <v>192</v>
      </c>
      <c r="V372" s="98" t="s">
        <v>151</v>
      </c>
      <c r="X372" s="98" t="s">
        <v>1341</v>
      </c>
      <c r="Y372" s="98" t="s">
        <v>1342</v>
      </c>
      <c r="Z372" s="98" t="s">
        <v>1343</v>
      </c>
      <c r="AB372" s="98" t="s">
        <v>1342</v>
      </c>
      <c r="AD372" s="98" t="s">
        <v>155</v>
      </c>
      <c r="AE372" s="98" t="s">
        <v>156</v>
      </c>
      <c r="AF372" s="98" t="s">
        <v>737</v>
      </c>
      <c r="AG372" s="98" t="s">
        <v>738</v>
      </c>
      <c r="AH372" s="98" t="s">
        <v>739</v>
      </c>
      <c r="AI372" s="98" t="s">
        <v>739</v>
      </c>
      <c r="AJ372" s="98" t="s">
        <v>740</v>
      </c>
      <c r="AK372" s="98" t="s">
        <v>159</v>
      </c>
      <c r="AL372" s="98" t="s">
        <v>224</v>
      </c>
      <c r="AM372" s="98" t="s">
        <v>225</v>
      </c>
      <c r="AP372" s="98" t="s">
        <v>449</v>
      </c>
      <c r="AQ372" s="98" t="s">
        <v>447</v>
      </c>
      <c r="AR372" s="98" t="s">
        <v>1344</v>
      </c>
      <c r="AS372" s="98" t="s">
        <v>1345</v>
      </c>
      <c r="AT372" s="100" t="n">
        <v>0</v>
      </c>
      <c r="AU372" s="100" t="n">
        <v>-3178667.39</v>
      </c>
      <c r="AX372" s="98" t="s">
        <v>165</v>
      </c>
      <c r="AMH372" s="0"/>
      <c r="AMI372" s="0"/>
      <c r="AMJ372" s="0"/>
    </row>
    <row r="373" s="98" customFormat="true" ht="13.8" hidden="false" customHeight="false" outlineLevel="0" collapsed="false">
      <c r="A373" s="98" t="s">
        <v>142</v>
      </c>
      <c r="B373" s="98" t="s">
        <v>143</v>
      </c>
      <c r="C373" s="98" t="n">
        <v>51165779</v>
      </c>
      <c r="D373" s="98" t="s">
        <v>1346</v>
      </c>
      <c r="E373" s="98" t="s">
        <v>725</v>
      </c>
      <c r="F373" s="98" t="s">
        <v>266</v>
      </c>
      <c r="G373" s="98" t="s">
        <v>147</v>
      </c>
      <c r="H373" s="98" t="s">
        <v>148</v>
      </c>
      <c r="I373" s="99" t="n">
        <v>43607</v>
      </c>
      <c r="J373" s="99" t="n">
        <v>43633</v>
      </c>
      <c r="K373" s="100" t="n">
        <v>-2964560.26</v>
      </c>
      <c r="L373" s="100" t="n">
        <f aca="false">K373-Q373+T373</f>
        <v>-2512339.2</v>
      </c>
      <c r="M373" s="98" t="s">
        <v>149</v>
      </c>
      <c r="N373" s="100" t="n">
        <v>-2964560.26</v>
      </c>
      <c r="O373" s="98" t="s">
        <v>149</v>
      </c>
      <c r="P373" s="100" t="n">
        <v>-2964560.26</v>
      </c>
      <c r="Q373" s="100" t="n">
        <v>-452221.06</v>
      </c>
      <c r="R373" s="100" t="n">
        <v>-2512339.2</v>
      </c>
      <c r="S373" s="100" t="n">
        <v>0</v>
      </c>
      <c r="T373" s="100" t="n">
        <v>0</v>
      </c>
      <c r="U373" s="98" t="s">
        <v>192</v>
      </c>
      <c r="V373" s="98" t="s">
        <v>151</v>
      </c>
      <c r="X373" s="98" t="s">
        <v>1341</v>
      </c>
      <c r="Y373" s="98" t="s">
        <v>1342</v>
      </c>
      <c r="Z373" s="98" t="s">
        <v>1347</v>
      </c>
      <c r="AB373" s="98" t="s">
        <v>1342</v>
      </c>
      <c r="AD373" s="98" t="s">
        <v>155</v>
      </c>
      <c r="AE373" s="98" t="s">
        <v>156</v>
      </c>
      <c r="AF373" s="98" t="s">
        <v>737</v>
      </c>
      <c r="AG373" s="98" t="s">
        <v>738</v>
      </c>
      <c r="AH373" s="98" t="s">
        <v>739</v>
      </c>
      <c r="AI373" s="98" t="s">
        <v>739</v>
      </c>
      <c r="AJ373" s="98" t="s">
        <v>740</v>
      </c>
      <c r="AK373" s="98" t="s">
        <v>159</v>
      </c>
      <c r="AL373" s="98" t="s">
        <v>224</v>
      </c>
      <c r="AM373" s="98" t="s">
        <v>225</v>
      </c>
      <c r="AP373" s="98" t="s">
        <v>449</v>
      </c>
      <c r="AQ373" s="98" t="s">
        <v>447</v>
      </c>
      <c r="AR373" s="98" t="s">
        <v>1344</v>
      </c>
      <c r="AS373" s="98" t="s">
        <v>1348</v>
      </c>
      <c r="AT373" s="100" t="n">
        <v>0</v>
      </c>
      <c r="AU373" s="100" t="n">
        <v>-2964560.26</v>
      </c>
      <c r="AX373" s="98" t="s">
        <v>165</v>
      </c>
      <c r="AMH373" s="0"/>
      <c r="AMI373" s="0"/>
      <c r="AMJ373" s="0"/>
    </row>
    <row r="374" s="98" customFormat="true" ht="13.8" hidden="false" customHeight="false" outlineLevel="0" collapsed="false">
      <c r="A374" s="98" t="s">
        <v>142</v>
      </c>
      <c r="B374" s="98" t="s">
        <v>143</v>
      </c>
      <c r="C374" s="98" t="n">
        <v>51129248</v>
      </c>
      <c r="D374" s="98" t="s">
        <v>1349</v>
      </c>
      <c r="E374" s="98" t="s">
        <v>725</v>
      </c>
      <c r="F374" s="98" t="s">
        <v>297</v>
      </c>
      <c r="G374" s="98" t="s">
        <v>147</v>
      </c>
      <c r="H374" s="98" t="s">
        <v>220</v>
      </c>
      <c r="I374" s="99" t="n">
        <v>43589</v>
      </c>
      <c r="J374" s="99" t="n">
        <v>43616</v>
      </c>
      <c r="K374" s="100" t="n">
        <v>-1101628.9</v>
      </c>
      <c r="L374" s="100" t="n">
        <f aca="false">K374-Q374+T374</f>
        <v>-933584.12</v>
      </c>
      <c r="M374" s="98" t="s">
        <v>149</v>
      </c>
      <c r="N374" s="100" t="n">
        <v>-1101628.9</v>
      </c>
      <c r="O374" s="98" t="s">
        <v>149</v>
      </c>
      <c r="P374" s="100" t="n">
        <v>-1101628.9</v>
      </c>
      <c r="Q374" s="100" t="n">
        <v>-168044.78</v>
      </c>
      <c r="R374" s="100" t="n">
        <v>-933584.12</v>
      </c>
      <c r="S374" s="100" t="n">
        <v>0</v>
      </c>
      <c r="T374" s="100" t="n">
        <v>0</v>
      </c>
      <c r="U374" s="98" t="s">
        <v>192</v>
      </c>
      <c r="V374" s="98" t="s">
        <v>151</v>
      </c>
      <c r="X374" s="98" t="s">
        <v>1212</v>
      </c>
      <c r="Y374" s="98" t="s">
        <v>1213</v>
      </c>
      <c r="Z374" s="98" t="s">
        <v>1350</v>
      </c>
      <c r="AB374" s="98" t="s">
        <v>1213</v>
      </c>
      <c r="AD374" s="98" t="s">
        <v>155</v>
      </c>
      <c r="AE374" s="98" t="s">
        <v>156</v>
      </c>
      <c r="AF374" s="98" t="s">
        <v>728</v>
      </c>
      <c r="AG374" s="98" t="s">
        <v>729</v>
      </c>
      <c r="AH374" s="98" t="s">
        <v>971</v>
      </c>
      <c r="AI374" s="98" t="s">
        <v>971</v>
      </c>
      <c r="AJ374" s="98" t="s">
        <v>972</v>
      </c>
      <c r="AK374" s="98" t="s">
        <v>159</v>
      </c>
      <c r="AL374" s="98" t="s">
        <v>224</v>
      </c>
      <c r="AM374" s="98" t="s">
        <v>225</v>
      </c>
      <c r="AP374" s="98" t="s">
        <v>368</v>
      </c>
      <c r="AQ374" s="98" t="s">
        <v>366</v>
      </c>
      <c r="AR374" s="98" t="s">
        <v>1215</v>
      </c>
      <c r="AS374" s="98" t="s">
        <v>1351</v>
      </c>
      <c r="AT374" s="100" t="n">
        <v>0</v>
      </c>
      <c r="AU374" s="100" t="n">
        <v>-1101628.9</v>
      </c>
      <c r="AX374" s="98" t="s">
        <v>556</v>
      </c>
      <c r="AMH374" s="0"/>
      <c r="AMI374" s="0"/>
      <c r="AMJ374" s="0"/>
    </row>
    <row r="375" s="98" customFormat="true" ht="13.8" hidden="false" customHeight="false" outlineLevel="0" collapsed="false">
      <c r="A375" s="98" t="s">
        <v>142</v>
      </c>
      <c r="B375" s="98" t="s">
        <v>143</v>
      </c>
      <c r="C375" s="98" t="n">
        <v>51129248</v>
      </c>
      <c r="D375" s="98" t="s">
        <v>1349</v>
      </c>
      <c r="E375" s="98" t="s">
        <v>725</v>
      </c>
      <c r="F375" s="98" t="s">
        <v>297</v>
      </c>
      <c r="G375" s="98" t="s">
        <v>147</v>
      </c>
      <c r="H375" s="98" t="s">
        <v>220</v>
      </c>
      <c r="I375" s="99" t="n">
        <v>43589</v>
      </c>
      <c r="J375" s="99" t="n">
        <v>43616</v>
      </c>
      <c r="K375" s="100" t="n">
        <v>-64801.7</v>
      </c>
      <c r="L375" s="100" t="n">
        <f aca="false">K375-Q375+T375</f>
        <v>-54916.71</v>
      </c>
      <c r="M375" s="98" t="s">
        <v>149</v>
      </c>
      <c r="N375" s="100" t="n">
        <v>-64801.7</v>
      </c>
      <c r="O375" s="98" t="s">
        <v>149</v>
      </c>
      <c r="P375" s="100" t="n">
        <v>-64801.7</v>
      </c>
      <c r="Q375" s="100" t="n">
        <v>-9884.99</v>
      </c>
      <c r="R375" s="100" t="n">
        <v>-54916.71</v>
      </c>
      <c r="S375" s="100" t="n">
        <v>0</v>
      </c>
      <c r="T375" s="100" t="n">
        <v>0</v>
      </c>
      <c r="U375" s="98" t="s">
        <v>192</v>
      </c>
      <c r="V375" s="98" t="s">
        <v>151</v>
      </c>
      <c r="X375" s="98" t="s">
        <v>1212</v>
      </c>
      <c r="Y375" s="98" t="s">
        <v>1213</v>
      </c>
      <c r="Z375" s="98" t="s">
        <v>1350</v>
      </c>
      <c r="AB375" s="98" t="s">
        <v>1213</v>
      </c>
      <c r="AD375" s="98" t="s">
        <v>155</v>
      </c>
      <c r="AE375" s="98" t="s">
        <v>156</v>
      </c>
      <c r="AF375" s="98" t="s">
        <v>728</v>
      </c>
      <c r="AG375" s="98" t="s">
        <v>729</v>
      </c>
      <c r="AH375" s="98" t="s">
        <v>971</v>
      </c>
      <c r="AI375" s="98" t="s">
        <v>971</v>
      </c>
      <c r="AJ375" s="98" t="s">
        <v>972</v>
      </c>
      <c r="AK375" s="98" t="s">
        <v>159</v>
      </c>
      <c r="AL375" s="98" t="s">
        <v>224</v>
      </c>
      <c r="AM375" s="98" t="s">
        <v>225</v>
      </c>
      <c r="AP375" s="98" t="s">
        <v>553</v>
      </c>
      <c r="AQ375" s="98" t="s">
        <v>551</v>
      </c>
      <c r="AR375" s="98" t="s">
        <v>1215</v>
      </c>
      <c r="AS375" s="98" t="s">
        <v>1351</v>
      </c>
      <c r="AT375" s="100" t="n">
        <v>0</v>
      </c>
      <c r="AU375" s="100" t="n">
        <v>-64801.7</v>
      </c>
      <c r="AX375" s="98" t="s">
        <v>200</v>
      </c>
      <c r="AMH375" s="0"/>
      <c r="AMI375" s="0"/>
      <c r="AMJ375" s="0"/>
    </row>
    <row r="376" s="98" customFormat="true" ht="13.8" hidden="false" customHeight="false" outlineLevel="0" collapsed="false">
      <c r="A376" s="98" t="s">
        <v>142</v>
      </c>
      <c r="B376" s="98" t="s">
        <v>143</v>
      </c>
      <c r="C376" s="98" t="n">
        <v>51129248</v>
      </c>
      <c r="D376" s="98" t="s">
        <v>1349</v>
      </c>
      <c r="E376" s="98" t="s">
        <v>725</v>
      </c>
      <c r="F376" s="98" t="s">
        <v>297</v>
      </c>
      <c r="G376" s="98" t="s">
        <v>147</v>
      </c>
      <c r="H376" s="98" t="s">
        <v>220</v>
      </c>
      <c r="I376" s="99" t="n">
        <v>43589</v>
      </c>
      <c r="J376" s="99" t="n">
        <v>43616</v>
      </c>
      <c r="K376" s="100" t="n">
        <v>-64801.7</v>
      </c>
      <c r="L376" s="100" t="n">
        <f aca="false">K376-Q376+T376</f>
        <v>-54916.71</v>
      </c>
      <c r="M376" s="98" t="s">
        <v>149</v>
      </c>
      <c r="N376" s="100" t="n">
        <v>-64801.7</v>
      </c>
      <c r="O376" s="98" t="s">
        <v>149</v>
      </c>
      <c r="P376" s="100" t="n">
        <v>-64801.7</v>
      </c>
      <c r="Q376" s="100" t="n">
        <v>-9884.99</v>
      </c>
      <c r="R376" s="100" t="n">
        <v>-54916.71</v>
      </c>
      <c r="S376" s="100" t="n">
        <v>0</v>
      </c>
      <c r="T376" s="100" t="n">
        <v>0</v>
      </c>
      <c r="U376" s="98" t="s">
        <v>192</v>
      </c>
      <c r="V376" s="98" t="s">
        <v>151</v>
      </c>
      <c r="X376" s="98" t="s">
        <v>1212</v>
      </c>
      <c r="Y376" s="98" t="s">
        <v>1213</v>
      </c>
      <c r="Z376" s="98" t="s">
        <v>1350</v>
      </c>
      <c r="AB376" s="98" t="s">
        <v>1213</v>
      </c>
      <c r="AD376" s="98" t="s">
        <v>155</v>
      </c>
      <c r="AE376" s="98" t="s">
        <v>156</v>
      </c>
      <c r="AF376" s="98" t="s">
        <v>728</v>
      </c>
      <c r="AG376" s="98" t="s">
        <v>729</v>
      </c>
      <c r="AH376" s="98" t="s">
        <v>971</v>
      </c>
      <c r="AI376" s="98" t="s">
        <v>971</v>
      </c>
      <c r="AJ376" s="98" t="s">
        <v>972</v>
      </c>
      <c r="AK376" s="98" t="s">
        <v>159</v>
      </c>
      <c r="AL376" s="98" t="s">
        <v>224</v>
      </c>
      <c r="AM376" s="98" t="s">
        <v>225</v>
      </c>
      <c r="AP376" s="98" t="s">
        <v>553</v>
      </c>
      <c r="AQ376" s="98" t="s">
        <v>551</v>
      </c>
      <c r="AR376" s="98" t="s">
        <v>1215</v>
      </c>
      <c r="AS376" s="98" t="s">
        <v>1351</v>
      </c>
      <c r="AT376" s="100" t="n">
        <v>0</v>
      </c>
      <c r="AU376" s="100" t="n">
        <v>-64801.7</v>
      </c>
      <c r="AX376" s="98" t="s">
        <v>191</v>
      </c>
      <c r="AMH376" s="0"/>
      <c r="AMI376" s="0"/>
      <c r="AMJ376" s="0"/>
    </row>
    <row r="377" s="98" customFormat="true" ht="13.8" hidden="false" customHeight="false" outlineLevel="0" collapsed="false">
      <c r="A377" s="98" t="s">
        <v>142</v>
      </c>
      <c r="B377" s="98" t="s">
        <v>143</v>
      </c>
      <c r="C377" s="98" t="n">
        <v>51129248</v>
      </c>
      <c r="D377" s="98" t="s">
        <v>1349</v>
      </c>
      <c r="E377" s="98" t="s">
        <v>725</v>
      </c>
      <c r="F377" s="98" t="s">
        <v>297</v>
      </c>
      <c r="G377" s="98" t="s">
        <v>147</v>
      </c>
      <c r="H377" s="98" t="s">
        <v>220</v>
      </c>
      <c r="I377" s="99" t="n">
        <v>43589</v>
      </c>
      <c r="J377" s="99" t="n">
        <v>43616</v>
      </c>
      <c r="K377" s="100" t="n">
        <v>-64801.7</v>
      </c>
      <c r="L377" s="100" t="n">
        <f aca="false">K377-Q377+T377</f>
        <v>-54916.71</v>
      </c>
      <c r="M377" s="98" t="s">
        <v>149</v>
      </c>
      <c r="N377" s="100" t="n">
        <v>-64801.7</v>
      </c>
      <c r="O377" s="98" t="s">
        <v>149</v>
      </c>
      <c r="P377" s="100" t="n">
        <v>-64801.7</v>
      </c>
      <c r="Q377" s="100" t="n">
        <v>-9884.99</v>
      </c>
      <c r="R377" s="100" t="n">
        <v>-54916.71</v>
      </c>
      <c r="S377" s="100" t="n">
        <v>0</v>
      </c>
      <c r="T377" s="100" t="n">
        <v>0</v>
      </c>
      <c r="U377" s="98" t="s">
        <v>192</v>
      </c>
      <c r="V377" s="98" t="s">
        <v>151</v>
      </c>
      <c r="X377" s="98" t="s">
        <v>1212</v>
      </c>
      <c r="Y377" s="98" t="s">
        <v>1213</v>
      </c>
      <c r="Z377" s="98" t="s">
        <v>1350</v>
      </c>
      <c r="AB377" s="98" t="s">
        <v>1213</v>
      </c>
      <c r="AD377" s="98" t="s">
        <v>155</v>
      </c>
      <c r="AE377" s="98" t="s">
        <v>156</v>
      </c>
      <c r="AF377" s="98" t="s">
        <v>728</v>
      </c>
      <c r="AG377" s="98" t="s">
        <v>729</v>
      </c>
      <c r="AH377" s="98" t="s">
        <v>971</v>
      </c>
      <c r="AI377" s="98" t="s">
        <v>971</v>
      </c>
      <c r="AJ377" s="98" t="s">
        <v>972</v>
      </c>
      <c r="AK377" s="98" t="s">
        <v>159</v>
      </c>
      <c r="AL377" s="98" t="s">
        <v>224</v>
      </c>
      <c r="AM377" s="98" t="s">
        <v>225</v>
      </c>
      <c r="AP377" s="98" t="s">
        <v>553</v>
      </c>
      <c r="AQ377" s="98" t="s">
        <v>551</v>
      </c>
      <c r="AR377" s="98" t="s">
        <v>1215</v>
      </c>
      <c r="AS377" s="98" t="s">
        <v>1351</v>
      </c>
      <c r="AT377" s="100" t="n">
        <v>0</v>
      </c>
      <c r="AU377" s="100" t="n">
        <v>-64801.7</v>
      </c>
      <c r="AX377" s="98" t="s">
        <v>586</v>
      </c>
      <c r="AMH377" s="0"/>
      <c r="AMI377" s="0"/>
      <c r="AMJ377" s="0"/>
    </row>
    <row r="378" s="98" customFormat="true" ht="13.8" hidden="false" customHeight="false" outlineLevel="0" collapsed="false">
      <c r="A378" s="98" t="s">
        <v>142</v>
      </c>
      <c r="B378" s="98" t="s">
        <v>143</v>
      </c>
      <c r="C378" s="98" t="n">
        <v>51129553</v>
      </c>
      <c r="D378" s="98" t="s">
        <v>1352</v>
      </c>
      <c r="E378" s="98" t="s">
        <v>725</v>
      </c>
      <c r="F378" s="98" t="s">
        <v>297</v>
      </c>
      <c r="G378" s="98" t="s">
        <v>147</v>
      </c>
      <c r="H378" s="98" t="s">
        <v>220</v>
      </c>
      <c r="I378" s="99" t="n">
        <v>43589</v>
      </c>
      <c r="J378" s="99" t="n">
        <v>43616</v>
      </c>
      <c r="K378" s="100" t="n">
        <v>-92105.05</v>
      </c>
      <c r="L378" s="100" t="n">
        <f aca="false">K378-Q378+T378</f>
        <v>-78055.14</v>
      </c>
      <c r="M378" s="98" t="s">
        <v>149</v>
      </c>
      <c r="N378" s="100" t="n">
        <v>-92105.05</v>
      </c>
      <c r="O378" s="98" t="s">
        <v>149</v>
      </c>
      <c r="P378" s="100" t="n">
        <v>-92105.05</v>
      </c>
      <c r="Q378" s="100" t="n">
        <v>-14049.91</v>
      </c>
      <c r="R378" s="100" t="n">
        <v>-78055.14</v>
      </c>
      <c r="S378" s="100" t="n">
        <v>0</v>
      </c>
      <c r="T378" s="100" t="n">
        <v>0</v>
      </c>
      <c r="U378" s="98" t="s">
        <v>192</v>
      </c>
      <c r="V378" s="98" t="s">
        <v>151</v>
      </c>
      <c r="X378" s="98" t="s">
        <v>1212</v>
      </c>
      <c r="Y378" s="98" t="s">
        <v>1213</v>
      </c>
      <c r="Z378" s="98" t="s">
        <v>1353</v>
      </c>
      <c r="AB378" s="98" t="s">
        <v>1213</v>
      </c>
      <c r="AD378" s="98" t="s">
        <v>155</v>
      </c>
      <c r="AE378" s="98" t="s">
        <v>156</v>
      </c>
      <c r="AF378" s="98" t="s">
        <v>728</v>
      </c>
      <c r="AG378" s="98" t="s">
        <v>729</v>
      </c>
      <c r="AH378" s="98" t="s">
        <v>971</v>
      </c>
      <c r="AI378" s="98" t="s">
        <v>971</v>
      </c>
      <c r="AJ378" s="98" t="s">
        <v>972</v>
      </c>
      <c r="AK378" s="98" t="s">
        <v>159</v>
      </c>
      <c r="AL378" s="98" t="s">
        <v>224</v>
      </c>
      <c r="AM378" s="98" t="s">
        <v>225</v>
      </c>
      <c r="AP378" s="98" t="s">
        <v>553</v>
      </c>
      <c r="AQ378" s="98" t="s">
        <v>551</v>
      </c>
      <c r="AR378" s="98" t="s">
        <v>1215</v>
      </c>
      <c r="AS378" s="98" t="s">
        <v>1354</v>
      </c>
      <c r="AT378" s="100" t="n">
        <v>0</v>
      </c>
      <c r="AU378" s="100" t="n">
        <v>-92105.05</v>
      </c>
      <c r="AX378" s="98" t="s">
        <v>586</v>
      </c>
      <c r="AMH378" s="0"/>
      <c r="AMI378" s="0"/>
      <c r="AMJ378" s="0"/>
    </row>
    <row r="379" s="98" customFormat="true" ht="13.8" hidden="false" customHeight="false" outlineLevel="0" collapsed="false">
      <c r="A379" s="98" t="s">
        <v>142</v>
      </c>
      <c r="B379" s="98" t="s">
        <v>143</v>
      </c>
      <c r="C379" s="98" t="n">
        <v>51129553</v>
      </c>
      <c r="D379" s="98" t="s">
        <v>1352</v>
      </c>
      <c r="E379" s="98" t="s">
        <v>725</v>
      </c>
      <c r="F379" s="98" t="s">
        <v>297</v>
      </c>
      <c r="G379" s="98" t="s">
        <v>147</v>
      </c>
      <c r="H379" s="98" t="s">
        <v>220</v>
      </c>
      <c r="I379" s="99" t="n">
        <v>43589</v>
      </c>
      <c r="J379" s="99" t="n">
        <v>43616</v>
      </c>
      <c r="K379" s="100" t="n">
        <v>-92105.05</v>
      </c>
      <c r="L379" s="100" t="n">
        <f aca="false">K379-Q379+T379</f>
        <v>-78055.14</v>
      </c>
      <c r="M379" s="98" t="s">
        <v>149</v>
      </c>
      <c r="N379" s="100" t="n">
        <v>-92105.05</v>
      </c>
      <c r="O379" s="98" t="s">
        <v>149</v>
      </c>
      <c r="P379" s="100" t="n">
        <v>-92105.05</v>
      </c>
      <c r="Q379" s="100" t="n">
        <v>-14049.91</v>
      </c>
      <c r="R379" s="100" t="n">
        <v>-78055.14</v>
      </c>
      <c r="S379" s="100" t="n">
        <v>0</v>
      </c>
      <c r="T379" s="100" t="n">
        <v>0</v>
      </c>
      <c r="U379" s="98" t="s">
        <v>192</v>
      </c>
      <c r="V379" s="98" t="s">
        <v>151</v>
      </c>
      <c r="X379" s="98" t="s">
        <v>1212</v>
      </c>
      <c r="Y379" s="98" t="s">
        <v>1213</v>
      </c>
      <c r="Z379" s="98" t="s">
        <v>1353</v>
      </c>
      <c r="AB379" s="98" t="s">
        <v>1213</v>
      </c>
      <c r="AD379" s="98" t="s">
        <v>155</v>
      </c>
      <c r="AE379" s="98" t="s">
        <v>156</v>
      </c>
      <c r="AF379" s="98" t="s">
        <v>728</v>
      </c>
      <c r="AG379" s="98" t="s">
        <v>729</v>
      </c>
      <c r="AH379" s="98" t="s">
        <v>971</v>
      </c>
      <c r="AI379" s="98" t="s">
        <v>971</v>
      </c>
      <c r="AJ379" s="98" t="s">
        <v>972</v>
      </c>
      <c r="AK379" s="98" t="s">
        <v>159</v>
      </c>
      <c r="AL379" s="98" t="s">
        <v>224</v>
      </c>
      <c r="AM379" s="98" t="s">
        <v>225</v>
      </c>
      <c r="AP379" s="98" t="s">
        <v>553</v>
      </c>
      <c r="AQ379" s="98" t="s">
        <v>551</v>
      </c>
      <c r="AR379" s="98" t="s">
        <v>1215</v>
      </c>
      <c r="AS379" s="98" t="s">
        <v>1354</v>
      </c>
      <c r="AT379" s="100" t="n">
        <v>0</v>
      </c>
      <c r="AU379" s="100" t="n">
        <v>-92105.05</v>
      </c>
      <c r="AX379" s="98" t="s">
        <v>191</v>
      </c>
      <c r="AMH379" s="0"/>
      <c r="AMI379" s="0"/>
      <c r="AMJ379" s="0"/>
    </row>
    <row r="380" s="98" customFormat="true" ht="13.8" hidden="false" customHeight="false" outlineLevel="0" collapsed="false">
      <c r="A380" s="98" t="s">
        <v>142</v>
      </c>
      <c r="B380" s="98" t="s">
        <v>143</v>
      </c>
      <c r="C380" s="98" t="n">
        <v>51129553</v>
      </c>
      <c r="D380" s="98" t="s">
        <v>1352</v>
      </c>
      <c r="E380" s="98" t="s">
        <v>725</v>
      </c>
      <c r="F380" s="98" t="s">
        <v>297</v>
      </c>
      <c r="G380" s="98" t="s">
        <v>147</v>
      </c>
      <c r="H380" s="98" t="s">
        <v>220</v>
      </c>
      <c r="I380" s="99" t="n">
        <v>43589</v>
      </c>
      <c r="J380" s="99" t="n">
        <v>43616</v>
      </c>
      <c r="K380" s="100" t="n">
        <v>-1565785.85</v>
      </c>
      <c r="L380" s="100" t="n">
        <f aca="false">K380-Q380+T380</f>
        <v>-1326937.35</v>
      </c>
      <c r="M380" s="98" t="s">
        <v>149</v>
      </c>
      <c r="N380" s="100" t="n">
        <v>-1565785.85</v>
      </c>
      <c r="O380" s="98" t="s">
        <v>149</v>
      </c>
      <c r="P380" s="100" t="n">
        <v>-1565785.85</v>
      </c>
      <c r="Q380" s="100" t="n">
        <v>-238848.5</v>
      </c>
      <c r="R380" s="100" t="n">
        <v>-1326937.35</v>
      </c>
      <c r="S380" s="100" t="n">
        <v>0</v>
      </c>
      <c r="T380" s="100" t="n">
        <v>0</v>
      </c>
      <c r="U380" s="98" t="s">
        <v>192</v>
      </c>
      <c r="V380" s="98" t="s">
        <v>151</v>
      </c>
      <c r="X380" s="98" t="s">
        <v>1212</v>
      </c>
      <c r="Y380" s="98" t="s">
        <v>1213</v>
      </c>
      <c r="Z380" s="98" t="s">
        <v>1353</v>
      </c>
      <c r="AB380" s="98" t="s">
        <v>1213</v>
      </c>
      <c r="AD380" s="98" t="s">
        <v>155</v>
      </c>
      <c r="AE380" s="98" t="s">
        <v>156</v>
      </c>
      <c r="AF380" s="98" t="s">
        <v>728</v>
      </c>
      <c r="AG380" s="98" t="s">
        <v>729</v>
      </c>
      <c r="AH380" s="98" t="s">
        <v>971</v>
      </c>
      <c r="AI380" s="98" t="s">
        <v>971</v>
      </c>
      <c r="AJ380" s="98" t="s">
        <v>972</v>
      </c>
      <c r="AK380" s="98" t="s">
        <v>159</v>
      </c>
      <c r="AL380" s="98" t="s">
        <v>224</v>
      </c>
      <c r="AM380" s="98" t="s">
        <v>225</v>
      </c>
      <c r="AP380" s="98" t="s">
        <v>379</v>
      </c>
      <c r="AQ380" s="98" t="s">
        <v>377</v>
      </c>
      <c r="AR380" s="98" t="s">
        <v>1215</v>
      </c>
      <c r="AS380" s="98" t="s">
        <v>1354</v>
      </c>
      <c r="AT380" s="100" t="n">
        <v>0</v>
      </c>
      <c r="AU380" s="100" t="n">
        <v>-1565785.85</v>
      </c>
      <c r="AX380" s="98" t="s">
        <v>556</v>
      </c>
      <c r="AMH380" s="0"/>
      <c r="AMI380" s="0"/>
      <c r="AMJ380" s="0"/>
    </row>
    <row r="381" s="98" customFormat="true" ht="13.8" hidden="false" customHeight="false" outlineLevel="0" collapsed="false">
      <c r="A381" s="98" t="s">
        <v>142</v>
      </c>
      <c r="B381" s="98" t="s">
        <v>143</v>
      </c>
      <c r="C381" s="98" t="n">
        <v>51129553</v>
      </c>
      <c r="D381" s="98" t="s">
        <v>1352</v>
      </c>
      <c r="E381" s="98" t="s">
        <v>725</v>
      </c>
      <c r="F381" s="98" t="s">
        <v>297</v>
      </c>
      <c r="G381" s="98" t="s">
        <v>147</v>
      </c>
      <c r="H381" s="98" t="s">
        <v>220</v>
      </c>
      <c r="I381" s="99" t="n">
        <v>43589</v>
      </c>
      <c r="J381" s="99" t="n">
        <v>43616</v>
      </c>
      <c r="K381" s="100" t="n">
        <v>-92105.05</v>
      </c>
      <c r="L381" s="100" t="n">
        <f aca="false">K381-Q381+T381</f>
        <v>-78055.14</v>
      </c>
      <c r="M381" s="98" t="s">
        <v>149</v>
      </c>
      <c r="N381" s="100" t="n">
        <v>-92105.05</v>
      </c>
      <c r="O381" s="98" t="s">
        <v>149</v>
      </c>
      <c r="P381" s="100" t="n">
        <v>-92105.05</v>
      </c>
      <c r="Q381" s="100" t="n">
        <v>-14049.91</v>
      </c>
      <c r="R381" s="100" t="n">
        <v>-78055.14</v>
      </c>
      <c r="S381" s="100" t="n">
        <v>0</v>
      </c>
      <c r="T381" s="100" t="n">
        <v>0</v>
      </c>
      <c r="U381" s="98" t="s">
        <v>192</v>
      </c>
      <c r="V381" s="98" t="s">
        <v>151</v>
      </c>
      <c r="X381" s="98" t="s">
        <v>1212</v>
      </c>
      <c r="Y381" s="98" t="s">
        <v>1213</v>
      </c>
      <c r="Z381" s="98" t="s">
        <v>1353</v>
      </c>
      <c r="AB381" s="98" t="s">
        <v>1213</v>
      </c>
      <c r="AD381" s="98" t="s">
        <v>155</v>
      </c>
      <c r="AE381" s="98" t="s">
        <v>156</v>
      </c>
      <c r="AF381" s="98" t="s">
        <v>728</v>
      </c>
      <c r="AG381" s="98" t="s">
        <v>729</v>
      </c>
      <c r="AH381" s="98" t="s">
        <v>971</v>
      </c>
      <c r="AI381" s="98" t="s">
        <v>971</v>
      </c>
      <c r="AJ381" s="98" t="s">
        <v>972</v>
      </c>
      <c r="AK381" s="98" t="s">
        <v>159</v>
      </c>
      <c r="AL381" s="98" t="s">
        <v>224</v>
      </c>
      <c r="AM381" s="98" t="s">
        <v>225</v>
      </c>
      <c r="AP381" s="98" t="s">
        <v>553</v>
      </c>
      <c r="AQ381" s="98" t="s">
        <v>551</v>
      </c>
      <c r="AR381" s="98" t="s">
        <v>1215</v>
      </c>
      <c r="AS381" s="98" t="s">
        <v>1354</v>
      </c>
      <c r="AT381" s="100" t="n">
        <v>0</v>
      </c>
      <c r="AU381" s="100" t="n">
        <v>-92105.05</v>
      </c>
      <c r="AX381" s="98" t="s">
        <v>200</v>
      </c>
      <c r="AMH381" s="0"/>
      <c r="AMI381" s="0"/>
      <c r="AMJ381" s="0"/>
    </row>
    <row r="382" s="98" customFormat="true" ht="13.8" hidden="false" customHeight="false" outlineLevel="0" collapsed="false">
      <c r="A382" s="98" t="s">
        <v>142</v>
      </c>
      <c r="B382" s="98" t="s">
        <v>143</v>
      </c>
      <c r="C382" s="98" t="n">
        <v>51129598</v>
      </c>
      <c r="D382" s="98" t="s">
        <v>1355</v>
      </c>
      <c r="E382" s="98" t="s">
        <v>725</v>
      </c>
      <c r="F382" s="98" t="s">
        <v>297</v>
      </c>
      <c r="G382" s="98" t="s">
        <v>147</v>
      </c>
      <c r="H382" s="98" t="s">
        <v>220</v>
      </c>
      <c r="I382" s="99" t="n">
        <v>43589</v>
      </c>
      <c r="J382" s="99" t="n">
        <v>43616</v>
      </c>
      <c r="K382" s="100" t="n">
        <v>-1307691.54</v>
      </c>
      <c r="L382" s="100" t="n">
        <f aca="false">K382-Q382+T382</f>
        <v>-1108206.94</v>
      </c>
      <c r="M382" s="98" t="s">
        <v>149</v>
      </c>
      <c r="N382" s="100" t="n">
        <v>-1307691.54</v>
      </c>
      <c r="O382" s="98" t="s">
        <v>149</v>
      </c>
      <c r="P382" s="100" t="n">
        <v>-1307691.54</v>
      </c>
      <c r="Q382" s="100" t="n">
        <v>-199484.6</v>
      </c>
      <c r="R382" s="100" t="n">
        <v>-1108206.94</v>
      </c>
      <c r="S382" s="100" t="n">
        <v>0</v>
      </c>
      <c r="T382" s="100" t="n">
        <v>0</v>
      </c>
      <c r="U382" s="98" t="s">
        <v>192</v>
      </c>
      <c r="V382" s="98" t="s">
        <v>151</v>
      </c>
      <c r="X382" s="98" t="s">
        <v>1212</v>
      </c>
      <c r="Y382" s="98" t="s">
        <v>1213</v>
      </c>
      <c r="Z382" s="98" t="s">
        <v>1356</v>
      </c>
      <c r="AB382" s="98" t="s">
        <v>1213</v>
      </c>
      <c r="AD382" s="98" t="s">
        <v>155</v>
      </c>
      <c r="AE382" s="98" t="s">
        <v>156</v>
      </c>
      <c r="AF382" s="98" t="s">
        <v>728</v>
      </c>
      <c r="AG382" s="98" t="s">
        <v>729</v>
      </c>
      <c r="AH382" s="98" t="s">
        <v>971</v>
      </c>
      <c r="AI382" s="98" t="s">
        <v>971</v>
      </c>
      <c r="AJ382" s="98" t="s">
        <v>972</v>
      </c>
      <c r="AK382" s="98" t="s">
        <v>159</v>
      </c>
      <c r="AL382" s="98" t="s">
        <v>224</v>
      </c>
      <c r="AM382" s="98" t="s">
        <v>225</v>
      </c>
      <c r="AP382" s="98" t="s">
        <v>379</v>
      </c>
      <c r="AQ382" s="98" t="s">
        <v>377</v>
      </c>
      <c r="AR382" s="98" t="s">
        <v>1215</v>
      </c>
      <c r="AS382" s="98" t="s">
        <v>1357</v>
      </c>
      <c r="AT382" s="100" t="n">
        <v>0</v>
      </c>
      <c r="AU382" s="100" t="n">
        <v>-1307691.54</v>
      </c>
      <c r="AX382" s="98" t="s">
        <v>556</v>
      </c>
      <c r="AMH382" s="0"/>
      <c r="AMI382" s="0"/>
      <c r="AMJ382" s="0"/>
    </row>
    <row r="383" s="98" customFormat="true" ht="13.8" hidden="false" customHeight="false" outlineLevel="0" collapsed="false">
      <c r="A383" s="98" t="s">
        <v>142</v>
      </c>
      <c r="B383" s="98" t="s">
        <v>143</v>
      </c>
      <c r="C383" s="98" t="n">
        <v>51129598</v>
      </c>
      <c r="D383" s="98" t="s">
        <v>1355</v>
      </c>
      <c r="E383" s="98" t="s">
        <v>725</v>
      </c>
      <c r="F383" s="98" t="s">
        <v>297</v>
      </c>
      <c r="G383" s="98" t="s">
        <v>147</v>
      </c>
      <c r="H383" s="98" t="s">
        <v>220</v>
      </c>
      <c r="I383" s="99" t="n">
        <v>43589</v>
      </c>
      <c r="J383" s="99" t="n">
        <v>43616</v>
      </c>
      <c r="K383" s="100" t="n">
        <v>-76923.03</v>
      </c>
      <c r="L383" s="100" t="n">
        <f aca="false">K383-Q383+T383</f>
        <v>-65188.64</v>
      </c>
      <c r="M383" s="98" t="s">
        <v>149</v>
      </c>
      <c r="N383" s="100" t="n">
        <v>-76923.03</v>
      </c>
      <c r="O383" s="98" t="s">
        <v>149</v>
      </c>
      <c r="P383" s="100" t="n">
        <v>-76923.03</v>
      </c>
      <c r="Q383" s="100" t="n">
        <v>-11734.39</v>
      </c>
      <c r="R383" s="100" t="n">
        <v>-65188.64</v>
      </c>
      <c r="S383" s="100" t="n">
        <v>0</v>
      </c>
      <c r="T383" s="100" t="n">
        <v>0</v>
      </c>
      <c r="U383" s="98" t="s">
        <v>192</v>
      </c>
      <c r="V383" s="98" t="s">
        <v>151</v>
      </c>
      <c r="X383" s="98" t="s">
        <v>1212</v>
      </c>
      <c r="Y383" s="98" t="s">
        <v>1213</v>
      </c>
      <c r="Z383" s="98" t="s">
        <v>1356</v>
      </c>
      <c r="AB383" s="98" t="s">
        <v>1213</v>
      </c>
      <c r="AD383" s="98" t="s">
        <v>155</v>
      </c>
      <c r="AE383" s="98" t="s">
        <v>156</v>
      </c>
      <c r="AF383" s="98" t="s">
        <v>728</v>
      </c>
      <c r="AG383" s="98" t="s">
        <v>729</v>
      </c>
      <c r="AH383" s="98" t="s">
        <v>971</v>
      </c>
      <c r="AI383" s="98" t="s">
        <v>971</v>
      </c>
      <c r="AJ383" s="98" t="s">
        <v>972</v>
      </c>
      <c r="AK383" s="98" t="s">
        <v>159</v>
      </c>
      <c r="AL383" s="98" t="s">
        <v>224</v>
      </c>
      <c r="AM383" s="98" t="s">
        <v>225</v>
      </c>
      <c r="AP383" s="98" t="s">
        <v>553</v>
      </c>
      <c r="AQ383" s="98" t="s">
        <v>551</v>
      </c>
      <c r="AR383" s="98" t="s">
        <v>1215</v>
      </c>
      <c r="AS383" s="98" t="s">
        <v>1357</v>
      </c>
      <c r="AT383" s="100" t="n">
        <v>0</v>
      </c>
      <c r="AU383" s="100" t="n">
        <v>-76923.03</v>
      </c>
      <c r="AX383" s="98" t="s">
        <v>586</v>
      </c>
      <c r="AMH383" s="0"/>
      <c r="AMI383" s="0"/>
      <c r="AMJ383" s="0"/>
    </row>
    <row r="384" s="98" customFormat="true" ht="13.8" hidden="false" customHeight="false" outlineLevel="0" collapsed="false">
      <c r="A384" s="98" t="s">
        <v>142</v>
      </c>
      <c r="B384" s="98" t="s">
        <v>143</v>
      </c>
      <c r="C384" s="98" t="n">
        <v>51129598</v>
      </c>
      <c r="D384" s="98" t="s">
        <v>1355</v>
      </c>
      <c r="E384" s="98" t="s">
        <v>725</v>
      </c>
      <c r="F384" s="98" t="s">
        <v>297</v>
      </c>
      <c r="G384" s="98" t="s">
        <v>147</v>
      </c>
      <c r="H384" s="98" t="s">
        <v>220</v>
      </c>
      <c r="I384" s="99" t="n">
        <v>43589</v>
      </c>
      <c r="J384" s="99" t="n">
        <v>43616</v>
      </c>
      <c r="K384" s="100" t="n">
        <v>-76923.04</v>
      </c>
      <c r="L384" s="100" t="n">
        <f aca="false">K384-Q384+T384</f>
        <v>-65188.65</v>
      </c>
      <c r="M384" s="98" t="s">
        <v>149</v>
      </c>
      <c r="N384" s="100" t="n">
        <v>-76923.04</v>
      </c>
      <c r="O384" s="98" t="s">
        <v>149</v>
      </c>
      <c r="P384" s="100" t="n">
        <v>-76923.04</v>
      </c>
      <c r="Q384" s="100" t="n">
        <v>-11734.39</v>
      </c>
      <c r="R384" s="100" t="n">
        <v>-65188.65</v>
      </c>
      <c r="S384" s="100" t="n">
        <v>0</v>
      </c>
      <c r="T384" s="100" t="n">
        <v>0</v>
      </c>
      <c r="U384" s="98" t="s">
        <v>192</v>
      </c>
      <c r="V384" s="98" t="s">
        <v>151</v>
      </c>
      <c r="X384" s="98" t="s">
        <v>1212</v>
      </c>
      <c r="Y384" s="98" t="s">
        <v>1213</v>
      </c>
      <c r="Z384" s="98" t="s">
        <v>1356</v>
      </c>
      <c r="AB384" s="98" t="s">
        <v>1213</v>
      </c>
      <c r="AD384" s="98" t="s">
        <v>155</v>
      </c>
      <c r="AE384" s="98" t="s">
        <v>156</v>
      </c>
      <c r="AF384" s="98" t="s">
        <v>728</v>
      </c>
      <c r="AG384" s="98" t="s">
        <v>729</v>
      </c>
      <c r="AH384" s="98" t="s">
        <v>971</v>
      </c>
      <c r="AI384" s="98" t="s">
        <v>971</v>
      </c>
      <c r="AJ384" s="98" t="s">
        <v>972</v>
      </c>
      <c r="AK384" s="98" t="s">
        <v>159</v>
      </c>
      <c r="AL384" s="98" t="s">
        <v>224</v>
      </c>
      <c r="AM384" s="98" t="s">
        <v>225</v>
      </c>
      <c r="AP384" s="98" t="s">
        <v>553</v>
      </c>
      <c r="AQ384" s="98" t="s">
        <v>551</v>
      </c>
      <c r="AR384" s="98" t="s">
        <v>1215</v>
      </c>
      <c r="AS384" s="98" t="s">
        <v>1357</v>
      </c>
      <c r="AT384" s="100" t="n">
        <v>0</v>
      </c>
      <c r="AU384" s="100" t="n">
        <v>-76923.04</v>
      </c>
      <c r="AX384" s="98" t="s">
        <v>200</v>
      </c>
      <c r="AMH384" s="0"/>
      <c r="AMI384" s="0"/>
      <c r="AMJ384" s="0"/>
    </row>
    <row r="385" s="98" customFormat="true" ht="13.8" hidden="false" customHeight="false" outlineLevel="0" collapsed="false">
      <c r="A385" s="98" t="s">
        <v>142</v>
      </c>
      <c r="B385" s="98" t="s">
        <v>143</v>
      </c>
      <c r="C385" s="98" t="n">
        <v>51129598</v>
      </c>
      <c r="D385" s="98" t="s">
        <v>1355</v>
      </c>
      <c r="E385" s="98" t="s">
        <v>725</v>
      </c>
      <c r="F385" s="98" t="s">
        <v>297</v>
      </c>
      <c r="G385" s="98" t="s">
        <v>147</v>
      </c>
      <c r="H385" s="98" t="s">
        <v>220</v>
      </c>
      <c r="I385" s="99" t="n">
        <v>43589</v>
      </c>
      <c r="J385" s="99" t="n">
        <v>43616</v>
      </c>
      <c r="K385" s="100" t="n">
        <v>-76923.03</v>
      </c>
      <c r="L385" s="100" t="n">
        <f aca="false">K385-Q385+T385</f>
        <v>-65188.64</v>
      </c>
      <c r="M385" s="98" t="s">
        <v>149</v>
      </c>
      <c r="N385" s="100" t="n">
        <v>-76923.03</v>
      </c>
      <c r="O385" s="98" t="s">
        <v>149</v>
      </c>
      <c r="P385" s="100" t="n">
        <v>-76923.03</v>
      </c>
      <c r="Q385" s="100" t="n">
        <v>-11734.39</v>
      </c>
      <c r="R385" s="100" t="n">
        <v>-65188.64</v>
      </c>
      <c r="S385" s="100" t="n">
        <v>0</v>
      </c>
      <c r="T385" s="100" t="n">
        <v>0</v>
      </c>
      <c r="U385" s="98" t="s">
        <v>192</v>
      </c>
      <c r="V385" s="98" t="s">
        <v>151</v>
      </c>
      <c r="X385" s="98" t="s">
        <v>1212</v>
      </c>
      <c r="Y385" s="98" t="s">
        <v>1213</v>
      </c>
      <c r="Z385" s="98" t="s">
        <v>1356</v>
      </c>
      <c r="AB385" s="98" t="s">
        <v>1213</v>
      </c>
      <c r="AD385" s="98" t="s">
        <v>155</v>
      </c>
      <c r="AE385" s="98" t="s">
        <v>156</v>
      </c>
      <c r="AF385" s="98" t="s">
        <v>728</v>
      </c>
      <c r="AG385" s="98" t="s">
        <v>729</v>
      </c>
      <c r="AH385" s="98" t="s">
        <v>971</v>
      </c>
      <c r="AI385" s="98" t="s">
        <v>971</v>
      </c>
      <c r="AJ385" s="98" t="s">
        <v>972</v>
      </c>
      <c r="AK385" s="98" t="s">
        <v>159</v>
      </c>
      <c r="AL385" s="98" t="s">
        <v>224</v>
      </c>
      <c r="AM385" s="98" t="s">
        <v>225</v>
      </c>
      <c r="AP385" s="98" t="s">
        <v>553</v>
      </c>
      <c r="AQ385" s="98" t="s">
        <v>551</v>
      </c>
      <c r="AR385" s="98" t="s">
        <v>1215</v>
      </c>
      <c r="AS385" s="98" t="s">
        <v>1357</v>
      </c>
      <c r="AT385" s="100" t="n">
        <v>0</v>
      </c>
      <c r="AU385" s="100" t="n">
        <v>-76923.03</v>
      </c>
      <c r="AX385" s="98" t="s">
        <v>191</v>
      </c>
      <c r="AMH385" s="0"/>
      <c r="AMI385" s="0"/>
      <c r="AMJ385" s="0"/>
    </row>
    <row r="386" s="98" customFormat="true" ht="13.8" hidden="false" customHeight="false" outlineLevel="0" collapsed="false">
      <c r="A386" s="98" t="s">
        <v>142</v>
      </c>
      <c r="B386" s="98" t="s">
        <v>143</v>
      </c>
      <c r="C386" s="98" t="n">
        <v>51152609</v>
      </c>
      <c r="D386" s="98" t="s">
        <v>1358</v>
      </c>
      <c r="E386" s="98" t="s">
        <v>725</v>
      </c>
      <c r="F386" s="98" t="s">
        <v>297</v>
      </c>
      <c r="G386" s="98" t="s">
        <v>147</v>
      </c>
      <c r="H386" s="98" t="s">
        <v>148</v>
      </c>
      <c r="I386" s="99" t="n">
        <v>43600</v>
      </c>
      <c r="J386" s="99" t="n">
        <v>43627</v>
      </c>
      <c r="K386" s="100" t="n">
        <v>-104910.4</v>
      </c>
      <c r="L386" s="100" t="n">
        <f aca="false">K386-Q386+T386</f>
        <v>-88907.13</v>
      </c>
      <c r="M386" s="98" t="s">
        <v>149</v>
      </c>
      <c r="N386" s="100" t="n">
        <v>-104910.4</v>
      </c>
      <c r="O386" s="98" t="s">
        <v>149</v>
      </c>
      <c r="P386" s="100" t="n">
        <v>-104910.4</v>
      </c>
      <c r="Q386" s="100" t="n">
        <v>-16003.27</v>
      </c>
      <c r="R386" s="100" t="n">
        <v>-88907.13</v>
      </c>
      <c r="S386" s="100" t="n">
        <v>0</v>
      </c>
      <c r="T386" s="100" t="n">
        <v>0</v>
      </c>
      <c r="U386" s="98" t="s">
        <v>192</v>
      </c>
      <c r="V386" s="98" t="s">
        <v>151</v>
      </c>
      <c r="X386" s="98" t="s">
        <v>1212</v>
      </c>
      <c r="Y386" s="98" t="s">
        <v>1213</v>
      </c>
      <c r="Z386" s="98" t="s">
        <v>1359</v>
      </c>
      <c r="AB386" s="98" t="s">
        <v>1213</v>
      </c>
      <c r="AD386" s="98" t="s">
        <v>155</v>
      </c>
      <c r="AE386" s="98" t="s">
        <v>156</v>
      </c>
      <c r="AF386" s="98" t="s">
        <v>728</v>
      </c>
      <c r="AG386" s="98" t="s">
        <v>729</v>
      </c>
      <c r="AH386" s="98" t="s">
        <v>971</v>
      </c>
      <c r="AI386" s="98" t="s">
        <v>971</v>
      </c>
      <c r="AJ386" s="98" t="s">
        <v>972</v>
      </c>
      <c r="AK386" s="98" t="s">
        <v>159</v>
      </c>
      <c r="AL386" s="98" t="s">
        <v>224</v>
      </c>
      <c r="AM386" s="98" t="s">
        <v>225</v>
      </c>
      <c r="AP386" s="98" t="s">
        <v>553</v>
      </c>
      <c r="AQ386" s="98" t="s">
        <v>551</v>
      </c>
      <c r="AR386" s="98" t="s">
        <v>382</v>
      </c>
      <c r="AS386" s="98" t="s">
        <v>1360</v>
      </c>
      <c r="AT386" s="100" t="n">
        <v>0</v>
      </c>
      <c r="AU386" s="100" t="n">
        <v>-104910.4</v>
      </c>
      <c r="AX386" s="98" t="s">
        <v>586</v>
      </c>
      <c r="AMH386" s="0"/>
      <c r="AMI386" s="0"/>
      <c r="AMJ386" s="0"/>
    </row>
    <row r="387" s="98" customFormat="true" ht="13.8" hidden="false" customHeight="false" outlineLevel="0" collapsed="false">
      <c r="A387" s="98" t="s">
        <v>142</v>
      </c>
      <c r="B387" s="98" t="s">
        <v>143</v>
      </c>
      <c r="C387" s="98" t="n">
        <v>51152609</v>
      </c>
      <c r="D387" s="98" t="s">
        <v>1358</v>
      </c>
      <c r="E387" s="98" t="s">
        <v>725</v>
      </c>
      <c r="F387" s="98" t="s">
        <v>297</v>
      </c>
      <c r="G387" s="98" t="s">
        <v>147</v>
      </c>
      <c r="H387" s="98" t="s">
        <v>148</v>
      </c>
      <c r="I387" s="99" t="n">
        <v>43600</v>
      </c>
      <c r="J387" s="99" t="n">
        <v>43627</v>
      </c>
      <c r="K387" s="100" t="n">
        <v>-1783476.8</v>
      </c>
      <c r="L387" s="100" t="n">
        <f aca="false">K387-Q387+T387</f>
        <v>-1511421.24</v>
      </c>
      <c r="M387" s="98" t="s">
        <v>149</v>
      </c>
      <c r="N387" s="100" t="n">
        <v>-1783476.8</v>
      </c>
      <c r="O387" s="98" t="s">
        <v>149</v>
      </c>
      <c r="P387" s="100" t="n">
        <v>-1783476.8</v>
      </c>
      <c r="Q387" s="100" t="n">
        <v>-272055.56</v>
      </c>
      <c r="R387" s="100" t="n">
        <v>-1511421.24</v>
      </c>
      <c r="S387" s="100" t="n">
        <v>0</v>
      </c>
      <c r="T387" s="100" t="n">
        <v>0</v>
      </c>
      <c r="U387" s="98" t="s">
        <v>192</v>
      </c>
      <c r="V387" s="98" t="s">
        <v>151</v>
      </c>
      <c r="X387" s="98" t="s">
        <v>1212</v>
      </c>
      <c r="Y387" s="98" t="s">
        <v>1213</v>
      </c>
      <c r="Z387" s="98" t="s">
        <v>1359</v>
      </c>
      <c r="AB387" s="98" t="s">
        <v>1213</v>
      </c>
      <c r="AD387" s="98" t="s">
        <v>155</v>
      </c>
      <c r="AE387" s="98" t="s">
        <v>156</v>
      </c>
      <c r="AF387" s="98" t="s">
        <v>728</v>
      </c>
      <c r="AG387" s="98" t="s">
        <v>729</v>
      </c>
      <c r="AH387" s="98" t="s">
        <v>971</v>
      </c>
      <c r="AI387" s="98" t="s">
        <v>971</v>
      </c>
      <c r="AJ387" s="98" t="s">
        <v>972</v>
      </c>
      <c r="AK387" s="98" t="s">
        <v>159</v>
      </c>
      <c r="AL387" s="98" t="s">
        <v>224</v>
      </c>
      <c r="AM387" s="98" t="s">
        <v>225</v>
      </c>
      <c r="AP387" s="98" t="s">
        <v>405</v>
      </c>
      <c r="AQ387" s="98" t="s">
        <v>403</v>
      </c>
      <c r="AR387" s="98" t="s">
        <v>382</v>
      </c>
      <c r="AS387" s="98" t="s">
        <v>1360</v>
      </c>
      <c r="AT387" s="100" t="n">
        <v>0</v>
      </c>
      <c r="AU387" s="100" t="n">
        <v>-1783476.8</v>
      </c>
      <c r="AX387" s="98" t="s">
        <v>556</v>
      </c>
      <c r="AMH387" s="0"/>
      <c r="AMI387" s="0"/>
      <c r="AMJ387" s="0"/>
    </row>
    <row r="388" s="98" customFormat="true" ht="13.8" hidden="false" customHeight="false" outlineLevel="0" collapsed="false">
      <c r="A388" s="98" t="s">
        <v>142</v>
      </c>
      <c r="B388" s="98" t="s">
        <v>143</v>
      </c>
      <c r="C388" s="98" t="n">
        <v>51152609</v>
      </c>
      <c r="D388" s="98" t="s">
        <v>1358</v>
      </c>
      <c r="E388" s="98" t="s">
        <v>725</v>
      </c>
      <c r="F388" s="98" t="s">
        <v>297</v>
      </c>
      <c r="G388" s="98" t="s">
        <v>147</v>
      </c>
      <c r="H388" s="98" t="s">
        <v>148</v>
      </c>
      <c r="I388" s="99" t="n">
        <v>43600</v>
      </c>
      <c r="J388" s="99" t="n">
        <v>43627</v>
      </c>
      <c r="K388" s="100" t="n">
        <v>-104910.4</v>
      </c>
      <c r="L388" s="100" t="n">
        <f aca="false">K388-Q388+T388</f>
        <v>-88907.13</v>
      </c>
      <c r="M388" s="98" t="s">
        <v>149</v>
      </c>
      <c r="N388" s="100" t="n">
        <v>-104910.4</v>
      </c>
      <c r="O388" s="98" t="s">
        <v>149</v>
      </c>
      <c r="P388" s="100" t="n">
        <v>-104910.4</v>
      </c>
      <c r="Q388" s="100" t="n">
        <v>-16003.27</v>
      </c>
      <c r="R388" s="100" t="n">
        <v>-88907.13</v>
      </c>
      <c r="S388" s="100" t="n">
        <v>0</v>
      </c>
      <c r="T388" s="100" t="n">
        <v>0</v>
      </c>
      <c r="U388" s="98" t="s">
        <v>192</v>
      </c>
      <c r="V388" s="98" t="s">
        <v>151</v>
      </c>
      <c r="X388" s="98" t="s">
        <v>1212</v>
      </c>
      <c r="Y388" s="98" t="s">
        <v>1213</v>
      </c>
      <c r="Z388" s="98" t="s">
        <v>1359</v>
      </c>
      <c r="AB388" s="98" t="s">
        <v>1213</v>
      </c>
      <c r="AD388" s="98" t="s">
        <v>155</v>
      </c>
      <c r="AE388" s="98" t="s">
        <v>156</v>
      </c>
      <c r="AF388" s="98" t="s">
        <v>728</v>
      </c>
      <c r="AG388" s="98" t="s">
        <v>729</v>
      </c>
      <c r="AH388" s="98" t="s">
        <v>971</v>
      </c>
      <c r="AI388" s="98" t="s">
        <v>971</v>
      </c>
      <c r="AJ388" s="98" t="s">
        <v>972</v>
      </c>
      <c r="AK388" s="98" t="s">
        <v>159</v>
      </c>
      <c r="AL388" s="98" t="s">
        <v>224</v>
      </c>
      <c r="AM388" s="98" t="s">
        <v>225</v>
      </c>
      <c r="AP388" s="98" t="s">
        <v>553</v>
      </c>
      <c r="AQ388" s="98" t="s">
        <v>551</v>
      </c>
      <c r="AR388" s="98" t="s">
        <v>382</v>
      </c>
      <c r="AS388" s="98" t="s">
        <v>1360</v>
      </c>
      <c r="AT388" s="100" t="n">
        <v>0</v>
      </c>
      <c r="AU388" s="100" t="n">
        <v>-104910.4</v>
      </c>
      <c r="AX388" s="98" t="s">
        <v>191</v>
      </c>
      <c r="AMH388" s="0"/>
      <c r="AMI388" s="0"/>
      <c r="AMJ388" s="0"/>
    </row>
    <row r="389" s="98" customFormat="true" ht="13.8" hidden="false" customHeight="false" outlineLevel="0" collapsed="false">
      <c r="A389" s="98" t="s">
        <v>142</v>
      </c>
      <c r="B389" s="98" t="s">
        <v>143</v>
      </c>
      <c r="C389" s="98" t="n">
        <v>51152609</v>
      </c>
      <c r="D389" s="98" t="s">
        <v>1358</v>
      </c>
      <c r="E389" s="98" t="s">
        <v>725</v>
      </c>
      <c r="F389" s="98" t="s">
        <v>297</v>
      </c>
      <c r="G389" s="98" t="s">
        <v>147</v>
      </c>
      <c r="H389" s="98" t="s">
        <v>148</v>
      </c>
      <c r="I389" s="99" t="n">
        <v>43600</v>
      </c>
      <c r="J389" s="99" t="n">
        <v>43627</v>
      </c>
      <c r="K389" s="100" t="n">
        <v>-104910.4</v>
      </c>
      <c r="L389" s="100" t="n">
        <f aca="false">K389-Q389+T389</f>
        <v>-88907.13</v>
      </c>
      <c r="M389" s="98" t="s">
        <v>149</v>
      </c>
      <c r="N389" s="100" t="n">
        <v>-104910.4</v>
      </c>
      <c r="O389" s="98" t="s">
        <v>149</v>
      </c>
      <c r="P389" s="100" t="n">
        <v>-104910.4</v>
      </c>
      <c r="Q389" s="100" t="n">
        <v>-16003.27</v>
      </c>
      <c r="R389" s="100" t="n">
        <v>-88907.13</v>
      </c>
      <c r="S389" s="100" t="n">
        <v>0</v>
      </c>
      <c r="T389" s="100" t="n">
        <v>0</v>
      </c>
      <c r="U389" s="98" t="s">
        <v>192</v>
      </c>
      <c r="V389" s="98" t="s">
        <v>151</v>
      </c>
      <c r="X389" s="98" t="s">
        <v>1212</v>
      </c>
      <c r="Y389" s="98" t="s">
        <v>1213</v>
      </c>
      <c r="Z389" s="98" t="s">
        <v>1359</v>
      </c>
      <c r="AB389" s="98" t="s">
        <v>1213</v>
      </c>
      <c r="AD389" s="98" t="s">
        <v>155</v>
      </c>
      <c r="AE389" s="98" t="s">
        <v>156</v>
      </c>
      <c r="AF389" s="98" t="s">
        <v>728</v>
      </c>
      <c r="AG389" s="98" t="s">
        <v>729</v>
      </c>
      <c r="AH389" s="98" t="s">
        <v>971</v>
      </c>
      <c r="AI389" s="98" t="s">
        <v>971</v>
      </c>
      <c r="AJ389" s="98" t="s">
        <v>972</v>
      </c>
      <c r="AK389" s="98" t="s">
        <v>159</v>
      </c>
      <c r="AL389" s="98" t="s">
        <v>224</v>
      </c>
      <c r="AM389" s="98" t="s">
        <v>225</v>
      </c>
      <c r="AP389" s="98" t="s">
        <v>553</v>
      </c>
      <c r="AQ389" s="98" t="s">
        <v>551</v>
      </c>
      <c r="AR389" s="98" t="s">
        <v>382</v>
      </c>
      <c r="AS389" s="98" t="s">
        <v>1360</v>
      </c>
      <c r="AT389" s="100" t="n">
        <v>0</v>
      </c>
      <c r="AU389" s="100" t="n">
        <v>-104910.4</v>
      </c>
      <c r="AX389" s="98" t="s">
        <v>200</v>
      </c>
      <c r="AMH389" s="0"/>
      <c r="AMI389" s="0"/>
      <c r="AMJ389" s="0"/>
    </row>
    <row r="390" s="98" customFormat="true" ht="13.8" hidden="false" customHeight="false" outlineLevel="0" collapsed="false">
      <c r="A390" s="98" t="s">
        <v>142</v>
      </c>
      <c r="B390" s="98" t="s">
        <v>143</v>
      </c>
      <c r="C390" s="98" t="n">
        <v>51152631</v>
      </c>
      <c r="D390" s="98" t="s">
        <v>1361</v>
      </c>
      <c r="E390" s="98" t="s">
        <v>725</v>
      </c>
      <c r="F390" s="98" t="s">
        <v>297</v>
      </c>
      <c r="G390" s="98" t="s">
        <v>147</v>
      </c>
      <c r="H390" s="98" t="s">
        <v>148</v>
      </c>
      <c r="I390" s="99" t="n">
        <v>43600</v>
      </c>
      <c r="J390" s="99" t="n">
        <v>43627</v>
      </c>
      <c r="K390" s="100" t="n">
        <v>-48951.55</v>
      </c>
      <c r="L390" s="100" t="n">
        <f aca="false">K390-Q390+T390</f>
        <v>-41484.36</v>
      </c>
      <c r="M390" s="98" t="s">
        <v>149</v>
      </c>
      <c r="N390" s="100" t="n">
        <v>-48951.55</v>
      </c>
      <c r="O390" s="98" t="s">
        <v>149</v>
      </c>
      <c r="P390" s="100" t="n">
        <v>-48951.55</v>
      </c>
      <c r="Q390" s="100" t="n">
        <v>-7467.19</v>
      </c>
      <c r="R390" s="100" t="n">
        <v>-41484.36</v>
      </c>
      <c r="S390" s="100" t="n">
        <v>0</v>
      </c>
      <c r="T390" s="100" t="n">
        <v>0</v>
      </c>
      <c r="U390" s="98" t="s">
        <v>192</v>
      </c>
      <c r="V390" s="98" t="s">
        <v>151</v>
      </c>
      <c r="X390" s="98" t="s">
        <v>1212</v>
      </c>
      <c r="Y390" s="98" t="s">
        <v>1213</v>
      </c>
      <c r="Z390" s="98" t="s">
        <v>1362</v>
      </c>
      <c r="AB390" s="98" t="s">
        <v>1213</v>
      </c>
      <c r="AD390" s="98" t="s">
        <v>155</v>
      </c>
      <c r="AE390" s="98" t="s">
        <v>156</v>
      </c>
      <c r="AF390" s="98" t="s">
        <v>728</v>
      </c>
      <c r="AG390" s="98" t="s">
        <v>729</v>
      </c>
      <c r="AH390" s="98" t="s">
        <v>971</v>
      </c>
      <c r="AI390" s="98" t="s">
        <v>971</v>
      </c>
      <c r="AJ390" s="98" t="s">
        <v>972</v>
      </c>
      <c r="AK390" s="98" t="s">
        <v>159</v>
      </c>
      <c r="AL390" s="98" t="s">
        <v>224</v>
      </c>
      <c r="AM390" s="98" t="s">
        <v>225</v>
      </c>
      <c r="AP390" s="98" t="s">
        <v>553</v>
      </c>
      <c r="AQ390" s="98" t="s">
        <v>551</v>
      </c>
      <c r="AR390" s="98" t="s">
        <v>382</v>
      </c>
      <c r="AS390" s="98" t="s">
        <v>1363</v>
      </c>
      <c r="AT390" s="100" t="n">
        <v>0</v>
      </c>
      <c r="AU390" s="100" t="n">
        <v>-48951.55</v>
      </c>
      <c r="AX390" s="98" t="s">
        <v>556</v>
      </c>
      <c r="AMH390" s="0"/>
      <c r="AMI390" s="0"/>
      <c r="AMJ390" s="0"/>
    </row>
    <row r="391" s="98" customFormat="true" ht="13.8" hidden="false" customHeight="false" outlineLevel="0" collapsed="false">
      <c r="A391" s="98" t="s">
        <v>142</v>
      </c>
      <c r="B391" s="98" t="s">
        <v>143</v>
      </c>
      <c r="C391" s="98" t="n">
        <v>51152631</v>
      </c>
      <c r="D391" s="98" t="s">
        <v>1361</v>
      </c>
      <c r="E391" s="98" t="s">
        <v>725</v>
      </c>
      <c r="F391" s="98" t="s">
        <v>297</v>
      </c>
      <c r="G391" s="98" t="s">
        <v>147</v>
      </c>
      <c r="H391" s="98" t="s">
        <v>148</v>
      </c>
      <c r="I391" s="99" t="n">
        <v>43600</v>
      </c>
      <c r="J391" s="99" t="n">
        <v>43627</v>
      </c>
      <c r="K391" s="100" t="n">
        <v>-48951.55</v>
      </c>
      <c r="L391" s="100" t="n">
        <f aca="false">K391-Q391+T391</f>
        <v>-41484.36</v>
      </c>
      <c r="M391" s="98" t="s">
        <v>149</v>
      </c>
      <c r="N391" s="100" t="n">
        <v>-48951.55</v>
      </c>
      <c r="O391" s="98" t="s">
        <v>149</v>
      </c>
      <c r="P391" s="100" t="n">
        <v>-48951.55</v>
      </c>
      <c r="Q391" s="100" t="n">
        <v>-7467.19</v>
      </c>
      <c r="R391" s="100" t="n">
        <v>-41484.36</v>
      </c>
      <c r="S391" s="100" t="n">
        <v>0</v>
      </c>
      <c r="T391" s="100" t="n">
        <v>0</v>
      </c>
      <c r="U391" s="98" t="s">
        <v>192</v>
      </c>
      <c r="V391" s="98" t="s">
        <v>151</v>
      </c>
      <c r="X391" s="98" t="s">
        <v>1212</v>
      </c>
      <c r="Y391" s="98" t="s">
        <v>1213</v>
      </c>
      <c r="Z391" s="98" t="s">
        <v>1362</v>
      </c>
      <c r="AB391" s="98" t="s">
        <v>1213</v>
      </c>
      <c r="AD391" s="98" t="s">
        <v>155</v>
      </c>
      <c r="AE391" s="98" t="s">
        <v>156</v>
      </c>
      <c r="AF391" s="98" t="s">
        <v>728</v>
      </c>
      <c r="AG391" s="98" t="s">
        <v>729</v>
      </c>
      <c r="AH391" s="98" t="s">
        <v>971</v>
      </c>
      <c r="AI391" s="98" t="s">
        <v>971</v>
      </c>
      <c r="AJ391" s="98" t="s">
        <v>972</v>
      </c>
      <c r="AK391" s="98" t="s">
        <v>159</v>
      </c>
      <c r="AL391" s="98" t="s">
        <v>224</v>
      </c>
      <c r="AM391" s="98" t="s">
        <v>225</v>
      </c>
      <c r="AP391" s="98" t="s">
        <v>553</v>
      </c>
      <c r="AQ391" s="98" t="s">
        <v>551</v>
      </c>
      <c r="AR391" s="98" t="s">
        <v>382</v>
      </c>
      <c r="AS391" s="98" t="s">
        <v>1363</v>
      </c>
      <c r="AT391" s="100" t="n">
        <v>0</v>
      </c>
      <c r="AU391" s="100" t="n">
        <v>-48951.55</v>
      </c>
      <c r="AX391" s="98" t="s">
        <v>586</v>
      </c>
      <c r="AMH391" s="0"/>
      <c r="AMI391" s="0"/>
      <c r="AMJ391" s="0"/>
    </row>
    <row r="392" s="98" customFormat="true" ht="13.8" hidden="false" customHeight="false" outlineLevel="0" collapsed="false">
      <c r="A392" s="98" t="s">
        <v>142</v>
      </c>
      <c r="B392" s="98" t="s">
        <v>143</v>
      </c>
      <c r="C392" s="98" t="n">
        <v>51152631</v>
      </c>
      <c r="D392" s="98" t="s">
        <v>1361</v>
      </c>
      <c r="E392" s="98" t="s">
        <v>725</v>
      </c>
      <c r="F392" s="98" t="s">
        <v>297</v>
      </c>
      <c r="G392" s="98" t="s">
        <v>147</v>
      </c>
      <c r="H392" s="98" t="s">
        <v>148</v>
      </c>
      <c r="I392" s="99" t="n">
        <v>43600</v>
      </c>
      <c r="J392" s="99" t="n">
        <v>43627</v>
      </c>
      <c r="K392" s="100" t="n">
        <v>-832176.33</v>
      </c>
      <c r="L392" s="100" t="n">
        <f aca="false">K392-Q392+T392</f>
        <v>-705234.19</v>
      </c>
      <c r="M392" s="98" t="s">
        <v>149</v>
      </c>
      <c r="N392" s="100" t="n">
        <v>-832176.33</v>
      </c>
      <c r="O392" s="98" t="s">
        <v>149</v>
      </c>
      <c r="P392" s="100" t="n">
        <v>-832176.33</v>
      </c>
      <c r="Q392" s="100" t="n">
        <v>-126942.14</v>
      </c>
      <c r="R392" s="100" t="n">
        <v>-705234.19</v>
      </c>
      <c r="S392" s="100" t="n">
        <v>0</v>
      </c>
      <c r="T392" s="100" t="n">
        <v>0</v>
      </c>
      <c r="U392" s="98" t="s">
        <v>192</v>
      </c>
      <c r="V392" s="98" t="s">
        <v>151</v>
      </c>
      <c r="X392" s="98" t="s">
        <v>1212</v>
      </c>
      <c r="Y392" s="98" t="s">
        <v>1213</v>
      </c>
      <c r="Z392" s="98" t="s">
        <v>1362</v>
      </c>
      <c r="AB392" s="98" t="s">
        <v>1213</v>
      </c>
      <c r="AD392" s="98" t="s">
        <v>155</v>
      </c>
      <c r="AE392" s="98" t="s">
        <v>156</v>
      </c>
      <c r="AF392" s="98" t="s">
        <v>728</v>
      </c>
      <c r="AG392" s="98" t="s">
        <v>729</v>
      </c>
      <c r="AH392" s="98" t="s">
        <v>971</v>
      </c>
      <c r="AI392" s="98" t="s">
        <v>971</v>
      </c>
      <c r="AJ392" s="98" t="s">
        <v>972</v>
      </c>
      <c r="AK392" s="98" t="s">
        <v>159</v>
      </c>
      <c r="AL392" s="98" t="s">
        <v>224</v>
      </c>
      <c r="AM392" s="98" t="s">
        <v>225</v>
      </c>
      <c r="AP392" s="98" t="s">
        <v>405</v>
      </c>
      <c r="AQ392" s="98" t="s">
        <v>403</v>
      </c>
      <c r="AR392" s="98" t="s">
        <v>382</v>
      </c>
      <c r="AS392" s="98" t="s">
        <v>1363</v>
      </c>
      <c r="AT392" s="100" t="n">
        <v>0</v>
      </c>
      <c r="AU392" s="100" t="n">
        <v>-832176.33</v>
      </c>
      <c r="AX392" s="98" t="s">
        <v>535</v>
      </c>
      <c r="AMH392" s="0"/>
      <c r="AMI392" s="0"/>
      <c r="AMJ392" s="0"/>
    </row>
    <row r="393" s="98" customFormat="true" ht="13.8" hidden="false" customHeight="false" outlineLevel="0" collapsed="false">
      <c r="A393" s="98" t="s">
        <v>142</v>
      </c>
      <c r="B393" s="98" t="s">
        <v>143</v>
      </c>
      <c r="C393" s="98" t="n">
        <v>51152631</v>
      </c>
      <c r="D393" s="98" t="s">
        <v>1361</v>
      </c>
      <c r="E393" s="98" t="s">
        <v>725</v>
      </c>
      <c r="F393" s="98" t="s">
        <v>297</v>
      </c>
      <c r="G393" s="98" t="s">
        <v>147</v>
      </c>
      <c r="H393" s="98" t="s">
        <v>148</v>
      </c>
      <c r="I393" s="99" t="n">
        <v>43600</v>
      </c>
      <c r="J393" s="99" t="n">
        <v>43627</v>
      </c>
      <c r="K393" s="100" t="n">
        <v>-48951.55</v>
      </c>
      <c r="L393" s="100" t="n">
        <f aca="false">K393-Q393+T393</f>
        <v>-41484.36</v>
      </c>
      <c r="M393" s="98" t="s">
        <v>149</v>
      </c>
      <c r="N393" s="100" t="n">
        <v>-48951.55</v>
      </c>
      <c r="O393" s="98" t="s">
        <v>149</v>
      </c>
      <c r="P393" s="100" t="n">
        <v>-48951.55</v>
      </c>
      <c r="Q393" s="100" t="n">
        <v>-7467.19</v>
      </c>
      <c r="R393" s="100" t="n">
        <v>-41484.36</v>
      </c>
      <c r="S393" s="100" t="n">
        <v>0</v>
      </c>
      <c r="T393" s="100" t="n">
        <v>0</v>
      </c>
      <c r="U393" s="98" t="s">
        <v>192</v>
      </c>
      <c r="V393" s="98" t="s">
        <v>151</v>
      </c>
      <c r="X393" s="98" t="s">
        <v>1212</v>
      </c>
      <c r="Y393" s="98" t="s">
        <v>1213</v>
      </c>
      <c r="Z393" s="98" t="s">
        <v>1362</v>
      </c>
      <c r="AB393" s="98" t="s">
        <v>1213</v>
      </c>
      <c r="AD393" s="98" t="s">
        <v>155</v>
      </c>
      <c r="AE393" s="98" t="s">
        <v>156</v>
      </c>
      <c r="AF393" s="98" t="s">
        <v>728</v>
      </c>
      <c r="AG393" s="98" t="s">
        <v>729</v>
      </c>
      <c r="AH393" s="98" t="s">
        <v>971</v>
      </c>
      <c r="AI393" s="98" t="s">
        <v>971</v>
      </c>
      <c r="AJ393" s="98" t="s">
        <v>972</v>
      </c>
      <c r="AK393" s="98" t="s">
        <v>159</v>
      </c>
      <c r="AL393" s="98" t="s">
        <v>224</v>
      </c>
      <c r="AM393" s="98" t="s">
        <v>225</v>
      </c>
      <c r="AP393" s="98" t="s">
        <v>553</v>
      </c>
      <c r="AQ393" s="98" t="s">
        <v>551</v>
      </c>
      <c r="AR393" s="98" t="s">
        <v>382</v>
      </c>
      <c r="AS393" s="98" t="s">
        <v>1363</v>
      </c>
      <c r="AT393" s="100" t="n">
        <v>0</v>
      </c>
      <c r="AU393" s="100" t="n">
        <v>-48951.55</v>
      </c>
      <c r="AX393" s="98" t="s">
        <v>191</v>
      </c>
      <c r="AMH393" s="0"/>
      <c r="AMI393" s="0"/>
      <c r="AMJ393" s="0"/>
    </row>
    <row r="394" s="98" customFormat="true" ht="13.8" hidden="false" customHeight="false" outlineLevel="0" collapsed="false">
      <c r="A394" s="98" t="s">
        <v>142</v>
      </c>
      <c r="B394" s="98" t="s">
        <v>143</v>
      </c>
      <c r="C394" s="98" t="n">
        <v>51166443</v>
      </c>
      <c r="D394" s="98" t="s">
        <v>1364</v>
      </c>
      <c r="E394" s="98" t="s">
        <v>725</v>
      </c>
      <c r="F394" s="98" t="s">
        <v>266</v>
      </c>
      <c r="G394" s="98" t="s">
        <v>147</v>
      </c>
      <c r="H394" s="98" t="s">
        <v>148</v>
      </c>
      <c r="I394" s="99" t="n">
        <v>43607</v>
      </c>
      <c r="J394" s="99" t="n">
        <v>43634</v>
      </c>
      <c r="K394" s="100" t="n">
        <v>-672600</v>
      </c>
      <c r="L394" s="100" t="n">
        <f aca="false">K394-Q394+T394</f>
        <v>-570000</v>
      </c>
      <c r="M394" s="98" t="s">
        <v>149</v>
      </c>
      <c r="N394" s="100" t="n">
        <v>-672600</v>
      </c>
      <c r="O394" s="98" t="s">
        <v>149</v>
      </c>
      <c r="P394" s="100" t="n">
        <v>-672600</v>
      </c>
      <c r="Q394" s="100" t="n">
        <v>-102600</v>
      </c>
      <c r="R394" s="100" t="n">
        <v>-570000</v>
      </c>
      <c r="S394" s="100" t="n">
        <v>0</v>
      </c>
      <c r="T394" s="100" t="n">
        <v>0</v>
      </c>
      <c r="U394" s="98" t="s">
        <v>192</v>
      </c>
      <c r="V394" s="98" t="s">
        <v>151</v>
      </c>
      <c r="X394" s="98" t="s">
        <v>1365</v>
      </c>
      <c r="Y394" s="98" t="s">
        <v>1366</v>
      </c>
      <c r="Z394" s="98" t="s">
        <v>1367</v>
      </c>
      <c r="AB394" s="98" t="s">
        <v>1366</v>
      </c>
      <c r="AD394" s="98" t="s">
        <v>155</v>
      </c>
      <c r="AE394" s="98" t="s">
        <v>156</v>
      </c>
      <c r="AF394" s="98" t="s">
        <v>737</v>
      </c>
      <c r="AG394" s="98" t="s">
        <v>738</v>
      </c>
      <c r="AH394" s="98" t="s">
        <v>739</v>
      </c>
      <c r="AI394" s="98" t="s">
        <v>739</v>
      </c>
      <c r="AJ394" s="98" t="s">
        <v>740</v>
      </c>
      <c r="AK394" s="98" t="s">
        <v>159</v>
      </c>
      <c r="AL394" s="98" t="s">
        <v>224</v>
      </c>
      <c r="AM394" s="98" t="s">
        <v>225</v>
      </c>
      <c r="AP394" s="98" t="s">
        <v>439</v>
      </c>
      <c r="AQ394" s="98" t="s">
        <v>437</v>
      </c>
      <c r="AR394" s="98" t="s">
        <v>1368</v>
      </c>
      <c r="AS394" s="98" t="s">
        <v>1369</v>
      </c>
      <c r="AT394" s="100" t="n">
        <v>0</v>
      </c>
      <c r="AU394" s="100" t="n">
        <v>-672600</v>
      </c>
      <c r="AX394" s="98" t="s">
        <v>165</v>
      </c>
      <c r="AMH394" s="0"/>
      <c r="AMI394" s="0"/>
      <c r="AMJ394" s="0"/>
    </row>
    <row r="395" s="98" customFormat="true" ht="13.8" hidden="false" customHeight="false" outlineLevel="0" collapsed="false">
      <c r="A395" s="98" t="s">
        <v>142</v>
      </c>
      <c r="B395" s="98" t="s">
        <v>143</v>
      </c>
      <c r="C395" s="98" t="n">
        <v>51379054</v>
      </c>
      <c r="D395" s="98" t="s">
        <v>1370</v>
      </c>
      <c r="E395" s="98" t="s">
        <v>725</v>
      </c>
      <c r="F395" s="98" t="s">
        <v>212</v>
      </c>
      <c r="G395" s="98" t="s">
        <v>147</v>
      </c>
      <c r="H395" s="98" t="s">
        <v>175</v>
      </c>
      <c r="I395" s="99" t="n">
        <v>43705</v>
      </c>
      <c r="J395" s="99" t="n">
        <v>43732</v>
      </c>
      <c r="K395" s="100" t="n">
        <v>-2759778.1</v>
      </c>
      <c r="L395" s="100" t="n">
        <f aca="false">K395-Q395+T395</f>
        <v>-2338795</v>
      </c>
      <c r="M395" s="98" t="s">
        <v>149</v>
      </c>
      <c r="N395" s="100" t="n">
        <v>-2759778.1</v>
      </c>
      <c r="O395" s="98" t="s">
        <v>149</v>
      </c>
      <c r="P395" s="100" t="n">
        <v>-2759778.1</v>
      </c>
      <c r="Q395" s="100" t="n">
        <v>-420983.1</v>
      </c>
      <c r="R395" s="100" t="n">
        <v>-2338795</v>
      </c>
      <c r="S395" s="100" t="n">
        <v>0</v>
      </c>
      <c r="T395" s="100" t="n">
        <v>0</v>
      </c>
      <c r="U395" s="98" t="s">
        <v>150</v>
      </c>
      <c r="V395" s="98" t="s">
        <v>151</v>
      </c>
      <c r="X395" s="98" t="s">
        <v>1371</v>
      </c>
      <c r="Y395" s="98" t="s">
        <v>1372</v>
      </c>
      <c r="Z395" s="98" t="s">
        <v>1373</v>
      </c>
      <c r="AB395" s="98" t="s">
        <v>1372</v>
      </c>
      <c r="AD395" s="98" t="s">
        <v>155</v>
      </c>
      <c r="AE395" s="98" t="s">
        <v>156</v>
      </c>
      <c r="AF395" s="98" t="s">
        <v>737</v>
      </c>
      <c r="AG395" s="98" t="s">
        <v>738</v>
      </c>
      <c r="AH395" s="98" t="s">
        <v>793</v>
      </c>
      <c r="AI395" s="98" t="s">
        <v>793</v>
      </c>
      <c r="AJ395" s="98" t="s">
        <v>794</v>
      </c>
      <c r="AK395" s="98" t="s">
        <v>159</v>
      </c>
      <c r="AL395" s="98" t="s">
        <v>224</v>
      </c>
      <c r="AM395" s="98" t="s">
        <v>225</v>
      </c>
      <c r="AP395" s="98" t="s">
        <v>548</v>
      </c>
      <c r="AQ395" s="98" t="s">
        <v>546</v>
      </c>
      <c r="AR395" s="98" t="s">
        <v>1374</v>
      </c>
      <c r="AS395" s="98" t="s">
        <v>1375</v>
      </c>
      <c r="AT395" s="100" t="n">
        <v>0</v>
      </c>
      <c r="AU395" s="100" t="n">
        <v>-2759778.1</v>
      </c>
      <c r="AX395" s="98" t="s">
        <v>165</v>
      </c>
      <c r="AMH395" s="0"/>
      <c r="AMI395" s="0"/>
      <c r="AMJ395" s="0"/>
    </row>
    <row r="396" s="98" customFormat="true" ht="13.8" hidden="false" customHeight="false" outlineLevel="0" collapsed="false">
      <c r="A396" s="98" t="s">
        <v>142</v>
      </c>
      <c r="B396" s="98" t="s">
        <v>143</v>
      </c>
      <c r="C396" s="98" t="n">
        <v>51379054</v>
      </c>
      <c r="D396" s="98" t="s">
        <v>1370</v>
      </c>
      <c r="E396" s="98" t="s">
        <v>725</v>
      </c>
      <c r="F396" s="98" t="s">
        <v>212</v>
      </c>
      <c r="G396" s="98" t="s">
        <v>147</v>
      </c>
      <c r="H396" s="98" t="s">
        <v>175</v>
      </c>
      <c r="I396" s="99" t="n">
        <v>43705</v>
      </c>
      <c r="J396" s="99" t="n">
        <v>43732</v>
      </c>
      <c r="K396" s="100" t="n">
        <v>-1126900</v>
      </c>
      <c r="L396" s="100" t="n">
        <f aca="false">K396-Q396+T396</f>
        <v>-955000</v>
      </c>
      <c r="M396" s="98" t="s">
        <v>149</v>
      </c>
      <c r="N396" s="100" t="n">
        <v>-1126900</v>
      </c>
      <c r="O396" s="98" t="s">
        <v>149</v>
      </c>
      <c r="P396" s="100" t="n">
        <v>-1126900</v>
      </c>
      <c r="Q396" s="100" t="n">
        <v>-171900</v>
      </c>
      <c r="R396" s="100" t="n">
        <v>-955000</v>
      </c>
      <c r="S396" s="100" t="n">
        <v>0</v>
      </c>
      <c r="T396" s="100" t="n">
        <v>0</v>
      </c>
      <c r="U396" s="98" t="s">
        <v>150</v>
      </c>
      <c r="V396" s="98" t="s">
        <v>151</v>
      </c>
      <c r="X396" s="98" t="s">
        <v>1371</v>
      </c>
      <c r="Y396" s="98" t="s">
        <v>1372</v>
      </c>
      <c r="Z396" s="98" t="s">
        <v>1373</v>
      </c>
      <c r="AB396" s="98" t="s">
        <v>1372</v>
      </c>
      <c r="AD396" s="98" t="s">
        <v>155</v>
      </c>
      <c r="AE396" s="98" t="s">
        <v>156</v>
      </c>
      <c r="AF396" s="98" t="s">
        <v>737</v>
      </c>
      <c r="AG396" s="98" t="s">
        <v>738</v>
      </c>
      <c r="AH396" s="98" t="s">
        <v>793</v>
      </c>
      <c r="AI396" s="98" t="s">
        <v>793</v>
      </c>
      <c r="AJ396" s="98" t="s">
        <v>794</v>
      </c>
      <c r="AK396" s="98" t="s">
        <v>159</v>
      </c>
      <c r="AL396" s="98" t="s">
        <v>224</v>
      </c>
      <c r="AM396" s="98" t="s">
        <v>225</v>
      </c>
      <c r="AP396" s="98" t="s">
        <v>548</v>
      </c>
      <c r="AQ396" s="98" t="s">
        <v>546</v>
      </c>
      <c r="AR396" s="98" t="s">
        <v>1374</v>
      </c>
      <c r="AS396" s="98" t="s">
        <v>1375</v>
      </c>
      <c r="AT396" s="100" t="n">
        <v>0</v>
      </c>
      <c r="AU396" s="100" t="n">
        <v>-1126900</v>
      </c>
      <c r="AX396" s="98" t="s">
        <v>220</v>
      </c>
      <c r="AMH396" s="0"/>
      <c r="AMI396" s="0"/>
      <c r="AMJ396" s="0"/>
    </row>
    <row r="397" s="98" customFormat="true" ht="13.8" hidden="false" customHeight="false" outlineLevel="0" collapsed="false">
      <c r="A397" s="98" t="s">
        <v>142</v>
      </c>
      <c r="B397" s="98" t="s">
        <v>143</v>
      </c>
      <c r="C397" s="98" t="n">
        <v>51692064</v>
      </c>
      <c r="D397" s="98" t="s">
        <v>1376</v>
      </c>
      <c r="E397" s="98" t="s">
        <v>725</v>
      </c>
      <c r="F397" s="98" t="s">
        <v>212</v>
      </c>
      <c r="G397" s="98" t="s">
        <v>147</v>
      </c>
      <c r="H397" s="98" t="s">
        <v>200</v>
      </c>
      <c r="I397" s="104" t="n">
        <v>43858</v>
      </c>
      <c r="J397" s="99" t="n">
        <v>43885</v>
      </c>
      <c r="K397" s="100" t="n">
        <v>-423929.84</v>
      </c>
      <c r="L397" s="100" t="n">
        <f aca="false">K397-Q397+T397</f>
        <v>-359262.58</v>
      </c>
      <c r="M397" s="98" t="s">
        <v>149</v>
      </c>
      <c r="N397" s="100" t="n">
        <v>-423929.84</v>
      </c>
      <c r="O397" s="98" t="s">
        <v>149</v>
      </c>
      <c r="P397" s="100" t="n">
        <v>-423929.84</v>
      </c>
      <c r="Q397" s="100" t="n">
        <v>-64667.26</v>
      </c>
      <c r="R397" s="100" t="n">
        <v>-423929.84</v>
      </c>
      <c r="S397" s="100" t="n">
        <v>0</v>
      </c>
      <c r="T397" s="100" t="n">
        <v>0</v>
      </c>
      <c r="U397" s="98" t="s">
        <v>150</v>
      </c>
      <c r="V397" s="98" t="s">
        <v>151</v>
      </c>
      <c r="Y397" s="98" t="s">
        <v>1377</v>
      </c>
      <c r="Z397" s="98" t="s">
        <v>1378</v>
      </c>
      <c r="AB397" s="98" t="s">
        <v>1377</v>
      </c>
      <c r="AD397" s="98" t="s">
        <v>155</v>
      </c>
      <c r="AE397" s="98" t="s">
        <v>156</v>
      </c>
      <c r="AF397" s="98" t="s">
        <v>728</v>
      </c>
      <c r="AG397" s="98" t="s">
        <v>729</v>
      </c>
      <c r="AH397" s="98" t="s">
        <v>730</v>
      </c>
      <c r="AI397" s="98" t="s">
        <v>730</v>
      </c>
      <c r="AJ397" s="98" t="s">
        <v>731</v>
      </c>
      <c r="AK397" s="98" t="s">
        <v>159</v>
      </c>
      <c r="AL397" s="98" t="s">
        <v>224</v>
      </c>
      <c r="AM397" s="98" t="s">
        <v>225</v>
      </c>
      <c r="AP397" s="98" t="s">
        <v>697</v>
      </c>
      <c r="AQ397" s="98" t="s">
        <v>695</v>
      </c>
      <c r="AR397" s="98" t="s">
        <v>1379</v>
      </c>
      <c r="AS397" s="98" t="s">
        <v>1380</v>
      </c>
      <c r="AT397" s="100" t="n">
        <v>0</v>
      </c>
      <c r="AU397" s="100" t="n">
        <v>-423929.84</v>
      </c>
      <c r="AX397" s="98" t="s">
        <v>165</v>
      </c>
      <c r="AMH397" s="0"/>
      <c r="AMI397" s="0"/>
      <c r="AMJ397" s="0"/>
    </row>
    <row r="398" s="98" customFormat="true" ht="13.8" hidden="false" customHeight="false" outlineLevel="0" collapsed="false">
      <c r="A398" s="98" t="s">
        <v>142</v>
      </c>
      <c r="B398" s="98" t="s">
        <v>143</v>
      </c>
      <c r="C398" s="98" t="n">
        <v>51524597</v>
      </c>
      <c r="D398" s="98" t="s">
        <v>1381</v>
      </c>
      <c r="E398" s="98" t="s">
        <v>725</v>
      </c>
      <c r="F398" s="98" t="s">
        <v>297</v>
      </c>
      <c r="G398" s="98" t="s">
        <v>147</v>
      </c>
      <c r="H398" s="98" t="s">
        <v>586</v>
      </c>
      <c r="I398" s="99" t="n">
        <v>43775</v>
      </c>
      <c r="J398" s="99" t="n">
        <v>43803</v>
      </c>
      <c r="K398" s="100" t="n">
        <v>-215968.71</v>
      </c>
      <c r="L398" s="100" t="n">
        <f aca="false">K398-Q398+T398</f>
        <v>-186179.92</v>
      </c>
      <c r="M398" s="98" t="s">
        <v>149</v>
      </c>
      <c r="N398" s="100" t="n">
        <v>-215968.71</v>
      </c>
      <c r="O398" s="98" t="s">
        <v>149</v>
      </c>
      <c r="P398" s="100" t="n">
        <v>-219692.31</v>
      </c>
      <c r="Q398" s="100" t="n">
        <v>-33512.39</v>
      </c>
      <c r="R398" s="100" t="n">
        <v>-182456.32</v>
      </c>
      <c r="S398" s="100" t="n">
        <v>-186179.92</v>
      </c>
      <c r="T398" s="100" t="n">
        <v>-3723.6</v>
      </c>
      <c r="U398" s="98" t="s">
        <v>192</v>
      </c>
      <c r="V398" s="98" t="s">
        <v>151</v>
      </c>
      <c r="X398" s="98" t="s">
        <v>1180</v>
      </c>
      <c r="Y398" s="98" t="s">
        <v>1306</v>
      </c>
      <c r="Z398" s="98" t="s">
        <v>1382</v>
      </c>
      <c r="AB398" s="98" t="s">
        <v>1306</v>
      </c>
      <c r="AD398" s="98" t="s">
        <v>155</v>
      </c>
      <c r="AE398" s="98" t="s">
        <v>156</v>
      </c>
      <c r="AF398" s="98" t="s">
        <v>747</v>
      </c>
      <c r="AG398" s="98" t="s">
        <v>748</v>
      </c>
      <c r="AH398" s="98" t="s">
        <v>971</v>
      </c>
      <c r="AI398" s="98" t="s">
        <v>971</v>
      </c>
      <c r="AJ398" s="98" t="s">
        <v>972</v>
      </c>
      <c r="AK398" s="98" t="s">
        <v>159</v>
      </c>
      <c r="AL398" s="98" t="s">
        <v>224</v>
      </c>
      <c r="AM398" s="98" t="s">
        <v>225</v>
      </c>
      <c r="AP398" s="98" t="s">
        <v>684</v>
      </c>
      <c r="AQ398" s="98" t="s">
        <v>678</v>
      </c>
      <c r="AR398" s="98" t="s">
        <v>991</v>
      </c>
      <c r="AS398" s="98" t="s">
        <v>1383</v>
      </c>
      <c r="AT398" s="100" t="n">
        <v>0</v>
      </c>
      <c r="AU398" s="100" t="n">
        <v>-215968.71</v>
      </c>
      <c r="AX398" s="98" t="s">
        <v>168</v>
      </c>
      <c r="AMH398" s="0"/>
      <c r="AMI398" s="0"/>
      <c r="AMJ398" s="0"/>
    </row>
    <row r="399" s="98" customFormat="true" ht="13.8" hidden="false" customHeight="false" outlineLevel="0" collapsed="false">
      <c r="A399" s="98" t="s">
        <v>142</v>
      </c>
      <c r="B399" s="98" t="s">
        <v>143</v>
      </c>
      <c r="C399" s="98" t="n">
        <v>51524597</v>
      </c>
      <c r="D399" s="98" t="s">
        <v>1381</v>
      </c>
      <c r="E399" s="98" t="s">
        <v>725</v>
      </c>
      <c r="F399" s="98" t="s">
        <v>297</v>
      </c>
      <c r="G399" s="98" t="s">
        <v>147</v>
      </c>
      <c r="H399" s="98" t="s">
        <v>586</v>
      </c>
      <c r="I399" s="99" t="n">
        <v>43775</v>
      </c>
      <c r="J399" s="99" t="n">
        <v>43803</v>
      </c>
      <c r="K399" s="100" t="n">
        <v>-1943718.37</v>
      </c>
      <c r="L399" s="100" t="n">
        <f aca="false">K399-Q399+T399</f>
        <v>-1675619.28</v>
      </c>
      <c r="M399" s="98" t="s">
        <v>149</v>
      </c>
      <c r="N399" s="100" t="n">
        <v>-1943718.37</v>
      </c>
      <c r="O399" s="98" t="s">
        <v>149</v>
      </c>
      <c r="P399" s="100" t="n">
        <v>-1977230.75</v>
      </c>
      <c r="Q399" s="100" t="n">
        <v>-301611.47</v>
      </c>
      <c r="R399" s="100" t="n">
        <v>-1642106.9</v>
      </c>
      <c r="S399" s="100" t="n">
        <v>-1675619.28</v>
      </c>
      <c r="T399" s="100" t="n">
        <v>-33512.38</v>
      </c>
      <c r="U399" s="98" t="s">
        <v>192</v>
      </c>
      <c r="V399" s="98" t="s">
        <v>151</v>
      </c>
      <c r="X399" s="98" t="s">
        <v>1180</v>
      </c>
      <c r="Y399" s="98" t="s">
        <v>1306</v>
      </c>
      <c r="Z399" s="98" t="s">
        <v>1382</v>
      </c>
      <c r="AB399" s="98" t="s">
        <v>1306</v>
      </c>
      <c r="AD399" s="98" t="s">
        <v>155</v>
      </c>
      <c r="AE399" s="98" t="s">
        <v>156</v>
      </c>
      <c r="AF399" s="98" t="s">
        <v>747</v>
      </c>
      <c r="AG399" s="98" t="s">
        <v>748</v>
      </c>
      <c r="AH399" s="98" t="s">
        <v>971</v>
      </c>
      <c r="AI399" s="98" t="s">
        <v>971</v>
      </c>
      <c r="AJ399" s="98" t="s">
        <v>972</v>
      </c>
      <c r="AK399" s="98" t="s">
        <v>159</v>
      </c>
      <c r="AL399" s="98" t="s">
        <v>224</v>
      </c>
      <c r="AM399" s="98" t="s">
        <v>225</v>
      </c>
      <c r="AP399" s="98" t="s">
        <v>619</v>
      </c>
      <c r="AQ399" s="98" t="s">
        <v>613</v>
      </c>
      <c r="AR399" s="98" t="s">
        <v>991</v>
      </c>
      <c r="AS399" s="98" t="s">
        <v>1383</v>
      </c>
      <c r="AT399" s="100" t="n">
        <v>0</v>
      </c>
      <c r="AU399" s="100" t="n">
        <v>-1943718.37</v>
      </c>
      <c r="AX399" s="98" t="s">
        <v>402</v>
      </c>
      <c r="AMH399" s="0"/>
      <c r="AMI399" s="0"/>
      <c r="AMJ399" s="0"/>
    </row>
    <row r="400" s="98" customFormat="true" ht="13.8" hidden="false" customHeight="false" outlineLevel="0" collapsed="false">
      <c r="A400" s="98" t="s">
        <v>142</v>
      </c>
      <c r="B400" s="98" t="s">
        <v>143</v>
      </c>
      <c r="C400" s="98" t="n">
        <v>51350786</v>
      </c>
      <c r="D400" s="98" t="s">
        <v>1384</v>
      </c>
      <c r="E400" s="98" t="s">
        <v>725</v>
      </c>
      <c r="F400" s="98" t="s">
        <v>234</v>
      </c>
      <c r="G400" s="98" t="s">
        <v>147</v>
      </c>
      <c r="H400" s="98" t="s">
        <v>175</v>
      </c>
      <c r="I400" s="99" t="n">
        <v>43683</v>
      </c>
      <c r="J400" s="99" t="n">
        <v>43714</v>
      </c>
      <c r="K400" s="100" t="n">
        <v>-2416168</v>
      </c>
      <c r="L400" s="100" t="n">
        <f aca="false">K400-Q400+T400</f>
        <v>-2047600</v>
      </c>
      <c r="M400" s="98" t="s">
        <v>149</v>
      </c>
      <c r="N400" s="100" t="n">
        <v>-2416168</v>
      </c>
      <c r="O400" s="98" t="s">
        <v>149</v>
      </c>
      <c r="P400" s="100" t="n">
        <v>-2416168</v>
      </c>
      <c r="Q400" s="100" t="n">
        <v>-368568</v>
      </c>
      <c r="R400" s="100" t="n">
        <v>-2047600</v>
      </c>
      <c r="S400" s="100" t="n">
        <v>0</v>
      </c>
      <c r="T400" s="100" t="n">
        <v>0</v>
      </c>
      <c r="U400" s="98" t="s">
        <v>192</v>
      </c>
      <c r="V400" s="98" t="s">
        <v>151</v>
      </c>
      <c r="X400" s="98" t="s">
        <v>1385</v>
      </c>
      <c r="Y400" s="98" t="s">
        <v>1386</v>
      </c>
      <c r="Z400" s="98" t="s">
        <v>1387</v>
      </c>
      <c r="AB400" s="98" t="s">
        <v>1386</v>
      </c>
      <c r="AD400" s="98" t="s">
        <v>155</v>
      </c>
      <c r="AE400" s="98" t="s">
        <v>156</v>
      </c>
      <c r="AF400" s="98" t="s">
        <v>737</v>
      </c>
      <c r="AG400" s="98" t="s">
        <v>738</v>
      </c>
      <c r="AH400" s="98" t="s">
        <v>739</v>
      </c>
      <c r="AI400" s="98" t="s">
        <v>739</v>
      </c>
      <c r="AJ400" s="98" t="s">
        <v>740</v>
      </c>
      <c r="AK400" s="98" t="s">
        <v>159</v>
      </c>
      <c r="AL400" s="98" t="s">
        <v>224</v>
      </c>
      <c r="AM400" s="98" t="s">
        <v>225</v>
      </c>
      <c r="AP400" s="98" t="s">
        <v>529</v>
      </c>
      <c r="AQ400" s="98" t="s">
        <v>527</v>
      </c>
      <c r="AR400" s="98" t="s">
        <v>1388</v>
      </c>
      <c r="AS400" s="98" t="s">
        <v>1389</v>
      </c>
      <c r="AT400" s="100" t="n">
        <v>0</v>
      </c>
      <c r="AU400" s="100" t="n">
        <v>-2416168</v>
      </c>
      <c r="AX400" s="98" t="s">
        <v>165</v>
      </c>
      <c r="AMH400" s="0"/>
      <c r="AMI400" s="0"/>
      <c r="AMJ400" s="0"/>
    </row>
    <row r="401" s="98" customFormat="true" ht="13.8" hidden="false" customHeight="false" outlineLevel="0" collapsed="false">
      <c r="A401" s="98" t="s">
        <v>142</v>
      </c>
      <c r="B401" s="98" t="s">
        <v>143</v>
      </c>
      <c r="C401" s="98" t="n">
        <v>51572849</v>
      </c>
      <c r="D401" s="98" t="s">
        <v>1390</v>
      </c>
      <c r="E401" s="98" t="s">
        <v>725</v>
      </c>
      <c r="F401" s="98" t="s">
        <v>212</v>
      </c>
      <c r="G401" s="98" t="s">
        <v>147</v>
      </c>
      <c r="H401" s="98" t="s">
        <v>586</v>
      </c>
      <c r="I401" s="104" t="n">
        <v>43799</v>
      </c>
      <c r="J401" s="99" t="n">
        <v>43830</v>
      </c>
      <c r="K401" s="100" t="n">
        <v>-1309828.52</v>
      </c>
      <c r="L401" s="100" t="n">
        <f aca="false">K401-Q401+T401</f>
        <v>-1110024.18</v>
      </c>
      <c r="M401" s="98" t="s">
        <v>149</v>
      </c>
      <c r="N401" s="100" t="n">
        <v>-1309828.52</v>
      </c>
      <c r="O401" s="98" t="s">
        <v>149</v>
      </c>
      <c r="P401" s="100" t="n">
        <v>-1309828.52</v>
      </c>
      <c r="Q401" s="105" t="n">
        <v>-199804.34</v>
      </c>
      <c r="R401" s="100" t="n">
        <v>-1309828.52</v>
      </c>
      <c r="S401" s="100" t="n">
        <v>0</v>
      </c>
      <c r="T401" s="100" t="n">
        <v>0</v>
      </c>
      <c r="U401" s="98" t="s">
        <v>150</v>
      </c>
      <c r="V401" s="98" t="s">
        <v>151</v>
      </c>
      <c r="Y401" s="98" t="s">
        <v>1391</v>
      </c>
      <c r="Z401" s="98" t="s">
        <v>1392</v>
      </c>
      <c r="AB401" s="98" t="s">
        <v>1391</v>
      </c>
      <c r="AD401" s="98" t="s">
        <v>155</v>
      </c>
      <c r="AE401" s="98" t="s">
        <v>156</v>
      </c>
      <c r="AF401" s="98" t="s">
        <v>728</v>
      </c>
      <c r="AG401" s="98" t="s">
        <v>729</v>
      </c>
      <c r="AH401" s="98" t="s">
        <v>730</v>
      </c>
      <c r="AI401" s="98" t="s">
        <v>730</v>
      </c>
      <c r="AJ401" s="98" t="s">
        <v>731</v>
      </c>
      <c r="AK401" s="98" t="s">
        <v>159</v>
      </c>
      <c r="AL401" s="98" t="s">
        <v>224</v>
      </c>
      <c r="AM401" s="98" t="s">
        <v>225</v>
      </c>
      <c r="AP401" s="98" t="s">
        <v>628</v>
      </c>
      <c r="AQ401" s="98" t="s">
        <v>623</v>
      </c>
      <c r="AR401" s="98" t="s">
        <v>1276</v>
      </c>
      <c r="AS401" s="98" t="s">
        <v>1393</v>
      </c>
      <c r="AT401" s="100" t="n">
        <v>0</v>
      </c>
      <c r="AU401" s="100" t="n">
        <v>-1309828.52</v>
      </c>
      <c r="AX401" s="98" t="s">
        <v>165</v>
      </c>
      <c r="AMH401" s="0"/>
      <c r="AMI401" s="0"/>
      <c r="AMJ401" s="0"/>
    </row>
    <row r="402" s="98" customFormat="true" ht="13.8" hidden="false" customHeight="false" outlineLevel="0" collapsed="false">
      <c r="A402" s="98" t="s">
        <v>142</v>
      </c>
      <c r="B402" s="98" t="s">
        <v>143</v>
      </c>
      <c r="C402" s="98" t="n">
        <v>51216829</v>
      </c>
      <c r="D402" s="98" t="s">
        <v>1394</v>
      </c>
      <c r="E402" s="98" t="s">
        <v>725</v>
      </c>
      <c r="F402" s="98" t="s">
        <v>371</v>
      </c>
      <c r="G402" s="98" t="s">
        <v>147</v>
      </c>
      <c r="H402" s="98" t="s">
        <v>402</v>
      </c>
      <c r="I402" s="99" t="n">
        <v>43622</v>
      </c>
      <c r="J402" s="99" t="n">
        <v>43655</v>
      </c>
      <c r="K402" s="100" t="n">
        <v>-73056</v>
      </c>
      <c r="L402" s="100" t="n">
        <f aca="false">K402-Q402+T402</f>
        <v>-61911.84</v>
      </c>
      <c r="M402" s="98" t="s">
        <v>149</v>
      </c>
      <c r="N402" s="100" t="n">
        <v>-73056</v>
      </c>
      <c r="O402" s="98" t="s">
        <v>149</v>
      </c>
      <c r="P402" s="100" t="n">
        <v>-73056</v>
      </c>
      <c r="Q402" s="100" t="n">
        <v>-11144.16</v>
      </c>
      <c r="R402" s="100" t="n">
        <v>-61911.84</v>
      </c>
      <c r="S402" s="100" t="n">
        <v>0</v>
      </c>
      <c r="T402" s="100" t="n">
        <v>0</v>
      </c>
      <c r="U402" s="98" t="s">
        <v>192</v>
      </c>
      <c r="V402" s="98" t="s">
        <v>151</v>
      </c>
      <c r="X402" s="98" t="s">
        <v>1395</v>
      </c>
      <c r="Y402" s="98" t="s">
        <v>1269</v>
      </c>
      <c r="Z402" s="98" t="s">
        <v>1396</v>
      </c>
      <c r="AB402" s="98" t="s">
        <v>1269</v>
      </c>
      <c r="AD402" s="98" t="s">
        <v>155</v>
      </c>
      <c r="AE402" s="98" t="s">
        <v>156</v>
      </c>
      <c r="AF402" s="98" t="s">
        <v>737</v>
      </c>
      <c r="AG402" s="98" t="s">
        <v>738</v>
      </c>
      <c r="AH402" s="98" t="s">
        <v>971</v>
      </c>
      <c r="AI402" s="98" t="s">
        <v>971</v>
      </c>
      <c r="AJ402" s="98" t="s">
        <v>972</v>
      </c>
      <c r="AK402" s="98" t="s">
        <v>159</v>
      </c>
      <c r="AL402" s="98" t="s">
        <v>224</v>
      </c>
      <c r="AM402" s="98" t="s">
        <v>225</v>
      </c>
      <c r="AP402" s="98" t="s">
        <v>444</v>
      </c>
      <c r="AQ402" s="98" t="s">
        <v>442</v>
      </c>
      <c r="AR402" s="98" t="s">
        <v>427</v>
      </c>
      <c r="AS402" s="98" t="s">
        <v>1397</v>
      </c>
      <c r="AT402" s="100" t="n">
        <v>0</v>
      </c>
      <c r="AU402" s="100" t="n">
        <v>-73056</v>
      </c>
      <c r="AX402" s="98" t="s">
        <v>165</v>
      </c>
      <c r="AMH402" s="0"/>
      <c r="AMI402" s="0"/>
      <c r="AMJ402" s="0"/>
    </row>
    <row r="403" s="98" customFormat="true" ht="13.8" hidden="false" customHeight="false" outlineLevel="0" collapsed="false">
      <c r="A403" s="98" t="s">
        <v>142</v>
      </c>
      <c r="B403" s="98" t="s">
        <v>143</v>
      </c>
      <c r="C403" s="98" t="n">
        <v>51506129</v>
      </c>
      <c r="D403" s="98" t="s">
        <v>1398</v>
      </c>
      <c r="E403" s="98" t="s">
        <v>725</v>
      </c>
      <c r="F403" s="98" t="s">
        <v>234</v>
      </c>
      <c r="G403" s="98" t="s">
        <v>147</v>
      </c>
      <c r="H403" s="98" t="s">
        <v>556</v>
      </c>
      <c r="I403" s="99" t="n">
        <v>43762</v>
      </c>
      <c r="J403" s="99" t="n">
        <v>43795</v>
      </c>
      <c r="K403" s="100" t="n">
        <v>-2221397.2</v>
      </c>
      <c r="L403" s="100" t="n">
        <f aca="false">K403-Q403+T403</f>
        <v>-1882540</v>
      </c>
      <c r="M403" s="98" t="s">
        <v>149</v>
      </c>
      <c r="N403" s="100" t="n">
        <v>-2221397.2</v>
      </c>
      <c r="O403" s="98" t="s">
        <v>149</v>
      </c>
      <c r="P403" s="100" t="n">
        <v>-2221397.2</v>
      </c>
      <c r="Q403" s="100" t="n">
        <v>-338857.2</v>
      </c>
      <c r="R403" s="100" t="n">
        <v>-1882540</v>
      </c>
      <c r="S403" s="100" t="n">
        <v>0</v>
      </c>
      <c r="T403" s="100" t="n">
        <v>0</v>
      </c>
      <c r="U403" s="98" t="s">
        <v>192</v>
      </c>
      <c r="V403" s="98" t="s">
        <v>151</v>
      </c>
      <c r="X403" s="98" t="s">
        <v>1399</v>
      </c>
      <c r="Y403" s="98" t="s">
        <v>1400</v>
      </c>
      <c r="Z403" s="98" t="s">
        <v>1401</v>
      </c>
      <c r="AB403" s="98" t="s">
        <v>1400</v>
      </c>
      <c r="AD403" s="98" t="s">
        <v>155</v>
      </c>
      <c r="AE403" s="98" t="s">
        <v>156</v>
      </c>
      <c r="AF403" s="98" t="s">
        <v>737</v>
      </c>
      <c r="AG403" s="98" t="s">
        <v>738</v>
      </c>
      <c r="AH403" s="98" t="s">
        <v>739</v>
      </c>
      <c r="AI403" s="98" t="s">
        <v>739</v>
      </c>
      <c r="AJ403" s="98" t="s">
        <v>740</v>
      </c>
      <c r="AK403" s="98" t="s">
        <v>159</v>
      </c>
      <c r="AL403" s="98" t="s">
        <v>224</v>
      </c>
      <c r="AM403" s="98" t="s">
        <v>225</v>
      </c>
      <c r="AP403" s="98" t="s">
        <v>608</v>
      </c>
      <c r="AQ403" s="98" t="s">
        <v>606</v>
      </c>
      <c r="AR403" s="98" t="s">
        <v>576</v>
      </c>
      <c r="AS403" s="98" t="s">
        <v>1402</v>
      </c>
      <c r="AT403" s="100" t="n">
        <v>0</v>
      </c>
      <c r="AU403" s="100" t="n">
        <v>-2221397.2</v>
      </c>
      <c r="AX403" s="98" t="s">
        <v>165</v>
      </c>
      <c r="AMH403" s="0"/>
      <c r="AMI403" s="0"/>
      <c r="AMJ403" s="0"/>
    </row>
    <row r="404" s="98" customFormat="true" ht="13.8" hidden="false" customHeight="false" outlineLevel="0" collapsed="false">
      <c r="A404" s="98" t="s">
        <v>142</v>
      </c>
      <c r="B404" s="98" t="s">
        <v>143</v>
      </c>
      <c r="C404" s="98" t="n">
        <v>51093602</v>
      </c>
      <c r="D404" s="98" t="s">
        <v>1403</v>
      </c>
      <c r="E404" s="98" t="s">
        <v>725</v>
      </c>
      <c r="F404" s="98" t="s">
        <v>212</v>
      </c>
      <c r="G404" s="98" t="s">
        <v>147</v>
      </c>
      <c r="H404" s="98" t="s">
        <v>220</v>
      </c>
      <c r="I404" s="99" t="n">
        <v>43565</v>
      </c>
      <c r="J404" s="99" t="n">
        <v>43600</v>
      </c>
      <c r="K404" s="100" t="n">
        <v>-174698.85</v>
      </c>
      <c r="L404" s="100" t="n">
        <f aca="false">K404-Q404+T404</f>
        <v>-150603.63</v>
      </c>
      <c r="M404" s="98" t="s">
        <v>149</v>
      </c>
      <c r="N404" s="100" t="n">
        <v>-174698.85</v>
      </c>
      <c r="O404" s="98" t="s">
        <v>149</v>
      </c>
      <c r="P404" s="100" t="n">
        <v>-177711.85</v>
      </c>
      <c r="Q404" s="100" t="n">
        <v>-27108.63</v>
      </c>
      <c r="R404" s="100" t="n">
        <v>-147590.22</v>
      </c>
      <c r="S404" s="100" t="n">
        <v>-150603.62</v>
      </c>
      <c r="T404" s="100" t="n">
        <v>-3013.41</v>
      </c>
      <c r="U404" s="98" t="s">
        <v>150</v>
      </c>
      <c r="V404" s="98" t="s">
        <v>151</v>
      </c>
      <c r="Y404" s="98" t="s">
        <v>1404</v>
      </c>
      <c r="Z404" s="98" t="s">
        <v>1405</v>
      </c>
      <c r="AB404" s="98" t="s">
        <v>1404</v>
      </c>
      <c r="AD404" s="98" t="s">
        <v>155</v>
      </c>
      <c r="AE404" s="98" t="s">
        <v>156</v>
      </c>
      <c r="AF404" s="98" t="s">
        <v>747</v>
      </c>
      <c r="AG404" s="98" t="s">
        <v>748</v>
      </c>
      <c r="AH404" s="98" t="s">
        <v>971</v>
      </c>
      <c r="AI404" s="98" t="s">
        <v>971</v>
      </c>
      <c r="AJ404" s="98" t="s">
        <v>972</v>
      </c>
      <c r="AK404" s="98" t="s">
        <v>159</v>
      </c>
      <c r="AL404" s="98" t="s">
        <v>224</v>
      </c>
      <c r="AM404" s="98" t="s">
        <v>225</v>
      </c>
      <c r="AP404" s="98" t="s">
        <v>384</v>
      </c>
      <c r="AQ404" s="98" t="s">
        <v>382</v>
      </c>
      <c r="AR404" s="98" t="s">
        <v>954</v>
      </c>
      <c r="AS404" s="98" t="s">
        <v>1406</v>
      </c>
      <c r="AT404" s="100" t="n">
        <v>0</v>
      </c>
      <c r="AU404" s="100" t="n">
        <v>-174698.85</v>
      </c>
      <c r="AX404" s="98" t="s">
        <v>1407</v>
      </c>
      <c r="AMH404" s="0"/>
      <c r="AMI404" s="0"/>
      <c r="AMJ404" s="0"/>
    </row>
    <row r="405" s="98" customFormat="true" ht="13.8" hidden="false" customHeight="false" outlineLevel="0" collapsed="false">
      <c r="A405" s="98" t="s">
        <v>142</v>
      </c>
      <c r="B405" s="98" t="s">
        <v>143</v>
      </c>
      <c r="C405" s="98" t="n">
        <v>51093602</v>
      </c>
      <c r="D405" s="98" t="s">
        <v>1403</v>
      </c>
      <c r="E405" s="98" t="s">
        <v>725</v>
      </c>
      <c r="F405" s="98" t="s">
        <v>212</v>
      </c>
      <c r="G405" s="98" t="s">
        <v>147</v>
      </c>
      <c r="H405" s="98" t="s">
        <v>220</v>
      </c>
      <c r="I405" s="99" t="n">
        <v>43565</v>
      </c>
      <c r="J405" s="99" t="n">
        <v>43600</v>
      </c>
      <c r="K405" s="100" t="n">
        <v>-9194.26</v>
      </c>
      <c r="L405" s="100" t="n">
        <f aca="false">K405-Q405+T405</f>
        <v>-7926.14</v>
      </c>
      <c r="M405" s="98" t="s">
        <v>149</v>
      </c>
      <c r="N405" s="100" t="n">
        <v>-9194.26</v>
      </c>
      <c r="O405" s="98" t="s">
        <v>149</v>
      </c>
      <c r="P405" s="100" t="n">
        <v>-9353.26</v>
      </c>
      <c r="Q405" s="100" t="n">
        <v>-1426.71</v>
      </c>
      <c r="R405" s="100" t="n">
        <v>-7767.55</v>
      </c>
      <c r="S405" s="100" t="n">
        <v>-7926.15</v>
      </c>
      <c r="T405" s="100" t="n">
        <v>-158.59</v>
      </c>
      <c r="U405" s="98" t="s">
        <v>150</v>
      </c>
      <c r="V405" s="98" t="s">
        <v>151</v>
      </c>
      <c r="Y405" s="98" t="s">
        <v>1404</v>
      </c>
      <c r="Z405" s="98" t="s">
        <v>1405</v>
      </c>
      <c r="AB405" s="98" t="s">
        <v>1404</v>
      </c>
      <c r="AD405" s="98" t="s">
        <v>155</v>
      </c>
      <c r="AE405" s="98" t="s">
        <v>156</v>
      </c>
      <c r="AF405" s="98" t="s">
        <v>747</v>
      </c>
      <c r="AG405" s="98" t="s">
        <v>748</v>
      </c>
      <c r="AH405" s="98" t="s">
        <v>971</v>
      </c>
      <c r="AI405" s="98" t="s">
        <v>971</v>
      </c>
      <c r="AJ405" s="98" t="s">
        <v>972</v>
      </c>
      <c r="AK405" s="98" t="s">
        <v>159</v>
      </c>
      <c r="AL405" s="98" t="s">
        <v>224</v>
      </c>
      <c r="AM405" s="98" t="s">
        <v>225</v>
      </c>
      <c r="AR405" s="98" t="s">
        <v>954</v>
      </c>
      <c r="AS405" s="98" t="s">
        <v>1406</v>
      </c>
      <c r="AT405" s="100" t="n">
        <v>0</v>
      </c>
      <c r="AU405" s="100" t="n">
        <v>-9194.26</v>
      </c>
      <c r="AX405" s="98" t="s">
        <v>1408</v>
      </c>
      <c r="AMH405" s="0"/>
      <c r="AMI405" s="0"/>
      <c r="AMJ405" s="0"/>
    </row>
    <row r="406" s="98" customFormat="true" ht="13.8" hidden="false" customHeight="false" outlineLevel="0" collapsed="false">
      <c r="A406" s="98" t="s">
        <v>142</v>
      </c>
      <c r="B406" s="98" t="s">
        <v>143</v>
      </c>
      <c r="C406" s="98" t="n">
        <v>51135748</v>
      </c>
      <c r="D406" s="98" t="s">
        <v>1409</v>
      </c>
      <c r="E406" s="98" t="s">
        <v>725</v>
      </c>
      <c r="F406" s="98" t="s">
        <v>234</v>
      </c>
      <c r="G406" s="98" t="s">
        <v>147</v>
      </c>
      <c r="H406" s="98" t="s">
        <v>148</v>
      </c>
      <c r="I406" s="99" t="n">
        <v>43584</v>
      </c>
      <c r="J406" s="99" t="n">
        <v>43619</v>
      </c>
      <c r="K406" s="100" t="n">
        <v>-464802</v>
      </c>
      <c r="L406" s="100" t="n">
        <f aca="false">K406-Q406+T406</f>
        <v>-393900</v>
      </c>
      <c r="M406" s="98" t="s">
        <v>149</v>
      </c>
      <c r="N406" s="100" t="n">
        <v>-464802</v>
      </c>
      <c r="O406" s="98" t="s">
        <v>149</v>
      </c>
      <c r="P406" s="100" t="n">
        <v>-464802</v>
      </c>
      <c r="Q406" s="100" t="n">
        <v>-70902</v>
      </c>
      <c r="R406" s="100" t="n">
        <v>-393900</v>
      </c>
      <c r="S406" s="100" t="n">
        <v>0</v>
      </c>
      <c r="T406" s="100" t="n">
        <v>0</v>
      </c>
      <c r="U406" s="98" t="s">
        <v>192</v>
      </c>
      <c r="V406" s="98" t="s">
        <v>151</v>
      </c>
      <c r="X406" s="98" t="s">
        <v>1410</v>
      </c>
      <c r="Y406" s="98" t="s">
        <v>1410</v>
      </c>
      <c r="Z406" s="98" t="s">
        <v>1411</v>
      </c>
      <c r="AB406" s="98" t="s">
        <v>1410</v>
      </c>
      <c r="AD406" s="98" t="s">
        <v>155</v>
      </c>
      <c r="AE406" s="98" t="s">
        <v>156</v>
      </c>
      <c r="AF406" s="98" t="s">
        <v>737</v>
      </c>
      <c r="AG406" s="98" t="s">
        <v>738</v>
      </c>
      <c r="AH406" s="98" t="s">
        <v>739</v>
      </c>
      <c r="AI406" s="98" t="s">
        <v>739</v>
      </c>
      <c r="AJ406" s="98" t="s">
        <v>740</v>
      </c>
      <c r="AK406" s="98" t="s">
        <v>159</v>
      </c>
      <c r="AL406" s="98" t="s">
        <v>224</v>
      </c>
      <c r="AM406" s="98" t="s">
        <v>225</v>
      </c>
      <c r="AP406" s="98" t="s">
        <v>424</v>
      </c>
      <c r="AQ406" s="98" t="s">
        <v>422</v>
      </c>
      <c r="AR406" s="98" t="s">
        <v>1137</v>
      </c>
      <c r="AS406" s="98" t="s">
        <v>1412</v>
      </c>
      <c r="AT406" s="100" t="n">
        <v>0</v>
      </c>
      <c r="AU406" s="100" t="n">
        <v>-464802</v>
      </c>
      <c r="AX406" s="98" t="s">
        <v>165</v>
      </c>
      <c r="AMH406" s="0"/>
      <c r="AMI406" s="0"/>
      <c r="AMJ406" s="0"/>
    </row>
    <row r="407" s="98" customFormat="true" ht="13.8" hidden="false" customHeight="false" outlineLevel="0" collapsed="false">
      <c r="A407" s="98" t="s">
        <v>142</v>
      </c>
      <c r="B407" s="98" t="s">
        <v>143</v>
      </c>
      <c r="C407" s="98" t="n">
        <v>51244663</v>
      </c>
      <c r="D407" s="98" t="s">
        <v>1413</v>
      </c>
      <c r="E407" s="98" t="s">
        <v>725</v>
      </c>
      <c r="F407" s="98" t="s">
        <v>297</v>
      </c>
      <c r="G407" s="98" t="s">
        <v>147</v>
      </c>
      <c r="H407" s="98" t="s">
        <v>402</v>
      </c>
      <c r="I407" s="99" t="n">
        <v>43633</v>
      </c>
      <c r="J407" s="99" t="n">
        <v>43668</v>
      </c>
      <c r="K407" s="100" t="n">
        <v>-3956.86</v>
      </c>
      <c r="L407" s="100" t="n">
        <f aca="false">K407-Q407+T407</f>
        <v>-3353.27</v>
      </c>
      <c r="M407" s="98" t="s">
        <v>149</v>
      </c>
      <c r="N407" s="100" t="n">
        <v>-3956.86</v>
      </c>
      <c r="O407" s="98" t="s">
        <v>149</v>
      </c>
      <c r="P407" s="100" t="n">
        <v>-3956.86</v>
      </c>
      <c r="Q407" s="100" t="n">
        <v>-603.59</v>
      </c>
      <c r="R407" s="100" t="n">
        <v>-3353.27</v>
      </c>
      <c r="S407" s="100" t="n">
        <v>0</v>
      </c>
      <c r="T407" s="100" t="n">
        <v>0</v>
      </c>
      <c r="U407" s="98" t="s">
        <v>192</v>
      </c>
      <c r="V407" s="98" t="s">
        <v>151</v>
      </c>
      <c r="X407" s="98" t="s">
        <v>1212</v>
      </c>
      <c r="Y407" s="98" t="s">
        <v>1213</v>
      </c>
      <c r="Z407" s="98" t="s">
        <v>1414</v>
      </c>
      <c r="AB407" s="98" t="s">
        <v>1213</v>
      </c>
      <c r="AD407" s="98" t="s">
        <v>155</v>
      </c>
      <c r="AE407" s="98" t="s">
        <v>156</v>
      </c>
      <c r="AF407" s="98" t="s">
        <v>728</v>
      </c>
      <c r="AG407" s="98" t="s">
        <v>729</v>
      </c>
      <c r="AH407" s="98" t="s">
        <v>971</v>
      </c>
      <c r="AI407" s="98" t="s">
        <v>971</v>
      </c>
      <c r="AJ407" s="98" t="s">
        <v>972</v>
      </c>
      <c r="AK407" s="98" t="s">
        <v>159</v>
      </c>
      <c r="AL407" s="98" t="s">
        <v>224</v>
      </c>
      <c r="AM407" s="98" t="s">
        <v>225</v>
      </c>
      <c r="AP407" s="98" t="s">
        <v>553</v>
      </c>
      <c r="AQ407" s="98" t="s">
        <v>551</v>
      </c>
      <c r="AR407" s="98" t="s">
        <v>1415</v>
      </c>
      <c r="AS407" s="98" t="s">
        <v>1416</v>
      </c>
      <c r="AT407" s="100" t="n">
        <v>0</v>
      </c>
      <c r="AU407" s="100" t="n">
        <v>-3956.86</v>
      </c>
      <c r="AX407" s="98" t="s">
        <v>213</v>
      </c>
      <c r="AMH407" s="0"/>
      <c r="AMI407" s="0"/>
      <c r="AMJ407" s="0"/>
    </row>
    <row r="408" s="98" customFormat="true" ht="13.8" hidden="false" customHeight="false" outlineLevel="0" collapsed="false">
      <c r="A408" s="98" t="s">
        <v>142</v>
      </c>
      <c r="B408" s="98" t="s">
        <v>143</v>
      </c>
      <c r="C408" s="98" t="n">
        <v>51244663</v>
      </c>
      <c r="D408" s="98" t="s">
        <v>1413</v>
      </c>
      <c r="E408" s="98" t="s">
        <v>725</v>
      </c>
      <c r="F408" s="98" t="s">
        <v>297</v>
      </c>
      <c r="G408" s="98" t="s">
        <v>147</v>
      </c>
      <c r="H408" s="98" t="s">
        <v>402</v>
      </c>
      <c r="I408" s="99" t="n">
        <v>43633</v>
      </c>
      <c r="J408" s="99" t="n">
        <v>43668</v>
      </c>
      <c r="K408" s="100" t="n">
        <v>-3956.87</v>
      </c>
      <c r="L408" s="100" t="n">
        <f aca="false">K408-Q408+T408</f>
        <v>-3353.28</v>
      </c>
      <c r="M408" s="98" t="s">
        <v>149</v>
      </c>
      <c r="N408" s="100" t="n">
        <v>-3956.87</v>
      </c>
      <c r="O408" s="98" t="s">
        <v>149</v>
      </c>
      <c r="P408" s="100" t="n">
        <v>-3956.87</v>
      </c>
      <c r="Q408" s="100" t="n">
        <v>-603.59</v>
      </c>
      <c r="R408" s="100" t="n">
        <v>-3353.28</v>
      </c>
      <c r="S408" s="100" t="n">
        <v>0</v>
      </c>
      <c r="T408" s="100" t="n">
        <v>0</v>
      </c>
      <c r="U408" s="98" t="s">
        <v>192</v>
      </c>
      <c r="V408" s="98" t="s">
        <v>151</v>
      </c>
      <c r="X408" s="98" t="s">
        <v>1212</v>
      </c>
      <c r="Y408" s="98" t="s">
        <v>1213</v>
      </c>
      <c r="Z408" s="98" t="s">
        <v>1414</v>
      </c>
      <c r="AB408" s="98" t="s">
        <v>1213</v>
      </c>
      <c r="AD408" s="98" t="s">
        <v>155</v>
      </c>
      <c r="AE408" s="98" t="s">
        <v>156</v>
      </c>
      <c r="AF408" s="98" t="s">
        <v>728</v>
      </c>
      <c r="AG408" s="98" t="s">
        <v>729</v>
      </c>
      <c r="AH408" s="98" t="s">
        <v>971</v>
      </c>
      <c r="AI408" s="98" t="s">
        <v>971</v>
      </c>
      <c r="AJ408" s="98" t="s">
        <v>972</v>
      </c>
      <c r="AK408" s="98" t="s">
        <v>159</v>
      </c>
      <c r="AL408" s="98" t="s">
        <v>224</v>
      </c>
      <c r="AM408" s="98" t="s">
        <v>225</v>
      </c>
      <c r="AP408" s="98" t="s">
        <v>553</v>
      </c>
      <c r="AQ408" s="98" t="s">
        <v>551</v>
      </c>
      <c r="AR408" s="98" t="s">
        <v>1415</v>
      </c>
      <c r="AS408" s="98" t="s">
        <v>1416</v>
      </c>
      <c r="AT408" s="100" t="n">
        <v>0</v>
      </c>
      <c r="AU408" s="100" t="n">
        <v>-3956.87</v>
      </c>
      <c r="AX408" s="98" t="s">
        <v>191</v>
      </c>
      <c r="AMH408" s="0"/>
      <c r="AMI408" s="0"/>
      <c r="AMJ408" s="0"/>
    </row>
    <row r="409" s="98" customFormat="true" ht="13.8" hidden="false" customHeight="false" outlineLevel="0" collapsed="false">
      <c r="A409" s="98" t="s">
        <v>142</v>
      </c>
      <c r="B409" s="98" t="s">
        <v>143</v>
      </c>
      <c r="C409" s="98" t="n">
        <v>51244663</v>
      </c>
      <c r="D409" s="98" t="s">
        <v>1413</v>
      </c>
      <c r="E409" s="98" t="s">
        <v>725</v>
      </c>
      <c r="F409" s="98" t="s">
        <v>297</v>
      </c>
      <c r="G409" s="98" t="s">
        <v>147</v>
      </c>
      <c r="H409" s="98" t="s">
        <v>402</v>
      </c>
      <c r="I409" s="99" t="n">
        <v>43633</v>
      </c>
      <c r="J409" s="99" t="n">
        <v>43668</v>
      </c>
      <c r="K409" s="100" t="n">
        <v>-3956.87</v>
      </c>
      <c r="L409" s="100" t="n">
        <f aca="false">K409-Q409+T409</f>
        <v>-3353.28</v>
      </c>
      <c r="M409" s="98" t="s">
        <v>149</v>
      </c>
      <c r="N409" s="100" t="n">
        <v>-3956.87</v>
      </c>
      <c r="O409" s="98" t="s">
        <v>149</v>
      </c>
      <c r="P409" s="100" t="n">
        <v>-3956.87</v>
      </c>
      <c r="Q409" s="100" t="n">
        <v>-603.59</v>
      </c>
      <c r="R409" s="100" t="n">
        <v>-3353.28</v>
      </c>
      <c r="S409" s="100" t="n">
        <v>0</v>
      </c>
      <c r="T409" s="100" t="n">
        <v>0</v>
      </c>
      <c r="U409" s="98" t="s">
        <v>192</v>
      </c>
      <c r="V409" s="98" t="s">
        <v>151</v>
      </c>
      <c r="X409" s="98" t="s">
        <v>1212</v>
      </c>
      <c r="Y409" s="98" t="s">
        <v>1213</v>
      </c>
      <c r="Z409" s="98" t="s">
        <v>1414</v>
      </c>
      <c r="AB409" s="98" t="s">
        <v>1213</v>
      </c>
      <c r="AD409" s="98" t="s">
        <v>155</v>
      </c>
      <c r="AE409" s="98" t="s">
        <v>156</v>
      </c>
      <c r="AF409" s="98" t="s">
        <v>728</v>
      </c>
      <c r="AG409" s="98" t="s">
        <v>729</v>
      </c>
      <c r="AH409" s="98" t="s">
        <v>971</v>
      </c>
      <c r="AI409" s="98" t="s">
        <v>971</v>
      </c>
      <c r="AJ409" s="98" t="s">
        <v>972</v>
      </c>
      <c r="AK409" s="98" t="s">
        <v>159</v>
      </c>
      <c r="AL409" s="98" t="s">
        <v>224</v>
      </c>
      <c r="AM409" s="98" t="s">
        <v>225</v>
      </c>
      <c r="AP409" s="98" t="s">
        <v>553</v>
      </c>
      <c r="AQ409" s="98" t="s">
        <v>551</v>
      </c>
      <c r="AR409" s="98" t="s">
        <v>1415</v>
      </c>
      <c r="AS409" s="98" t="s">
        <v>1416</v>
      </c>
      <c r="AT409" s="100" t="n">
        <v>0</v>
      </c>
      <c r="AU409" s="100" t="n">
        <v>-3956.87</v>
      </c>
      <c r="AX409" s="98" t="s">
        <v>200</v>
      </c>
      <c r="AMH409" s="0"/>
      <c r="AMI409" s="0"/>
      <c r="AMJ409" s="0"/>
    </row>
    <row r="410" s="98" customFormat="true" ht="13.8" hidden="false" customHeight="false" outlineLevel="0" collapsed="false">
      <c r="A410" s="98" t="s">
        <v>142</v>
      </c>
      <c r="B410" s="98" t="s">
        <v>143</v>
      </c>
      <c r="C410" s="98" t="n">
        <v>51244663</v>
      </c>
      <c r="D410" s="98" t="s">
        <v>1413</v>
      </c>
      <c r="E410" s="98" t="s">
        <v>725</v>
      </c>
      <c r="F410" s="98" t="s">
        <v>297</v>
      </c>
      <c r="G410" s="98" t="s">
        <v>147</v>
      </c>
      <c r="H410" s="98" t="s">
        <v>402</v>
      </c>
      <c r="I410" s="99" t="n">
        <v>43633</v>
      </c>
      <c r="J410" s="99" t="n">
        <v>43668</v>
      </c>
      <c r="K410" s="100" t="n">
        <v>-67266.74</v>
      </c>
      <c r="L410" s="100" t="n">
        <f aca="false">K410-Q410+T410</f>
        <v>-57005.71</v>
      </c>
      <c r="M410" s="98" t="s">
        <v>149</v>
      </c>
      <c r="N410" s="100" t="n">
        <v>-67266.74</v>
      </c>
      <c r="O410" s="98" t="s">
        <v>149</v>
      </c>
      <c r="P410" s="100" t="n">
        <v>-67266.74</v>
      </c>
      <c r="Q410" s="100" t="n">
        <v>-10261.03</v>
      </c>
      <c r="R410" s="100" t="n">
        <v>-57005.71</v>
      </c>
      <c r="S410" s="100" t="n">
        <v>0</v>
      </c>
      <c r="T410" s="100" t="n">
        <v>0</v>
      </c>
      <c r="U410" s="98" t="s">
        <v>192</v>
      </c>
      <c r="V410" s="98" t="s">
        <v>151</v>
      </c>
      <c r="X410" s="98" t="s">
        <v>1212</v>
      </c>
      <c r="Y410" s="98" t="s">
        <v>1213</v>
      </c>
      <c r="Z410" s="98" t="s">
        <v>1414</v>
      </c>
      <c r="AB410" s="98" t="s">
        <v>1213</v>
      </c>
      <c r="AD410" s="98" t="s">
        <v>155</v>
      </c>
      <c r="AE410" s="98" t="s">
        <v>156</v>
      </c>
      <c r="AF410" s="98" t="s">
        <v>728</v>
      </c>
      <c r="AG410" s="98" t="s">
        <v>729</v>
      </c>
      <c r="AH410" s="98" t="s">
        <v>971</v>
      </c>
      <c r="AI410" s="98" t="s">
        <v>971</v>
      </c>
      <c r="AJ410" s="98" t="s">
        <v>972</v>
      </c>
      <c r="AK410" s="98" t="s">
        <v>159</v>
      </c>
      <c r="AL410" s="98" t="s">
        <v>224</v>
      </c>
      <c r="AM410" s="98" t="s">
        <v>225</v>
      </c>
      <c r="AP410" s="98" t="s">
        <v>459</v>
      </c>
      <c r="AQ410" s="98" t="s">
        <v>457</v>
      </c>
      <c r="AR410" s="98" t="s">
        <v>1415</v>
      </c>
      <c r="AS410" s="98" t="s">
        <v>1416</v>
      </c>
      <c r="AT410" s="100" t="n">
        <v>0</v>
      </c>
      <c r="AU410" s="100" t="n">
        <v>-67266.74</v>
      </c>
      <c r="AX410" s="98" t="s">
        <v>586</v>
      </c>
      <c r="AMH410" s="0"/>
      <c r="AMI410" s="0"/>
      <c r="AMJ410" s="0"/>
    </row>
    <row r="411" s="98" customFormat="true" ht="13.8" hidden="false" customHeight="false" outlineLevel="0" collapsed="false">
      <c r="A411" s="98" t="s">
        <v>142</v>
      </c>
      <c r="B411" s="98" t="s">
        <v>143</v>
      </c>
      <c r="C411" s="98" t="n">
        <v>51241634</v>
      </c>
      <c r="D411" s="98" t="s">
        <v>1417</v>
      </c>
      <c r="E411" s="98" t="s">
        <v>725</v>
      </c>
      <c r="F411" s="98" t="s">
        <v>146</v>
      </c>
      <c r="G411" s="98" t="s">
        <v>147</v>
      </c>
      <c r="H411" s="98" t="s">
        <v>402</v>
      </c>
      <c r="I411" s="99" t="n">
        <v>43630</v>
      </c>
      <c r="J411" s="99" t="n">
        <v>43666</v>
      </c>
      <c r="K411" s="100" t="n">
        <v>-312778.66</v>
      </c>
      <c r="L411" s="100" t="n">
        <f aca="false">K411-Q411+T411</f>
        <v>-269637</v>
      </c>
      <c r="M411" s="98" t="s">
        <v>149</v>
      </c>
      <c r="N411" s="100" t="n">
        <v>-312778.66</v>
      </c>
      <c r="O411" s="98" t="s">
        <v>149</v>
      </c>
      <c r="P411" s="100" t="n">
        <v>-318171.66</v>
      </c>
      <c r="Q411" s="100" t="n">
        <v>-48534.66</v>
      </c>
      <c r="R411" s="100" t="n">
        <v>-264244</v>
      </c>
      <c r="S411" s="100" t="n">
        <v>-269637</v>
      </c>
      <c r="T411" s="100" t="n">
        <v>-5393</v>
      </c>
      <c r="U411" s="98" t="s">
        <v>150</v>
      </c>
      <c r="V411" s="98" t="s">
        <v>151</v>
      </c>
      <c r="X411" s="98" t="s">
        <v>905</v>
      </c>
      <c r="Y411" s="98" t="s">
        <v>1418</v>
      </c>
      <c r="Z411" s="98" t="s">
        <v>1419</v>
      </c>
      <c r="AB411" s="98" t="s">
        <v>1418</v>
      </c>
      <c r="AD411" s="98" t="s">
        <v>155</v>
      </c>
      <c r="AE411" s="98" t="s">
        <v>156</v>
      </c>
      <c r="AF411" s="98" t="s">
        <v>747</v>
      </c>
      <c r="AG411" s="98" t="s">
        <v>748</v>
      </c>
      <c r="AH411" s="98" t="s">
        <v>908</v>
      </c>
      <c r="AI411" s="98" t="s">
        <v>908</v>
      </c>
      <c r="AJ411" s="98" t="s">
        <v>909</v>
      </c>
      <c r="AK411" s="98" t="s">
        <v>159</v>
      </c>
      <c r="AL411" s="98" t="s">
        <v>224</v>
      </c>
      <c r="AM411" s="98" t="s">
        <v>225</v>
      </c>
      <c r="AP411" s="98" t="s">
        <v>503</v>
      </c>
      <c r="AQ411" s="98" t="s">
        <v>497</v>
      </c>
      <c r="AR411" s="98" t="s">
        <v>1420</v>
      </c>
      <c r="AS411" s="98" t="s">
        <v>1421</v>
      </c>
      <c r="AT411" s="100" t="n">
        <v>0</v>
      </c>
      <c r="AU411" s="100" t="n">
        <v>-312778.66</v>
      </c>
      <c r="AX411" s="98" t="s">
        <v>165</v>
      </c>
      <c r="AMH411" s="0"/>
      <c r="AMI411" s="0"/>
      <c r="AMJ411" s="0"/>
    </row>
    <row r="412" s="98" customFormat="true" ht="13.8" hidden="false" customHeight="false" outlineLevel="0" collapsed="false">
      <c r="A412" s="98" t="s">
        <v>142</v>
      </c>
      <c r="B412" s="98" t="s">
        <v>143</v>
      </c>
      <c r="C412" s="98" t="n">
        <v>51349374</v>
      </c>
      <c r="D412" s="98" t="s">
        <v>1422</v>
      </c>
      <c r="E412" s="98" t="s">
        <v>725</v>
      </c>
      <c r="F412" s="98" t="s">
        <v>212</v>
      </c>
      <c r="G412" s="98" t="s">
        <v>147</v>
      </c>
      <c r="H412" s="98" t="s">
        <v>175</v>
      </c>
      <c r="I412" s="104" t="n">
        <v>43677</v>
      </c>
      <c r="J412" s="99" t="n">
        <v>43713</v>
      </c>
      <c r="K412" s="100" t="n">
        <v>-775455.15</v>
      </c>
      <c r="L412" s="100" t="n">
        <f aca="false">K412-Q412+T412</f>
        <v>-657165.34</v>
      </c>
      <c r="M412" s="98" t="s">
        <v>149</v>
      </c>
      <c r="N412" s="100" t="n">
        <v>-775455.15</v>
      </c>
      <c r="O412" s="98" t="s">
        <v>149</v>
      </c>
      <c r="P412" s="100" t="n">
        <v>-775455.15</v>
      </c>
      <c r="Q412" s="106" t="n">
        <v>-118289.81</v>
      </c>
      <c r="R412" s="100" t="n">
        <v>-775455.15</v>
      </c>
      <c r="S412" s="100" t="n">
        <v>0</v>
      </c>
      <c r="T412" s="100" t="n">
        <v>0</v>
      </c>
      <c r="U412" s="98" t="s">
        <v>150</v>
      </c>
      <c r="V412" s="98" t="s">
        <v>151</v>
      </c>
      <c r="X412" s="98" t="s">
        <v>1423</v>
      </c>
      <c r="Y412" s="98" t="s">
        <v>1424</v>
      </c>
      <c r="Z412" s="98" t="s">
        <v>1425</v>
      </c>
      <c r="AB412" s="98" t="s">
        <v>1424</v>
      </c>
      <c r="AD412" s="98" t="s">
        <v>155</v>
      </c>
      <c r="AE412" s="98" t="s">
        <v>156</v>
      </c>
      <c r="AF412" s="98" t="s">
        <v>728</v>
      </c>
      <c r="AG412" s="98" t="s">
        <v>729</v>
      </c>
      <c r="AH412" s="98" t="s">
        <v>730</v>
      </c>
      <c r="AI412" s="98" t="s">
        <v>730</v>
      </c>
      <c r="AJ412" s="98" t="s">
        <v>731</v>
      </c>
      <c r="AK412" s="98" t="s">
        <v>159</v>
      </c>
      <c r="AL412" s="98" t="s">
        <v>224</v>
      </c>
      <c r="AM412" s="98" t="s">
        <v>225</v>
      </c>
      <c r="AP412" s="98" t="s">
        <v>524</v>
      </c>
      <c r="AQ412" s="98" t="s">
        <v>522</v>
      </c>
      <c r="AR412" s="98" t="s">
        <v>1426</v>
      </c>
      <c r="AS412" s="98" t="s">
        <v>1427</v>
      </c>
      <c r="AT412" s="100" t="n">
        <v>0</v>
      </c>
      <c r="AU412" s="100" t="n">
        <v>-775455.15</v>
      </c>
      <c r="AX412" s="98" t="s">
        <v>165</v>
      </c>
      <c r="AMH412" s="0"/>
      <c r="AMI412" s="0"/>
      <c r="AMJ412" s="0"/>
    </row>
    <row r="413" s="98" customFormat="true" ht="13.8" hidden="false" customHeight="false" outlineLevel="0" collapsed="false">
      <c r="A413" s="98" t="s">
        <v>142</v>
      </c>
      <c r="B413" s="98" t="s">
        <v>143</v>
      </c>
      <c r="C413" s="98" t="n">
        <v>51349374</v>
      </c>
      <c r="D413" s="98" t="s">
        <v>1422</v>
      </c>
      <c r="E413" s="98" t="s">
        <v>725</v>
      </c>
      <c r="F413" s="98" t="s">
        <v>167</v>
      </c>
      <c r="G413" s="98" t="s">
        <v>147</v>
      </c>
      <c r="H413" s="98" t="s">
        <v>175</v>
      </c>
      <c r="I413" s="104" t="n">
        <v>43677</v>
      </c>
      <c r="J413" s="99" t="n">
        <v>43713</v>
      </c>
      <c r="K413" s="100" t="n">
        <v>-0.3</v>
      </c>
      <c r="L413" s="100" t="n">
        <f aca="false">K413-Q413+T413</f>
        <v>-0.3</v>
      </c>
      <c r="M413" s="98" t="s">
        <v>149</v>
      </c>
      <c r="N413" s="100" t="n">
        <v>-0.3</v>
      </c>
      <c r="O413" s="98" t="s">
        <v>149</v>
      </c>
      <c r="P413" s="100" t="n">
        <v>-0.3</v>
      </c>
      <c r="Q413" s="100" t="n">
        <v>0</v>
      </c>
      <c r="R413" s="100" t="n">
        <v>-0.3</v>
      </c>
      <c r="S413" s="100" t="n">
        <v>0</v>
      </c>
      <c r="T413" s="100" t="n">
        <v>0</v>
      </c>
      <c r="U413" s="98" t="s">
        <v>150</v>
      </c>
      <c r="V413" s="98" t="s">
        <v>151</v>
      </c>
      <c r="X413" s="98" t="s">
        <v>1423</v>
      </c>
      <c r="Y413" s="98" t="s">
        <v>1424</v>
      </c>
      <c r="Z413" s="98" t="s">
        <v>1425</v>
      </c>
      <c r="AB413" s="98" t="s">
        <v>1424</v>
      </c>
      <c r="AD413" s="98" t="s">
        <v>155</v>
      </c>
      <c r="AE413" s="98" t="s">
        <v>156</v>
      </c>
      <c r="AF413" s="98" t="s">
        <v>728</v>
      </c>
      <c r="AG413" s="98" t="s">
        <v>729</v>
      </c>
      <c r="AH413" s="98" t="s">
        <v>730</v>
      </c>
      <c r="AI413" s="98" t="s">
        <v>730</v>
      </c>
      <c r="AJ413" s="98" t="s">
        <v>731</v>
      </c>
      <c r="AK413" s="98" t="s">
        <v>159</v>
      </c>
      <c r="AL413" s="98" t="s">
        <v>224</v>
      </c>
      <c r="AM413" s="98" t="s">
        <v>225</v>
      </c>
      <c r="AP413" s="98" t="s">
        <v>524</v>
      </c>
      <c r="AQ413" s="98" t="s">
        <v>522</v>
      </c>
      <c r="AR413" s="98" t="s">
        <v>1426</v>
      </c>
      <c r="AS413" s="98" t="s">
        <v>1427</v>
      </c>
      <c r="AT413" s="100" t="n">
        <v>0</v>
      </c>
      <c r="AU413" s="100" t="n">
        <v>-0.3</v>
      </c>
      <c r="AX413" s="98" t="s">
        <v>220</v>
      </c>
      <c r="AMH413" s="0"/>
      <c r="AMI413" s="0"/>
      <c r="AMJ413" s="0"/>
    </row>
    <row r="414" s="98" customFormat="true" ht="13.8" hidden="false" customHeight="false" outlineLevel="0" collapsed="false">
      <c r="A414" s="98" t="s">
        <v>142</v>
      </c>
      <c r="B414" s="98" t="s">
        <v>143</v>
      </c>
      <c r="C414" s="98" t="n">
        <v>51135754</v>
      </c>
      <c r="D414" s="98" t="s">
        <v>1428</v>
      </c>
      <c r="E414" s="98" t="s">
        <v>725</v>
      </c>
      <c r="F414" s="98" t="s">
        <v>234</v>
      </c>
      <c r="G414" s="98" t="s">
        <v>147</v>
      </c>
      <c r="H414" s="98" t="s">
        <v>148</v>
      </c>
      <c r="I414" s="99" t="n">
        <v>43582</v>
      </c>
      <c r="J414" s="99" t="n">
        <v>43619</v>
      </c>
      <c r="K414" s="100" t="n">
        <v>-1301599</v>
      </c>
      <c r="L414" s="100" t="n">
        <f aca="false">K414-Q414+T414</f>
        <v>-1103050</v>
      </c>
      <c r="M414" s="98" t="s">
        <v>149</v>
      </c>
      <c r="N414" s="100" t="n">
        <v>-1301599</v>
      </c>
      <c r="O414" s="98" t="s">
        <v>149</v>
      </c>
      <c r="P414" s="100" t="n">
        <v>-1301599</v>
      </c>
      <c r="Q414" s="100" t="n">
        <v>-198549</v>
      </c>
      <c r="R414" s="100" t="n">
        <v>-1103050</v>
      </c>
      <c r="S414" s="100" t="n">
        <v>0</v>
      </c>
      <c r="T414" s="100" t="n">
        <v>0</v>
      </c>
      <c r="U414" s="98" t="s">
        <v>192</v>
      </c>
      <c r="V414" s="98" t="s">
        <v>151</v>
      </c>
      <c r="X414" s="98" t="s">
        <v>1429</v>
      </c>
      <c r="Y414" s="98" t="s">
        <v>1429</v>
      </c>
      <c r="Z414" s="98" t="s">
        <v>1430</v>
      </c>
      <c r="AB414" s="98" t="s">
        <v>1429</v>
      </c>
      <c r="AD414" s="98" t="s">
        <v>155</v>
      </c>
      <c r="AE414" s="98" t="s">
        <v>156</v>
      </c>
      <c r="AF414" s="98" t="s">
        <v>737</v>
      </c>
      <c r="AG414" s="98" t="s">
        <v>738</v>
      </c>
      <c r="AH414" s="98" t="s">
        <v>739</v>
      </c>
      <c r="AI414" s="98" t="s">
        <v>739</v>
      </c>
      <c r="AJ414" s="98" t="s">
        <v>740</v>
      </c>
      <c r="AK414" s="98" t="s">
        <v>159</v>
      </c>
      <c r="AL414" s="98" t="s">
        <v>224</v>
      </c>
      <c r="AM414" s="98" t="s">
        <v>225</v>
      </c>
      <c r="AP414" s="98" t="s">
        <v>410</v>
      </c>
      <c r="AQ414" s="98" t="s">
        <v>408</v>
      </c>
      <c r="AR414" s="98" t="s">
        <v>1137</v>
      </c>
      <c r="AS414" s="98" t="s">
        <v>1431</v>
      </c>
      <c r="AT414" s="100" t="n">
        <v>0</v>
      </c>
      <c r="AU414" s="100" t="n">
        <v>-1301599</v>
      </c>
      <c r="AX414" s="98" t="s">
        <v>165</v>
      </c>
      <c r="AMH414" s="0"/>
      <c r="AMI414" s="0"/>
      <c r="AMJ414" s="0"/>
    </row>
    <row r="415" s="98" customFormat="true" ht="13.8" hidden="false" customHeight="false" outlineLevel="0" collapsed="false">
      <c r="A415" s="98" t="s">
        <v>142</v>
      </c>
      <c r="B415" s="98" t="s">
        <v>143</v>
      </c>
      <c r="C415" s="98" t="n">
        <v>51518055</v>
      </c>
      <c r="D415" s="98" t="s">
        <v>1432</v>
      </c>
      <c r="E415" s="98" t="s">
        <v>725</v>
      </c>
      <c r="F415" s="98" t="s">
        <v>212</v>
      </c>
      <c r="G415" s="98" t="s">
        <v>147</v>
      </c>
      <c r="H415" s="98" t="s">
        <v>586</v>
      </c>
      <c r="I415" s="99" t="n">
        <v>43764</v>
      </c>
      <c r="J415" s="99" t="n">
        <v>43801</v>
      </c>
      <c r="K415" s="100" t="n">
        <v>-1650345.06</v>
      </c>
      <c r="L415" s="100" t="n">
        <f aca="false">K415-Q415+T415</f>
        <v>-1398597.5</v>
      </c>
      <c r="M415" s="98" t="s">
        <v>149</v>
      </c>
      <c r="N415" s="100" t="n">
        <v>-1650345.06</v>
      </c>
      <c r="O415" s="98" t="s">
        <v>149</v>
      </c>
      <c r="P415" s="100" t="n">
        <v>-1650345.06</v>
      </c>
      <c r="Q415" s="100" t="n">
        <v>-251747.56</v>
      </c>
      <c r="R415" s="100" t="n">
        <v>-1398597.5</v>
      </c>
      <c r="S415" s="100" t="n">
        <v>0</v>
      </c>
      <c r="T415" s="100" t="n">
        <v>0</v>
      </c>
      <c r="U415" s="98" t="s">
        <v>150</v>
      </c>
      <c r="V415" s="98" t="s">
        <v>151</v>
      </c>
      <c r="X415" s="98" t="s">
        <v>1311</v>
      </c>
      <c r="Y415" s="98" t="s">
        <v>1433</v>
      </c>
      <c r="Z415" s="98" t="s">
        <v>1434</v>
      </c>
      <c r="AB415" s="98" t="s">
        <v>1433</v>
      </c>
      <c r="AD415" s="98" t="s">
        <v>155</v>
      </c>
      <c r="AE415" s="98" t="s">
        <v>156</v>
      </c>
      <c r="AF415" s="98" t="s">
        <v>737</v>
      </c>
      <c r="AG415" s="98" t="s">
        <v>738</v>
      </c>
      <c r="AH415" s="98" t="s">
        <v>793</v>
      </c>
      <c r="AI415" s="98" t="s">
        <v>793</v>
      </c>
      <c r="AJ415" s="98" t="s">
        <v>794</v>
      </c>
      <c r="AK415" s="98" t="s">
        <v>159</v>
      </c>
      <c r="AL415" s="98" t="s">
        <v>224</v>
      </c>
      <c r="AM415" s="98" t="s">
        <v>225</v>
      </c>
      <c r="AP415" s="98" t="s">
        <v>615</v>
      </c>
      <c r="AQ415" s="98" t="s">
        <v>613</v>
      </c>
      <c r="AR415" s="98" t="s">
        <v>1435</v>
      </c>
      <c r="AS415" s="98" t="s">
        <v>1436</v>
      </c>
      <c r="AT415" s="100" t="n">
        <v>0</v>
      </c>
      <c r="AU415" s="100" t="n">
        <v>-1650345.06</v>
      </c>
      <c r="AX415" s="98" t="s">
        <v>165</v>
      </c>
      <c r="AMH415" s="0"/>
      <c r="AMI415" s="0"/>
      <c r="AMJ415" s="0"/>
    </row>
    <row r="416" s="98" customFormat="true" ht="13.8" hidden="false" customHeight="false" outlineLevel="0" collapsed="false">
      <c r="A416" s="98" t="s">
        <v>142</v>
      </c>
      <c r="B416" s="98" t="s">
        <v>143</v>
      </c>
      <c r="C416" s="98" t="n">
        <v>51349833</v>
      </c>
      <c r="D416" s="98" t="s">
        <v>1437</v>
      </c>
      <c r="E416" s="98" t="s">
        <v>725</v>
      </c>
      <c r="F416" s="98" t="s">
        <v>212</v>
      </c>
      <c r="G416" s="98" t="s">
        <v>147</v>
      </c>
      <c r="H416" s="98" t="s">
        <v>175</v>
      </c>
      <c r="I416" s="104" t="n">
        <v>43677</v>
      </c>
      <c r="J416" s="99" t="n">
        <v>43714</v>
      </c>
      <c r="K416" s="100" t="n">
        <v>-2839100.39</v>
      </c>
      <c r="L416" s="100" t="n">
        <f aca="false">K416-Q416+T416</f>
        <v>-2406017.28</v>
      </c>
      <c r="M416" s="98" t="s">
        <v>149</v>
      </c>
      <c r="N416" s="100" t="n">
        <v>-2839100.39</v>
      </c>
      <c r="O416" s="98" t="s">
        <v>149</v>
      </c>
      <c r="P416" s="100" t="n">
        <v>-2839100.39</v>
      </c>
      <c r="Q416" s="107" t="n">
        <v>-433083.11</v>
      </c>
      <c r="R416" s="100" t="n">
        <v>-2839100.39</v>
      </c>
      <c r="S416" s="100" t="n">
        <v>0</v>
      </c>
      <c r="T416" s="100" t="n">
        <v>0</v>
      </c>
      <c r="U416" s="98" t="s">
        <v>150</v>
      </c>
      <c r="V416" s="98" t="s">
        <v>151</v>
      </c>
      <c r="X416" s="98" t="s">
        <v>1423</v>
      </c>
      <c r="Y416" s="98" t="s">
        <v>1424</v>
      </c>
      <c r="Z416" s="98" t="s">
        <v>1438</v>
      </c>
      <c r="AB416" s="98" t="s">
        <v>1424</v>
      </c>
      <c r="AD416" s="98" t="s">
        <v>155</v>
      </c>
      <c r="AE416" s="98" t="s">
        <v>156</v>
      </c>
      <c r="AF416" s="98" t="s">
        <v>728</v>
      </c>
      <c r="AG416" s="98" t="s">
        <v>729</v>
      </c>
      <c r="AH416" s="98" t="s">
        <v>730</v>
      </c>
      <c r="AI416" s="98" t="s">
        <v>730</v>
      </c>
      <c r="AJ416" s="98" t="s">
        <v>731</v>
      </c>
      <c r="AK416" s="98" t="s">
        <v>159</v>
      </c>
      <c r="AL416" s="98" t="s">
        <v>224</v>
      </c>
      <c r="AM416" s="98" t="s">
        <v>225</v>
      </c>
      <c r="AP416" s="98" t="s">
        <v>524</v>
      </c>
      <c r="AQ416" s="98" t="s">
        <v>522</v>
      </c>
      <c r="AR416" s="98" t="s">
        <v>1388</v>
      </c>
      <c r="AS416" s="98" t="s">
        <v>1439</v>
      </c>
      <c r="AT416" s="100" t="n">
        <v>0</v>
      </c>
      <c r="AU416" s="100" t="n">
        <v>-2839100.39</v>
      </c>
      <c r="AX416" s="98" t="s">
        <v>165</v>
      </c>
      <c r="AMH416" s="0"/>
      <c r="AMI416" s="0"/>
      <c r="AMJ416" s="0"/>
    </row>
    <row r="417" s="98" customFormat="true" ht="13.8" hidden="false" customHeight="false" outlineLevel="0" collapsed="false">
      <c r="A417" s="98" t="s">
        <v>142</v>
      </c>
      <c r="B417" s="98" t="s">
        <v>143</v>
      </c>
      <c r="C417" s="98" t="n">
        <v>51684188</v>
      </c>
      <c r="D417" s="98" t="s">
        <v>1278</v>
      </c>
      <c r="E417" s="98" t="s">
        <v>725</v>
      </c>
      <c r="F417" s="98" t="s">
        <v>212</v>
      </c>
      <c r="G417" s="98" t="s">
        <v>147</v>
      </c>
      <c r="H417" s="98" t="s">
        <v>200</v>
      </c>
      <c r="I417" s="99" t="n">
        <v>43844</v>
      </c>
      <c r="J417" s="99" t="n">
        <v>43881</v>
      </c>
      <c r="K417" s="100" t="n">
        <v>-1237061.22</v>
      </c>
      <c r="L417" s="100" t="n">
        <f aca="false">K417-Q417+T417</f>
        <v>-1048356.96</v>
      </c>
      <c r="M417" s="98" t="s">
        <v>149</v>
      </c>
      <c r="N417" s="100" t="n">
        <v>-1237061.22</v>
      </c>
      <c r="O417" s="98" t="s">
        <v>149</v>
      </c>
      <c r="P417" s="100" t="n">
        <v>-1237061.22</v>
      </c>
      <c r="Q417" s="100" t="n">
        <v>-188704.26</v>
      </c>
      <c r="R417" s="100" t="n">
        <v>-1048356.96</v>
      </c>
      <c r="S417" s="100" t="n">
        <v>0</v>
      </c>
      <c r="T417" s="100" t="n">
        <v>0</v>
      </c>
      <c r="U417" s="98" t="s">
        <v>150</v>
      </c>
      <c r="V417" s="98" t="s">
        <v>151</v>
      </c>
      <c r="X417" s="98" t="s">
        <v>1279</v>
      </c>
      <c r="Y417" s="98" t="s">
        <v>1280</v>
      </c>
      <c r="Z417" s="98" t="s">
        <v>1440</v>
      </c>
      <c r="AB417" s="98" t="s">
        <v>1280</v>
      </c>
      <c r="AD417" s="98" t="s">
        <v>155</v>
      </c>
      <c r="AE417" s="98" t="s">
        <v>156</v>
      </c>
      <c r="AF417" s="98" t="s">
        <v>737</v>
      </c>
      <c r="AG417" s="98" t="s">
        <v>738</v>
      </c>
      <c r="AH417" s="98" t="s">
        <v>793</v>
      </c>
      <c r="AI417" s="98" t="s">
        <v>793</v>
      </c>
      <c r="AJ417" s="98" t="s">
        <v>794</v>
      </c>
      <c r="AK417" s="98" t="s">
        <v>159</v>
      </c>
      <c r="AL417" s="98" t="s">
        <v>224</v>
      </c>
      <c r="AM417" s="98" t="s">
        <v>225</v>
      </c>
      <c r="AP417" s="98" t="s">
        <v>702</v>
      </c>
      <c r="AQ417" s="98" t="s">
        <v>700</v>
      </c>
      <c r="AR417" s="98" t="s">
        <v>1441</v>
      </c>
      <c r="AS417" s="98" t="s">
        <v>1442</v>
      </c>
      <c r="AT417" s="100" t="n">
        <v>0</v>
      </c>
      <c r="AU417" s="100" t="n">
        <v>-1237061.22</v>
      </c>
      <c r="AX417" s="98" t="s">
        <v>165</v>
      </c>
      <c r="AMH417" s="0"/>
      <c r="AMI417" s="0"/>
      <c r="AMJ417" s="0"/>
    </row>
    <row r="418" s="98" customFormat="true" ht="13.8" hidden="false" customHeight="false" outlineLevel="0" collapsed="false">
      <c r="A418" s="98" t="s">
        <v>142</v>
      </c>
      <c r="B418" s="98" t="s">
        <v>143</v>
      </c>
      <c r="C418" s="98" t="n">
        <v>51684188</v>
      </c>
      <c r="D418" s="98" t="s">
        <v>1278</v>
      </c>
      <c r="E418" s="98" t="s">
        <v>725</v>
      </c>
      <c r="F418" s="98" t="s">
        <v>212</v>
      </c>
      <c r="G418" s="98" t="s">
        <v>147</v>
      </c>
      <c r="H418" s="98" t="s">
        <v>200</v>
      </c>
      <c r="I418" s="99" t="n">
        <v>43844</v>
      </c>
      <c r="J418" s="99" t="n">
        <v>43881</v>
      </c>
      <c r="K418" s="100" t="n">
        <v>-1639864.88</v>
      </c>
      <c r="L418" s="100" t="n">
        <f aca="false">K418-Q418+T418</f>
        <v>-1389716</v>
      </c>
      <c r="M418" s="98" t="s">
        <v>149</v>
      </c>
      <c r="N418" s="100" t="n">
        <v>-1639864.88</v>
      </c>
      <c r="O418" s="98" t="s">
        <v>149</v>
      </c>
      <c r="P418" s="100" t="n">
        <v>-1639864.88</v>
      </c>
      <c r="Q418" s="100" t="n">
        <v>-250148.88</v>
      </c>
      <c r="R418" s="100" t="n">
        <v>-1389716</v>
      </c>
      <c r="S418" s="100" t="n">
        <v>0</v>
      </c>
      <c r="T418" s="100" t="n">
        <v>0</v>
      </c>
      <c r="U418" s="98" t="s">
        <v>150</v>
      </c>
      <c r="V418" s="98" t="s">
        <v>151</v>
      </c>
      <c r="X418" s="98" t="s">
        <v>1279</v>
      </c>
      <c r="Y418" s="98" t="s">
        <v>1280</v>
      </c>
      <c r="Z418" s="98" t="s">
        <v>1440</v>
      </c>
      <c r="AB418" s="98" t="s">
        <v>1280</v>
      </c>
      <c r="AD418" s="98" t="s">
        <v>155</v>
      </c>
      <c r="AE418" s="98" t="s">
        <v>156</v>
      </c>
      <c r="AF418" s="98" t="s">
        <v>737</v>
      </c>
      <c r="AG418" s="98" t="s">
        <v>738</v>
      </c>
      <c r="AH418" s="98" t="s">
        <v>793</v>
      </c>
      <c r="AI418" s="98" t="s">
        <v>793</v>
      </c>
      <c r="AJ418" s="98" t="s">
        <v>794</v>
      </c>
      <c r="AK418" s="98" t="s">
        <v>159</v>
      </c>
      <c r="AL418" s="98" t="s">
        <v>224</v>
      </c>
      <c r="AM418" s="98" t="s">
        <v>225</v>
      </c>
      <c r="AP418" s="98" t="s">
        <v>702</v>
      </c>
      <c r="AQ418" s="98" t="s">
        <v>700</v>
      </c>
      <c r="AR418" s="98" t="s">
        <v>1441</v>
      </c>
      <c r="AS418" s="98" t="s">
        <v>1442</v>
      </c>
      <c r="AT418" s="100" t="n">
        <v>0</v>
      </c>
      <c r="AU418" s="100" t="n">
        <v>-1639864.88</v>
      </c>
      <c r="AX418" s="98" t="s">
        <v>220</v>
      </c>
      <c r="AMH418" s="0"/>
      <c r="AMI418" s="0"/>
      <c r="AMJ418" s="0"/>
    </row>
    <row r="419" s="98" customFormat="true" ht="13.8" hidden="false" customHeight="false" outlineLevel="0" collapsed="false">
      <c r="A419" s="98" t="s">
        <v>142</v>
      </c>
      <c r="B419" s="98" t="s">
        <v>143</v>
      </c>
      <c r="C419" s="98" t="n">
        <v>51244721</v>
      </c>
      <c r="D419" s="98" t="s">
        <v>1443</v>
      </c>
      <c r="E419" s="98" t="s">
        <v>725</v>
      </c>
      <c r="F419" s="98" t="s">
        <v>297</v>
      </c>
      <c r="G419" s="98" t="s">
        <v>147</v>
      </c>
      <c r="H419" s="98" t="s">
        <v>402</v>
      </c>
      <c r="I419" s="99" t="n">
        <v>43630</v>
      </c>
      <c r="J419" s="99" t="n">
        <v>43668</v>
      </c>
      <c r="K419" s="100" t="n">
        <v>-79519.94</v>
      </c>
      <c r="L419" s="100" t="n">
        <f aca="false">K419-Q419+T419</f>
        <v>-67389.78</v>
      </c>
      <c r="M419" s="98" t="s">
        <v>149</v>
      </c>
      <c r="N419" s="100" t="n">
        <v>-79519.94</v>
      </c>
      <c r="O419" s="98" t="s">
        <v>149</v>
      </c>
      <c r="P419" s="100" t="n">
        <v>-79519.94</v>
      </c>
      <c r="Q419" s="100" t="n">
        <v>-12130.16</v>
      </c>
      <c r="R419" s="100" t="n">
        <v>-67389.78</v>
      </c>
      <c r="S419" s="100" t="n">
        <v>0</v>
      </c>
      <c r="T419" s="100" t="n">
        <v>0</v>
      </c>
      <c r="U419" s="98" t="s">
        <v>192</v>
      </c>
      <c r="V419" s="98" t="s">
        <v>151</v>
      </c>
      <c r="X419" s="98" t="s">
        <v>1212</v>
      </c>
      <c r="Y419" s="98" t="s">
        <v>1213</v>
      </c>
      <c r="Z419" s="98" t="s">
        <v>1444</v>
      </c>
      <c r="AB419" s="98" t="s">
        <v>1213</v>
      </c>
      <c r="AD419" s="98" t="s">
        <v>155</v>
      </c>
      <c r="AE419" s="98" t="s">
        <v>156</v>
      </c>
      <c r="AF419" s="98" t="s">
        <v>728</v>
      </c>
      <c r="AG419" s="98" t="s">
        <v>729</v>
      </c>
      <c r="AH419" s="98" t="s">
        <v>971</v>
      </c>
      <c r="AI419" s="98" t="s">
        <v>971</v>
      </c>
      <c r="AJ419" s="98" t="s">
        <v>972</v>
      </c>
      <c r="AK419" s="98" t="s">
        <v>159</v>
      </c>
      <c r="AL419" s="98" t="s">
        <v>224</v>
      </c>
      <c r="AM419" s="98" t="s">
        <v>225</v>
      </c>
      <c r="AP419" s="98" t="s">
        <v>553</v>
      </c>
      <c r="AQ419" s="98" t="s">
        <v>551</v>
      </c>
      <c r="AR419" s="98" t="s">
        <v>1415</v>
      </c>
      <c r="AS419" s="98" t="s">
        <v>1445</v>
      </c>
      <c r="AT419" s="100" t="n">
        <v>0</v>
      </c>
      <c r="AU419" s="100" t="n">
        <v>-79519.94</v>
      </c>
      <c r="AX419" s="98" t="s">
        <v>213</v>
      </c>
      <c r="AMH419" s="0"/>
      <c r="AMI419" s="0"/>
      <c r="AMJ419" s="0"/>
    </row>
    <row r="420" s="98" customFormat="true" ht="13.8" hidden="false" customHeight="false" outlineLevel="0" collapsed="false">
      <c r="A420" s="98" t="s">
        <v>142</v>
      </c>
      <c r="B420" s="98" t="s">
        <v>143</v>
      </c>
      <c r="C420" s="98" t="n">
        <v>51244721</v>
      </c>
      <c r="D420" s="98" t="s">
        <v>1443</v>
      </c>
      <c r="E420" s="98" t="s">
        <v>725</v>
      </c>
      <c r="F420" s="98" t="s">
        <v>297</v>
      </c>
      <c r="G420" s="98" t="s">
        <v>147</v>
      </c>
      <c r="H420" s="98" t="s">
        <v>402</v>
      </c>
      <c r="I420" s="99" t="n">
        <v>43630</v>
      </c>
      <c r="J420" s="99" t="n">
        <v>43668</v>
      </c>
      <c r="K420" s="100" t="n">
        <v>-79519.95</v>
      </c>
      <c r="L420" s="100" t="n">
        <f aca="false">K420-Q420+T420</f>
        <v>-67389.79</v>
      </c>
      <c r="M420" s="98" t="s">
        <v>149</v>
      </c>
      <c r="N420" s="100" t="n">
        <v>-79519.95</v>
      </c>
      <c r="O420" s="98" t="s">
        <v>149</v>
      </c>
      <c r="P420" s="100" t="n">
        <v>-79519.95</v>
      </c>
      <c r="Q420" s="100" t="n">
        <v>-12130.16</v>
      </c>
      <c r="R420" s="100" t="n">
        <v>-67389.79</v>
      </c>
      <c r="S420" s="100" t="n">
        <v>0</v>
      </c>
      <c r="T420" s="100" t="n">
        <v>0</v>
      </c>
      <c r="U420" s="98" t="s">
        <v>192</v>
      </c>
      <c r="V420" s="98" t="s">
        <v>151</v>
      </c>
      <c r="X420" s="98" t="s">
        <v>1212</v>
      </c>
      <c r="Y420" s="98" t="s">
        <v>1213</v>
      </c>
      <c r="Z420" s="98" t="s">
        <v>1444</v>
      </c>
      <c r="AB420" s="98" t="s">
        <v>1213</v>
      </c>
      <c r="AD420" s="98" t="s">
        <v>155</v>
      </c>
      <c r="AE420" s="98" t="s">
        <v>156</v>
      </c>
      <c r="AF420" s="98" t="s">
        <v>728</v>
      </c>
      <c r="AG420" s="98" t="s">
        <v>729</v>
      </c>
      <c r="AH420" s="98" t="s">
        <v>971</v>
      </c>
      <c r="AI420" s="98" t="s">
        <v>971</v>
      </c>
      <c r="AJ420" s="98" t="s">
        <v>972</v>
      </c>
      <c r="AK420" s="98" t="s">
        <v>159</v>
      </c>
      <c r="AL420" s="98" t="s">
        <v>224</v>
      </c>
      <c r="AM420" s="98" t="s">
        <v>225</v>
      </c>
      <c r="AP420" s="98" t="s">
        <v>553</v>
      </c>
      <c r="AQ420" s="98" t="s">
        <v>551</v>
      </c>
      <c r="AR420" s="98" t="s">
        <v>1415</v>
      </c>
      <c r="AS420" s="98" t="s">
        <v>1445</v>
      </c>
      <c r="AT420" s="100" t="n">
        <v>0</v>
      </c>
      <c r="AU420" s="100" t="n">
        <v>-79519.95</v>
      </c>
      <c r="AX420" s="98" t="s">
        <v>1446</v>
      </c>
      <c r="AMH420" s="0"/>
      <c r="AMI420" s="0"/>
      <c r="AMJ420" s="0"/>
    </row>
    <row r="421" s="98" customFormat="true" ht="13.8" hidden="false" customHeight="false" outlineLevel="0" collapsed="false">
      <c r="A421" s="98" t="s">
        <v>142</v>
      </c>
      <c r="B421" s="98" t="s">
        <v>143</v>
      </c>
      <c r="C421" s="98" t="n">
        <v>51244721</v>
      </c>
      <c r="D421" s="98" t="s">
        <v>1443</v>
      </c>
      <c r="E421" s="98" t="s">
        <v>725</v>
      </c>
      <c r="F421" s="98" t="s">
        <v>297</v>
      </c>
      <c r="G421" s="98" t="s">
        <v>147</v>
      </c>
      <c r="H421" s="98" t="s">
        <v>402</v>
      </c>
      <c r="I421" s="99" t="n">
        <v>43630</v>
      </c>
      <c r="J421" s="99" t="n">
        <v>43668</v>
      </c>
      <c r="K421" s="100" t="n">
        <v>-79519.94</v>
      </c>
      <c r="L421" s="100" t="n">
        <f aca="false">K421-Q421+T421</f>
        <v>-67389.78</v>
      </c>
      <c r="M421" s="98" t="s">
        <v>149</v>
      </c>
      <c r="N421" s="100" t="n">
        <v>-79519.94</v>
      </c>
      <c r="O421" s="98" t="s">
        <v>149</v>
      </c>
      <c r="P421" s="100" t="n">
        <v>-79519.94</v>
      </c>
      <c r="Q421" s="100" t="n">
        <v>-12130.16</v>
      </c>
      <c r="R421" s="100" t="n">
        <v>-67389.78</v>
      </c>
      <c r="S421" s="100" t="n">
        <v>0</v>
      </c>
      <c r="T421" s="100" t="n">
        <v>0</v>
      </c>
      <c r="U421" s="98" t="s">
        <v>192</v>
      </c>
      <c r="V421" s="98" t="s">
        <v>151</v>
      </c>
      <c r="X421" s="98" t="s">
        <v>1212</v>
      </c>
      <c r="Y421" s="98" t="s">
        <v>1213</v>
      </c>
      <c r="Z421" s="98" t="s">
        <v>1444</v>
      </c>
      <c r="AB421" s="98" t="s">
        <v>1213</v>
      </c>
      <c r="AD421" s="98" t="s">
        <v>155</v>
      </c>
      <c r="AE421" s="98" t="s">
        <v>156</v>
      </c>
      <c r="AF421" s="98" t="s">
        <v>728</v>
      </c>
      <c r="AG421" s="98" t="s">
        <v>729</v>
      </c>
      <c r="AH421" s="98" t="s">
        <v>971</v>
      </c>
      <c r="AI421" s="98" t="s">
        <v>971</v>
      </c>
      <c r="AJ421" s="98" t="s">
        <v>972</v>
      </c>
      <c r="AK421" s="98" t="s">
        <v>159</v>
      </c>
      <c r="AL421" s="98" t="s">
        <v>224</v>
      </c>
      <c r="AM421" s="98" t="s">
        <v>225</v>
      </c>
      <c r="AP421" s="98" t="s">
        <v>553</v>
      </c>
      <c r="AQ421" s="98" t="s">
        <v>551</v>
      </c>
      <c r="AR421" s="98" t="s">
        <v>1415</v>
      </c>
      <c r="AS421" s="98" t="s">
        <v>1445</v>
      </c>
      <c r="AT421" s="100" t="n">
        <v>0</v>
      </c>
      <c r="AU421" s="100" t="n">
        <v>-79519.94</v>
      </c>
      <c r="AX421" s="98" t="s">
        <v>200</v>
      </c>
      <c r="AMH421" s="0"/>
      <c r="AMI421" s="0"/>
      <c r="AMJ421" s="0"/>
    </row>
    <row r="422" s="98" customFormat="true" ht="13.8" hidden="false" customHeight="false" outlineLevel="0" collapsed="false">
      <c r="A422" s="98" t="s">
        <v>142</v>
      </c>
      <c r="B422" s="98" t="s">
        <v>143</v>
      </c>
      <c r="C422" s="98" t="n">
        <v>51244721</v>
      </c>
      <c r="D422" s="98" t="s">
        <v>1443</v>
      </c>
      <c r="E422" s="98" t="s">
        <v>725</v>
      </c>
      <c r="F422" s="98" t="s">
        <v>297</v>
      </c>
      <c r="G422" s="98" t="s">
        <v>147</v>
      </c>
      <c r="H422" s="98" t="s">
        <v>402</v>
      </c>
      <c r="I422" s="99" t="n">
        <v>43630</v>
      </c>
      <c r="J422" s="99" t="n">
        <v>43668</v>
      </c>
      <c r="K422" s="100" t="n">
        <v>-1351839.06</v>
      </c>
      <c r="L422" s="100" t="n">
        <f aca="false">K422-Q422+T422</f>
        <v>-1145626.32</v>
      </c>
      <c r="M422" s="98" t="s">
        <v>149</v>
      </c>
      <c r="N422" s="100" t="n">
        <v>-1351839.06</v>
      </c>
      <c r="O422" s="98" t="s">
        <v>149</v>
      </c>
      <c r="P422" s="100" t="n">
        <v>-1351839.06</v>
      </c>
      <c r="Q422" s="100" t="n">
        <v>-206212.74</v>
      </c>
      <c r="R422" s="100" t="n">
        <v>-1145626.32</v>
      </c>
      <c r="S422" s="100" t="n">
        <v>0</v>
      </c>
      <c r="T422" s="100" t="n">
        <v>0</v>
      </c>
      <c r="U422" s="98" t="s">
        <v>192</v>
      </c>
      <c r="V422" s="98" t="s">
        <v>151</v>
      </c>
      <c r="X422" s="98" t="s">
        <v>1212</v>
      </c>
      <c r="Y422" s="98" t="s">
        <v>1213</v>
      </c>
      <c r="Z422" s="98" t="s">
        <v>1444</v>
      </c>
      <c r="AB422" s="98" t="s">
        <v>1213</v>
      </c>
      <c r="AD422" s="98" t="s">
        <v>155</v>
      </c>
      <c r="AE422" s="98" t="s">
        <v>156</v>
      </c>
      <c r="AF422" s="98" t="s">
        <v>728</v>
      </c>
      <c r="AG422" s="98" t="s">
        <v>729</v>
      </c>
      <c r="AH422" s="98" t="s">
        <v>971</v>
      </c>
      <c r="AI422" s="98" t="s">
        <v>971</v>
      </c>
      <c r="AJ422" s="98" t="s">
        <v>972</v>
      </c>
      <c r="AK422" s="98" t="s">
        <v>159</v>
      </c>
      <c r="AL422" s="98" t="s">
        <v>224</v>
      </c>
      <c r="AM422" s="98" t="s">
        <v>225</v>
      </c>
      <c r="AP422" s="98" t="s">
        <v>459</v>
      </c>
      <c r="AQ422" s="98" t="s">
        <v>457</v>
      </c>
      <c r="AR422" s="98" t="s">
        <v>1415</v>
      </c>
      <c r="AS422" s="98" t="s">
        <v>1445</v>
      </c>
      <c r="AT422" s="100" t="n">
        <v>0</v>
      </c>
      <c r="AU422" s="100" t="n">
        <v>-1351839.06</v>
      </c>
      <c r="AX422" s="98" t="s">
        <v>191</v>
      </c>
      <c r="AMH422" s="0"/>
      <c r="AMI422" s="0"/>
      <c r="AMJ422" s="0"/>
    </row>
    <row r="423" s="98" customFormat="true" ht="13.8" hidden="false" customHeight="false" outlineLevel="0" collapsed="false">
      <c r="A423" s="98" t="s">
        <v>142</v>
      </c>
      <c r="B423" s="98" t="s">
        <v>143</v>
      </c>
      <c r="C423" s="98" t="n">
        <v>51565250</v>
      </c>
      <c r="D423" s="98" t="s">
        <v>1447</v>
      </c>
      <c r="E423" s="98" t="s">
        <v>725</v>
      </c>
      <c r="F423" s="98" t="s">
        <v>167</v>
      </c>
      <c r="G423" s="98" t="s">
        <v>147</v>
      </c>
      <c r="H423" s="98" t="s">
        <v>586</v>
      </c>
      <c r="I423" s="99" t="n">
        <v>43788</v>
      </c>
      <c r="J423" s="99" t="n">
        <v>43826</v>
      </c>
      <c r="K423" s="100" t="n">
        <v>-162896.77</v>
      </c>
      <c r="L423" s="100" t="n">
        <f aca="false">K423-Q423+T423</f>
        <v>-140428.74</v>
      </c>
      <c r="M423" s="98" t="s">
        <v>149</v>
      </c>
      <c r="N423" s="100" t="n">
        <v>-162896.77</v>
      </c>
      <c r="O423" s="98" t="s">
        <v>149</v>
      </c>
      <c r="P423" s="100" t="n">
        <v>-165705.77</v>
      </c>
      <c r="Q423" s="100" t="n">
        <v>-25277.18</v>
      </c>
      <c r="R423" s="100" t="n">
        <v>-137619.59</v>
      </c>
      <c r="S423" s="100" t="n">
        <v>-140428.75</v>
      </c>
      <c r="T423" s="100" t="n">
        <v>-2809.15</v>
      </c>
      <c r="U423" s="98" t="s">
        <v>192</v>
      </c>
      <c r="V423" s="98" t="s">
        <v>151</v>
      </c>
      <c r="Y423" s="98" t="s">
        <v>1448</v>
      </c>
      <c r="Z423" s="98" t="s">
        <v>1449</v>
      </c>
      <c r="AB423" s="98" t="s">
        <v>1448</v>
      </c>
      <c r="AD423" s="98" t="s">
        <v>155</v>
      </c>
      <c r="AE423" s="98" t="s">
        <v>156</v>
      </c>
      <c r="AF423" s="98" t="s">
        <v>747</v>
      </c>
      <c r="AG423" s="98" t="s">
        <v>748</v>
      </c>
      <c r="AH423" s="98" t="s">
        <v>971</v>
      </c>
      <c r="AI423" s="98" t="s">
        <v>971</v>
      </c>
      <c r="AJ423" s="98" t="s">
        <v>972</v>
      </c>
      <c r="AK423" s="98" t="s">
        <v>159</v>
      </c>
      <c r="AL423" s="98" t="s">
        <v>224</v>
      </c>
      <c r="AM423" s="98" t="s">
        <v>225</v>
      </c>
      <c r="AP423" s="98" t="s">
        <v>625</v>
      </c>
      <c r="AQ423" s="98" t="s">
        <v>623</v>
      </c>
      <c r="AR423" s="98" t="s">
        <v>1450</v>
      </c>
      <c r="AS423" s="98" t="s">
        <v>1451</v>
      </c>
      <c r="AT423" s="100" t="n">
        <v>0</v>
      </c>
      <c r="AU423" s="100" t="n">
        <v>-162896.77</v>
      </c>
      <c r="AX423" s="98" t="s">
        <v>586</v>
      </c>
      <c r="AMH423" s="0"/>
      <c r="AMI423" s="0"/>
      <c r="AMJ423" s="0"/>
    </row>
    <row r="424" s="98" customFormat="true" ht="13.8" hidden="false" customHeight="false" outlineLevel="0" collapsed="false">
      <c r="A424" s="98" t="s">
        <v>142</v>
      </c>
      <c r="B424" s="98" t="s">
        <v>143</v>
      </c>
      <c r="C424" s="98" t="n">
        <v>51565250</v>
      </c>
      <c r="D424" s="98" t="s">
        <v>1447</v>
      </c>
      <c r="E424" s="98" t="s">
        <v>725</v>
      </c>
      <c r="F424" s="98" t="s">
        <v>167</v>
      </c>
      <c r="G424" s="98" t="s">
        <v>147</v>
      </c>
      <c r="H424" s="98" t="s">
        <v>586</v>
      </c>
      <c r="I424" s="99" t="n">
        <v>43788</v>
      </c>
      <c r="J424" s="99" t="n">
        <v>43826</v>
      </c>
      <c r="K424" s="100" t="n">
        <v>-8573.36</v>
      </c>
      <c r="L424" s="100" t="n">
        <f aca="false">K424-Q424+T424</f>
        <v>-7390.86</v>
      </c>
      <c r="M424" s="98" t="s">
        <v>149</v>
      </c>
      <c r="N424" s="100" t="n">
        <v>-8573.36</v>
      </c>
      <c r="O424" s="98" t="s">
        <v>149</v>
      </c>
      <c r="P424" s="100" t="n">
        <v>-8721.36</v>
      </c>
      <c r="Q424" s="100" t="n">
        <v>-1330.35</v>
      </c>
      <c r="R424" s="100" t="n">
        <v>-7243.01</v>
      </c>
      <c r="S424" s="100" t="n">
        <v>-7390.85</v>
      </c>
      <c r="T424" s="100" t="n">
        <v>-147.85</v>
      </c>
      <c r="U424" s="98" t="s">
        <v>192</v>
      </c>
      <c r="V424" s="98" t="s">
        <v>151</v>
      </c>
      <c r="Y424" s="98" t="s">
        <v>1448</v>
      </c>
      <c r="Z424" s="98" t="s">
        <v>1449</v>
      </c>
      <c r="AB424" s="98" t="s">
        <v>1448</v>
      </c>
      <c r="AD424" s="98" t="s">
        <v>155</v>
      </c>
      <c r="AE424" s="98" t="s">
        <v>156</v>
      </c>
      <c r="AF424" s="98" t="s">
        <v>747</v>
      </c>
      <c r="AG424" s="98" t="s">
        <v>748</v>
      </c>
      <c r="AH424" s="98" t="s">
        <v>971</v>
      </c>
      <c r="AI424" s="98" t="s">
        <v>971</v>
      </c>
      <c r="AJ424" s="98" t="s">
        <v>972</v>
      </c>
      <c r="AK424" s="98" t="s">
        <v>159</v>
      </c>
      <c r="AL424" s="98" t="s">
        <v>224</v>
      </c>
      <c r="AM424" s="98" t="s">
        <v>225</v>
      </c>
      <c r="AR424" s="98" t="s">
        <v>1450</v>
      </c>
      <c r="AS424" s="98" t="s">
        <v>1451</v>
      </c>
      <c r="AT424" s="100" t="n">
        <v>0</v>
      </c>
      <c r="AU424" s="100" t="n">
        <v>-8573.36</v>
      </c>
      <c r="AX424" s="98" t="s">
        <v>191</v>
      </c>
      <c r="AMH424" s="0"/>
      <c r="AMI424" s="0"/>
      <c r="AMJ424" s="0"/>
    </row>
    <row r="425" s="98" customFormat="true" ht="13.8" hidden="false" customHeight="false" outlineLevel="0" collapsed="false">
      <c r="A425" s="98" t="s">
        <v>142</v>
      </c>
      <c r="B425" s="98" t="s">
        <v>143</v>
      </c>
      <c r="C425" s="98" t="n">
        <v>51478341</v>
      </c>
      <c r="D425" s="98" t="s">
        <v>1452</v>
      </c>
      <c r="E425" s="98" t="s">
        <v>725</v>
      </c>
      <c r="F425" s="98" t="s">
        <v>297</v>
      </c>
      <c r="G425" s="98" t="s">
        <v>147</v>
      </c>
      <c r="H425" s="98" t="s">
        <v>556</v>
      </c>
      <c r="I425" s="99" t="n">
        <v>43742</v>
      </c>
      <c r="J425" s="99" t="n">
        <v>43781</v>
      </c>
      <c r="K425" s="100" t="n">
        <v>-817451.64</v>
      </c>
      <c r="L425" s="100" t="n">
        <f aca="false">K425-Q425+T425</f>
        <v>-704699.69</v>
      </c>
      <c r="M425" s="98" t="s">
        <v>149</v>
      </c>
      <c r="N425" s="100" t="n">
        <v>-817451.64</v>
      </c>
      <c r="O425" s="98" t="s">
        <v>149</v>
      </c>
      <c r="P425" s="100" t="n">
        <v>-831545.64</v>
      </c>
      <c r="Q425" s="100" t="n">
        <v>-126845.95</v>
      </c>
      <c r="R425" s="100" t="n">
        <v>-690605.69</v>
      </c>
      <c r="S425" s="100" t="n">
        <v>-704699.69</v>
      </c>
      <c r="T425" s="100" t="n">
        <v>-14094</v>
      </c>
      <c r="U425" s="98" t="s">
        <v>192</v>
      </c>
      <c r="V425" s="98" t="s">
        <v>151</v>
      </c>
      <c r="X425" s="98" t="s">
        <v>1453</v>
      </c>
      <c r="Y425" s="98" t="s">
        <v>1306</v>
      </c>
      <c r="Z425" s="98" t="s">
        <v>1454</v>
      </c>
      <c r="AB425" s="98" t="s">
        <v>1306</v>
      </c>
      <c r="AD425" s="98" t="s">
        <v>155</v>
      </c>
      <c r="AE425" s="98" t="s">
        <v>156</v>
      </c>
      <c r="AF425" s="98" t="s">
        <v>747</v>
      </c>
      <c r="AG425" s="98" t="s">
        <v>748</v>
      </c>
      <c r="AH425" s="98" t="s">
        <v>971</v>
      </c>
      <c r="AI425" s="98" t="s">
        <v>971</v>
      </c>
      <c r="AJ425" s="98" t="s">
        <v>972</v>
      </c>
      <c r="AK425" s="98" t="s">
        <v>159</v>
      </c>
      <c r="AL425" s="98" t="s">
        <v>224</v>
      </c>
      <c r="AM425" s="98" t="s">
        <v>225</v>
      </c>
      <c r="AP425" s="98" t="s">
        <v>594</v>
      </c>
      <c r="AQ425" s="98" t="s">
        <v>592</v>
      </c>
      <c r="AR425" s="98" t="s">
        <v>1455</v>
      </c>
      <c r="AS425" s="98" t="s">
        <v>1456</v>
      </c>
      <c r="AT425" s="100" t="n">
        <v>0</v>
      </c>
      <c r="AU425" s="100" t="n">
        <v>-817451.64</v>
      </c>
      <c r="AX425" s="98" t="s">
        <v>402</v>
      </c>
      <c r="AMH425" s="0"/>
      <c r="AMI425" s="0"/>
      <c r="AMJ425" s="0"/>
    </row>
    <row r="426" s="98" customFormat="true" ht="13.8" hidden="false" customHeight="false" outlineLevel="0" collapsed="false">
      <c r="A426" s="98" t="s">
        <v>142</v>
      </c>
      <c r="B426" s="98" t="s">
        <v>143</v>
      </c>
      <c r="C426" s="98" t="n">
        <v>51478341</v>
      </c>
      <c r="D426" s="98" t="s">
        <v>1452</v>
      </c>
      <c r="E426" s="98" t="s">
        <v>725</v>
      </c>
      <c r="F426" s="98" t="s">
        <v>297</v>
      </c>
      <c r="G426" s="98" t="s">
        <v>147</v>
      </c>
      <c r="H426" s="98" t="s">
        <v>556</v>
      </c>
      <c r="I426" s="99" t="n">
        <v>43742</v>
      </c>
      <c r="J426" s="99" t="n">
        <v>43781</v>
      </c>
      <c r="K426" s="100" t="n">
        <v>-90827.96</v>
      </c>
      <c r="L426" s="100" t="n">
        <f aca="false">K426-Q426+T426</f>
        <v>-78299.97</v>
      </c>
      <c r="M426" s="98" t="s">
        <v>149</v>
      </c>
      <c r="N426" s="100" t="n">
        <v>-90827.96</v>
      </c>
      <c r="O426" s="98" t="s">
        <v>149</v>
      </c>
      <c r="P426" s="100" t="n">
        <v>-92393.96</v>
      </c>
      <c r="Q426" s="100" t="n">
        <v>-14093.99</v>
      </c>
      <c r="R426" s="100" t="n">
        <v>-76733.97</v>
      </c>
      <c r="S426" s="100" t="n">
        <v>-78299.97</v>
      </c>
      <c r="T426" s="100" t="n">
        <v>-1566</v>
      </c>
      <c r="U426" s="98" t="s">
        <v>192</v>
      </c>
      <c r="V426" s="98" t="s">
        <v>151</v>
      </c>
      <c r="X426" s="98" t="s">
        <v>1453</v>
      </c>
      <c r="Y426" s="98" t="s">
        <v>1306</v>
      </c>
      <c r="Z426" s="98" t="s">
        <v>1454</v>
      </c>
      <c r="AB426" s="98" t="s">
        <v>1306</v>
      </c>
      <c r="AD426" s="98" t="s">
        <v>155</v>
      </c>
      <c r="AE426" s="98" t="s">
        <v>156</v>
      </c>
      <c r="AF426" s="98" t="s">
        <v>747</v>
      </c>
      <c r="AG426" s="98" t="s">
        <v>748</v>
      </c>
      <c r="AH426" s="98" t="s">
        <v>971</v>
      </c>
      <c r="AI426" s="98" t="s">
        <v>971</v>
      </c>
      <c r="AJ426" s="98" t="s">
        <v>972</v>
      </c>
      <c r="AK426" s="98" t="s">
        <v>159</v>
      </c>
      <c r="AL426" s="98" t="s">
        <v>224</v>
      </c>
      <c r="AM426" s="98" t="s">
        <v>225</v>
      </c>
      <c r="AP426" s="98" t="s">
        <v>684</v>
      </c>
      <c r="AQ426" s="98" t="s">
        <v>678</v>
      </c>
      <c r="AR426" s="98" t="s">
        <v>1455</v>
      </c>
      <c r="AS426" s="98" t="s">
        <v>1456</v>
      </c>
      <c r="AT426" s="100" t="n">
        <v>0</v>
      </c>
      <c r="AU426" s="100" t="n">
        <v>-90827.96</v>
      </c>
      <c r="AX426" s="98" t="s">
        <v>168</v>
      </c>
      <c r="AMH426" s="0"/>
      <c r="AMI426" s="0"/>
      <c r="AMJ426" s="0"/>
    </row>
    <row r="427" s="98" customFormat="true" ht="13.8" hidden="false" customHeight="false" outlineLevel="0" collapsed="false">
      <c r="A427" s="98" t="s">
        <v>142</v>
      </c>
      <c r="B427" s="98" t="s">
        <v>143</v>
      </c>
      <c r="C427" s="98" t="n">
        <v>51083808</v>
      </c>
      <c r="D427" s="98" t="s">
        <v>1457</v>
      </c>
      <c r="E427" s="98" t="s">
        <v>725</v>
      </c>
      <c r="F427" s="98" t="s">
        <v>297</v>
      </c>
      <c r="G427" s="98" t="s">
        <v>147</v>
      </c>
      <c r="H427" s="98" t="s">
        <v>220</v>
      </c>
      <c r="I427" s="99" t="n">
        <v>43558</v>
      </c>
      <c r="J427" s="99" t="n">
        <v>43598</v>
      </c>
      <c r="K427" s="100" t="n">
        <v>-26808.76</v>
      </c>
      <c r="L427" s="100" t="n">
        <f aca="false">K427-Q427+T427</f>
        <v>-22719.29</v>
      </c>
      <c r="M427" s="98" t="s">
        <v>149</v>
      </c>
      <c r="N427" s="100" t="n">
        <v>-26808.76</v>
      </c>
      <c r="O427" s="98" t="s">
        <v>149</v>
      </c>
      <c r="P427" s="100" t="n">
        <v>-26808.76</v>
      </c>
      <c r="Q427" s="100" t="n">
        <v>-4089.47</v>
      </c>
      <c r="R427" s="100" t="n">
        <v>-22719.29</v>
      </c>
      <c r="S427" s="100" t="n">
        <v>0</v>
      </c>
      <c r="T427" s="100" t="n">
        <v>0</v>
      </c>
      <c r="U427" s="98" t="s">
        <v>192</v>
      </c>
      <c r="V427" s="98" t="s">
        <v>151</v>
      </c>
      <c r="X427" s="98" t="s">
        <v>1212</v>
      </c>
      <c r="Y427" s="98" t="s">
        <v>1213</v>
      </c>
      <c r="Z427" s="98" t="s">
        <v>1458</v>
      </c>
      <c r="AB427" s="98" t="s">
        <v>1213</v>
      </c>
      <c r="AD427" s="98" t="s">
        <v>155</v>
      </c>
      <c r="AE427" s="98" t="s">
        <v>156</v>
      </c>
      <c r="AF427" s="98" t="s">
        <v>728</v>
      </c>
      <c r="AG427" s="98" t="s">
        <v>729</v>
      </c>
      <c r="AH427" s="98" t="s">
        <v>971</v>
      </c>
      <c r="AI427" s="98" t="s">
        <v>971</v>
      </c>
      <c r="AJ427" s="98" t="s">
        <v>972</v>
      </c>
      <c r="AK427" s="98" t="s">
        <v>159</v>
      </c>
      <c r="AL427" s="98" t="s">
        <v>224</v>
      </c>
      <c r="AM427" s="98" t="s">
        <v>225</v>
      </c>
      <c r="AP427" s="98" t="s">
        <v>553</v>
      </c>
      <c r="AQ427" s="98" t="s">
        <v>551</v>
      </c>
      <c r="AR427" s="98" t="s">
        <v>324</v>
      </c>
      <c r="AS427" s="98" t="s">
        <v>1459</v>
      </c>
      <c r="AT427" s="100" t="n">
        <v>0</v>
      </c>
      <c r="AU427" s="100" t="n">
        <v>-26808.76</v>
      </c>
      <c r="AX427" s="98" t="s">
        <v>556</v>
      </c>
      <c r="AMH427" s="0"/>
      <c r="AMI427" s="0"/>
      <c r="AMJ427" s="0"/>
    </row>
    <row r="428" s="98" customFormat="true" ht="13.8" hidden="false" customHeight="false" outlineLevel="0" collapsed="false">
      <c r="A428" s="98" t="s">
        <v>142</v>
      </c>
      <c r="B428" s="98" t="s">
        <v>143</v>
      </c>
      <c r="C428" s="98" t="n">
        <v>51083808</v>
      </c>
      <c r="D428" s="98" t="s">
        <v>1457</v>
      </c>
      <c r="E428" s="98" t="s">
        <v>725</v>
      </c>
      <c r="F428" s="98" t="s">
        <v>297</v>
      </c>
      <c r="G428" s="98" t="s">
        <v>147</v>
      </c>
      <c r="H428" s="98" t="s">
        <v>220</v>
      </c>
      <c r="I428" s="99" t="n">
        <v>43558</v>
      </c>
      <c r="J428" s="99" t="n">
        <v>43598</v>
      </c>
      <c r="K428" s="100" t="n">
        <v>-455749</v>
      </c>
      <c r="L428" s="100" t="n">
        <f aca="false">K428-Q428+T428</f>
        <v>-386227.96</v>
      </c>
      <c r="M428" s="98" t="s">
        <v>149</v>
      </c>
      <c r="N428" s="100" t="n">
        <v>-455749</v>
      </c>
      <c r="O428" s="98" t="s">
        <v>149</v>
      </c>
      <c r="P428" s="100" t="n">
        <v>-455749</v>
      </c>
      <c r="Q428" s="100" t="n">
        <v>-69521.04</v>
      </c>
      <c r="R428" s="100" t="n">
        <v>-386227.96</v>
      </c>
      <c r="S428" s="100" t="n">
        <v>0</v>
      </c>
      <c r="T428" s="100" t="n">
        <v>0</v>
      </c>
      <c r="U428" s="98" t="s">
        <v>192</v>
      </c>
      <c r="V428" s="98" t="s">
        <v>151</v>
      </c>
      <c r="X428" s="98" t="s">
        <v>1212</v>
      </c>
      <c r="Y428" s="98" t="s">
        <v>1213</v>
      </c>
      <c r="Z428" s="98" t="s">
        <v>1458</v>
      </c>
      <c r="AB428" s="98" t="s">
        <v>1213</v>
      </c>
      <c r="AD428" s="98" t="s">
        <v>155</v>
      </c>
      <c r="AE428" s="98" t="s">
        <v>156</v>
      </c>
      <c r="AF428" s="98" t="s">
        <v>728</v>
      </c>
      <c r="AG428" s="98" t="s">
        <v>729</v>
      </c>
      <c r="AH428" s="98" t="s">
        <v>971</v>
      </c>
      <c r="AI428" s="98" t="s">
        <v>971</v>
      </c>
      <c r="AJ428" s="98" t="s">
        <v>972</v>
      </c>
      <c r="AK428" s="98" t="s">
        <v>159</v>
      </c>
      <c r="AL428" s="98" t="s">
        <v>224</v>
      </c>
      <c r="AM428" s="98" t="s">
        <v>225</v>
      </c>
      <c r="AP428" s="98" t="s">
        <v>359</v>
      </c>
      <c r="AQ428" s="98" t="s">
        <v>357</v>
      </c>
      <c r="AR428" s="98" t="s">
        <v>324</v>
      </c>
      <c r="AS428" s="98" t="s">
        <v>1459</v>
      </c>
      <c r="AT428" s="100" t="n">
        <v>0</v>
      </c>
      <c r="AU428" s="100" t="n">
        <v>-455749</v>
      </c>
      <c r="AX428" s="98" t="s">
        <v>535</v>
      </c>
      <c r="AMH428" s="0"/>
      <c r="AMI428" s="0"/>
      <c r="AMJ428" s="0"/>
    </row>
    <row r="429" s="98" customFormat="true" ht="13.8" hidden="false" customHeight="false" outlineLevel="0" collapsed="false">
      <c r="A429" s="98" t="s">
        <v>142</v>
      </c>
      <c r="B429" s="98" t="s">
        <v>143</v>
      </c>
      <c r="C429" s="98" t="n">
        <v>51083808</v>
      </c>
      <c r="D429" s="98" t="s">
        <v>1457</v>
      </c>
      <c r="E429" s="98" t="s">
        <v>725</v>
      </c>
      <c r="F429" s="98" t="s">
        <v>297</v>
      </c>
      <c r="G429" s="98" t="s">
        <v>147</v>
      </c>
      <c r="H429" s="98" t="s">
        <v>220</v>
      </c>
      <c r="I429" s="99" t="n">
        <v>43558</v>
      </c>
      <c r="J429" s="99" t="n">
        <v>43598</v>
      </c>
      <c r="K429" s="100" t="n">
        <v>-26808.76</v>
      </c>
      <c r="L429" s="100" t="n">
        <f aca="false">K429-Q429+T429</f>
        <v>-22719.29</v>
      </c>
      <c r="M429" s="98" t="s">
        <v>149</v>
      </c>
      <c r="N429" s="100" t="n">
        <v>-26808.76</v>
      </c>
      <c r="O429" s="98" t="s">
        <v>149</v>
      </c>
      <c r="P429" s="100" t="n">
        <v>-26808.76</v>
      </c>
      <c r="Q429" s="100" t="n">
        <v>-4089.47</v>
      </c>
      <c r="R429" s="100" t="n">
        <v>-22719.29</v>
      </c>
      <c r="S429" s="100" t="n">
        <v>0</v>
      </c>
      <c r="T429" s="100" t="n">
        <v>0</v>
      </c>
      <c r="U429" s="98" t="s">
        <v>192</v>
      </c>
      <c r="V429" s="98" t="s">
        <v>151</v>
      </c>
      <c r="X429" s="98" t="s">
        <v>1212</v>
      </c>
      <c r="Y429" s="98" t="s">
        <v>1213</v>
      </c>
      <c r="Z429" s="98" t="s">
        <v>1458</v>
      </c>
      <c r="AB429" s="98" t="s">
        <v>1213</v>
      </c>
      <c r="AD429" s="98" t="s">
        <v>155</v>
      </c>
      <c r="AE429" s="98" t="s">
        <v>156</v>
      </c>
      <c r="AF429" s="98" t="s">
        <v>728</v>
      </c>
      <c r="AG429" s="98" t="s">
        <v>729</v>
      </c>
      <c r="AH429" s="98" t="s">
        <v>971</v>
      </c>
      <c r="AI429" s="98" t="s">
        <v>971</v>
      </c>
      <c r="AJ429" s="98" t="s">
        <v>972</v>
      </c>
      <c r="AK429" s="98" t="s">
        <v>159</v>
      </c>
      <c r="AL429" s="98" t="s">
        <v>224</v>
      </c>
      <c r="AM429" s="98" t="s">
        <v>225</v>
      </c>
      <c r="AP429" s="98" t="s">
        <v>553</v>
      </c>
      <c r="AQ429" s="98" t="s">
        <v>551</v>
      </c>
      <c r="AR429" s="98" t="s">
        <v>324</v>
      </c>
      <c r="AS429" s="98" t="s">
        <v>1459</v>
      </c>
      <c r="AT429" s="100" t="n">
        <v>0</v>
      </c>
      <c r="AU429" s="100" t="n">
        <v>-26808.76</v>
      </c>
      <c r="AX429" s="98" t="s">
        <v>586</v>
      </c>
      <c r="AMH429" s="0"/>
      <c r="AMI429" s="0"/>
      <c r="AMJ429" s="0"/>
    </row>
    <row r="430" s="98" customFormat="true" ht="13.8" hidden="false" customHeight="false" outlineLevel="0" collapsed="false">
      <c r="A430" s="98" t="s">
        <v>142</v>
      </c>
      <c r="B430" s="98" t="s">
        <v>143</v>
      </c>
      <c r="C430" s="98" t="n">
        <v>51083808</v>
      </c>
      <c r="D430" s="98" t="s">
        <v>1457</v>
      </c>
      <c r="E430" s="98" t="s">
        <v>725</v>
      </c>
      <c r="F430" s="98" t="s">
        <v>297</v>
      </c>
      <c r="G430" s="98" t="s">
        <v>147</v>
      </c>
      <c r="H430" s="98" t="s">
        <v>220</v>
      </c>
      <c r="I430" s="99" t="n">
        <v>43558</v>
      </c>
      <c r="J430" s="99" t="n">
        <v>43598</v>
      </c>
      <c r="K430" s="100" t="n">
        <v>-26808.77</v>
      </c>
      <c r="L430" s="100" t="n">
        <f aca="false">K430-Q430+T430</f>
        <v>-22719.3</v>
      </c>
      <c r="M430" s="98" t="s">
        <v>149</v>
      </c>
      <c r="N430" s="100" t="n">
        <v>-26808.77</v>
      </c>
      <c r="O430" s="98" t="s">
        <v>149</v>
      </c>
      <c r="P430" s="100" t="n">
        <v>-26808.77</v>
      </c>
      <c r="Q430" s="100" t="n">
        <v>-4089.47</v>
      </c>
      <c r="R430" s="100" t="n">
        <v>-22719.3</v>
      </c>
      <c r="S430" s="100" t="n">
        <v>0</v>
      </c>
      <c r="T430" s="100" t="n">
        <v>0</v>
      </c>
      <c r="U430" s="98" t="s">
        <v>192</v>
      </c>
      <c r="V430" s="98" t="s">
        <v>151</v>
      </c>
      <c r="X430" s="98" t="s">
        <v>1212</v>
      </c>
      <c r="Y430" s="98" t="s">
        <v>1213</v>
      </c>
      <c r="Z430" s="98" t="s">
        <v>1458</v>
      </c>
      <c r="AB430" s="98" t="s">
        <v>1213</v>
      </c>
      <c r="AD430" s="98" t="s">
        <v>155</v>
      </c>
      <c r="AE430" s="98" t="s">
        <v>156</v>
      </c>
      <c r="AF430" s="98" t="s">
        <v>728</v>
      </c>
      <c r="AG430" s="98" t="s">
        <v>729</v>
      </c>
      <c r="AH430" s="98" t="s">
        <v>971</v>
      </c>
      <c r="AI430" s="98" t="s">
        <v>971</v>
      </c>
      <c r="AJ430" s="98" t="s">
        <v>972</v>
      </c>
      <c r="AK430" s="98" t="s">
        <v>159</v>
      </c>
      <c r="AL430" s="98" t="s">
        <v>224</v>
      </c>
      <c r="AM430" s="98" t="s">
        <v>225</v>
      </c>
      <c r="AP430" s="98" t="s">
        <v>553</v>
      </c>
      <c r="AQ430" s="98" t="s">
        <v>551</v>
      </c>
      <c r="AR430" s="98" t="s">
        <v>324</v>
      </c>
      <c r="AS430" s="98" t="s">
        <v>1459</v>
      </c>
      <c r="AT430" s="100" t="n">
        <v>0</v>
      </c>
      <c r="AU430" s="100" t="n">
        <v>-26808.77</v>
      </c>
      <c r="AX430" s="98" t="s">
        <v>191</v>
      </c>
      <c r="AMH430" s="0"/>
      <c r="AMI430" s="0"/>
      <c r="AMJ430" s="0"/>
    </row>
    <row r="431" s="98" customFormat="true" ht="13.8" hidden="false" customHeight="false" outlineLevel="0" collapsed="false">
      <c r="A431" s="98" t="s">
        <v>142</v>
      </c>
      <c r="B431" s="98" t="s">
        <v>143</v>
      </c>
      <c r="C431" s="98" t="n">
        <v>51491723</v>
      </c>
      <c r="D431" s="98" t="s">
        <v>1460</v>
      </c>
      <c r="E431" s="98" t="s">
        <v>725</v>
      </c>
      <c r="F431" s="98" t="s">
        <v>266</v>
      </c>
      <c r="G431" s="98" t="s">
        <v>147</v>
      </c>
      <c r="H431" s="98" t="s">
        <v>556</v>
      </c>
      <c r="I431" s="104" t="n">
        <v>43748</v>
      </c>
      <c r="J431" s="99" t="n">
        <v>43788</v>
      </c>
      <c r="K431" s="100" t="n">
        <v>-1739403.83</v>
      </c>
      <c r="L431" s="100" t="n">
        <f aca="false">K431-Q431+T431</f>
        <v>-1499486.53</v>
      </c>
      <c r="M431" s="98" t="s">
        <v>149</v>
      </c>
      <c r="N431" s="100" t="n">
        <v>-1739403.83</v>
      </c>
      <c r="O431" s="98" t="s">
        <v>149</v>
      </c>
      <c r="P431" s="100" t="n">
        <v>-1769393.83</v>
      </c>
      <c r="Q431" s="100" t="n">
        <v>-269907.3</v>
      </c>
      <c r="R431" s="100" t="n">
        <v>-1739403.83</v>
      </c>
      <c r="S431" s="100" t="n">
        <v>-1499486.3</v>
      </c>
      <c r="T431" s="100" t="n">
        <v>-29990</v>
      </c>
      <c r="U431" s="98" t="s">
        <v>192</v>
      </c>
      <c r="V431" s="98" t="s">
        <v>151</v>
      </c>
      <c r="X431" s="98" t="s">
        <v>1461</v>
      </c>
      <c r="Y431" s="98" t="s">
        <v>1462</v>
      </c>
      <c r="Z431" s="98" t="s">
        <v>1463</v>
      </c>
      <c r="AB431" s="98" t="s">
        <v>1462</v>
      </c>
      <c r="AD431" s="98" t="s">
        <v>155</v>
      </c>
      <c r="AE431" s="98" t="s">
        <v>156</v>
      </c>
      <c r="AF431" s="98" t="s">
        <v>747</v>
      </c>
      <c r="AG431" s="98" t="s">
        <v>748</v>
      </c>
      <c r="AH431" s="98" t="s">
        <v>749</v>
      </c>
      <c r="AI431" s="98" t="s">
        <v>749</v>
      </c>
      <c r="AJ431" s="98" t="s">
        <v>750</v>
      </c>
      <c r="AK431" s="98" t="s">
        <v>159</v>
      </c>
      <c r="AL431" s="98" t="s">
        <v>224</v>
      </c>
      <c r="AM431" s="98" t="s">
        <v>225</v>
      </c>
      <c r="AP431" s="98" t="s">
        <v>589</v>
      </c>
      <c r="AQ431" s="98" t="s">
        <v>587</v>
      </c>
      <c r="AR431" s="98" t="s">
        <v>571</v>
      </c>
      <c r="AS431" s="98" t="s">
        <v>1464</v>
      </c>
      <c r="AT431" s="100" t="n">
        <v>0</v>
      </c>
      <c r="AU431" s="100" t="n">
        <v>-1739403.83</v>
      </c>
      <c r="AX431" s="98" t="s">
        <v>165</v>
      </c>
      <c r="AMH431" s="0"/>
      <c r="AMI431" s="0"/>
      <c r="AMJ431" s="0"/>
    </row>
    <row r="432" s="98" customFormat="true" ht="13.8" hidden="false" customHeight="false" outlineLevel="0" collapsed="false">
      <c r="A432" s="98" t="s">
        <v>142</v>
      </c>
      <c r="B432" s="98" t="s">
        <v>143</v>
      </c>
      <c r="C432" s="98" t="n">
        <v>51244773</v>
      </c>
      <c r="D432" s="98" t="s">
        <v>1465</v>
      </c>
      <c r="E432" s="98" t="s">
        <v>725</v>
      </c>
      <c r="F432" s="98" t="s">
        <v>297</v>
      </c>
      <c r="G432" s="98" t="s">
        <v>147</v>
      </c>
      <c r="H432" s="98" t="s">
        <v>402</v>
      </c>
      <c r="I432" s="99" t="n">
        <v>43627</v>
      </c>
      <c r="J432" s="99" t="n">
        <v>43668</v>
      </c>
      <c r="K432" s="100" t="n">
        <v>-3154.04</v>
      </c>
      <c r="L432" s="100" t="n">
        <f aca="false">K432-Q432+T432</f>
        <v>-2672.92</v>
      </c>
      <c r="M432" s="98" t="s">
        <v>149</v>
      </c>
      <c r="N432" s="100" t="n">
        <v>-3154.04</v>
      </c>
      <c r="O432" s="98" t="s">
        <v>149</v>
      </c>
      <c r="P432" s="100" t="n">
        <v>-3154.04</v>
      </c>
      <c r="Q432" s="100" t="n">
        <v>-481.12</v>
      </c>
      <c r="R432" s="100" t="n">
        <v>-2672.92</v>
      </c>
      <c r="S432" s="100" t="n">
        <v>0</v>
      </c>
      <c r="T432" s="100" t="n">
        <v>0</v>
      </c>
      <c r="U432" s="98" t="s">
        <v>192</v>
      </c>
      <c r="V432" s="98" t="s">
        <v>151</v>
      </c>
      <c r="X432" s="98" t="s">
        <v>1212</v>
      </c>
      <c r="Y432" s="98" t="s">
        <v>1213</v>
      </c>
      <c r="Z432" s="98" t="s">
        <v>1466</v>
      </c>
      <c r="AB432" s="98" t="s">
        <v>1213</v>
      </c>
      <c r="AD432" s="98" t="s">
        <v>155</v>
      </c>
      <c r="AE432" s="98" t="s">
        <v>156</v>
      </c>
      <c r="AF432" s="98" t="s">
        <v>728</v>
      </c>
      <c r="AG432" s="98" t="s">
        <v>729</v>
      </c>
      <c r="AH432" s="98" t="s">
        <v>971</v>
      </c>
      <c r="AI432" s="98" t="s">
        <v>971</v>
      </c>
      <c r="AJ432" s="98" t="s">
        <v>972</v>
      </c>
      <c r="AK432" s="98" t="s">
        <v>159</v>
      </c>
      <c r="AL432" s="98" t="s">
        <v>224</v>
      </c>
      <c r="AM432" s="98" t="s">
        <v>225</v>
      </c>
      <c r="AP432" s="98" t="s">
        <v>553</v>
      </c>
      <c r="AQ432" s="98" t="s">
        <v>551</v>
      </c>
      <c r="AR432" s="98" t="s">
        <v>1415</v>
      </c>
      <c r="AS432" s="98" t="s">
        <v>1467</v>
      </c>
      <c r="AT432" s="100" t="n">
        <v>0</v>
      </c>
      <c r="AU432" s="100" t="n">
        <v>-3154.04</v>
      </c>
      <c r="AX432" s="98" t="s">
        <v>213</v>
      </c>
      <c r="AMH432" s="0"/>
      <c r="AMI432" s="0"/>
      <c r="AMJ432" s="0"/>
    </row>
    <row r="433" s="98" customFormat="true" ht="13.8" hidden="false" customHeight="false" outlineLevel="0" collapsed="false">
      <c r="A433" s="98" t="s">
        <v>142</v>
      </c>
      <c r="B433" s="98" t="s">
        <v>143</v>
      </c>
      <c r="C433" s="98" t="n">
        <v>51244773</v>
      </c>
      <c r="D433" s="98" t="s">
        <v>1465</v>
      </c>
      <c r="E433" s="98" t="s">
        <v>725</v>
      </c>
      <c r="F433" s="98" t="s">
        <v>297</v>
      </c>
      <c r="G433" s="98" t="s">
        <v>147</v>
      </c>
      <c r="H433" s="98" t="s">
        <v>402</v>
      </c>
      <c r="I433" s="99" t="n">
        <v>43627</v>
      </c>
      <c r="J433" s="99" t="n">
        <v>43668</v>
      </c>
      <c r="K433" s="100" t="n">
        <v>-53618.71</v>
      </c>
      <c r="L433" s="100" t="n">
        <f aca="false">K433-Q433+T433</f>
        <v>-45439.6</v>
      </c>
      <c r="M433" s="98" t="s">
        <v>149</v>
      </c>
      <c r="N433" s="100" t="n">
        <v>-53618.71</v>
      </c>
      <c r="O433" s="98" t="s">
        <v>149</v>
      </c>
      <c r="P433" s="100" t="n">
        <v>-53618.71</v>
      </c>
      <c r="Q433" s="100" t="n">
        <v>-8179.11</v>
      </c>
      <c r="R433" s="100" t="n">
        <v>-45439.6</v>
      </c>
      <c r="S433" s="100" t="n">
        <v>0</v>
      </c>
      <c r="T433" s="100" t="n">
        <v>0</v>
      </c>
      <c r="U433" s="98" t="s">
        <v>192</v>
      </c>
      <c r="V433" s="98" t="s">
        <v>151</v>
      </c>
      <c r="X433" s="98" t="s">
        <v>1212</v>
      </c>
      <c r="Y433" s="98" t="s">
        <v>1213</v>
      </c>
      <c r="Z433" s="98" t="s">
        <v>1466</v>
      </c>
      <c r="AB433" s="98" t="s">
        <v>1213</v>
      </c>
      <c r="AD433" s="98" t="s">
        <v>155</v>
      </c>
      <c r="AE433" s="98" t="s">
        <v>156</v>
      </c>
      <c r="AF433" s="98" t="s">
        <v>728</v>
      </c>
      <c r="AG433" s="98" t="s">
        <v>729</v>
      </c>
      <c r="AH433" s="98" t="s">
        <v>971</v>
      </c>
      <c r="AI433" s="98" t="s">
        <v>971</v>
      </c>
      <c r="AJ433" s="98" t="s">
        <v>972</v>
      </c>
      <c r="AK433" s="98" t="s">
        <v>159</v>
      </c>
      <c r="AL433" s="98" t="s">
        <v>224</v>
      </c>
      <c r="AM433" s="98" t="s">
        <v>225</v>
      </c>
      <c r="AP433" s="98" t="s">
        <v>459</v>
      </c>
      <c r="AQ433" s="98" t="s">
        <v>457</v>
      </c>
      <c r="AR433" s="98" t="s">
        <v>1415</v>
      </c>
      <c r="AS433" s="98" t="s">
        <v>1467</v>
      </c>
      <c r="AT433" s="100" t="n">
        <v>0</v>
      </c>
      <c r="AU433" s="100" t="n">
        <v>-53618.71</v>
      </c>
      <c r="AX433" s="98" t="s">
        <v>191</v>
      </c>
      <c r="AMH433" s="0"/>
      <c r="AMI433" s="0"/>
      <c r="AMJ433" s="0"/>
    </row>
    <row r="434" s="98" customFormat="true" ht="13.8" hidden="false" customHeight="false" outlineLevel="0" collapsed="false">
      <c r="A434" s="98" t="s">
        <v>142</v>
      </c>
      <c r="B434" s="98" t="s">
        <v>143</v>
      </c>
      <c r="C434" s="98" t="n">
        <v>51244773</v>
      </c>
      <c r="D434" s="98" t="s">
        <v>1465</v>
      </c>
      <c r="E434" s="98" t="s">
        <v>725</v>
      </c>
      <c r="F434" s="98" t="s">
        <v>297</v>
      </c>
      <c r="G434" s="98" t="s">
        <v>147</v>
      </c>
      <c r="H434" s="98" t="s">
        <v>402</v>
      </c>
      <c r="I434" s="99" t="n">
        <v>43627</v>
      </c>
      <c r="J434" s="99" t="n">
        <v>43668</v>
      </c>
      <c r="K434" s="100" t="n">
        <v>-3154.05</v>
      </c>
      <c r="L434" s="100" t="n">
        <f aca="false">K434-Q434+T434</f>
        <v>-2672.92</v>
      </c>
      <c r="M434" s="98" t="s">
        <v>149</v>
      </c>
      <c r="N434" s="100" t="n">
        <v>-3154.05</v>
      </c>
      <c r="O434" s="98" t="s">
        <v>149</v>
      </c>
      <c r="P434" s="100" t="n">
        <v>-3154.05</v>
      </c>
      <c r="Q434" s="100" t="n">
        <v>-481.13</v>
      </c>
      <c r="R434" s="100" t="n">
        <v>-2672.92</v>
      </c>
      <c r="S434" s="100" t="n">
        <v>0</v>
      </c>
      <c r="T434" s="100" t="n">
        <v>0</v>
      </c>
      <c r="U434" s="98" t="s">
        <v>192</v>
      </c>
      <c r="V434" s="98" t="s">
        <v>151</v>
      </c>
      <c r="X434" s="98" t="s">
        <v>1212</v>
      </c>
      <c r="Y434" s="98" t="s">
        <v>1213</v>
      </c>
      <c r="Z434" s="98" t="s">
        <v>1466</v>
      </c>
      <c r="AB434" s="98" t="s">
        <v>1213</v>
      </c>
      <c r="AD434" s="98" t="s">
        <v>155</v>
      </c>
      <c r="AE434" s="98" t="s">
        <v>156</v>
      </c>
      <c r="AF434" s="98" t="s">
        <v>728</v>
      </c>
      <c r="AG434" s="98" t="s">
        <v>729</v>
      </c>
      <c r="AH434" s="98" t="s">
        <v>971</v>
      </c>
      <c r="AI434" s="98" t="s">
        <v>971</v>
      </c>
      <c r="AJ434" s="98" t="s">
        <v>972</v>
      </c>
      <c r="AK434" s="98" t="s">
        <v>159</v>
      </c>
      <c r="AL434" s="98" t="s">
        <v>224</v>
      </c>
      <c r="AM434" s="98" t="s">
        <v>225</v>
      </c>
      <c r="AP434" s="98" t="s">
        <v>553</v>
      </c>
      <c r="AQ434" s="98" t="s">
        <v>551</v>
      </c>
      <c r="AR434" s="98" t="s">
        <v>1415</v>
      </c>
      <c r="AS434" s="98" t="s">
        <v>1467</v>
      </c>
      <c r="AT434" s="100" t="n">
        <v>0</v>
      </c>
      <c r="AU434" s="100" t="n">
        <v>-3154.05</v>
      </c>
      <c r="AX434" s="98" t="s">
        <v>1446</v>
      </c>
      <c r="AMH434" s="0"/>
      <c r="AMI434" s="0"/>
      <c r="AMJ434" s="0"/>
    </row>
    <row r="435" s="98" customFormat="true" ht="13.8" hidden="false" customHeight="false" outlineLevel="0" collapsed="false">
      <c r="A435" s="98" t="s">
        <v>142</v>
      </c>
      <c r="B435" s="98" t="s">
        <v>143</v>
      </c>
      <c r="C435" s="98" t="n">
        <v>51244773</v>
      </c>
      <c r="D435" s="98" t="s">
        <v>1465</v>
      </c>
      <c r="E435" s="98" t="s">
        <v>725</v>
      </c>
      <c r="F435" s="98" t="s">
        <v>297</v>
      </c>
      <c r="G435" s="98" t="s">
        <v>147</v>
      </c>
      <c r="H435" s="98" t="s">
        <v>402</v>
      </c>
      <c r="I435" s="99" t="n">
        <v>43627</v>
      </c>
      <c r="J435" s="99" t="n">
        <v>43668</v>
      </c>
      <c r="K435" s="100" t="n">
        <v>-3154.04</v>
      </c>
      <c r="L435" s="100" t="n">
        <f aca="false">K435-Q435+T435</f>
        <v>-2672.92</v>
      </c>
      <c r="M435" s="98" t="s">
        <v>149</v>
      </c>
      <c r="N435" s="100" t="n">
        <v>-3154.04</v>
      </c>
      <c r="O435" s="98" t="s">
        <v>149</v>
      </c>
      <c r="P435" s="100" t="n">
        <v>-3154.04</v>
      </c>
      <c r="Q435" s="100" t="n">
        <v>-481.12</v>
      </c>
      <c r="R435" s="100" t="n">
        <v>-2672.92</v>
      </c>
      <c r="S435" s="100" t="n">
        <v>0</v>
      </c>
      <c r="T435" s="100" t="n">
        <v>0</v>
      </c>
      <c r="U435" s="98" t="s">
        <v>192</v>
      </c>
      <c r="V435" s="98" t="s">
        <v>151</v>
      </c>
      <c r="X435" s="98" t="s">
        <v>1212</v>
      </c>
      <c r="Y435" s="98" t="s">
        <v>1213</v>
      </c>
      <c r="Z435" s="98" t="s">
        <v>1466</v>
      </c>
      <c r="AB435" s="98" t="s">
        <v>1213</v>
      </c>
      <c r="AD435" s="98" t="s">
        <v>155</v>
      </c>
      <c r="AE435" s="98" t="s">
        <v>156</v>
      </c>
      <c r="AF435" s="98" t="s">
        <v>728</v>
      </c>
      <c r="AG435" s="98" t="s">
        <v>729</v>
      </c>
      <c r="AH435" s="98" t="s">
        <v>971</v>
      </c>
      <c r="AI435" s="98" t="s">
        <v>971</v>
      </c>
      <c r="AJ435" s="98" t="s">
        <v>972</v>
      </c>
      <c r="AK435" s="98" t="s">
        <v>159</v>
      </c>
      <c r="AL435" s="98" t="s">
        <v>224</v>
      </c>
      <c r="AM435" s="98" t="s">
        <v>225</v>
      </c>
      <c r="AP435" s="98" t="s">
        <v>553</v>
      </c>
      <c r="AQ435" s="98" t="s">
        <v>551</v>
      </c>
      <c r="AR435" s="98" t="s">
        <v>1415</v>
      </c>
      <c r="AS435" s="98" t="s">
        <v>1467</v>
      </c>
      <c r="AT435" s="100" t="n">
        <v>0</v>
      </c>
      <c r="AU435" s="100" t="n">
        <v>-3154.04</v>
      </c>
      <c r="AX435" s="98" t="s">
        <v>200</v>
      </c>
      <c r="AMH435" s="0"/>
      <c r="AMI435" s="0"/>
      <c r="AMJ435" s="0"/>
    </row>
    <row r="436" s="98" customFormat="true" ht="13.8" hidden="false" customHeight="false" outlineLevel="0" collapsed="false">
      <c r="A436" s="98" t="s">
        <v>142</v>
      </c>
      <c r="B436" s="98" t="s">
        <v>143</v>
      </c>
      <c r="C436" s="98" t="n">
        <v>51270621</v>
      </c>
      <c r="D436" s="98" t="s">
        <v>1468</v>
      </c>
      <c r="E436" s="98" t="s">
        <v>725</v>
      </c>
      <c r="F436" s="98" t="s">
        <v>333</v>
      </c>
      <c r="G436" s="98" t="s">
        <v>147</v>
      </c>
      <c r="H436" s="98" t="s">
        <v>168</v>
      </c>
      <c r="I436" s="99" t="n">
        <v>43633</v>
      </c>
      <c r="J436" s="99" t="n">
        <v>43678</v>
      </c>
      <c r="K436" s="100" t="n">
        <v>-826000</v>
      </c>
      <c r="L436" s="100" t="n">
        <f aca="false">K436-Q436+T436</f>
        <v>-700000</v>
      </c>
      <c r="M436" s="98" t="s">
        <v>149</v>
      </c>
      <c r="N436" s="100" t="n">
        <v>-826000</v>
      </c>
      <c r="O436" s="98" t="s">
        <v>149</v>
      </c>
      <c r="P436" s="100" t="n">
        <v>-826000</v>
      </c>
      <c r="Q436" s="100" t="n">
        <v>-126000</v>
      </c>
      <c r="R436" s="100" t="n">
        <v>-700000</v>
      </c>
      <c r="S436" s="100" t="n">
        <v>0</v>
      </c>
      <c r="T436" s="100" t="n">
        <v>0</v>
      </c>
      <c r="U436" s="98" t="s">
        <v>192</v>
      </c>
      <c r="V436" s="98" t="s">
        <v>151</v>
      </c>
      <c r="Y436" s="98" t="s">
        <v>982</v>
      </c>
      <c r="Z436" s="98" t="s">
        <v>1469</v>
      </c>
      <c r="AB436" s="98" t="s">
        <v>982</v>
      </c>
      <c r="AD436" s="98" t="s">
        <v>155</v>
      </c>
      <c r="AE436" s="98" t="s">
        <v>156</v>
      </c>
      <c r="AF436" s="98" t="s">
        <v>737</v>
      </c>
      <c r="AG436" s="98" t="s">
        <v>738</v>
      </c>
      <c r="AH436" s="98" t="s">
        <v>739</v>
      </c>
      <c r="AI436" s="98" t="s">
        <v>739</v>
      </c>
      <c r="AJ436" s="98" t="s">
        <v>740</v>
      </c>
      <c r="AK436" s="98" t="s">
        <v>159</v>
      </c>
      <c r="AL436" s="98" t="s">
        <v>224</v>
      </c>
      <c r="AM436" s="98" t="s">
        <v>225</v>
      </c>
      <c r="AP436" s="98" t="s">
        <v>484</v>
      </c>
      <c r="AQ436" s="98" t="s">
        <v>482</v>
      </c>
      <c r="AR436" s="98" t="s">
        <v>1470</v>
      </c>
      <c r="AS436" s="98" t="s">
        <v>1471</v>
      </c>
      <c r="AT436" s="100" t="n">
        <v>0</v>
      </c>
      <c r="AU436" s="100" t="n">
        <v>-826000</v>
      </c>
      <c r="AX436" s="98" t="s">
        <v>165</v>
      </c>
      <c r="AMH436" s="0"/>
      <c r="AMI436" s="0"/>
      <c r="AMJ436" s="0"/>
    </row>
    <row r="437" s="98" customFormat="true" ht="13.8" hidden="false" customHeight="false" outlineLevel="0" collapsed="false">
      <c r="A437" s="98" t="s">
        <v>142</v>
      </c>
      <c r="B437" s="98" t="s">
        <v>143</v>
      </c>
      <c r="C437" s="98" t="n">
        <v>51582760</v>
      </c>
      <c r="D437" s="98" t="s">
        <v>1472</v>
      </c>
      <c r="E437" s="98" t="s">
        <v>725</v>
      </c>
      <c r="F437" s="98" t="s">
        <v>167</v>
      </c>
      <c r="G437" s="98" t="s">
        <v>147</v>
      </c>
      <c r="H437" s="98" t="s">
        <v>191</v>
      </c>
      <c r="I437" s="104" t="n">
        <v>43788</v>
      </c>
      <c r="J437" s="99" t="n">
        <v>43833</v>
      </c>
      <c r="K437" s="100" t="n">
        <v>-1042.1</v>
      </c>
      <c r="L437" s="100" t="n">
        <f aca="false">K437-Q437+T437</f>
        <v>-1060.07</v>
      </c>
      <c r="M437" s="98" t="s">
        <v>149</v>
      </c>
      <c r="N437" s="100" t="n">
        <v>-1042.1</v>
      </c>
      <c r="O437" s="98" t="s">
        <v>149</v>
      </c>
      <c r="P437" s="100" t="n">
        <v>-1060.1</v>
      </c>
      <c r="Q437" s="100" t="n">
        <v>0</v>
      </c>
      <c r="R437" s="100" t="n">
        <v>-1042.1</v>
      </c>
      <c r="S437" s="100" t="n">
        <v>-875.91</v>
      </c>
      <c r="T437" s="100" t="n">
        <v>-17.97</v>
      </c>
      <c r="U437" s="98" t="s">
        <v>150</v>
      </c>
      <c r="V437" s="98" t="s">
        <v>151</v>
      </c>
      <c r="Y437" s="98" t="s">
        <v>1473</v>
      </c>
      <c r="Z437" s="98" t="s">
        <v>1474</v>
      </c>
      <c r="AB437" s="98" t="s">
        <v>1473</v>
      </c>
      <c r="AD437" s="98" t="s">
        <v>155</v>
      </c>
      <c r="AE437" s="98" t="s">
        <v>156</v>
      </c>
      <c r="AF437" s="98" t="s">
        <v>747</v>
      </c>
      <c r="AG437" s="98" t="s">
        <v>748</v>
      </c>
      <c r="AH437" s="98" t="s">
        <v>971</v>
      </c>
      <c r="AI437" s="98" t="s">
        <v>971</v>
      </c>
      <c r="AJ437" s="98" t="s">
        <v>972</v>
      </c>
      <c r="AK437" s="98" t="s">
        <v>159</v>
      </c>
      <c r="AL437" s="98" t="s">
        <v>224</v>
      </c>
      <c r="AM437" s="98" t="s">
        <v>225</v>
      </c>
      <c r="AR437" s="98" t="s">
        <v>1475</v>
      </c>
      <c r="AS437" s="98" t="s">
        <v>1476</v>
      </c>
      <c r="AT437" s="100" t="n">
        <v>0</v>
      </c>
      <c r="AU437" s="100" t="n">
        <v>-1042.1</v>
      </c>
      <c r="AX437" s="98" t="s">
        <v>402</v>
      </c>
      <c r="AMH437" s="0"/>
      <c r="AMI437" s="0"/>
      <c r="AMJ437" s="0"/>
    </row>
    <row r="438" s="98" customFormat="true" ht="13.8" hidden="false" customHeight="false" outlineLevel="0" collapsed="false">
      <c r="A438" s="98" t="s">
        <v>142</v>
      </c>
      <c r="B438" s="98" t="s">
        <v>143</v>
      </c>
      <c r="C438" s="98" t="n">
        <v>51582760</v>
      </c>
      <c r="D438" s="98" t="s">
        <v>1472</v>
      </c>
      <c r="E438" s="98" t="s">
        <v>725</v>
      </c>
      <c r="F438" s="98" t="s">
        <v>167</v>
      </c>
      <c r="G438" s="98" t="s">
        <v>147</v>
      </c>
      <c r="H438" s="98" t="s">
        <v>191</v>
      </c>
      <c r="I438" s="104" t="n">
        <v>43788</v>
      </c>
      <c r="J438" s="99" t="n">
        <v>43833</v>
      </c>
      <c r="K438" s="100" t="n">
        <v>-39600.9</v>
      </c>
      <c r="L438" s="100" t="n">
        <f aca="false">K438-Q438+T438</f>
        <v>-40283.95</v>
      </c>
      <c r="M438" s="98" t="s">
        <v>149</v>
      </c>
      <c r="N438" s="100" t="n">
        <v>-39600.9</v>
      </c>
      <c r="O438" s="98" t="s">
        <v>149</v>
      </c>
      <c r="P438" s="100" t="n">
        <v>-40283.9</v>
      </c>
      <c r="Q438" s="100" t="n">
        <v>0</v>
      </c>
      <c r="R438" s="100" t="n">
        <v>-39600.9</v>
      </c>
      <c r="S438" s="100" t="n">
        <v>-33285.47</v>
      </c>
      <c r="T438" s="100" t="n">
        <v>-683.05</v>
      </c>
      <c r="U438" s="98" t="s">
        <v>150</v>
      </c>
      <c r="V438" s="98" t="s">
        <v>151</v>
      </c>
      <c r="Y438" s="98" t="s">
        <v>1473</v>
      </c>
      <c r="Z438" s="98" t="s">
        <v>1474</v>
      </c>
      <c r="AB438" s="98" t="s">
        <v>1473</v>
      </c>
      <c r="AD438" s="98" t="s">
        <v>155</v>
      </c>
      <c r="AE438" s="98" t="s">
        <v>156</v>
      </c>
      <c r="AF438" s="98" t="s">
        <v>747</v>
      </c>
      <c r="AG438" s="98" t="s">
        <v>748</v>
      </c>
      <c r="AH438" s="98" t="s">
        <v>971</v>
      </c>
      <c r="AI438" s="98" t="s">
        <v>971</v>
      </c>
      <c r="AJ438" s="98" t="s">
        <v>972</v>
      </c>
      <c r="AK438" s="98" t="s">
        <v>159</v>
      </c>
      <c r="AL438" s="98" t="s">
        <v>224</v>
      </c>
      <c r="AM438" s="98" t="s">
        <v>225</v>
      </c>
      <c r="AP438" s="98" t="s">
        <v>655</v>
      </c>
      <c r="AQ438" s="98" t="s">
        <v>653</v>
      </c>
      <c r="AR438" s="98" t="s">
        <v>1475</v>
      </c>
      <c r="AS438" s="98" t="s">
        <v>1476</v>
      </c>
      <c r="AT438" s="100" t="n">
        <v>0</v>
      </c>
      <c r="AU438" s="100" t="n">
        <v>-39600.9</v>
      </c>
      <c r="AX438" s="98" t="s">
        <v>148</v>
      </c>
      <c r="AMH438" s="0"/>
      <c r="AMI438" s="0"/>
      <c r="AMJ438" s="0"/>
    </row>
    <row r="439" s="98" customFormat="true" ht="13.8" hidden="false" customHeight="false" outlineLevel="0" collapsed="false">
      <c r="A439" s="98" t="s">
        <v>142</v>
      </c>
      <c r="B439" s="98" t="s">
        <v>143</v>
      </c>
      <c r="C439" s="98" t="n">
        <v>51582760</v>
      </c>
      <c r="D439" s="98" t="s">
        <v>1472</v>
      </c>
      <c r="E439" s="98" t="s">
        <v>725</v>
      </c>
      <c r="F439" s="98" t="s">
        <v>167</v>
      </c>
      <c r="G439" s="98" t="s">
        <v>147</v>
      </c>
      <c r="H439" s="98" t="s">
        <v>191</v>
      </c>
      <c r="I439" s="104" t="n">
        <v>43788</v>
      </c>
      <c r="J439" s="99" t="n">
        <v>43833</v>
      </c>
      <c r="K439" s="100" t="n">
        <v>-1042.1</v>
      </c>
      <c r="L439" s="100" t="n">
        <f aca="false">K439-Q439+T439</f>
        <v>-1060.07</v>
      </c>
      <c r="M439" s="98" t="s">
        <v>149</v>
      </c>
      <c r="N439" s="100" t="n">
        <v>-1042.1</v>
      </c>
      <c r="O439" s="98" t="s">
        <v>149</v>
      </c>
      <c r="P439" s="100" t="n">
        <v>-1060.1</v>
      </c>
      <c r="Q439" s="100" t="n">
        <v>0</v>
      </c>
      <c r="R439" s="100" t="n">
        <v>-1042.1</v>
      </c>
      <c r="S439" s="100" t="n">
        <v>-875.91</v>
      </c>
      <c r="T439" s="100" t="n">
        <v>-17.97</v>
      </c>
      <c r="U439" s="98" t="s">
        <v>150</v>
      </c>
      <c r="V439" s="98" t="s">
        <v>151</v>
      </c>
      <c r="Y439" s="98" t="s">
        <v>1473</v>
      </c>
      <c r="Z439" s="98" t="s">
        <v>1474</v>
      </c>
      <c r="AB439" s="98" t="s">
        <v>1473</v>
      </c>
      <c r="AD439" s="98" t="s">
        <v>155</v>
      </c>
      <c r="AE439" s="98" t="s">
        <v>156</v>
      </c>
      <c r="AF439" s="98" t="s">
        <v>747</v>
      </c>
      <c r="AG439" s="98" t="s">
        <v>748</v>
      </c>
      <c r="AH439" s="98" t="s">
        <v>971</v>
      </c>
      <c r="AI439" s="98" t="s">
        <v>971</v>
      </c>
      <c r="AJ439" s="98" t="s">
        <v>972</v>
      </c>
      <c r="AK439" s="98" t="s">
        <v>159</v>
      </c>
      <c r="AL439" s="98" t="s">
        <v>224</v>
      </c>
      <c r="AM439" s="98" t="s">
        <v>225</v>
      </c>
      <c r="AR439" s="98" t="s">
        <v>1475</v>
      </c>
      <c r="AS439" s="98" t="s">
        <v>1476</v>
      </c>
      <c r="AT439" s="100" t="n">
        <v>0</v>
      </c>
      <c r="AU439" s="100" t="n">
        <v>-1042.1</v>
      </c>
      <c r="AX439" s="98" t="s">
        <v>168</v>
      </c>
      <c r="AMH439" s="0"/>
      <c r="AMI439" s="0"/>
      <c r="AMJ439" s="0"/>
    </row>
    <row r="440" s="98" customFormat="true" ht="13.8" hidden="false" customHeight="false" outlineLevel="0" collapsed="false">
      <c r="A440" s="98" t="s">
        <v>142</v>
      </c>
      <c r="B440" s="98" t="s">
        <v>143</v>
      </c>
      <c r="C440" s="98" t="n">
        <v>51323633</v>
      </c>
      <c r="D440" s="98" t="s">
        <v>1477</v>
      </c>
      <c r="E440" s="98" t="s">
        <v>725</v>
      </c>
      <c r="F440" s="98" t="s">
        <v>297</v>
      </c>
      <c r="G440" s="98" t="s">
        <v>147</v>
      </c>
      <c r="H440" s="98" t="s">
        <v>168</v>
      </c>
      <c r="I440" s="99" t="n">
        <v>43657</v>
      </c>
      <c r="J440" s="99" t="n">
        <v>43703</v>
      </c>
      <c r="K440" s="100" t="n">
        <v>-26270.17</v>
      </c>
      <c r="L440" s="100" t="n">
        <f aca="false">K440-Q440+T440</f>
        <v>-22262.86</v>
      </c>
      <c r="M440" s="98" t="s">
        <v>149</v>
      </c>
      <c r="N440" s="100" t="n">
        <v>-26270.17</v>
      </c>
      <c r="O440" s="98" t="s">
        <v>149</v>
      </c>
      <c r="P440" s="100" t="n">
        <v>-26270.17</v>
      </c>
      <c r="Q440" s="100" t="n">
        <v>-4007.31</v>
      </c>
      <c r="R440" s="100" t="n">
        <v>-22262.86</v>
      </c>
      <c r="S440" s="100" t="n">
        <v>0</v>
      </c>
      <c r="T440" s="100" t="n">
        <v>0</v>
      </c>
      <c r="U440" s="98" t="s">
        <v>192</v>
      </c>
      <c r="V440" s="98" t="s">
        <v>151</v>
      </c>
      <c r="X440" s="98" t="s">
        <v>1212</v>
      </c>
      <c r="Y440" s="98" t="s">
        <v>1213</v>
      </c>
      <c r="Z440" s="98" t="s">
        <v>1478</v>
      </c>
      <c r="AB440" s="98" t="s">
        <v>1213</v>
      </c>
      <c r="AD440" s="98" t="s">
        <v>155</v>
      </c>
      <c r="AE440" s="98" t="s">
        <v>156</v>
      </c>
      <c r="AF440" s="98" t="s">
        <v>728</v>
      </c>
      <c r="AG440" s="98" t="s">
        <v>729</v>
      </c>
      <c r="AH440" s="98" t="s">
        <v>971</v>
      </c>
      <c r="AI440" s="98" t="s">
        <v>971</v>
      </c>
      <c r="AJ440" s="98" t="s">
        <v>972</v>
      </c>
      <c r="AK440" s="98" t="s">
        <v>159</v>
      </c>
      <c r="AL440" s="98" t="s">
        <v>224</v>
      </c>
      <c r="AM440" s="98" t="s">
        <v>225</v>
      </c>
      <c r="AP440" s="98" t="s">
        <v>553</v>
      </c>
      <c r="AQ440" s="98" t="s">
        <v>551</v>
      </c>
      <c r="AR440" s="98" t="s">
        <v>1479</v>
      </c>
      <c r="AS440" s="98" t="s">
        <v>1480</v>
      </c>
      <c r="AT440" s="100" t="n">
        <v>0</v>
      </c>
      <c r="AU440" s="100" t="n">
        <v>-26270.17</v>
      </c>
      <c r="AX440" s="98" t="s">
        <v>586</v>
      </c>
      <c r="AMH440" s="0"/>
      <c r="AMI440" s="0"/>
      <c r="AMJ440" s="0"/>
    </row>
    <row r="441" s="98" customFormat="true" ht="13.8" hidden="false" customHeight="false" outlineLevel="0" collapsed="false">
      <c r="A441" s="98" t="s">
        <v>142</v>
      </c>
      <c r="B441" s="98" t="s">
        <v>143</v>
      </c>
      <c r="C441" s="98" t="n">
        <v>51323633</v>
      </c>
      <c r="D441" s="98" t="s">
        <v>1477</v>
      </c>
      <c r="E441" s="98" t="s">
        <v>725</v>
      </c>
      <c r="F441" s="98" t="s">
        <v>297</v>
      </c>
      <c r="G441" s="98" t="s">
        <v>147</v>
      </c>
      <c r="H441" s="98" t="s">
        <v>168</v>
      </c>
      <c r="I441" s="99" t="n">
        <v>43657</v>
      </c>
      <c r="J441" s="99" t="n">
        <v>43703</v>
      </c>
      <c r="K441" s="100" t="n">
        <v>-26270.17</v>
      </c>
      <c r="L441" s="100" t="n">
        <f aca="false">K441-Q441+T441</f>
        <v>-22262.86</v>
      </c>
      <c r="M441" s="98" t="s">
        <v>149</v>
      </c>
      <c r="N441" s="100" t="n">
        <v>-26270.17</v>
      </c>
      <c r="O441" s="98" t="s">
        <v>149</v>
      </c>
      <c r="P441" s="100" t="n">
        <v>-26270.17</v>
      </c>
      <c r="Q441" s="100" t="n">
        <v>-4007.31</v>
      </c>
      <c r="R441" s="100" t="n">
        <v>-22262.86</v>
      </c>
      <c r="S441" s="100" t="n">
        <v>0</v>
      </c>
      <c r="T441" s="100" t="n">
        <v>0</v>
      </c>
      <c r="U441" s="98" t="s">
        <v>192</v>
      </c>
      <c r="V441" s="98" t="s">
        <v>151</v>
      </c>
      <c r="X441" s="98" t="s">
        <v>1212</v>
      </c>
      <c r="Y441" s="98" t="s">
        <v>1213</v>
      </c>
      <c r="Z441" s="98" t="s">
        <v>1478</v>
      </c>
      <c r="AB441" s="98" t="s">
        <v>1213</v>
      </c>
      <c r="AD441" s="98" t="s">
        <v>155</v>
      </c>
      <c r="AE441" s="98" t="s">
        <v>156</v>
      </c>
      <c r="AF441" s="98" t="s">
        <v>728</v>
      </c>
      <c r="AG441" s="98" t="s">
        <v>729</v>
      </c>
      <c r="AH441" s="98" t="s">
        <v>971</v>
      </c>
      <c r="AI441" s="98" t="s">
        <v>971</v>
      </c>
      <c r="AJ441" s="98" t="s">
        <v>972</v>
      </c>
      <c r="AK441" s="98" t="s">
        <v>159</v>
      </c>
      <c r="AL441" s="98" t="s">
        <v>224</v>
      </c>
      <c r="AM441" s="98" t="s">
        <v>225</v>
      </c>
      <c r="AP441" s="98" t="s">
        <v>553</v>
      </c>
      <c r="AQ441" s="98" t="s">
        <v>551</v>
      </c>
      <c r="AR441" s="98" t="s">
        <v>1479</v>
      </c>
      <c r="AS441" s="98" t="s">
        <v>1480</v>
      </c>
      <c r="AT441" s="100" t="n">
        <v>0</v>
      </c>
      <c r="AU441" s="100" t="n">
        <v>-26270.17</v>
      </c>
      <c r="AX441" s="98" t="s">
        <v>191</v>
      </c>
      <c r="AMH441" s="0"/>
      <c r="AMI441" s="0"/>
      <c r="AMJ441" s="0"/>
    </row>
    <row r="442" s="98" customFormat="true" ht="13.8" hidden="false" customHeight="false" outlineLevel="0" collapsed="false">
      <c r="A442" s="98" t="s">
        <v>142</v>
      </c>
      <c r="B442" s="98" t="s">
        <v>143</v>
      </c>
      <c r="C442" s="98" t="n">
        <v>51323633</v>
      </c>
      <c r="D442" s="98" t="s">
        <v>1477</v>
      </c>
      <c r="E442" s="98" t="s">
        <v>725</v>
      </c>
      <c r="F442" s="98" t="s">
        <v>297</v>
      </c>
      <c r="G442" s="98" t="s">
        <v>147</v>
      </c>
      <c r="H442" s="98" t="s">
        <v>168</v>
      </c>
      <c r="I442" s="99" t="n">
        <v>43657</v>
      </c>
      <c r="J442" s="99" t="n">
        <v>43703</v>
      </c>
      <c r="K442" s="100" t="n">
        <v>-26270.17</v>
      </c>
      <c r="L442" s="100" t="n">
        <f aca="false">K442-Q442+T442</f>
        <v>-22262.86</v>
      </c>
      <c r="M442" s="98" t="s">
        <v>149</v>
      </c>
      <c r="N442" s="100" t="n">
        <v>-26270.17</v>
      </c>
      <c r="O442" s="98" t="s">
        <v>149</v>
      </c>
      <c r="P442" s="100" t="n">
        <v>-26270.17</v>
      </c>
      <c r="Q442" s="100" t="n">
        <v>-4007.31</v>
      </c>
      <c r="R442" s="100" t="n">
        <v>-22262.86</v>
      </c>
      <c r="S442" s="100" t="n">
        <v>0</v>
      </c>
      <c r="T442" s="100" t="n">
        <v>0</v>
      </c>
      <c r="U442" s="98" t="s">
        <v>192</v>
      </c>
      <c r="V442" s="98" t="s">
        <v>151</v>
      </c>
      <c r="X442" s="98" t="s">
        <v>1212</v>
      </c>
      <c r="Y442" s="98" t="s">
        <v>1213</v>
      </c>
      <c r="Z442" s="98" t="s">
        <v>1478</v>
      </c>
      <c r="AB442" s="98" t="s">
        <v>1213</v>
      </c>
      <c r="AD442" s="98" t="s">
        <v>155</v>
      </c>
      <c r="AE442" s="98" t="s">
        <v>156</v>
      </c>
      <c r="AF442" s="98" t="s">
        <v>728</v>
      </c>
      <c r="AG442" s="98" t="s">
        <v>729</v>
      </c>
      <c r="AH442" s="98" t="s">
        <v>971</v>
      </c>
      <c r="AI442" s="98" t="s">
        <v>971</v>
      </c>
      <c r="AJ442" s="98" t="s">
        <v>972</v>
      </c>
      <c r="AK442" s="98" t="s">
        <v>159</v>
      </c>
      <c r="AL442" s="98" t="s">
        <v>224</v>
      </c>
      <c r="AM442" s="98" t="s">
        <v>225</v>
      </c>
      <c r="AP442" s="98" t="s">
        <v>553</v>
      </c>
      <c r="AQ442" s="98" t="s">
        <v>551</v>
      </c>
      <c r="AR442" s="98" t="s">
        <v>1479</v>
      </c>
      <c r="AS442" s="98" t="s">
        <v>1480</v>
      </c>
      <c r="AT442" s="100" t="n">
        <v>0</v>
      </c>
      <c r="AU442" s="100" t="n">
        <v>-26270.17</v>
      </c>
      <c r="AX442" s="98" t="s">
        <v>200</v>
      </c>
      <c r="AMH442" s="0"/>
      <c r="AMI442" s="0"/>
      <c r="AMJ442" s="0"/>
    </row>
    <row r="443" s="98" customFormat="true" ht="13.8" hidden="false" customHeight="false" outlineLevel="0" collapsed="false">
      <c r="A443" s="98" t="s">
        <v>142</v>
      </c>
      <c r="B443" s="98" t="s">
        <v>143</v>
      </c>
      <c r="C443" s="98" t="n">
        <v>51323633</v>
      </c>
      <c r="D443" s="98" t="s">
        <v>1477</v>
      </c>
      <c r="E443" s="98" t="s">
        <v>725</v>
      </c>
      <c r="F443" s="98" t="s">
        <v>297</v>
      </c>
      <c r="G443" s="98" t="s">
        <v>147</v>
      </c>
      <c r="H443" s="98" t="s">
        <v>168</v>
      </c>
      <c r="I443" s="99" t="n">
        <v>43657</v>
      </c>
      <c r="J443" s="99" t="n">
        <v>43703</v>
      </c>
      <c r="K443" s="100" t="n">
        <v>-446592.92</v>
      </c>
      <c r="L443" s="100" t="n">
        <f aca="false">K443-Q443+T443</f>
        <v>-378468.58</v>
      </c>
      <c r="M443" s="98" t="s">
        <v>149</v>
      </c>
      <c r="N443" s="100" t="n">
        <v>-446592.92</v>
      </c>
      <c r="O443" s="98" t="s">
        <v>149</v>
      </c>
      <c r="P443" s="100" t="n">
        <v>-446592.92</v>
      </c>
      <c r="Q443" s="100" t="n">
        <v>-68124.34</v>
      </c>
      <c r="R443" s="100" t="n">
        <v>-378468.58</v>
      </c>
      <c r="S443" s="100" t="n">
        <v>0</v>
      </c>
      <c r="T443" s="100" t="n">
        <v>0</v>
      </c>
      <c r="U443" s="98" t="s">
        <v>192</v>
      </c>
      <c r="V443" s="98" t="s">
        <v>151</v>
      </c>
      <c r="X443" s="98" t="s">
        <v>1212</v>
      </c>
      <c r="Y443" s="98" t="s">
        <v>1213</v>
      </c>
      <c r="Z443" s="98" t="s">
        <v>1478</v>
      </c>
      <c r="AB443" s="98" t="s">
        <v>1213</v>
      </c>
      <c r="AD443" s="98" t="s">
        <v>155</v>
      </c>
      <c r="AE443" s="98" t="s">
        <v>156</v>
      </c>
      <c r="AF443" s="98" t="s">
        <v>728</v>
      </c>
      <c r="AG443" s="98" t="s">
        <v>729</v>
      </c>
      <c r="AH443" s="98" t="s">
        <v>971</v>
      </c>
      <c r="AI443" s="98" t="s">
        <v>971</v>
      </c>
      <c r="AJ443" s="98" t="s">
        <v>972</v>
      </c>
      <c r="AK443" s="98" t="s">
        <v>159</v>
      </c>
      <c r="AL443" s="98" t="s">
        <v>224</v>
      </c>
      <c r="AM443" s="98" t="s">
        <v>225</v>
      </c>
      <c r="AP443" s="98" t="s">
        <v>508</v>
      </c>
      <c r="AQ443" s="98" t="s">
        <v>506</v>
      </c>
      <c r="AR443" s="98" t="s">
        <v>1479</v>
      </c>
      <c r="AS443" s="98" t="s">
        <v>1480</v>
      </c>
      <c r="AT443" s="100" t="n">
        <v>0</v>
      </c>
      <c r="AU443" s="100" t="n">
        <v>-446592.92</v>
      </c>
      <c r="AX443" s="98" t="s">
        <v>556</v>
      </c>
      <c r="AMH443" s="0"/>
      <c r="AMI443" s="0"/>
      <c r="AMJ443" s="0"/>
    </row>
    <row r="444" s="98" customFormat="true" ht="13.8" hidden="false" customHeight="false" outlineLevel="0" collapsed="false">
      <c r="A444" s="98" t="s">
        <v>142</v>
      </c>
      <c r="B444" s="98" t="s">
        <v>143</v>
      </c>
      <c r="C444" s="98" t="n">
        <v>51561781</v>
      </c>
      <c r="D444" s="98" t="s">
        <v>1481</v>
      </c>
      <c r="E444" s="98" t="s">
        <v>725</v>
      </c>
      <c r="F444" s="98" t="s">
        <v>167</v>
      </c>
      <c r="G444" s="98" t="s">
        <v>147</v>
      </c>
      <c r="H444" s="98" t="s">
        <v>586</v>
      </c>
      <c r="I444" s="104" t="n">
        <v>43777</v>
      </c>
      <c r="J444" s="99" t="n">
        <v>43823</v>
      </c>
      <c r="K444" s="100" t="n">
        <v>-1090154.6</v>
      </c>
      <c r="L444" s="100" t="n">
        <f aca="false">K444-Q444+T444</f>
        <v>-930886.09</v>
      </c>
      <c r="M444" s="98" t="s">
        <v>149</v>
      </c>
      <c r="N444" s="100" t="n">
        <v>-1090154.6</v>
      </c>
      <c r="O444" s="98" t="s">
        <v>149</v>
      </c>
      <c r="P444" s="100" t="n">
        <v>-1108950.6</v>
      </c>
      <c r="Q444" s="100" t="n">
        <v>-178065.22</v>
      </c>
      <c r="R444" s="100" t="n">
        <v>-1090154.6</v>
      </c>
      <c r="S444" s="100" t="n">
        <v>-939789.24</v>
      </c>
      <c r="T444" s="100" t="n">
        <v>-18796.71</v>
      </c>
      <c r="U444" s="98" t="s">
        <v>192</v>
      </c>
      <c r="V444" s="98" t="s">
        <v>151</v>
      </c>
      <c r="Y444" s="98" t="s">
        <v>1482</v>
      </c>
      <c r="Z444" s="98" t="s">
        <v>1483</v>
      </c>
      <c r="AB444" s="98" t="s">
        <v>1482</v>
      </c>
      <c r="AD444" s="98" t="s">
        <v>155</v>
      </c>
      <c r="AE444" s="98" t="s">
        <v>156</v>
      </c>
      <c r="AF444" s="98" t="s">
        <v>747</v>
      </c>
      <c r="AG444" s="98" t="s">
        <v>748</v>
      </c>
      <c r="AH444" s="98" t="s">
        <v>971</v>
      </c>
      <c r="AI444" s="98" t="s">
        <v>971</v>
      </c>
      <c r="AJ444" s="98" t="s">
        <v>972</v>
      </c>
      <c r="AK444" s="98" t="s">
        <v>159</v>
      </c>
      <c r="AL444" s="98" t="s">
        <v>224</v>
      </c>
      <c r="AM444" s="98" t="s">
        <v>225</v>
      </c>
      <c r="AP444" s="98" t="s">
        <v>646</v>
      </c>
      <c r="AQ444" s="98" t="s">
        <v>640</v>
      </c>
      <c r="AR444" s="98" t="s">
        <v>606</v>
      </c>
      <c r="AS444" s="98" t="s">
        <v>1484</v>
      </c>
      <c r="AT444" s="100" t="n">
        <v>0</v>
      </c>
      <c r="AU444" s="100" t="n">
        <v>-1090154.6</v>
      </c>
      <c r="AX444" s="98" t="s">
        <v>148</v>
      </c>
      <c r="AMH444" s="0"/>
      <c r="AMI444" s="0"/>
      <c r="AMJ444" s="0"/>
    </row>
    <row r="445" s="98" customFormat="true" ht="13.8" hidden="false" customHeight="false" outlineLevel="0" collapsed="false">
      <c r="A445" s="98" t="s">
        <v>142</v>
      </c>
      <c r="B445" s="98" t="s">
        <v>143</v>
      </c>
      <c r="C445" s="98" t="n">
        <v>51561781</v>
      </c>
      <c r="D445" s="98" t="s">
        <v>1481</v>
      </c>
      <c r="E445" s="98" t="s">
        <v>725</v>
      </c>
      <c r="F445" s="98" t="s">
        <v>167</v>
      </c>
      <c r="G445" s="98" t="s">
        <v>147</v>
      </c>
      <c r="H445" s="98" t="s">
        <v>586</v>
      </c>
      <c r="I445" s="104" t="n">
        <v>43777</v>
      </c>
      <c r="J445" s="99" t="n">
        <v>43823</v>
      </c>
      <c r="K445" s="100" t="n">
        <v>-57375.82</v>
      </c>
      <c r="L445" s="100" t="n">
        <f aca="false">K445-Q445+T445</f>
        <v>-58365.11</v>
      </c>
      <c r="M445" s="98" t="s">
        <v>149</v>
      </c>
      <c r="N445" s="100" t="n">
        <v>-57375.82</v>
      </c>
      <c r="O445" s="98" t="s">
        <v>149</v>
      </c>
      <c r="P445" s="100" t="n">
        <v>-58365.82</v>
      </c>
      <c r="Q445" s="100"/>
      <c r="R445" s="100" t="n">
        <v>-57375.82</v>
      </c>
      <c r="S445" s="100" t="n">
        <v>-49461.96</v>
      </c>
      <c r="T445" s="100" t="n">
        <v>-989.29</v>
      </c>
      <c r="U445" s="98" t="s">
        <v>192</v>
      </c>
      <c r="V445" s="98" t="s">
        <v>151</v>
      </c>
      <c r="Y445" s="98" t="s">
        <v>1482</v>
      </c>
      <c r="Z445" s="98" t="s">
        <v>1483</v>
      </c>
      <c r="AB445" s="98" t="s">
        <v>1482</v>
      </c>
      <c r="AD445" s="98" t="s">
        <v>155</v>
      </c>
      <c r="AE445" s="98" t="s">
        <v>156</v>
      </c>
      <c r="AF445" s="98" t="s">
        <v>747</v>
      </c>
      <c r="AG445" s="98" t="s">
        <v>748</v>
      </c>
      <c r="AH445" s="98" t="s">
        <v>971</v>
      </c>
      <c r="AI445" s="98" t="s">
        <v>971</v>
      </c>
      <c r="AJ445" s="98" t="s">
        <v>972</v>
      </c>
      <c r="AK445" s="98" t="s">
        <v>159</v>
      </c>
      <c r="AL445" s="98" t="s">
        <v>224</v>
      </c>
      <c r="AM445" s="98" t="s">
        <v>225</v>
      </c>
      <c r="AR445" s="98" t="s">
        <v>606</v>
      </c>
      <c r="AS445" s="98" t="s">
        <v>1484</v>
      </c>
      <c r="AT445" s="100" t="n">
        <v>0</v>
      </c>
      <c r="AU445" s="100" t="n">
        <v>-57375.82</v>
      </c>
      <c r="AX445" s="98" t="s">
        <v>402</v>
      </c>
      <c r="AMH445" s="0"/>
      <c r="AMI445" s="0"/>
      <c r="AMJ445" s="0"/>
    </row>
    <row r="446" s="98" customFormat="true" ht="13.8" hidden="false" customHeight="false" outlineLevel="0" collapsed="false">
      <c r="A446" s="98" t="s">
        <v>142</v>
      </c>
      <c r="B446" s="98" t="s">
        <v>143</v>
      </c>
      <c r="C446" s="98" t="n">
        <v>51601865</v>
      </c>
      <c r="D446" s="98" t="s">
        <v>1485</v>
      </c>
      <c r="E446" s="98" t="s">
        <v>725</v>
      </c>
      <c r="F446" s="98" t="s">
        <v>212</v>
      </c>
      <c r="G446" s="98" t="s">
        <v>147</v>
      </c>
      <c r="H446" s="98" t="s">
        <v>191</v>
      </c>
      <c r="I446" s="104" t="n">
        <v>43798</v>
      </c>
      <c r="J446" s="99" t="n">
        <v>43844</v>
      </c>
      <c r="K446" s="100" t="n">
        <v>-3196.67</v>
      </c>
      <c r="L446" s="100" t="n">
        <f aca="false">K446-Q446+T446</f>
        <v>16594.97</v>
      </c>
      <c r="M446" s="98" t="s">
        <v>149</v>
      </c>
      <c r="N446" s="100" t="n">
        <v>-3196.67</v>
      </c>
      <c r="O446" s="98" t="s">
        <v>149</v>
      </c>
      <c r="P446" s="100" t="n">
        <v>-3252.67</v>
      </c>
      <c r="Q446" s="100" t="n">
        <v>-19846.8</v>
      </c>
      <c r="R446" s="100" t="n">
        <v>-3196.67</v>
      </c>
      <c r="S446" s="100" t="n">
        <v>-2686.89</v>
      </c>
      <c r="T446" s="100" t="n">
        <v>-55.16</v>
      </c>
      <c r="U446" s="98" t="s">
        <v>150</v>
      </c>
      <c r="V446" s="98" t="s">
        <v>151</v>
      </c>
      <c r="Y446" s="98" t="s">
        <v>1486</v>
      </c>
      <c r="Z446" s="98" t="s">
        <v>1487</v>
      </c>
      <c r="AB446" s="98" t="s">
        <v>1486</v>
      </c>
      <c r="AD446" s="98" t="s">
        <v>155</v>
      </c>
      <c r="AE446" s="98" t="s">
        <v>156</v>
      </c>
      <c r="AF446" s="98" t="s">
        <v>747</v>
      </c>
      <c r="AG446" s="98" t="s">
        <v>748</v>
      </c>
      <c r="AH446" s="98" t="s">
        <v>971</v>
      </c>
      <c r="AI446" s="98" t="s">
        <v>971</v>
      </c>
      <c r="AJ446" s="98" t="s">
        <v>972</v>
      </c>
      <c r="AK446" s="98" t="s">
        <v>159</v>
      </c>
      <c r="AL446" s="98" t="s">
        <v>224</v>
      </c>
      <c r="AM446" s="98" t="s">
        <v>225</v>
      </c>
      <c r="AR446" s="98" t="s">
        <v>640</v>
      </c>
      <c r="AS446" s="98" t="s">
        <v>1488</v>
      </c>
      <c r="AT446" s="100" t="n">
        <v>0</v>
      </c>
      <c r="AU446" s="100" t="n">
        <v>-3196.67</v>
      </c>
      <c r="AX446" s="98" t="s">
        <v>586</v>
      </c>
      <c r="AMH446" s="0"/>
      <c r="AMI446" s="0"/>
      <c r="AMJ446" s="0"/>
    </row>
    <row r="447" s="98" customFormat="true" ht="13.8" hidden="false" customHeight="false" outlineLevel="0" collapsed="false">
      <c r="A447" s="98" t="s">
        <v>142</v>
      </c>
      <c r="B447" s="98" t="s">
        <v>143</v>
      </c>
      <c r="C447" s="98" t="n">
        <v>51601865</v>
      </c>
      <c r="D447" s="98" t="s">
        <v>1485</v>
      </c>
      <c r="E447" s="98" t="s">
        <v>725</v>
      </c>
      <c r="F447" s="98" t="s">
        <v>212</v>
      </c>
      <c r="G447" s="98" t="s">
        <v>147</v>
      </c>
      <c r="H447" s="98" t="s">
        <v>191</v>
      </c>
      <c r="I447" s="104" t="n">
        <v>43798</v>
      </c>
      <c r="J447" s="99" t="n">
        <v>43844</v>
      </c>
      <c r="K447" s="100" t="n">
        <v>-3196.67</v>
      </c>
      <c r="L447" s="100" t="n">
        <f aca="false">K447-Q447+T447</f>
        <v>16594.97</v>
      </c>
      <c r="M447" s="98" t="s">
        <v>149</v>
      </c>
      <c r="N447" s="100" t="n">
        <v>-3196.67</v>
      </c>
      <c r="O447" s="98" t="s">
        <v>149</v>
      </c>
      <c r="P447" s="100" t="n">
        <v>-3252.67</v>
      </c>
      <c r="Q447" s="100" t="n">
        <v>-19846.8</v>
      </c>
      <c r="R447" s="100" t="n">
        <v>-3196.67</v>
      </c>
      <c r="S447" s="100" t="n">
        <v>-2686.89</v>
      </c>
      <c r="T447" s="100" t="n">
        <v>-55.16</v>
      </c>
      <c r="U447" s="98" t="s">
        <v>150</v>
      </c>
      <c r="V447" s="98" t="s">
        <v>151</v>
      </c>
      <c r="Y447" s="98" t="s">
        <v>1486</v>
      </c>
      <c r="Z447" s="98" t="s">
        <v>1487</v>
      </c>
      <c r="AB447" s="98" t="s">
        <v>1486</v>
      </c>
      <c r="AD447" s="98" t="s">
        <v>155</v>
      </c>
      <c r="AE447" s="98" t="s">
        <v>156</v>
      </c>
      <c r="AF447" s="98" t="s">
        <v>747</v>
      </c>
      <c r="AG447" s="98" t="s">
        <v>748</v>
      </c>
      <c r="AH447" s="98" t="s">
        <v>971</v>
      </c>
      <c r="AI447" s="98" t="s">
        <v>971</v>
      </c>
      <c r="AJ447" s="98" t="s">
        <v>972</v>
      </c>
      <c r="AK447" s="98" t="s">
        <v>159</v>
      </c>
      <c r="AL447" s="98" t="s">
        <v>224</v>
      </c>
      <c r="AM447" s="98" t="s">
        <v>225</v>
      </c>
      <c r="AR447" s="98" t="s">
        <v>640</v>
      </c>
      <c r="AS447" s="98" t="s">
        <v>1488</v>
      </c>
      <c r="AT447" s="100" t="n">
        <v>0</v>
      </c>
      <c r="AU447" s="100" t="n">
        <v>-3196.67</v>
      </c>
      <c r="AX447" s="98" t="s">
        <v>556</v>
      </c>
      <c r="AMH447" s="0"/>
      <c r="AMI447" s="0"/>
      <c r="AMJ447" s="0"/>
    </row>
    <row r="448" s="98" customFormat="true" ht="13.8" hidden="false" customHeight="false" outlineLevel="0" collapsed="false">
      <c r="A448" s="98" t="s">
        <v>142</v>
      </c>
      <c r="B448" s="98" t="s">
        <v>143</v>
      </c>
      <c r="C448" s="98" t="n">
        <v>51601865</v>
      </c>
      <c r="D448" s="98" t="s">
        <v>1485</v>
      </c>
      <c r="E448" s="98" t="s">
        <v>725</v>
      </c>
      <c r="F448" s="98" t="s">
        <v>212</v>
      </c>
      <c r="G448" s="98" t="s">
        <v>147</v>
      </c>
      <c r="H448" s="98" t="s">
        <v>191</v>
      </c>
      <c r="I448" s="104" t="n">
        <v>43798</v>
      </c>
      <c r="J448" s="99" t="n">
        <v>43844</v>
      </c>
      <c r="K448" s="100" t="n">
        <v>-121506.46</v>
      </c>
      <c r="L448" s="100" t="n">
        <f aca="false">K448-Q448+T448</f>
        <v>-103756.34</v>
      </c>
      <c r="M448" s="98" t="s">
        <v>149</v>
      </c>
      <c r="N448" s="100" t="n">
        <v>-121506.46</v>
      </c>
      <c r="O448" s="98" t="s">
        <v>149</v>
      </c>
      <c r="P448" s="100" t="n">
        <v>-123601.46</v>
      </c>
      <c r="Q448" s="100" t="n">
        <v>-19846.8</v>
      </c>
      <c r="R448" s="100" t="n">
        <v>-121506.46</v>
      </c>
      <c r="S448" s="100" t="n">
        <v>-102129.71</v>
      </c>
      <c r="T448" s="100" t="n">
        <v>-2096.68</v>
      </c>
      <c r="U448" s="98" t="s">
        <v>150</v>
      </c>
      <c r="V448" s="98" t="s">
        <v>151</v>
      </c>
      <c r="Y448" s="98" t="s">
        <v>1486</v>
      </c>
      <c r="Z448" s="98" t="s">
        <v>1487</v>
      </c>
      <c r="AB448" s="98" t="s">
        <v>1486</v>
      </c>
      <c r="AD448" s="98" t="s">
        <v>155</v>
      </c>
      <c r="AE448" s="98" t="s">
        <v>156</v>
      </c>
      <c r="AF448" s="98" t="s">
        <v>747</v>
      </c>
      <c r="AG448" s="98" t="s">
        <v>748</v>
      </c>
      <c r="AH448" s="98" t="s">
        <v>971</v>
      </c>
      <c r="AI448" s="98" t="s">
        <v>971</v>
      </c>
      <c r="AJ448" s="98" t="s">
        <v>972</v>
      </c>
      <c r="AK448" s="98" t="s">
        <v>159</v>
      </c>
      <c r="AL448" s="98" t="s">
        <v>224</v>
      </c>
      <c r="AM448" s="98" t="s">
        <v>225</v>
      </c>
      <c r="AP448" s="98" t="s">
        <v>692</v>
      </c>
      <c r="AQ448" s="98" t="s">
        <v>204</v>
      </c>
      <c r="AR448" s="98" t="s">
        <v>640</v>
      </c>
      <c r="AS448" s="98" t="s">
        <v>1488</v>
      </c>
      <c r="AT448" s="100" t="n">
        <v>0</v>
      </c>
      <c r="AU448" s="100" t="n">
        <v>-121506.46</v>
      </c>
      <c r="AX448" s="98" t="s">
        <v>535</v>
      </c>
      <c r="AMH448" s="0"/>
      <c r="AMI448" s="0"/>
      <c r="AMJ448" s="0"/>
    </row>
    <row r="449" s="98" customFormat="true" ht="13.8" hidden="false" customHeight="false" outlineLevel="0" collapsed="false">
      <c r="A449" s="98" t="s">
        <v>142</v>
      </c>
      <c r="B449" s="98" t="s">
        <v>143</v>
      </c>
      <c r="C449" s="98" t="n">
        <v>51270180</v>
      </c>
      <c r="D449" s="98" t="s">
        <v>1489</v>
      </c>
      <c r="E449" s="98" t="s">
        <v>725</v>
      </c>
      <c r="F449" s="98" t="s">
        <v>333</v>
      </c>
      <c r="G449" s="98" t="s">
        <v>147</v>
      </c>
      <c r="H449" s="98" t="s">
        <v>402</v>
      </c>
      <c r="I449" s="99" t="n">
        <v>43629</v>
      </c>
      <c r="J449" s="99" t="n">
        <v>43677</v>
      </c>
      <c r="K449" s="100" t="n">
        <v>-477900</v>
      </c>
      <c r="L449" s="100" t="n">
        <f aca="false">K449-Q449+T449</f>
        <v>-405000</v>
      </c>
      <c r="M449" s="98" t="s">
        <v>149</v>
      </c>
      <c r="N449" s="100" t="n">
        <v>-477900</v>
      </c>
      <c r="O449" s="98" t="s">
        <v>149</v>
      </c>
      <c r="P449" s="100" t="n">
        <v>-477900</v>
      </c>
      <c r="Q449" s="100" t="n">
        <v>-72900</v>
      </c>
      <c r="R449" s="100" t="n">
        <v>-405000</v>
      </c>
      <c r="S449" s="100" t="n">
        <v>0</v>
      </c>
      <c r="T449" s="100" t="n">
        <v>0</v>
      </c>
      <c r="U449" s="98" t="s">
        <v>192</v>
      </c>
      <c r="V449" s="98" t="s">
        <v>151</v>
      </c>
      <c r="Y449" s="98" t="s">
        <v>982</v>
      </c>
      <c r="Z449" s="98" t="s">
        <v>1490</v>
      </c>
      <c r="AB449" s="98" t="s">
        <v>982</v>
      </c>
      <c r="AD449" s="98" t="s">
        <v>155</v>
      </c>
      <c r="AE449" s="98" t="s">
        <v>156</v>
      </c>
      <c r="AF449" s="98" t="s">
        <v>737</v>
      </c>
      <c r="AG449" s="98" t="s">
        <v>738</v>
      </c>
      <c r="AH449" s="98" t="s">
        <v>739</v>
      </c>
      <c r="AI449" s="98" t="s">
        <v>739</v>
      </c>
      <c r="AJ449" s="98" t="s">
        <v>740</v>
      </c>
      <c r="AK449" s="98" t="s">
        <v>159</v>
      </c>
      <c r="AL449" s="98" t="s">
        <v>224</v>
      </c>
      <c r="AM449" s="98" t="s">
        <v>225</v>
      </c>
      <c r="AP449" s="98" t="s">
        <v>484</v>
      </c>
      <c r="AQ449" s="98" t="s">
        <v>482</v>
      </c>
      <c r="AR449" s="98" t="s">
        <v>1491</v>
      </c>
      <c r="AS449" s="98" t="s">
        <v>1492</v>
      </c>
      <c r="AT449" s="100" t="n">
        <v>0</v>
      </c>
      <c r="AU449" s="100" t="n">
        <v>-477900</v>
      </c>
      <c r="AX449" s="98" t="s">
        <v>165</v>
      </c>
      <c r="AMH449" s="0"/>
      <c r="AMI449" s="0"/>
      <c r="AMJ449" s="0"/>
    </row>
    <row r="450" s="98" customFormat="true" ht="13.8" hidden="false" customHeight="false" outlineLevel="0" collapsed="false">
      <c r="A450" s="98" t="s">
        <v>142</v>
      </c>
      <c r="B450" s="98" t="s">
        <v>143</v>
      </c>
      <c r="C450" s="98" t="n">
        <v>51271297</v>
      </c>
      <c r="D450" s="98" t="s">
        <v>1493</v>
      </c>
      <c r="E450" s="98" t="s">
        <v>725</v>
      </c>
      <c r="F450" s="98" t="s">
        <v>333</v>
      </c>
      <c r="G450" s="98" t="s">
        <v>147</v>
      </c>
      <c r="H450" s="98" t="s">
        <v>168</v>
      </c>
      <c r="I450" s="99" t="n">
        <v>43630</v>
      </c>
      <c r="J450" s="99" t="n">
        <v>43678</v>
      </c>
      <c r="K450" s="100" t="n">
        <v>-3658000</v>
      </c>
      <c r="L450" s="100" t="n">
        <f aca="false">K450-Q450+T450</f>
        <v>-3100000</v>
      </c>
      <c r="M450" s="98" t="s">
        <v>149</v>
      </c>
      <c r="N450" s="100" t="n">
        <v>-3658000</v>
      </c>
      <c r="O450" s="98" t="s">
        <v>149</v>
      </c>
      <c r="P450" s="100" t="n">
        <v>-3658000</v>
      </c>
      <c r="Q450" s="100" t="n">
        <v>-558000</v>
      </c>
      <c r="R450" s="100" t="n">
        <v>-3100000</v>
      </c>
      <c r="S450" s="100" t="n">
        <v>0</v>
      </c>
      <c r="T450" s="100" t="n">
        <v>0</v>
      </c>
      <c r="U450" s="98" t="s">
        <v>192</v>
      </c>
      <c r="V450" s="98" t="s">
        <v>151</v>
      </c>
      <c r="Y450" s="98" t="s">
        <v>982</v>
      </c>
      <c r="Z450" s="98" t="s">
        <v>1494</v>
      </c>
      <c r="AB450" s="98" t="s">
        <v>982</v>
      </c>
      <c r="AD450" s="98" t="s">
        <v>155</v>
      </c>
      <c r="AE450" s="98" t="s">
        <v>156</v>
      </c>
      <c r="AF450" s="98" t="s">
        <v>737</v>
      </c>
      <c r="AG450" s="98" t="s">
        <v>738</v>
      </c>
      <c r="AH450" s="98" t="s">
        <v>739</v>
      </c>
      <c r="AI450" s="98" t="s">
        <v>739</v>
      </c>
      <c r="AJ450" s="98" t="s">
        <v>740</v>
      </c>
      <c r="AK450" s="98" t="s">
        <v>159</v>
      </c>
      <c r="AL450" s="98" t="s">
        <v>224</v>
      </c>
      <c r="AM450" s="98" t="s">
        <v>225</v>
      </c>
      <c r="AP450" s="98" t="s">
        <v>489</v>
      </c>
      <c r="AQ450" s="98" t="s">
        <v>487</v>
      </c>
      <c r="AR450" s="98" t="s">
        <v>1470</v>
      </c>
      <c r="AS450" s="98" t="s">
        <v>1495</v>
      </c>
      <c r="AT450" s="100" t="n">
        <v>0</v>
      </c>
      <c r="AU450" s="100" t="n">
        <v>-3658000</v>
      </c>
      <c r="AX450" s="98" t="s">
        <v>165</v>
      </c>
      <c r="AMH450" s="0"/>
      <c r="AMI450" s="0"/>
      <c r="AMJ450" s="0"/>
    </row>
    <row r="451" s="98" customFormat="true" ht="13.8" hidden="false" customHeight="false" outlineLevel="0" collapsed="false">
      <c r="A451" s="98" t="s">
        <v>142</v>
      </c>
      <c r="B451" s="98" t="s">
        <v>143</v>
      </c>
      <c r="C451" s="98" t="n">
        <v>51323610</v>
      </c>
      <c r="D451" s="98" t="s">
        <v>1496</v>
      </c>
      <c r="E451" s="98" t="s">
        <v>725</v>
      </c>
      <c r="F451" s="98" t="s">
        <v>297</v>
      </c>
      <c r="G451" s="98" t="s">
        <v>147</v>
      </c>
      <c r="H451" s="98" t="s">
        <v>168</v>
      </c>
      <c r="I451" s="99" t="n">
        <v>43655</v>
      </c>
      <c r="J451" s="99" t="n">
        <v>43703</v>
      </c>
      <c r="K451" s="100" t="n">
        <v>-13245</v>
      </c>
      <c r="L451" s="100" t="n">
        <f aca="false">K451-Q451+T451</f>
        <v>-11224.58</v>
      </c>
      <c r="M451" s="98" t="s">
        <v>149</v>
      </c>
      <c r="N451" s="100" t="n">
        <v>-13245</v>
      </c>
      <c r="O451" s="98" t="s">
        <v>149</v>
      </c>
      <c r="P451" s="100" t="n">
        <v>-13245</v>
      </c>
      <c r="Q451" s="100" t="n">
        <v>-2020.42</v>
      </c>
      <c r="R451" s="100" t="n">
        <v>-11224.58</v>
      </c>
      <c r="S451" s="100" t="n">
        <v>0</v>
      </c>
      <c r="T451" s="100" t="n">
        <v>0</v>
      </c>
      <c r="U451" s="98" t="s">
        <v>192</v>
      </c>
      <c r="V451" s="98" t="s">
        <v>151</v>
      </c>
      <c r="X451" s="98" t="s">
        <v>1212</v>
      </c>
      <c r="Y451" s="98" t="s">
        <v>1213</v>
      </c>
      <c r="Z451" s="98" t="s">
        <v>1497</v>
      </c>
      <c r="AB451" s="98" t="s">
        <v>1213</v>
      </c>
      <c r="AD451" s="98" t="s">
        <v>155</v>
      </c>
      <c r="AE451" s="98" t="s">
        <v>156</v>
      </c>
      <c r="AF451" s="98" t="s">
        <v>728</v>
      </c>
      <c r="AG451" s="98" t="s">
        <v>729</v>
      </c>
      <c r="AH451" s="98" t="s">
        <v>971</v>
      </c>
      <c r="AI451" s="98" t="s">
        <v>971</v>
      </c>
      <c r="AJ451" s="98" t="s">
        <v>972</v>
      </c>
      <c r="AK451" s="98" t="s">
        <v>159</v>
      </c>
      <c r="AL451" s="98" t="s">
        <v>224</v>
      </c>
      <c r="AM451" s="98" t="s">
        <v>225</v>
      </c>
      <c r="AP451" s="98" t="s">
        <v>553</v>
      </c>
      <c r="AQ451" s="98" t="s">
        <v>551</v>
      </c>
      <c r="AR451" s="98" t="s">
        <v>1479</v>
      </c>
      <c r="AS451" s="98" t="s">
        <v>1498</v>
      </c>
      <c r="AT451" s="100" t="n">
        <v>0</v>
      </c>
      <c r="AU451" s="100" t="n">
        <v>-13245</v>
      </c>
      <c r="AX451" s="98" t="s">
        <v>191</v>
      </c>
      <c r="AMH451" s="0"/>
      <c r="AMI451" s="0"/>
      <c r="AMJ451" s="0"/>
    </row>
    <row r="452" s="98" customFormat="true" ht="13.8" hidden="false" customHeight="false" outlineLevel="0" collapsed="false">
      <c r="A452" s="98" t="s">
        <v>142</v>
      </c>
      <c r="B452" s="98" t="s">
        <v>143</v>
      </c>
      <c r="C452" s="98" t="n">
        <v>51323610</v>
      </c>
      <c r="D452" s="98" t="s">
        <v>1496</v>
      </c>
      <c r="E452" s="98" t="s">
        <v>725</v>
      </c>
      <c r="F452" s="98" t="s">
        <v>297</v>
      </c>
      <c r="G452" s="98" t="s">
        <v>147</v>
      </c>
      <c r="H452" s="98" t="s">
        <v>168</v>
      </c>
      <c r="I452" s="99" t="n">
        <v>43655</v>
      </c>
      <c r="J452" s="99" t="n">
        <v>43703</v>
      </c>
      <c r="K452" s="100" t="n">
        <v>-13245.01</v>
      </c>
      <c r="L452" s="100" t="n">
        <f aca="false">K452-Q452+T452</f>
        <v>-11224.58</v>
      </c>
      <c r="M452" s="98" t="s">
        <v>149</v>
      </c>
      <c r="N452" s="100" t="n">
        <v>-13245.01</v>
      </c>
      <c r="O452" s="98" t="s">
        <v>149</v>
      </c>
      <c r="P452" s="100" t="n">
        <v>-13245.01</v>
      </c>
      <c r="Q452" s="100" t="n">
        <v>-2020.43</v>
      </c>
      <c r="R452" s="100" t="n">
        <v>-11224.58</v>
      </c>
      <c r="S452" s="100" t="n">
        <v>0</v>
      </c>
      <c r="T452" s="100" t="n">
        <v>0</v>
      </c>
      <c r="U452" s="98" t="s">
        <v>192</v>
      </c>
      <c r="V452" s="98" t="s">
        <v>151</v>
      </c>
      <c r="X452" s="98" t="s">
        <v>1212</v>
      </c>
      <c r="Y452" s="98" t="s">
        <v>1213</v>
      </c>
      <c r="Z452" s="98" t="s">
        <v>1497</v>
      </c>
      <c r="AB452" s="98" t="s">
        <v>1213</v>
      </c>
      <c r="AD452" s="98" t="s">
        <v>155</v>
      </c>
      <c r="AE452" s="98" t="s">
        <v>156</v>
      </c>
      <c r="AF452" s="98" t="s">
        <v>728</v>
      </c>
      <c r="AG452" s="98" t="s">
        <v>729</v>
      </c>
      <c r="AH452" s="98" t="s">
        <v>971</v>
      </c>
      <c r="AI452" s="98" t="s">
        <v>971</v>
      </c>
      <c r="AJ452" s="98" t="s">
        <v>972</v>
      </c>
      <c r="AK452" s="98" t="s">
        <v>159</v>
      </c>
      <c r="AL452" s="98" t="s">
        <v>224</v>
      </c>
      <c r="AM452" s="98" t="s">
        <v>225</v>
      </c>
      <c r="AP452" s="98" t="s">
        <v>553</v>
      </c>
      <c r="AQ452" s="98" t="s">
        <v>551</v>
      </c>
      <c r="AR452" s="98" t="s">
        <v>1479</v>
      </c>
      <c r="AS452" s="98" t="s">
        <v>1498</v>
      </c>
      <c r="AT452" s="100" t="n">
        <v>0</v>
      </c>
      <c r="AU452" s="100" t="n">
        <v>-13245.01</v>
      </c>
      <c r="AX452" s="98" t="s">
        <v>213</v>
      </c>
      <c r="AMH452" s="0"/>
      <c r="AMI452" s="0"/>
      <c r="AMJ452" s="0"/>
    </row>
    <row r="453" s="98" customFormat="true" ht="13.8" hidden="false" customHeight="false" outlineLevel="0" collapsed="false">
      <c r="A453" s="98" t="s">
        <v>142</v>
      </c>
      <c r="B453" s="98" t="s">
        <v>143</v>
      </c>
      <c r="C453" s="98" t="n">
        <v>51323610</v>
      </c>
      <c r="D453" s="98" t="s">
        <v>1496</v>
      </c>
      <c r="E453" s="98" t="s">
        <v>725</v>
      </c>
      <c r="F453" s="98" t="s">
        <v>297</v>
      </c>
      <c r="G453" s="98" t="s">
        <v>147</v>
      </c>
      <c r="H453" s="98" t="s">
        <v>168</v>
      </c>
      <c r="I453" s="99" t="n">
        <v>43655</v>
      </c>
      <c r="J453" s="99" t="n">
        <v>43703</v>
      </c>
      <c r="K453" s="100" t="n">
        <v>-13245</v>
      </c>
      <c r="L453" s="100" t="n">
        <f aca="false">K453-Q453+T453</f>
        <v>-11224.58</v>
      </c>
      <c r="M453" s="98" t="s">
        <v>149</v>
      </c>
      <c r="N453" s="100" t="n">
        <v>-13245</v>
      </c>
      <c r="O453" s="98" t="s">
        <v>149</v>
      </c>
      <c r="P453" s="100" t="n">
        <v>-13245</v>
      </c>
      <c r="Q453" s="100" t="n">
        <v>-2020.42</v>
      </c>
      <c r="R453" s="100" t="n">
        <v>-11224.58</v>
      </c>
      <c r="S453" s="100" t="n">
        <v>0</v>
      </c>
      <c r="T453" s="100" t="n">
        <v>0</v>
      </c>
      <c r="U453" s="98" t="s">
        <v>192</v>
      </c>
      <c r="V453" s="98" t="s">
        <v>151</v>
      </c>
      <c r="X453" s="98" t="s">
        <v>1212</v>
      </c>
      <c r="Y453" s="98" t="s">
        <v>1213</v>
      </c>
      <c r="Z453" s="98" t="s">
        <v>1497</v>
      </c>
      <c r="AB453" s="98" t="s">
        <v>1213</v>
      </c>
      <c r="AD453" s="98" t="s">
        <v>155</v>
      </c>
      <c r="AE453" s="98" t="s">
        <v>156</v>
      </c>
      <c r="AF453" s="98" t="s">
        <v>728</v>
      </c>
      <c r="AG453" s="98" t="s">
        <v>729</v>
      </c>
      <c r="AH453" s="98" t="s">
        <v>971</v>
      </c>
      <c r="AI453" s="98" t="s">
        <v>971</v>
      </c>
      <c r="AJ453" s="98" t="s">
        <v>972</v>
      </c>
      <c r="AK453" s="98" t="s">
        <v>159</v>
      </c>
      <c r="AL453" s="98" t="s">
        <v>224</v>
      </c>
      <c r="AM453" s="98" t="s">
        <v>225</v>
      </c>
      <c r="AP453" s="98" t="s">
        <v>553</v>
      </c>
      <c r="AQ453" s="98" t="s">
        <v>551</v>
      </c>
      <c r="AR453" s="98" t="s">
        <v>1479</v>
      </c>
      <c r="AS453" s="98" t="s">
        <v>1498</v>
      </c>
      <c r="AT453" s="100" t="n">
        <v>0</v>
      </c>
      <c r="AU453" s="100" t="n">
        <v>-13245</v>
      </c>
      <c r="AX453" s="98" t="s">
        <v>200</v>
      </c>
      <c r="AMH453" s="0"/>
      <c r="AMI453" s="0"/>
      <c r="AMJ453" s="0"/>
    </row>
    <row r="454" s="98" customFormat="true" ht="13.8" hidden="false" customHeight="false" outlineLevel="0" collapsed="false">
      <c r="A454" s="98" t="s">
        <v>142</v>
      </c>
      <c r="B454" s="98" t="s">
        <v>143</v>
      </c>
      <c r="C454" s="98" t="n">
        <v>51323610</v>
      </c>
      <c r="D454" s="98" t="s">
        <v>1496</v>
      </c>
      <c r="E454" s="98" t="s">
        <v>725</v>
      </c>
      <c r="F454" s="98" t="s">
        <v>297</v>
      </c>
      <c r="G454" s="98" t="s">
        <v>147</v>
      </c>
      <c r="H454" s="98" t="s">
        <v>168</v>
      </c>
      <c r="I454" s="99" t="n">
        <v>43655</v>
      </c>
      <c r="J454" s="99" t="n">
        <v>43703</v>
      </c>
      <c r="K454" s="100" t="n">
        <v>-225165.05</v>
      </c>
      <c r="L454" s="100" t="n">
        <f aca="false">K454-Q454+T454</f>
        <v>-190817.83</v>
      </c>
      <c r="M454" s="98" t="s">
        <v>149</v>
      </c>
      <c r="N454" s="100" t="n">
        <v>-225165.05</v>
      </c>
      <c r="O454" s="98" t="s">
        <v>149</v>
      </c>
      <c r="P454" s="100" t="n">
        <v>-225165.05</v>
      </c>
      <c r="Q454" s="100" t="n">
        <v>-34347.22</v>
      </c>
      <c r="R454" s="100" t="n">
        <v>-190817.83</v>
      </c>
      <c r="S454" s="100" t="n">
        <v>0</v>
      </c>
      <c r="T454" s="100" t="n">
        <v>0</v>
      </c>
      <c r="U454" s="98" t="s">
        <v>192</v>
      </c>
      <c r="V454" s="98" t="s">
        <v>151</v>
      </c>
      <c r="X454" s="98" t="s">
        <v>1212</v>
      </c>
      <c r="Y454" s="98" t="s">
        <v>1213</v>
      </c>
      <c r="Z454" s="98" t="s">
        <v>1497</v>
      </c>
      <c r="AB454" s="98" t="s">
        <v>1213</v>
      </c>
      <c r="AD454" s="98" t="s">
        <v>155</v>
      </c>
      <c r="AE454" s="98" t="s">
        <v>156</v>
      </c>
      <c r="AF454" s="98" t="s">
        <v>728</v>
      </c>
      <c r="AG454" s="98" t="s">
        <v>729</v>
      </c>
      <c r="AH454" s="98" t="s">
        <v>971</v>
      </c>
      <c r="AI454" s="98" t="s">
        <v>971</v>
      </c>
      <c r="AJ454" s="98" t="s">
        <v>972</v>
      </c>
      <c r="AK454" s="98" t="s">
        <v>159</v>
      </c>
      <c r="AL454" s="98" t="s">
        <v>224</v>
      </c>
      <c r="AM454" s="98" t="s">
        <v>225</v>
      </c>
      <c r="AP454" s="98" t="s">
        <v>508</v>
      </c>
      <c r="AQ454" s="98" t="s">
        <v>506</v>
      </c>
      <c r="AR454" s="98" t="s">
        <v>1479</v>
      </c>
      <c r="AS454" s="98" t="s">
        <v>1498</v>
      </c>
      <c r="AT454" s="100" t="n">
        <v>0</v>
      </c>
      <c r="AU454" s="100" t="n">
        <v>-225165.05</v>
      </c>
      <c r="AX454" s="98" t="s">
        <v>586</v>
      </c>
      <c r="AMH454" s="0"/>
      <c r="AMI454" s="0"/>
      <c r="AMJ454" s="0"/>
    </row>
    <row r="455" s="98" customFormat="true" ht="13.8" hidden="false" customHeight="false" outlineLevel="0" collapsed="false">
      <c r="A455" s="98" t="s">
        <v>142</v>
      </c>
      <c r="B455" s="98" t="s">
        <v>143</v>
      </c>
      <c r="C455" s="98" t="n">
        <v>51244977</v>
      </c>
      <c r="D455" s="98" t="s">
        <v>1499</v>
      </c>
      <c r="E455" s="98" t="s">
        <v>725</v>
      </c>
      <c r="F455" s="98" t="s">
        <v>297</v>
      </c>
      <c r="G455" s="98" t="s">
        <v>147</v>
      </c>
      <c r="H455" s="98" t="s">
        <v>402</v>
      </c>
      <c r="I455" s="99" t="n">
        <v>43619</v>
      </c>
      <c r="J455" s="99" t="n">
        <v>43668</v>
      </c>
      <c r="K455" s="100" t="n">
        <v>-77337.84</v>
      </c>
      <c r="L455" s="100" t="n">
        <f aca="false">K455-Q455+T455</f>
        <v>-65540.54</v>
      </c>
      <c r="M455" s="98" t="s">
        <v>149</v>
      </c>
      <c r="N455" s="100" t="n">
        <v>-77337.84</v>
      </c>
      <c r="O455" s="98" t="s">
        <v>149</v>
      </c>
      <c r="P455" s="100" t="n">
        <v>-77337.84</v>
      </c>
      <c r="Q455" s="100" t="n">
        <v>-11797.3</v>
      </c>
      <c r="R455" s="100" t="n">
        <v>-65540.54</v>
      </c>
      <c r="S455" s="100" t="n">
        <v>0</v>
      </c>
      <c r="T455" s="100" t="n">
        <v>0</v>
      </c>
      <c r="U455" s="98" t="s">
        <v>192</v>
      </c>
      <c r="V455" s="98" t="s">
        <v>151</v>
      </c>
      <c r="X455" s="98" t="s">
        <v>1212</v>
      </c>
      <c r="Y455" s="98" t="s">
        <v>1213</v>
      </c>
      <c r="Z455" s="98" t="s">
        <v>1500</v>
      </c>
      <c r="AB455" s="98" t="s">
        <v>1213</v>
      </c>
      <c r="AD455" s="98" t="s">
        <v>155</v>
      </c>
      <c r="AE455" s="98" t="s">
        <v>156</v>
      </c>
      <c r="AF455" s="98" t="s">
        <v>728</v>
      </c>
      <c r="AG455" s="98" t="s">
        <v>729</v>
      </c>
      <c r="AH455" s="98" t="s">
        <v>971</v>
      </c>
      <c r="AI455" s="98" t="s">
        <v>971</v>
      </c>
      <c r="AJ455" s="98" t="s">
        <v>972</v>
      </c>
      <c r="AK455" s="98" t="s">
        <v>159</v>
      </c>
      <c r="AL455" s="98" t="s">
        <v>224</v>
      </c>
      <c r="AM455" s="98" t="s">
        <v>225</v>
      </c>
      <c r="AP455" s="98" t="s">
        <v>553</v>
      </c>
      <c r="AQ455" s="98" t="s">
        <v>551</v>
      </c>
      <c r="AR455" s="98" t="s">
        <v>1415</v>
      </c>
      <c r="AS455" s="98" t="s">
        <v>1501</v>
      </c>
      <c r="AT455" s="100" t="n">
        <v>0</v>
      </c>
      <c r="AU455" s="100" t="n">
        <v>-77337.84</v>
      </c>
      <c r="AX455" s="98" t="s">
        <v>200</v>
      </c>
      <c r="AMH455" s="0"/>
      <c r="AMI455" s="0"/>
      <c r="AMJ455" s="0"/>
    </row>
    <row r="456" s="98" customFormat="true" ht="13.8" hidden="false" customHeight="false" outlineLevel="0" collapsed="false">
      <c r="A456" s="98" t="s">
        <v>142</v>
      </c>
      <c r="B456" s="98" t="s">
        <v>143</v>
      </c>
      <c r="C456" s="98" t="n">
        <v>51244977</v>
      </c>
      <c r="D456" s="98" t="s">
        <v>1499</v>
      </c>
      <c r="E456" s="98" t="s">
        <v>725</v>
      </c>
      <c r="F456" s="98" t="s">
        <v>297</v>
      </c>
      <c r="G456" s="98" t="s">
        <v>147</v>
      </c>
      <c r="H456" s="98" t="s">
        <v>402</v>
      </c>
      <c r="I456" s="99" t="n">
        <v>43619</v>
      </c>
      <c r="J456" s="99" t="n">
        <v>43668</v>
      </c>
      <c r="K456" s="100" t="n">
        <v>-77337.84</v>
      </c>
      <c r="L456" s="100" t="n">
        <f aca="false">K456-Q456+T456</f>
        <v>-65540.54</v>
      </c>
      <c r="M456" s="98" t="s">
        <v>149</v>
      </c>
      <c r="N456" s="100" t="n">
        <v>-77337.84</v>
      </c>
      <c r="O456" s="98" t="s">
        <v>149</v>
      </c>
      <c r="P456" s="100" t="n">
        <v>-77337.84</v>
      </c>
      <c r="Q456" s="100" t="n">
        <v>-11797.3</v>
      </c>
      <c r="R456" s="100" t="n">
        <v>-65540.54</v>
      </c>
      <c r="S456" s="100" t="n">
        <v>0</v>
      </c>
      <c r="T456" s="100" t="n">
        <v>0</v>
      </c>
      <c r="U456" s="98" t="s">
        <v>192</v>
      </c>
      <c r="V456" s="98" t="s">
        <v>151</v>
      </c>
      <c r="X456" s="98" t="s">
        <v>1212</v>
      </c>
      <c r="Y456" s="98" t="s">
        <v>1213</v>
      </c>
      <c r="Z456" s="98" t="s">
        <v>1500</v>
      </c>
      <c r="AB456" s="98" t="s">
        <v>1213</v>
      </c>
      <c r="AD456" s="98" t="s">
        <v>155</v>
      </c>
      <c r="AE456" s="98" t="s">
        <v>156</v>
      </c>
      <c r="AF456" s="98" t="s">
        <v>728</v>
      </c>
      <c r="AG456" s="98" t="s">
        <v>729</v>
      </c>
      <c r="AH456" s="98" t="s">
        <v>971</v>
      </c>
      <c r="AI456" s="98" t="s">
        <v>971</v>
      </c>
      <c r="AJ456" s="98" t="s">
        <v>972</v>
      </c>
      <c r="AK456" s="98" t="s">
        <v>159</v>
      </c>
      <c r="AL456" s="98" t="s">
        <v>224</v>
      </c>
      <c r="AM456" s="98" t="s">
        <v>225</v>
      </c>
      <c r="AP456" s="98" t="s">
        <v>553</v>
      </c>
      <c r="AQ456" s="98" t="s">
        <v>551</v>
      </c>
      <c r="AR456" s="98" t="s">
        <v>1415</v>
      </c>
      <c r="AS456" s="98" t="s">
        <v>1501</v>
      </c>
      <c r="AT456" s="100" t="n">
        <v>0</v>
      </c>
      <c r="AU456" s="100" t="n">
        <v>-77337.84</v>
      </c>
      <c r="AX456" s="98" t="s">
        <v>191</v>
      </c>
      <c r="AMH456" s="0"/>
      <c r="AMI456" s="0"/>
      <c r="AMJ456" s="0"/>
    </row>
    <row r="457" s="98" customFormat="true" ht="13.8" hidden="false" customHeight="false" outlineLevel="0" collapsed="false">
      <c r="A457" s="98" t="s">
        <v>142</v>
      </c>
      <c r="B457" s="98" t="s">
        <v>143</v>
      </c>
      <c r="C457" s="98" t="n">
        <v>51244977</v>
      </c>
      <c r="D457" s="98" t="s">
        <v>1499</v>
      </c>
      <c r="E457" s="98" t="s">
        <v>725</v>
      </c>
      <c r="F457" s="98" t="s">
        <v>297</v>
      </c>
      <c r="G457" s="98" t="s">
        <v>147</v>
      </c>
      <c r="H457" s="98" t="s">
        <v>402</v>
      </c>
      <c r="I457" s="99" t="n">
        <v>43619</v>
      </c>
      <c r="J457" s="99" t="n">
        <v>43668</v>
      </c>
      <c r="K457" s="100" t="n">
        <v>-1314743.34</v>
      </c>
      <c r="L457" s="100" t="n">
        <f aca="false">K457-Q457+T457</f>
        <v>-1114189.27</v>
      </c>
      <c r="M457" s="98" t="s">
        <v>149</v>
      </c>
      <c r="N457" s="100" t="n">
        <v>-1314743.34</v>
      </c>
      <c r="O457" s="98" t="s">
        <v>149</v>
      </c>
      <c r="P457" s="100" t="n">
        <v>-1314743.34</v>
      </c>
      <c r="Q457" s="100" t="n">
        <v>-200554.07</v>
      </c>
      <c r="R457" s="100" t="n">
        <v>-1114189.27</v>
      </c>
      <c r="S457" s="100" t="n">
        <v>0</v>
      </c>
      <c r="T457" s="100" t="n">
        <v>0</v>
      </c>
      <c r="U457" s="98" t="s">
        <v>192</v>
      </c>
      <c r="V457" s="98" t="s">
        <v>151</v>
      </c>
      <c r="X457" s="98" t="s">
        <v>1212</v>
      </c>
      <c r="Y457" s="98" t="s">
        <v>1213</v>
      </c>
      <c r="Z457" s="98" t="s">
        <v>1500</v>
      </c>
      <c r="AB457" s="98" t="s">
        <v>1213</v>
      </c>
      <c r="AD457" s="98" t="s">
        <v>155</v>
      </c>
      <c r="AE457" s="98" t="s">
        <v>156</v>
      </c>
      <c r="AF457" s="98" t="s">
        <v>728</v>
      </c>
      <c r="AG457" s="98" t="s">
        <v>729</v>
      </c>
      <c r="AH457" s="98" t="s">
        <v>971</v>
      </c>
      <c r="AI457" s="98" t="s">
        <v>971</v>
      </c>
      <c r="AJ457" s="98" t="s">
        <v>972</v>
      </c>
      <c r="AK457" s="98" t="s">
        <v>159</v>
      </c>
      <c r="AL457" s="98" t="s">
        <v>224</v>
      </c>
      <c r="AM457" s="98" t="s">
        <v>225</v>
      </c>
      <c r="AP457" s="98" t="s">
        <v>459</v>
      </c>
      <c r="AQ457" s="98" t="s">
        <v>457</v>
      </c>
      <c r="AR457" s="98" t="s">
        <v>1415</v>
      </c>
      <c r="AS457" s="98" t="s">
        <v>1501</v>
      </c>
      <c r="AT457" s="100" t="n">
        <v>0</v>
      </c>
      <c r="AU457" s="100" t="n">
        <v>-1314743.34</v>
      </c>
      <c r="AX457" s="98" t="s">
        <v>586</v>
      </c>
      <c r="AMH457" s="0"/>
      <c r="AMI457" s="0"/>
      <c r="AMJ457" s="0"/>
    </row>
    <row r="458" s="98" customFormat="true" ht="13.8" hidden="false" customHeight="false" outlineLevel="0" collapsed="false">
      <c r="A458" s="98" t="s">
        <v>142</v>
      </c>
      <c r="B458" s="98" t="s">
        <v>143</v>
      </c>
      <c r="C458" s="98" t="n">
        <v>51244977</v>
      </c>
      <c r="D458" s="98" t="s">
        <v>1499</v>
      </c>
      <c r="E458" s="98" t="s">
        <v>725</v>
      </c>
      <c r="F458" s="98" t="s">
        <v>297</v>
      </c>
      <c r="G458" s="98" t="s">
        <v>147</v>
      </c>
      <c r="H458" s="98" t="s">
        <v>402</v>
      </c>
      <c r="I458" s="99" t="n">
        <v>43619</v>
      </c>
      <c r="J458" s="99" t="n">
        <v>43668</v>
      </c>
      <c r="K458" s="100" t="n">
        <v>-77337.85</v>
      </c>
      <c r="L458" s="100" t="n">
        <f aca="false">K458-Q458+T458</f>
        <v>-65540.55</v>
      </c>
      <c r="M458" s="98" t="s">
        <v>149</v>
      </c>
      <c r="N458" s="100" t="n">
        <v>-77337.85</v>
      </c>
      <c r="O458" s="98" t="s">
        <v>149</v>
      </c>
      <c r="P458" s="100" t="n">
        <v>-77337.85</v>
      </c>
      <c r="Q458" s="100" t="n">
        <v>-11797.3</v>
      </c>
      <c r="R458" s="100" t="n">
        <v>-65540.55</v>
      </c>
      <c r="S458" s="100" t="n">
        <v>0</v>
      </c>
      <c r="T458" s="100" t="n">
        <v>0</v>
      </c>
      <c r="U458" s="98" t="s">
        <v>192</v>
      </c>
      <c r="V458" s="98" t="s">
        <v>151</v>
      </c>
      <c r="X458" s="98" t="s">
        <v>1212</v>
      </c>
      <c r="Y458" s="98" t="s">
        <v>1213</v>
      </c>
      <c r="Z458" s="98" t="s">
        <v>1500</v>
      </c>
      <c r="AB458" s="98" t="s">
        <v>1213</v>
      </c>
      <c r="AD458" s="98" t="s">
        <v>155</v>
      </c>
      <c r="AE458" s="98" t="s">
        <v>156</v>
      </c>
      <c r="AF458" s="98" t="s">
        <v>728</v>
      </c>
      <c r="AG458" s="98" t="s">
        <v>729</v>
      </c>
      <c r="AH458" s="98" t="s">
        <v>971</v>
      </c>
      <c r="AI458" s="98" t="s">
        <v>971</v>
      </c>
      <c r="AJ458" s="98" t="s">
        <v>972</v>
      </c>
      <c r="AK458" s="98" t="s">
        <v>159</v>
      </c>
      <c r="AL458" s="98" t="s">
        <v>224</v>
      </c>
      <c r="AM458" s="98" t="s">
        <v>225</v>
      </c>
      <c r="AP458" s="98" t="s">
        <v>553</v>
      </c>
      <c r="AQ458" s="98" t="s">
        <v>551</v>
      </c>
      <c r="AR458" s="98" t="s">
        <v>1415</v>
      </c>
      <c r="AS458" s="98" t="s">
        <v>1501</v>
      </c>
      <c r="AT458" s="100" t="n">
        <v>0</v>
      </c>
      <c r="AU458" s="100" t="n">
        <v>-77337.85</v>
      </c>
      <c r="AX458" s="98" t="s">
        <v>213</v>
      </c>
      <c r="AMH458" s="0"/>
      <c r="AMI458" s="0"/>
      <c r="AMJ458" s="0"/>
    </row>
    <row r="459" s="98" customFormat="true" ht="13.8" hidden="false" customHeight="false" outlineLevel="0" collapsed="false">
      <c r="A459" s="98" t="s">
        <v>142</v>
      </c>
      <c r="B459" s="98" t="s">
        <v>143</v>
      </c>
      <c r="C459" s="98" t="n">
        <v>51270564</v>
      </c>
      <c r="D459" s="98" t="s">
        <v>1502</v>
      </c>
      <c r="E459" s="98" t="s">
        <v>725</v>
      </c>
      <c r="F459" s="98" t="s">
        <v>333</v>
      </c>
      <c r="G459" s="98" t="s">
        <v>147</v>
      </c>
      <c r="H459" s="98" t="s">
        <v>168</v>
      </c>
      <c r="I459" s="99" t="n">
        <v>43629</v>
      </c>
      <c r="J459" s="99" t="n">
        <v>43678</v>
      </c>
      <c r="K459" s="100" t="n">
        <v>-826000</v>
      </c>
      <c r="L459" s="100" t="n">
        <f aca="false">K459-Q459+T459</f>
        <v>-700000</v>
      </c>
      <c r="M459" s="98" t="s">
        <v>149</v>
      </c>
      <c r="N459" s="100" t="n">
        <v>-826000</v>
      </c>
      <c r="O459" s="98" t="s">
        <v>149</v>
      </c>
      <c r="P459" s="100" t="n">
        <v>-826000</v>
      </c>
      <c r="Q459" s="100" t="n">
        <v>-126000</v>
      </c>
      <c r="R459" s="100" t="n">
        <v>-700000</v>
      </c>
      <c r="S459" s="100" t="n">
        <v>0</v>
      </c>
      <c r="T459" s="100" t="n">
        <v>0</v>
      </c>
      <c r="U459" s="98" t="s">
        <v>192</v>
      </c>
      <c r="V459" s="98" t="s">
        <v>151</v>
      </c>
      <c r="Y459" s="98" t="s">
        <v>982</v>
      </c>
      <c r="Z459" s="98" t="s">
        <v>1503</v>
      </c>
      <c r="AB459" s="98" t="s">
        <v>982</v>
      </c>
      <c r="AD459" s="98" t="s">
        <v>155</v>
      </c>
      <c r="AE459" s="98" t="s">
        <v>156</v>
      </c>
      <c r="AF459" s="98" t="s">
        <v>737</v>
      </c>
      <c r="AG459" s="98" t="s">
        <v>738</v>
      </c>
      <c r="AH459" s="98" t="s">
        <v>739</v>
      </c>
      <c r="AI459" s="98" t="s">
        <v>739</v>
      </c>
      <c r="AJ459" s="98" t="s">
        <v>740</v>
      </c>
      <c r="AK459" s="98" t="s">
        <v>159</v>
      </c>
      <c r="AL459" s="98" t="s">
        <v>224</v>
      </c>
      <c r="AM459" s="98" t="s">
        <v>225</v>
      </c>
      <c r="AP459" s="98" t="s">
        <v>494</v>
      </c>
      <c r="AQ459" s="98" t="s">
        <v>492</v>
      </c>
      <c r="AR459" s="98" t="s">
        <v>1470</v>
      </c>
      <c r="AS459" s="98" t="s">
        <v>1504</v>
      </c>
      <c r="AT459" s="100" t="n">
        <v>0</v>
      </c>
      <c r="AU459" s="100" t="n">
        <v>-826000</v>
      </c>
      <c r="AX459" s="98" t="s">
        <v>165</v>
      </c>
      <c r="AMH459" s="0"/>
      <c r="AMI459" s="0"/>
      <c r="AMJ459" s="0"/>
    </row>
    <row r="460" s="98" customFormat="true" ht="13.8" hidden="false" customHeight="false" outlineLevel="0" collapsed="false">
      <c r="A460" s="98" t="s">
        <v>142</v>
      </c>
      <c r="B460" s="98" t="s">
        <v>143</v>
      </c>
      <c r="C460" s="98" t="n">
        <v>51270596</v>
      </c>
      <c r="D460" s="98" t="s">
        <v>1505</v>
      </c>
      <c r="E460" s="98" t="s">
        <v>725</v>
      </c>
      <c r="F460" s="98" t="s">
        <v>333</v>
      </c>
      <c r="G460" s="98" t="s">
        <v>147</v>
      </c>
      <c r="H460" s="98" t="s">
        <v>168</v>
      </c>
      <c r="I460" s="99" t="n">
        <v>43629</v>
      </c>
      <c r="J460" s="99" t="n">
        <v>43678</v>
      </c>
      <c r="K460" s="100" t="n">
        <v>-649000</v>
      </c>
      <c r="L460" s="100" t="n">
        <f aca="false">K460-Q460+T460</f>
        <v>-550000</v>
      </c>
      <c r="M460" s="98" t="s">
        <v>149</v>
      </c>
      <c r="N460" s="100" t="n">
        <v>-649000</v>
      </c>
      <c r="O460" s="98" t="s">
        <v>149</v>
      </c>
      <c r="P460" s="100" t="n">
        <v>-649000</v>
      </c>
      <c r="Q460" s="100" t="n">
        <v>-99000</v>
      </c>
      <c r="R460" s="100" t="n">
        <v>-550000</v>
      </c>
      <c r="S460" s="100" t="n">
        <v>0</v>
      </c>
      <c r="T460" s="100" t="n">
        <v>0</v>
      </c>
      <c r="U460" s="98" t="s">
        <v>192</v>
      </c>
      <c r="V460" s="98" t="s">
        <v>151</v>
      </c>
      <c r="Y460" s="98" t="s">
        <v>982</v>
      </c>
      <c r="Z460" s="98" t="s">
        <v>1506</v>
      </c>
      <c r="AB460" s="98" t="s">
        <v>982</v>
      </c>
      <c r="AD460" s="98" t="s">
        <v>155</v>
      </c>
      <c r="AE460" s="98" t="s">
        <v>156</v>
      </c>
      <c r="AF460" s="98" t="s">
        <v>737</v>
      </c>
      <c r="AG460" s="98" t="s">
        <v>738</v>
      </c>
      <c r="AH460" s="98" t="s">
        <v>739</v>
      </c>
      <c r="AI460" s="98" t="s">
        <v>739</v>
      </c>
      <c r="AJ460" s="98" t="s">
        <v>740</v>
      </c>
      <c r="AK460" s="98" t="s">
        <v>159</v>
      </c>
      <c r="AL460" s="98" t="s">
        <v>224</v>
      </c>
      <c r="AM460" s="98" t="s">
        <v>225</v>
      </c>
      <c r="AP460" s="98" t="s">
        <v>484</v>
      </c>
      <c r="AQ460" s="98" t="s">
        <v>482</v>
      </c>
      <c r="AR460" s="98" t="s">
        <v>1470</v>
      </c>
      <c r="AS460" s="98" t="s">
        <v>1507</v>
      </c>
      <c r="AT460" s="100" t="n">
        <v>0</v>
      </c>
      <c r="AU460" s="100" t="n">
        <v>-649000</v>
      </c>
      <c r="AX460" s="98" t="s">
        <v>165</v>
      </c>
      <c r="AMH460" s="0"/>
      <c r="AMI460" s="0"/>
      <c r="AMJ460" s="0"/>
    </row>
    <row r="461" s="98" customFormat="true" ht="13.8" hidden="false" customHeight="false" outlineLevel="0" collapsed="false">
      <c r="A461" s="98" t="s">
        <v>142</v>
      </c>
      <c r="B461" s="98" t="s">
        <v>143</v>
      </c>
      <c r="C461" s="98" t="n">
        <v>51271067</v>
      </c>
      <c r="D461" s="98" t="s">
        <v>1508</v>
      </c>
      <c r="E461" s="98" t="s">
        <v>725</v>
      </c>
      <c r="F461" s="98" t="s">
        <v>333</v>
      </c>
      <c r="G461" s="98" t="s">
        <v>147</v>
      </c>
      <c r="H461" s="98" t="s">
        <v>168</v>
      </c>
      <c r="I461" s="99" t="n">
        <v>43629</v>
      </c>
      <c r="J461" s="99" t="n">
        <v>43678</v>
      </c>
      <c r="K461" s="100" t="n">
        <v>-649000</v>
      </c>
      <c r="L461" s="100" t="n">
        <f aca="false">K461-Q461+T461</f>
        <v>-550000</v>
      </c>
      <c r="M461" s="98" t="s">
        <v>149</v>
      </c>
      <c r="N461" s="100" t="n">
        <v>-649000</v>
      </c>
      <c r="O461" s="98" t="s">
        <v>149</v>
      </c>
      <c r="P461" s="100" t="n">
        <v>-649000</v>
      </c>
      <c r="Q461" s="100" t="n">
        <v>-99000</v>
      </c>
      <c r="R461" s="100" t="n">
        <v>-550000</v>
      </c>
      <c r="S461" s="100" t="n">
        <v>0</v>
      </c>
      <c r="T461" s="100" t="n">
        <v>0</v>
      </c>
      <c r="U461" s="98" t="s">
        <v>192</v>
      </c>
      <c r="V461" s="98" t="s">
        <v>151</v>
      </c>
      <c r="Y461" s="98" t="s">
        <v>982</v>
      </c>
      <c r="Z461" s="98" t="s">
        <v>1509</v>
      </c>
      <c r="AB461" s="98" t="s">
        <v>982</v>
      </c>
      <c r="AD461" s="98" t="s">
        <v>155</v>
      </c>
      <c r="AE461" s="98" t="s">
        <v>156</v>
      </c>
      <c r="AF461" s="98" t="s">
        <v>737</v>
      </c>
      <c r="AG461" s="98" t="s">
        <v>738</v>
      </c>
      <c r="AH461" s="98" t="s">
        <v>739</v>
      </c>
      <c r="AI461" s="98" t="s">
        <v>739</v>
      </c>
      <c r="AJ461" s="98" t="s">
        <v>740</v>
      </c>
      <c r="AK461" s="98" t="s">
        <v>159</v>
      </c>
      <c r="AL461" s="98" t="s">
        <v>224</v>
      </c>
      <c r="AM461" s="98" t="s">
        <v>225</v>
      </c>
      <c r="AP461" s="98" t="s">
        <v>484</v>
      </c>
      <c r="AQ461" s="98" t="s">
        <v>482</v>
      </c>
      <c r="AR461" s="98" t="s">
        <v>1470</v>
      </c>
      <c r="AS461" s="98" t="s">
        <v>1510</v>
      </c>
      <c r="AT461" s="100" t="n">
        <v>0</v>
      </c>
      <c r="AU461" s="100" t="n">
        <v>-649000</v>
      </c>
      <c r="AX461" s="98" t="s">
        <v>165</v>
      </c>
      <c r="AMH461" s="0"/>
      <c r="AMI461" s="0"/>
      <c r="AMJ461" s="0"/>
    </row>
    <row r="462" s="98" customFormat="true" ht="13.8" hidden="false" customHeight="false" outlineLevel="0" collapsed="false">
      <c r="A462" s="98" t="s">
        <v>142</v>
      </c>
      <c r="B462" s="98" t="s">
        <v>143</v>
      </c>
      <c r="C462" s="98" t="n">
        <v>51271144</v>
      </c>
      <c r="D462" s="98" t="s">
        <v>1511</v>
      </c>
      <c r="E462" s="98" t="s">
        <v>725</v>
      </c>
      <c r="F462" s="98" t="s">
        <v>333</v>
      </c>
      <c r="G462" s="98" t="s">
        <v>147</v>
      </c>
      <c r="H462" s="98" t="s">
        <v>168</v>
      </c>
      <c r="I462" s="99" t="n">
        <v>43629</v>
      </c>
      <c r="J462" s="99" t="n">
        <v>43678</v>
      </c>
      <c r="K462" s="100" t="n">
        <v>-826000</v>
      </c>
      <c r="L462" s="100" t="n">
        <f aca="false">K462-Q462+T462</f>
        <v>-700000</v>
      </c>
      <c r="M462" s="98" t="s">
        <v>149</v>
      </c>
      <c r="N462" s="100" t="n">
        <v>-826000</v>
      </c>
      <c r="O462" s="98" t="s">
        <v>149</v>
      </c>
      <c r="P462" s="100" t="n">
        <v>-826000</v>
      </c>
      <c r="Q462" s="100" t="n">
        <v>-126000</v>
      </c>
      <c r="R462" s="100" t="n">
        <v>-700000</v>
      </c>
      <c r="S462" s="100" t="n">
        <v>0</v>
      </c>
      <c r="T462" s="100" t="n">
        <v>0</v>
      </c>
      <c r="U462" s="98" t="s">
        <v>192</v>
      </c>
      <c r="V462" s="98" t="s">
        <v>151</v>
      </c>
      <c r="Y462" s="98" t="s">
        <v>982</v>
      </c>
      <c r="Z462" s="98" t="s">
        <v>1512</v>
      </c>
      <c r="AB462" s="98" t="s">
        <v>982</v>
      </c>
      <c r="AD462" s="98" t="s">
        <v>155</v>
      </c>
      <c r="AE462" s="98" t="s">
        <v>156</v>
      </c>
      <c r="AF462" s="98" t="s">
        <v>737</v>
      </c>
      <c r="AG462" s="98" t="s">
        <v>738</v>
      </c>
      <c r="AH462" s="98" t="s">
        <v>739</v>
      </c>
      <c r="AI462" s="98" t="s">
        <v>739</v>
      </c>
      <c r="AJ462" s="98" t="s">
        <v>740</v>
      </c>
      <c r="AK462" s="98" t="s">
        <v>159</v>
      </c>
      <c r="AL462" s="98" t="s">
        <v>224</v>
      </c>
      <c r="AM462" s="98" t="s">
        <v>225</v>
      </c>
      <c r="AP462" s="98" t="s">
        <v>494</v>
      </c>
      <c r="AQ462" s="98" t="s">
        <v>492</v>
      </c>
      <c r="AR462" s="98" t="s">
        <v>1470</v>
      </c>
      <c r="AS462" s="98" t="s">
        <v>1513</v>
      </c>
      <c r="AT462" s="100" t="n">
        <v>0</v>
      </c>
      <c r="AU462" s="100" t="n">
        <v>-826000</v>
      </c>
      <c r="AX462" s="98" t="s">
        <v>165</v>
      </c>
      <c r="AMH462" s="0"/>
      <c r="AMI462" s="0"/>
      <c r="AMJ462" s="0"/>
    </row>
    <row r="463" s="98" customFormat="true" ht="13.8" hidden="false" customHeight="false" outlineLevel="0" collapsed="false">
      <c r="A463" s="98" t="s">
        <v>142</v>
      </c>
      <c r="B463" s="98" t="s">
        <v>143</v>
      </c>
      <c r="C463" s="98" t="n">
        <v>51091574</v>
      </c>
      <c r="D463" s="98" t="s">
        <v>1514</v>
      </c>
      <c r="E463" s="98" t="s">
        <v>725</v>
      </c>
      <c r="F463" s="98" t="s">
        <v>308</v>
      </c>
      <c r="G463" s="98" t="s">
        <v>147</v>
      </c>
      <c r="H463" s="98" t="s">
        <v>220</v>
      </c>
      <c r="I463" s="104" t="n">
        <v>43531</v>
      </c>
      <c r="J463" s="99" t="n">
        <v>43600</v>
      </c>
      <c r="K463" s="100" t="n">
        <v>-7484.01</v>
      </c>
      <c r="L463" s="100" t="n">
        <f aca="false">K463-Q463+T463</f>
        <v>-7613.15</v>
      </c>
      <c r="M463" s="98" t="s">
        <v>149</v>
      </c>
      <c r="N463" s="100" t="n">
        <v>-7484.01</v>
      </c>
      <c r="O463" s="98" t="s">
        <v>149</v>
      </c>
      <c r="P463" s="100" t="n">
        <v>-7614.01</v>
      </c>
      <c r="Q463" s="100" t="n">
        <v>0</v>
      </c>
      <c r="R463" s="100" t="n">
        <v>-7484.01</v>
      </c>
      <c r="S463" s="100" t="n">
        <v>-6129.23</v>
      </c>
      <c r="T463" s="100" t="n">
        <v>-129.14</v>
      </c>
      <c r="U463" s="98" t="s">
        <v>150</v>
      </c>
      <c r="V463" s="98" t="s">
        <v>151</v>
      </c>
      <c r="Y463" s="98" t="s">
        <v>170</v>
      </c>
      <c r="Z463" s="98" t="s">
        <v>1515</v>
      </c>
      <c r="AB463" s="98" t="s">
        <v>170</v>
      </c>
      <c r="AD463" s="98" t="s">
        <v>155</v>
      </c>
      <c r="AE463" s="98" t="s">
        <v>156</v>
      </c>
      <c r="AF463" s="98" t="s">
        <v>747</v>
      </c>
      <c r="AG463" s="98" t="s">
        <v>748</v>
      </c>
      <c r="AH463" s="98" t="s">
        <v>971</v>
      </c>
      <c r="AI463" s="98" t="s">
        <v>971</v>
      </c>
      <c r="AJ463" s="98" t="s">
        <v>972</v>
      </c>
      <c r="AK463" s="98" t="s">
        <v>159</v>
      </c>
      <c r="AL463" s="98" t="s">
        <v>224</v>
      </c>
      <c r="AM463" s="98" t="s">
        <v>225</v>
      </c>
      <c r="AR463" s="98" t="s">
        <v>954</v>
      </c>
      <c r="AS463" s="98" t="s">
        <v>1516</v>
      </c>
      <c r="AT463" s="100" t="n">
        <v>0</v>
      </c>
      <c r="AU463" s="100" t="n">
        <v>-7484.01</v>
      </c>
      <c r="AX463" s="98" t="s">
        <v>175</v>
      </c>
      <c r="AMH463" s="0"/>
      <c r="AMI463" s="0"/>
      <c r="AMJ463" s="0"/>
    </row>
    <row r="464" s="98" customFormat="true" ht="13.8" hidden="false" customHeight="false" outlineLevel="0" collapsed="false">
      <c r="A464" s="98" t="s">
        <v>142</v>
      </c>
      <c r="B464" s="98" t="s">
        <v>143</v>
      </c>
      <c r="C464" s="98" t="n">
        <v>51091574</v>
      </c>
      <c r="D464" s="98" t="s">
        <v>1514</v>
      </c>
      <c r="E464" s="98" t="s">
        <v>725</v>
      </c>
      <c r="F464" s="98" t="s">
        <v>308</v>
      </c>
      <c r="G464" s="98" t="s">
        <v>147</v>
      </c>
      <c r="H464" s="98" t="s">
        <v>220</v>
      </c>
      <c r="I464" s="104" t="n">
        <v>43531</v>
      </c>
      <c r="J464" s="99" t="n">
        <v>43600</v>
      </c>
      <c r="K464" s="100" t="n">
        <v>-134729.21</v>
      </c>
      <c r="L464" s="100" t="n">
        <f aca="false">K464-Q464+T464</f>
        <v>15226.29</v>
      </c>
      <c r="M464" s="98" t="s">
        <v>149</v>
      </c>
      <c r="N464" s="100" t="n">
        <v>-134729.21</v>
      </c>
      <c r="O464" s="98" t="s">
        <v>149</v>
      </c>
      <c r="P464" s="100" t="n">
        <v>-137052.21</v>
      </c>
      <c r="Q464" s="100" t="n">
        <v>-152280.23</v>
      </c>
      <c r="R464" s="100" t="n">
        <v>-134729.21</v>
      </c>
      <c r="S464" s="100" t="n">
        <v>-110340.04</v>
      </c>
      <c r="T464" s="100" t="n">
        <v>-2324.73</v>
      </c>
      <c r="U464" s="98" t="s">
        <v>150</v>
      </c>
      <c r="V464" s="98" t="s">
        <v>151</v>
      </c>
      <c r="Y464" s="98" t="s">
        <v>170</v>
      </c>
      <c r="Z464" s="98" t="s">
        <v>1515</v>
      </c>
      <c r="AB464" s="98" t="s">
        <v>170</v>
      </c>
      <c r="AD464" s="98" t="s">
        <v>155</v>
      </c>
      <c r="AE464" s="98" t="s">
        <v>156</v>
      </c>
      <c r="AF464" s="98" t="s">
        <v>747</v>
      </c>
      <c r="AG464" s="98" t="s">
        <v>748</v>
      </c>
      <c r="AH464" s="98" t="s">
        <v>971</v>
      </c>
      <c r="AI464" s="98" t="s">
        <v>971</v>
      </c>
      <c r="AJ464" s="98" t="s">
        <v>972</v>
      </c>
      <c r="AK464" s="98" t="s">
        <v>159</v>
      </c>
      <c r="AL464" s="98" t="s">
        <v>224</v>
      </c>
      <c r="AM464" s="98" t="s">
        <v>225</v>
      </c>
      <c r="AP464" s="98" t="s">
        <v>349</v>
      </c>
      <c r="AQ464" s="98" t="s">
        <v>347</v>
      </c>
      <c r="AR464" s="98" t="s">
        <v>954</v>
      </c>
      <c r="AS464" s="98" t="s">
        <v>1516</v>
      </c>
      <c r="AT464" s="100" t="n">
        <v>0</v>
      </c>
      <c r="AU464" s="100" t="n">
        <v>-134729.21</v>
      </c>
      <c r="AX464" s="98" t="s">
        <v>402</v>
      </c>
      <c r="AMH464" s="0"/>
      <c r="AMI464" s="0"/>
      <c r="AMJ464" s="0"/>
    </row>
    <row r="465" s="98" customFormat="true" ht="13.8" hidden="false" customHeight="false" outlineLevel="0" collapsed="false">
      <c r="A465" s="98" t="s">
        <v>142</v>
      </c>
      <c r="B465" s="98" t="s">
        <v>143</v>
      </c>
      <c r="C465" s="98" t="n">
        <v>51091574</v>
      </c>
      <c r="D465" s="98" t="s">
        <v>1514</v>
      </c>
      <c r="E465" s="98" t="s">
        <v>725</v>
      </c>
      <c r="F465" s="98" t="s">
        <v>308</v>
      </c>
      <c r="G465" s="98" t="s">
        <v>147</v>
      </c>
      <c r="H465" s="98" t="s">
        <v>220</v>
      </c>
      <c r="I465" s="104" t="n">
        <v>43531</v>
      </c>
      <c r="J465" s="99" t="n">
        <v>43600</v>
      </c>
      <c r="K465" s="100" t="n">
        <v>-7484.01</v>
      </c>
      <c r="L465" s="100" t="n">
        <f aca="false">K465-Q465+T465</f>
        <v>-7613.15</v>
      </c>
      <c r="M465" s="98" t="s">
        <v>149</v>
      </c>
      <c r="N465" s="100" t="n">
        <v>-7484.01</v>
      </c>
      <c r="O465" s="98" t="s">
        <v>149</v>
      </c>
      <c r="P465" s="100" t="n">
        <v>-7614.01</v>
      </c>
      <c r="Q465" s="100" t="n">
        <v>0</v>
      </c>
      <c r="R465" s="100" t="n">
        <v>-7484.01</v>
      </c>
      <c r="S465" s="100" t="n">
        <v>-6129.23</v>
      </c>
      <c r="T465" s="100" t="n">
        <v>-129.14</v>
      </c>
      <c r="U465" s="98" t="s">
        <v>150</v>
      </c>
      <c r="V465" s="98" t="s">
        <v>151</v>
      </c>
      <c r="Y465" s="98" t="s">
        <v>170</v>
      </c>
      <c r="Z465" s="98" t="s">
        <v>1515</v>
      </c>
      <c r="AB465" s="98" t="s">
        <v>170</v>
      </c>
      <c r="AD465" s="98" t="s">
        <v>155</v>
      </c>
      <c r="AE465" s="98" t="s">
        <v>156</v>
      </c>
      <c r="AF465" s="98" t="s">
        <v>747</v>
      </c>
      <c r="AG465" s="98" t="s">
        <v>748</v>
      </c>
      <c r="AH465" s="98" t="s">
        <v>971</v>
      </c>
      <c r="AI465" s="98" t="s">
        <v>971</v>
      </c>
      <c r="AJ465" s="98" t="s">
        <v>972</v>
      </c>
      <c r="AK465" s="98" t="s">
        <v>159</v>
      </c>
      <c r="AL465" s="98" t="s">
        <v>224</v>
      </c>
      <c r="AM465" s="98" t="s">
        <v>225</v>
      </c>
      <c r="AR465" s="98" t="s">
        <v>954</v>
      </c>
      <c r="AS465" s="98" t="s">
        <v>1516</v>
      </c>
      <c r="AT465" s="100" t="n">
        <v>0</v>
      </c>
      <c r="AU465" s="100" t="n">
        <v>-7484.01</v>
      </c>
      <c r="AX465" s="98" t="s">
        <v>168</v>
      </c>
      <c r="AMH465" s="0"/>
      <c r="AMI465" s="0"/>
      <c r="AMJ465" s="0"/>
    </row>
    <row r="466" s="98" customFormat="true" ht="13.8" hidden="false" customHeight="false" outlineLevel="0" collapsed="false">
      <c r="A466" s="98" t="s">
        <v>142</v>
      </c>
      <c r="B466" s="98" t="s">
        <v>143</v>
      </c>
      <c r="C466" s="98" t="n">
        <v>51271323</v>
      </c>
      <c r="D466" s="98" t="s">
        <v>1517</v>
      </c>
      <c r="E466" s="98" t="s">
        <v>725</v>
      </c>
      <c r="F466" s="98" t="s">
        <v>333</v>
      </c>
      <c r="G466" s="98" t="s">
        <v>147</v>
      </c>
      <c r="H466" s="98" t="s">
        <v>168</v>
      </c>
      <c r="I466" s="99" t="n">
        <v>43629</v>
      </c>
      <c r="J466" s="99" t="n">
        <v>43678</v>
      </c>
      <c r="K466" s="100" t="n">
        <v>-826000</v>
      </c>
      <c r="L466" s="100" t="n">
        <f aca="false">K466-Q466+T466</f>
        <v>-700000</v>
      </c>
      <c r="M466" s="98" t="s">
        <v>149</v>
      </c>
      <c r="N466" s="100" t="n">
        <v>-826000</v>
      </c>
      <c r="O466" s="98" t="s">
        <v>149</v>
      </c>
      <c r="P466" s="100" t="n">
        <v>-826000</v>
      </c>
      <c r="Q466" s="100" t="n">
        <v>-126000</v>
      </c>
      <c r="R466" s="100" t="n">
        <v>-700000</v>
      </c>
      <c r="S466" s="100" t="n">
        <v>0</v>
      </c>
      <c r="T466" s="100" t="n">
        <v>0</v>
      </c>
      <c r="U466" s="98" t="s">
        <v>192</v>
      </c>
      <c r="V466" s="98" t="s">
        <v>151</v>
      </c>
      <c r="Y466" s="98" t="s">
        <v>982</v>
      </c>
      <c r="Z466" s="98" t="s">
        <v>1518</v>
      </c>
      <c r="AB466" s="98" t="s">
        <v>982</v>
      </c>
      <c r="AD466" s="98" t="s">
        <v>155</v>
      </c>
      <c r="AE466" s="98" t="s">
        <v>156</v>
      </c>
      <c r="AF466" s="98" t="s">
        <v>737</v>
      </c>
      <c r="AG466" s="98" t="s">
        <v>738</v>
      </c>
      <c r="AH466" s="98" t="s">
        <v>739</v>
      </c>
      <c r="AI466" s="98" t="s">
        <v>739</v>
      </c>
      <c r="AJ466" s="98" t="s">
        <v>740</v>
      </c>
      <c r="AK466" s="98" t="s">
        <v>159</v>
      </c>
      <c r="AL466" s="98" t="s">
        <v>224</v>
      </c>
      <c r="AM466" s="98" t="s">
        <v>225</v>
      </c>
      <c r="AP466" s="98" t="s">
        <v>494</v>
      </c>
      <c r="AQ466" s="98" t="s">
        <v>492</v>
      </c>
      <c r="AR466" s="98" t="s">
        <v>1470</v>
      </c>
      <c r="AS466" s="98" t="s">
        <v>1519</v>
      </c>
      <c r="AT466" s="100" t="n">
        <v>0</v>
      </c>
      <c r="AU466" s="100" t="n">
        <v>-826000</v>
      </c>
      <c r="AX466" s="98" t="s">
        <v>165</v>
      </c>
      <c r="AMH466" s="0"/>
      <c r="AMI466" s="0"/>
      <c r="AMJ466" s="0"/>
    </row>
    <row r="467" s="98" customFormat="true" ht="13.8" hidden="false" customHeight="false" outlineLevel="0" collapsed="false">
      <c r="A467" s="98" t="s">
        <v>142</v>
      </c>
      <c r="B467" s="98" t="s">
        <v>143</v>
      </c>
      <c r="C467" s="98" t="n">
        <v>51245253</v>
      </c>
      <c r="D467" s="98" t="s">
        <v>1520</v>
      </c>
      <c r="E467" s="98" t="s">
        <v>725</v>
      </c>
      <c r="F467" s="98" t="s">
        <v>297</v>
      </c>
      <c r="G467" s="98" t="s">
        <v>147</v>
      </c>
      <c r="H467" s="98" t="s">
        <v>402</v>
      </c>
      <c r="I467" s="99" t="n">
        <v>43615</v>
      </c>
      <c r="J467" s="99" t="n">
        <v>43668</v>
      </c>
      <c r="K467" s="100" t="n">
        <v>-49277.89</v>
      </c>
      <c r="L467" s="100" t="n">
        <f aca="false">K467-Q467+T467</f>
        <v>-41760.92</v>
      </c>
      <c r="M467" s="98" t="s">
        <v>149</v>
      </c>
      <c r="N467" s="100" t="n">
        <v>-49277.89</v>
      </c>
      <c r="O467" s="98" t="s">
        <v>149</v>
      </c>
      <c r="P467" s="100" t="n">
        <v>-49277.89</v>
      </c>
      <c r="Q467" s="100" t="n">
        <v>-7516.97</v>
      </c>
      <c r="R467" s="100" t="n">
        <v>-41760.92</v>
      </c>
      <c r="S467" s="100" t="n">
        <v>0</v>
      </c>
      <c r="T467" s="100" t="n">
        <v>0</v>
      </c>
      <c r="U467" s="98" t="s">
        <v>192</v>
      </c>
      <c r="V467" s="98" t="s">
        <v>151</v>
      </c>
      <c r="X467" s="98" t="s">
        <v>1212</v>
      </c>
      <c r="Y467" s="98" t="s">
        <v>1213</v>
      </c>
      <c r="Z467" s="98" t="s">
        <v>1521</v>
      </c>
      <c r="AB467" s="98" t="s">
        <v>1213</v>
      </c>
      <c r="AD467" s="98" t="s">
        <v>155</v>
      </c>
      <c r="AE467" s="98" t="s">
        <v>156</v>
      </c>
      <c r="AF467" s="98" t="s">
        <v>728</v>
      </c>
      <c r="AG467" s="98" t="s">
        <v>729</v>
      </c>
      <c r="AH467" s="98" t="s">
        <v>971</v>
      </c>
      <c r="AI467" s="98" t="s">
        <v>971</v>
      </c>
      <c r="AJ467" s="98" t="s">
        <v>972</v>
      </c>
      <c r="AK467" s="98" t="s">
        <v>159</v>
      </c>
      <c r="AL467" s="98" t="s">
        <v>224</v>
      </c>
      <c r="AM467" s="98" t="s">
        <v>225</v>
      </c>
      <c r="AP467" s="98" t="s">
        <v>553</v>
      </c>
      <c r="AQ467" s="98" t="s">
        <v>551</v>
      </c>
      <c r="AR467" s="98" t="s">
        <v>1415</v>
      </c>
      <c r="AS467" s="98" t="s">
        <v>1522</v>
      </c>
      <c r="AT467" s="100" t="n">
        <v>0</v>
      </c>
      <c r="AU467" s="100" t="n">
        <v>-49277.89</v>
      </c>
      <c r="AX467" s="98" t="s">
        <v>213</v>
      </c>
      <c r="AMH467" s="0"/>
      <c r="AMI467" s="0"/>
      <c r="AMJ467" s="0"/>
    </row>
    <row r="468" s="98" customFormat="true" ht="13.8" hidden="false" customHeight="false" outlineLevel="0" collapsed="false">
      <c r="A468" s="98" t="s">
        <v>142</v>
      </c>
      <c r="B468" s="98" t="s">
        <v>143</v>
      </c>
      <c r="C468" s="98" t="n">
        <v>51245253</v>
      </c>
      <c r="D468" s="98" t="s">
        <v>1520</v>
      </c>
      <c r="E468" s="98" t="s">
        <v>725</v>
      </c>
      <c r="F468" s="98" t="s">
        <v>297</v>
      </c>
      <c r="G468" s="98" t="s">
        <v>147</v>
      </c>
      <c r="H468" s="98" t="s">
        <v>402</v>
      </c>
      <c r="I468" s="99" t="n">
        <v>43615</v>
      </c>
      <c r="J468" s="99" t="n">
        <v>43668</v>
      </c>
      <c r="K468" s="100" t="n">
        <v>-49277.88</v>
      </c>
      <c r="L468" s="100" t="n">
        <f aca="false">K468-Q468+T468</f>
        <v>-41760.91</v>
      </c>
      <c r="M468" s="98" t="s">
        <v>149</v>
      </c>
      <c r="N468" s="100" t="n">
        <v>-49277.88</v>
      </c>
      <c r="O468" s="98" t="s">
        <v>149</v>
      </c>
      <c r="P468" s="100" t="n">
        <v>-49277.88</v>
      </c>
      <c r="Q468" s="100" t="n">
        <v>-7516.97</v>
      </c>
      <c r="R468" s="100" t="n">
        <v>-41760.91</v>
      </c>
      <c r="S468" s="100" t="n">
        <v>0</v>
      </c>
      <c r="T468" s="100" t="n">
        <v>0</v>
      </c>
      <c r="U468" s="98" t="s">
        <v>192</v>
      </c>
      <c r="V468" s="98" t="s">
        <v>151</v>
      </c>
      <c r="X468" s="98" t="s">
        <v>1212</v>
      </c>
      <c r="Y468" s="98" t="s">
        <v>1213</v>
      </c>
      <c r="Z468" s="98" t="s">
        <v>1521</v>
      </c>
      <c r="AB468" s="98" t="s">
        <v>1213</v>
      </c>
      <c r="AD468" s="98" t="s">
        <v>155</v>
      </c>
      <c r="AE468" s="98" t="s">
        <v>156</v>
      </c>
      <c r="AF468" s="98" t="s">
        <v>728</v>
      </c>
      <c r="AG468" s="98" t="s">
        <v>729</v>
      </c>
      <c r="AH468" s="98" t="s">
        <v>971</v>
      </c>
      <c r="AI468" s="98" t="s">
        <v>971</v>
      </c>
      <c r="AJ468" s="98" t="s">
        <v>972</v>
      </c>
      <c r="AK468" s="98" t="s">
        <v>159</v>
      </c>
      <c r="AL468" s="98" t="s">
        <v>224</v>
      </c>
      <c r="AM468" s="98" t="s">
        <v>225</v>
      </c>
      <c r="AP468" s="98" t="s">
        <v>553</v>
      </c>
      <c r="AQ468" s="98" t="s">
        <v>551</v>
      </c>
      <c r="AR468" s="98" t="s">
        <v>1415</v>
      </c>
      <c r="AS468" s="98" t="s">
        <v>1522</v>
      </c>
      <c r="AT468" s="100" t="n">
        <v>0</v>
      </c>
      <c r="AU468" s="100" t="n">
        <v>-49277.88</v>
      </c>
      <c r="AX468" s="98" t="s">
        <v>1446</v>
      </c>
      <c r="AMH468" s="0"/>
      <c r="AMI468" s="0"/>
      <c r="AMJ468" s="0"/>
    </row>
    <row r="469" s="98" customFormat="true" ht="13.8" hidden="false" customHeight="false" outlineLevel="0" collapsed="false">
      <c r="A469" s="98" t="s">
        <v>142</v>
      </c>
      <c r="B469" s="98" t="s">
        <v>143</v>
      </c>
      <c r="C469" s="98" t="n">
        <v>51245253</v>
      </c>
      <c r="D469" s="98" t="s">
        <v>1520</v>
      </c>
      <c r="E469" s="98" t="s">
        <v>725</v>
      </c>
      <c r="F469" s="98" t="s">
        <v>297</v>
      </c>
      <c r="G469" s="98" t="s">
        <v>147</v>
      </c>
      <c r="H469" s="98" t="s">
        <v>402</v>
      </c>
      <c r="I469" s="99" t="n">
        <v>43615</v>
      </c>
      <c r="J469" s="99" t="n">
        <v>43668</v>
      </c>
      <c r="K469" s="100" t="n">
        <v>-837724.05</v>
      </c>
      <c r="L469" s="100" t="n">
        <f aca="false">K469-Q469+T469</f>
        <v>-709935.63</v>
      </c>
      <c r="M469" s="98" t="s">
        <v>149</v>
      </c>
      <c r="N469" s="100" t="n">
        <v>-837724.05</v>
      </c>
      <c r="O469" s="98" t="s">
        <v>149</v>
      </c>
      <c r="P469" s="100" t="n">
        <v>-837724.05</v>
      </c>
      <c r="Q469" s="100" t="n">
        <v>-127788.42</v>
      </c>
      <c r="R469" s="100" t="n">
        <v>-709935.63</v>
      </c>
      <c r="S469" s="100" t="n">
        <v>0</v>
      </c>
      <c r="T469" s="100" t="n">
        <v>0</v>
      </c>
      <c r="U469" s="98" t="s">
        <v>192</v>
      </c>
      <c r="V469" s="98" t="s">
        <v>151</v>
      </c>
      <c r="X469" s="98" t="s">
        <v>1212</v>
      </c>
      <c r="Y469" s="98" t="s">
        <v>1213</v>
      </c>
      <c r="Z469" s="98" t="s">
        <v>1521</v>
      </c>
      <c r="AB469" s="98" t="s">
        <v>1213</v>
      </c>
      <c r="AD469" s="98" t="s">
        <v>155</v>
      </c>
      <c r="AE469" s="98" t="s">
        <v>156</v>
      </c>
      <c r="AF469" s="98" t="s">
        <v>728</v>
      </c>
      <c r="AG469" s="98" t="s">
        <v>729</v>
      </c>
      <c r="AH469" s="98" t="s">
        <v>971</v>
      </c>
      <c r="AI469" s="98" t="s">
        <v>971</v>
      </c>
      <c r="AJ469" s="98" t="s">
        <v>972</v>
      </c>
      <c r="AK469" s="98" t="s">
        <v>159</v>
      </c>
      <c r="AL469" s="98" t="s">
        <v>224</v>
      </c>
      <c r="AM469" s="98" t="s">
        <v>225</v>
      </c>
      <c r="AP469" s="98" t="s">
        <v>459</v>
      </c>
      <c r="AQ469" s="98" t="s">
        <v>457</v>
      </c>
      <c r="AR469" s="98" t="s">
        <v>1415</v>
      </c>
      <c r="AS469" s="98" t="s">
        <v>1522</v>
      </c>
      <c r="AT469" s="100" t="n">
        <v>0</v>
      </c>
      <c r="AU469" s="100" t="n">
        <v>-837724.05</v>
      </c>
      <c r="AX469" s="98" t="s">
        <v>191</v>
      </c>
      <c r="AMH469" s="0"/>
      <c r="AMI469" s="0"/>
      <c r="AMJ469" s="0"/>
    </row>
    <row r="470" s="98" customFormat="true" ht="13.8" hidden="false" customHeight="false" outlineLevel="0" collapsed="false">
      <c r="A470" s="98" t="s">
        <v>142</v>
      </c>
      <c r="B470" s="98" t="s">
        <v>143</v>
      </c>
      <c r="C470" s="98" t="n">
        <v>51245253</v>
      </c>
      <c r="D470" s="98" t="s">
        <v>1520</v>
      </c>
      <c r="E470" s="98" t="s">
        <v>725</v>
      </c>
      <c r="F470" s="98" t="s">
        <v>297</v>
      </c>
      <c r="G470" s="98" t="s">
        <v>147</v>
      </c>
      <c r="H470" s="98" t="s">
        <v>402</v>
      </c>
      <c r="I470" s="99" t="n">
        <v>43615</v>
      </c>
      <c r="J470" s="99" t="n">
        <v>43668</v>
      </c>
      <c r="K470" s="100" t="n">
        <v>-49277.89</v>
      </c>
      <c r="L470" s="100" t="n">
        <f aca="false">K470-Q470+T470</f>
        <v>-41760.92</v>
      </c>
      <c r="M470" s="98" t="s">
        <v>149</v>
      </c>
      <c r="N470" s="100" t="n">
        <v>-49277.89</v>
      </c>
      <c r="O470" s="98" t="s">
        <v>149</v>
      </c>
      <c r="P470" s="100" t="n">
        <v>-49277.89</v>
      </c>
      <c r="Q470" s="100" t="n">
        <v>-7516.97</v>
      </c>
      <c r="R470" s="100" t="n">
        <v>-41760.92</v>
      </c>
      <c r="S470" s="100" t="n">
        <v>0</v>
      </c>
      <c r="T470" s="100" t="n">
        <v>0</v>
      </c>
      <c r="U470" s="98" t="s">
        <v>192</v>
      </c>
      <c r="V470" s="98" t="s">
        <v>151</v>
      </c>
      <c r="X470" s="98" t="s">
        <v>1212</v>
      </c>
      <c r="Y470" s="98" t="s">
        <v>1213</v>
      </c>
      <c r="Z470" s="98" t="s">
        <v>1521</v>
      </c>
      <c r="AB470" s="98" t="s">
        <v>1213</v>
      </c>
      <c r="AD470" s="98" t="s">
        <v>155</v>
      </c>
      <c r="AE470" s="98" t="s">
        <v>156</v>
      </c>
      <c r="AF470" s="98" t="s">
        <v>728</v>
      </c>
      <c r="AG470" s="98" t="s">
        <v>729</v>
      </c>
      <c r="AH470" s="98" t="s">
        <v>971</v>
      </c>
      <c r="AI470" s="98" t="s">
        <v>971</v>
      </c>
      <c r="AJ470" s="98" t="s">
        <v>972</v>
      </c>
      <c r="AK470" s="98" t="s">
        <v>159</v>
      </c>
      <c r="AL470" s="98" t="s">
        <v>224</v>
      </c>
      <c r="AM470" s="98" t="s">
        <v>225</v>
      </c>
      <c r="AP470" s="98" t="s">
        <v>553</v>
      </c>
      <c r="AQ470" s="98" t="s">
        <v>551</v>
      </c>
      <c r="AR470" s="98" t="s">
        <v>1415</v>
      </c>
      <c r="AS470" s="98" t="s">
        <v>1522</v>
      </c>
      <c r="AT470" s="100" t="n">
        <v>0</v>
      </c>
      <c r="AU470" s="100" t="n">
        <v>-49277.89</v>
      </c>
      <c r="AX470" s="98" t="s">
        <v>200</v>
      </c>
      <c r="AMH470" s="0"/>
      <c r="AMI470" s="0"/>
      <c r="AMJ470" s="0"/>
    </row>
    <row r="471" s="98" customFormat="true" ht="13.8" hidden="false" customHeight="false" outlineLevel="0" collapsed="false">
      <c r="A471" s="98" t="s">
        <v>142</v>
      </c>
      <c r="B471" s="98" t="s">
        <v>143</v>
      </c>
      <c r="C471" s="98" t="n">
        <v>51323575</v>
      </c>
      <c r="D471" s="98" t="s">
        <v>1523</v>
      </c>
      <c r="E471" s="98" t="s">
        <v>725</v>
      </c>
      <c r="F471" s="98" t="s">
        <v>297</v>
      </c>
      <c r="G471" s="98" t="s">
        <v>147</v>
      </c>
      <c r="H471" s="98" t="s">
        <v>168</v>
      </c>
      <c r="I471" s="99" t="n">
        <v>43650</v>
      </c>
      <c r="J471" s="99" t="n">
        <v>43703</v>
      </c>
      <c r="K471" s="100" t="n">
        <v>-17311.93</v>
      </c>
      <c r="L471" s="100" t="n">
        <f aca="false">K471-Q471+T471</f>
        <v>-14671.13</v>
      </c>
      <c r="M471" s="98" t="s">
        <v>149</v>
      </c>
      <c r="N471" s="100" t="n">
        <v>-17311.93</v>
      </c>
      <c r="O471" s="98" t="s">
        <v>149</v>
      </c>
      <c r="P471" s="100" t="n">
        <v>-17311.93</v>
      </c>
      <c r="Q471" s="100" t="n">
        <v>-2640.8</v>
      </c>
      <c r="R471" s="100" t="n">
        <v>-14671.13</v>
      </c>
      <c r="S471" s="100" t="n">
        <v>0</v>
      </c>
      <c r="T471" s="100" t="n">
        <v>0</v>
      </c>
      <c r="U471" s="98" t="s">
        <v>192</v>
      </c>
      <c r="V471" s="98" t="s">
        <v>151</v>
      </c>
      <c r="X471" s="98" t="s">
        <v>1212</v>
      </c>
      <c r="Y471" s="98" t="s">
        <v>1213</v>
      </c>
      <c r="Z471" s="98" t="s">
        <v>1524</v>
      </c>
      <c r="AB471" s="98" t="s">
        <v>1213</v>
      </c>
      <c r="AD471" s="98" t="s">
        <v>155</v>
      </c>
      <c r="AE471" s="98" t="s">
        <v>156</v>
      </c>
      <c r="AF471" s="98" t="s">
        <v>728</v>
      </c>
      <c r="AG471" s="98" t="s">
        <v>729</v>
      </c>
      <c r="AH471" s="98" t="s">
        <v>971</v>
      </c>
      <c r="AI471" s="98" t="s">
        <v>971</v>
      </c>
      <c r="AJ471" s="98" t="s">
        <v>972</v>
      </c>
      <c r="AK471" s="98" t="s">
        <v>159</v>
      </c>
      <c r="AL471" s="98" t="s">
        <v>224</v>
      </c>
      <c r="AM471" s="98" t="s">
        <v>225</v>
      </c>
      <c r="AP471" s="98" t="s">
        <v>553</v>
      </c>
      <c r="AQ471" s="98" t="s">
        <v>551</v>
      </c>
      <c r="AR471" s="98" t="s">
        <v>1479</v>
      </c>
      <c r="AS471" s="98" t="s">
        <v>1525</v>
      </c>
      <c r="AT471" s="100" t="n">
        <v>0</v>
      </c>
      <c r="AU471" s="100" t="n">
        <v>-17311.93</v>
      </c>
      <c r="AX471" s="98" t="s">
        <v>200</v>
      </c>
      <c r="AMH471" s="0"/>
      <c r="AMI471" s="0"/>
      <c r="AMJ471" s="0"/>
    </row>
    <row r="472" s="98" customFormat="true" ht="13.8" hidden="false" customHeight="false" outlineLevel="0" collapsed="false">
      <c r="A472" s="98" t="s">
        <v>142</v>
      </c>
      <c r="B472" s="98" t="s">
        <v>143</v>
      </c>
      <c r="C472" s="98" t="n">
        <v>51323575</v>
      </c>
      <c r="D472" s="98" t="s">
        <v>1523</v>
      </c>
      <c r="E472" s="98" t="s">
        <v>725</v>
      </c>
      <c r="F472" s="98" t="s">
        <v>297</v>
      </c>
      <c r="G472" s="98" t="s">
        <v>147</v>
      </c>
      <c r="H472" s="98" t="s">
        <v>168</v>
      </c>
      <c r="I472" s="99" t="n">
        <v>43650</v>
      </c>
      <c r="J472" s="99" t="n">
        <v>43703</v>
      </c>
      <c r="K472" s="100" t="n">
        <v>-17311.93</v>
      </c>
      <c r="L472" s="100" t="n">
        <f aca="false">K472-Q472+T472</f>
        <v>-14671.13</v>
      </c>
      <c r="M472" s="98" t="s">
        <v>149</v>
      </c>
      <c r="N472" s="100" t="n">
        <v>-17311.93</v>
      </c>
      <c r="O472" s="98" t="s">
        <v>149</v>
      </c>
      <c r="P472" s="100" t="n">
        <v>-17311.93</v>
      </c>
      <c r="Q472" s="100" t="n">
        <v>-2640.8</v>
      </c>
      <c r="R472" s="100" t="n">
        <v>-14671.13</v>
      </c>
      <c r="S472" s="100" t="n">
        <v>0</v>
      </c>
      <c r="T472" s="100" t="n">
        <v>0</v>
      </c>
      <c r="U472" s="98" t="s">
        <v>192</v>
      </c>
      <c r="V472" s="98" t="s">
        <v>151</v>
      </c>
      <c r="X472" s="98" t="s">
        <v>1212</v>
      </c>
      <c r="Y472" s="98" t="s">
        <v>1213</v>
      </c>
      <c r="Z472" s="98" t="s">
        <v>1524</v>
      </c>
      <c r="AB472" s="98" t="s">
        <v>1213</v>
      </c>
      <c r="AD472" s="98" t="s">
        <v>155</v>
      </c>
      <c r="AE472" s="98" t="s">
        <v>156</v>
      </c>
      <c r="AF472" s="98" t="s">
        <v>728</v>
      </c>
      <c r="AG472" s="98" t="s">
        <v>729</v>
      </c>
      <c r="AH472" s="98" t="s">
        <v>971</v>
      </c>
      <c r="AI472" s="98" t="s">
        <v>971</v>
      </c>
      <c r="AJ472" s="98" t="s">
        <v>972</v>
      </c>
      <c r="AK472" s="98" t="s">
        <v>159</v>
      </c>
      <c r="AL472" s="98" t="s">
        <v>224</v>
      </c>
      <c r="AM472" s="98" t="s">
        <v>225</v>
      </c>
      <c r="AP472" s="98" t="s">
        <v>553</v>
      </c>
      <c r="AQ472" s="98" t="s">
        <v>551</v>
      </c>
      <c r="AR472" s="98" t="s">
        <v>1479</v>
      </c>
      <c r="AS472" s="98" t="s">
        <v>1525</v>
      </c>
      <c r="AT472" s="100" t="n">
        <v>0</v>
      </c>
      <c r="AU472" s="100" t="n">
        <v>-17311.93</v>
      </c>
      <c r="AX472" s="98" t="s">
        <v>191</v>
      </c>
      <c r="AMH472" s="0"/>
      <c r="AMI472" s="0"/>
      <c r="AMJ472" s="0"/>
    </row>
    <row r="473" s="98" customFormat="true" ht="13.8" hidden="false" customHeight="false" outlineLevel="0" collapsed="false">
      <c r="A473" s="98" t="s">
        <v>142</v>
      </c>
      <c r="B473" s="98" t="s">
        <v>143</v>
      </c>
      <c r="C473" s="98" t="n">
        <v>51323575</v>
      </c>
      <c r="D473" s="98" t="s">
        <v>1523</v>
      </c>
      <c r="E473" s="98" t="s">
        <v>725</v>
      </c>
      <c r="F473" s="98" t="s">
        <v>297</v>
      </c>
      <c r="G473" s="98" t="s">
        <v>147</v>
      </c>
      <c r="H473" s="98" t="s">
        <v>168</v>
      </c>
      <c r="I473" s="99" t="n">
        <v>43650</v>
      </c>
      <c r="J473" s="99" t="n">
        <v>43703</v>
      </c>
      <c r="K473" s="100" t="n">
        <v>-294302.86</v>
      </c>
      <c r="L473" s="100" t="n">
        <f aca="false">K473-Q473+T473</f>
        <v>-249409.21</v>
      </c>
      <c r="M473" s="98" t="s">
        <v>149</v>
      </c>
      <c r="N473" s="100" t="n">
        <v>-294302.86</v>
      </c>
      <c r="O473" s="98" t="s">
        <v>149</v>
      </c>
      <c r="P473" s="100" t="n">
        <v>-294302.86</v>
      </c>
      <c r="Q473" s="100" t="n">
        <v>-44893.65</v>
      </c>
      <c r="R473" s="100" t="n">
        <v>-249409.21</v>
      </c>
      <c r="S473" s="100" t="n">
        <v>0</v>
      </c>
      <c r="T473" s="100" t="n">
        <v>0</v>
      </c>
      <c r="U473" s="98" t="s">
        <v>192</v>
      </c>
      <c r="V473" s="98" t="s">
        <v>151</v>
      </c>
      <c r="X473" s="98" t="s">
        <v>1212</v>
      </c>
      <c r="Y473" s="98" t="s">
        <v>1213</v>
      </c>
      <c r="Z473" s="98" t="s">
        <v>1524</v>
      </c>
      <c r="AB473" s="98" t="s">
        <v>1213</v>
      </c>
      <c r="AD473" s="98" t="s">
        <v>155</v>
      </c>
      <c r="AE473" s="98" t="s">
        <v>156</v>
      </c>
      <c r="AF473" s="98" t="s">
        <v>728</v>
      </c>
      <c r="AG473" s="98" t="s">
        <v>729</v>
      </c>
      <c r="AH473" s="98" t="s">
        <v>971</v>
      </c>
      <c r="AI473" s="98" t="s">
        <v>971</v>
      </c>
      <c r="AJ473" s="98" t="s">
        <v>972</v>
      </c>
      <c r="AK473" s="98" t="s">
        <v>159</v>
      </c>
      <c r="AL473" s="98" t="s">
        <v>224</v>
      </c>
      <c r="AM473" s="98" t="s">
        <v>225</v>
      </c>
      <c r="AP473" s="98" t="s">
        <v>508</v>
      </c>
      <c r="AQ473" s="98" t="s">
        <v>506</v>
      </c>
      <c r="AR473" s="98" t="s">
        <v>1479</v>
      </c>
      <c r="AS473" s="98" t="s">
        <v>1525</v>
      </c>
      <c r="AT473" s="100" t="n">
        <v>0</v>
      </c>
      <c r="AU473" s="100" t="n">
        <v>-294302.86</v>
      </c>
      <c r="AX473" s="98" t="s">
        <v>586</v>
      </c>
      <c r="AMH473" s="0"/>
      <c r="AMI473" s="0"/>
      <c r="AMJ473" s="0"/>
    </row>
    <row r="474" s="98" customFormat="true" ht="13.8" hidden="false" customHeight="false" outlineLevel="0" collapsed="false">
      <c r="A474" s="98" t="s">
        <v>142</v>
      </c>
      <c r="B474" s="98" t="s">
        <v>143</v>
      </c>
      <c r="C474" s="98" t="n">
        <v>51323575</v>
      </c>
      <c r="D474" s="98" t="s">
        <v>1523</v>
      </c>
      <c r="E474" s="98" t="s">
        <v>725</v>
      </c>
      <c r="F474" s="98" t="s">
        <v>297</v>
      </c>
      <c r="G474" s="98" t="s">
        <v>147</v>
      </c>
      <c r="H474" s="98" t="s">
        <v>168</v>
      </c>
      <c r="I474" s="99" t="n">
        <v>43650</v>
      </c>
      <c r="J474" s="99" t="n">
        <v>43703</v>
      </c>
      <c r="K474" s="100" t="n">
        <v>-17311.94</v>
      </c>
      <c r="L474" s="100" t="n">
        <f aca="false">K474-Q474+T474</f>
        <v>-14671.14</v>
      </c>
      <c r="M474" s="98" t="s">
        <v>149</v>
      </c>
      <c r="N474" s="100" t="n">
        <v>-17311.94</v>
      </c>
      <c r="O474" s="98" t="s">
        <v>149</v>
      </c>
      <c r="P474" s="100" t="n">
        <v>-17311.94</v>
      </c>
      <c r="Q474" s="100" t="n">
        <v>-2640.8</v>
      </c>
      <c r="R474" s="100" t="n">
        <v>-14671.14</v>
      </c>
      <c r="S474" s="100" t="n">
        <v>0</v>
      </c>
      <c r="T474" s="100" t="n">
        <v>0</v>
      </c>
      <c r="U474" s="98" t="s">
        <v>192</v>
      </c>
      <c r="V474" s="98" t="s">
        <v>151</v>
      </c>
      <c r="X474" s="98" t="s">
        <v>1212</v>
      </c>
      <c r="Y474" s="98" t="s">
        <v>1213</v>
      </c>
      <c r="Z474" s="98" t="s">
        <v>1524</v>
      </c>
      <c r="AB474" s="98" t="s">
        <v>1213</v>
      </c>
      <c r="AD474" s="98" t="s">
        <v>155</v>
      </c>
      <c r="AE474" s="98" t="s">
        <v>156</v>
      </c>
      <c r="AF474" s="98" t="s">
        <v>728</v>
      </c>
      <c r="AG474" s="98" t="s">
        <v>729</v>
      </c>
      <c r="AH474" s="98" t="s">
        <v>971</v>
      </c>
      <c r="AI474" s="98" t="s">
        <v>971</v>
      </c>
      <c r="AJ474" s="98" t="s">
        <v>972</v>
      </c>
      <c r="AK474" s="98" t="s">
        <v>159</v>
      </c>
      <c r="AL474" s="98" t="s">
        <v>224</v>
      </c>
      <c r="AM474" s="98" t="s">
        <v>225</v>
      </c>
      <c r="AP474" s="98" t="s">
        <v>553</v>
      </c>
      <c r="AQ474" s="98" t="s">
        <v>551</v>
      </c>
      <c r="AR474" s="98" t="s">
        <v>1479</v>
      </c>
      <c r="AS474" s="98" t="s">
        <v>1525</v>
      </c>
      <c r="AT474" s="100" t="n">
        <v>0</v>
      </c>
      <c r="AU474" s="100" t="n">
        <v>-17311.94</v>
      </c>
      <c r="AX474" s="98" t="s">
        <v>213</v>
      </c>
      <c r="AMH474" s="0"/>
      <c r="AMI474" s="0"/>
      <c r="AMJ474" s="0"/>
    </row>
    <row r="475" s="98" customFormat="true" ht="13.8" hidden="false" customHeight="false" outlineLevel="0" collapsed="false">
      <c r="A475" s="98" t="s">
        <v>142</v>
      </c>
      <c r="B475" s="98" t="s">
        <v>143</v>
      </c>
      <c r="C475" s="98" t="n">
        <v>51323590</v>
      </c>
      <c r="D475" s="98" t="s">
        <v>1526</v>
      </c>
      <c r="E475" s="98" t="s">
        <v>725</v>
      </c>
      <c r="F475" s="98" t="s">
        <v>297</v>
      </c>
      <c r="G475" s="98" t="s">
        <v>147</v>
      </c>
      <c r="H475" s="98" t="s">
        <v>168</v>
      </c>
      <c r="I475" s="99" t="n">
        <v>43650</v>
      </c>
      <c r="J475" s="99" t="n">
        <v>43703</v>
      </c>
      <c r="K475" s="100" t="n">
        <v>-30666.86</v>
      </c>
      <c r="L475" s="100" t="n">
        <f aca="false">K475-Q475+T475</f>
        <v>-25988.86</v>
      </c>
      <c r="M475" s="98" t="s">
        <v>149</v>
      </c>
      <c r="N475" s="100" t="n">
        <v>-30666.86</v>
      </c>
      <c r="O475" s="98" t="s">
        <v>149</v>
      </c>
      <c r="P475" s="100" t="n">
        <v>-30666.86</v>
      </c>
      <c r="Q475" s="100" t="n">
        <v>-4678</v>
      </c>
      <c r="R475" s="100" t="n">
        <v>-25988.86</v>
      </c>
      <c r="S475" s="100" t="n">
        <v>0</v>
      </c>
      <c r="T475" s="100" t="n">
        <v>0</v>
      </c>
      <c r="U475" s="98" t="s">
        <v>192</v>
      </c>
      <c r="V475" s="98" t="s">
        <v>151</v>
      </c>
      <c r="X475" s="98" t="s">
        <v>1212</v>
      </c>
      <c r="Y475" s="98" t="s">
        <v>1213</v>
      </c>
      <c r="Z475" s="98" t="s">
        <v>1527</v>
      </c>
      <c r="AB475" s="98" t="s">
        <v>1213</v>
      </c>
      <c r="AD475" s="98" t="s">
        <v>155</v>
      </c>
      <c r="AE475" s="98" t="s">
        <v>156</v>
      </c>
      <c r="AF475" s="98" t="s">
        <v>728</v>
      </c>
      <c r="AG475" s="98" t="s">
        <v>729</v>
      </c>
      <c r="AH475" s="98" t="s">
        <v>971</v>
      </c>
      <c r="AI475" s="98" t="s">
        <v>971</v>
      </c>
      <c r="AJ475" s="98" t="s">
        <v>972</v>
      </c>
      <c r="AK475" s="98" t="s">
        <v>159</v>
      </c>
      <c r="AL475" s="98" t="s">
        <v>224</v>
      </c>
      <c r="AM475" s="98" t="s">
        <v>225</v>
      </c>
      <c r="AP475" s="98" t="s">
        <v>553</v>
      </c>
      <c r="AQ475" s="98" t="s">
        <v>551</v>
      </c>
      <c r="AR475" s="98" t="s">
        <v>1479</v>
      </c>
      <c r="AS475" s="98" t="s">
        <v>1528</v>
      </c>
      <c r="AT475" s="100" t="n">
        <v>0</v>
      </c>
      <c r="AU475" s="100" t="n">
        <v>-30666.86</v>
      </c>
      <c r="AX475" s="98" t="s">
        <v>213</v>
      </c>
      <c r="AMH475" s="0"/>
      <c r="AMI475" s="0"/>
      <c r="AMJ475" s="0"/>
    </row>
    <row r="476" s="98" customFormat="true" ht="13.8" hidden="false" customHeight="false" outlineLevel="0" collapsed="false">
      <c r="A476" s="98" t="s">
        <v>142</v>
      </c>
      <c r="B476" s="98" t="s">
        <v>143</v>
      </c>
      <c r="C476" s="98" t="n">
        <v>51323590</v>
      </c>
      <c r="D476" s="98" t="s">
        <v>1526</v>
      </c>
      <c r="E476" s="98" t="s">
        <v>725</v>
      </c>
      <c r="F476" s="98" t="s">
        <v>297</v>
      </c>
      <c r="G476" s="98" t="s">
        <v>147</v>
      </c>
      <c r="H476" s="98" t="s">
        <v>168</v>
      </c>
      <c r="I476" s="99" t="n">
        <v>43650</v>
      </c>
      <c r="J476" s="99" t="n">
        <v>43703</v>
      </c>
      <c r="K476" s="100" t="n">
        <v>-521336.5</v>
      </c>
      <c r="L476" s="100" t="n">
        <f aca="false">K476-Q476+T476</f>
        <v>-441810.59</v>
      </c>
      <c r="M476" s="98" t="s">
        <v>149</v>
      </c>
      <c r="N476" s="100" t="n">
        <v>-521336.5</v>
      </c>
      <c r="O476" s="98" t="s">
        <v>149</v>
      </c>
      <c r="P476" s="100" t="n">
        <v>-521336.5</v>
      </c>
      <c r="Q476" s="100" t="n">
        <v>-79525.91</v>
      </c>
      <c r="R476" s="100" t="n">
        <v>-441810.59</v>
      </c>
      <c r="S476" s="100" t="n">
        <v>0</v>
      </c>
      <c r="T476" s="100" t="n">
        <v>0</v>
      </c>
      <c r="U476" s="98" t="s">
        <v>192</v>
      </c>
      <c r="V476" s="98" t="s">
        <v>151</v>
      </c>
      <c r="X476" s="98" t="s">
        <v>1212</v>
      </c>
      <c r="Y476" s="98" t="s">
        <v>1213</v>
      </c>
      <c r="Z476" s="98" t="s">
        <v>1527</v>
      </c>
      <c r="AB476" s="98" t="s">
        <v>1213</v>
      </c>
      <c r="AD476" s="98" t="s">
        <v>155</v>
      </c>
      <c r="AE476" s="98" t="s">
        <v>156</v>
      </c>
      <c r="AF476" s="98" t="s">
        <v>728</v>
      </c>
      <c r="AG476" s="98" t="s">
        <v>729</v>
      </c>
      <c r="AH476" s="98" t="s">
        <v>971</v>
      </c>
      <c r="AI476" s="98" t="s">
        <v>971</v>
      </c>
      <c r="AJ476" s="98" t="s">
        <v>972</v>
      </c>
      <c r="AK476" s="98" t="s">
        <v>159</v>
      </c>
      <c r="AL476" s="98" t="s">
        <v>224</v>
      </c>
      <c r="AM476" s="98" t="s">
        <v>225</v>
      </c>
      <c r="AP476" s="98" t="s">
        <v>508</v>
      </c>
      <c r="AQ476" s="98" t="s">
        <v>506</v>
      </c>
      <c r="AR476" s="98" t="s">
        <v>1479</v>
      </c>
      <c r="AS476" s="98" t="s">
        <v>1528</v>
      </c>
      <c r="AT476" s="100" t="n">
        <v>0</v>
      </c>
      <c r="AU476" s="100" t="n">
        <v>-521336.5</v>
      </c>
      <c r="AX476" s="98" t="s">
        <v>586</v>
      </c>
      <c r="AMH476" s="0"/>
      <c r="AMI476" s="0"/>
      <c r="AMJ476" s="0"/>
    </row>
    <row r="477" s="98" customFormat="true" ht="13.8" hidden="false" customHeight="false" outlineLevel="0" collapsed="false">
      <c r="A477" s="98" t="s">
        <v>142</v>
      </c>
      <c r="B477" s="98" t="s">
        <v>143</v>
      </c>
      <c r="C477" s="98" t="n">
        <v>51323590</v>
      </c>
      <c r="D477" s="98" t="s">
        <v>1526</v>
      </c>
      <c r="E477" s="98" t="s">
        <v>725</v>
      </c>
      <c r="F477" s="98" t="s">
        <v>297</v>
      </c>
      <c r="G477" s="98" t="s">
        <v>147</v>
      </c>
      <c r="H477" s="98" t="s">
        <v>168</v>
      </c>
      <c r="I477" s="99" t="n">
        <v>43650</v>
      </c>
      <c r="J477" s="99" t="n">
        <v>43703</v>
      </c>
      <c r="K477" s="100" t="n">
        <v>-30666.85</v>
      </c>
      <c r="L477" s="100" t="n">
        <f aca="false">K477-Q477+T477</f>
        <v>-25988.86</v>
      </c>
      <c r="M477" s="98" t="s">
        <v>149</v>
      </c>
      <c r="N477" s="100" t="n">
        <v>-30666.85</v>
      </c>
      <c r="O477" s="98" t="s">
        <v>149</v>
      </c>
      <c r="P477" s="100" t="n">
        <v>-30666.85</v>
      </c>
      <c r="Q477" s="100" t="n">
        <v>-4677.99</v>
      </c>
      <c r="R477" s="100" t="n">
        <v>-25988.86</v>
      </c>
      <c r="S477" s="100" t="n">
        <v>0</v>
      </c>
      <c r="T477" s="100" t="n">
        <v>0</v>
      </c>
      <c r="U477" s="98" t="s">
        <v>192</v>
      </c>
      <c r="V477" s="98" t="s">
        <v>151</v>
      </c>
      <c r="X477" s="98" t="s">
        <v>1212</v>
      </c>
      <c r="Y477" s="98" t="s">
        <v>1213</v>
      </c>
      <c r="Z477" s="98" t="s">
        <v>1527</v>
      </c>
      <c r="AB477" s="98" t="s">
        <v>1213</v>
      </c>
      <c r="AD477" s="98" t="s">
        <v>155</v>
      </c>
      <c r="AE477" s="98" t="s">
        <v>156</v>
      </c>
      <c r="AF477" s="98" t="s">
        <v>728</v>
      </c>
      <c r="AG477" s="98" t="s">
        <v>729</v>
      </c>
      <c r="AH477" s="98" t="s">
        <v>971</v>
      </c>
      <c r="AI477" s="98" t="s">
        <v>971</v>
      </c>
      <c r="AJ477" s="98" t="s">
        <v>972</v>
      </c>
      <c r="AK477" s="98" t="s">
        <v>159</v>
      </c>
      <c r="AL477" s="98" t="s">
        <v>224</v>
      </c>
      <c r="AM477" s="98" t="s">
        <v>225</v>
      </c>
      <c r="AP477" s="98" t="s">
        <v>553</v>
      </c>
      <c r="AQ477" s="98" t="s">
        <v>551</v>
      </c>
      <c r="AR477" s="98" t="s">
        <v>1479</v>
      </c>
      <c r="AS477" s="98" t="s">
        <v>1528</v>
      </c>
      <c r="AT477" s="100" t="n">
        <v>0</v>
      </c>
      <c r="AU477" s="100" t="n">
        <v>-30666.85</v>
      </c>
      <c r="AX477" s="98" t="s">
        <v>191</v>
      </c>
      <c r="AMH477" s="0"/>
      <c r="AMI477" s="0"/>
      <c r="AMJ477" s="0"/>
    </row>
    <row r="478" s="98" customFormat="true" ht="13.8" hidden="false" customHeight="false" outlineLevel="0" collapsed="false">
      <c r="A478" s="98" t="s">
        <v>142</v>
      </c>
      <c r="B478" s="98" t="s">
        <v>143</v>
      </c>
      <c r="C478" s="98" t="n">
        <v>51323590</v>
      </c>
      <c r="D478" s="98" t="s">
        <v>1526</v>
      </c>
      <c r="E478" s="98" t="s">
        <v>725</v>
      </c>
      <c r="F478" s="98" t="s">
        <v>297</v>
      </c>
      <c r="G478" s="98" t="s">
        <v>147</v>
      </c>
      <c r="H478" s="98" t="s">
        <v>168</v>
      </c>
      <c r="I478" s="99" t="n">
        <v>43650</v>
      </c>
      <c r="J478" s="99" t="n">
        <v>43703</v>
      </c>
      <c r="K478" s="100" t="n">
        <v>-30666.85</v>
      </c>
      <c r="L478" s="100" t="n">
        <f aca="false">K478-Q478+T478</f>
        <v>-25988.86</v>
      </c>
      <c r="M478" s="98" t="s">
        <v>149</v>
      </c>
      <c r="N478" s="100" t="n">
        <v>-30666.85</v>
      </c>
      <c r="O478" s="98" t="s">
        <v>149</v>
      </c>
      <c r="P478" s="100" t="n">
        <v>-30666.85</v>
      </c>
      <c r="Q478" s="100" t="n">
        <v>-4677.99</v>
      </c>
      <c r="R478" s="100" t="n">
        <v>-25988.86</v>
      </c>
      <c r="S478" s="100" t="n">
        <v>0</v>
      </c>
      <c r="T478" s="100" t="n">
        <v>0</v>
      </c>
      <c r="U478" s="98" t="s">
        <v>192</v>
      </c>
      <c r="V478" s="98" t="s">
        <v>151</v>
      </c>
      <c r="X478" s="98" t="s">
        <v>1212</v>
      </c>
      <c r="Y478" s="98" t="s">
        <v>1213</v>
      </c>
      <c r="Z478" s="98" t="s">
        <v>1527</v>
      </c>
      <c r="AB478" s="98" t="s">
        <v>1213</v>
      </c>
      <c r="AD478" s="98" t="s">
        <v>155</v>
      </c>
      <c r="AE478" s="98" t="s">
        <v>156</v>
      </c>
      <c r="AF478" s="98" t="s">
        <v>728</v>
      </c>
      <c r="AG478" s="98" t="s">
        <v>729</v>
      </c>
      <c r="AH478" s="98" t="s">
        <v>971</v>
      </c>
      <c r="AI478" s="98" t="s">
        <v>971</v>
      </c>
      <c r="AJ478" s="98" t="s">
        <v>972</v>
      </c>
      <c r="AK478" s="98" t="s">
        <v>159</v>
      </c>
      <c r="AL478" s="98" t="s">
        <v>224</v>
      </c>
      <c r="AM478" s="98" t="s">
        <v>225</v>
      </c>
      <c r="AP478" s="98" t="s">
        <v>553</v>
      </c>
      <c r="AQ478" s="98" t="s">
        <v>551</v>
      </c>
      <c r="AR478" s="98" t="s">
        <v>1479</v>
      </c>
      <c r="AS478" s="98" t="s">
        <v>1528</v>
      </c>
      <c r="AT478" s="100" t="n">
        <v>0</v>
      </c>
      <c r="AU478" s="100" t="n">
        <v>-30666.85</v>
      </c>
      <c r="AX478" s="98" t="s">
        <v>200</v>
      </c>
      <c r="AMH478" s="0"/>
      <c r="AMI478" s="0"/>
      <c r="AMJ478" s="0"/>
    </row>
    <row r="479" s="98" customFormat="true" ht="13.8" hidden="false" customHeight="false" outlineLevel="0" collapsed="false">
      <c r="A479" s="98" t="s">
        <v>142</v>
      </c>
      <c r="B479" s="98" t="s">
        <v>143</v>
      </c>
      <c r="C479" s="98" t="n">
        <v>51416802</v>
      </c>
      <c r="D479" s="98" t="s">
        <v>1529</v>
      </c>
      <c r="E479" s="98" t="s">
        <v>725</v>
      </c>
      <c r="F479" s="98" t="s">
        <v>266</v>
      </c>
      <c r="G479" s="98" t="s">
        <v>147</v>
      </c>
      <c r="H479" s="98" t="s">
        <v>535</v>
      </c>
      <c r="I479" s="99" t="n">
        <v>43699</v>
      </c>
      <c r="J479" s="99" t="n">
        <v>43752</v>
      </c>
      <c r="K479" s="100" t="n">
        <v>-506582.87</v>
      </c>
      <c r="L479" s="100" t="n">
        <f aca="false">K479-Q479+T479</f>
        <v>-429307.52</v>
      </c>
      <c r="M479" s="98" t="s">
        <v>149</v>
      </c>
      <c r="N479" s="100" t="n">
        <v>-506582.87</v>
      </c>
      <c r="O479" s="98" t="s">
        <v>149</v>
      </c>
      <c r="P479" s="100" t="n">
        <v>-506582.87</v>
      </c>
      <c r="Q479" s="100" t="n">
        <v>-77275.35</v>
      </c>
      <c r="R479" s="100" t="n">
        <v>-429307.52</v>
      </c>
      <c r="S479" s="100" t="n">
        <v>0</v>
      </c>
      <c r="T479" s="100" t="n">
        <v>0</v>
      </c>
      <c r="U479" s="98" t="s">
        <v>192</v>
      </c>
      <c r="V479" s="98" t="s">
        <v>151</v>
      </c>
      <c r="X479" s="98" t="s">
        <v>1341</v>
      </c>
      <c r="Y479" s="98" t="s">
        <v>1530</v>
      </c>
      <c r="Z479" s="98" t="s">
        <v>1531</v>
      </c>
      <c r="AB479" s="98" t="s">
        <v>1530</v>
      </c>
      <c r="AD479" s="98" t="s">
        <v>155</v>
      </c>
      <c r="AE479" s="98" t="s">
        <v>156</v>
      </c>
      <c r="AF479" s="98" t="s">
        <v>737</v>
      </c>
      <c r="AG479" s="98" t="s">
        <v>738</v>
      </c>
      <c r="AH479" s="98" t="s">
        <v>739</v>
      </c>
      <c r="AI479" s="98" t="s">
        <v>739</v>
      </c>
      <c r="AJ479" s="98" t="s">
        <v>740</v>
      </c>
      <c r="AK479" s="98" t="s">
        <v>159</v>
      </c>
      <c r="AL479" s="98" t="s">
        <v>224</v>
      </c>
      <c r="AM479" s="98" t="s">
        <v>225</v>
      </c>
      <c r="AP479" s="98" t="s">
        <v>568</v>
      </c>
      <c r="AQ479" s="98" t="s">
        <v>566</v>
      </c>
      <c r="AR479" s="98" t="s">
        <v>1532</v>
      </c>
      <c r="AS479" s="98" t="s">
        <v>1533</v>
      </c>
      <c r="AT479" s="100" t="n">
        <v>0</v>
      </c>
      <c r="AU479" s="100" t="n">
        <v>-506582.87</v>
      </c>
      <c r="AX479" s="98" t="s">
        <v>165</v>
      </c>
      <c r="AMH479" s="0"/>
      <c r="AMI479" s="0"/>
      <c r="AMJ479" s="0"/>
    </row>
    <row r="480" s="98" customFormat="true" ht="13.8" hidden="false" customHeight="false" outlineLevel="0" collapsed="false">
      <c r="A480" s="98" t="s">
        <v>142</v>
      </c>
      <c r="B480" s="98" t="s">
        <v>143</v>
      </c>
      <c r="C480" s="98" t="n">
        <v>51140832</v>
      </c>
      <c r="D480" s="98" t="s">
        <v>1534</v>
      </c>
      <c r="E480" s="98" t="s">
        <v>725</v>
      </c>
      <c r="F480" s="98" t="s">
        <v>371</v>
      </c>
      <c r="G480" s="98" t="s">
        <v>147</v>
      </c>
      <c r="H480" s="98" t="s">
        <v>148</v>
      </c>
      <c r="I480" s="99" t="n">
        <v>43567</v>
      </c>
      <c r="J480" s="99" t="n">
        <v>43621</v>
      </c>
      <c r="K480" s="100" t="n">
        <v>-2977743</v>
      </c>
      <c r="L480" s="100" t="n">
        <f aca="false">K480-Q480+T480</f>
        <v>-2523511.06</v>
      </c>
      <c r="M480" s="98" t="s">
        <v>149</v>
      </c>
      <c r="N480" s="100" t="n">
        <v>-2977743</v>
      </c>
      <c r="O480" s="98" t="s">
        <v>149</v>
      </c>
      <c r="P480" s="100" t="n">
        <v>-2977743</v>
      </c>
      <c r="Q480" s="100" t="n">
        <v>-454231.94</v>
      </c>
      <c r="R480" s="100" t="n">
        <v>-2523511.06</v>
      </c>
      <c r="S480" s="100" t="n">
        <v>0</v>
      </c>
      <c r="T480" s="100" t="n">
        <v>0</v>
      </c>
      <c r="U480" s="98" t="s">
        <v>192</v>
      </c>
      <c r="V480" s="98" t="s">
        <v>151</v>
      </c>
      <c r="X480" s="98" t="s">
        <v>1151</v>
      </c>
      <c r="Y480" s="98" t="s">
        <v>1535</v>
      </c>
      <c r="Z480" s="98" t="s">
        <v>1536</v>
      </c>
      <c r="AB480" s="98" t="s">
        <v>1535</v>
      </c>
      <c r="AD480" s="98" t="s">
        <v>155</v>
      </c>
      <c r="AE480" s="98" t="s">
        <v>156</v>
      </c>
      <c r="AF480" s="98" t="s">
        <v>737</v>
      </c>
      <c r="AG480" s="98" t="s">
        <v>738</v>
      </c>
      <c r="AH480" s="98" t="s">
        <v>739</v>
      </c>
      <c r="AI480" s="98" t="s">
        <v>739</v>
      </c>
      <c r="AJ480" s="98" t="s">
        <v>740</v>
      </c>
      <c r="AK480" s="98" t="s">
        <v>159</v>
      </c>
      <c r="AL480" s="98" t="s">
        <v>224</v>
      </c>
      <c r="AM480" s="98" t="s">
        <v>225</v>
      </c>
      <c r="AP480" s="98" t="s">
        <v>374</v>
      </c>
      <c r="AQ480" s="98" t="s">
        <v>372</v>
      </c>
      <c r="AR480" s="98" t="s">
        <v>366</v>
      </c>
      <c r="AS480" s="98" t="s">
        <v>1537</v>
      </c>
      <c r="AT480" s="100" t="n">
        <v>0</v>
      </c>
      <c r="AU480" s="100" t="n">
        <v>-2977743</v>
      </c>
      <c r="AX480" s="98" t="s">
        <v>165</v>
      </c>
      <c r="AMH480" s="0"/>
      <c r="AMI480" s="0"/>
      <c r="AMJ480" s="0"/>
    </row>
    <row r="481" s="98" customFormat="true" ht="13.8" hidden="false" customHeight="false" outlineLevel="0" collapsed="false">
      <c r="A481" s="98" t="s">
        <v>142</v>
      </c>
      <c r="B481" s="98" t="s">
        <v>143</v>
      </c>
      <c r="C481" s="98" t="n">
        <v>51323564</v>
      </c>
      <c r="D481" s="98" t="s">
        <v>1538</v>
      </c>
      <c r="E481" s="98" t="s">
        <v>725</v>
      </c>
      <c r="F481" s="98" t="s">
        <v>297</v>
      </c>
      <c r="G481" s="98" t="s">
        <v>147</v>
      </c>
      <c r="H481" s="98" t="s">
        <v>168</v>
      </c>
      <c r="I481" s="99" t="n">
        <v>43649</v>
      </c>
      <c r="J481" s="99" t="n">
        <v>43703</v>
      </c>
      <c r="K481" s="100" t="n">
        <v>-13684.67</v>
      </c>
      <c r="L481" s="100" t="n">
        <f aca="false">K481-Q481+T481</f>
        <v>-11597.18</v>
      </c>
      <c r="M481" s="98" t="s">
        <v>149</v>
      </c>
      <c r="N481" s="100" t="n">
        <v>-13684.67</v>
      </c>
      <c r="O481" s="98" t="s">
        <v>149</v>
      </c>
      <c r="P481" s="100" t="n">
        <v>-13684.67</v>
      </c>
      <c r="Q481" s="100" t="n">
        <v>-2087.49</v>
      </c>
      <c r="R481" s="100" t="n">
        <v>-11597.18</v>
      </c>
      <c r="S481" s="100" t="n">
        <v>0</v>
      </c>
      <c r="T481" s="100" t="n">
        <v>0</v>
      </c>
      <c r="U481" s="98" t="s">
        <v>192</v>
      </c>
      <c r="V481" s="98" t="s">
        <v>151</v>
      </c>
      <c r="X481" s="98" t="s">
        <v>1212</v>
      </c>
      <c r="Y481" s="98" t="s">
        <v>1213</v>
      </c>
      <c r="Z481" s="98" t="s">
        <v>1539</v>
      </c>
      <c r="AB481" s="98" t="s">
        <v>1213</v>
      </c>
      <c r="AD481" s="98" t="s">
        <v>155</v>
      </c>
      <c r="AE481" s="98" t="s">
        <v>156</v>
      </c>
      <c r="AF481" s="98" t="s">
        <v>728</v>
      </c>
      <c r="AG481" s="98" t="s">
        <v>729</v>
      </c>
      <c r="AH481" s="98" t="s">
        <v>971</v>
      </c>
      <c r="AI481" s="98" t="s">
        <v>971</v>
      </c>
      <c r="AJ481" s="98" t="s">
        <v>972</v>
      </c>
      <c r="AK481" s="98" t="s">
        <v>159</v>
      </c>
      <c r="AL481" s="98" t="s">
        <v>224</v>
      </c>
      <c r="AM481" s="98" t="s">
        <v>225</v>
      </c>
      <c r="AP481" s="98" t="s">
        <v>553</v>
      </c>
      <c r="AQ481" s="98" t="s">
        <v>551</v>
      </c>
      <c r="AR481" s="98" t="s">
        <v>1479</v>
      </c>
      <c r="AS481" s="98" t="s">
        <v>1540</v>
      </c>
      <c r="AT481" s="100" t="n">
        <v>0</v>
      </c>
      <c r="AU481" s="100" t="n">
        <v>-13684.67</v>
      </c>
      <c r="AX481" s="98" t="s">
        <v>586</v>
      </c>
      <c r="AMH481" s="0"/>
      <c r="AMI481" s="0"/>
      <c r="AMJ481" s="0"/>
    </row>
    <row r="482" s="98" customFormat="true" ht="13.8" hidden="false" customHeight="false" outlineLevel="0" collapsed="false">
      <c r="A482" s="98" t="s">
        <v>142</v>
      </c>
      <c r="B482" s="98" t="s">
        <v>143</v>
      </c>
      <c r="C482" s="98" t="n">
        <v>51323564</v>
      </c>
      <c r="D482" s="98" t="s">
        <v>1538</v>
      </c>
      <c r="E482" s="98" t="s">
        <v>725</v>
      </c>
      <c r="F482" s="98" t="s">
        <v>297</v>
      </c>
      <c r="G482" s="98" t="s">
        <v>147</v>
      </c>
      <c r="H482" s="98" t="s">
        <v>168</v>
      </c>
      <c r="I482" s="99" t="n">
        <v>43649</v>
      </c>
      <c r="J482" s="99" t="n">
        <v>43703</v>
      </c>
      <c r="K482" s="100" t="n">
        <v>-13684.67</v>
      </c>
      <c r="L482" s="100" t="n">
        <f aca="false">K482-Q482+T482</f>
        <v>-11597.18</v>
      </c>
      <c r="M482" s="98" t="s">
        <v>149</v>
      </c>
      <c r="N482" s="100" t="n">
        <v>-13684.67</v>
      </c>
      <c r="O482" s="98" t="s">
        <v>149</v>
      </c>
      <c r="P482" s="100" t="n">
        <v>-13684.67</v>
      </c>
      <c r="Q482" s="100" t="n">
        <v>-2087.49</v>
      </c>
      <c r="R482" s="100" t="n">
        <v>-11597.18</v>
      </c>
      <c r="S482" s="100" t="n">
        <v>0</v>
      </c>
      <c r="T482" s="100" t="n">
        <v>0</v>
      </c>
      <c r="U482" s="98" t="s">
        <v>192</v>
      </c>
      <c r="V482" s="98" t="s">
        <v>151</v>
      </c>
      <c r="X482" s="98" t="s">
        <v>1212</v>
      </c>
      <c r="Y482" s="98" t="s">
        <v>1213</v>
      </c>
      <c r="Z482" s="98" t="s">
        <v>1539</v>
      </c>
      <c r="AB482" s="98" t="s">
        <v>1213</v>
      </c>
      <c r="AD482" s="98" t="s">
        <v>155</v>
      </c>
      <c r="AE482" s="98" t="s">
        <v>156</v>
      </c>
      <c r="AF482" s="98" t="s">
        <v>728</v>
      </c>
      <c r="AG482" s="98" t="s">
        <v>729</v>
      </c>
      <c r="AH482" s="98" t="s">
        <v>971</v>
      </c>
      <c r="AI482" s="98" t="s">
        <v>971</v>
      </c>
      <c r="AJ482" s="98" t="s">
        <v>972</v>
      </c>
      <c r="AK482" s="98" t="s">
        <v>159</v>
      </c>
      <c r="AL482" s="98" t="s">
        <v>224</v>
      </c>
      <c r="AM482" s="98" t="s">
        <v>225</v>
      </c>
      <c r="AP482" s="98" t="s">
        <v>553</v>
      </c>
      <c r="AQ482" s="98" t="s">
        <v>551</v>
      </c>
      <c r="AR482" s="98" t="s">
        <v>1479</v>
      </c>
      <c r="AS482" s="98" t="s">
        <v>1540</v>
      </c>
      <c r="AT482" s="100" t="n">
        <v>0</v>
      </c>
      <c r="AU482" s="100" t="n">
        <v>-13684.67</v>
      </c>
      <c r="AX482" s="98" t="s">
        <v>200</v>
      </c>
      <c r="AMH482" s="0"/>
      <c r="AMI482" s="0"/>
      <c r="AMJ482" s="0"/>
    </row>
    <row r="483" s="98" customFormat="true" ht="13.8" hidden="false" customHeight="false" outlineLevel="0" collapsed="false">
      <c r="A483" s="98" t="s">
        <v>142</v>
      </c>
      <c r="B483" s="98" t="s">
        <v>143</v>
      </c>
      <c r="C483" s="98" t="n">
        <v>51323564</v>
      </c>
      <c r="D483" s="98" t="s">
        <v>1538</v>
      </c>
      <c r="E483" s="98" t="s">
        <v>725</v>
      </c>
      <c r="F483" s="98" t="s">
        <v>297</v>
      </c>
      <c r="G483" s="98" t="s">
        <v>147</v>
      </c>
      <c r="H483" s="98" t="s">
        <v>168</v>
      </c>
      <c r="I483" s="99" t="n">
        <v>43649</v>
      </c>
      <c r="J483" s="99" t="n">
        <v>43703</v>
      </c>
      <c r="K483" s="100" t="n">
        <v>-13684.67</v>
      </c>
      <c r="L483" s="100" t="n">
        <f aca="false">K483-Q483+T483</f>
        <v>-11597.18</v>
      </c>
      <c r="M483" s="98" t="s">
        <v>149</v>
      </c>
      <c r="N483" s="100" t="n">
        <v>-13684.67</v>
      </c>
      <c r="O483" s="98" t="s">
        <v>149</v>
      </c>
      <c r="P483" s="100" t="n">
        <v>-13684.67</v>
      </c>
      <c r="Q483" s="100" t="n">
        <v>-2087.49</v>
      </c>
      <c r="R483" s="100" t="n">
        <v>-11597.18</v>
      </c>
      <c r="S483" s="100" t="n">
        <v>0</v>
      </c>
      <c r="T483" s="100" t="n">
        <v>0</v>
      </c>
      <c r="U483" s="98" t="s">
        <v>192</v>
      </c>
      <c r="V483" s="98" t="s">
        <v>151</v>
      </c>
      <c r="X483" s="98" t="s">
        <v>1212</v>
      </c>
      <c r="Y483" s="98" t="s">
        <v>1213</v>
      </c>
      <c r="Z483" s="98" t="s">
        <v>1539</v>
      </c>
      <c r="AB483" s="98" t="s">
        <v>1213</v>
      </c>
      <c r="AD483" s="98" t="s">
        <v>155</v>
      </c>
      <c r="AE483" s="98" t="s">
        <v>156</v>
      </c>
      <c r="AF483" s="98" t="s">
        <v>728</v>
      </c>
      <c r="AG483" s="98" t="s">
        <v>729</v>
      </c>
      <c r="AH483" s="98" t="s">
        <v>971</v>
      </c>
      <c r="AI483" s="98" t="s">
        <v>971</v>
      </c>
      <c r="AJ483" s="98" t="s">
        <v>972</v>
      </c>
      <c r="AK483" s="98" t="s">
        <v>159</v>
      </c>
      <c r="AL483" s="98" t="s">
        <v>224</v>
      </c>
      <c r="AM483" s="98" t="s">
        <v>225</v>
      </c>
      <c r="AP483" s="98" t="s">
        <v>553</v>
      </c>
      <c r="AQ483" s="98" t="s">
        <v>551</v>
      </c>
      <c r="AR483" s="98" t="s">
        <v>1479</v>
      </c>
      <c r="AS483" s="98" t="s">
        <v>1540</v>
      </c>
      <c r="AT483" s="100" t="n">
        <v>0</v>
      </c>
      <c r="AU483" s="100" t="n">
        <v>-13684.67</v>
      </c>
      <c r="AX483" s="98" t="s">
        <v>191</v>
      </c>
      <c r="AMH483" s="0"/>
      <c r="AMI483" s="0"/>
      <c r="AMJ483" s="0"/>
    </row>
    <row r="484" s="98" customFormat="true" ht="13.8" hidden="false" customHeight="false" outlineLevel="0" collapsed="false">
      <c r="A484" s="98" t="s">
        <v>142</v>
      </c>
      <c r="B484" s="98" t="s">
        <v>143</v>
      </c>
      <c r="C484" s="98" t="n">
        <v>51323564</v>
      </c>
      <c r="D484" s="98" t="s">
        <v>1538</v>
      </c>
      <c r="E484" s="98" t="s">
        <v>725</v>
      </c>
      <c r="F484" s="98" t="s">
        <v>297</v>
      </c>
      <c r="G484" s="98" t="s">
        <v>147</v>
      </c>
      <c r="H484" s="98" t="s">
        <v>168</v>
      </c>
      <c r="I484" s="99" t="n">
        <v>43649</v>
      </c>
      <c r="J484" s="99" t="n">
        <v>43703</v>
      </c>
      <c r="K484" s="100" t="n">
        <v>-232639.41</v>
      </c>
      <c r="L484" s="100" t="n">
        <f aca="false">K484-Q484+T484</f>
        <v>-197152.05</v>
      </c>
      <c r="M484" s="98" t="s">
        <v>149</v>
      </c>
      <c r="N484" s="100" t="n">
        <v>-232639.41</v>
      </c>
      <c r="O484" s="98" t="s">
        <v>149</v>
      </c>
      <c r="P484" s="100" t="n">
        <v>-232639.41</v>
      </c>
      <c r="Q484" s="100" t="n">
        <v>-35487.36</v>
      </c>
      <c r="R484" s="100" t="n">
        <v>-197152.05</v>
      </c>
      <c r="S484" s="100" t="n">
        <v>0</v>
      </c>
      <c r="T484" s="100" t="n">
        <v>0</v>
      </c>
      <c r="U484" s="98" t="s">
        <v>192</v>
      </c>
      <c r="V484" s="98" t="s">
        <v>151</v>
      </c>
      <c r="X484" s="98" t="s">
        <v>1212</v>
      </c>
      <c r="Y484" s="98" t="s">
        <v>1213</v>
      </c>
      <c r="Z484" s="98" t="s">
        <v>1539</v>
      </c>
      <c r="AB484" s="98" t="s">
        <v>1213</v>
      </c>
      <c r="AD484" s="98" t="s">
        <v>155</v>
      </c>
      <c r="AE484" s="98" t="s">
        <v>156</v>
      </c>
      <c r="AF484" s="98" t="s">
        <v>728</v>
      </c>
      <c r="AG484" s="98" t="s">
        <v>729</v>
      </c>
      <c r="AH484" s="98" t="s">
        <v>971</v>
      </c>
      <c r="AI484" s="98" t="s">
        <v>971</v>
      </c>
      <c r="AJ484" s="98" t="s">
        <v>972</v>
      </c>
      <c r="AK484" s="98" t="s">
        <v>159</v>
      </c>
      <c r="AL484" s="98" t="s">
        <v>224</v>
      </c>
      <c r="AM484" s="98" t="s">
        <v>225</v>
      </c>
      <c r="AP484" s="98" t="s">
        <v>508</v>
      </c>
      <c r="AQ484" s="98" t="s">
        <v>506</v>
      </c>
      <c r="AR484" s="98" t="s">
        <v>1479</v>
      </c>
      <c r="AS484" s="98" t="s">
        <v>1540</v>
      </c>
      <c r="AT484" s="100" t="n">
        <v>0</v>
      </c>
      <c r="AU484" s="100" t="n">
        <v>-232639.41</v>
      </c>
      <c r="AX484" s="98" t="s">
        <v>556</v>
      </c>
      <c r="AMH484" s="0"/>
      <c r="AMI484" s="0"/>
      <c r="AMJ484" s="0"/>
    </row>
    <row r="485" s="98" customFormat="true" ht="13.8" hidden="false" customHeight="false" outlineLevel="0" collapsed="false">
      <c r="A485" s="98" t="s">
        <v>142</v>
      </c>
      <c r="B485" s="98" t="s">
        <v>143</v>
      </c>
      <c r="C485" s="98" t="n">
        <v>51140851</v>
      </c>
      <c r="D485" s="98" t="s">
        <v>1541</v>
      </c>
      <c r="E485" s="98" t="s">
        <v>725</v>
      </c>
      <c r="F485" s="98" t="s">
        <v>371</v>
      </c>
      <c r="G485" s="98" t="s">
        <v>147</v>
      </c>
      <c r="H485" s="98" t="s">
        <v>148</v>
      </c>
      <c r="I485" s="99" t="n">
        <v>43566</v>
      </c>
      <c r="J485" s="99" t="n">
        <v>43621</v>
      </c>
      <c r="K485" s="100" t="n">
        <v>-1889520</v>
      </c>
      <c r="L485" s="100" t="n">
        <f aca="false">K485-Q485+T485</f>
        <v>-1601288.14</v>
      </c>
      <c r="M485" s="98" t="s">
        <v>149</v>
      </c>
      <c r="N485" s="100" t="n">
        <v>-1889520</v>
      </c>
      <c r="O485" s="98" t="s">
        <v>149</v>
      </c>
      <c r="P485" s="100" t="n">
        <v>-1889520</v>
      </c>
      <c r="Q485" s="100" t="n">
        <v>-288231.86</v>
      </c>
      <c r="R485" s="100" t="n">
        <v>-1601288.14</v>
      </c>
      <c r="S485" s="100" t="n">
        <v>0</v>
      </c>
      <c r="T485" s="100" t="n">
        <v>0</v>
      </c>
      <c r="U485" s="98" t="s">
        <v>192</v>
      </c>
      <c r="V485" s="98" t="s">
        <v>151</v>
      </c>
      <c r="X485" s="98" t="s">
        <v>1151</v>
      </c>
      <c r="Y485" s="98" t="s">
        <v>1535</v>
      </c>
      <c r="Z485" s="98" t="s">
        <v>1542</v>
      </c>
      <c r="AB485" s="98" t="s">
        <v>1535</v>
      </c>
      <c r="AD485" s="98" t="s">
        <v>155</v>
      </c>
      <c r="AE485" s="98" t="s">
        <v>156</v>
      </c>
      <c r="AF485" s="98" t="s">
        <v>737</v>
      </c>
      <c r="AG485" s="98" t="s">
        <v>738</v>
      </c>
      <c r="AH485" s="98" t="s">
        <v>864</v>
      </c>
      <c r="AI485" s="98" t="s">
        <v>864</v>
      </c>
      <c r="AJ485" s="98" t="s">
        <v>865</v>
      </c>
      <c r="AK485" s="98" t="s">
        <v>159</v>
      </c>
      <c r="AL485" s="98" t="s">
        <v>224</v>
      </c>
      <c r="AM485" s="98" t="s">
        <v>225</v>
      </c>
      <c r="AP485" s="98" t="s">
        <v>374</v>
      </c>
      <c r="AQ485" s="98" t="s">
        <v>372</v>
      </c>
      <c r="AR485" s="98" t="s">
        <v>366</v>
      </c>
      <c r="AS485" s="98" t="s">
        <v>1543</v>
      </c>
      <c r="AT485" s="100" t="n">
        <v>0</v>
      </c>
      <c r="AU485" s="100" t="n">
        <v>-1889520</v>
      </c>
      <c r="AX485" s="98" t="s">
        <v>165</v>
      </c>
      <c r="AMH485" s="0"/>
      <c r="AMI485" s="0"/>
      <c r="AMJ485" s="0"/>
    </row>
    <row r="486" s="98" customFormat="true" ht="13.8" hidden="false" customHeight="false" outlineLevel="0" collapsed="false">
      <c r="A486" s="98" t="s">
        <v>142</v>
      </c>
      <c r="B486" s="98" t="s">
        <v>143</v>
      </c>
      <c r="C486" s="98" t="n">
        <v>51323529</v>
      </c>
      <c r="D486" s="98" t="s">
        <v>1544</v>
      </c>
      <c r="E486" s="98" t="s">
        <v>725</v>
      </c>
      <c r="F486" s="98" t="s">
        <v>297</v>
      </c>
      <c r="G486" s="98" t="s">
        <v>147</v>
      </c>
      <c r="H486" s="98" t="s">
        <v>168</v>
      </c>
      <c r="I486" s="99" t="n">
        <v>43648</v>
      </c>
      <c r="J486" s="99" t="n">
        <v>43703</v>
      </c>
      <c r="K486" s="100" t="n">
        <v>-16762.34</v>
      </c>
      <c r="L486" s="100" t="n">
        <f aca="false">K486-Q486+T486</f>
        <v>-14205.37</v>
      </c>
      <c r="M486" s="98" t="s">
        <v>149</v>
      </c>
      <c r="N486" s="100" t="n">
        <v>-16762.34</v>
      </c>
      <c r="O486" s="98" t="s">
        <v>149</v>
      </c>
      <c r="P486" s="100" t="n">
        <v>-16762.34</v>
      </c>
      <c r="Q486" s="100" t="n">
        <v>-2556.97</v>
      </c>
      <c r="R486" s="100" t="n">
        <v>-14205.37</v>
      </c>
      <c r="S486" s="100" t="n">
        <v>0</v>
      </c>
      <c r="T486" s="100" t="n">
        <v>0</v>
      </c>
      <c r="U486" s="98" t="s">
        <v>192</v>
      </c>
      <c r="V486" s="98" t="s">
        <v>151</v>
      </c>
      <c r="X486" s="98" t="s">
        <v>1212</v>
      </c>
      <c r="Y486" s="98" t="s">
        <v>1213</v>
      </c>
      <c r="Z486" s="98" t="s">
        <v>1545</v>
      </c>
      <c r="AB486" s="98" t="s">
        <v>1213</v>
      </c>
      <c r="AD486" s="98" t="s">
        <v>155</v>
      </c>
      <c r="AE486" s="98" t="s">
        <v>156</v>
      </c>
      <c r="AF486" s="98" t="s">
        <v>728</v>
      </c>
      <c r="AG486" s="98" t="s">
        <v>729</v>
      </c>
      <c r="AH486" s="98" t="s">
        <v>971</v>
      </c>
      <c r="AI486" s="98" t="s">
        <v>971</v>
      </c>
      <c r="AJ486" s="98" t="s">
        <v>972</v>
      </c>
      <c r="AK486" s="98" t="s">
        <v>159</v>
      </c>
      <c r="AL486" s="98" t="s">
        <v>224</v>
      </c>
      <c r="AM486" s="98" t="s">
        <v>225</v>
      </c>
      <c r="AP486" s="98" t="s">
        <v>553</v>
      </c>
      <c r="AQ486" s="98" t="s">
        <v>551</v>
      </c>
      <c r="AR486" s="98" t="s">
        <v>1479</v>
      </c>
      <c r="AS486" s="98" t="s">
        <v>1546</v>
      </c>
      <c r="AT486" s="100" t="n">
        <v>0</v>
      </c>
      <c r="AU486" s="100" t="n">
        <v>-16762.34</v>
      </c>
      <c r="AX486" s="98" t="s">
        <v>213</v>
      </c>
      <c r="AMH486" s="0"/>
      <c r="AMI486" s="0"/>
      <c r="AMJ486" s="0"/>
    </row>
    <row r="487" s="98" customFormat="true" ht="13.8" hidden="false" customHeight="false" outlineLevel="0" collapsed="false">
      <c r="A487" s="98" t="s">
        <v>142</v>
      </c>
      <c r="B487" s="98" t="s">
        <v>143</v>
      </c>
      <c r="C487" s="98" t="n">
        <v>51323529</v>
      </c>
      <c r="D487" s="98" t="s">
        <v>1544</v>
      </c>
      <c r="E487" s="98" t="s">
        <v>725</v>
      </c>
      <c r="F487" s="98" t="s">
        <v>297</v>
      </c>
      <c r="G487" s="98" t="s">
        <v>147</v>
      </c>
      <c r="H487" s="98" t="s">
        <v>168</v>
      </c>
      <c r="I487" s="99" t="n">
        <v>43648</v>
      </c>
      <c r="J487" s="99" t="n">
        <v>43703</v>
      </c>
      <c r="K487" s="100" t="n">
        <v>-16762.35</v>
      </c>
      <c r="L487" s="100" t="n">
        <f aca="false">K487-Q487+T487</f>
        <v>-14205.38</v>
      </c>
      <c r="M487" s="98" t="s">
        <v>149</v>
      </c>
      <c r="N487" s="100" t="n">
        <v>-16762.35</v>
      </c>
      <c r="O487" s="98" t="s">
        <v>149</v>
      </c>
      <c r="P487" s="100" t="n">
        <v>-16762.35</v>
      </c>
      <c r="Q487" s="100" t="n">
        <v>-2556.97</v>
      </c>
      <c r="R487" s="100" t="n">
        <v>-14205.38</v>
      </c>
      <c r="S487" s="100" t="n">
        <v>0</v>
      </c>
      <c r="T487" s="100" t="n">
        <v>0</v>
      </c>
      <c r="U487" s="98" t="s">
        <v>192</v>
      </c>
      <c r="V487" s="98" t="s">
        <v>151</v>
      </c>
      <c r="X487" s="98" t="s">
        <v>1212</v>
      </c>
      <c r="Y487" s="98" t="s">
        <v>1213</v>
      </c>
      <c r="Z487" s="98" t="s">
        <v>1545</v>
      </c>
      <c r="AB487" s="98" t="s">
        <v>1213</v>
      </c>
      <c r="AD487" s="98" t="s">
        <v>155</v>
      </c>
      <c r="AE487" s="98" t="s">
        <v>156</v>
      </c>
      <c r="AF487" s="98" t="s">
        <v>728</v>
      </c>
      <c r="AG487" s="98" t="s">
        <v>729</v>
      </c>
      <c r="AH487" s="98" t="s">
        <v>971</v>
      </c>
      <c r="AI487" s="98" t="s">
        <v>971</v>
      </c>
      <c r="AJ487" s="98" t="s">
        <v>972</v>
      </c>
      <c r="AK487" s="98" t="s">
        <v>159</v>
      </c>
      <c r="AL487" s="98" t="s">
        <v>224</v>
      </c>
      <c r="AM487" s="98" t="s">
        <v>225</v>
      </c>
      <c r="AP487" s="98" t="s">
        <v>553</v>
      </c>
      <c r="AQ487" s="98" t="s">
        <v>551</v>
      </c>
      <c r="AR487" s="98" t="s">
        <v>1479</v>
      </c>
      <c r="AS487" s="98" t="s">
        <v>1546</v>
      </c>
      <c r="AT487" s="100" t="n">
        <v>0</v>
      </c>
      <c r="AU487" s="100" t="n">
        <v>-16762.35</v>
      </c>
      <c r="AX487" s="98" t="s">
        <v>200</v>
      </c>
      <c r="AMH487" s="0"/>
      <c r="AMI487" s="0"/>
      <c r="AMJ487" s="0"/>
    </row>
    <row r="488" s="98" customFormat="true" ht="13.8" hidden="false" customHeight="false" outlineLevel="0" collapsed="false">
      <c r="A488" s="98" t="s">
        <v>142</v>
      </c>
      <c r="B488" s="98" t="s">
        <v>143</v>
      </c>
      <c r="C488" s="98" t="n">
        <v>51323529</v>
      </c>
      <c r="D488" s="98" t="s">
        <v>1544</v>
      </c>
      <c r="E488" s="98" t="s">
        <v>725</v>
      </c>
      <c r="F488" s="98" t="s">
        <v>297</v>
      </c>
      <c r="G488" s="98" t="s">
        <v>147</v>
      </c>
      <c r="H488" s="98" t="s">
        <v>168</v>
      </c>
      <c r="I488" s="99" t="n">
        <v>43648</v>
      </c>
      <c r="J488" s="99" t="n">
        <v>43703</v>
      </c>
      <c r="K488" s="100" t="n">
        <v>-16762.35</v>
      </c>
      <c r="L488" s="100" t="n">
        <f aca="false">K488-Q488+T488</f>
        <v>-14205.38</v>
      </c>
      <c r="M488" s="98" t="s">
        <v>149</v>
      </c>
      <c r="N488" s="100" t="n">
        <v>-16762.35</v>
      </c>
      <c r="O488" s="98" t="s">
        <v>149</v>
      </c>
      <c r="P488" s="100" t="n">
        <v>-16762.35</v>
      </c>
      <c r="Q488" s="100" t="n">
        <v>-2556.97</v>
      </c>
      <c r="R488" s="100" t="n">
        <v>-14205.38</v>
      </c>
      <c r="S488" s="100" t="n">
        <v>0</v>
      </c>
      <c r="T488" s="100" t="n">
        <v>0</v>
      </c>
      <c r="U488" s="98" t="s">
        <v>192</v>
      </c>
      <c r="V488" s="98" t="s">
        <v>151</v>
      </c>
      <c r="X488" s="98" t="s">
        <v>1212</v>
      </c>
      <c r="Y488" s="98" t="s">
        <v>1213</v>
      </c>
      <c r="Z488" s="98" t="s">
        <v>1545</v>
      </c>
      <c r="AB488" s="98" t="s">
        <v>1213</v>
      </c>
      <c r="AD488" s="98" t="s">
        <v>155</v>
      </c>
      <c r="AE488" s="98" t="s">
        <v>156</v>
      </c>
      <c r="AF488" s="98" t="s">
        <v>728</v>
      </c>
      <c r="AG488" s="98" t="s">
        <v>729</v>
      </c>
      <c r="AH488" s="98" t="s">
        <v>971</v>
      </c>
      <c r="AI488" s="98" t="s">
        <v>971</v>
      </c>
      <c r="AJ488" s="98" t="s">
        <v>972</v>
      </c>
      <c r="AK488" s="98" t="s">
        <v>159</v>
      </c>
      <c r="AL488" s="98" t="s">
        <v>224</v>
      </c>
      <c r="AM488" s="98" t="s">
        <v>225</v>
      </c>
      <c r="AP488" s="98" t="s">
        <v>553</v>
      </c>
      <c r="AQ488" s="98" t="s">
        <v>551</v>
      </c>
      <c r="AR488" s="98" t="s">
        <v>1479</v>
      </c>
      <c r="AS488" s="98" t="s">
        <v>1546</v>
      </c>
      <c r="AT488" s="100" t="n">
        <v>0</v>
      </c>
      <c r="AU488" s="100" t="n">
        <v>-16762.35</v>
      </c>
      <c r="AX488" s="98" t="s">
        <v>191</v>
      </c>
      <c r="AMH488" s="0"/>
      <c r="AMI488" s="0"/>
      <c r="AMJ488" s="0"/>
    </row>
    <row r="489" s="98" customFormat="true" ht="13.8" hidden="false" customHeight="false" outlineLevel="0" collapsed="false">
      <c r="A489" s="98" t="s">
        <v>142</v>
      </c>
      <c r="B489" s="98" t="s">
        <v>143</v>
      </c>
      <c r="C489" s="98" t="n">
        <v>51323529</v>
      </c>
      <c r="D489" s="98" t="s">
        <v>1544</v>
      </c>
      <c r="E489" s="98" t="s">
        <v>725</v>
      </c>
      <c r="F489" s="98" t="s">
        <v>297</v>
      </c>
      <c r="G489" s="98" t="s">
        <v>147</v>
      </c>
      <c r="H489" s="98" t="s">
        <v>168</v>
      </c>
      <c r="I489" s="99" t="n">
        <v>43648</v>
      </c>
      <c r="J489" s="99" t="n">
        <v>43703</v>
      </c>
      <c r="K489" s="100" t="n">
        <v>-284959.92</v>
      </c>
      <c r="L489" s="100" t="n">
        <f aca="false">K489-Q489+T489</f>
        <v>-241491.45</v>
      </c>
      <c r="M489" s="98" t="s">
        <v>149</v>
      </c>
      <c r="N489" s="100" t="n">
        <v>-284959.92</v>
      </c>
      <c r="O489" s="98" t="s">
        <v>149</v>
      </c>
      <c r="P489" s="100" t="n">
        <v>-284959.92</v>
      </c>
      <c r="Q489" s="100" t="n">
        <v>-43468.47</v>
      </c>
      <c r="R489" s="100" t="n">
        <v>-241491.45</v>
      </c>
      <c r="S489" s="100" t="n">
        <v>0</v>
      </c>
      <c r="T489" s="100" t="n">
        <v>0</v>
      </c>
      <c r="U489" s="98" t="s">
        <v>192</v>
      </c>
      <c r="V489" s="98" t="s">
        <v>151</v>
      </c>
      <c r="X489" s="98" t="s">
        <v>1212</v>
      </c>
      <c r="Y489" s="98" t="s">
        <v>1213</v>
      </c>
      <c r="Z489" s="98" t="s">
        <v>1545</v>
      </c>
      <c r="AB489" s="98" t="s">
        <v>1213</v>
      </c>
      <c r="AD489" s="98" t="s">
        <v>155</v>
      </c>
      <c r="AE489" s="98" t="s">
        <v>156</v>
      </c>
      <c r="AF489" s="98" t="s">
        <v>728</v>
      </c>
      <c r="AG489" s="98" t="s">
        <v>729</v>
      </c>
      <c r="AH489" s="98" t="s">
        <v>971</v>
      </c>
      <c r="AI489" s="98" t="s">
        <v>971</v>
      </c>
      <c r="AJ489" s="98" t="s">
        <v>972</v>
      </c>
      <c r="AK489" s="98" t="s">
        <v>159</v>
      </c>
      <c r="AL489" s="98" t="s">
        <v>224</v>
      </c>
      <c r="AM489" s="98" t="s">
        <v>225</v>
      </c>
      <c r="AP489" s="98" t="s">
        <v>508</v>
      </c>
      <c r="AQ489" s="98" t="s">
        <v>506</v>
      </c>
      <c r="AR489" s="98" t="s">
        <v>1479</v>
      </c>
      <c r="AS489" s="98" t="s">
        <v>1546</v>
      </c>
      <c r="AT489" s="100" t="n">
        <v>0</v>
      </c>
      <c r="AU489" s="100" t="n">
        <v>-284959.92</v>
      </c>
      <c r="AX489" s="98" t="s">
        <v>586</v>
      </c>
      <c r="AMH489" s="0"/>
      <c r="AMI489" s="0"/>
      <c r="AMJ489" s="0"/>
    </row>
    <row r="490" s="98" customFormat="true" ht="13.8" hidden="false" customHeight="false" outlineLevel="0" collapsed="false">
      <c r="A490" s="98" t="s">
        <v>142</v>
      </c>
      <c r="B490" s="98" t="s">
        <v>143</v>
      </c>
      <c r="C490" s="98" t="n">
        <v>51323504</v>
      </c>
      <c r="D490" s="98" t="s">
        <v>1547</v>
      </c>
      <c r="E490" s="98" t="s">
        <v>725</v>
      </c>
      <c r="F490" s="98" t="s">
        <v>297</v>
      </c>
      <c r="G490" s="98" t="s">
        <v>147</v>
      </c>
      <c r="H490" s="98" t="s">
        <v>168</v>
      </c>
      <c r="I490" s="99" t="n">
        <v>43645</v>
      </c>
      <c r="J490" s="99" t="n">
        <v>43703</v>
      </c>
      <c r="K490" s="100" t="n">
        <v>-32040.81</v>
      </c>
      <c r="L490" s="100" t="n">
        <f aca="false">K490-Q490+T490</f>
        <v>-27153.23</v>
      </c>
      <c r="M490" s="98" t="s">
        <v>149</v>
      </c>
      <c r="N490" s="100" t="n">
        <v>-32040.81</v>
      </c>
      <c r="O490" s="98" t="s">
        <v>149</v>
      </c>
      <c r="P490" s="100" t="n">
        <v>-32040.81</v>
      </c>
      <c r="Q490" s="100" t="n">
        <v>-4887.58</v>
      </c>
      <c r="R490" s="100" t="n">
        <v>-27153.23</v>
      </c>
      <c r="S490" s="100" t="n">
        <v>0</v>
      </c>
      <c r="T490" s="100" t="n">
        <v>0</v>
      </c>
      <c r="U490" s="98" t="s">
        <v>192</v>
      </c>
      <c r="V490" s="98" t="s">
        <v>151</v>
      </c>
      <c r="X490" s="98" t="s">
        <v>1212</v>
      </c>
      <c r="Y490" s="98" t="s">
        <v>1213</v>
      </c>
      <c r="Z490" s="98" t="s">
        <v>1548</v>
      </c>
      <c r="AB490" s="98" t="s">
        <v>1213</v>
      </c>
      <c r="AD490" s="98" t="s">
        <v>155</v>
      </c>
      <c r="AE490" s="98" t="s">
        <v>156</v>
      </c>
      <c r="AF490" s="98" t="s">
        <v>728</v>
      </c>
      <c r="AG490" s="98" t="s">
        <v>729</v>
      </c>
      <c r="AH490" s="98" t="s">
        <v>971</v>
      </c>
      <c r="AI490" s="98" t="s">
        <v>971</v>
      </c>
      <c r="AJ490" s="98" t="s">
        <v>972</v>
      </c>
      <c r="AK490" s="98" t="s">
        <v>159</v>
      </c>
      <c r="AL490" s="98" t="s">
        <v>224</v>
      </c>
      <c r="AM490" s="98" t="s">
        <v>225</v>
      </c>
      <c r="AP490" s="98" t="s">
        <v>553</v>
      </c>
      <c r="AQ490" s="98" t="s">
        <v>551</v>
      </c>
      <c r="AR490" s="98" t="s">
        <v>1479</v>
      </c>
      <c r="AS490" s="98" t="s">
        <v>1549</v>
      </c>
      <c r="AT490" s="100" t="n">
        <v>0</v>
      </c>
      <c r="AU490" s="100" t="n">
        <v>-32040.81</v>
      </c>
      <c r="AX490" s="98" t="s">
        <v>213</v>
      </c>
      <c r="AMH490" s="0"/>
      <c r="AMI490" s="0"/>
      <c r="AMJ490" s="0"/>
    </row>
    <row r="491" s="98" customFormat="true" ht="13.8" hidden="false" customHeight="false" outlineLevel="0" collapsed="false">
      <c r="A491" s="98" t="s">
        <v>142</v>
      </c>
      <c r="B491" s="98" t="s">
        <v>143</v>
      </c>
      <c r="C491" s="98" t="n">
        <v>51323504</v>
      </c>
      <c r="D491" s="98" t="s">
        <v>1547</v>
      </c>
      <c r="E491" s="98" t="s">
        <v>725</v>
      </c>
      <c r="F491" s="98" t="s">
        <v>297</v>
      </c>
      <c r="G491" s="98" t="s">
        <v>147</v>
      </c>
      <c r="H491" s="98" t="s">
        <v>168</v>
      </c>
      <c r="I491" s="99" t="n">
        <v>43645</v>
      </c>
      <c r="J491" s="99" t="n">
        <v>43703</v>
      </c>
      <c r="K491" s="100" t="n">
        <v>-32040.82</v>
      </c>
      <c r="L491" s="100" t="n">
        <f aca="false">K491-Q491+T491</f>
        <v>-27153.24</v>
      </c>
      <c r="M491" s="98" t="s">
        <v>149</v>
      </c>
      <c r="N491" s="100" t="n">
        <v>-32040.82</v>
      </c>
      <c r="O491" s="98" t="s">
        <v>149</v>
      </c>
      <c r="P491" s="100" t="n">
        <v>-32040.82</v>
      </c>
      <c r="Q491" s="100" t="n">
        <v>-4887.58</v>
      </c>
      <c r="R491" s="100" t="n">
        <v>-27153.24</v>
      </c>
      <c r="S491" s="100" t="n">
        <v>0</v>
      </c>
      <c r="T491" s="100" t="n">
        <v>0</v>
      </c>
      <c r="U491" s="98" t="s">
        <v>192</v>
      </c>
      <c r="V491" s="98" t="s">
        <v>151</v>
      </c>
      <c r="X491" s="98" t="s">
        <v>1212</v>
      </c>
      <c r="Y491" s="98" t="s">
        <v>1213</v>
      </c>
      <c r="Z491" s="98" t="s">
        <v>1548</v>
      </c>
      <c r="AB491" s="98" t="s">
        <v>1213</v>
      </c>
      <c r="AD491" s="98" t="s">
        <v>155</v>
      </c>
      <c r="AE491" s="98" t="s">
        <v>156</v>
      </c>
      <c r="AF491" s="98" t="s">
        <v>728</v>
      </c>
      <c r="AG491" s="98" t="s">
        <v>729</v>
      </c>
      <c r="AH491" s="98" t="s">
        <v>971</v>
      </c>
      <c r="AI491" s="98" t="s">
        <v>971</v>
      </c>
      <c r="AJ491" s="98" t="s">
        <v>972</v>
      </c>
      <c r="AK491" s="98" t="s">
        <v>159</v>
      </c>
      <c r="AL491" s="98" t="s">
        <v>224</v>
      </c>
      <c r="AM491" s="98" t="s">
        <v>225</v>
      </c>
      <c r="AP491" s="98" t="s">
        <v>553</v>
      </c>
      <c r="AQ491" s="98" t="s">
        <v>551</v>
      </c>
      <c r="AR491" s="98" t="s">
        <v>1479</v>
      </c>
      <c r="AS491" s="98" t="s">
        <v>1549</v>
      </c>
      <c r="AT491" s="100" t="n">
        <v>0</v>
      </c>
      <c r="AU491" s="100" t="n">
        <v>-32040.82</v>
      </c>
      <c r="AX491" s="98" t="s">
        <v>200</v>
      </c>
      <c r="AMH491" s="0"/>
      <c r="AMI491" s="0"/>
      <c r="AMJ491" s="0"/>
    </row>
    <row r="492" s="98" customFormat="true" ht="13.8" hidden="false" customHeight="false" outlineLevel="0" collapsed="false">
      <c r="A492" s="98" t="s">
        <v>142</v>
      </c>
      <c r="B492" s="98" t="s">
        <v>143</v>
      </c>
      <c r="C492" s="98" t="n">
        <v>51323504</v>
      </c>
      <c r="D492" s="98" t="s">
        <v>1547</v>
      </c>
      <c r="E492" s="98" t="s">
        <v>725</v>
      </c>
      <c r="F492" s="98" t="s">
        <v>297</v>
      </c>
      <c r="G492" s="98" t="s">
        <v>147</v>
      </c>
      <c r="H492" s="98" t="s">
        <v>168</v>
      </c>
      <c r="I492" s="99" t="n">
        <v>43645</v>
      </c>
      <c r="J492" s="99" t="n">
        <v>43703</v>
      </c>
      <c r="K492" s="100" t="n">
        <v>-544693.87</v>
      </c>
      <c r="L492" s="100" t="n">
        <f aca="false">K492-Q492+T492</f>
        <v>-461604.98</v>
      </c>
      <c r="M492" s="98" t="s">
        <v>149</v>
      </c>
      <c r="N492" s="100" t="n">
        <v>-544693.87</v>
      </c>
      <c r="O492" s="98" t="s">
        <v>149</v>
      </c>
      <c r="P492" s="100" t="n">
        <v>-544693.87</v>
      </c>
      <c r="Q492" s="100" t="n">
        <v>-83088.89</v>
      </c>
      <c r="R492" s="100" t="n">
        <v>-461604.98</v>
      </c>
      <c r="S492" s="100" t="n">
        <v>0</v>
      </c>
      <c r="T492" s="100" t="n">
        <v>0</v>
      </c>
      <c r="U492" s="98" t="s">
        <v>192</v>
      </c>
      <c r="V492" s="98" t="s">
        <v>151</v>
      </c>
      <c r="X492" s="98" t="s">
        <v>1212</v>
      </c>
      <c r="Y492" s="98" t="s">
        <v>1213</v>
      </c>
      <c r="Z492" s="98" t="s">
        <v>1548</v>
      </c>
      <c r="AB492" s="98" t="s">
        <v>1213</v>
      </c>
      <c r="AD492" s="98" t="s">
        <v>155</v>
      </c>
      <c r="AE492" s="98" t="s">
        <v>156</v>
      </c>
      <c r="AF492" s="98" t="s">
        <v>728</v>
      </c>
      <c r="AG492" s="98" t="s">
        <v>729</v>
      </c>
      <c r="AH492" s="98" t="s">
        <v>971</v>
      </c>
      <c r="AI492" s="98" t="s">
        <v>971</v>
      </c>
      <c r="AJ492" s="98" t="s">
        <v>972</v>
      </c>
      <c r="AK492" s="98" t="s">
        <v>159</v>
      </c>
      <c r="AL492" s="98" t="s">
        <v>224</v>
      </c>
      <c r="AM492" s="98" t="s">
        <v>225</v>
      </c>
      <c r="AP492" s="98" t="s">
        <v>508</v>
      </c>
      <c r="AQ492" s="98" t="s">
        <v>506</v>
      </c>
      <c r="AR492" s="98" t="s">
        <v>1479</v>
      </c>
      <c r="AS492" s="98" t="s">
        <v>1549</v>
      </c>
      <c r="AT492" s="100" t="n">
        <v>0</v>
      </c>
      <c r="AU492" s="100" t="n">
        <v>-544693.87</v>
      </c>
      <c r="AX492" s="98" t="s">
        <v>586</v>
      </c>
      <c r="AMH492" s="0"/>
      <c r="AMI492" s="0"/>
      <c r="AMJ492" s="0"/>
    </row>
    <row r="493" s="98" customFormat="true" ht="13.8" hidden="false" customHeight="false" outlineLevel="0" collapsed="false">
      <c r="A493" s="98" t="s">
        <v>142</v>
      </c>
      <c r="B493" s="98" t="s">
        <v>143</v>
      </c>
      <c r="C493" s="98" t="n">
        <v>51323504</v>
      </c>
      <c r="D493" s="98" t="s">
        <v>1547</v>
      </c>
      <c r="E493" s="98" t="s">
        <v>725</v>
      </c>
      <c r="F493" s="98" t="s">
        <v>297</v>
      </c>
      <c r="G493" s="98" t="s">
        <v>147</v>
      </c>
      <c r="H493" s="98" t="s">
        <v>168</v>
      </c>
      <c r="I493" s="99" t="n">
        <v>43645</v>
      </c>
      <c r="J493" s="99" t="n">
        <v>43703</v>
      </c>
      <c r="K493" s="100" t="n">
        <v>-32040.82</v>
      </c>
      <c r="L493" s="100" t="n">
        <f aca="false">K493-Q493+T493</f>
        <v>-27153.24</v>
      </c>
      <c r="M493" s="98" t="s">
        <v>149</v>
      </c>
      <c r="N493" s="100" t="n">
        <v>-32040.82</v>
      </c>
      <c r="O493" s="98" t="s">
        <v>149</v>
      </c>
      <c r="P493" s="100" t="n">
        <v>-32040.82</v>
      </c>
      <c r="Q493" s="100" t="n">
        <v>-4887.58</v>
      </c>
      <c r="R493" s="100" t="n">
        <v>-27153.24</v>
      </c>
      <c r="S493" s="100" t="n">
        <v>0</v>
      </c>
      <c r="T493" s="100" t="n">
        <v>0</v>
      </c>
      <c r="U493" s="98" t="s">
        <v>192</v>
      </c>
      <c r="V493" s="98" t="s">
        <v>151</v>
      </c>
      <c r="X493" s="98" t="s">
        <v>1212</v>
      </c>
      <c r="Y493" s="98" t="s">
        <v>1213</v>
      </c>
      <c r="Z493" s="98" t="s">
        <v>1548</v>
      </c>
      <c r="AB493" s="98" t="s">
        <v>1213</v>
      </c>
      <c r="AD493" s="98" t="s">
        <v>155</v>
      </c>
      <c r="AE493" s="98" t="s">
        <v>156</v>
      </c>
      <c r="AF493" s="98" t="s">
        <v>728</v>
      </c>
      <c r="AG493" s="98" t="s">
        <v>729</v>
      </c>
      <c r="AH493" s="98" t="s">
        <v>971</v>
      </c>
      <c r="AI493" s="98" t="s">
        <v>971</v>
      </c>
      <c r="AJ493" s="98" t="s">
        <v>972</v>
      </c>
      <c r="AK493" s="98" t="s">
        <v>159</v>
      </c>
      <c r="AL493" s="98" t="s">
        <v>224</v>
      </c>
      <c r="AM493" s="98" t="s">
        <v>225</v>
      </c>
      <c r="AP493" s="98" t="s">
        <v>553</v>
      </c>
      <c r="AQ493" s="98" t="s">
        <v>551</v>
      </c>
      <c r="AR493" s="98" t="s">
        <v>1479</v>
      </c>
      <c r="AS493" s="98" t="s">
        <v>1549</v>
      </c>
      <c r="AT493" s="100" t="n">
        <v>0</v>
      </c>
      <c r="AU493" s="100" t="n">
        <v>-32040.82</v>
      </c>
      <c r="AX493" s="98" t="s">
        <v>191</v>
      </c>
      <c r="AMH493" s="0"/>
      <c r="AMI493" s="0"/>
      <c r="AMJ493" s="0"/>
    </row>
    <row r="494" s="98" customFormat="true" ht="13.8" hidden="false" customHeight="false" outlineLevel="0" collapsed="false">
      <c r="A494" s="98" t="s">
        <v>142</v>
      </c>
      <c r="B494" s="98" t="s">
        <v>143</v>
      </c>
      <c r="C494" s="98" t="n">
        <v>51323181</v>
      </c>
      <c r="D494" s="98" t="s">
        <v>1550</v>
      </c>
      <c r="E494" s="98" t="s">
        <v>725</v>
      </c>
      <c r="F494" s="98" t="s">
        <v>297</v>
      </c>
      <c r="G494" s="98" t="s">
        <v>147</v>
      </c>
      <c r="H494" s="98" t="s">
        <v>168</v>
      </c>
      <c r="I494" s="99" t="n">
        <v>43642</v>
      </c>
      <c r="J494" s="99" t="n">
        <v>43703</v>
      </c>
      <c r="K494" s="100" t="n">
        <v>-101838.13</v>
      </c>
      <c r="L494" s="100" t="n">
        <f aca="false">K494-Q494+T494</f>
        <v>-86303.5</v>
      </c>
      <c r="M494" s="98" t="s">
        <v>149</v>
      </c>
      <c r="N494" s="100" t="n">
        <v>-101838.13</v>
      </c>
      <c r="O494" s="98" t="s">
        <v>149</v>
      </c>
      <c r="P494" s="100" t="n">
        <v>-101838.13</v>
      </c>
      <c r="Q494" s="100" t="n">
        <v>-15534.63</v>
      </c>
      <c r="R494" s="100" t="n">
        <v>-86303.5</v>
      </c>
      <c r="S494" s="100" t="n">
        <v>0</v>
      </c>
      <c r="T494" s="100" t="n">
        <v>0</v>
      </c>
      <c r="U494" s="98" t="s">
        <v>192</v>
      </c>
      <c r="V494" s="98" t="s">
        <v>151</v>
      </c>
      <c r="X494" s="98" t="s">
        <v>1212</v>
      </c>
      <c r="Y494" s="98" t="s">
        <v>1213</v>
      </c>
      <c r="Z494" s="98" t="s">
        <v>1551</v>
      </c>
      <c r="AB494" s="98" t="s">
        <v>1213</v>
      </c>
      <c r="AD494" s="98" t="s">
        <v>155</v>
      </c>
      <c r="AE494" s="98" t="s">
        <v>156</v>
      </c>
      <c r="AF494" s="98" t="s">
        <v>728</v>
      </c>
      <c r="AG494" s="98" t="s">
        <v>729</v>
      </c>
      <c r="AH494" s="98" t="s">
        <v>971</v>
      </c>
      <c r="AI494" s="98" t="s">
        <v>971</v>
      </c>
      <c r="AJ494" s="98" t="s">
        <v>972</v>
      </c>
      <c r="AK494" s="98" t="s">
        <v>159</v>
      </c>
      <c r="AL494" s="98" t="s">
        <v>224</v>
      </c>
      <c r="AM494" s="98" t="s">
        <v>225</v>
      </c>
      <c r="AP494" s="98" t="s">
        <v>508</v>
      </c>
      <c r="AQ494" s="98" t="s">
        <v>506</v>
      </c>
      <c r="AR494" s="98" t="s">
        <v>1479</v>
      </c>
      <c r="AS494" s="98" t="s">
        <v>1552</v>
      </c>
      <c r="AT494" s="100" t="n">
        <v>0</v>
      </c>
      <c r="AU494" s="100" t="n">
        <v>-101838.13</v>
      </c>
      <c r="AX494" s="98" t="s">
        <v>586</v>
      </c>
      <c r="AMH494" s="0"/>
      <c r="AMI494" s="0"/>
      <c r="AMJ494" s="0"/>
    </row>
    <row r="495" s="98" customFormat="true" ht="13.8" hidden="false" customHeight="false" outlineLevel="0" collapsed="false">
      <c r="A495" s="98" t="s">
        <v>142</v>
      </c>
      <c r="B495" s="98" t="s">
        <v>143</v>
      </c>
      <c r="C495" s="98" t="n">
        <v>51323181</v>
      </c>
      <c r="D495" s="98" t="s">
        <v>1550</v>
      </c>
      <c r="E495" s="98" t="s">
        <v>725</v>
      </c>
      <c r="F495" s="98" t="s">
        <v>297</v>
      </c>
      <c r="G495" s="98" t="s">
        <v>147</v>
      </c>
      <c r="H495" s="98" t="s">
        <v>168</v>
      </c>
      <c r="I495" s="99" t="n">
        <v>43642</v>
      </c>
      <c r="J495" s="99" t="n">
        <v>43703</v>
      </c>
      <c r="K495" s="100" t="n">
        <v>-5990.48</v>
      </c>
      <c r="L495" s="100" t="n">
        <f aca="false">K495-Q495+T495</f>
        <v>-5076.68</v>
      </c>
      <c r="M495" s="98" t="s">
        <v>149</v>
      </c>
      <c r="N495" s="100" t="n">
        <v>-5990.48</v>
      </c>
      <c r="O495" s="98" t="s">
        <v>149</v>
      </c>
      <c r="P495" s="100" t="n">
        <v>-5990.48</v>
      </c>
      <c r="Q495" s="100" t="n">
        <v>-913.8</v>
      </c>
      <c r="R495" s="100" t="n">
        <v>-5076.68</v>
      </c>
      <c r="S495" s="100" t="n">
        <v>0</v>
      </c>
      <c r="T495" s="100" t="n">
        <v>0</v>
      </c>
      <c r="U495" s="98" t="s">
        <v>192</v>
      </c>
      <c r="V495" s="98" t="s">
        <v>151</v>
      </c>
      <c r="X495" s="98" t="s">
        <v>1212</v>
      </c>
      <c r="Y495" s="98" t="s">
        <v>1213</v>
      </c>
      <c r="Z495" s="98" t="s">
        <v>1551</v>
      </c>
      <c r="AB495" s="98" t="s">
        <v>1213</v>
      </c>
      <c r="AD495" s="98" t="s">
        <v>155</v>
      </c>
      <c r="AE495" s="98" t="s">
        <v>156</v>
      </c>
      <c r="AF495" s="98" t="s">
        <v>728</v>
      </c>
      <c r="AG495" s="98" t="s">
        <v>729</v>
      </c>
      <c r="AH495" s="98" t="s">
        <v>971</v>
      </c>
      <c r="AI495" s="98" t="s">
        <v>971</v>
      </c>
      <c r="AJ495" s="98" t="s">
        <v>972</v>
      </c>
      <c r="AK495" s="98" t="s">
        <v>159</v>
      </c>
      <c r="AL495" s="98" t="s">
        <v>224</v>
      </c>
      <c r="AM495" s="98" t="s">
        <v>225</v>
      </c>
      <c r="AP495" s="98" t="s">
        <v>553</v>
      </c>
      <c r="AQ495" s="98" t="s">
        <v>551</v>
      </c>
      <c r="AR495" s="98" t="s">
        <v>1479</v>
      </c>
      <c r="AS495" s="98" t="s">
        <v>1552</v>
      </c>
      <c r="AT495" s="100" t="n">
        <v>0</v>
      </c>
      <c r="AU495" s="100" t="n">
        <v>-5990.48</v>
      </c>
      <c r="AX495" s="98" t="s">
        <v>200</v>
      </c>
      <c r="AMH495" s="0"/>
      <c r="AMI495" s="0"/>
      <c r="AMJ495" s="0"/>
    </row>
    <row r="496" s="98" customFormat="true" ht="13.8" hidden="false" customHeight="false" outlineLevel="0" collapsed="false">
      <c r="A496" s="98" t="s">
        <v>142</v>
      </c>
      <c r="B496" s="98" t="s">
        <v>143</v>
      </c>
      <c r="C496" s="98" t="n">
        <v>51323181</v>
      </c>
      <c r="D496" s="98" t="s">
        <v>1550</v>
      </c>
      <c r="E496" s="98" t="s">
        <v>725</v>
      </c>
      <c r="F496" s="98" t="s">
        <v>297</v>
      </c>
      <c r="G496" s="98" t="s">
        <v>147</v>
      </c>
      <c r="H496" s="98" t="s">
        <v>168</v>
      </c>
      <c r="I496" s="99" t="n">
        <v>43642</v>
      </c>
      <c r="J496" s="99" t="n">
        <v>43703</v>
      </c>
      <c r="K496" s="100" t="n">
        <v>-5990.48</v>
      </c>
      <c r="L496" s="100" t="n">
        <f aca="false">K496-Q496+T496</f>
        <v>-5076.68</v>
      </c>
      <c r="M496" s="98" t="s">
        <v>149</v>
      </c>
      <c r="N496" s="100" t="n">
        <v>-5990.48</v>
      </c>
      <c r="O496" s="98" t="s">
        <v>149</v>
      </c>
      <c r="P496" s="100" t="n">
        <v>-5990.48</v>
      </c>
      <c r="Q496" s="100" t="n">
        <v>-913.8</v>
      </c>
      <c r="R496" s="100" t="n">
        <v>-5076.68</v>
      </c>
      <c r="S496" s="100" t="n">
        <v>0</v>
      </c>
      <c r="T496" s="100" t="n">
        <v>0</v>
      </c>
      <c r="U496" s="98" t="s">
        <v>192</v>
      </c>
      <c r="V496" s="98" t="s">
        <v>151</v>
      </c>
      <c r="X496" s="98" t="s">
        <v>1212</v>
      </c>
      <c r="Y496" s="98" t="s">
        <v>1213</v>
      </c>
      <c r="Z496" s="98" t="s">
        <v>1551</v>
      </c>
      <c r="AB496" s="98" t="s">
        <v>1213</v>
      </c>
      <c r="AD496" s="98" t="s">
        <v>155</v>
      </c>
      <c r="AE496" s="98" t="s">
        <v>156</v>
      </c>
      <c r="AF496" s="98" t="s">
        <v>728</v>
      </c>
      <c r="AG496" s="98" t="s">
        <v>729</v>
      </c>
      <c r="AH496" s="98" t="s">
        <v>971</v>
      </c>
      <c r="AI496" s="98" t="s">
        <v>971</v>
      </c>
      <c r="AJ496" s="98" t="s">
        <v>972</v>
      </c>
      <c r="AK496" s="98" t="s">
        <v>159</v>
      </c>
      <c r="AL496" s="98" t="s">
        <v>224</v>
      </c>
      <c r="AM496" s="98" t="s">
        <v>225</v>
      </c>
      <c r="AP496" s="98" t="s">
        <v>553</v>
      </c>
      <c r="AQ496" s="98" t="s">
        <v>551</v>
      </c>
      <c r="AR496" s="98" t="s">
        <v>1479</v>
      </c>
      <c r="AS496" s="98" t="s">
        <v>1552</v>
      </c>
      <c r="AT496" s="100" t="n">
        <v>0</v>
      </c>
      <c r="AU496" s="100" t="n">
        <v>-5990.48</v>
      </c>
      <c r="AX496" s="98" t="s">
        <v>191</v>
      </c>
      <c r="AMH496" s="0"/>
      <c r="AMI496" s="0"/>
      <c r="AMJ496" s="0"/>
    </row>
    <row r="497" s="98" customFormat="true" ht="13.8" hidden="false" customHeight="false" outlineLevel="0" collapsed="false">
      <c r="A497" s="98" t="s">
        <v>142</v>
      </c>
      <c r="B497" s="98" t="s">
        <v>143</v>
      </c>
      <c r="C497" s="98" t="n">
        <v>51323181</v>
      </c>
      <c r="D497" s="98" t="s">
        <v>1550</v>
      </c>
      <c r="E497" s="98" t="s">
        <v>725</v>
      </c>
      <c r="F497" s="98" t="s">
        <v>297</v>
      </c>
      <c r="G497" s="98" t="s">
        <v>147</v>
      </c>
      <c r="H497" s="98" t="s">
        <v>168</v>
      </c>
      <c r="I497" s="99" t="n">
        <v>43642</v>
      </c>
      <c r="J497" s="99" t="n">
        <v>43703</v>
      </c>
      <c r="K497" s="100" t="n">
        <v>-5990.48</v>
      </c>
      <c r="L497" s="100" t="n">
        <f aca="false">K497-Q497+T497</f>
        <v>-5076.68</v>
      </c>
      <c r="M497" s="98" t="s">
        <v>149</v>
      </c>
      <c r="N497" s="100" t="n">
        <v>-5990.48</v>
      </c>
      <c r="O497" s="98" t="s">
        <v>149</v>
      </c>
      <c r="P497" s="100" t="n">
        <v>-5990.48</v>
      </c>
      <c r="Q497" s="100" t="n">
        <v>-913.8</v>
      </c>
      <c r="R497" s="100" t="n">
        <v>-5076.68</v>
      </c>
      <c r="S497" s="100" t="n">
        <v>0</v>
      </c>
      <c r="T497" s="100" t="n">
        <v>0</v>
      </c>
      <c r="U497" s="98" t="s">
        <v>192</v>
      </c>
      <c r="V497" s="98" t="s">
        <v>151</v>
      </c>
      <c r="X497" s="98" t="s">
        <v>1212</v>
      </c>
      <c r="Y497" s="98" t="s">
        <v>1213</v>
      </c>
      <c r="Z497" s="98" t="s">
        <v>1551</v>
      </c>
      <c r="AB497" s="98" t="s">
        <v>1213</v>
      </c>
      <c r="AD497" s="98" t="s">
        <v>155</v>
      </c>
      <c r="AE497" s="98" t="s">
        <v>156</v>
      </c>
      <c r="AF497" s="98" t="s">
        <v>728</v>
      </c>
      <c r="AG497" s="98" t="s">
        <v>729</v>
      </c>
      <c r="AH497" s="98" t="s">
        <v>971</v>
      </c>
      <c r="AI497" s="98" t="s">
        <v>971</v>
      </c>
      <c r="AJ497" s="98" t="s">
        <v>972</v>
      </c>
      <c r="AK497" s="98" t="s">
        <v>159</v>
      </c>
      <c r="AL497" s="98" t="s">
        <v>224</v>
      </c>
      <c r="AM497" s="98" t="s">
        <v>225</v>
      </c>
      <c r="AP497" s="98" t="s">
        <v>553</v>
      </c>
      <c r="AQ497" s="98" t="s">
        <v>551</v>
      </c>
      <c r="AR497" s="98" t="s">
        <v>1479</v>
      </c>
      <c r="AS497" s="98" t="s">
        <v>1552</v>
      </c>
      <c r="AT497" s="100" t="n">
        <v>0</v>
      </c>
      <c r="AU497" s="100" t="n">
        <v>-5990.48</v>
      </c>
      <c r="AX497" s="98" t="s">
        <v>213</v>
      </c>
      <c r="AMH497" s="0"/>
      <c r="AMI497" s="0"/>
      <c r="AMJ497" s="0"/>
    </row>
    <row r="498" s="98" customFormat="true" ht="13.8" hidden="false" customHeight="false" outlineLevel="0" collapsed="false">
      <c r="A498" s="98" t="s">
        <v>142</v>
      </c>
      <c r="B498" s="98" t="s">
        <v>143</v>
      </c>
      <c r="C498" s="98" t="n">
        <v>51323196</v>
      </c>
      <c r="D498" s="98" t="s">
        <v>1553</v>
      </c>
      <c r="E498" s="98" t="s">
        <v>725</v>
      </c>
      <c r="F498" s="98" t="s">
        <v>297</v>
      </c>
      <c r="G498" s="98" t="s">
        <v>147</v>
      </c>
      <c r="H498" s="98" t="s">
        <v>168</v>
      </c>
      <c r="I498" s="99" t="n">
        <v>43642</v>
      </c>
      <c r="J498" s="99" t="n">
        <v>43703</v>
      </c>
      <c r="K498" s="100" t="n">
        <v>-95133.2</v>
      </c>
      <c r="L498" s="100" t="n">
        <f aca="false">K498-Q498+T498</f>
        <v>-80621.36</v>
      </c>
      <c r="M498" s="98" t="s">
        <v>149</v>
      </c>
      <c r="N498" s="100" t="n">
        <v>-95133.2</v>
      </c>
      <c r="O498" s="98" t="s">
        <v>149</v>
      </c>
      <c r="P498" s="100" t="n">
        <v>-95133.2</v>
      </c>
      <c r="Q498" s="100" t="n">
        <v>-14511.84</v>
      </c>
      <c r="R498" s="100" t="n">
        <v>-80621.36</v>
      </c>
      <c r="S498" s="100" t="n">
        <v>0</v>
      </c>
      <c r="T498" s="100" t="n">
        <v>0</v>
      </c>
      <c r="U498" s="98" t="s">
        <v>192</v>
      </c>
      <c r="V498" s="98" t="s">
        <v>151</v>
      </c>
      <c r="X498" s="98" t="s">
        <v>1212</v>
      </c>
      <c r="Y498" s="98" t="s">
        <v>1213</v>
      </c>
      <c r="Z498" s="98" t="s">
        <v>1554</v>
      </c>
      <c r="AB498" s="98" t="s">
        <v>1213</v>
      </c>
      <c r="AD498" s="98" t="s">
        <v>155</v>
      </c>
      <c r="AE498" s="98" t="s">
        <v>156</v>
      </c>
      <c r="AF498" s="98" t="s">
        <v>728</v>
      </c>
      <c r="AG498" s="98" t="s">
        <v>729</v>
      </c>
      <c r="AH498" s="98" t="s">
        <v>971</v>
      </c>
      <c r="AI498" s="98" t="s">
        <v>971</v>
      </c>
      <c r="AJ498" s="98" t="s">
        <v>972</v>
      </c>
      <c r="AK498" s="98" t="s">
        <v>159</v>
      </c>
      <c r="AL498" s="98" t="s">
        <v>224</v>
      </c>
      <c r="AM498" s="98" t="s">
        <v>225</v>
      </c>
      <c r="AP498" s="98" t="s">
        <v>553</v>
      </c>
      <c r="AQ498" s="98" t="s">
        <v>551</v>
      </c>
      <c r="AR498" s="98" t="s">
        <v>1479</v>
      </c>
      <c r="AS498" s="98" t="s">
        <v>1555</v>
      </c>
      <c r="AT498" s="100" t="n">
        <v>0</v>
      </c>
      <c r="AU498" s="100" t="n">
        <v>-95133.2</v>
      </c>
      <c r="AX498" s="98" t="s">
        <v>213</v>
      </c>
      <c r="AMH498" s="0"/>
      <c r="AMI498" s="0"/>
      <c r="AMJ498" s="0"/>
    </row>
    <row r="499" s="98" customFormat="true" ht="13.8" hidden="false" customHeight="false" outlineLevel="0" collapsed="false">
      <c r="A499" s="98" t="s">
        <v>142</v>
      </c>
      <c r="B499" s="98" t="s">
        <v>143</v>
      </c>
      <c r="C499" s="98" t="n">
        <v>51323196</v>
      </c>
      <c r="D499" s="98" t="s">
        <v>1553</v>
      </c>
      <c r="E499" s="98" t="s">
        <v>725</v>
      </c>
      <c r="F499" s="98" t="s">
        <v>297</v>
      </c>
      <c r="G499" s="98" t="s">
        <v>147</v>
      </c>
      <c r="H499" s="98" t="s">
        <v>168</v>
      </c>
      <c r="I499" s="99" t="n">
        <v>43642</v>
      </c>
      <c r="J499" s="99" t="n">
        <v>43703</v>
      </c>
      <c r="K499" s="100" t="n">
        <v>-95133.19</v>
      </c>
      <c r="L499" s="100" t="n">
        <f aca="false">K499-Q499+T499</f>
        <v>-80621.35</v>
      </c>
      <c r="M499" s="98" t="s">
        <v>149</v>
      </c>
      <c r="N499" s="100" t="n">
        <v>-95133.19</v>
      </c>
      <c r="O499" s="98" t="s">
        <v>149</v>
      </c>
      <c r="P499" s="100" t="n">
        <v>-95133.19</v>
      </c>
      <c r="Q499" s="100" t="n">
        <v>-14511.84</v>
      </c>
      <c r="R499" s="100" t="n">
        <v>-80621.35</v>
      </c>
      <c r="S499" s="100" t="n">
        <v>0</v>
      </c>
      <c r="T499" s="100" t="n">
        <v>0</v>
      </c>
      <c r="U499" s="98" t="s">
        <v>192</v>
      </c>
      <c r="V499" s="98" t="s">
        <v>151</v>
      </c>
      <c r="X499" s="98" t="s">
        <v>1212</v>
      </c>
      <c r="Y499" s="98" t="s">
        <v>1213</v>
      </c>
      <c r="Z499" s="98" t="s">
        <v>1554</v>
      </c>
      <c r="AB499" s="98" t="s">
        <v>1213</v>
      </c>
      <c r="AD499" s="98" t="s">
        <v>155</v>
      </c>
      <c r="AE499" s="98" t="s">
        <v>156</v>
      </c>
      <c r="AF499" s="98" t="s">
        <v>728</v>
      </c>
      <c r="AG499" s="98" t="s">
        <v>729</v>
      </c>
      <c r="AH499" s="98" t="s">
        <v>971</v>
      </c>
      <c r="AI499" s="98" t="s">
        <v>971</v>
      </c>
      <c r="AJ499" s="98" t="s">
        <v>972</v>
      </c>
      <c r="AK499" s="98" t="s">
        <v>159</v>
      </c>
      <c r="AL499" s="98" t="s">
        <v>224</v>
      </c>
      <c r="AM499" s="98" t="s">
        <v>225</v>
      </c>
      <c r="AP499" s="98" t="s">
        <v>553</v>
      </c>
      <c r="AQ499" s="98" t="s">
        <v>551</v>
      </c>
      <c r="AR499" s="98" t="s">
        <v>1479</v>
      </c>
      <c r="AS499" s="98" t="s">
        <v>1555</v>
      </c>
      <c r="AT499" s="100" t="n">
        <v>0</v>
      </c>
      <c r="AU499" s="100" t="n">
        <v>-95133.19</v>
      </c>
      <c r="AX499" s="98" t="s">
        <v>191</v>
      </c>
      <c r="AMH499" s="0"/>
      <c r="AMI499" s="0"/>
      <c r="AMJ499" s="0"/>
    </row>
    <row r="500" s="98" customFormat="true" ht="13.8" hidden="false" customHeight="false" outlineLevel="0" collapsed="false">
      <c r="A500" s="98" t="s">
        <v>142</v>
      </c>
      <c r="B500" s="98" t="s">
        <v>143</v>
      </c>
      <c r="C500" s="98" t="n">
        <v>51323196</v>
      </c>
      <c r="D500" s="98" t="s">
        <v>1553</v>
      </c>
      <c r="E500" s="98" t="s">
        <v>725</v>
      </c>
      <c r="F500" s="98" t="s">
        <v>297</v>
      </c>
      <c r="G500" s="98" t="s">
        <v>147</v>
      </c>
      <c r="H500" s="98" t="s">
        <v>168</v>
      </c>
      <c r="I500" s="99" t="n">
        <v>43642</v>
      </c>
      <c r="J500" s="99" t="n">
        <v>43703</v>
      </c>
      <c r="K500" s="100" t="n">
        <v>-95133.19</v>
      </c>
      <c r="L500" s="100" t="n">
        <f aca="false">K500-Q500+T500</f>
        <v>-80621.35</v>
      </c>
      <c r="M500" s="98" t="s">
        <v>149</v>
      </c>
      <c r="N500" s="100" t="n">
        <v>-95133.19</v>
      </c>
      <c r="O500" s="98" t="s">
        <v>149</v>
      </c>
      <c r="P500" s="100" t="n">
        <v>-95133.19</v>
      </c>
      <c r="Q500" s="100" t="n">
        <v>-14511.84</v>
      </c>
      <c r="R500" s="100" t="n">
        <v>-80621.35</v>
      </c>
      <c r="S500" s="100" t="n">
        <v>0</v>
      </c>
      <c r="T500" s="100" t="n">
        <v>0</v>
      </c>
      <c r="U500" s="98" t="s">
        <v>192</v>
      </c>
      <c r="V500" s="98" t="s">
        <v>151</v>
      </c>
      <c r="X500" s="98" t="s">
        <v>1212</v>
      </c>
      <c r="Y500" s="98" t="s">
        <v>1213</v>
      </c>
      <c r="Z500" s="98" t="s">
        <v>1554</v>
      </c>
      <c r="AB500" s="98" t="s">
        <v>1213</v>
      </c>
      <c r="AD500" s="98" t="s">
        <v>155</v>
      </c>
      <c r="AE500" s="98" t="s">
        <v>156</v>
      </c>
      <c r="AF500" s="98" t="s">
        <v>728</v>
      </c>
      <c r="AG500" s="98" t="s">
        <v>729</v>
      </c>
      <c r="AH500" s="98" t="s">
        <v>971</v>
      </c>
      <c r="AI500" s="98" t="s">
        <v>971</v>
      </c>
      <c r="AJ500" s="98" t="s">
        <v>972</v>
      </c>
      <c r="AK500" s="98" t="s">
        <v>159</v>
      </c>
      <c r="AL500" s="98" t="s">
        <v>224</v>
      </c>
      <c r="AM500" s="98" t="s">
        <v>225</v>
      </c>
      <c r="AP500" s="98" t="s">
        <v>553</v>
      </c>
      <c r="AQ500" s="98" t="s">
        <v>551</v>
      </c>
      <c r="AR500" s="98" t="s">
        <v>1479</v>
      </c>
      <c r="AS500" s="98" t="s">
        <v>1555</v>
      </c>
      <c r="AT500" s="100" t="n">
        <v>0</v>
      </c>
      <c r="AU500" s="100" t="n">
        <v>-95133.19</v>
      </c>
      <c r="AX500" s="98" t="s">
        <v>200</v>
      </c>
      <c r="AMH500" s="0"/>
      <c r="AMI500" s="0"/>
      <c r="AMJ500" s="0"/>
    </row>
    <row r="501" s="98" customFormat="true" ht="13.8" hidden="false" customHeight="false" outlineLevel="0" collapsed="false">
      <c r="A501" s="98" t="s">
        <v>142</v>
      </c>
      <c r="B501" s="98" t="s">
        <v>143</v>
      </c>
      <c r="C501" s="98" t="n">
        <v>51323196</v>
      </c>
      <c r="D501" s="98" t="s">
        <v>1553</v>
      </c>
      <c r="E501" s="98" t="s">
        <v>725</v>
      </c>
      <c r="F501" s="98" t="s">
        <v>297</v>
      </c>
      <c r="G501" s="98" t="s">
        <v>147</v>
      </c>
      <c r="H501" s="98" t="s">
        <v>168</v>
      </c>
      <c r="I501" s="99" t="n">
        <v>43642</v>
      </c>
      <c r="J501" s="99" t="n">
        <v>43703</v>
      </c>
      <c r="K501" s="100" t="n">
        <v>-1617264.3</v>
      </c>
      <c r="L501" s="100" t="n">
        <f aca="false">K501-Q501+T501</f>
        <v>-1370562.95</v>
      </c>
      <c r="M501" s="98" t="s">
        <v>149</v>
      </c>
      <c r="N501" s="100" t="n">
        <v>-1617264.3</v>
      </c>
      <c r="O501" s="98" t="s">
        <v>149</v>
      </c>
      <c r="P501" s="100" t="n">
        <v>-1617264.3</v>
      </c>
      <c r="Q501" s="100" t="n">
        <v>-246701.35</v>
      </c>
      <c r="R501" s="100" t="n">
        <v>-1370562.95</v>
      </c>
      <c r="S501" s="100" t="n">
        <v>0</v>
      </c>
      <c r="T501" s="100" t="n">
        <v>0</v>
      </c>
      <c r="U501" s="98" t="s">
        <v>192</v>
      </c>
      <c r="V501" s="98" t="s">
        <v>151</v>
      </c>
      <c r="X501" s="98" t="s">
        <v>1212</v>
      </c>
      <c r="Y501" s="98" t="s">
        <v>1213</v>
      </c>
      <c r="Z501" s="98" t="s">
        <v>1554</v>
      </c>
      <c r="AB501" s="98" t="s">
        <v>1213</v>
      </c>
      <c r="AD501" s="98" t="s">
        <v>155</v>
      </c>
      <c r="AE501" s="98" t="s">
        <v>156</v>
      </c>
      <c r="AF501" s="98" t="s">
        <v>728</v>
      </c>
      <c r="AG501" s="98" t="s">
        <v>729</v>
      </c>
      <c r="AH501" s="98" t="s">
        <v>971</v>
      </c>
      <c r="AI501" s="98" t="s">
        <v>971</v>
      </c>
      <c r="AJ501" s="98" t="s">
        <v>972</v>
      </c>
      <c r="AK501" s="98" t="s">
        <v>159</v>
      </c>
      <c r="AL501" s="98" t="s">
        <v>224</v>
      </c>
      <c r="AM501" s="98" t="s">
        <v>225</v>
      </c>
      <c r="AP501" s="98" t="s">
        <v>508</v>
      </c>
      <c r="AQ501" s="98" t="s">
        <v>506</v>
      </c>
      <c r="AR501" s="98" t="s">
        <v>1479</v>
      </c>
      <c r="AS501" s="98" t="s">
        <v>1555</v>
      </c>
      <c r="AT501" s="100" t="n">
        <v>0</v>
      </c>
      <c r="AU501" s="100" t="n">
        <v>-1617264.3</v>
      </c>
      <c r="AX501" s="98" t="s">
        <v>586</v>
      </c>
      <c r="AMH501" s="0"/>
      <c r="AMI501" s="0"/>
      <c r="AMJ501" s="0"/>
    </row>
    <row r="502" s="98" customFormat="true" ht="13.8" hidden="false" customHeight="false" outlineLevel="0" collapsed="false">
      <c r="A502" s="98" t="s">
        <v>142</v>
      </c>
      <c r="B502" s="98" t="s">
        <v>143</v>
      </c>
      <c r="C502" s="98" t="n">
        <v>51572913</v>
      </c>
      <c r="D502" s="98" t="s">
        <v>1556</v>
      </c>
      <c r="E502" s="98" t="s">
        <v>725</v>
      </c>
      <c r="F502" s="98" t="s">
        <v>212</v>
      </c>
      <c r="G502" s="98" t="s">
        <v>147</v>
      </c>
      <c r="H502" s="98" t="s">
        <v>586</v>
      </c>
      <c r="I502" s="104" t="n">
        <v>43769</v>
      </c>
      <c r="J502" s="99" t="n">
        <v>43830</v>
      </c>
      <c r="K502" s="100" t="n">
        <v>-255509.38</v>
      </c>
      <c r="L502" s="100" t="n">
        <f aca="false">K502-Q502+T502</f>
        <v>-216533.38</v>
      </c>
      <c r="M502" s="98" t="s">
        <v>149</v>
      </c>
      <c r="N502" s="100" t="n">
        <v>-255509.38</v>
      </c>
      <c r="O502" s="98" t="s">
        <v>149</v>
      </c>
      <c r="P502" s="100" t="n">
        <v>-255509.38</v>
      </c>
      <c r="Q502" s="105" t="n">
        <v>-38976</v>
      </c>
      <c r="R502" s="100" t="n">
        <v>-255509.38</v>
      </c>
      <c r="S502" s="100" t="n">
        <v>0</v>
      </c>
      <c r="T502" s="100" t="n">
        <v>0</v>
      </c>
      <c r="U502" s="98" t="s">
        <v>150</v>
      </c>
      <c r="V502" s="98" t="s">
        <v>151</v>
      </c>
      <c r="Y502" s="98" t="s">
        <v>1557</v>
      </c>
      <c r="Z502" s="98" t="s">
        <v>1558</v>
      </c>
      <c r="AB502" s="98" t="s">
        <v>1557</v>
      </c>
      <c r="AD502" s="98" t="s">
        <v>155</v>
      </c>
      <c r="AE502" s="98" t="s">
        <v>156</v>
      </c>
      <c r="AF502" s="98" t="s">
        <v>728</v>
      </c>
      <c r="AG502" s="98" t="s">
        <v>729</v>
      </c>
      <c r="AH502" s="98" t="s">
        <v>730</v>
      </c>
      <c r="AI502" s="98" t="s">
        <v>730</v>
      </c>
      <c r="AJ502" s="98" t="s">
        <v>731</v>
      </c>
      <c r="AK502" s="98" t="s">
        <v>159</v>
      </c>
      <c r="AL502" s="98" t="s">
        <v>224</v>
      </c>
      <c r="AM502" s="98" t="s">
        <v>225</v>
      </c>
      <c r="AP502" s="98" t="s">
        <v>628</v>
      </c>
      <c r="AQ502" s="98" t="s">
        <v>623</v>
      </c>
      <c r="AR502" s="98" t="s">
        <v>1276</v>
      </c>
      <c r="AS502" s="98" t="s">
        <v>1559</v>
      </c>
      <c r="AT502" s="100" t="n">
        <v>0</v>
      </c>
      <c r="AU502" s="100" t="n">
        <v>-255509.38</v>
      </c>
      <c r="AX502" s="98" t="s">
        <v>165</v>
      </c>
      <c r="AMH502" s="0"/>
      <c r="AMI502" s="0"/>
      <c r="AMJ502" s="0"/>
    </row>
    <row r="503" s="98" customFormat="true" ht="13.8" hidden="false" customHeight="false" outlineLevel="0" collapsed="false">
      <c r="A503" s="98" t="s">
        <v>142</v>
      </c>
      <c r="B503" s="98" t="s">
        <v>143</v>
      </c>
      <c r="C503" s="98" t="n">
        <v>51323115</v>
      </c>
      <c r="D503" s="98" t="s">
        <v>1560</v>
      </c>
      <c r="E503" s="98" t="s">
        <v>725</v>
      </c>
      <c r="F503" s="98" t="s">
        <v>297</v>
      </c>
      <c r="G503" s="98" t="s">
        <v>147</v>
      </c>
      <c r="H503" s="98" t="s">
        <v>168</v>
      </c>
      <c r="I503" s="99" t="n">
        <v>43641</v>
      </c>
      <c r="J503" s="99" t="n">
        <v>43703</v>
      </c>
      <c r="K503" s="100" t="n">
        <v>-7968.99</v>
      </c>
      <c r="L503" s="100" t="n">
        <f aca="false">K503-Q503+T503</f>
        <v>-6753.38</v>
      </c>
      <c r="M503" s="98" t="s">
        <v>149</v>
      </c>
      <c r="N503" s="100" t="n">
        <v>-7968.99</v>
      </c>
      <c r="O503" s="98" t="s">
        <v>149</v>
      </c>
      <c r="P503" s="100" t="n">
        <v>-7968.99</v>
      </c>
      <c r="Q503" s="100" t="n">
        <v>-1215.61</v>
      </c>
      <c r="R503" s="100" t="n">
        <v>-6753.38</v>
      </c>
      <c r="S503" s="100" t="n">
        <v>0</v>
      </c>
      <c r="T503" s="100" t="n">
        <v>0</v>
      </c>
      <c r="U503" s="98" t="s">
        <v>192</v>
      </c>
      <c r="V503" s="98" t="s">
        <v>151</v>
      </c>
      <c r="X503" s="98" t="s">
        <v>1212</v>
      </c>
      <c r="Y503" s="98" t="s">
        <v>1213</v>
      </c>
      <c r="Z503" s="98" t="s">
        <v>1561</v>
      </c>
      <c r="AB503" s="98" t="s">
        <v>1213</v>
      </c>
      <c r="AD503" s="98" t="s">
        <v>155</v>
      </c>
      <c r="AE503" s="98" t="s">
        <v>156</v>
      </c>
      <c r="AF503" s="98" t="s">
        <v>728</v>
      </c>
      <c r="AG503" s="98" t="s">
        <v>729</v>
      </c>
      <c r="AH503" s="98" t="s">
        <v>971</v>
      </c>
      <c r="AI503" s="98" t="s">
        <v>971</v>
      </c>
      <c r="AJ503" s="98" t="s">
        <v>972</v>
      </c>
      <c r="AK503" s="98" t="s">
        <v>159</v>
      </c>
      <c r="AL503" s="98" t="s">
        <v>224</v>
      </c>
      <c r="AM503" s="98" t="s">
        <v>225</v>
      </c>
      <c r="AP503" s="98" t="s">
        <v>553</v>
      </c>
      <c r="AQ503" s="98" t="s">
        <v>551</v>
      </c>
      <c r="AR503" s="98" t="s">
        <v>1479</v>
      </c>
      <c r="AS503" s="98" t="s">
        <v>1562</v>
      </c>
      <c r="AT503" s="100" t="n">
        <v>0</v>
      </c>
      <c r="AU503" s="100" t="n">
        <v>-7968.99</v>
      </c>
      <c r="AX503" s="98" t="s">
        <v>191</v>
      </c>
      <c r="AMH503" s="0"/>
      <c r="AMI503" s="0"/>
      <c r="AMJ503" s="0"/>
    </row>
    <row r="504" s="98" customFormat="true" ht="13.8" hidden="false" customHeight="false" outlineLevel="0" collapsed="false">
      <c r="A504" s="98" t="s">
        <v>142</v>
      </c>
      <c r="B504" s="98" t="s">
        <v>143</v>
      </c>
      <c r="C504" s="98" t="n">
        <v>51323115</v>
      </c>
      <c r="D504" s="98" t="s">
        <v>1560</v>
      </c>
      <c r="E504" s="98" t="s">
        <v>725</v>
      </c>
      <c r="F504" s="98" t="s">
        <v>297</v>
      </c>
      <c r="G504" s="98" t="s">
        <v>147</v>
      </c>
      <c r="H504" s="98" t="s">
        <v>168</v>
      </c>
      <c r="I504" s="99" t="n">
        <v>43641</v>
      </c>
      <c r="J504" s="99" t="n">
        <v>43703</v>
      </c>
      <c r="K504" s="100" t="n">
        <v>-7968.99</v>
      </c>
      <c r="L504" s="100" t="n">
        <f aca="false">K504-Q504+T504</f>
        <v>-6753.38</v>
      </c>
      <c r="M504" s="98" t="s">
        <v>149</v>
      </c>
      <c r="N504" s="100" t="n">
        <v>-7968.99</v>
      </c>
      <c r="O504" s="98" t="s">
        <v>149</v>
      </c>
      <c r="P504" s="100" t="n">
        <v>-7968.99</v>
      </c>
      <c r="Q504" s="100" t="n">
        <v>-1215.61</v>
      </c>
      <c r="R504" s="100" t="n">
        <v>-6753.38</v>
      </c>
      <c r="S504" s="100" t="n">
        <v>0</v>
      </c>
      <c r="T504" s="100" t="n">
        <v>0</v>
      </c>
      <c r="U504" s="98" t="s">
        <v>192</v>
      </c>
      <c r="V504" s="98" t="s">
        <v>151</v>
      </c>
      <c r="X504" s="98" t="s">
        <v>1212</v>
      </c>
      <c r="Y504" s="98" t="s">
        <v>1213</v>
      </c>
      <c r="Z504" s="98" t="s">
        <v>1561</v>
      </c>
      <c r="AB504" s="98" t="s">
        <v>1213</v>
      </c>
      <c r="AD504" s="98" t="s">
        <v>155</v>
      </c>
      <c r="AE504" s="98" t="s">
        <v>156</v>
      </c>
      <c r="AF504" s="98" t="s">
        <v>728</v>
      </c>
      <c r="AG504" s="98" t="s">
        <v>729</v>
      </c>
      <c r="AH504" s="98" t="s">
        <v>971</v>
      </c>
      <c r="AI504" s="98" t="s">
        <v>971</v>
      </c>
      <c r="AJ504" s="98" t="s">
        <v>972</v>
      </c>
      <c r="AK504" s="98" t="s">
        <v>159</v>
      </c>
      <c r="AL504" s="98" t="s">
        <v>224</v>
      </c>
      <c r="AM504" s="98" t="s">
        <v>225</v>
      </c>
      <c r="AP504" s="98" t="s">
        <v>553</v>
      </c>
      <c r="AQ504" s="98" t="s">
        <v>551</v>
      </c>
      <c r="AR504" s="98" t="s">
        <v>1479</v>
      </c>
      <c r="AS504" s="98" t="s">
        <v>1562</v>
      </c>
      <c r="AT504" s="100" t="n">
        <v>0</v>
      </c>
      <c r="AU504" s="100" t="n">
        <v>-7968.99</v>
      </c>
      <c r="AX504" s="98" t="s">
        <v>200</v>
      </c>
      <c r="AMH504" s="0"/>
      <c r="AMI504" s="0"/>
      <c r="AMJ504" s="0"/>
    </row>
    <row r="505" s="98" customFormat="true" ht="13.8" hidden="false" customHeight="false" outlineLevel="0" collapsed="false">
      <c r="A505" s="98" t="s">
        <v>142</v>
      </c>
      <c r="B505" s="98" t="s">
        <v>143</v>
      </c>
      <c r="C505" s="98" t="n">
        <v>51323115</v>
      </c>
      <c r="D505" s="98" t="s">
        <v>1560</v>
      </c>
      <c r="E505" s="98" t="s">
        <v>725</v>
      </c>
      <c r="F505" s="98" t="s">
        <v>297</v>
      </c>
      <c r="G505" s="98" t="s">
        <v>147</v>
      </c>
      <c r="H505" s="98" t="s">
        <v>168</v>
      </c>
      <c r="I505" s="99" t="n">
        <v>43641</v>
      </c>
      <c r="J505" s="99" t="n">
        <v>43703</v>
      </c>
      <c r="K505" s="100" t="n">
        <v>-7968.97</v>
      </c>
      <c r="L505" s="100" t="n">
        <f aca="false">K505-Q505+T505</f>
        <v>-6753.36</v>
      </c>
      <c r="M505" s="98" t="s">
        <v>149</v>
      </c>
      <c r="N505" s="100" t="n">
        <v>-7968.97</v>
      </c>
      <c r="O505" s="98" t="s">
        <v>149</v>
      </c>
      <c r="P505" s="100" t="n">
        <v>-7968.97</v>
      </c>
      <c r="Q505" s="100" t="n">
        <v>-1215.61</v>
      </c>
      <c r="R505" s="100" t="n">
        <v>-6753.36</v>
      </c>
      <c r="S505" s="100" t="n">
        <v>0</v>
      </c>
      <c r="T505" s="100" t="n">
        <v>0</v>
      </c>
      <c r="U505" s="98" t="s">
        <v>192</v>
      </c>
      <c r="V505" s="98" t="s">
        <v>151</v>
      </c>
      <c r="X505" s="98" t="s">
        <v>1212</v>
      </c>
      <c r="Y505" s="98" t="s">
        <v>1213</v>
      </c>
      <c r="Z505" s="98" t="s">
        <v>1561</v>
      </c>
      <c r="AB505" s="98" t="s">
        <v>1213</v>
      </c>
      <c r="AD505" s="98" t="s">
        <v>155</v>
      </c>
      <c r="AE505" s="98" t="s">
        <v>156</v>
      </c>
      <c r="AF505" s="98" t="s">
        <v>728</v>
      </c>
      <c r="AG505" s="98" t="s">
        <v>729</v>
      </c>
      <c r="AH505" s="98" t="s">
        <v>971</v>
      </c>
      <c r="AI505" s="98" t="s">
        <v>971</v>
      </c>
      <c r="AJ505" s="98" t="s">
        <v>972</v>
      </c>
      <c r="AK505" s="98" t="s">
        <v>159</v>
      </c>
      <c r="AL505" s="98" t="s">
        <v>224</v>
      </c>
      <c r="AM505" s="98" t="s">
        <v>225</v>
      </c>
      <c r="AP505" s="98" t="s">
        <v>553</v>
      </c>
      <c r="AQ505" s="98" t="s">
        <v>551</v>
      </c>
      <c r="AR505" s="98" t="s">
        <v>1479</v>
      </c>
      <c r="AS505" s="98" t="s">
        <v>1562</v>
      </c>
      <c r="AT505" s="100" t="n">
        <v>0</v>
      </c>
      <c r="AU505" s="100" t="n">
        <v>-7968.97</v>
      </c>
      <c r="AX505" s="98" t="s">
        <v>213</v>
      </c>
      <c r="AMH505" s="0"/>
      <c r="AMI505" s="0"/>
      <c r="AMJ505" s="0"/>
    </row>
    <row r="506" s="98" customFormat="true" ht="13.8" hidden="false" customHeight="false" outlineLevel="0" collapsed="false">
      <c r="A506" s="98" t="s">
        <v>142</v>
      </c>
      <c r="B506" s="98" t="s">
        <v>143</v>
      </c>
      <c r="C506" s="98" t="n">
        <v>51323115</v>
      </c>
      <c r="D506" s="98" t="s">
        <v>1560</v>
      </c>
      <c r="E506" s="98" t="s">
        <v>725</v>
      </c>
      <c r="F506" s="98" t="s">
        <v>297</v>
      </c>
      <c r="G506" s="98" t="s">
        <v>147</v>
      </c>
      <c r="H506" s="98" t="s">
        <v>168</v>
      </c>
      <c r="I506" s="99" t="n">
        <v>43641</v>
      </c>
      <c r="J506" s="99" t="n">
        <v>43703</v>
      </c>
      <c r="K506" s="100" t="n">
        <v>-135472.75</v>
      </c>
      <c r="L506" s="100" t="n">
        <f aca="false">K506-Q506+T506</f>
        <v>-114807.41</v>
      </c>
      <c r="M506" s="98" t="s">
        <v>149</v>
      </c>
      <c r="N506" s="100" t="n">
        <v>-135472.75</v>
      </c>
      <c r="O506" s="98" t="s">
        <v>149</v>
      </c>
      <c r="P506" s="100" t="n">
        <v>-135472.75</v>
      </c>
      <c r="Q506" s="100" t="n">
        <v>-20665.34</v>
      </c>
      <c r="R506" s="100" t="n">
        <v>-114807.41</v>
      </c>
      <c r="S506" s="100" t="n">
        <v>0</v>
      </c>
      <c r="T506" s="100" t="n">
        <v>0</v>
      </c>
      <c r="U506" s="98" t="s">
        <v>192</v>
      </c>
      <c r="V506" s="98" t="s">
        <v>151</v>
      </c>
      <c r="X506" s="98" t="s">
        <v>1212</v>
      </c>
      <c r="Y506" s="98" t="s">
        <v>1213</v>
      </c>
      <c r="Z506" s="98" t="s">
        <v>1561</v>
      </c>
      <c r="AB506" s="98" t="s">
        <v>1213</v>
      </c>
      <c r="AD506" s="98" t="s">
        <v>155</v>
      </c>
      <c r="AE506" s="98" t="s">
        <v>156</v>
      </c>
      <c r="AF506" s="98" t="s">
        <v>728</v>
      </c>
      <c r="AG506" s="98" t="s">
        <v>729</v>
      </c>
      <c r="AH506" s="98" t="s">
        <v>971</v>
      </c>
      <c r="AI506" s="98" t="s">
        <v>971</v>
      </c>
      <c r="AJ506" s="98" t="s">
        <v>972</v>
      </c>
      <c r="AK506" s="98" t="s">
        <v>159</v>
      </c>
      <c r="AL506" s="98" t="s">
        <v>224</v>
      </c>
      <c r="AM506" s="98" t="s">
        <v>225</v>
      </c>
      <c r="AP506" s="98" t="s">
        <v>508</v>
      </c>
      <c r="AQ506" s="98" t="s">
        <v>506</v>
      </c>
      <c r="AR506" s="98" t="s">
        <v>1479</v>
      </c>
      <c r="AS506" s="98" t="s">
        <v>1562</v>
      </c>
      <c r="AT506" s="100" t="n">
        <v>0</v>
      </c>
      <c r="AU506" s="100" t="n">
        <v>-135472.75</v>
      </c>
      <c r="AX506" s="98" t="s">
        <v>586</v>
      </c>
      <c r="AMH506" s="0"/>
      <c r="AMI506" s="0"/>
      <c r="AMJ506" s="0"/>
    </row>
    <row r="507" s="98" customFormat="true" ht="13.8" hidden="false" customHeight="false" outlineLevel="0" collapsed="false">
      <c r="A507" s="98" t="s">
        <v>142</v>
      </c>
      <c r="B507" s="98" t="s">
        <v>143</v>
      </c>
      <c r="C507" s="98" t="n">
        <v>51323124</v>
      </c>
      <c r="D507" s="98" t="s">
        <v>1563</v>
      </c>
      <c r="E507" s="98" t="s">
        <v>725</v>
      </c>
      <c r="F507" s="98" t="s">
        <v>297</v>
      </c>
      <c r="G507" s="98" t="s">
        <v>147</v>
      </c>
      <c r="H507" s="98" t="s">
        <v>168</v>
      </c>
      <c r="I507" s="99" t="n">
        <v>43641</v>
      </c>
      <c r="J507" s="99" t="n">
        <v>43703</v>
      </c>
      <c r="K507" s="100" t="n">
        <v>-44076.73</v>
      </c>
      <c r="L507" s="100" t="n">
        <f aca="false">K507-Q507+T507</f>
        <v>-37353.16</v>
      </c>
      <c r="M507" s="98" t="s">
        <v>149</v>
      </c>
      <c r="N507" s="100" t="n">
        <v>-44076.73</v>
      </c>
      <c r="O507" s="98" t="s">
        <v>149</v>
      </c>
      <c r="P507" s="100" t="n">
        <v>-44076.73</v>
      </c>
      <c r="Q507" s="100" t="n">
        <v>-6723.57</v>
      </c>
      <c r="R507" s="100" t="n">
        <v>-37353.16</v>
      </c>
      <c r="S507" s="100" t="n">
        <v>0</v>
      </c>
      <c r="T507" s="100" t="n">
        <v>0</v>
      </c>
      <c r="U507" s="98" t="s">
        <v>192</v>
      </c>
      <c r="V507" s="98" t="s">
        <v>151</v>
      </c>
      <c r="X507" s="98" t="s">
        <v>1212</v>
      </c>
      <c r="Y507" s="98" t="s">
        <v>1213</v>
      </c>
      <c r="Z507" s="98" t="s">
        <v>1564</v>
      </c>
      <c r="AB507" s="98" t="s">
        <v>1213</v>
      </c>
      <c r="AD507" s="98" t="s">
        <v>155</v>
      </c>
      <c r="AE507" s="98" t="s">
        <v>156</v>
      </c>
      <c r="AF507" s="98" t="s">
        <v>728</v>
      </c>
      <c r="AG507" s="98" t="s">
        <v>729</v>
      </c>
      <c r="AH507" s="98" t="s">
        <v>971</v>
      </c>
      <c r="AI507" s="98" t="s">
        <v>971</v>
      </c>
      <c r="AJ507" s="98" t="s">
        <v>972</v>
      </c>
      <c r="AK507" s="98" t="s">
        <v>159</v>
      </c>
      <c r="AL507" s="98" t="s">
        <v>224</v>
      </c>
      <c r="AM507" s="98" t="s">
        <v>225</v>
      </c>
      <c r="AP507" s="98" t="s">
        <v>553</v>
      </c>
      <c r="AQ507" s="98" t="s">
        <v>551</v>
      </c>
      <c r="AR507" s="98" t="s">
        <v>1479</v>
      </c>
      <c r="AS507" s="98" t="s">
        <v>1565</v>
      </c>
      <c r="AT507" s="100" t="n">
        <v>0</v>
      </c>
      <c r="AU507" s="100" t="n">
        <v>-44076.73</v>
      </c>
      <c r="AX507" s="98" t="s">
        <v>213</v>
      </c>
      <c r="AMH507" s="0"/>
      <c r="AMI507" s="0"/>
      <c r="AMJ507" s="0"/>
    </row>
    <row r="508" s="98" customFormat="true" ht="13.8" hidden="false" customHeight="false" outlineLevel="0" collapsed="false">
      <c r="A508" s="98" t="s">
        <v>142</v>
      </c>
      <c r="B508" s="98" t="s">
        <v>143</v>
      </c>
      <c r="C508" s="98" t="n">
        <v>51323124</v>
      </c>
      <c r="D508" s="98" t="s">
        <v>1563</v>
      </c>
      <c r="E508" s="98" t="s">
        <v>725</v>
      </c>
      <c r="F508" s="98" t="s">
        <v>297</v>
      </c>
      <c r="G508" s="98" t="s">
        <v>147</v>
      </c>
      <c r="H508" s="98" t="s">
        <v>168</v>
      </c>
      <c r="I508" s="99" t="n">
        <v>43641</v>
      </c>
      <c r="J508" s="99" t="n">
        <v>43703</v>
      </c>
      <c r="K508" s="100" t="n">
        <v>-44076.73</v>
      </c>
      <c r="L508" s="100" t="n">
        <f aca="false">K508-Q508+T508</f>
        <v>-37353.16</v>
      </c>
      <c r="M508" s="98" t="s">
        <v>149</v>
      </c>
      <c r="N508" s="100" t="n">
        <v>-44076.73</v>
      </c>
      <c r="O508" s="98" t="s">
        <v>149</v>
      </c>
      <c r="P508" s="100" t="n">
        <v>-44076.73</v>
      </c>
      <c r="Q508" s="100" t="n">
        <v>-6723.57</v>
      </c>
      <c r="R508" s="100" t="n">
        <v>-37353.16</v>
      </c>
      <c r="S508" s="100" t="n">
        <v>0</v>
      </c>
      <c r="T508" s="100" t="n">
        <v>0</v>
      </c>
      <c r="U508" s="98" t="s">
        <v>192</v>
      </c>
      <c r="V508" s="98" t="s">
        <v>151</v>
      </c>
      <c r="X508" s="98" t="s">
        <v>1212</v>
      </c>
      <c r="Y508" s="98" t="s">
        <v>1213</v>
      </c>
      <c r="Z508" s="98" t="s">
        <v>1564</v>
      </c>
      <c r="AB508" s="98" t="s">
        <v>1213</v>
      </c>
      <c r="AD508" s="98" t="s">
        <v>155</v>
      </c>
      <c r="AE508" s="98" t="s">
        <v>156</v>
      </c>
      <c r="AF508" s="98" t="s">
        <v>728</v>
      </c>
      <c r="AG508" s="98" t="s">
        <v>729</v>
      </c>
      <c r="AH508" s="98" t="s">
        <v>971</v>
      </c>
      <c r="AI508" s="98" t="s">
        <v>971</v>
      </c>
      <c r="AJ508" s="98" t="s">
        <v>972</v>
      </c>
      <c r="AK508" s="98" t="s">
        <v>159</v>
      </c>
      <c r="AL508" s="98" t="s">
        <v>224</v>
      </c>
      <c r="AM508" s="98" t="s">
        <v>225</v>
      </c>
      <c r="AP508" s="98" t="s">
        <v>553</v>
      </c>
      <c r="AQ508" s="98" t="s">
        <v>551</v>
      </c>
      <c r="AR508" s="98" t="s">
        <v>1479</v>
      </c>
      <c r="AS508" s="98" t="s">
        <v>1565</v>
      </c>
      <c r="AT508" s="100" t="n">
        <v>0</v>
      </c>
      <c r="AU508" s="100" t="n">
        <v>-44076.73</v>
      </c>
      <c r="AX508" s="98" t="s">
        <v>191</v>
      </c>
      <c r="AMH508" s="0"/>
      <c r="AMI508" s="0"/>
      <c r="AMJ508" s="0"/>
    </row>
    <row r="509" s="98" customFormat="true" ht="13.8" hidden="false" customHeight="false" outlineLevel="0" collapsed="false">
      <c r="A509" s="98" t="s">
        <v>142</v>
      </c>
      <c r="B509" s="98" t="s">
        <v>143</v>
      </c>
      <c r="C509" s="98" t="n">
        <v>51323124</v>
      </c>
      <c r="D509" s="98" t="s">
        <v>1563</v>
      </c>
      <c r="E509" s="98" t="s">
        <v>725</v>
      </c>
      <c r="F509" s="98" t="s">
        <v>297</v>
      </c>
      <c r="G509" s="98" t="s">
        <v>147</v>
      </c>
      <c r="H509" s="98" t="s">
        <v>168</v>
      </c>
      <c r="I509" s="99" t="n">
        <v>43641</v>
      </c>
      <c r="J509" s="99" t="n">
        <v>43703</v>
      </c>
      <c r="K509" s="100" t="n">
        <v>-44076.73</v>
      </c>
      <c r="L509" s="100" t="n">
        <f aca="false">K509-Q509+T509</f>
        <v>-37353.16</v>
      </c>
      <c r="M509" s="98" t="s">
        <v>149</v>
      </c>
      <c r="N509" s="100" t="n">
        <v>-44076.73</v>
      </c>
      <c r="O509" s="98" t="s">
        <v>149</v>
      </c>
      <c r="P509" s="100" t="n">
        <v>-44076.73</v>
      </c>
      <c r="Q509" s="100" t="n">
        <v>-6723.57</v>
      </c>
      <c r="R509" s="100" t="n">
        <v>-37353.16</v>
      </c>
      <c r="S509" s="100" t="n">
        <v>0</v>
      </c>
      <c r="T509" s="100" t="n">
        <v>0</v>
      </c>
      <c r="U509" s="98" t="s">
        <v>192</v>
      </c>
      <c r="V509" s="98" t="s">
        <v>151</v>
      </c>
      <c r="X509" s="98" t="s">
        <v>1212</v>
      </c>
      <c r="Y509" s="98" t="s">
        <v>1213</v>
      </c>
      <c r="Z509" s="98" t="s">
        <v>1564</v>
      </c>
      <c r="AB509" s="98" t="s">
        <v>1213</v>
      </c>
      <c r="AD509" s="98" t="s">
        <v>155</v>
      </c>
      <c r="AE509" s="98" t="s">
        <v>156</v>
      </c>
      <c r="AF509" s="98" t="s">
        <v>728</v>
      </c>
      <c r="AG509" s="98" t="s">
        <v>729</v>
      </c>
      <c r="AH509" s="98" t="s">
        <v>971</v>
      </c>
      <c r="AI509" s="98" t="s">
        <v>971</v>
      </c>
      <c r="AJ509" s="98" t="s">
        <v>972</v>
      </c>
      <c r="AK509" s="98" t="s">
        <v>159</v>
      </c>
      <c r="AL509" s="98" t="s">
        <v>224</v>
      </c>
      <c r="AM509" s="98" t="s">
        <v>225</v>
      </c>
      <c r="AP509" s="98" t="s">
        <v>553</v>
      </c>
      <c r="AQ509" s="98" t="s">
        <v>551</v>
      </c>
      <c r="AR509" s="98" t="s">
        <v>1479</v>
      </c>
      <c r="AS509" s="98" t="s">
        <v>1565</v>
      </c>
      <c r="AT509" s="100" t="n">
        <v>0</v>
      </c>
      <c r="AU509" s="100" t="n">
        <v>-44076.73</v>
      </c>
      <c r="AX509" s="98" t="s">
        <v>200</v>
      </c>
      <c r="AMH509" s="0"/>
      <c r="AMI509" s="0"/>
      <c r="AMJ509" s="0"/>
    </row>
    <row r="510" s="98" customFormat="true" ht="13.8" hidden="false" customHeight="false" outlineLevel="0" collapsed="false">
      <c r="A510" s="98" t="s">
        <v>142</v>
      </c>
      <c r="B510" s="98" t="s">
        <v>143</v>
      </c>
      <c r="C510" s="98" t="n">
        <v>51323124</v>
      </c>
      <c r="D510" s="98" t="s">
        <v>1563</v>
      </c>
      <c r="E510" s="98" t="s">
        <v>725</v>
      </c>
      <c r="F510" s="98" t="s">
        <v>297</v>
      </c>
      <c r="G510" s="98" t="s">
        <v>147</v>
      </c>
      <c r="H510" s="98" t="s">
        <v>168</v>
      </c>
      <c r="I510" s="99" t="n">
        <v>43641</v>
      </c>
      <c r="J510" s="99" t="n">
        <v>43703</v>
      </c>
      <c r="K510" s="100" t="n">
        <v>-749304.43</v>
      </c>
      <c r="L510" s="100" t="n">
        <f aca="false">K510-Q510+T510</f>
        <v>-635003.76</v>
      </c>
      <c r="M510" s="98" t="s">
        <v>149</v>
      </c>
      <c r="N510" s="100" t="n">
        <v>-749304.43</v>
      </c>
      <c r="O510" s="98" t="s">
        <v>149</v>
      </c>
      <c r="P510" s="100" t="n">
        <v>-749304.43</v>
      </c>
      <c r="Q510" s="100" t="n">
        <v>-114300.67</v>
      </c>
      <c r="R510" s="100" t="n">
        <v>-635003.76</v>
      </c>
      <c r="S510" s="100" t="n">
        <v>0</v>
      </c>
      <c r="T510" s="100" t="n">
        <v>0</v>
      </c>
      <c r="U510" s="98" t="s">
        <v>192</v>
      </c>
      <c r="V510" s="98" t="s">
        <v>151</v>
      </c>
      <c r="X510" s="98" t="s">
        <v>1212</v>
      </c>
      <c r="Y510" s="98" t="s">
        <v>1213</v>
      </c>
      <c r="Z510" s="98" t="s">
        <v>1564</v>
      </c>
      <c r="AB510" s="98" t="s">
        <v>1213</v>
      </c>
      <c r="AD510" s="98" t="s">
        <v>155</v>
      </c>
      <c r="AE510" s="98" t="s">
        <v>156</v>
      </c>
      <c r="AF510" s="98" t="s">
        <v>728</v>
      </c>
      <c r="AG510" s="98" t="s">
        <v>729</v>
      </c>
      <c r="AH510" s="98" t="s">
        <v>971</v>
      </c>
      <c r="AI510" s="98" t="s">
        <v>971</v>
      </c>
      <c r="AJ510" s="98" t="s">
        <v>972</v>
      </c>
      <c r="AK510" s="98" t="s">
        <v>159</v>
      </c>
      <c r="AL510" s="98" t="s">
        <v>224</v>
      </c>
      <c r="AM510" s="98" t="s">
        <v>225</v>
      </c>
      <c r="AP510" s="98" t="s">
        <v>508</v>
      </c>
      <c r="AQ510" s="98" t="s">
        <v>506</v>
      </c>
      <c r="AR510" s="98" t="s">
        <v>1479</v>
      </c>
      <c r="AS510" s="98" t="s">
        <v>1565</v>
      </c>
      <c r="AT510" s="100" t="n">
        <v>0</v>
      </c>
      <c r="AU510" s="100" t="n">
        <v>-749304.43</v>
      </c>
      <c r="AX510" s="98" t="s">
        <v>586</v>
      </c>
      <c r="AMH510" s="0"/>
      <c r="AMI510" s="0"/>
      <c r="AMJ510" s="0"/>
    </row>
    <row r="511" s="98" customFormat="true" ht="13.8" hidden="false" customHeight="false" outlineLevel="0" collapsed="false">
      <c r="A511" s="98" t="s">
        <v>142</v>
      </c>
      <c r="B511" s="98" t="s">
        <v>143</v>
      </c>
      <c r="C511" s="98" t="n">
        <v>51724962</v>
      </c>
      <c r="D511" s="98" t="s">
        <v>1566</v>
      </c>
      <c r="E511" s="98" t="s">
        <v>725</v>
      </c>
      <c r="F511" s="98" t="s">
        <v>167</v>
      </c>
      <c r="G511" s="98" t="s">
        <v>147</v>
      </c>
      <c r="H511" s="98" t="s">
        <v>213</v>
      </c>
      <c r="I511" s="104" t="n">
        <v>43827</v>
      </c>
      <c r="J511" s="99" t="n">
        <v>43894</v>
      </c>
      <c r="K511" s="100" t="n">
        <v>-600451.7</v>
      </c>
      <c r="L511" s="100" t="n">
        <f aca="false">K511-Q511+T511</f>
        <v>-511133.54</v>
      </c>
      <c r="M511" s="98" t="s">
        <v>149</v>
      </c>
      <c r="N511" s="100" t="n">
        <v>-600451.7</v>
      </c>
      <c r="O511" s="98" t="s">
        <v>149</v>
      </c>
      <c r="P511" s="100" t="n">
        <v>-610804.7</v>
      </c>
      <c r="Q511" s="100" t="n">
        <v>-99672.23</v>
      </c>
      <c r="R511" s="100" t="n">
        <v>-600451.7</v>
      </c>
      <c r="S511" s="100" t="n">
        <v>-504691.2</v>
      </c>
      <c r="T511" s="100" t="n">
        <v>-10354.07</v>
      </c>
      <c r="U511" s="98" t="s">
        <v>150</v>
      </c>
      <c r="V511" s="98" t="s">
        <v>151</v>
      </c>
      <c r="Y511" s="98" t="s">
        <v>1567</v>
      </c>
      <c r="Z511" s="98" t="s">
        <v>1568</v>
      </c>
      <c r="AB511" s="98" t="s">
        <v>1567</v>
      </c>
      <c r="AD511" s="98" t="s">
        <v>155</v>
      </c>
      <c r="AE511" s="98" t="s">
        <v>156</v>
      </c>
      <c r="AF511" s="98" t="s">
        <v>747</v>
      </c>
      <c r="AG511" s="98" t="s">
        <v>748</v>
      </c>
      <c r="AH511" s="98" t="s">
        <v>971</v>
      </c>
      <c r="AI511" s="98" t="s">
        <v>971</v>
      </c>
      <c r="AJ511" s="98" t="s">
        <v>972</v>
      </c>
      <c r="AK511" s="98" t="s">
        <v>159</v>
      </c>
      <c r="AL511" s="98" t="s">
        <v>224</v>
      </c>
      <c r="AM511" s="98" t="s">
        <v>225</v>
      </c>
      <c r="AP511" s="98" t="s">
        <v>722</v>
      </c>
      <c r="AQ511" s="98" t="s">
        <v>720</v>
      </c>
      <c r="AR511" s="98" t="s">
        <v>1569</v>
      </c>
      <c r="AS511" s="98" t="s">
        <v>1570</v>
      </c>
      <c r="AT511" s="100" t="n">
        <v>0</v>
      </c>
      <c r="AU511" s="100" t="n">
        <v>-600451.7</v>
      </c>
      <c r="AX511" s="98" t="s">
        <v>220</v>
      </c>
      <c r="AMH511" s="0"/>
      <c r="AMI511" s="0"/>
      <c r="AMJ511" s="0"/>
    </row>
    <row r="512" s="98" customFormat="true" ht="13.8" hidden="false" customHeight="false" outlineLevel="0" collapsed="false">
      <c r="A512" s="98" t="s">
        <v>142</v>
      </c>
      <c r="B512" s="98" t="s">
        <v>143</v>
      </c>
      <c r="C512" s="98" t="n">
        <v>51724962</v>
      </c>
      <c r="D512" s="98" t="s">
        <v>1566</v>
      </c>
      <c r="E512" s="98" t="s">
        <v>725</v>
      </c>
      <c r="F512" s="98" t="s">
        <v>167</v>
      </c>
      <c r="G512" s="98" t="s">
        <v>147</v>
      </c>
      <c r="H512" s="98" t="s">
        <v>213</v>
      </c>
      <c r="I512" s="104" t="n">
        <v>43827</v>
      </c>
      <c r="J512" s="99" t="n">
        <v>43894</v>
      </c>
      <c r="K512" s="100" t="n">
        <v>-15800.81</v>
      </c>
      <c r="L512" s="100" t="n">
        <f aca="false">K512-Q512+T512</f>
        <v>-16073.28</v>
      </c>
      <c r="M512" s="98" t="s">
        <v>149</v>
      </c>
      <c r="N512" s="100" t="n">
        <v>-15800.81</v>
      </c>
      <c r="O512" s="98" t="s">
        <v>149</v>
      </c>
      <c r="P512" s="100" t="n">
        <v>-16073.81</v>
      </c>
      <c r="Q512" s="100"/>
      <c r="R512" s="100" t="n">
        <v>-15800.81</v>
      </c>
      <c r="S512" s="100" t="n">
        <v>-13280.88</v>
      </c>
      <c r="T512" s="100" t="n">
        <v>-272.47</v>
      </c>
      <c r="U512" s="98" t="s">
        <v>150</v>
      </c>
      <c r="V512" s="98" t="s">
        <v>151</v>
      </c>
      <c r="Y512" s="98" t="s">
        <v>1567</v>
      </c>
      <c r="Z512" s="98" t="s">
        <v>1568</v>
      </c>
      <c r="AB512" s="98" t="s">
        <v>1567</v>
      </c>
      <c r="AD512" s="98" t="s">
        <v>155</v>
      </c>
      <c r="AE512" s="98" t="s">
        <v>156</v>
      </c>
      <c r="AF512" s="98" t="s">
        <v>747</v>
      </c>
      <c r="AG512" s="98" t="s">
        <v>748</v>
      </c>
      <c r="AH512" s="98" t="s">
        <v>971</v>
      </c>
      <c r="AI512" s="98" t="s">
        <v>971</v>
      </c>
      <c r="AJ512" s="98" t="s">
        <v>972</v>
      </c>
      <c r="AK512" s="98" t="s">
        <v>159</v>
      </c>
      <c r="AL512" s="98" t="s">
        <v>224</v>
      </c>
      <c r="AM512" s="98" t="s">
        <v>225</v>
      </c>
      <c r="AR512" s="98" t="s">
        <v>1569</v>
      </c>
      <c r="AS512" s="98" t="s">
        <v>1570</v>
      </c>
      <c r="AT512" s="100" t="n">
        <v>0</v>
      </c>
      <c r="AU512" s="100" t="n">
        <v>-15800.81</v>
      </c>
      <c r="AX512" s="98" t="s">
        <v>402</v>
      </c>
      <c r="AMH512" s="0"/>
      <c r="AMI512" s="0"/>
      <c r="AMJ512" s="0"/>
    </row>
    <row r="513" s="98" customFormat="true" ht="13.8" hidden="false" customHeight="false" outlineLevel="0" collapsed="false">
      <c r="A513" s="98" t="s">
        <v>142</v>
      </c>
      <c r="B513" s="98" t="s">
        <v>143</v>
      </c>
      <c r="C513" s="98" t="n">
        <v>51724962</v>
      </c>
      <c r="D513" s="98" t="s">
        <v>1566</v>
      </c>
      <c r="E513" s="98" t="s">
        <v>725</v>
      </c>
      <c r="F513" s="98" t="s">
        <v>167</v>
      </c>
      <c r="G513" s="98" t="s">
        <v>147</v>
      </c>
      <c r="H513" s="98" t="s">
        <v>213</v>
      </c>
      <c r="I513" s="104" t="n">
        <v>43827</v>
      </c>
      <c r="J513" s="99" t="n">
        <v>43894</v>
      </c>
      <c r="K513" s="100" t="n">
        <v>-15800.81</v>
      </c>
      <c r="L513" s="100" t="n">
        <f aca="false">K513-Q513+T513</f>
        <v>-16073.28</v>
      </c>
      <c r="M513" s="98" t="s">
        <v>149</v>
      </c>
      <c r="N513" s="100" t="n">
        <v>-15800.81</v>
      </c>
      <c r="O513" s="98" t="s">
        <v>149</v>
      </c>
      <c r="P513" s="100" t="n">
        <v>-16073.81</v>
      </c>
      <c r="Q513" s="100"/>
      <c r="R513" s="100" t="n">
        <v>-15800.81</v>
      </c>
      <c r="S513" s="100" t="n">
        <v>-13280.88</v>
      </c>
      <c r="T513" s="100" t="n">
        <v>-272.47</v>
      </c>
      <c r="U513" s="98" t="s">
        <v>150</v>
      </c>
      <c r="V513" s="98" t="s">
        <v>151</v>
      </c>
      <c r="Y513" s="98" t="s">
        <v>1567</v>
      </c>
      <c r="Z513" s="98" t="s">
        <v>1568</v>
      </c>
      <c r="AB513" s="98" t="s">
        <v>1567</v>
      </c>
      <c r="AD513" s="98" t="s">
        <v>155</v>
      </c>
      <c r="AE513" s="98" t="s">
        <v>156</v>
      </c>
      <c r="AF513" s="98" t="s">
        <v>747</v>
      </c>
      <c r="AG513" s="98" t="s">
        <v>748</v>
      </c>
      <c r="AH513" s="98" t="s">
        <v>971</v>
      </c>
      <c r="AI513" s="98" t="s">
        <v>971</v>
      </c>
      <c r="AJ513" s="98" t="s">
        <v>972</v>
      </c>
      <c r="AK513" s="98" t="s">
        <v>159</v>
      </c>
      <c r="AL513" s="98" t="s">
        <v>224</v>
      </c>
      <c r="AM513" s="98" t="s">
        <v>225</v>
      </c>
      <c r="AR513" s="98" t="s">
        <v>1569</v>
      </c>
      <c r="AS513" s="98" t="s">
        <v>1570</v>
      </c>
      <c r="AT513" s="100" t="n">
        <v>0</v>
      </c>
      <c r="AU513" s="100" t="n">
        <v>-15800.81</v>
      </c>
      <c r="AX513" s="98" t="s">
        <v>148</v>
      </c>
      <c r="AMH513" s="0"/>
      <c r="AMI513" s="0"/>
      <c r="AMJ513" s="0"/>
    </row>
    <row r="514" s="98" customFormat="true" ht="13.8" hidden="false" customHeight="false" outlineLevel="0" collapsed="false">
      <c r="A514" s="98" t="s">
        <v>142</v>
      </c>
      <c r="B514" s="98" t="s">
        <v>143</v>
      </c>
      <c r="C514" s="98" t="n">
        <v>51322731</v>
      </c>
      <c r="D514" s="98" t="s">
        <v>1571</v>
      </c>
      <c r="E514" s="98" t="s">
        <v>725</v>
      </c>
      <c r="F514" s="98" t="s">
        <v>297</v>
      </c>
      <c r="G514" s="98" t="s">
        <v>147</v>
      </c>
      <c r="H514" s="98" t="s">
        <v>168</v>
      </c>
      <c r="I514" s="99" t="n">
        <v>43635</v>
      </c>
      <c r="J514" s="99" t="n">
        <v>43703</v>
      </c>
      <c r="K514" s="100" t="n">
        <v>-41108.97</v>
      </c>
      <c r="L514" s="100" t="n">
        <f aca="false">K514-Q514+T514</f>
        <v>-34838.11</v>
      </c>
      <c r="M514" s="98" t="s">
        <v>149</v>
      </c>
      <c r="N514" s="100" t="n">
        <v>-41108.97</v>
      </c>
      <c r="O514" s="98" t="s">
        <v>149</v>
      </c>
      <c r="P514" s="100" t="n">
        <v>-41108.97</v>
      </c>
      <c r="Q514" s="100" t="n">
        <v>-6270.86</v>
      </c>
      <c r="R514" s="100" t="n">
        <v>-34838.11</v>
      </c>
      <c r="S514" s="100" t="n">
        <v>0</v>
      </c>
      <c r="T514" s="100" t="n">
        <v>0</v>
      </c>
      <c r="U514" s="98" t="s">
        <v>192</v>
      </c>
      <c r="V514" s="98" t="s">
        <v>151</v>
      </c>
      <c r="X514" s="98" t="s">
        <v>1212</v>
      </c>
      <c r="Y514" s="98" t="s">
        <v>1213</v>
      </c>
      <c r="Z514" s="98" t="s">
        <v>1572</v>
      </c>
      <c r="AB514" s="98" t="s">
        <v>1213</v>
      </c>
      <c r="AD514" s="98" t="s">
        <v>155</v>
      </c>
      <c r="AE514" s="98" t="s">
        <v>156</v>
      </c>
      <c r="AF514" s="98" t="s">
        <v>728</v>
      </c>
      <c r="AG514" s="98" t="s">
        <v>729</v>
      </c>
      <c r="AH514" s="98" t="s">
        <v>971</v>
      </c>
      <c r="AI514" s="98" t="s">
        <v>971</v>
      </c>
      <c r="AJ514" s="98" t="s">
        <v>972</v>
      </c>
      <c r="AK514" s="98" t="s">
        <v>159</v>
      </c>
      <c r="AL514" s="98" t="s">
        <v>224</v>
      </c>
      <c r="AM514" s="98" t="s">
        <v>225</v>
      </c>
      <c r="AP514" s="98" t="s">
        <v>553</v>
      </c>
      <c r="AQ514" s="98" t="s">
        <v>551</v>
      </c>
      <c r="AR514" s="98" t="s">
        <v>1479</v>
      </c>
      <c r="AS514" s="98" t="s">
        <v>1573</v>
      </c>
      <c r="AT514" s="100" t="n">
        <v>0</v>
      </c>
      <c r="AU514" s="100" t="n">
        <v>-41108.97</v>
      </c>
      <c r="AX514" s="98" t="s">
        <v>191</v>
      </c>
      <c r="AMH514" s="0"/>
      <c r="AMI514" s="0"/>
      <c r="AMJ514" s="0"/>
    </row>
    <row r="515" s="98" customFormat="true" ht="13.8" hidden="false" customHeight="false" outlineLevel="0" collapsed="false">
      <c r="A515" s="98" t="s">
        <v>142</v>
      </c>
      <c r="B515" s="98" t="s">
        <v>143</v>
      </c>
      <c r="C515" s="98" t="n">
        <v>51322731</v>
      </c>
      <c r="D515" s="98" t="s">
        <v>1571</v>
      </c>
      <c r="E515" s="98" t="s">
        <v>725</v>
      </c>
      <c r="F515" s="98" t="s">
        <v>297</v>
      </c>
      <c r="G515" s="98" t="s">
        <v>147</v>
      </c>
      <c r="H515" s="98" t="s">
        <v>168</v>
      </c>
      <c r="I515" s="99" t="n">
        <v>43635</v>
      </c>
      <c r="J515" s="99" t="n">
        <v>43703</v>
      </c>
      <c r="K515" s="100" t="n">
        <v>-698852.51</v>
      </c>
      <c r="L515" s="100" t="n">
        <f aca="false">K515-Q515+T515</f>
        <v>-592247.89</v>
      </c>
      <c r="M515" s="98" t="s">
        <v>149</v>
      </c>
      <c r="N515" s="100" t="n">
        <v>-698852.51</v>
      </c>
      <c r="O515" s="98" t="s">
        <v>149</v>
      </c>
      <c r="P515" s="100" t="n">
        <v>-698852.51</v>
      </c>
      <c r="Q515" s="100" t="n">
        <v>-106604.62</v>
      </c>
      <c r="R515" s="100" t="n">
        <v>-592247.89</v>
      </c>
      <c r="S515" s="100" t="n">
        <v>0</v>
      </c>
      <c r="T515" s="100" t="n">
        <v>0</v>
      </c>
      <c r="U515" s="98" t="s">
        <v>192</v>
      </c>
      <c r="V515" s="98" t="s">
        <v>151</v>
      </c>
      <c r="X515" s="98" t="s">
        <v>1212</v>
      </c>
      <c r="Y515" s="98" t="s">
        <v>1213</v>
      </c>
      <c r="Z515" s="98" t="s">
        <v>1572</v>
      </c>
      <c r="AB515" s="98" t="s">
        <v>1213</v>
      </c>
      <c r="AD515" s="98" t="s">
        <v>155</v>
      </c>
      <c r="AE515" s="98" t="s">
        <v>156</v>
      </c>
      <c r="AF515" s="98" t="s">
        <v>728</v>
      </c>
      <c r="AG515" s="98" t="s">
        <v>729</v>
      </c>
      <c r="AH515" s="98" t="s">
        <v>971</v>
      </c>
      <c r="AI515" s="98" t="s">
        <v>971</v>
      </c>
      <c r="AJ515" s="98" t="s">
        <v>972</v>
      </c>
      <c r="AK515" s="98" t="s">
        <v>159</v>
      </c>
      <c r="AL515" s="98" t="s">
        <v>224</v>
      </c>
      <c r="AM515" s="98" t="s">
        <v>225</v>
      </c>
      <c r="AP515" s="98" t="s">
        <v>508</v>
      </c>
      <c r="AQ515" s="98" t="s">
        <v>506</v>
      </c>
      <c r="AR515" s="98" t="s">
        <v>1479</v>
      </c>
      <c r="AS515" s="98" t="s">
        <v>1573</v>
      </c>
      <c r="AT515" s="100" t="n">
        <v>0</v>
      </c>
      <c r="AU515" s="100" t="n">
        <v>-698852.51</v>
      </c>
      <c r="AX515" s="98" t="s">
        <v>556</v>
      </c>
      <c r="AMH515" s="0"/>
      <c r="AMI515" s="0"/>
      <c r="AMJ515" s="0"/>
    </row>
    <row r="516" s="98" customFormat="true" ht="13.8" hidden="false" customHeight="false" outlineLevel="0" collapsed="false">
      <c r="A516" s="98" t="s">
        <v>142</v>
      </c>
      <c r="B516" s="98" t="s">
        <v>143</v>
      </c>
      <c r="C516" s="98" t="n">
        <v>51322731</v>
      </c>
      <c r="D516" s="98" t="s">
        <v>1571</v>
      </c>
      <c r="E516" s="98" t="s">
        <v>725</v>
      </c>
      <c r="F516" s="98" t="s">
        <v>297</v>
      </c>
      <c r="G516" s="98" t="s">
        <v>147</v>
      </c>
      <c r="H516" s="98" t="s">
        <v>168</v>
      </c>
      <c r="I516" s="99" t="n">
        <v>43635</v>
      </c>
      <c r="J516" s="99" t="n">
        <v>43703</v>
      </c>
      <c r="K516" s="100" t="n">
        <v>-41108.97</v>
      </c>
      <c r="L516" s="100" t="n">
        <f aca="false">K516-Q516+T516</f>
        <v>-34838.11</v>
      </c>
      <c r="M516" s="98" t="s">
        <v>149</v>
      </c>
      <c r="N516" s="100" t="n">
        <v>-41108.97</v>
      </c>
      <c r="O516" s="98" t="s">
        <v>149</v>
      </c>
      <c r="P516" s="100" t="n">
        <v>-41108.97</v>
      </c>
      <c r="Q516" s="100" t="n">
        <v>-6270.86</v>
      </c>
      <c r="R516" s="100" t="n">
        <v>-34838.11</v>
      </c>
      <c r="S516" s="100" t="n">
        <v>0</v>
      </c>
      <c r="T516" s="100" t="n">
        <v>0</v>
      </c>
      <c r="U516" s="98" t="s">
        <v>192</v>
      </c>
      <c r="V516" s="98" t="s">
        <v>151</v>
      </c>
      <c r="X516" s="98" t="s">
        <v>1212</v>
      </c>
      <c r="Y516" s="98" t="s">
        <v>1213</v>
      </c>
      <c r="Z516" s="98" t="s">
        <v>1572</v>
      </c>
      <c r="AB516" s="98" t="s">
        <v>1213</v>
      </c>
      <c r="AD516" s="98" t="s">
        <v>155</v>
      </c>
      <c r="AE516" s="98" t="s">
        <v>156</v>
      </c>
      <c r="AF516" s="98" t="s">
        <v>728</v>
      </c>
      <c r="AG516" s="98" t="s">
        <v>729</v>
      </c>
      <c r="AH516" s="98" t="s">
        <v>971</v>
      </c>
      <c r="AI516" s="98" t="s">
        <v>971</v>
      </c>
      <c r="AJ516" s="98" t="s">
        <v>972</v>
      </c>
      <c r="AK516" s="98" t="s">
        <v>159</v>
      </c>
      <c r="AL516" s="98" t="s">
        <v>224</v>
      </c>
      <c r="AM516" s="98" t="s">
        <v>225</v>
      </c>
      <c r="AP516" s="98" t="s">
        <v>553</v>
      </c>
      <c r="AQ516" s="98" t="s">
        <v>551</v>
      </c>
      <c r="AR516" s="98" t="s">
        <v>1479</v>
      </c>
      <c r="AS516" s="98" t="s">
        <v>1573</v>
      </c>
      <c r="AT516" s="100" t="n">
        <v>0</v>
      </c>
      <c r="AU516" s="100" t="n">
        <v>-41108.97</v>
      </c>
      <c r="AX516" s="98" t="s">
        <v>200</v>
      </c>
      <c r="AMH516" s="0"/>
      <c r="AMI516" s="0"/>
      <c r="AMJ516" s="0"/>
    </row>
    <row r="517" s="98" customFormat="true" ht="13.8" hidden="false" customHeight="false" outlineLevel="0" collapsed="false">
      <c r="A517" s="98" t="s">
        <v>142</v>
      </c>
      <c r="B517" s="98" t="s">
        <v>143</v>
      </c>
      <c r="C517" s="98" t="n">
        <v>51322731</v>
      </c>
      <c r="D517" s="98" t="s">
        <v>1571</v>
      </c>
      <c r="E517" s="98" t="s">
        <v>725</v>
      </c>
      <c r="F517" s="98" t="s">
        <v>297</v>
      </c>
      <c r="G517" s="98" t="s">
        <v>147</v>
      </c>
      <c r="H517" s="98" t="s">
        <v>168</v>
      </c>
      <c r="I517" s="99" t="n">
        <v>43635</v>
      </c>
      <c r="J517" s="99" t="n">
        <v>43703</v>
      </c>
      <c r="K517" s="100" t="n">
        <v>-41108.97</v>
      </c>
      <c r="L517" s="100" t="n">
        <f aca="false">K517-Q517+T517</f>
        <v>-34838.11</v>
      </c>
      <c r="M517" s="98" t="s">
        <v>149</v>
      </c>
      <c r="N517" s="100" t="n">
        <v>-41108.97</v>
      </c>
      <c r="O517" s="98" t="s">
        <v>149</v>
      </c>
      <c r="P517" s="100" t="n">
        <v>-41108.97</v>
      </c>
      <c r="Q517" s="100" t="n">
        <v>-6270.86</v>
      </c>
      <c r="R517" s="100" t="n">
        <v>-34838.11</v>
      </c>
      <c r="S517" s="100" t="n">
        <v>0</v>
      </c>
      <c r="T517" s="100" t="n">
        <v>0</v>
      </c>
      <c r="U517" s="98" t="s">
        <v>192</v>
      </c>
      <c r="V517" s="98" t="s">
        <v>151</v>
      </c>
      <c r="X517" s="98" t="s">
        <v>1212</v>
      </c>
      <c r="Y517" s="98" t="s">
        <v>1213</v>
      </c>
      <c r="Z517" s="98" t="s">
        <v>1572</v>
      </c>
      <c r="AB517" s="98" t="s">
        <v>1213</v>
      </c>
      <c r="AD517" s="98" t="s">
        <v>155</v>
      </c>
      <c r="AE517" s="98" t="s">
        <v>156</v>
      </c>
      <c r="AF517" s="98" t="s">
        <v>728</v>
      </c>
      <c r="AG517" s="98" t="s">
        <v>729</v>
      </c>
      <c r="AH517" s="98" t="s">
        <v>971</v>
      </c>
      <c r="AI517" s="98" t="s">
        <v>971</v>
      </c>
      <c r="AJ517" s="98" t="s">
        <v>972</v>
      </c>
      <c r="AK517" s="98" t="s">
        <v>159</v>
      </c>
      <c r="AL517" s="98" t="s">
        <v>224</v>
      </c>
      <c r="AM517" s="98" t="s">
        <v>225</v>
      </c>
      <c r="AP517" s="98" t="s">
        <v>553</v>
      </c>
      <c r="AQ517" s="98" t="s">
        <v>551</v>
      </c>
      <c r="AR517" s="98" t="s">
        <v>1479</v>
      </c>
      <c r="AS517" s="98" t="s">
        <v>1573</v>
      </c>
      <c r="AT517" s="100" t="n">
        <v>0</v>
      </c>
      <c r="AU517" s="100" t="n">
        <v>-41108.97</v>
      </c>
      <c r="AX517" s="98" t="s">
        <v>586</v>
      </c>
      <c r="AMH517" s="0"/>
      <c r="AMI517" s="0"/>
      <c r="AMJ517" s="0"/>
    </row>
    <row r="518" s="98" customFormat="true" ht="13.8" hidden="false" customHeight="false" outlineLevel="0" collapsed="false">
      <c r="A518" s="98" t="s">
        <v>142</v>
      </c>
      <c r="B518" s="98" t="s">
        <v>143</v>
      </c>
      <c r="C518" s="98" t="n">
        <v>51777440</v>
      </c>
      <c r="D518" s="98" t="s">
        <v>1574</v>
      </c>
      <c r="E518" s="98" t="s">
        <v>725</v>
      </c>
      <c r="F518" s="98" t="s">
        <v>167</v>
      </c>
      <c r="G518" s="98" t="s">
        <v>147</v>
      </c>
      <c r="H518" s="98" t="s">
        <v>213</v>
      </c>
      <c r="I518" s="104" t="n">
        <v>43840</v>
      </c>
      <c r="J518" s="99" t="n">
        <v>43917</v>
      </c>
      <c r="K518" s="100" t="n">
        <v>-73727.6</v>
      </c>
      <c r="L518" s="100" t="n">
        <f aca="false">K518-Q518+T518</f>
        <v>-62481.02</v>
      </c>
      <c r="M518" s="98" t="s">
        <v>149</v>
      </c>
      <c r="N518" s="100" t="n">
        <v>-73727.6</v>
      </c>
      <c r="O518" s="98" t="s">
        <v>149</v>
      </c>
      <c r="P518" s="100" t="n">
        <v>-73727.6</v>
      </c>
      <c r="Q518" s="100" t="n">
        <v>-11246.58</v>
      </c>
      <c r="R518" s="100" t="n">
        <v>-73727.6</v>
      </c>
      <c r="S518" s="100" t="n">
        <v>0</v>
      </c>
      <c r="T518" s="100" t="n">
        <v>0</v>
      </c>
      <c r="U518" s="98" t="s">
        <v>150</v>
      </c>
      <c r="V518" s="98" t="s">
        <v>151</v>
      </c>
      <c r="Y518" s="98" t="s">
        <v>1575</v>
      </c>
      <c r="Z518" s="98" t="s">
        <v>1576</v>
      </c>
      <c r="AB518" s="98" t="s">
        <v>1575</v>
      </c>
      <c r="AD518" s="98" t="s">
        <v>155</v>
      </c>
      <c r="AE518" s="98" t="s">
        <v>156</v>
      </c>
      <c r="AF518" s="98" t="s">
        <v>728</v>
      </c>
      <c r="AG518" s="98" t="s">
        <v>729</v>
      </c>
      <c r="AH518" s="98" t="s">
        <v>730</v>
      </c>
      <c r="AI518" s="98" t="s">
        <v>730</v>
      </c>
      <c r="AJ518" s="98" t="s">
        <v>731</v>
      </c>
      <c r="AK518" s="98" t="s">
        <v>159</v>
      </c>
      <c r="AL518" s="98" t="s">
        <v>224</v>
      </c>
      <c r="AM518" s="98" t="s">
        <v>225</v>
      </c>
      <c r="AR518" s="98" t="s">
        <v>1577</v>
      </c>
      <c r="AS518" s="98" t="s">
        <v>1578</v>
      </c>
      <c r="AT518" s="100" t="n">
        <v>0</v>
      </c>
      <c r="AU518" s="100" t="n">
        <v>-73727.6</v>
      </c>
      <c r="AX518" s="98" t="s">
        <v>165</v>
      </c>
      <c r="AMH518" s="0"/>
      <c r="AMI518" s="0"/>
      <c r="AMJ518" s="0"/>
    </row>
    <row r="519" s="98" customFormat="true" ht="13.8" hidden="false" customHeight="false" outlineLevel="0" collapsed="false">
      <c r="A519" s="98" t="s">
        <v>142</v>
      </c>
      <c r="B519" s="98" t="s">
        <v>143</v>
      </c>
      <c r="C519" s="98" t="n">
        <v>51777441</v>
      </c>
      <c r="D519" s="98" t="s">
        <v>1579</v>
      </c>
      <c r="E519" s="98" t="s">
        <v>725</v>
      </c>
      <c r="F519" s="98" t="s">
        <v>167</v>
      </c>
      <c r="G519" s="98" t="s">
        <v>147</v>
      </c>
      <c r="H519" s="98" t="s">
        <v>213</v>
      </c>
      <c r="I519" s="104" t="n">
        <v>43840</v>
      </c>
      <c r="J519" s="99" t="n">
        <v>43917</v>
      </c>
      <c r="K519" s="100" t="n">
        <v>-76348.45</v>
      </c>
      <c r="L519" s="100" t="n">
        <f aca="false">K519-Q519+T519</f>
        <v>-64702.08</v>
      </c>
      <c r="M519" s="98" t="s">
        <v>149</v>
      </c>
      <c r="N519" s="100" t="n">
        <v>-76348.45</v>
      </c>
      <c r="O519" s="98" t="s">
        <v>149</v>
      </c>
      <c r="P519" s="100" t="n">
        <v>-76348.45</v>
      </c>
      <c r="Q519" s="100" t="n">
        <v>-11646.37</v>
      </c>
      <c r="R519" s="100" t="n">
        <v>-76348.45</v>
      </c>
      <c r="S519" s="100" t="n">
        <v>0</v>
      </c>
      <c r="T519" s="100" t="n">
        <v>0</v>
      </c>
      <c r="U519" s="98" t="s">
        <v>150</v>
      </c>
      <c r="V519" s="98" t="s">
        <v>151</v>
      </c>
      <c r="Y519" s="98" t="s">
        <v>1575</v>
      </c>
      <c r="Z519" s="98" t="s">
        <v>1580</v>
      </c>
      <c r="AB519" s="98" t="s">
        <v>1575</v>
      </c>
      <c r="AD519" s="98" t="s">
        <v>155</v>
      </c>
      <c r="AE519" s="98" t="s">
        <v>156</v>
      </c>
      <c r="AF519" s="98" t="s">
        <v>728</v>
      </c>
      <c r="AG519" s="98" t="s">
        <v>729</v>
      </c>
      <c r="AH519" s="98" t="s">
        <v>730</v>
      </c>
      <c r="AI519" s="98" t="s">
        <v>730</v>
      </c>
      <c r="AJ519" s="98" t="s">
        <v>731</v>
      </c>
      <c r="AK519" s="98" t="s">
        <v>159</v>
      </c>
      <c r="AL519" s="98" t="s">
        <v>224</v>
      </c>
      <c r="AM519" s="98" t="s">
        <v>225</v>
      </c>
      <c r="AR519" s="98" t="s">
        <v>1577</v>
      </c>
      <c r="AS519" s="98" t="s">
        <v>1581</v>
      </c>
      <c r="AT519" s="100" t="n">
        <v>0</v>
      </c>
      <c r="AU519" s="100" t="n">
        <v>-76348.45</v>
      </c>
      <c r="AX519" s="98" t="s">
        <v>165</v>
      </c>
      <c r="AMH519" s="0"/>
      <c r="AMI519" s="0"/>
      <c r="AMJ519" s="0"/>
    </row>
    <row r="520" s="98" customFormat="true" ht="13.8" hidden="false" customHeight="false" outlineLevel="0" collapsed="false">
      <c r="A520" s="98" t="s">
        <v>142</v>
      </c>
      <c r="B520" s="98" t="s">
        <v>143</v>
      </c>
      <c r="C520" s="98" t="n">
        <v>51777442</v>
      </c>
      <c r="D520" s="98" t="s">
        <v>1582</v>
      </c>
      <c r="E520" s="98" t="s">
        <v>725</v>
      </c>
      <c r="F520" s="98" t="s">
        <v>167</v>
      </c>
      <c r="G520" s="98" t="s">
        <v>147</v>
      </c>
      <c r="H520" s="98" t="s">
        <v>213</v>
      </c>
      <c r="I520" s="104" t="n">
        <v>43840</v>
      </c>
      <c r="J520" s="99" t="n">
        <v>43917</v>
      </c>
      <c r="K520" s="100" t="n">
        <v>-13502.53</v>
      </c>
      <c r="L520" s="100" t="n">
        <f aca="false">K520-Q520+T520</f>
        <v>-11442.82</v>
      </c>
      <c r="M520" s="98" t="s">
        <v>149</v>
      </c>
      <c r="N520" s="100" t="n">
        <v>-13502.53</v>
      </c>
      <c r="O520" s="98" t="s">
        <v>149</v>
      </c>
      <c r="P520" s="100" t="n">
        <v>-13502.53</v>
      </c>
      <c r="Q520" s="100" t="n">
        <v>-2059.71</v>
      </c>
      <c r="R520" s="100" t="n">
        <v>-13502.53</v>
      </c>
      <c r="S520" s="100" t="n">
        <v>0</v>
      </c>
      <c r="T520" s="100" t="n">
        <v>0</v>
      </c>
      <c r="U520" s="98" t="s">
        <v>150</v>
      </c>
      <c r="V520" s="98" t="s">
        <v>151</v>
      </c>
      <c r="Y520" s="98" t="s">
        <v>1575</v>
      </c>
      <c r="Z520" s="98" t="s">
        <v>1583</v>
      </c>
      <c r="AB520" s="98" t="s">
        <v>1575</v>
      </c>
      <c r="AD520" s="98" t="s">
        <v>155</v>
      </c>
      <c r="AE520" s="98" t="s">
        <v>156</v>
      </c>
      <c r="AF520" s="98" t="s">
        <v>728</v>
      </c>
      <c r="AG520" s="98" t="s">
        <v>729</v>
      </c>
      <c r="AH520" s="98" t="s">
        <v>730</v>
      </c>
      <c r="AI520" s="98" t="s">
        <v>730</v>
      </c>
      <c r="AJ520" s="98" t="s">
        <v>731</v>
      </c>
      <c r="AK520" s="98" t="s">
        <v>159</v>
      </c>
      <c r="AL520" s="98" t="s">
        <v>224</v>
      </c>
      <c r="AM520" s="98" t="s">
        <v>225</v>
      </c>
      <c r="AR520" s="98" t="s">
        <v>1577</v>
      </c>
      <c r="AS520" s="98" t="s">
        <v>1584</v>
      </c>
      <c r="AT520" s="100" t="n">
        <v>0</v>
      </c>
      <c r="AU520" s="100" t="n">
        <v>-13502.53</v>
      </c>
      <c r="AX520" s="98" t="s">
        <v>165</v>
      </c>
      <c r="AMH520" s="0"/>
      <c r="AMI520" s="0"/>
      <c r="AMJ520" s="0"/>
    </row>
    <row r="521" s="98" customFormat="true" ht="13.8" hidden="false" customHeight="false" outlineLevel="0" collapsed="false">
      <c r="A521" s="98" t="s">
        <v>142</v>
      </c>
      <c r="B521" s="98" t="s">
        <v>143</v>
      </c>
      <c r="C521" s="98" t="n">
        <v>51777443</v>
      </c>
      <c r="D521" s="98" t="s">
        <v>1585</v>
      </c>
      <c r="E521" s="98" t="s">
        <v>725</v>
      </c>
      <c r="F521" s="98" t="s">
        <v>167</v>
      </c>
      <c r="G521" s="98" t="s">
        <v>147</v>
      </c>
      <c r="H521" s="98" t="s">
        <v>213</v>
      </c>
      <c r="I521" s="104" t="n">
        <v>43840</v>
      </c>
      <c r="J521" s="99" t="n">
        <v>43917</v>
      </c>
      <c r="K521" s="100" t="n">
        <v>-11504.27</v>
      </c>
      <c r="L521" s="100" t="n">
        <f aca="false">K521-Q521+T521</f>
        <v>-9749.39</v>
      </c>
      <c r="M521" s="98" t="s">
        <v>149</v>
      </c>
      <c r="N521" s="100" t="n">
        <v>-11504.27</v>
      </c>
      <c r="O521" s="98" t="s">
        <v>149</v>
      </c>
      <c r="P521" s="100" t="n">
        <v>-11504.27</v>
      </c>
      <c r="Q521" s="100" t="n">
        <v>-1754.88</v>
      </c>
      <c r="R521" s="100" t="n">
        <v>-11504.27</v>
      </c>
      <c r="S521" s="100" t="n">
        <v>0</v>
      </c>
      <c r="T521" s="100" t="n">
        <v>0</v>
      </c>
      <c r="U521" s="98" t="s">
        <v>150</v>
      </c>
      <c r="V521" s="98" t="s">
        <v>151</v>
      </c>
      <c r="Y521" s="98" t="s">
        <v>1575</v>
      </c>
      <c r="Z521" s="98" t="s">
        <v>1586</v>
      </c>
      <c r="AB521" s="98" t="s">
        <v>1575</v>
      </c>
      <c r="AD521" s="98" t="s">
        <v>155</v>
      </c>
      <c r="AE521" s="98" t="s">
        <v>156</v>
      </c>
      <c r="AF521" s="98" t="s">
        <v>728</v>
      </c>
      <c r="AG521" s="98" t="s">
        <v>729</v>
      </c>
      <c r="AH521" s="98" t="s">
        <v>730</v>
      </c>
      <c r="AI521" s="98" t="s">
        <v>730</v>
      </c>
      <c r="AJ521" s="98" t="s">
        <v>731</v>
      </c>
      <c r="AK521" s="98" t="s">
        <v>159</v>
      </c>
      <c r="AL521" s="98" t="s">
        <v>224</v>
      </c>
      <c r="AM521" s="98" t="s">
        <v>225</v>
      </c>
      <c r="AR521" s="98" t="s">
        <v>1577</v>
      </c>
      <c r="AS521" s="98" t="s">
        <v>1587</v>
      </c>
      <c r="AT521" s="100" t="n">
        <v>0</v>
      </c>
      <c r="AU521" s="100" t="n">
        <v>-11504.27</v>
      </c>
      <c r="AX521" s="98" t="s">
        <v>165</v>
      </c>
      <c r="AMH521" s="0"/>
      <c r="AMI521" s="0"/>
      <c r="AMJ521" s="0"/>
    </row>
    <row r="522" s="98" customFormat="true" ht="13.8" hidden="false" customHeight="false" outlineLevel="0" collapsed="false">
      <c r="A522" s="98" t="s">
        <v>142</v>
      </c>
      <c r="B522" s="98" t="s">
        <v>143</v>
      </c>
      <c r="C522" s="98" t="n">
        <v>51777444</v>
      </c>
      <c r="D522" s="98" t="s">
        <v>1588</v>
      </c>
      <c r="E522" s="98" t="s">
        <v>725</v>
      </c>
      <c r="F522" s="98" t="s">
        <v>167</v>
      </c>
      <c r="G522" s="98" t="s">
        <v>147</v>
      </c>
      <c r="H522" s="98" t="s">
        <v>213</v>
      </c>
      <c r="I522" s="104" t="n">
        <v>43840</v>
      </c>
      <c r="J522" s="99" t="n">
        <v>43917</v>
      </c>
      <c r="K522" s="100" t="n">
        <v>-220950.37</v>
      </c>
      <c r="L522" s="100" t="n">
        <f aca="false">K522-Q522+T522</f>
        <v>-187246.08</v>
      </c>
      <c r="M522" s="98" t="s">
        <v>149</v>
      </c>
      <c r="N522" s="100" t="n">
        <v>-220950.37</v>
      </c>
      <c r="O522" s="98" t="s">
        <v>149</v>
      </c>
      <c r="P522" s="100" t="n">
        <v>-220950.37</v>
      </c>
      <c r="Q522" s="100" t="n">
        <v>-33704.29</v>
      </c>
      <c r="R522" s="100" t="n">
        <v>-220950.37</v>
      </c>
      <c r="S522" s="100" t="n">
        <v>0</v>
      </c>
      <c r="T522" s="100" t="n">
        <v>0</v>
      </c>
      <c r="U522" s="98" t="s">
        <v>150</v>
      </c>
      <c r="V522" s="98" t="s">
        <v>151</v>
      </c>
      <c r="Y522" s="98" t="s">
        <v>1575</v>
      </c>
      <c r="Z522" s="98" t="s">
        <v>1589</v>
      </c>
      <c r="AB522" s="98" t="s">
        <v>1575</v>
      </c>
      <c r="AD522" s="98" t="s">
        <v>155</v>
      </c>
      <c r="AE522" s="98" t="s">
        <v>156</v>
      </c>
      <c r="AF522" s="98" t="s">
        <v>728</v>
      </c>
      <c r="AG522" s="98" t="s">
        <v>729</v>
      </c>
      <c r="AH522" s="98" t="s">
        <v>730</v>
      </c>
      <c r="AI522" s="98" t="s">
        <v>730</v>
      </c>
      <c r="AJ522" s="98" t="s">
        <v>731</v>
      </c>
      <c r="AK522" s="98" t="s">
        <v>159</v>
      </c>
      <c r="AL522" s="98" t="s">
        <v>224</v>
      </c>
      <c r="AM522" s="98" t="s">
        <v>225</v>
      </c>
      <c r="AR522" s="98" t="s">
        <v>1577</v>
      </c>
      <c r="AS522" s="98" t="s">
        <v>515</v>
      </c>
      <c r="AT522" s="100" t="n">
        <v>0</v>
      </c>
      <c r="AU522" s="100" t="n">
        <v>-220950.37</v>
      </c>
      <c r="AX522" s="98" t="s">
        <v>165</v>
      </c>
      <c r="AMH522" s="0"/>
      <c r="AMI522" s="0"/>
      <c r="AMJ522" s="0"/>
    </row>
    <row r="523" s="98" customFormat="true" ht="13.8" hidden="false" customHeight="false" outlineLevel="0" collapsed="false">
      <c r="A523" s="98" t="s">
        <v>142</v>
      </c>
      <c r="B523" s="98" t="s">
        <v>143</v>
      </c>
      <c r="C523" s="98" t="n">
        <v>51777445</v>
      </c>
      <c r="D523" s="98" t="s">
        <v>1590</v>
      </c>
      <c r="E523" s="98" t="s">
        <v>725</v>
      </c>
      <c r="F523" s="98" t="s">
        <v>167</v>
      </c>
      <c r="G523" s="98" t="s">
        <v>147</v>
      </c>
      <c r="H523" s="98" t="s">
        <v>213</v>
      </c>
      <c r="I523" s="104" t="n">
        <v>43840</v>
      </c>
      <c r="J523" s="99" t="n">
        <v>43917</v>
      </c>
      <c r="K523" s="100" t="n">
        <v>-141275.57</v>
      </c>
      <c r="L523" s="100" t="n">
        <f aca="false">K523-Q523+T523</f>
        <v>-119725.06</v>
      </c>
      <c r="M523" s="98" t="s">
        <v>149</v>
      </c>
      <c r="N523" s="100" t="n">
        <v>-141275.57</v>
      </c>
      <c r="O523" s="98" t="s">
        <v>149</v>
      </c>
      <c r="P523" s="100" t="n">
        <v>-141275.57</v>
      </c>
      <c r="Q523" s="100" t="n">
        <v>-21550.51</v>
      </c>
      <c r="R523" s="100" t="n">
        <v>-141275.57</v>
      </c>
      <c r="S523" s="100" t="n">
        <v>0</v>
      </c>
      <c r="T523" s="100" t="n">
        <v>0</v>
      </c>
      <c r="U523" s="98" t="s">
        <v>150</v>
      </c>
      <c r="V523" s="98" t="s">
        <v>151</v>
      </c>
      <c r="Y523" s="98" t="s">
        <v>1575</v>
      </c>
      <c r="Z523" s="98" t="s">
        <v>1591</v>
      </c>
      <c r="AB523" s="98" t="s">
        <v>1575</v>
      </c>
      <c r="AD523" s="98" t="s">
        <v>155</v>
      </c>
      <c r="AE523" s="98" t="s">
        <v>156</v>
      </c>
      <c r="AF523" s="98" t="s">
        <v>728</v>
      </c>
      <c r="AG523" s="98" t="s">
        <v>729</v>
      </c>
      <c r="AH523" s="98" t="s">
        <v>730</v>
      </c>
      <c r="AI523" s="98" t="s">
        <v>730</v>
      </c>
      <c r="AJ523" s="98" t="s">
        <v>731</v>
      </c>
      <c r="AK523" s="98" t="s">
        <v>159</v>
      </c>
      <c r="AL523" s="98" t="s">
        <v>224</v>
      </c>
      <c r="AM523" s="98" t="s">
        <v>225</v>
      </c>
      <c r="AR523" s="98" t="s">
        <v>1577</v>
      </c>
      <c r="AS523" s="98" t="s">
        <v>1592</v>
      </c>
      <c r="AT523" s="100" t="n">
        <v>0</v>
      </c>
      <c r="AU523" s="100" t="n">
        <v>-141275.57</v>
      </c>
      <c r="AX523" s="98" t="s">
        <v>165</v>
      </c>
      <c r="AMH523" s="0"/>
      <c r="AMI523" s="0"/>
      <c r="AMJ523" s="0"/>
    </row>
    <row r="524" s="98" customFormat="true" ht="13.8" hidden="false" customHeight="false" outlineLevel="0" collapsed="false">
      <c r="A524" s="98" t="s">
        <v>142</v>
      </c>
      <c r="B524" s="98" t="s">
        <v>143</v>
      </c>
      <c r="C524" s="98" t="n">
        <v>51777446</v>
      </c>
      <c r="D524" s="98" t="s">
        <v>1593</v>
      </c>
      <c r="E524" s="98" t="s">
        <v>725</v>
      </c>
      <c r="F524" s="98" t="s">
        <v>167</v>
      </c>
      <c r="G524" s="98" t="s">
        <v>147</v>
      </c>
      <c r="H524" s="98" t="s">
        <v>213</v>
      </c>
      <c r="I524" s="104" t="n">
        <v>43840</v>
      </c>
      <c r="J524" s="99" t="n">
        <v>43917</v>
      </c>
      <c r="K524" s="100" t="n">
        <v>-248423.04</v>
      </c>
      <c r="L524" s="100" t="n">
        <f aca="false">K524-Q524+T524</f>
        <v>-210528</v>
      </c>
      <c r="M524" s="98" t="s">
        <v>149</v>
      </c>
      <c r="N524" s="100" t="n">
        <v>-248423.04</v>
      </c>
      <c r="O524" s="98" t="s">
        <v>149</v>
      </c>
      <c r="P524" s="100" t="n">
        <v>-248423.04</v>
      </c>
      <c r="Q524" s="100" t="n">
        <v>-37895.04</v>
      </c>
      <c r="R524" s="100" t="n">
        <v>-248423.04</v>
      </c>
      <c r="S524" s="100" t="n">
        <v>0</v>
      </c>
      <c r="T524" s="100" t="n">
        <v>0</v>
      </c>
      <c r="U524" s="98" t="s">
        <v>150</v>
      </c>
      <c r="V524" s="98" t="s">
        <v>151</v>
      </c>
      <c r="Y524" s="98" t="s">
        <v>1575</v>
      </c>
      <c r="Z524" s="98" t="s">
        <v>1594</v>
      </c>
      <c r="AB524" s="98" t="s">
        <v>1575</v>
      </c>
      <c r="AD524" s="98" t="s">
        <v>155</v>
      </c>
      <c r="AE524" s="98" t="s">
        <v>156</v>
      </c>
      <c r="AF524" s="98" t="s">
        <v>728</v>
      </c>
      <c r="AG524" s="98" t="s">
        <v>729</v>
      </c>
      <c r="AH524" s="98" t="s">
        <v>730</v>
      </c>
      <c r="AI524" s="98" t="s">
        <v>730</v>
      </c>
      <c r="AJ524" s="98" t="s">
        <v>731</v>
      </c>
      <c r="AK524" s="98" t="s">
        <v>159</v>
      </c>
      <c r="AL524" s="98" t="s">
        <v>224</v>
      </c>
      <c r="AM524" s="98" t="s">
        <v>225</v>
      </c>
      <c r="AR524" s="98" t="s">
        <v>1577</v>
      </c>
      <c r="AS524" s="98" t="s">
        <v>1595</v>
      </c>
      <c r="AT524" s="100" t="n">
        <v>0</v>
      </c>
      <c r="AU524" s="100" t="n">
        <v>-248423.04</v>
      </c>
      <c r="AX524" s="98" t="s">
        <v>165</v>
      </c>
      <c r="AMH524" s="0"/>
      <c r="AMI524" s="0"/>
      <c r="AMJ524" s="0"/>
    </row>
    <row r="525" s="98" customFormat="true" ht="13.8" hidden="false" customHeight="false" outlineLevel="0" collapsed="false">
      <c r="A525" s="98" t="s">
        <v>142</v>
      </c>
      <c r="B525" s="98" t="s">
        <v>143</v>
      </c>
      <c r="C525" s="98" t="n">
        <v>52022382</v>
      </c>
      <c r="D525" s="98" t="s">
        <v>1596</v>
      </c>
      <c r="E525" s="98" t="s">
        <v>1597</v>
      </c>
      <c r="F525" s="98" t="s">
        <v>167</v>
      </c>
      <c r="G525" s="98" t="s">
        <v>147</v>
      </c>
      <c r="H525" s="98" t="s">
        <v>586</v>
      </c>
      <c r="I525" s="104" t="n">
        <v>43717</v>
      </c>
      <c r="J525" s="99" t="n">
        <v>43823</v>
      </c>
      <c r="K525" s="100" t="n">
        <v>622790.55</v>
      </c>
      <c r="L525" s="100" t="n">
        <f aca="false">K525-Q525+T525</f>
        <v>531803.1</v>
      </c>
      <c r="M525" s="98" t="s">
        <v>149</v>
      </c>
      <c r="N525" s="100" t="n">
        <v>622790.55</v>
      </c>
      <c r="O525" s="98" t="s">
        <v>149</v>
      </c>
      <c r="P525" s="100" t="n">
        <v>633528.55</v>
      </c>
      <c r="Q525" s="105" t="n">
        <v>101726.26</v>
      </c>
      <c r="R525" s="100" t="n">
        <v>622790.55</v>
      </c>
      <c r="S525" s="100" t="n">
        <v>536889.29</v>
      </c>
      <c r="T525" s="100" t="n">
        <v>10738.81</v>
      </c>
      <c r="U525" s="98" t="s">
        <v>192</v>
      </c>
      <c r="V525" s="98" t="s">
        <v>151</v>
      </c>
      <c r="X525" s="98" t="s">
        <v>1598</v>
      </c>
      <c r="Y525" s="98" t="s">
        <v>1448</v>
      </c>
      <c r="Z525" s="98" t="s">
        <v>1599</v>
      </c>
      <c r="AB525" s="98" t="s">
        <v>1448</v>
      </c>
      <c r="AD525" s="98" t="s">
        <v>155</v>
      </c>
      <c r="AE525" s="98" t="s">
        <v>156</v>
      </c>
      <c r="AF525" s="98" t="s">
        <v>747</v>
      </c>
      <c r="AG525" s="98" t="s">
        <v>748</v>
      </c>
      <c r="AH525" s="98" t="s">
        <v>971</v>
      </c>
      <c r="AI525" s="98" t="s">
        <v>971</v>
      </c>
      <c r="AJ525" s="98" t="s">
        <v>972</v>
      </c>
      <c r="AK525" s="98" t="s">
        <v>159</v>
      </c>
      <c r="AL525" s="98" t="s">
        <v>160</v>
      </c>
      <c r="AM525" s="98" t="s">
        <v>161</v>
      </c>
      <c r="AP525" s="98" t="s">
        <v>1600</v>
      </c>
      <c r="AQ525" s="98" t="s">
        <v>1601</v>
      </c>
      <c r="AR525" s="98" t="s">
        <v>1601</v>
      </c>
      <c r="AS525" s="98" t="s">
        <v>1602</v>
      </c>
      <c r="AT525" s="100" t="n">
        <v>0</v>
      </c>
      <c r="AU525" s="100" t="n">
        <v>622790.55</v>
      </c>
      <c r="AX525" s="98" t="s">
        <v>200</v>
      </c>
      <c r="AMH525" s="0"/>
      <c r="AMI525" s="0"/>
      <c r="AMJ525" s="0"/>
    </row>
    <row r="526" s="98" customFormat="true" ht="13.8" hidden="false" customHeight="false" outlineLevel="0" collapsed="false">
      <c r="A526" s="98" t="s">
        <v>142</v>
      </c>
      <c r="B526" s="98" t="s">
        <v>143</v>
      </c>
      <c r="C526" s="98" t="n">
        <v>52022382</v>
      </c>
      <c r="D526" s="98" t="s">
        <v>1596</v>
      </c>
      <c r="E526" s="98" t="s">
        <v>1597</v>
      </c>
      <c r="F526" s="98" t="s">
        <v>167</v>
      </c>
      <c r="G526" s="98" t="s">
        <v>147</v>
      </c>
      <c r="H526" s="98" t="s">
        <v>586</v>
      </c>
      <c r="I526" s="104" t="n">
        <v>43717</v>
      </c>
      <c r="J526" s="99" t="n">
        <v>43823</v>
      </c>
      <c r="K526" s="100" t="n">
        <v>32777.61</v>
      </c>
      <c r="L526" s="100" t="n">
        <f aca="false">K526-Q526+T526</f>
        <v>-68383.46</v>
      </c>
      <c r="M526" s="98" t="s">
        <v>149</v>
      </c>
      <c r="N526" s="100" t="n">
        <v>32777.61</v>
      </c>
      <c r="O526" s="98" t="s">
        <v>149</v>
      </c>
      <c r="P526" s="100" t="n">
        <v>33343.61</v>
      </c>
      <c r="Q526" s="105" t="n">
        <v>101726.26</v>
      </c>
      <c r="R526" s="100" t="n">
        <v>32777.61</v>
      </c>
      <c r="S526" s="100" t="n">
        <v>28256.61</v>
      </c>
      <c r="T526" s="100" t="n">
        <v>565.19</v>
      </c>
      <c r="U526" s="98" t="s">
        <v>192</v>
      </c>
      <c r="V526" s="98" t="s">
        <v>151</v>
      </c>
      <c r="X526" s="98" t="s">
        <v>1598</v>
      </c>
      <c r="Y526" s="98" t="s">
        <v>1448</v>
      </c>
      <c r="Z526" s="98" t="s">
        <v>1599</v>
      </c>
      <c r="AB526" s="98" t="s">
        <v>1448</v>
      </c>
      <c r="AD526" s="98" t="s">
        <v>155</v>
      </c>
      <c r="AE526" s="98" t="s">
        <v>156</v>
      </c>
      <c r="AF526" s="98" t="s">
        <v>747</v>
      </c>
      <c r="AG526" s="98" t="s">
        <v>748</v>
      </c>
      <c r="AH526" s="98" t="s">
        <v>971</v>
      </c>
      <c r="AI526" s="98" t="s">
        <v>971</v>
      </c>
      <c r="AJ526" s="98" t="s">
        <v>972</v>
      </c>
      <c r="AK526" s="98" t="s">
        <v>159</v>
      </c>
      <c r="AL526" s="98" t="s">
        <v>160</v>
      </c>
      <c r="AM526" s="98" t="s">
        <v>161</v>
      </c>
      <c r="AP526" s="98" t="s">
        <v>1600</v>
      </c>
      <c r="AQ526" s="98" t="s">
        <v>1601</v>
      </c>
      <c r="AR526" s="98" t="s">
        <v>1601</v>
      </c>
      <c r="AS526" s="98" t="s">
        <v>1602</v>
      </c>
      <c r="AT526" s="100" t="n">
        <v>0</v>
      </c>
      <c r="AU526" s="100" t="n">
        <v>32777.61</v>
      </c>
      <c r="AX526" s="98" t="s">
        <v>213</v>
      </c>
      <c r="AMH526" s="0"/>
      <c r="AMI526" s="0"/>
      <c r="AMJ526" s="0"/>
    </row>
    <row r="527" s="98" customFormat="true" ht="13.8" hidden="false" customHeight="false" outlineLevel="0" collapsed="false">
      <c r="A527" s="98" t="s">
        <v>142</v>
      </c>
      <c r="B527" s="98" t="s">
        <v>143</v>
      </c>
      <c r="C527" s="98" t="n">
        <v>51208675</v>
      </c>
      <c r="D527" s="98" t="s">
        <v>1603</v>
      </c>
      <c r="E527" s="98" t="s">
        <v>725</v>
      </c>
      <c r="F527" s="98" t="s">
        <v>234</v>
      </c>
      <c r="G527" s="98" t="s">
        <v>147</v>
      </c>
      <c r="H527" s="98" t="s">
        <v>402</v>
      </c>
      <c r="I527" s="99" t="n">
        <v>43572</v>
      </c>
      <c r="J527" s="99" t="n">
        <v>43650</v>
      </c>
      <c r="K527" s="100" t="n">
        <v>-2354996.8</v>
      </c>
      <c r="L527" s="100" t="n">
        <f aca="false">K527-Q527+T527</f>
        <v>-1995760</v>
      </c>
      <c r="M527" s="98" t="s">
        <v>149</v>
      </c>
      <c r="N527" s="100" t="n">
        <v>-2354996.8</v>
      </c>
      <c r="O527" s="98" t="s">
        <v>149</v>
      </c>
      <c r="P527" s="100" t="n">
        <v>-2354996.8</v>
      </c>
      <c r="Q527" s="100" t="n">
        <v>-359236.8</v>
      </c>
      <c r="R527" s="100" t="n">
        <v>-1995760</v>
      </c>
      <c r="S527" s="100" t="n">
        <v>0</v>
      </c>
      <c r="T527" s="100" t="n">
        <v>0</v>
      </c>
      <c r="U527" s="98" t="s">
        <v>192</v>
      </c>
      <c r="V527" s="98" t="s">
        <v>151</v>
      </c>
      <c r="X527" s="98" t="s">
        <v>1604</v>
      </c>
      <c r="Y527" s="98" t="s">
        <v>1605</v>
      </c>
      <c r="Z527" s="98" t="s">
        <v>1606</v>
      </c>
      <c r="AB527" s="98" t="s">
        <v>1605</v>
      </c>
      <c r="AD527" s="98" t="s">
        <v>155</v>
      </c>
      <c r="AE527" s="98" t="s">
        <v>156</v>
      </c>
      <c r="AF527" s="98" t="s">
        <v>737</v>
      </c>
      <c r="AG527" s="98" t="s">
        <v>738</v>
      </c>
      <c r="AH527" s="98" t="s">
        <v>739</v>
      </c>
      <c r="AI527" s="98" t="s">
        <v>739</v>
      </c>
      <c r="AJ527" s="98" t="s">
        <v>740</v>
      </c>
      <c r="AK527" s="98" t="s">
        <v>159</v>
      </c>
      <c r="AL527" s="98" t="s">
        <v>224</v>
      </c>
      <c r="AM527" s="98" t="s">
        <v>225</v>
      </c>
      <c r="AP527" s="98" t="s">
        <v>464</v>
      </c>
      <c r="AQ527" s="98" t="s">
        <v>462</v>
      </c>
      <c r="AR527" s="98" t="s">
        <v>413</v>
      </c>
      <c r="AS527" s="98" t="s">
        <v>1607</v>
      </c>
      <c r="AT527" s="100" t="n">
        <v>0</v>
      </c>
      <c r="AU527" s="100" t="n">
        <v>-2354996.8</v>
      </c>
      <c r="AX527" s="98" t="s">
        <v>165</v>
      </c>
      <c r="AMH527" s="0"/>
      <c r="AMI527" s="0"/>
      <c r="AMJ527" s="0"/>
    </row>
    <row r="528" s="98" customFormat="true" ht="13.8" hidden="false" customHeight="false" outlineLevel="0" collapsed="false">
      <c r="A528" s="98" t="s">
        <v>142</v>
      </c>
      <c r="B528" s="98" t="s">
        <v>143</v>
      </c>
      <c r="C528" s="98" t="n">
        <v>51309694</v>
      </c>
      <c r="D528" s="98" t="s">
        <v>1608</v>
      </c>
      <c r="E528" s="98" t="s">
        <v>725</v>
      </c>
      <c r="F528" s="98" t="s">
        <v>511</v>
      </c>
      <c r="G528" s="98" t="s">
        <v>147</v>
      </c>
      <c r="H528" s="98" t="s">
        <v>168</v>
      </c>
      <c r="I528" s="99" t="n">
        <v>43619</v>
      </c>
      <c r="J528" s="99" t="n">
        <v>43697</v>
      </c>
      <c r="K528" s="100" t="n">
        <v>-3211488.92</v>
      </c>
      <c r="L528" s="100" t="n">
        <f aca="false">K528-Q528+T528</f>
        <v>-2721600.92</v>
      </c>
      <c r="M528" s="98" t="s">
        <v>149</v>
      </c>
      <c r="N528" s="100" t="n">
        <v>-3211488.92</v>
      </c>
      <c r="O528" s="98" t="s">
        <v>149</v>
      </c>
      <c r="P528" s="100" t="n">
        <v>-3211488.92</v>
      </c>
      <c r="Q528" s="100" t="n">
        <v>-489888</v>
      </c>
      <c r="R528" s="100" t="n">
        <v>-2721600.92</v>
      </c>
      <c r="S528" s="100" t="n">
        <v>0</v>
      </c>
      <c r="T528" s="100" t="n">
        <v>0</v>
      </c>
      <c r="U528" s="98" t="s">
        <v>192</v>
      </c>
      <c r="V528" s="98" t="s">
        <v>151</v>
      </c>
      <c r="X528" s="98" t="s">
        <v>1609</v>
      </c>
      <c r="Y528" s="98" t="s">
        <v>1610</v>
      </c>
      <c r="Z528" s="98" t="s">
        <v>1611</v>
      </c>
      <c r="AB528" s="98" t="s">
        <v>1610</v>
      </c>
      <c r="AD528" s="98" t="s">
        <v>155</v>
      </c>
      <c r="AE528" s="98" t="s">
        <v>156</v>
      </c>
      <c r="AF528" s="98" t="s">
        <v>737</v>
      </c>
      <c r="AG528" s="98" t="s">
        <v>738</v>
      </c>
      <c r="AH528" s="98" t="s">
        <v>793</v>
      </c>
      <c r="AI528" s="98" t="s">
        <v>793</v>
      </c>
      <c r="AJ528" s="98" t="s">
        <v>794</v>
      </c>
      <c r="AK528" s="98" t="s">
        <v>159</v>
      </c>
      <c r="AL528" s="98" t="s">
        <v>224</v>
      </c>
      <c r="AM528" s="98" t="s">
        <v>225</v>
      </c>
      <c r="AP528" s="98" t="s">
        <v>514</v>
      </c>
      <c r="AQ528" s="98" t="s">
        <v>512</v>
      </c>
      <c r="AR528" s="98" t="s">
        <v>487</v>
      </c>
      <c r="AS528" s="98" t="s">
        <v>1612</v>
      </c>
      <c r="AT528" s="100" t="n">
        <v>0</v>
      </c>
      <c r="AU528" s="100" t="n">
        <v>-3211488.92</v>
      </c>
      <c r="AX528" s="98" t="s">
        <v>165</v>
      </c>
      <c r="AMH528" s="0"/>
      <c r="AMI528" s="0"/>
      <c r="AMJ528" s="0"/>
    </row>
    <row r="529" s="98" customFormat="true" ht="13.8" hidden="false" customHeight="false" outlineLevel="0" collapsed="false">
      <c r="A529" s="98" t="s">
        <v>142</v>
      </c>
      <c r="B529" s="98" t="s">
        <v>143</v>
      </c>
      <c r="C529" s="98" t="n">
        <v>51310395</v>
      </c>
      <c r="D529" s="98" t="s">
        <v>1613</v>
      </c>
      <c r="E529" s="98" t="s">
        <v>725</v>
      </c>
      <c r="F529" s="98" t="s">
        <v>297</v>
      </c>
      <c r="G529" s="98" t="s">
        <v>147</v>
      </c>
      <c r="H529" s="98" t="s">
        <v>168</v>
      </c>
      <c r="I529" s="99" t="n">
        <v>43619</v>
      </c>
      <c r="J529" s="99" t="n">
        <v>43697</v>
      </c>
      <c r="K529" s="100" t="n">
        <v>-220224.47</v>
      </c>
      <c r="L529" s="100" t="n">
        <f aca="false">K529-Q529+T529</f>
        <v>-186630.47</v>
      </c>
      <c r="M529" s="98" t="s">
        <v>149</v>
      </c>
      <c r="N529" s="100" t="n">
        <v>-220224.47</v>
      </c>
      <c r="O529" s="98" t="s">
        <v>149</v>
      </c>
      <c r="P529" s="100" t="n">
        <v>-220224.47</v>
      </c>
      <c r="Q529" s="100" t="n">
        <v>-33594</v>
      </c>
      <c r="R529" s="100" t="n">
        <v>-186630.47</v>
      </c>
      <c r="S529" s="100" t="n">
        <v>0</v>
      </c>
      <c r="T529" s="100" t="n">
        <v>0</v>
      </c>
      <c r="U529" s="98" t="s">
        <v>192</v>
      </c>
      <c r="V529" s="98" t="s">
        <v>151</v>
      </c>
      <c r="X529" s="98" t="s">
        <v>1151</v>
      </c>
      <c r="Y529" s="98" t="s">
        <v>1614</v>
      </c>
      <c r="Z529" s="98" t="s">
        <v>1615</v>
      </c>
      <c r="AB529" s="98" t="s">
        <v>1614</v>
      </c>
      <c r="AD529" s="98" t="s">
        <v>155</v>
      </c>
      <c r="AE529" s="98" t="s">
        <v>156</v>
      </c>
      <c r="AF529" s="98" t="s">
        <v>737</v>
      </c>
      <c r="AG529" s="98" t="s">
        <v>738</v>
      </c>
      <c r="AH529" s="98" t="s">
        <v>739</v>
      </c>
      <c r="AI529" s="98" t="s">
        <v>739</v>
      </c>
      <c r="AJ529" s="98" t="s">
        <v>740</v>
      </c>
      <c r="AK529" s="98" t="s">
        <v>159</v>
      </c>
      <c r="AL529" s="98" t="s">
        <v>224</v>
      </c>
      <c r="AM529" s="98" t="s">
        <v>225</v>
      </c>
      <c r="AP529" s="98" t="s">
        <v>514</v>
      </c>
      <c r="AQ529" s="98" t="s">
        <v>512</v>
      </c>
      <c r="AR529" s="98" t="s">
        <v>487</v>
      </c>
      <c r="AS529" s="98" t="s">
        <v>1616</v>
      </c>
      <c r="AT529" s="100" t="n">
        <v>0</v>
      </c>
      <c r="AU529" s="100" t="n">
        <v>-220224.47</v>
      </c>
      <c r="AX529" s="98" t="s">
        <v>165</v>
      </c>
      <c r="AMH529" s="0"/>
      <c r="AMI529" s="0"/>
      <c r="AMJ529" s="0"/>
    </row>
    <row r="530" s="98" customFormat="true" ht="13.8" hidden="false" customHeight="false" outlineLevel="0" collapsed="false">
      <c r="A530" s="98" t="s">
        <v>142</v>
      </c>
      <c r="B530" s="98" t="s">
        <v>143</v>
      </c>
      <c r="C530" s="98" t="n">
        <v>51322696</v>
      </c>
      <c r="D530" s="98" t="s">
        <v>1617</v>
      </c>
      <c r="E530" s="98" t="s">
        <v>725</v>
      </c>
      <c r="F530" s="98" t="s">
        <v>297</v>
      </c>
      <c r="G530" s="98" t="s">
        <v>147</v>
      </c>
      <c r="H530" s="98" t="s">
        <v>168</v>
      </c>
      <c r="I530" s="99" t="n">
        <v>43624</v>
      </c>
      <c r="J530" s="99" t="n">
        <v>43703</v>
      </c>
      <c r="K530" s="100" t="n">
        <v>-1359398.94</v>
      </c>
      <c r="L530" s="100" t="n">
        <f aca="false">K530-Q530+T530</f>
        <v>-1152033.01</v>
      </c>
      <c r="M530" s="98" t="s">
        <v>149</v>
      </c>
      <c r="N530" s="100" t="n">
        <v>-1359398.94</v>
      </c>
      <c r="O530" s="98" t="s">
        <v>149</v>
      </c>
      <c r="P530" s="100" t="n">
        <v>-1359398.94</v>
      </c>
      <c r="Q530" s="100" t="n">
        <v>-207365.93</v>
      </c>
      <c r="R530" s="100" t="n">
        <v>-1152033.01</v>
      </c>
      <c r="S530" s="100" t="n">
        <v>0</v>
      </c>
      <c r="T530" s="100" t="n">
        <v>0</v>
      </c>
      <c r="U530" s="98" t="s">
        <v>192</v>
      </c>
      <c r="V530" s="98" t="s">
        <v>151</v>
      </c>
      <c r="X530" s="98" t="s">
        <v>1212</v>
      </c>
      <c r="Y530" s="98" t="s">
        <v>1213</v>
      </c>
      <c r="Z530" s="98" t="s">
        <v>1618</v>
      </c>
      <c r="AB530" s="98" t="s">
        <v>1213</v>
      </c>
      <c r="AD530" s="98" t="s">
        <v>155</v>
      </c>
      <c r="AE530" s="98" t="s">
        <v>156</v>
      </c>
      <c r="AF530" s="98" t="s">
        <v>728</v>
      </c>
      <c r="AG530" s="98" t="s">
        <v>729</v>
      </c>
      <c r="AH530" s="98" t="s">
        <v>971</v>
      </c>
      <c r="AI530" s="98" t="s">
        <v>971</v>
      </c>
      <c r="AJ530" s="98" t="s">
        <v>972</v>
      </c>
      <c r="AK530" s="98" t="s">
        <v>159</v>
      </c>
      <c r="AL530" s="98" t="s">
        <v>224</v>
      </c>
      <c r="AM530" s="98" t="s">
        <v>225</v>
      </c>
      <c r="AP530" s="98" t="s">
        <v>508</v>
      </c>
      <c r="AQ530" s="98" t="s">
        <v>506</v>
      </c>
      <c r="AR530" s="98" t="s">
        <v>1479</v>
      </c>
      <c r="AS530" s="98" t="s">
        <v>1619</v>
      </c>
      <c r="AT530" s="100" t="n">
        <v>0</v>
      </c>
      <c r="AU530" s="100" t="n">
        <v>-1359398.94</v>
      </c>
      <c r="AX530" s="98" t="s">
        <v>586</v>
      </c>
      <c r="AMH530" s="0"/>
      <c r="AMI530" s="0"/>
      <c r="AMJ530" s="0"/>
    </row>
    <row r="531" s="98" customFormat="true" ht="13.8" hidden="false" customHeight="false" outlineLevel="0" collapsed="false">
      <c r="A531" s="98" t="s">
        <v>142</v>
      </c>
      <c r="B531" s="98" t="s">
        <v>143</v>
      </c>
      <c r="C531" s="98" t="n">
        <v>51322696</v>
      </c>
      <c r="D531" s="98" t="s">
        <v>1617</v>
      </c>
      <c r="E531" s="98" t="s">
        <v>725</v>
      </c>
      <c r="F531" s="98" t="s">
        <v>297</v>
      </c>
      <c r="G531" s="98" t="s">
        <v>147</v>
      </c>
      <c r="H531" s="98" t="s">
        <v>168</v>
      </c>
      <c r="I531" s="99" t="n">
        <v>43624</v>
      </c>
      <c r="J531" s="99" t="n">
        <v>43703</v>
      </c>
      <c r="K531" s="100" t="n">
        <v>-79964.65</v>
      </c>
      <c r="L531" s="100" t="n">
        <f aca="false">K531-Q531+T531</f>
        <v>-67766.65</v>
      </c>
      <c r="M531" s="98" t="s">
        <v>149</v>
      </c>
      <c r="N531" s="100" t="n">
        <v>-79964.65</v>
      </c>
      <c r="O531" s="98" t="s">
        <v>149</v>
      </c>
      <c r="P531" s="100" t="n">
        <v>-79964.65</v>
      </c>
      <c r="Q531" s="100" t="n">
        <v>-12198</v>
      </c>
      <c r="R531" s="100" t="n">
        <v>-67766.65</v>
      </c>
      <c r="S531" s="100" t="n">
        <v>0</v>
      </c>
      <c r="T531" s="100" t="n">
        <v>0</v>
      </c>
      <c r="U531" s="98" t="s">
        <v>192</v>
      </c>
      <c r="V531" s="98" t="s">
        <v>151</v>
      </c>
      <c r="X531" s="98" t="s">
        <v>1212</v>
      </c>
      <c r="Y531" s="98" t="s">
        <v>1213</v>
      </c>
      <c r="Z531" s="98" t="s">
        <v>1618</v>
      </c>
      <c r="AB531" s="98" t="s">
        <v>1213</v>
      </c>
      <c r="AD531" s="98" t="s">
        <v>155</v>
      </c>
      <c r="AE531" s="98" t="s">
        <v>156</v>
      </c>
      <c r="AF531" s="98" t="s">
        <v>728</v>
      </c>
      <c r="AG531" s="98" t="s">
        <v>729</v>
      </c>
      <c r="AH531" s="98" t="s">
        <v>971</v>
      </c>
      <c r="AI531" s="98" t="s">
        <v>971</v>
      </c>
      <c r="AJ531" s="98" t="s">
        <v>972</v>
      </c>
      <c r="AK531" s="98" t="s">
        <v>159</v>
      </c>
      <c r="AL531" s="98" t="s">
        <v>224</v>
      </c>
      <c r="AM531" s="98" t="s">
        <v>225</v>
      </c>
      <c r="AP531" s="98" t="s">
        <v>553</v>
      </c>
      <c r="AQ531" s="98" t="s">
        <v>551</v>
      </c>
      <c r="AR531" s="98" t="s">
        <v>1479</v>
      </c>
      <c r="AS531" s="98" t="s">
        <v>1619</v>
      </c>
      <c r="AT531" s="100" t="n">
        <v>0</v>
      </c>
      <c r="AU531" s="100" t="n">
        <v>-79964.65</v>
      </c>
      <c r="AX531" s="98" t="s">
        <v>213</v>
      </c>
      <c r="AMH531" s="0"/>
      <c r="AMI531" s="0"/>
      <c r="AMJ531" s="0"/>
    </row>
    <row r="532" s="98" customFormat="true" ht="13.8" hidden="false" customHeight="false" outlineLevel="0" collapsed="false">
      <c r="A532" s="98" t="s">
        <v>142</v>
      </c>
      <c r="B532" s="98" t="s">
        <v>143</v>
      </c>
      <c r="C532" s="98" t="n">
        <v>51322696</v>
      </c>
      <c r="D532" s="98" t="s">
        <v>1617</v>
      </c>
      <c r="E532" s="98" t="s">
        <v>725</v>
      </c>
      <c r="F532" s="98" t="s">
        <v>297</v>
      </c>
      <c r="G532" s="98" t="s">
        <v>147</v>
      </c>
      <c r="H532" s="98" t="s">
        <v>168</v>
      </c>
      <c r="I532" s="99" t="n">
        <v>43624</v>
      </c>
      <c r="J532" s="99" t="n">
        <v>43703</v>
      </c>
      <c r="K532" s="100" t="n">
        <v>-79964.64</v>
      </c>
      <c r="L532" s="100" t="n">
        <f aca="false">K532-Q532+T532</f>
        <v>-67766.64</v>
      </c>
      <c r="M532" s="98" t="s">
        <v>149</v>
      </c>
      <c r="N532" s="100" t="n">
        <v>-79964.64</v>
      </c>
      <c r="O532" s="98" t="s">
        <v>149</v>
      </c>
      <c r="P532" s="100" t="n">
        <v>-79964.64</v>
      </c>
      <c r="Q532" s="100" t="n">
        <v>-12198</v>
      </c>
      <c r="R532" s="100" t="n">
        <v>-67766.64</v>
      </c>
      <c r="S532" s="100" t="n">
        <v>0</v>
      </c>
      <c r="T532" s="100" t="n">
        <v>0</v>
      </c>
      <c r="U532" s="98" t="s">
        <v>192</v>
      </c>
      <c r="V532" s="98" t="s">
        <v>151</v>
      </c>
      <c r="X532" s="98" t="s">
        <v>1212</v>
      </c>
      <c r="Y532" s="98" t="s">
        <v>1213</v>
      </c>
      <c r="Z532" s="98" t="s">
        <v>1618</v>
      </c>
      <c r="AB532" s="98" t="s">
        <v>1213</v>
      </c>
      <c r="AD532" s="98" t="s">
        <v>155</v>
      </c>
      <c r="AE532" s="98" t="s">
        <v>156</v>
      </c>
      <c r="AF532" s="98" t="s">
        <v>728</v>
      </c>
      <c r="AG532" s="98" t="s">
        <v>729</v>
      </c>
      <c r="AH532" s="98" t="s">
        <v>971</v>
      </c>
      <c r="AI532" s="98" t="s">
        <v>971</v>
      </c>
      <c r="AJ532" s="98" t="s">
        <v>972</v>
      </c>
      <c r="AK532" s="98" t="s">
        <v>159</v>
      </c>
      <c r="AL532" s="98" t="s">
        <v>224</v>
      </c>
      <c r="AM532" s="98" t="s">
        <v>225</v>
      </c>
      <c r="AP532" s="98" t="s">
        <v>553</v>
      </c>
      <c r="AQ532" s="98" t="s">
        <v>551</v>
      </c>
      <c r="AR532" s="98" t="s">
        <v>1479</v>
      </c>
      <c r="AS532" s="98" t="s">
        <v>1619</v>
      </c>
      <c r="AT532" s="100" t="n">
        <v>0</v>
      </c>
      <c r="AU532" s="100" t="n">
        <v>-79964.64</v>
      </c>
      <c r="AX532" s="98" t="s">
        <v>191</v>
      </c>
      <c r="AMH532" s="0"/>
      <c r="AMI532" s="0"/>
      <c r="AMJ532" s="0"/>
    </row>
    <row r="533" s="98" customFormat="true" ht="13.8" hidden="false" customHeight="false" outlineLevel="0" collapsed="false">
      <c r="A533" s="98" t="s">
        <v>142</v>
      </c>
      <c r="B533" s="98" t="s">
        <v>143</v>
      </c>
      <c r="C533" s="98" t="n">
        <v>51322696</v>
      </c>
      <c r="D533" s="98" t="s">
        <v>1617</v>
      </c>
      <c r="E533" s="98" t="s">
        <v>725</v>
      </c>
      <c r="F533" s="98" t="s">
        <v>297</v>
      </c>
      <c r="G533" s="98" t="s">
        <v>147</v>
      </c>
      <c r="H533" s="98" t="s">
        <v>168</v>
      </c>
      <c r="I533" s="99" t="n">
        <v>43624</v>
      </c>
      <c r="J533" s="99" t="n">
        <v>43703</v>
      </c>
      <c r="K533" s="100" t="n">
        <v>-79964.64</v>
      </c>
      <c r="L533" s="100" t="n">
        <f aca="false">K533-Q533+T533</f>
        <v>-67766.64</v>
      </c>
      <c r="M533" s="98" t="s">
        <v>149</v>
      </c>
      <c r="N533" s="100" t="n">
        <v>-79964.64</v>
      </c>
      <c r="O533" s="98" t="s">
        <v>149</v>
      </c>
      <c r="P533" s="100" t="n">
        <v>-79964.64</v>
      </c>
      <c r="Q533" s="100" t="n">
        <v>-12198</v>
      </c>
      <c r="R533" s="100" t="n">
        <v>-67766.64</v>
      </c>
      <c r="S533" s="100" t="n">
        <v>0</v>
      </c>
      <c r="T533" s="100" t="n">
        <v>0</v>
      </c>
      <c r="U533" s="98" t="s">
        <v>192</v>
      </c>
      <c r="V533" s="98" t="s">
        <v>151</v>
      </c>
      <c r="X533" s="98" t="s">
        <v>1212</v>
      </c>
      <c r="Y533" s="98" t="s">
        <v>1213</v>
      </c>
      <c r="Z533" s="98" t="s">
        <v>1618</v>
      </c>
      <c r="AB533" s="98" t="s">
        <v>1213</v>
      </c>
      <c r="AD533" s="98" t="s">
        <v>155</v>
      </c>
      <c r="AE533" s="98" t="s">
        <v>156</v>
      </c>
      <c r="AF533" s="98" t="s">
        <v>728</v>
      </c>
      <c r="AG533" s="98" t="s">
        <v>729</v>
      </c>
      <c r="AH533" s="98" t="s">
        <v>971</v>
      </c>
      <c r="AI533" s="98" t="s">
        <v>971</v>
      </c>
      <c r="AJ533" s="98" t="s">
        <v>972</v>
      </c>
      <c r="AK533" s="98" t="s">
        <v>159</v>
      </c>
      <c r="AL533" s="98" t="s">
        <v>224</v>
      </c>
      <c r="AM533" s="98" t="s">
        <v>225</v>
      </c>
      <c r="AP533" s="98" t="s">
        <v>553</v>
      </c>
      <c r="AQ533" s="98" t="s">
        <v>551</v>
      </c>
      <c r="AR533" s="98" t="s">
        <v>1479</v>
      </c>
      <c r="AS533" s="98" t="s">
        <v>1619</v>
      </c>
      <c r="AT533" s="100" t="n">
        <v>0</v>
      </c>
      <c r="AU533" s="100" t="n">
        <v>-79964.64</v>
      </c>
      <c r="AX533" s="98" t="s">
        <v>200</v>
      </c>
      <c r="AMH533" s="0"/>
      <c r="AMI533" s="0"/>
      <c r="AMJ533" s="0"/>
    </row>
    <row r="534" s="98" customFormat="true" ht="13.8" hidden="false" customHeight="false" outlineLevel="0" collapsed="false">
      <c r="A534" s="98" t="s">
        <v>142</v>
      </c>
      <c r="B534" s="98" t="s">
        <v>143</v>
      </c>
      <c r="C534" s="98" t="n">
        <v>51322687</v>
      </c>
      <c r="D534" s="98" t="s">
        <v>1620</v>
      </c>
      <c r="E534" s="98" t="s">
        <v>725</v>
      </c>
      <c r="F534" s="98" t="s">
        <v>297</v>
      </c>
      <c r="G534" s="98" t="s">
        <v>147</v>
      </c>
      <c r="H534" s="98" t="s">
        <v>168</v>
      </c>
      <c r="I534" s="99" t="n">
        <v>43623</v>
      </c>
      <c r="J534" s="99" t="n">
        <v>43703</v>
      </c>
      <c r="K534" s="100" t="n">
        <v>-73864.25</v>
      </c>
      <c r="L534" s="100" t="n">
        <f aca="false">K534-Q534+T534</f>
        <v>-62596.82</v>
      </c>
      <c r="M534" s="98" t="s">
        <v>149</v>
      </c>
      <c r="N534" s="100" t="n">
        <v>-73864.25</v>
      </c>
      <c r="O534" s="98" t="s">
        <v>149</v>
      </c>
      <c r="P534" s="100" t="n">
        <v>-73864.25</v>
      </c>
      <c r="Q534" s="100" t="n">
        <v>-11267.43</v>
      </c>
      <c r="R534" s="100" t="n">
        <v>-62596.82</v>
      </c>
      <c r="S534" s="100" t="n">
        <v>0</v>
      </c>
      <c r="T534" s="100" t="n">
        <v>0</v>
      </c>
      <c r="U534" s="98" t="s">
        <v>192</v>
      </c>
      <c r="V534" s="98" t="s">
        <v>151</v>
      </c>
      <c r="X534" s="98" t="s">
        <v>1212</v>
      </c>
      <c r="Y534" s="98" t="s">
        <v>1213</v>
      </c>
      <c r="Z534" s="98" t="s">
        <v>1621</v>
      </c>
      <c r="AB534" s="98" t="s">
        <v>1213</v>
      </c>
      <c r="AD534" s="98" t="s">
        <v>155</v>
      </c>
      <c r="AE534" s="98" t="s">
        <v>156</v>
      </c>
      <c r="AF534" s="98" t="s">
        <v>728</v>
      </c>
      <c r="AG534" s="98" t="s">
        <v>729</v>
      </c>
      <c r="AH534" s="98" t="s">
        <v>971</v>
      </c>
      <c r="AI534" s="98" t="s">
        <v>971</v>
      </c>
      <c r="AJ534" s="98" t="s">
        <v>972</v>
      </c>
      <c r="AK534" s="98" t="s">
        <v>159</v>
      </c>
      <c r="AL534" s="98" t="s">
        <v>224</v>
      </c>
      <c r="AM534" s="98" t="s">
        <v>225</v>
      </c>
      <c r="AP534" s="98" t="s">
        <v>553</v>
      </c>
      <c r="AQ534" s="98" t="s">
        <v>551</v>
      </c>
      <c r="AR534" s="98" t="s">
        <v>1479</v>
      </c>
      <c r="AS534" s="98" t="s">
        <v>1622</v>
      </c>
      <c r="AT534" s="100" t="n">
        <v>0</v>
      </c>
      <c r="AU534" s="100" t="n">
        <v>-73864.25</v>
      </c>
      <c r="AX534" s="98" t="s">
        <v>586</v>
      </c>
      <c r="AMH534" s="0"/>
      <c r="AMI534" s="0"/>
      <c r="AMJ534" s="0"/>
    </row>
    <row r="535" s="98" customFormat="true" ht="13.8" hidden="false" customHeight="false" outlineLevel="0" collapsed="false">
      <c r="A535" s="98" t="s">
        <v>142</v>
      </c>
      <c r="B535" s="98" t="s">
        <v>143</v>
      </c>
      <c r="C535" s="98" t="n">
        <v>51322687</v>
      </c>
      <c r="D535" s="98" t="s">
        <v>1620</v>
      </c>
      <c r="E535" s="98" t="s">
        <v>725</v>
      </c>
      <c r="F535" s="98" t="s">
        <v>297</v>
      </c>
      <c r="G535" s="98" t="s">
        <v>147</v>
      </c>
      <c r="H535" s="98" t="s">
        <v>168</v>
      </c>
      <c r="I535" s="99" t="n">
        <v>43623</v>
      </c>
      <c r="J535" s="99" t="n">
        <v>43703</v>
      </c>
      <c r="K535" s="100" t="n">
        <v>-1255692.22</v>
      </c>
      <c r="L535" s="100" t="n">
        <f aca="false">K535-Q535+T535</f>
        <v>-1064145.94</v>
      </c>
      <c r="M535" s="98" t="s">
        <v>149</v>
      </c>
      <c r="N535" s="100" t="n">
        <v>-1255692.22</v>
      </c>
      <c r="O535" s="98" t="s">
        <v>149</v>
      </c>
      <c r="P535" s="100" t="n">
        <v>-1255692.22</v>
      </c>
      <c r="Q535" s="100" t="n">
        <v>-191546.28</v>
      </c>
      <c r="R535" s="100" t="n">
        <v>-1064145.94</v>
      </c>
      <c r="S535" s="100" t="n">
        <v>0</v>
      </c>
      <c r="T535" s="100" t="n">
        <v>0</v>
      </c>
      <c r="U535" s="98" t="s">
        <v>192</v>
      </c>
      <c r="V535" s="98" t="s">
        <v>151</v>
      </c>
      <c r="X535" s="98" t="s">
        <v>1212</v>
      </c>
      <c r="Y535" s="98" t="s">
        <v>1213</v>
      </c>
      <c r="Z535" s="98" t="s">
        <v>1621</v>
      </c>
      <c r="AB535" s="98" t="s">
        <v>1213</v>
      </c>
      <c r="AD535" s="98" t="s">
        <v>155</v>
      </c>
      <c r="AE535" s="98" t="s">
        <v>156</v>
      </c>
      <c r="AF535" s="98" t="s">
        <v>728</v>
      </c>
      <c r="AG535" s="98" t="s">
        <v>729</v>
      </c>
      <c r="AH535" s="98" t="s">
        <v>971</v>
      </c>
      <c r="AI535" s="98" t="s">
        <v>971</v>
      </c>
      <c r="AJ535" s="98" t="s">
        <v>972</v>
      </c>
      <c r="AK535" s="98" t="s">
        <v>159</v>
      </c>
      <c r="AL535" s="98" t="s">
        <v>224</v>
      </c>
      <c r="AM535" s="98" t="s">
        <v>225</v>
      </c>
      <c r="AP535" s="98" t="s">
        <v>508</v>
      </c>
      <c r="AQ535" s="98" t="s">
        <v>506</v>
      </c>
      <c r="AR535" s="98" t="s">
        <v>1479</v>
      </c>
      <c r="AS535" s="98" t="s">
        <v>1622</v>
      </c>
      <c r="AT535" s="100" t="n">
        <v>0</v>
      </c>
      <c r="AU535" s="100" t="n">
        <v>-1255692.22</v>
      </c>
      <c r="AX535" s="98" t="s">
        <v>556</v>
      </c>
      <c r="AMH535" s="0"/>
      <c r="AMI535" s="0"/>
      <c r="AMJ535" s="0"/>
    </row>
    <row r="536" s="98" customFormat="true" ht="13.8" hidden="false" customHeight="false" outlineLevel="0" collapsed="false">
      <c r="A536" s="98" t="s">
        <v>142</v>
      </c>
      <c r="B536" s="98" t="s">
        <v>143</v>
      </c>
      <c r="C536" s="98" t="n">
        <v>51322687</v>
      </c>
      <c r="D536" s="98" t="s">
        <v>1620</v>
      </c>
      <c r="E536" s="98" t="s">
        <v>725</v>
      </c>
      <c r="F536" s="98" t="s">
        <v>297</v>
      </c>
      <c r="G536" s="98" t="s">
        <v>147</v>
      </c>
      <c r="H536" s="98" t="s">
        <v>168</v>
      </c>
      <c r="I536" s="99" t="n">
        <v>43623</v>
      </c>
      <c r="J536" s="99" t="n">
        <v>43703</v>
      </c>
      <c r="K536" s="100" t="n">
        <v>-73864.24</v>
      </c>
      <c r="L536" s="100" t="n">
        <f aca="false">K536-Q536+T536</f>
        <v>-62596.81</v>
      </c>
      <c r="M536" s="98" t="s">
        <v>149</v>
      </c>
      <c r="N536" s="100" t="n">
        <v>-73864.24</v>
      </c>
      <c r="O536" s="98" t="s">
        <v>149</v>
      </c>
      <c r="P536" s="100" t="n">
        <v>-73864.24</v>
      </c>
      <c r="Q536" s="100" t="n">
        <v>-11267.43</v>
      </c>
      <c r="R536" s="100" t="n">
        <v>-62596.81</v>
      </c>
      <c r="S536" s="100" t="n">
        <v>0</v>
      </c>
      <c r="T536" s="100" t="n">
        <v>0</v>
      </c>
      <c r="U536" s="98" t="s">
        <v>192</v>
      </c>
      <c r="V536" s="98" t="s">
        <v>151</v>
      </c>
      <c r="X536" s="98" t="s">
        <v>1212</v>
      </c>
      <c r="Y536" s="98" t="s">
        <v>1213</v>
      </c>
      <c r="Z536" s="98" t="s">
        <v>1621</v>
      </c>
      <c r="AB536" s="98" t="s">
        <v>1213</v>
      </c>
      <c r="AD536" s="98" t="s">
        <v>155</v>
      </c>
      <c r="AE536" s="98" t="s">
        <v>156</v>
      </c>
      <c r="AF536" s="98" t="s">
        <v>728</v>
      </c>
      <c r="AG536" s="98" t="s">
        <v>729</v>
      </c>
      <c r="AH536" s="98" t="s">
        <v>971</v>
      </c>
      <c r="AI536" s="98" t="s">
        <v>971</v>
      </c>
      <c r="AJ536" s="98" t="s">
        <v>972</v>
      </c>
      <c r="AK536" s="98" t="s">
        <v>159</v>
      </c>
      <c r="AL536" s="98" t="s">
        <v>224</v>
      </c>
      <c r="AM536" s="98" t="s">
        <v>225</v>
      </c>
      <c r="AP536" s="98" t="s">
        <v>553</v>
      </c>
      <c r="AQ536" s="98" t="s">
        <v>551</v>
      </c>
      <c r="AR536" s="98" t="s">
        <v>1479</v>
      </c>
      <c r="AS536" s="98" t="s">
        <v>1622</v>
      </c>
      <c r="AT536" s="100" t="n">
        <v>0</v>
      </c>
      <c r="AU536" s="100" t="n">
        <v>-73864.24</v>
      </c>
      <c r="AX536" s="98" t="s">
        <v>200</v>
      </c>
      <c r="AMH536" s="0"/>
      <c r="AMI536" s="0"/>
      <c r="AMJ536" s="0"/>
    </row>
    <row r="537" s="98" customFormat="true" ht="13.8" hidden="false" customHeight="false" outlineLevel="0" collapsed="false">
      <c r="A537" s="98" t="s">
        <v>142</v>
      </c>
      <c r="B537" s="98" t="s">
        <v>143</v>
      </c>
      <c r="C537" s="98" t="n">
        <v>51322687</v>
      </c>
      <c r="D537" s="98" t="s">
        <v>1620</v>
      </c>
      <c r="E537" s="98" t="s">
        <v>725</v>
      </c>
      <c r="F537" s="98" t="s">
        <v>297</v>
      </c>
      <c r="G537" s="98" t="s">
        <v>147</v>
      </c>
      <c r="H537" s="98" t="s">
        <v>168</v>
      </c>
      <c r="I537" s="99" t="n">
        <v>43623</v>
      </c>
      <c r="J537" s="99" t="n">
        <v>43703</v>
      </c>
      <c r="K537" s="100" t="n">
        <v>-73864.25</v>
      </c>
      <c r="L537" s="100" t="n">
        <f aca="false">K537-Q537+T537</f>
        <v>-62596.82</v>
      </c>
      <c r="M537" s="98" t="s">
        <v>149</v>
      </c>
      <c r="N537" s="100" t="n">
        <v>-73864.25</v>
      </c>
      <c r="O537" s="98" t="s">
        <v>149</v>
      </c>
      <c r="P537" s="100" t="n">
        <v>-73864.25</v>
      </c>
      <c r="Q537" s="100" t="n">
        <v>-11267.43</v>
      </c>
      <c r="R537" s="100" t="n">
        <v>-62596.82</v>
      </c>
      <c r="S537" s="100" t="n">
        <v>0</v>
      </c>
      <c r="T537" s="100" t="n">
        <v>0</v>
      </c>
      <c r="U537" s="98" t="s">
        <v>192</v>
      </c>
      <c r="V537" s="98" t="s">
        <v>151</v>
      </c>
      <c r="X537" s="98" t="s">
        <v>1212</v>
      </c>
      <c r="Y537" s="98" t="s">
        <v>1213</v>
      </c>
      <c r="Z537" s="98" t="s">
        <v>1621</v>
      </c>
      <c r="AB537" s="98" t="s">
        <v>1213</v>
      </c>
      <c r="AD537" s="98" t="s">
        <v>155</v>
      </c>
      <c r="AE537" s="98" t="s">
        <v>156</v>
      </c>
      <c r="AF537" s="98" t="s">
        <v>728</v>
      </c>
      <c r="AG537" s="98" t="s">
        <v>729</v>
      </c>
      <c r="AH537" s="98" t="s">
        <v>971</v>
      </c>
      <c r="AI537" s="98" t="s">
        <v>971</v>
      </c>
      <c r="AJ537" s="98" t="s">
        <v>972</v>
      </c>
      <c r="AK537" s="98" t="s">
        <v>159</v>
      </c>
      <c r="AL537" s="98" t="s">
        <v>224</v>
      </c>
      <c r="AM537" s="98" t="s">
        <v>225</v>
      </c>
      <c r="AP537" s="98" t="s">
        <v>553</v>
      </c>
      <c r="AQ537" s="98" t="s">
        <v>551</v>
      </c>
      <c r="AR537" s="98" t="s">
        <v>1479</v>
      </c>
      <c r="AS537" s="98" t="s">
        <v>1622</v>
      </c>
      <c r="AT537" s="100" t="n">
        <v>0</v>
      </c>
      <c r="AU537" s="100" t="n">
        <v>-73864.25</v>
      </c>
      <c r="AX537" s="98" t="s">
        <v>191</v>
      </c>
      <c r="AMH537" s="0"/>
      <c r="AMI537" s="0"/>
      <c r="AMJ537" s="0"/>
    </row>
    <row r="538" s="98" customFormat="true" ht="13.8" hidden="false" customHeight="false" outlineLevel="0" collapsed="false">
      <c r="A538" s="98" t="s">
        <v>142</v>
      </c>
      <c r="B538" s="98" t="s">
        <v>143</v>
      </c>
      <c r="C538" s="98" t="n">
        <v>51322690</v>
      </c>
      <c r="D538" s="98" t="s">
        <v>1623</v>
      </c>
      <c r="E538" s="98" t="s">
        <v>725</v>
      </c>
      <c r="F538" s="98" t="s">
        <v>297</v>
      </c>
      <c r="G538" s="98" t="s">
        <v>147</v>
      </c>
      <c r="H538" s="98" t="s">
        <v>168</v>
      </c>
      <c r="I538" s="99" t="n">
        <v>43623</v>
      </c>
      <c r="J538" s="99" t="n">
        <v>43703</v>
      </c>
      <c r="K538" s="100" t="n">
        <v>-948309.22</v>
      </c>
      <c r="L538" s="100" t="n">
        <f aca="false">K538-Q538+T538</f>
        <v>-803651.89</v>
      </c>
      <c r="M538" s="98" t="s">
        <v>149</v>
      </c>
      <c r="N538" s="100" t="n">
        <v>-948309.22</v>
      </c>
      <c r="O538" s="98" t="s">
        <v>149</v>
      </c>
      <c r="P538" s="100" t="n">
        <v>-948309.22</v>
      </c>
      <c r="Q538" s="100" t="n">
        <v>-144657.33</v>
      </c>
      <c r="R538" s="100" t="n">
        <v>-803651.89</v>
      </c>
      <c r="S538" s="100" t="n">
        <v>0</v>
      </c>
      <c r="T538" s="100" t="n">
        <v>0</v>
      </c>
      <c r="U538" s="98" t="s">
        <v>192</v>
      </c>
      <c r="V538" s="98" t="s">
        <v>151</v>
      </c>
      <c r="X538" s="98" t="s">
        <v>1212</v>
      </c>
      <c r="Y538" s="98" t="s">
        <v>1213</v>
      </c>
      <c r="Z538" s="98" t="s">
        <v>1624</v>
      </c>
      <c r="AB538" s="98" t="s">
        <v>1213</v>
      </c>
      <c r="AD538" s="98" t="s">
        <v>155</v>
      </c>
      <c r="AE538" s="98" t="s">
        <v>156</v>
      </c>
      <c r="AF538" s="98" t="s">
        <v>728</v>
      </c>
      <c r="AG538" s="98" t="s">
        <v>729</v>
      </c>
      <c r="AH538" s="98" t="s">
        <v>971</v>
      </c>
      <c r="AI538" s="98" t="s">
        <v>971</v>
      </c>
      <c r="AJ538" s="98" t="s">
        <v>972</v>
      </c>
      <c r="AK538" s="98" t="s">
        <v>159</v>
      </c>
      <c r="AL538" s="98" t="s">
        <v>224</v>
      </c>
      <c r="AM538" s="98" t="s">
        <v>225</v>
      </c>
      <c r="AP538" s="98" t="s">
        <v>508</v>
      </c>
      <c r="AQ538" s="98" t="s">
        <v>506</v>
      </c>
      <c r="AR538" s="98" t="s">
        <v>1479</v>
      </c>
      <c r="AS538" s="98" t="s">
        <v>1625</v>
      </c>
      <c r="AT538" s="100" t="n">
        <v>0</v>
      </c>
      <c r="AU538" s="100" t="n">
        <v>-948309.22</v>
      </c>
      <c r="AX538" s="98" t="s">
        <v>586</v>
      </c>
      <c r="AMH538" s="0"/>
      <c r="AMI538" s="0"/>
      <c r="AMJ538" s="0"/>
    </row>
    <row r="539" s="98" customFormat="true" ht="13.8" hidden="false" customHeight="false" outlineLevel="0" collapsed="false">
      <c r="A539" s="98" t="s">
        <v>142</v>
      </c>
      <c r="B539" s="98" t="s">
        <v>143</v>
      </c>
      <c r="C539" s="98" t="n">
        <v>51322690</v>
      </c>
      <c r="D539" s="98" t="s">
        <v>1623</v>
      </c>
      <c r="E539" s="98" t="s">
        <v>725</v>
      </c>
      <c r="F539" s="98" t="s">
        <v>297</v>
      </c>
      <c r="G539" s="98" t="s">
        <v>147</v>
      </c>
      <c r="H539" s="98" t="s">
        <v>168</v>
      </c>
      <c r="I539" s="99" t="n">
        <v>43623</v>
      </c>
      <c r="J539" s="99" t="n">
        <v>43703</v>
      </c>
      <c r="K539" s="100" t="n">
        <v>-55782.89</v>
      </c>
      <c r="L539" s="100" t="n">
        <f aca="false">K539-Q539+T539</f>
        <v>-47273.64</v>
      </c>
      <c r="M539" s="98" t="s">
        <v>149</v>
      </c>
      <c r="N539" s="100" t="n">
        <v>-55782.89</v>
      </c>
      <c r="O539" s="98" t="s">
        <v>149</v>
      </c>
      <c r="P539" s="100" t="n">
        <v>-55782.89</v>
      </c>
      <c r="Q539" s="100" t="n">
        <v>-8509.25</v>
      </c>
      <c r="R539" s="100" t="n">
        <v>-47273.64</v>
      </c>
      <c r="S539" s="100" t="n">
        <v>0</v>
      </c>
      <c r="T539" s="100" t="n">
        <v>0</v>
      </c>
      <c r="U539" s="98" t="s">
        <v>192</v>
      </c>
      <c r="V539" s="98" t="s">
        <v>151</v>
      </c>
      <c r="X539" s="98" t="s">
        <v>1212</v>
      </c>
      <c r="Y539" s="98" t="s">
        <v>1213</v>
      </c>
      <c r="Z539" s="98" t="s">
        <v>1624</v>
      </c>
      <c r="AB539" s="98" t="s">
        <v>1213</v>
      </c>
      <c r="AD539" s="98" t="s">
        <v>155</v>
      </c>
      <c r="AE539" s="98" t="s">
        <v>156</v>
      </c>
      <c r="AF539" s="98" t="s">
        <v>728</v>
      </c>
      <c r="AG539" s="98" t="s">
        <v>729</v>
      </c>
      <c r="AH539" s="98" t="s">
        <v>971</v>
      </c>
      <c r="AI539" s="98" t="s">
        <v>971</v>
      </c>
      <c r="AJ539" s="98" t="s">
        <v>972</v>
      </c>
      <c r="AK539" s="98" t="s">
        <v>159</v>
      </c>
      <c r="AL539" s="98" t="s">
        <v>224</v>
      </c>
      <c r="AM539" s="98" t="s">
        <v>225</v>
      </c>
      <c r="AP539" s="98" t="s">
        <v>553</v>
      </c>
      <c r="AQ539" s="98" t="s">
        <v>551</v>
      </c>
      <c r="AR539" s="98" t="s">
        <v>1479</v>
      </c>
      <c r="AS539" s="98" t="s">
        <v>1625</v>
      </c>
      <c r="AT539" s="100" t="n">
        <v>0</v>
      </c>
      <c r="AU539" s="100" t="n">
        <v>-55782.89</v>
      </c>
      <c r="AX539" s="98" t="s">
        <v>213</v>
      </c>
      <c r="AMH539" s="0"/>
      <c r="AMI539" s="0"/>
      <c r="AMJ539" s="0"/>
    </row>
    <row r="540" s="98" customFormat="true" ht="13.8" hidden="false" customHeight="false" outlineLevel="0" collapsed="false">
      <c r="A540" s="98" t="s">
        <v>142</v>
      </c>
      <c r="B540" s="98" t="s">
        <v>143</v>
      </c>
      <c r="C540" s="98" t="n">
        <v>51602890</v>
      </c>
      <c r="D540" s="98" t="s">
        <v>1626</v>
      </c>
      <c r="E540" s="98" t="s">
        <v>725</v>
      </c>
      <c r="F540" s="108" t="s">
        <v>234</v>
      </c>
      <c r="G540" s="108" t="s">
        <v>147</v>
      </c>
      <c r="H540" s="108" t="s">
        <v>191</v>
      </c>
      <c r="I540" s="99" t="n">
        <v>43762</v>
      </c>
      <c r="J540" s="99" t="n">
        <v>43844</v>
      </c>
      <c r="K540" s="100" t="n">
        <v>-2471455.09</v>
      </c>
      <c r="L540" s="100" t="n">
        <f aca="false">K540-Q540+T540</f>
        <v>-2094453.45</v>
      </c>
      <c r="M540" s="108" t="s">
        <v>149</v>
      </c>
      <c r="N540" s="109" t="n">
        <v>-2471455.09</v>
      </c>
      <c r="O540" s="108" t="s">
        <v>149</v>
      </c>
      <c r="P540" s="109" t="n">
        <v>-2471455.09</v>
      </c>
      <c r="Q540" s="100" t="n">
        <v>-377001.64</v>
      </c>
      <c r="R540" s="100" t="n">
        <v>-2094453.45</v>
      </c>
      <c r="S540" s="100" t="n">
        <v>0</v>
      </c>
      <c r="T540" s="100" t="n">
        <v>0</v>
      </c>
      <c r="U540" s="98" t="s">
        <v>192</v>
      </c>
      <c r="V540" s="98" t="s">
        <v>151</v>
      </c>
      <c r="X540" s="98" t="s">
        <v>1627</v>
      </c>
      <c r="Y540" s="98" t="s">
        <v>1628</v>
      </c>
      <c r="Z540" s="98" t="s">
        <v>1629</v>
      </c>
      <c r="AB540" s="98" t="s">
        <v>1628</v>
      </c>
      <c r="AD540" s="98" t="s">
        <v>155</v>
      </c>
      <c r="AE540" s="98" t="s">
        <v>156</v>
      </c>
      <c r="AF540" s="98" t="s">
        <v>737</v>
      </c>
      <c r="AG540" s="98" t="s">
        <v>738</v>
      </c>
      <c r="AH540" s="98" t="s">
        <v>739</v>
      </c>
      <c r="AI540" s="98" t="s">
        <v>739</v>
      </c>
      <c r="AJ540" s="98" t="s">
        <v>740</v>
      </c>
      <c r="AK540" s="98" t="s">
        <v>159</v>
      </c>
      <c r="AL540" s="98" t="s">
        <v>224</v>
      </c>
      <c r="AM540" s="98" t="s">
        <v>225</v>
      </c>
      <c r="AP540" s="98" t="s">
        <v>665</v>
      </c>
      <c r="AQ540" s="98" t="s">
        <v>663</v>
      </c>
      <c r="AR540" s="98" t="s">
        <v>640</v>
      </c>
      <c r="AS540" s="98" t="s">
        <v>1630</v>
      </c>
      <c r="AT540" s="100" t="n">
        <v>0</v>
      </c>
      <c r="AU540" s="100" t="n">
        <v>-2471455.09</v>
      </c>
      <c r="AX540" s="98" t="s">
        <v>165</v>
      </c>
      <c r="AMH540" s="0"/>
      <c r="AMI540" s="0"/>
      <c r="AMJ540" s="0"/>
    </row>
    <row r="541" s="98" customFormat="true" ht="13.8" hidden="false" customHeight="false" outlineLevel="0" collapsed="false">
      <c r="A541" s="98" t="s">
        <v>142</v>
      </c>
      <c r="B541" s="98" t="s">
        <v>143</v>
      </c>
      <c r="C541" s="98" t="n">
        <v>51322690</v>
      </c>
      <c r="D541" s="98" t="s">
        <v>1623</v>
      </c>
      <c r="E541" s="98" t="s">
        <v>725</v>
      </c>
      <c r="F541" s="98" t="s">
        <v>297</v>
      </c>
      <c r="G541" s="98" t="s">
        <v>147</v>
      </c>
      <c r="H541" s="98" t="s">
        <v>168</v>
      </c>
      <c r="I541" s="99" t="n">
        <v>43623</v>
      </c>
      <c r="J541" s="99" t="n">
        <v>43703</v>
      </c>
      <c r="K541" s="100" t="n">
        <v>-55782.9</v>
      </c>
      <c r="L541" s="100" t="n">
        <f aca="false">K541-Q541+T541</f>
        <v>-47273.64</v>
      </c>
      <c r="M541" s="98" t="s">
        <v>149</v>
      </c>
      <c r="N541" s="100" t="n">
        <v>-55782.9</v>
      </c>
      <c r="O541" s="98" t="s">
        <v>149</v>
      </c>
      <c r="P541" s="100" t="n">
        <v>-55782.9</v>
      </c>
      <c r="Q541" s="100" t="n">
        <v>-8509.26</v>
      </c>
      <c r="R541" s="100" t="n">
        <v>-47273.64</v>
      </c>
      <c r="S541" s="100" t="n">
        <v>0</v>
      </c>
      <c r="T541" s="100" t="n">
        <v>0</v>
      </c>
      <c r="U541" s="98" t="s">
        <v>192</v>
      </c>
      <c r="V541" s="98" t="s">
        <v>151</v>
      </c>
      <c r="X541" s="98" t="s">
        <v>1212</v>
      </c>
      <c r="Y541" s="98" t="s">
        <v>1213</v>
      </c>
      <c r="Z541" s="98" t="s">
        <v>1624</v>
      </c>
      <c r="AB541" s="98" t="s">
        <v>1213</v>
      </c>
      <c r="AD541" s="98" t="s">
        <v>155</v>
      </c>
      <c r="AE541" s="98" t="s">
        <v>156</v>
      </c>
      <c r="AF541" s="98" t="s">
        <v>728</v>
      </c>
      <c r="AG541" s="98" t="s">
        <v>729</v>
      </c>
      <c r="AH541" s="98" t="s">
        <v>971</v>
      </c>
      <c r="AI541" s="98" t="s">
        <v>971</v>
      </c>
      <c r="AJ541" s="98" t="s">
        <v>972</v>
      </c>
      <c r="AK541" s="98" t="s">
        <v>159</v>
      </c>
      <c r="AL541" s="98" t="s">
        <v>224</v>
      </c>
      <c r="AM541" s="98" t="s">
        <v>225</v>
      </c>
      <c r="AP541" s="98" t="s">
        <v>553</v>
      </c>
      <c r="AQ541" s="98" t="s">
        <v>551</v>
      </c>
      <c r="AR541" s="98" t="s">
        <v>1479</v>
      </c>
      <c r="AS541" s="98" t="s">
        <v>1625</v>
      </c>
      <c r="AT541" s="100" t="n">
        <v>0</v>
      </c>
      <c r="AU541" s="100" t="n">
        <v>-55782.9</v>
      </c>
      <c r="AX541" s="98" t="s">
        <v>200</v>
      </c>
      <c r="AMH541" s="0"/>
      <c r="AMI541" s="0"/>
      <c r="AMJ541" s="0"/>
    </row>
    <row r="542" s="98" customFormat="true" ht="13.8" hidden="false" customHeight="false" outlineLevel="0" collapsed="false">
      <c r="A542" s="98" t="s">
        <v>142</v>
      </c>
      <c r="B542" s="98" t="s">
        <v>143</v>
      </c>
      <c r="C542" s="98" t="n">
        <v>51322690</v>
      </c>
      <c r="D542" s="98" t="s">
        <v>1623</v>
      </c>
      <c r="E542" s="98" t="s">
        <v>725</v>
      </c>
      <c r="F542" s="98" t="s">
        <v>297</v>
      </c>
      <c r="G542" s="98" t="s">
        <v>147</v>
      </c>
      <c r="H542" s="98" t="s">
        <v>168</v>
      </c>
      <c r="I542" s="99" t="n">
        <v>43623</v>
      </c>
      <c r="J542" s="99" t="n">
        <v>43703</v>
      </c>
      <c r="K542" s="100" t="n">
        <v>-55782.9</v>
      </c>
      <c r="L542" s="100" t="n">
        <f aca="false">K542-Q542+T542</f>
        <v>-47273.64</v>
      </c>
      <c r="M542" s="98" t="s">
        <v>149</v>
      </c>
      <c r="N542" s="100" t="n">
        <v>-55782.9</v>
      </c>
      <c r="O542" s="98" t="s">
        <v>149</v>
      </c>
      <c r="P542" s="100" t="n">
        <v>-55782.9</v>
      </c>
      <c r="Q542" s="100" t="n">
        <v>-8509.26</v>
      </c>
      <c r="R542" s="100" t="n">
        <v>-47273.64</v>
      </c>
      <c r="S542" s="100" t="n">
        <v>0</v>
      </c>
      <c r="T542" s="100" t="n">
        <v>0</v>
      </c>
      <c r="U542" s="98" t="s">
        <v>192</v>
      </c>
      <c r="V542" s="98" t="s">
        <v>151</v>
      </c>
      <c r="X542" s="98" t="s">
        <v>1212</v>
      </c>
      <c r="Y542" s="98" t="s">
        <v>1213</v>
      </c>
      <c r="Z542" s="98" t="s">
        <v>1624</v>
      </c>
      <c r="AB542" s="98" t="s">
        <v>1213</v>
      </c>
      <c r="AD542" s="98" t="s">
        <v>155</v>
      </c>
      <c r="AE542" s="98" t="s">
        <v>156</v>
      </c>
      <c r="AF542" s="98" t="s">
        <v>728</v>
      </c>
      <c r="AG542" s="98" t="s">
        <v>729</v>
      </c>
      <c r="AH542" s="98" t="s">
        <v>971</v>
      </c>
      <c r="AI542" s="98" t="s">
        <v>971</v>
      </c>
      <c r="AJ542" s="98" t="s">
        <v>972</v>
      </c>
      <c r="AK542" s="98" t="s">
        <v>159</v>
      </c>
      <c r="AL542" s="98" t="s">
        <v>224</v>
      </c>
      <c r="AM542" s="98" t="s">
        <v>225</v>
      </c>
      <c r="AP542" s="98" t="s">
        <v>553</v>
      </c>
      <c r="AQ542" s="98" t="s">
        <v>551</v>
      </c>
      <c r="AR542" s="98" t="s">
        <v>1479</v>
      </c>
      <c r="AS542" s="98" t="s">
        <v>1625</v>
      </c>
      <c r="AT542" s="100" t="n">
        <v>0</v>
      </c>
      <c r="AU542" s="100" t="n">
        <v>-55782.9</v>
      </c>
      <c r="AX542" s="98" t="s">
        <v>191</v>
      </c>
      <c r="AMH542" s="0"/>
      <c r="AMI542" s="0"/>
      <c r="AMJ542" s="0"/>
    </row>
    <row r="543" s="98" customFormat="true" ht="13.8" hidden="false" customHeight="false" outlineLevel="0" collapsed="false">
      <c r="A543" s="98" t="s">
        <v>142</v>
      </c>
      <c r="B543" s="98" t="s">
        <v>143</v>
      </c>
      <c r="C543" s="98" t="n">
        <v>51676121</v>
      </c>
      <c r="D543" s="98" t="s">
        <v>1631</v>
      </c>
      <c r="E543" s="98" t="s">
        <v>725</v>
      </c>
      <c r="F543" s="98" t="s">
        <v>167</v>
      </c>
      <c r="G543" s="98" t="s">
        <v>147</v>
      </c>
      <c r="H543" s="98" t="s">
        <v>200</v>
      </c>
      <c r="I543" s="104" t="n">
        <v>43799</v>
      </c>
      <c r="J543" s="99" t="n">
        <v>43879</v>
      </c>
      <c r="K543" s="100" t="n">
        <v>-383.5</v>
      </c>
      <c r="L543" s="100" t="n">
        <f aca="false">K543-Q543+T543</f>
        <v>-325</v>
      </c>
      <c r="M543" s="98" t="s">
        <v>149</v>
      </c>
      <c r="N543" s="100" t="n">
        <v>-383.5</v>
      </c>
      <c r="O543" s="98" t="s">
        <v>149</v>
      </c>
      <c r="P543" s="100" t="n">
        <v>-383.5</v>
      </c>
      <c r="Q543" s="100" t="n">
        <v>-58.5</v>
      </c>
      <c r="R543" s="100" t="n">
        <v>-383.5</v>
      </c>
      <c r="S543" s="100" t="n">
        <v>0</v>
      </c>
      <c r="T543" s="100" t="n">
        <v>0</v>
      </c>
      <c r="U543" s="98" t="s">
        <v>192</v>
      </c>
      <c r="V543" s="98" t="s">
        <v>151</v>
      </c>
      <c r="Y543" s="98" t="s">
        <v>1632</v>
      </c>
      <c r="Z543" s="98" t="s">
        <v>1633</v>
      </c>
      <c r="AB543" s="98" t="s">
        <v>1632</v>
      </c>
      <c r="AD543" s="98" t="s">
        <v>155</v>
      </c>
      <c r="AE543" s="98" t="s">
        <v>156</v>
      </c>
      <c r="AF543" s="98" t="s">
        <v>728</v>
      </c>
      <c r="AG543" s="98" t="s">
        <v>729</v>
      </c>
      <c r="AH543" s="98" t="s">
        <v>730</v>
      </c>
      <c r="AI543" s="98" t="s">
        <v>730</v>
      </c>
      <c r="AJ543" s="98" t="s">
        <v>731</v>
      </c>
      <c r="AK543" s="98" t="s">
        <v>159</v>
      </c>
      <c r="AL543" s="98" t="s">
        <v>224</v>
      </c>
      <c r="AM543" s="98" t="s">
        <v>225</v>
      </c>
      <c r="AP543" s="98" t="s">
        <v>707</v>
      </c>
      <c r="AQ543" s="98" t="s">
        <v>705</v>
      </c>
      <c r="AR543" s="98" t="s">
        <v>1634</v>
      </c>
      <c r="AS543" s="98" t="s">
        <v>1635</v>
      </c>
      <c r="AT543" s="100" t="n">
        <v>0</v>
      </c>
      <c r="AU543" s="100" t="n">
        <v>-383.5</v>
      </c>
      <c r="AX543" s="98" t="s">
        <v>165</v>
      </c>
      <c r="AMH543" s="0"/>
      <c r="AMI543" s="0"/>
      <c r="AMJ543" s="0"/>
    </row>
    <row r="544" s="98" customFormat="true" ht="13.8" hidden="false" customHeight="false" outlineLevel="0" collapsed="false">
      <c r="A544" s="98" t="s">
        <v>142</v>
      </c>
      <c r="B544" s="98" t="s">
        <v>143</v>
      </c>
      <c r="C544" s="98" t="n">
        <v>51676123</v>
      </c>
      <c r="D544" s="98" t="s">
        <v>1636</v>
      </c>
      <c r="E544" s="98" t="s">
        <v>725</v>
      </c>
      <c r="F544" s="98" t="s">
        <v>167</v>
      </c>
      <c r="G544" s="98" t="s">
        <v>147</v>
      </c>
      <c r="H544" s="98" t="s">
        <v>200</v>
      </c>
      <c r="I544" s="104" t="n">
        <v>43799</v>
      </c>
      <c r="J544" s="99" t="n">
        <v>43879</v>
      </c>
      <c r="K544" s="100" t="n">
        <v>-59059</v>
      </c>
      <c r="L544" s="100" t="n">
        <f aca="false">K544-Q544+T544</f>
        <v>-50050</v>
      </c>
      <c r="M544" s="98" t="s">
        <v>149</v>
      </c>
      <c r="N544" s="100" t="n">
        <v>-59059</v>
      </c>
      <c r="O544" s="98" t="s">
        <v>149</v>
      </c>
      <c r="P544" s="100" t="n">
        <v>-59059</v>
      </c>
      <c r="Q544" s="100" t="n">
        <v>-9009</v>
      </c>
      <c r="R544" s="100" t="n">
        <v>-59059</v>
      </c>
      <c r="S544" s="100" t="n">
        <v>0</v>
      </c>
      <c r="T544" s="100" t="n">
        <v>0</v>
      </c>
      <c r="U544" s="98" t="s">
        <v>192</v>
      </c>
      <c r="V544" s="98" t="s">
        <v>151</v>
      </c>
      <c r="Y544" s="98" t="s">
        <v>1632</v>
      </c>
      <c r="Z544" s="98" t="s">
        <v>1637</v>
      </c>
      <c r="AB544" s="98" t="s">
        <v>1632</v>
      </c>
      <c r="AD544" s="98" t="s">
        <v>155</v>
      </c>
      <c r="AE544" s="98" t="s">
        <v>156</v>
      </c>
      <c r="AF544" s="98" t="s">
        <v>728</v>
      </c>
      <c r="AG544" s="98" t="s">
        <v>729</v>
      </c>
      <c r="AH544" s="98" t="s">
        <v>730</v>
      </c>
      <c r="AI544" s="98" t="s">
        <v>730</v>
      </c>
      <c r="AJ544" s="98" t="s">
        <v>731</v>
      </c>
      <c r="AK544" s="98" t="s">
        <v>159</v>
      </c>
      <c r="AL544" s="98" t="s">
        <v>224</v>
      </c>
      <c r="AM544" s="98" t="s">
        <v>225</v>
      </c>
      <c r="AP544" s="98" t="s">
        <v>707</v>
      </c>
      <c r="AQ544" s="98" t="s">
        <v>705</v>
      </c>
      <c r="AR544" s="98" t="s">
        <v>1634</v>
      </c>
      <c r="AS544" s="98" t="s">
        <v>1638</v>
      </c>
      <c r="AT544" s="100" t="n">
        <v>0</v>
      </c>
      <c r="AU544" s="100" t="n">
        <v>-59059</v>
      </c>
      <c r="AX544" s="98" t="s">
        <v>165</v>
      </c>
      <c r="AMH544" s="0"/>
      <c r="AMI544" s="0"/>
      <c r="AMJ544" s="0"/>
    </row>
    <row r="545" s="98" customFormat="true" ht="13.8" hidden="false" customHeight="false" outlineLevel="0" collapsed="false">
      <c r="A545" s="98" t="s">
        <v>142</v>
      </c>
      <c r="B545" s="98" t="s">
        <v>143</v>
      </c>
      <c r="C545" s="98" t="n">
        <v>51676124</v>
      </c>
      <c r="D545" s="98" t="s">
        <v>1639</v>
      </c>
      <c r="E545" s="98" t="s">
        <v>725</v>
      </c>
      <c r="F545" s="98" t="s">
        <v>167</v>
      </c>
      <c r="G545" s="98" t="s">
        <v>147</v>
      </c>
      <c r="H545" s="98" t="s">
        <v>200</v>
      </c>
      <c r="I545" s="104" t="n">
        <v>43799</v>
      </c>
      <c r="J545" s="99" t="n">
        <v>43879</v>
      </c>
      <c r="K545" s="100" t="n">
        <v>-74782.5</v>
      </c>
      <c r="L545" s="100" t="n">
        <f aca="false">K545-Q545+T545</f>
        <v>-63375</v>
      </c>
      <c r="M545" s="98" t="s">
        <v>149</v>
      </c>
      <c r="N545" s="100" t="n">
        <v>-74782.5</v>
      </c>
      <c r="O545" s="98" t="s">
        <v>149</v>
      </c>
      <c r="P545" s="100" t="n">
        <v>-74782.5</v>
      </c>
      <c r="Q545" s="100" t="n">
        <v>-11407.5</v>
      </c>
      <c r="R545" s="100" t="n">
        <v>-74782.5</v>
      </c>
      <c r="S545" s="100" t="n">
        <v>0</v>
      </c>
      <c r="T545" s="100" t="n">
        <v>0</v>
      </c>
      <c r="U545" s="98" t="s">
        <v>192</v>
      </c>
      <c r="V545" s="98" t="s">
        <v>151</v>
      </c>
      <c r="Y545" s="98" t="s">
        <v>1632</v>
      </c>
      <c r="Z545" s="98" t="s">
        <v>1640</v>
      </c>
      <c r="AB545" s="98" t="s">
        <v>1632</v>
      </c>
      <c r="AD545" s="98" t="s">
        <v>155</v>
      </c>
      <c r="AE545" s="98" t="s">
        <v>156</v>
      </c>
      <c r="AF545" s="98" t="s">
        <v>728</v>
      </c>
      <c r="AG545" s="98" t="s">
        <v>729</v>
      </c>
      <c r="AH545" s="98" t="s">
        <v>730</v>
      </c>
      <c r="AI545" s="98" t="s">
        <v>730</v>
      </c>
      <c r="AJ545" s="98" t="s">
        <v>731</v>
      </c>
      <c r="AK545" s="98" t="s">
        <v>159</v>
      </c>
      <c r="AL545" s="98" t="s">
        <v>224</v>
      </c>
      <c r="AM545" s="98" t="s">
        <v>225</v>
      </c>
      <c r="AP545" s="98" t="s">
        <v>707</v>
      </c>
      <c r="AQ545" s="98" t="s">
        <v>705</v>
      </c>
      <c r="AR545" s="98" t="s">
        <v>1634</v>
      </c>
      <c r="AS545" s="98" t="s">
        <v>1641</v>
      </c>
      <c r="AT545" s="100" t="n">
        <v>0</v>
      </c>
      <c r="AU545" s="100" t="n">
        <v>-74782.5</v>
      </c>
      <c r="AX545" s="98" t="s">
        <v>165</v>
      </c>
      <c r="AMH545" s="0"/>
      <c r="AMI545" s="0"/>
      <c r="AMJ545" s="0"/>
    </row>
    <row r="546" s="98" customFormat="true" ht="13.8" hidden="false" customHeight="false" outlineLevel="0" collapsed="false">
      <c r="A546" s="98" t="s">
        <v>142</v>
      </c>
      <c r="B546" s="98" t="s">
        <v>143</v>
      </c>
      <c r="C546" s="98" t="n">
        <v>51676125</v>
      </c>
      <c r="D546" s="98" t="s">
        <v>1642</v>
      </c>
      <c r="E546" s="98" t="s">
        <v>725</v>
      </c>
      <c r="F546" s="98" t="s">
        <v>167</v>
      </c>
      <c r="G546" s="98" t="s">
        <v>147</v>
      </c>
      <c r="H546" s="98" t="s">
        <v>200</v>
      </c>
      <c r="I546" s="104" t="n">
        <v>43799</v>
      </c>
      <c r="J546" s="99" t="n">
        <v>43879</v>
      </c>
      <c r="K546" s="100" t="n">
        <v>-78427.52</v>
      </c>
      <c r="L546" s="100" t="n">
        <f aca="false">K546-Q546+T546</f>
        <v>-66464</v>
      </c>
      <c r="M546" s="98" t="s">
        <v>149</v>
      </c>
      <c r="N546" s="100" t="n">
        <v>-78427.52</v>
      </c>
      <c r="O546" s="98" t="s">
        <v>149</v>
      </c>
      <c r="P546" s="100" t="n">
        <v>-78427.52</v>
      </c>
      <c r="Q546" s="100" t="n">
        <v>-11963.52</v>
      </c>
      <c r="R546" s="100" t="n">
        <v>-78427.52</v>
      </c>
      <c r="S546" s="100" t="n">
        <v>0</v>
      </c>
      <c r="T546" s="100" t="n">
        <v>0</v>
      </c>
      <c r="U546" s="98" t="s">
        <v>192</v>
      </c>
      <c r="V546" s="98" t="s">
        <v>151</v>
      </c>
      <c r="Y546" s="98" t="s">
        <v>1632</v>
      </c>
      <c r="Z546" s="98" t="s">
        <v>1643</v>
      </c>
      <c r="AB546" s="98" t="s">
        <v>1632</v>
      </c>
      <c r="AD546" s="98" t="s">
        <v>155</v>
      </c>
      <c r="AE546" s="98" t="s">
        <v>156</v>
      </c>
      <c r="AF546" s="98" t="s">
        <v>728</v>
      </c>
      <c r="AG546" s="98" t="s">
        <v>729</v>
      </c>
      <c r="AH546" s="98" t="s">
        <v>730</v>
      </c>
      <c r="AI546" s="98" t="s">
        <v>730</v>
      </c>
      <c r="AJ546" s="98" t="s">
        <v>731</v>
      </c>
      <c r="AK546" s="98" t="s">
        <v>159</v>
      </c>
      <c r="AL546" s="98" t="s">
        <v>224</v>
      </c>
      <c r="AM546" s="98" t="s">
        <v>225</v>
      </c>
      <c r="AP546" s="98" t="s">
        <v>707</v>
      </c>
      <c r="AQ546" s="98" t="s">
        <v>705</v>
      </c>
      <c r="AR546" s="98" t="s">
        <v>1634</v>
      </c>
      <c r="AS546" s="98" t="s">
        <v>1644</v>
      </c>
      <c r="AT546" s="100" t="n">
        <v>0</v>
      </c>
      <c r="AU546" s="100" t="n">
        <v>-78427.52</v>
      </c>
      <c r="AX546" s="98" t="s">
        <v>165</v>
      </c>
      <c r="AMH546" s="0"/>
      <c r="AMI546" s="0"/>
      <c r="AMJ546" s="0"/>
    </row>
    <row r="547" s="98" customFormat="true" ht="13.8" hidden="false" customHeight="false" outlineLevel="0" collapsed="false">
      <c r="A547" s="98" t="s">
        <v>142</v>
      </c>
      <c r="B547" s="98" t="s">
        <v>143</v>
      </c>
      <c r="C547" s="98" t="n">
        <v>51676126</v>
      </c>
      <c r="D547" s="98" t="s">
        <v>1645</v>
      </c>
      <c r="E547" s="98" t="s">
        <v>725</v>
      </c>
      <c r="F547" s="98" t="s">
        <v>167</v>
      </c>
      <c r="G547" s="98" t="s">
        <v>147</v>
      </c>
      <c r="H547" s="98" t="s">
        <v>200</v>
      </c>
      <c r="I547" s="104" t="n">
        <v>43799</v>
      </c>
      <c r="J547" s="99" t="n">
        <v>43879</v>
      </c>
      <c r="K547" s="100" t="n">
        <v>-69849.51</v>
      </c>
      <c r="L547" s="100" t="n">
        <f aca="false">K547-Q547+T547</f>
        <v>-59194.5</v>
      </c>
      <c r="M547" s="98" t="s">
        <v>149</v>
      </c>
      <c r="N547" s="100" t="n">
        <v>-69849.51</v>
      </c>
      <c r="O547" s="98" t="s">
        <v>149</v>
      </c>
      <c r="P547" s="100" t="n">
        <v>-69849.51</v>
      </c>
      <c r="Q547" s="100" t="n">
        <v>-10655.01</v>
      </c>
      <c r="R547" s="100" t="n">
        <v>-69849.51</v>
      </c>
      <c r="S547" s="100" t="n">
        <v>0</v>
      </c>
      <c r="T547" s="100" t="n">
        <v>0</v>
      </c>
      <c r="U547" s="98" t="s">
        <v>192</v>
      </c>
      <c r="V547" s="98" t="s">
        <v>151</v>
      </c>
      <c r="Y547" s="98" t="s">
        <v>1632</v>
      </c>
      <c r="Z547" s="98" t="s">
        <v>1646</v>
      </c>
      <c r="AB547" s="98" t="s">
        <v>1632</v>
      </c>
      <c r="AD547" s="98" t="s">
        <v>155</v>
      </c>
      <c r="AE547" s="98" t="s">
        <v>156</v>
      </c>
      <c r="AF547" s="98" t="s">
        <v>728</v>
      </c>
      <c r="AG547" s="98" t="s">
        <v>729</v>
      </c>
      <c r="AH547" s="98" t="s">
        <v>730</v>
      </c>
      <c r="AI547" s="98" t="s">
        <v>730</v>
      </c>
      <c r="AJ547" s="98" t="s">
        <v>731</v>
      </c>
      <c r="AK547" s="98" t="s">
        <v>159</v>
      </c>
      <c r="AL547" s="98" t="s">
        <v>224</v>
      </c>
      <c r="AM547" s="98" t="s">
        <v>225</v>
      </c>
      <c r="AP547" s="98" t="s">
        <v>707</v>
      </c>
      <c r="AQ547" s="98" t="s">
        <v>705</v>
      </c>
      <c r="AR547" s="98" t="s">
        <v>1634</v>
      </c>
      <c r="AS547" s="98" t="s">
        <v>1647</v>
      </c>
      <c r="AT547" s="100" t="n">
        <v>0</v>
      </c>
      <c r="AU547" s="100" t="n">
        <v>-69849.51</v>
      </c>
      <c r="AX547" s="98" t="s">
        <v>165</v>
      </c>
      <c r="AMH547" s="0"/>
      <c r="AMI547" s="0"/>
      <c r="AMJ547" s="0"/>
    </row>
    <row r="548" s="98" customFormat="true" ht="13.8" hidden="false" customHeight="false" outlineLevel="0" collapsed="false">
      <c r="A548" s="98" t="s">
        <v>142</v>
      </c>
      <c r="B548" s="98" t="s">
        <v>143</v>
      </c>
      <c r="C548" s="98" t="n">
        <v>51676127</v>
      </c>
      <c r="D548" s="98" t="s">
        <v>1648</v>
      </c>
      <c r="E548" s="98" t="s">
        <v>725</v>
      </c>
      <c r="F548" s="98" t="s">
        <v>167</v>
      </c>
      <c r="G548" s="98" t="s">
        <v>147</v>
      </c>
      <c r="H548" s="98" t="s">
        <v>200</v>
      </c>
      <c r="I548" s="104" t="n">
        <v>43799</v>
      </c>
      <c r="J548" s="99" t="n">
        <v>43879</v>
      </c>
      <c r="K548" s="100" t="n">
        <v>-100485.26</v>
      </c>
      <c r="L548" s="100" t="n">
        <f aca="false">K548-Q548+T548</f>
        <v>-85157</v>
      </c>
      <c r="M548" s="98" t="s">
        <v>149</v>
      </c>
      <c r="N548" s="100" t="n">
        <v>-100485.26</v>
      </c>
      <c r="O548" s="98" t="s">
        <v>149</v>
      </c>
      <c r="P548" s="100" t="n">
        <v>-100485.26</v>
      </c>
      <c r="Q548" s="100" t="n">
        <v>-15328.26</v>
      </c>
      <c r="R548" s="100" t="n">
        <v>-100485.26</v>
      </c>
      <c r="S548" s="100" t="n">
        <v>0</v>
      </c>
      <c r="T548" s="100" t="n">
        <v>0</v>
      </c>
      <c r="U548" s="98" t="s">
        <v>192</v>
      </c>
      <c r="V548" s="98" t="s">
        <v>151</v>
      </c>
      <c r="Y548" s="98" t="s">
        <v>1632</v>
      </c>
      <c r="Z548" s="98" t="s">
        <v>1649</v>
      </c>
      <c r="AB548" s="98" t="s">
        <v>1632</v>
      </c>
      <c r="AD548" s="98" t="s">
        <v>155</v>
      </c>
      <c r="AE548" s="98" t="s">
        <v>156</v>
      </c>
      <c r="AF548" s="98" t="s">
        <v>728</v>
      </c>
      <c r="AG548" s="98" t="s">
        <v>729</v>
      </c>
      <c r="AH548" s="98" t="s">
        <v>730</v>
      </c>
      <c r="AI548" s="98" t="s">
        <v>730</v>
      </c>
      <c r="AJ548" s="98" t="s">
        <v>731</v>
      </c>
      <c r="AK548" s="98" t="s">
        <v>159</v>
      </c>
      <c r="AL548" s="98" t="s">
        <v>224</v>
      </c>
      <c r="AM548" s="98" t="s">
        <v>225</v>
      </c>
      <c r="AP548" s="98" t="s">
        <v>707</v>
      </c>
      <c r="AQ548" s="98" t="s">
        <v>705</v>
      </c>
      <c r="AR548" s="98" t="s">
        <v>1634</v>
      </c>
      <c r="AS548" s="98" t="s">
        <v>1650</v>
      </c>
      <c r="AT548" s="100" t="n">
        <v>0</v>
      </c>
      <c r="AU548" s="100" t="n">
        <v>-100485.26</v>
      </c>
      <c r="AX548" s="98" t="s">
        <v>165</v>
      </c>
      <c r="AMH548" s="0"/>
      <c r="AMI548" s="0"/>
      <c r="AMJ548" s="0"/>
    </row>
    <row r="549" s="98" customFormat="true" ht="13.8" hidden="false" customHeight="false" outlineLevel="0" collapsed="false">
      <c r="A549" s="98" t="s">
        <v>142</v>
      </c>
      <c r="B549" s="98" t="s">
        <v>143</v>
      </c>
      <c r="C549" s="98" t="n">
        <v>51676128</v>
      </c>
      <c r="D549" s="98" t="s">
        <v>1651</v>
      </c>
      <c r="E549" s="98" t="s">
        <v>725</v>
      </c>
      <c r="F549" s="98" t="s">
        <v>167</v>
      </c>
      <c r="G549" s="98" t="s">
        <v>147</v>
      </c>
      <c r="H549" s="98" t="s">
        <v>200</v>
      </c>
      <c r="I549" s="104" t="n">
        <v>43799</v>
      </c>
      <c r="J549" s="99" t="n">
        <v>43879</v>
      </c>
      <c r="K549" s="100" t="n">
        <v>-58820.64</v>
      </c>
      <c r="L549" s="100" t="n">
        <f aca="false">K549-Q549+T549</f>
        <v>-49848</v>
      </c>
      <c r="M549" s="98" t="s">
        <v>149</v>
      </c>
      <c r="N549" s="100" t="n">
        <v>-58820.64</v>
      </c>
      <c r="O549" s="98" t="s">
        <v>149</v>
      </c>
      <c r="P549" s="100" t="n">
        <v>-58820.64</v>
      </c>
      <c r="Q549" s="100" t="n">
        <v>-8972.64</v>
      </c>
      <c r="R549" s="100" t="n">
        <v>-58820.64</v>
      </c>
      <c r="S549" s="100" t="n">
        <v>0</v>
      </c>
      <c r="T549" s="100" t="n">
        <v>0</v>
      </c>
      <c r="U549" s="98" t="s">
        <v>192</v>
      </c>
      <c r="V549" s="98" t="s">
        <v>151</v>
      </c>
      <c r="Y549" s="98" t="s">
        <v>1632</v>
      </c>
      <c r="Z549" s="98" t="s">
        <v>1652</v>
      </c>
      <c r="AB549" s="98" t="s">
        <v>1632</v>
      </c>
      <c r="AD549" s="98" t="s">
        <v>155</v>
      </c>
      <c r="AE549" s="98" t="s">
        <v>156</v>
      </c>
      <c r="AF549" s="98" t="s">
        <v>728</v>
      </c>
      <c r="AG549" s="98" t="s">
        <v>729</v>
      </c>
      <c r="AH549" s="98" t="s">
        <v>730</v>
      </c>
      <c r="AI549" s="98" t="s">
        <v>730</v>
      </c>
      <c r="AJ549" s="98" t="s">
        <v>731</v>
      </c>
      <c r="AK549" s="98" t="s">
        <v>159</v>
      </c>
      <c r="AL549" s="98" t="s">
        <v>224</v>
      </c>
      <c r="AM549" s="98" t="s">
        <v>225</v>
      </c>
      <c r="AP549" s="98" t="s">
        <v>707</v>
      </c>
      <c r="AQ549" s="98" t="s">
        <v>705</v>
      </c>
      <c r="AR549" s="98" t="s">
        <v>1634</v>
      </c>
      <c r="AS549" s="98" t="s">
        <v>1653</v>
      </c>
      <c r="AT549" s="100" t="n">
        <v>0</v>
      </c>
      <c r="AU549" s="100" t="n">
        <v>-58820.64</v>
      </c>
      <c r="AX549" s="98" t="s">
        <v>165</v>
      </c>
      <c r="AMH549" s="0"/>
      <c r="AMI549" s="0"/>
      <c r="AMJ549" s="0"/>
    </row>
    <row r="550" s="98" customFormat="true" ht="13.8" hidden="false" customHeight="false" outlineLevel="0" collapsed="false">
      <c r="A550" s="98" t="s">
        <v>142</v>
      </c>
      <c r="B550" s="98" t="s">
        <v>143</v>
      </c>
      <c r="C550" s="98" t="n">
        <v>51676129</v>
      </c>
      <c r="D550" s="98" t="s">
        <v>1654</v>
      </c>
      <c r="E550" s="98" t="s">
        <v>725</v>
      </c>
      <c r="F550" s="98" t="s">
        <v>167</v>
      </c>
      <c r="G550" s="98" t="s">
        <v>147</v>
      </c>
      <c r="H550" s="98" t="s">
        <v>200</v>
      </c>
      <c r="I550" s="104" t="n">
        <v>43799</v>
      </c>
      <c r="J550" s="99" t="n">
        <v>43879</v>
      </c>
      <c r="K550" s="100" t="n">
        <v>-15340</v>
      </c>
      <c r="L550" s="100" t="n">
        <f aca="false">K550-Q550+T550</f>
        <v>-13000</v>
      </c>
      <c r="M550" s="98" t="s">
        <v>149</v>
      </c>
      <c r="N550" s="100" t="n">
        <v>-15340</v>
      </c>
      <c r="O550" s="98" t="s">
        <v>149</v>
      </c>
      <c r="P550" s="100" t="n">
        <v>-15340</v>
      </c>
      <c r="Q550" s="100" t="n">
        <v>-2340</v>
      </c>
      <c r="R550" s="100" t="n">
        <v>-15340</v>
      </c>
      <c r="S550" s="100" t="n">
        <v>0</v>
      </c>
      <c r="T550" s="100" t="n">
        <v>0</v>
      </c>
      <c r="U550" s="98" t="s">
        <v>192</v>
      </c>
      <c r="V550" s="98" t="s">
        <v>151</v>
      </c>
      <c r="Y550" s="98" t="s">
        <v>1632</v>
      </c>
      <c r="Z550" s="98" t="s">
        <v>1655</v>
      </c>
      <c r="AB550" s="98" t="s">
        <v>1632</v>
      </c>
      <c r="AD550" s="98" t="s">
        <v>155</v>
      </c>
      <c r="AE550" s="98" t="s">
        <v>156</v>
      </c>
      <c r="AF550" s="98" t="s">
        <v>728</v>
      </c>
      <c r="AG550" s="98" t="s">
        <v>729</v>
      </c>
      <c r="AH550" s="98" t="s">
        <v>730</v>
      </c>
      <c r="AI550" s="98" t="s">
        <v>730</v>
      </c>
      <c r="AJ550" s="98" t="s">
        <v>731</v>
      </c>
      <c r="AK550" s="98" t="s">
        <v>159</v>
      </c>
      <c r="AL550" s="98" t="s">
        <v>224</v>
      </c>
      <c r="AM550" s="98" t="s">
        <v>225</v>
      </c>
      <c r="AP550" s="98" t="s">
        <v>707</v>
      </c>
      <c r="AQ550" s="98" t="s">
        <v>705</v>
      </c>
      <c r="AR550" s="98" t="s">
        <v>1634</v>
      </c>
      <c r="AS550" s="98" t="s">
        <v>1656</v>
      </c>
      <c r="AT550" s="100" t="n">
        <v>0</v>
      </c>
      <c r="AU550" s="100" t="n">
        <v>-15340</v>
      </c>
      <c r="AX550" s="98" t="s">
        <v>165</v>
      </c>
      <c r="AMH550" s="0"/>
      <c r="AMI550" s="0"/>
      <c r="AMJ550" s="0"/>
    </row>
    <row r="551" s="98" customFormat="true" ht="13.8" hidden="false" customHeight="false" outlineLevel="0" collapsed="false">
      <c r="A551" s="98" t="s">
        <v>142</v>
      </c>
      <c r="B551" s="98" t="s">
        <v>143</v>
      </c>
      <c r="C551" s="98" t="n">
        <v>51676130</v>
      </c>
      <c r="D551" s="98" t="s">
        <v>1657</v>
      </c>
      <c r="E551" s="98" t="s">
        <v>725</v>
      </c>
      <c r="F551" s="98" t="s">
        <v>167</v>
      </c>
      <c r="G551" s="98" t="s">
        <v>147</v>
      </c>
      <c r="H551" s="98" t="s">
        <v>200</v>
      </c>
      <c r="I551" s="104" t="n">
        <v>43799</v>
      </c>
      <c r="J551" s="99" t="n">
        <v>43879</v>
      </c>
      <c r="K551" s="100" t="n">
        <v>-28184.89</v>
      </c>
      <c r="L551" s="100" t="n">
        <f aca="false">K551-Q551+T551</f>
        <v>-23885.5</v>
      </c>
      <c r="M551" s="98" t="s">
        <v>149</v>
      </c>
      <c r="N551" s="100" t="n">
        <v>-28184.89</v>
      </c>
      <c r="O551" s="98" t="s">
        <v>149</v>
      </c>
      <c r="P551" s="100" t="n">
        <v>-28184.89</v>
      </c>
      <c r="Q551" s="100" t="n">
        <v>-4299.39</v>
      </c>
      <c r="R551" s="100" t="n">
        <v>-28184.89</v>
      </c>
      <c r="S551" s="100" t="n">
        <v>0</v>
      </c>
      <c r="T551" s="100" t="n">
        <v>0</v>
      </c>
      <c r="U551" s="98" t="s">
        <v>192</v>
      </c>
      <c r="V551" s="98" t="s">
        <v>151</v>
      </c>
      <c r="Y551" s="98" t="s">
        <v>1632</v>
      </c>
      <c r="Z551" s="98" t="s">
        <v>1658</v>
      </c>
      <c r="AB551" s="98" t="s">
        <v>1632</v>
      </c>
      <c r="AD551" s="98" t="s">
        <v>155</v>
      </c>
      <c r="AE551" s="98" t="s">
        <v>156</v>
      </c>
      <c r="AF551" s="98" t="s">
        <v>728</v>
      </c>
      <c r="AG551" s="98" t="s">
        <v>729</v>
      </c>
      <c r="AH551" s="98" t="s">
        <v>730</v>
      </c>
      <c r="AI551" s="98" t="s">
        <v>730</v>
      </c>
      <c r="AJ551" s="98" t="s">
        <v>731</v>
      </c>
      <c r="AK551" s="98" t="s">
        <v>159</v>
      </c>
      <c r="AL551" s="98" t="s">
        <v>224</v>
      </c>
      <c r="AM551" s="98" t="s">
        <v>225</v>
      </c>
      <c r="AP551" s="98" t="s">
        <v>707</v>
      </c>
      <c r="AQ551" s="98" t="s">
        <v>705</v>
      </c>
      <c r="AR551" s="98" t="s">
        <v>1634</v>
      </c>
      <c r="AS551" s="98" t="s">
        <v>1659</v>
      </c>
      <c r="AT551" s="100" t="n">
        <v>0</v>
      </c>
      <c r="AU551" s="100" t="n">
        <v>-28184.89</v>
      </c>
      <c r="AX551" s="98" t="s">
        <v>165</v>
      </c>
      <c r="AMH551" s="0"/>
      <c r="AMI551" s="0"/>
      <c r="AMJ551" s="0"/>
    </row>
    <row r="552" s="98" customFormat="true" ht="13.8" hidden="false" customHeight="false" outlineLevel="0" collapsed="false">
      <c r="A552" s="98" t="s">
        <v>142</v>
      </c>
      <c r="B552" s="98" t="s">
        <v>143</v>
      </c>
      <c r="C552" s="98" t="n">
        <v>51675936</v>
      </c>
      <c r="D552" s="98" t="s">
        <v>1660</v>
      </c>
      <c r="E552" s="98" t="s">
        <v>725</v>
      </c>
      <c r="F552" s="98" t="s">
        <v>167</v>
      </c>
      <c r="G552" s="98" t="s">
        <v>147</v>
      </c>
      <c r="H552" s="98" t="s">
        <v>200</v>
      </c>
      <c r="I552" s="104" t="n">
        <v>43798</v>
      </c>
      <c r="J552" s="99" t="n">
        <v>43879</v>
      </c>
      <c r="K552" s="100" t="n">
        <v>-240686.25</v>
      </c>
      <c r="L552" s="100" t="n">
        <f aca="false">K552-Q552+T552</f>
        <v>-203971.45</v>
      </c>
      <c r="M552" s="98" t="s">
        <v>149</v>
      </c>
      <c r="N552" s="100" t="n">
        <v>-240686.25</v>
      </c>
      <c r="O552" s="98" t="s">
        <v>149</v>
      </c>
      <c r="P552" s="100" t="n">
        <v>-240686.25</v>
      </c>
      <c r="Q552" s="100" t="n">
        <v>-36714.8</v>
      </c>
      <c r="R552" s="100" t="n">
        <v>-240686.25</v>
      </c>
      <c r="S552" s="100" t="n">
        <v>0</v>
      </c>
      <c r="T552" s="100" t="n">
        <v>0</v>
      </c>
      <c r="U552" s="98" t="s">
        <v>192</v>
      </c>
      <c r="V552" s="98" t="s">
        <v>151</v>
      </c>
      <c r="Y552" s="98" t="s">
        <v>1632</v>
      </c>
      <c r="Z552" s="98" t="s">
        <v>1661</v>
      </c>
      <c r="AB552" s="98" t="s">
        <v>1632</v>
      </c>
      <c r="AD552" s="98" t="s">
        <v>155</v>
      </c>
      <c r="AE552" s="98" t="s">
        <v>156</v>
      </c>
      <c r="AF552" s="98" t="s">
        <v>728</v>
      </c>
      <c r="AG552" s="98" t="s">
        <v>729</v>
      </c>
      <c r="AH552" s="98" t="s">
        <v>730</v>
      </c>
      <c r="AI552" s="98" t="s">
        <v>730</v>
      </c>
      <c r="AJ552" s="98" t="s">
        <v>731</v>
      </c>
      <c r="AK552" s="98" t="s">
        <v>159</v>
      </c>
      <c r="AL552" s="98" t="s">
        <v>224</v>
      </c>
      <c r="AM552" s="98" t="s">
        <v>225</v>
      </c>
      <c r="AP552" s="98" t="s">
        <v>707</v>
      </c>
      <c r="AQ552" s="98" t="s">
        <v>705</v>
      </c>
      <c r="AR552" s="98" t="s">
        <v>1634</v>
      </c>
      <c r="AS552" s="98" t="s">
        <v>1662</v>
      </c>
      <c r="AT552" s="100" t="n">
        <v>0</v>
      </c>
      <c r="AU552" s="100" t="n">
        <v>-240686.25</v>
      </c>
      <c r="AX552" s="98" t="s">
        <v>165</v>
      </c>
      <c r="AMH552" s="0"/>
      <c r="AMI552" s="0"/>
      <c r="AMJ552" s="0"/>
    </row>
    <row r="553" s="98" customFormat="true" ht="13.8" hidden="false" customHeight="false" outlineLevel="0" collapsed="false">
      <c r="A553" s="98" t="s">
        <v>142</v>
      </c>
      <c r="B553" s="98" t="s">
        <v>143</v>
      </c>
      <c r="C553" s="98" t="n">
        <v>51675981</v>
      </c>
      <c r="D553" s="98" t="s">
        <v>1663</v>
      </c>
      <c r="E553" s="98" t="s">
        <v>725</v>
      </c>
      <c r="F553" s="98" t="s">
        <v>167</v>
      </c>
      <c r="G553" s="98" t="s">
        <v>147</v>
      </c>
      <c r="H553" s="98" t="s">
        <v>200</v>
      </c>
      <c r="I553" s="104" t="n">
        <v>43798</v>
      </c>
      <c r="J553" s="99" t="n">
        <v>43879</v>
      </c>
      <c r="K553" s="100" t="n">
        <v>-234877.68</v>
      </c>
      <c r="L553" s="100" t="n">
        <f aca="false">K553-Q553+T553</f>
        <v>-199048.88</v>
      </c>
      <c r="M553" s="98" t="s">
        <v>149</v>
      </c>
      <c r="N553" s="100" t="n">
        <v>-234877.68</v>
      </c>
      <c r="O553" s="98" t="s">
        <v>149</v>
      </c>
      <c r="P553" s="100" t="n">
        <v>-234877.68</v>
      </c>
      <c r="Q553" s="100" t="n">
        <v>-35828.8</v>
      </c>
      <c r="R553" s="100" t="n">
        <v>-234877.68</v>
      </c>
      <c r="S553" s="100" t="n">
        <v>0</v>
      </c>
      <c r="T553" s="100" t="n">
        <v>0</v>
      </c>
      <c r="U553" s="98" t="s">
        <v>192</v>
      </c>
      <c r="V553" s="98" t="s">
        <v>151</v>
      </c>
      <c r="Y553" s="98" t="s">
        <v>1632</v>
      </c>
      <c r="Z553" s="98" t="s">
        <v>1664</v>
      </c>
      <c r="AB553" s="98" t="s">
        <v>1632</v>
      </c>
      <c r="AD553" s="98" t="s">
        <v>155</v>
      </c>
      <c r="AE553" s="98" t="s">
        <v>156</v>
      </c>
      <c r="AF553" s="98" t="s">
        <v>728</v>
      </c>
      <c r="AG553" s="98" t="s">
        <v>729</v>
      </c>
      <c r="AH553" s="98" t="s">
        <v>730</v>
      </c>
      <c r="AI553" s="98" t="s">
        <v>730</v>
      </c>
      <c r="AJ553" s="98" t="s">
        <v>731</v>
      </c>
      <c r="AK553" s="98" t="s">
        <v>159</v>
      </c>
      <c r="AL553" s="98" t="s">
        <v>224</v>
      </c>
      <c r="AM553" s="98" t="s">
        <v>225</v>
      </c>
      <c r="AP553" s="98" t="s">
        <v>707</v>
      </c>
      <c r="AQ553" s="98" t="s">
        <v>705</v>
      </c>
      <c r="AR553" s="98" t="s">
        <v>1634</v>
      </c>
      <c r="AS553" s="98" t="s">
        <v>1665</v>
      </c>
      <c r="AT553" s="100" t="n">
        <v>0</v>
      </c>
      <c r="AU553" s="100" t="n">
        <v>-234877.68</v>
      </c>
      <c r="AX553" s="98" t="s">
        <v>165</v>
      </c>
      <c r="AMH553" s="0"/>
      <c r="AMI553" s="0"/>
      <c r="AMJ553" s="0"/>
    </row>
    <row r="554" s="98" customFormat="true" ht="13.8" hidden="false" customHeight="false" outlineLevel="0" collapsed="false">
      <c r="A554" s="98" t="s">
        <v>142</v>
      </c>
      <c r="B554" s="98" t="s">
        <v>143</v>
      </c>
      <c r="C554" s="98" t="n">
        <v>51675990</v>
      </c>
      <c r="D554" s="98" t="s">
        <v>1666</v>
      </c>
      <c r="E554" s="98" t="s">
        <v>725</v>
      </c>
      <c r="F554" s="98" t="s">
        <v>167</v>
      </c>
      <c r="G554" s="98" t="s">
        <v>147</v>
      </c>
      <c r="H554" s="98" t="s">
        <v>200</v>
      </c>
      <c r="I554" s="104" t="n">
        <v>43798</v>
      </c>
      <c r="J554" s="99" t="n">
        <v>43879</v>
      </c>
      <c r="K554" s="100" t="n">
        <v>-114495.44</v>
      </c>
      <c r="L554" s="100" t="n">
        <f aca="false">K554-Q554+T554</f>
        <v>-97030.09</v>
      </c>
      <c r="M554" s="98" t="s">
        <v>149</v>
      </c>
      <c r="N554" s="100" t="n">
        <v>-114495.44</v>
      </c>
      <c r="O554" s="98" t="s">
        <v>149</v>
      </c>
      <c r="P554" s="100" t="n">
        <v>-114495.44</v>
      </c>
      <c r="Q554" s="100" t="n">
        <v>-17465.35</v>
      </c>
      <c r="R554" s="100" t="n">
        <v>-114495.44</v>
      </c>
      <c r="S554" s="100" t="n">
        <v>0</v>
      </c>
      <c r="T554" s="100" t="n">
        <v>0</v>
      </c>
      <c r="U554" s="98" t="s">
        <v>192</v>
      </c>
      <c r="V554" s="98" t="s">
        <v>151</v>
      </c>
      <c r="Y554" s="98" t="s">
        <v>1632</v>
      </c>
      <c r="Z554" s="98" t="s">
        <v>1667</v>
      </c>
      <c r="AB554" s="98" t="s">
        <v>1632</v>
      </c>
      <c r="AD554" s="98" t="s">
        <v>155</v>
      </c>
      <c r="AE554" s="98" t="s">
        <v>156</v>
      </c>
      <c r="AF554" s="98" t="s">
        <v>728</v>
      </c>
      <c r="AG554" s="98" t="s">
        <v>729</v>
      </c>
      <c r="AH554" s="98" t="s">
        <v>730</v>
      </c>
      <c r="AI554" s="98" t="s">
        <v>730</v>
      </c>
      <c r="AJ554" s="98" t="s">
        <v>731</v>
      </c>
      <c r="AK554" s="98" t="s">
        <v>159</v>
      </c>
      <c r="AL554" s="98" t="s">
        <v>224</v>
      </c>
      <c r="AM554" s="98" t="s">
        <v>225</v>
      </c>
      <c r="AP554" s="98" t="s">
        <v>707</v>
      </c>
      <c r="AQ554" s="98" t="s">
        <v>705</v>
      </c>
      <c r="AR554" s="98" t="s">
        <v>1634</v>
      </c>
      <c r="AS554" s="98" t="s">
        <v>1668</v>
      </c>
      <c r="AT554" s="100" t="n">
        <v>0</v>
      </c>
      <c r="AU554" s="100" t="n">
        <v>-114495.44</v>
      </c>
      <c r="AX554" s="98" t="s">
        <v>165</v>
      </c>
      <c r="AMH554" s="0"/>
      <c r="AMI554" s="0"/>
      <c r="AMJ554" s="0"/>
    </row>
    <row r="555" s="98" customFormat="true" ht="13.8" hidden="false" customHeight="false" outlineLevel="0" collapsed="false">
      <c r="A555" s="98" t="s">
        <v>142</v>
      </c>
      <c r="B555" s="98" t="s">
        <v>143</v>
      </c>
      <c r="C555" s="98" t="n">
        <v>51675998</v>
      </c>
      <c r="D555" s="98" t="s">
        <v>1669</v>
      </c>
      <c r="E555" s="98" t="s">
        <v>725</v>
      </c>
      <c r="F555" s="98" t="s">
        <v>167</v>
      </c>
      <c r="G555" s="98" t="s">
        <v>147</v>
      </c>
      <c r="H555" s="98" t="s">
        <v>200</v>
      </c>
      <c r="I555" s="104" t="n">
        <v>43798</v>
      </c>
      <c r="J555" s="99" t="n">
        <v>43879</v>
      </c>
      <c r="K555" s="100" t="n">
        <v>-1344332.32</v>
      </c>
      <c r="L555" s="100" t="n">
        <f aca="false">K555-Q555+T555</f>
        <v>-1139264.69</v>
      </c>
      <c r="M555" s="98" t="s">
        <v>149</v>
      </c>
      <c r="N555" s="100" t="n">
        <v>-1344332.32</v>
      </c>
      <c r="O555" s="98" t="s">
        <v>149</v>
      </c>
      <c r="P555" s="100" t="n">
        <v>-1344332.32</v>
      </c>
      <c r="Q555" s="100" t="n">
        <v>-205067.63</v>
      </c>
      <c r="R555" s="100" t="n">
        <v>-1344332.32</v>
      </c>
      <c r="S555" s="100" t="n">
        <v>0</v>
      </c>
      <c r="T555" s="100" t="n">
        <v>0</v>
      </c>
      <c r="U555" s="98" t="s">
        <v>192</v>
      </c>
      <c r="V555" s="98" t="s">
        <v>151</v>
      </c>
      <c r="Y555" s="98" t="s">
        <v>1632</v>
      </c>
      <c r="Z555" s="98" t="s">
        <v>1670</v>
      </c>
      <c r="AB555" s="98" t="s">
        <v>1632</v>
      </c>
      <c r="AD555" s="98" t="s">
        <v>155</v>
      </c>
      <c r="AE555" s="98" t="s">
        <v>156</v>
      </c>
      <c r="AF555" s="98" t="s">
        <v>728</v>
      </c>
      <c r="AG555" s="98" t="s">
        <v>729</v>
      </c>
      <c r="AH555" s="98" t="s">
        <v>730</v>
      </c>
      <c r="AI555" s="98" t="s">
        <v>730</v>
      </c>
      <c r="AJ555" s="98" t="s">
        <v>731</v>
      </c>
      <c r="AK555" s="98" t="s">
        <v>159</v>
      </c>
      <c r="AL555" s="98" t="s">
        <v>224</v>
      </c>
      <c r="AM555" s="98" t="s">
        <v>225</v>
      </c>
      <c r="AP555" s="98" t="s">
        <v>707</v>
      </c>
      <c r="AQ555" s="98" t="s">
        <v>705</v>
      </c>
      <c r="AR555" s="98" t="s">
        <v>1634</v>
      </c>
      <c r="AS555" s="98" t="s">
        <v>1671</v>
      </c>
      <c r="AT555" s="100" t="n">
        <v>0</v>
      </c>
      <c r="AU555" s="100" t="n">
        <v>-1344332.32</v>
      </c>
      <c r="AX555" s="98" t="s">
        <v>165</v>
      </c>
      <c r="AMH555" s="0"/>
      <c r="AMI555" s="0"/>
      <c r="AMJ555" s="0"/>
    </row>
    <row r="556" s="98" customFormat="true" ht="13.8" hidden="false" customHeight="false" outlineLevel="0" collapsed="false">
      <c r="A556" s="98" t="s">
        <v>142</v>
      </c>
      <c r="B556" s="98" t="s">
        <v>143</v>
      </c>
      <c r="C556" s="98" t="n">
        <v>51676073</v>
      </c>
      <c r="D556" s="98" t="s">
        <v>1672</v>
      </c>
      <c r="E556" s="98" t="s">
        <v>725</v>
      </c>
      <c r="F556" s="98" t="s">
        <v>167</v>
      </c>
      <c r="G556" s="98" t="s">
        <v>147</v>
      </c>
      <c r="H556" s="98" t="s">
        <v>200</v>
      </c>
      <c r="I556" s="104" t="n">
        <v>43798</v>
      </c>
      <c r="J556" s="99" t="n">
        <v>43879</v>
      </c>
      <c r="K556" s="100" t="n">
        <v>-215143.5</v>
      </c>
      <c r="L556" s="100" t="n">
        <f aca="false">K556-Q556+T556</f>
        <v>-182325</v>
      </c>
      <c r="M556" s="98" t="s">
        <v>149</v>
      </c>
      <c r="N556" s="100" t="n">
        <v>-215143.5</v>
      </c>
      <c r="O556" s="98" t="s">
        <v>149</v>
      </c>
      <c r="P556" s="100" t="n">
        <v>-215143.5</v>
      </c>
      <c r="Q556" s="100" t="n">
        <v>-32818.5</v>
      </c>
      <c r="R556" s="100" t="n">
        <v>-215143.5</v>
      </c>
      <c r="S556" s="100" t="n">
        <v>0</v>
      </c>
      <c r="T556" s="100" t="n">
        <v>0</v>
      </c>
      <c r="U556" s="98" t="s">
        <v>192</v>
      </c>
      <c r="V556" s="98" t="s">
        <v>151</v>
      </c>
      <c r="Y556" s="98" t="s">
        <v>1632</v>
      </c>
      <c r="Z556" s="98" t="s">
        <v>1673</v>
      </c>
      <c r="AB556" s="98" t="s">
        <v>1632</v>
      </c>
      <c r="AD556" s="98" t="s">
        <v>155</v>
      </c>
      <c r="AE556" s="98" t="s">
        <v>156</v>
      </c>
      <c r="AF556" s="98" t="s">
        <v>728</v>
      </c>
      <c r="AG556" s="98" t="s">
        <v>729</v>
      </c>
      <c r="AH556" s="98" t="s">
        <v>730</v>
      </c>
      <c r="AI556" s="98" t="s">
        <v>730</v>
      </c>
      <c r="AJ556" s="98" t="s">
        <v>731</v>
      </c>
      <c r="AK556" s="98" t="s">
        <v>159</v>
      </c>
      <c r="AL556" s="98" t="s">
        <v>224</v>
      </c>
      <c r="AM556" s="98" t="s">
        <v>225</v>
      </c>
      <c r="AP556" s="98" t="s">
        <v>707</v>
      </c>
      <c r="AQ556" s="98" t="s">
        <v>705</v>
      </c>
      <c r="AR556" s="98" t="s">
        <v>1634</v>
      </c>
      <c r="AS556" s="98" t="s">
        <v>1674</v>
      </c>
      <c r="AT556" s="100" t="n">
        <v>0</v>
      </c>
      <c r="AU556" s="100" t="n">
        <v>-215143.5</v>
      </c>
      <c r="AX556" s="98" t="s">
        <v>165</v>
      </c>
      <c r="AMH556" s="0"/>
      <c r="AMI556" s="0"/>
      <c r="AMJ556" s="0"/>
    </row>
    <row r="557" s="98" customFormat="true" ht="13.8" hidden="false" customHeight="false" outlineLevel="0" collapsed="false">
      <c r="A557" s="98" t="s">
        <v>142</v>
      </c>
      <c r="B557" s="98" t="s">
        <v>143</v>
      </c>
      <c r="C557" s="98" t="n">
        <v>51676085</v>
      </c>
      <c r="D557" s="98" t="s">
        <v>1675</v>
      </c>
      <c r="E557" s="98" t="s">
        <v>725</v>
      </c>
      <c r="F557" s="98" t="s">
        <v>167</v>
      </c>
      <c r="G557" s="98" t="s">
        <v>147</v>
      </c>
      <c r="H557" s="98" t="s">
        <v>200</v>
      </c>
      <c r="I557" s="104" t="n">
        <v>43798</v>
      </c>
      <c r="J557" s="99" t="n">
        <v>43879</v>
      </c>
      <c r="K557" s="100" t="n">
        <v>-260780</v>
      </c>
      <c r="L557" s="100" t="n">
        <f aca="false">K557-Q557+T557</f>
        <v>-221000</v>
      </c>
      <c r="M557" s="98" t="s">
        <v>149</v>
      </c>
      <c r="N557" s="100" t="n">
        <v>-260780</v>
      </c>
      <c r="O557" s="98" t="s">
        <v>149</v>
      </c>
      <c r="P557" s="100" t="n">
        <v>-260780</v>
      </c>
      <c r="Q557" s="100" t="n">
        <v>-39780</v>
      </c>
      <c r="R557" s="100" t="n">
        <v>-260780</v>
      </c>
      <c r="S557" s="100" t="n">
        <v>0</v>
      </c>
      <c r="T557" s="100" t="n">
        <v>0</v>
      </c>
      <c r="U557" s="98" t="s">
        <v>192</v>
      </c>
      <c r="V557" s="98" t="s">
        <v>151</v>
      </c>
      <c r="Y557" s="98" t="s">
        <v>1632</v>
      </c>
      <c r="Z557" s="98" t="s">
        <v>1676</v>
      </c>
      <c r="AB557" s="98" t="s">
        <v>1632</v>
      </c>
      <c r="AD557" s="98" t="s">
        <v>155</v>
      </c>
      <c r="AE557" s="98" t="s">
        <v>156</v>
      </c>
      <c r="AF557" s="98" t="s">
        <v>728</v>
      </c>
      <c r="AG557" s="98" t="s">
        <v>729</v>
      </c>
      <c r="AH557" s="98" t="s">
        <v>730</v>
      </c>
      <c r="AI557" s="98" t="s">
        <v>730</v>
      </c>
      <c r="AJ557" s="98" t="s">
        <v>731</v>
      </c>
      <c r="AK557" s="98" t="s">
        <v>159</v>
      </c>
      <c r="AL557" s="98" t="s">
        <v>224</v>
      </c>
      <c r="AM557" s="98" t="s">
        <v>225</v>
      </c>
      <c r="AP557" s="98" t="s">
        <v>707</v>
      </c>
      <c r="AQ557" s="98" t="s">
        <v>705</v>
      </c>
      <c r="AR557" s="98" t="s">
        <v>1634</v>
      </c>
      <c r="AS557" s="98" t="s">
        <v>1677</v>
      </c>
      <c r="AT557" s="100" t="n">
        <v>0</v>
      </c>
      <c r="AU557" s="100" t="n">
        <v>-260780</v>
      </c>
      <c r="AX557" s="98" t="s">
        <v>165</v>
      </c>
      <c r="AMH557" s="0"/>
      <c r="AMI557" s="0"/>
      <c r="AMJ557" s="0"/>
    </row>
    <row r="558" s="98" customFormat="true" ht="13.8" hidden="false" customHeight="false" outlineLevel="0" collapsed="false">
      <c r="A558" s="98" t="s">
        <v>142</v>
      </c>
      <c r="B558" s="98" t="s">
        <v>143</v>
      </c>
      <c r="C558" s="98" t="n">
        <v>51676111</v>
      </c>
      <c r="D558" s="98" t="s">
        <v>1678</v>
      </c>
      <c r="E558" s="98" t="s">
        <v>725</v>
      </c>
      <c r="F558" s="98" t="s">
        <v>167</v>
      </c>
      <c r="G558" s="98" t="s">
        <v>147</v>
      </c>
      <c r="H558" s="98" t="s">
        <v>200</v>
      </c>
      <c r="I558" s="104" t="n">
        <v>43798</v>
      </c>
      <c r="J558" s="99" t="n">
        <v>43879</v>
      </c>
      <c r="K558" s="100" t="n">
        <v>-1121875.64</v>
      </c>
      <c r="L558" s="100" t="n">
        <f aca="false">K558-Q558+T558</f>
        <v>-950742.02</v>
      </c>
      <c r="M558" s="98" t="s">
        <v>149</v>
      </c>
      <c r="N558" s="100" t="n">
        <v>-1121875.64</v>
      </c>
      <c r="O558" s="98" t="s">
        <v>149</v>
      </c>
      <c r="P558" s="100" t="n">
        <v>-1121875.64</v>
      </c>
      <c r="Q558" s="100" t="n">
        <v>-171133.62</v>
      </c>
      <c r="R558" s="100" t="n">
        <v>-1121875.64</v>
      </c>
      <c r="S558" s="100" t="n">
        <v>0</v>
      </c>
      <c r="T558" s="100" t="n">
        <v>0</v>
      </c>
      <c r="U558" s="98" t="s">
        <v>192</v>
      </c>
      <c r="V558" s="98" t="s">
        <v>151</v>
      </c>
      <c r="Y558" s="98" t="s">
        <v>1632</v>
      </c>
      <c r="Z558" s="98" t="s">
        <v>1679</v>
      </c>
      <c r="AB558" s="98" t="s">
        <v>1632</v>
      </c>
      <c r="AD558" s="98" t="s">
        <v>155</v>
      </c>
      <c r="AE558" s="98" t="s">
        <v>156</v>
      </c>
      <c r="AF558" s="98" t="s">
        <v>728</v>
      </c>
      <c r="AG558" s="98" t="s">
        <v>729</v>
      </c>
      <c r="AH558" s="98" t="s">
        <v>730</v>
      </c>
      <c r="AI558" s="98" t="s">
        <v>730</v>
      </c>
      <c r="AJ558" s="98" t="s">
        <v>731</v>
      </c>
      <c r="AK558" s="98" t="s">
        <v>159</v>
      </c>
      <c r="AL558" s="98" t="s">
        <v>224</v>
      </c>
      <c r="AM558" s="98" t="s">
        <v>225</v>
      </c>
      <c r="AP558" s="98" t="s">
        <v>707</v>
      </c>
      <c r="AQ558" s="98" t="s">
        <v>705</v>
      </c>
      <c r="AR558" s="98" t="s">
        <v>1634</v>
      </c>
      <c r="AS558" s="98" t="s">
        <v>1680</v>
      </c>
      <c r="AT558" s="100" t="n">
        <v>0</v>
      </c>
      <c r="AU558" s="100" t="n">
        <v>-1121875.64</v>
      </c>
      <c r="AX558" s="98" t="s">
        <v>165</v>
      </c>
      <c r="AMH558" s="0"/>
      <c r="AMI558" s="0"/>
      <c r="AMJ558" s="0"/>
    </row>
    <row r="559" s="98" customFormat="true" ht="13.8" hidden="false" customHeight="false" outlineLevel="0" collapsed="false">
      <c r="A559" s="98" t="s">
        <v>142</v>
      </c>
      <c r="B559" s="98" t="s">
        <v>143</v>
      </c>
      <c r="C559" s="98" t="n">
        <v>51676118</v>
      </c>
      <c r="D559" s="98" t="s">
        <v>1681</v>
      </c>
      <c r="E559" s="98" t="s">
        <v>725</v>
      </c>
      <c r="F559" s="98" t="s">
        <v>167</v>
      </c>
      <c r="G559" s="98" t="s">
        <v>147</v>
      </c>
      <c r="H559" s="98" t="s">
        <v>200</v>
      </c>
      <c r="I559" s="104" t="n">
        <v>43798</v>
      </c>
      <c r="J559" s="99" t="n">
        <v>43879</v>
      </c>
      <c r="K559" s="100" t="n">
        <v>-779581.61</v>
      </c>
      <c r="L559" s="100" t="n">
        <f aca="false">K559-Q559+T559</f>
        <v>-660662.28</v>
      </c>
      <c r="M559" s="98" t="s">
        <v>149</v>
      </c>
      <c r="N559" s="100" t="n">
        <v>-779581.61</v>
      </c>
      <c r="O559" s="98" t="s">
        <v>149</v>
      </c>
      <c r="P559" s="100" t="n">
        <v>-779581.61</v>
      </c>
      <c r="Q559" s="100" t="n">
        <v>-118919.33</v>
      </c>
      <c r="R559" s="100" t="n">
        <v>-779581.61</v>
      </c>
      <c r="S559" s="100" t="n">
        <v>0</v>
      </c>
      <c r="T559" s="100" t="n">
        <v>0</v>
      </c>
      <c r="U559" s="98" t="s">
        <v>192</v>
      </c>
      <c r="V559" s="98" t="s">
        <v>151</v>
      </c>
      <c r="Y559" s="98" t="s">
        <v>1632</v>
      </c>
      <c r="Z559" s="98" t="s">
        <v>1682</v>
      </c>
      <c r="AB559" s="98" t="s">
        <v>1632</v>
      </c>
      <c r="AD559" s="98" t="s">
        <v>155</v>
      </c>
      <c r="AE559" s="98" t="s">
        <v>156</v>
      </c>
      <c r="AF559" s="98" t="s">
        <v>728</v>
      </c>
      <c r="AG559" s="98" t="s">
        <v>729</v>
      </c>
      <c r="AH559" s="98" t="s">
        <v>730</v>
      </c>
      <c r="AI559" s="98" t="s">
        <v>730</v>
      </c>
      <c r="AJ559" s="98" t="s">
        <v>731</v>
      </c>
      <c r="AK559" s="98" t="s">
        <v>159</v>
      </c>
      <c r="AL559" s="98" t="s">
        <v>224</v>
      </c>
      <c r="AM559" s="98" t="s">
        <v>225</v>
      </c>
      <c r="AP559" s="98" t="s">
        <v>707</v>
      </c>
      <c r="AQ559" s="98" t="s">
        <v>705</v>
      </c>
      <c r="AR559" s="98" t="s">
        <v>1634</v>
      </c>
      <c r="AS559" s="98" t="s">
        <v>1683</v>
      </c>
      <c r="AT559" s="100" t="n">
        <v>0</v>
      </c>
      <c r="AU559" s="100" t="n">
        <v>-779581.61</v>
      </c>
      <c r="AX559" s="98" t="s">
        <v>165</v>
      </c>
      <c r="AMH559" s="0"/>
      <c r="AMI559" s="0"/>
      <c r="AMJ559" s="0"/>
    </row>
    <row r="560" s="98" customFormat="true" ht="13.8" hidden="false" customHeight="false" outlineLevel="0" collapsed="false">
      <c r="A560" s="98" t="s">
        <v>142</v>
      </c>
      <c r="B560" s="98" t="s">
        <v>143</v>
      </c>
      <c r="C560" s="98" t="n">
        <v>51676119</v>
      </c>
      <c r="D560" s="98" t="s">
        <v>1684</v>
      </c>
      <c r="E560" s="98" t="s">
        <v>725</v>
      </c>
      <c r="F560" s="98" t="s">
        <v>167</v>
      </c>
      <c r="G560" s="98" t="s">
        <v>147</v>
      </c>
      <c r="H560" s="98" t="s">
        <v>200</v>
      </c>
      <c r="I560" s="104" t="n">
        <v>43798</v>
      </c>
      <c r="J560" s="99" t="n">
        <v>43879</v>
      </c>
      <c r="K560" s="100" t="n">
        <v>-182162.5</v>
      </c>
      <c r="L560" s="100" t="n">
        <f aca="false">K560-Q560+T560</f>
        <v>-154375</v>
      </c>
      <c r="M560" s="98" t="s">
        <v>149</v>
      </c>
      <c r="N560" s="100" t="n">
        <v>-182162.5</v>
      </c>
      <c r="O560" s="98" t="s">
        <v>149</v>
      </c>
      <c r="P560" s="100" t="n">
        <v>-182162.5</v>
      </c>
      <c r="Q560" s="100" t="n">
        <v>-27787.5</v>
      </c>
      <c r="R560" s="100" t="n">
        <v>-182162.5</v>
      </c>
      <c r="S560" s="100" t="n">
        <v>0</v>
      </c>
      <c r="T560" s="100" t="n">
        <v>0</v>
      </c>
      <c r="U560" s="98" t="s">
        <v>192</v>
      </c>
      <c r="V560" s="98" t="s">
        <v>151</v>
      </c>
      <c r="Y560" s="98" t="s">
        <v>1632</v>
      </c>
      <c r="Z560" s="98" t="s">
        <v>1685</v>
      </c>
      <c r="AB560" s="98" t="s">
        <v>1632</v>
      </c>
      <c r="AD560" s="98" t="s">
        <v>155</v>
      </c>
      <c r="AE560" s="98" t="s">
        <v>156</v>
      </c>
      <c r="AF560" s="98" t="s">
        <v>728</v>
      </c>
      <c r="AG560" s="98" t="s">
        <v>729</v>
      </c>
      <c r="AH560" s="98" t="s">
        <v>730</v>
      </c>
      <c r="AI560" s="98" t="s">
        <v>730</v>
      </c>
      <c r="AJ560" s="98" t="s">
        <v>731</v>
      </c>
      <c r="AK560" s="98" t="s">
        <v>159</v>
      </c>
      <c r="AL560" s="98" t="s">
        <v>224</v>
      </c>
      <c r="AM560" s="98" t="s">
        <v>225</v>
      </c>
      <c r="AP560" s="98" t="s">
        <v>707</v>
      </c>
      <c r="AQ560" s="98" t="s">
        <v>705</v>
      </c>
      <c r="AR560" s="98" t="s">
        <v>1634</v>
      </c>
      <c r="AS560" s="98" t="s">
        <v>1686</v>
      </c>
      <c r="AT560" s="100" t="n">
        <v>0</v>
      </c>
      <c r="AU560" s="100" t="n">
        <v>-182162.5</v>
      </c>
      <c r="AX560" s="98" t="s">
        <v>165</v>
      </c>
      <c r="AMH560" s="0"/>
      <c r="AMI560" s="0"/>
      <c r="AMJ560" s="0"/>
    </row>
    <row r="561" s="98" customFormat="true" ht="13.8" hidden="false" customHeight="false" outlineLevel="0" collapsed="false">
      <c r="A561" s="98" t="s">
        <v>142</v>
      </c>
      <c r="B561" s="98" t="s">
        <v>143</v>
      </c>
      <c r="C561" s="98" t="n">
        <v>51602788</v>
      </c>
      <c r="D561" s="98" t="s">
        <v>1687</v>
      </c>
      <c r="E561" s="98" t="s">
        <v>725</v>
      </c>
      <c r="F561" s="98" t="s">
        <v>234</v>
      </c>
      <c r="G561" s="98" t="s">
        <v>147</v>
      </c>
      <c r="H561" s="98" t="s">
        <v>191</v>
      </c>
      <c r="I561" s="99" t="n">
        <v>43762</v>
      </c>
      <c r="J561" s="99" t="n">
        <v>43844</v>
      </c>
      <c r="K561" s="100" t="n">
        <v>-3064202.49</v>
      </c>
      <c r="L561" s="100" t="n">
        <f aca="false">K561-Q561+T561</f>
        <v>-2596781.71</v>
      </c>
      <c r="M561" s="98" t="s">
        <v>149</v>
      </c>
      <c r="N561" s="100" t="n">
        <v>-3064202.49</v>
      </c>
      <c r="O561" s="98" t="s">
        <v>149</v>
      </c>
      <c r="P561" s="100" t="n">
        <v>-3064202.49</v>
      </c>
      <c r="Q561" s="100" t="n">
        <v>-467420.78</v>
      </c>
      <c r="R561" s="100" t="n">
        <v>-2596781.71</v>
      </c>
      <c r="S561" s="100" t="n">
        <v>0</v>
      </c>
      <c r="T561" s="100" t="n">
        <v>0</v>
      </c>
      <c r="U561" s="98" t="s">
        <v>192</v>
      </c>
      <c r="V561" s="98" t="s">
        <v>151</v>
      </c>
      <c r="X561" s="98" t="s">
        <v>1627</v>
      </c>
      <c r="Y561" s="98" t="s">
        <v>1628</v>
      </c>
      <c r="Z561" s="98" t="s">
        <v>1688</v>
      </c>
      <c r="AB561" s="98" t="s">
        <v>1628</v>
      </c>
      <c r="AD561" s="98" t="s">
        <v>155</v>
      </c>
      <c r="AE561" s="98" t="s">
        <v>156</v>
      </c>
      <c r="AF561" s="98" t="s">
        <v>737</v>
      </c>
      <c r="AG561" s="98" t="s">
        <v>738</v>
      </c>
      <c r="AH561" s="98" t="s">
        <v>739</v>
      </c>
      <c r="AI561" s="98" t="s">
        <v>739</v>
      </c>
      <c r="AJ561" s="98" t="s">
        <v>740</v>
      </c>
      <c r="AK561" s="98" t="s">
        <v>159</v>
      </c>
      <c r="AL561" s="98" t="s">
        <v>224</v>
      </c>
      <c r="AM561" s="98" t="s">
        <v>225</v>
      </c>
      <c r="AP561" s="98" t="s">
        <v>665</v>
      </c>
      <c r="AQ561" s="98" t="s">
        <v>663</v>
      </c>
      <c r="AR561" s="98" t="s">
        <v>640</v>
      </c>
      <c r="AS561" s="98" t="s">
        <v>1689</v>
      </c>
      <c r="AT561" s="100" t="n">
        <v>0</v>
      </c>
      <c r="AU561" s="100" t="n">
        <v>-3064202.49</v>
      </c>
      <c r="AX561" s="98" t="s">
        <v>165</v>
      </c>
      <c r="AMH561" s="0"/>
      <c r="AMI561" s="0"/>
      <c r="AMJ561" s="0"/>
    </row>
    <row r="562" s="98" customFormat="true" ht="13.8" hidden="false" customHeight="false" outlineLevel="0" collapsed="false">
      <c r="A562" s="98" t="s">
        <v>142</v>
      </c>
      <c r="B562" s="98" t="s">
        <v>143</v>
      </c>
      <c r="C562" s="98" t="n">
        <v>51602878</v>
      </c>
      <c r="D562" s="98" t="s">
        <v>1690</v>
      </c>
      <c r="E562" s="98" t="s">
        <v>725</v>
      </c>
      <c r="F562" s="98" t="s">
        <v>234</v>
      </c>
      <c r="G562" s="98" t="s">
        <v>147</v>
      </c>
      <c r="H562" s="98" t="s">
        <v>191</v>
      </c>
      <c r="I562" s="99" t="n">
        <v>43762</v>
      </c>
      <c r="J562" s="99" t="n">
        <v>43844</v>
      </c>
      <c r="K562" s="100" t="n">
        <v>-2932389.25</v>
      </c>
      <c r="L562" s="100" t="n">
        <f aca="false">K562-Q562+T562</f>
        <v>-2485075.65</v>
      </c>
      <c r="M562" s="98" t="s">
        <v>149</v>
      </c>
      <c r="N562" s="100" t="n">
        <v>-2932389.25</v>
      </c>
      <c r="O562" s="98" t="s">
        <v>149</v>
      </c>
      <c r="P562" s="100" t="n">
        <v>-2932389.25</v>
      </c>
      <c r="Q562" s="100" t="n">
        <v>-447313.6</v>
      </c>
      <c r="R562" s="100" t="n">
        <v>-2485075.65</v>
      </c>
      <c r="S562" s="100" t="n">
        <v>0</v>
      </c>
      <c r="T562" s="100" t="n">
        <v>0</v>
      </c>
      <c r="U562" s="98" t="s">
        <v>192</v>
      </c>
      <c r="V562" s="98" t="s">
        <v>151</v>
      </c>
      <c r="X562" s="98" t="s">
        <v>1627</v>
      </c>
      <c r="Y562" s="98" t="s">
        <v>1628</v>
      </c>
      <c r="Z562" s="98" t="s">
        <v>1691</v>
      </c>
      <c r="AB562" s="98" t="s">
        <v>1628</v>
      </c>
      <c r="AD562" s="98" t="s">
        <v>155</v>
      </c>
      <c r="AE562" s="98" t="s">
        <v>156</v>
      </c>
      <c r="AF562" s="98" t="s">
        <v>737</v>
      </c>
      <c r="AG562" s="98" t="s">
        <v>738</v>
      </c>
      <c r="AH562" s="98" t="s">
        <v>739</v>
      </c>
      <c r="AI562" s="98" t="s">
        <v>739</v>
      </c>
      <c r="AJ562" s="98" t="s">
        <v>740</v>
      </c>
      <c r="AK562" s="98" t="s">
        <v>159</v>
      </c>
      <c r="AL562" s="98" t="s">
        <v>224</v>
      </c>
      <c r="AM562" s="98" t="s">
        <v>225</v>
      </c>
      <c r="AP562" s="98" t="s">
        <v>665</v>
      </c>
      <c r="AQ562" s="98" t="s">
        <v>663</v>
      </c>
      <c r="AR562" s="98" t="s">
        <v>640</v>
      </c>
      <c r="AS562" s="98" t="s">
        <v>1692</v>
      </c>
      <c r="AT562" s="100" t="n">
        <v>0</v>
      </c>
      <c r="AU562" s="100" t="n">
        <v>-2932389.25</v>
      </c>
      <c r="AX562" s="98" t="s">
        <v>165</v>
      </c>
      <c r="AMH562" s="0"/>
      <c r="AMI562" s="0"/>
      <c r="AMJ562" s="0"/>
    </row>
    <row r="563" s="98" customFormat="true" ht="13.8" hidden="false" customHeight="false" outlineLevel="0" collapsed="false">
      <c r="A563" s="98" t="s">
        <v>142</v>
      </c>
      <c r="B563" s="98" t="s">
        <v>143</v>
      </c>
      <c r="C563" s="98" t="n">
        <v>51602902</v>
      </c>
      <c r="D563" s="98" t="s">
        <v>1693</v>
      </c>
      <c r="E563" s="98" t="s">
        <v>725</v>
      </c>
      <c r="F563" s="98" t="s">
        <v>234</v>
      </c>
      <c r="G563" s="98" t="s">
        <v>147</v>
      </c>
      <c r="H563" s="98" t="s">
        <v>191</v>
      </c>
      <c r="I563" s="99" t="n">
        <v>43762</v>
      </c>
      <c r="J563" s="99" t="n">
        <v>43844</v>
      </c>
      <c r="K563" s="100" t="n">
        <v>-437548.72</v>
      </c>
      <c r="L563" s="100" t="n">
        <f aca="false">K563-Q563+T563</f>
        <v>-370804</v>
      </c>
      <c r="M563" s="98" t="s">
        <v>149</v>
      </c>
      <c r="N563" s="100" t="n">
        <v>-437548.72</v>
      </c>
      <c r="O563" s="98" t="s">
        <v>149</v>
      </c>
      <c r="P563" s="100" t="n">
        <v>-437548.72</v>
      </c>
      <c r="Q563" s="100" t="n">
        <v>-66744.72</v>
      </c>
      <c r="R563" s="100" t="n">
        <v>-370804</v>
      </c>
      <c r="S563" s="100" t="n">
        <v>0</v>
      </c>
      <c r="T563" s="100" t="n">
        <v>0</v>
      </c>
      <c r="U563" s="98" t="s">
        <v>192</v>
      </c>
      <c r="V563" s="98" t="s">
        <v>151</v>
      </c>
      <c r="X563" s="98" t="s">
        <v>1627</v>
      </c>
      <c r="Y563" s="98" t="s">
        <v>1628</v>
      </c>
      <c r="Z563" s="98" t="s">
        <v>1694</v>
      </c>
      <c r="AB563" s="98" t="s">
        <v>1628</v>
      </c>
      <c r="AD563" s="98" t="s">
        <v>155</v>
      </c>
      <c r="AE563" s="98" t="s">
        <v>156</v>
      </c>
      <c r="AF563" s="98" t="s">
        <v>737</v>
      </c>
      <c r="AG563" s="98" t="s">
        <v>738</v>
      </c>
      <c r="AH563" s="98" t="s">
        <v>739</v>
      </c>
      <c r="AI563" s="98" t="s">
        <v>739</v>
      </c>
      <c r="AJ563" s="98" t="s">
        <v>740</v>
      </c>
      <c r="AK563" s="98" t="s">
        <v>159</v>
      </c>
      <c r="AL563" s="98" t="s">
        <v>224</v>
      </c>
      <c r="AM563" s="98" t="s">
        <v>225</v>
      </c>
      <c r="AP563" s="98" t="s">
        <v>665</v>
      </c>
      <c r="AQ563" s="98" t="s">
        <v>663</v>
      </c>
      <c r="AR563" s="98" t="s">
        <v>640</v>
      </c>
      <c r="AS563" s="98" t="s">
        <v>1695</v>
      </c>
      <c r="AT563" s="100" t="n">
        <v>0</v>
      </c>
      <c r="AU563" s="100" t="n">
        <v>-437548.72</v>
      </c>
      <c r="AX563" s="98" t="s">
        <v>165</v>
      </c>
      <c r="AMH563" s="0"/>
      <c r="AMI563" s="0"/>
      <c r="AMJ563" s="0"/>
    </row>
    <row r="564" s="98" customFormat="true" ht="13.8" hidden="false" customHeight="false" outlineLevel="0" collapsed="false">
      <c r="A564" s="98" t="s">
        <v>142</v>
      </c>
      <c r="B564" s="98" t="s">
        <v>143</v>
      </c>
      <c r="C564" s="98" t="n">
        <v>51322577</v>
      </c>
      <c r="D564" s="98" t="s">
        <v>1696</v>
      </c>
      <c r="E564" s="98" t="s">
        <v>725</v>
      </c>
      <c r="F564" s="98" t="s">
        <v>297</v>
      </c>
      <c r="G564" s="98" t="s">
        <v>147</v>
      </c>
      <c r="H564" s="98" t="s">
        <v>168</v>
      </c>
      <c r="I564" s="99" t="n">
        <v>43620</v>
      </c>
      <c r="J564" s="99" t="n">
        <v>43703</v>
      </c>
      <c r="K564" s="100" t="n">
        <v>-116676.93</v>
      </c>
      <c r="L564" s="100" t="n">
        <f aca="false">K564-Q564+T564</f>
        <v>-98878.75</v>
      </c>
      <c r="M564" s="98" t="s">
        <v>149</v>
      </c>
      <c r="N564" s="100" t="n">
        <v>-116676.93</v>
      </c>
      <c r="O564" s="98" t="s">
        <v>149</v>
      </c>
      <c r="P564" s="100" t="n">
        <v>-116676.93</v>
      </c>
      <c r="Q564" s="100" t="n">
        <v>-17798.18</v>
      </c>
      <c r="R564" s="100" t="n">
        <v>-98878.75</v>
      </c>
      <c r="S564" s="100" t="n">
        <v>0</v>
      </c>
      <c r="T564" s="100" t="n">
        <v>0</v>
      </c>
      <c r="U564" s="98" t="s">
        <v>192</v>
      </c>
      <c r="V564" s="98" t="s">
        <v>151</v>
      </c>
      <c r="X564" s="98" t="s">
        <v>1212</v>
      </c>
      <c r="Y564" s="98" t="s">
        <v>1213</v>
      </c>
      <c r="Z564" s="98" t="s">
        <v>1697</v>
      </c>
      <c r="AB564" s="98" t="s">
        <v>1213</v>
      </c>
      <c r="AD564" s="98" t="s">
        <v>155</v>
      </c>
      <c r="AE564" s="98" t="s">
        <v>156</v>
      </c>
      <c r="AF564" s="98" t="s">
        <v>728</v>
      </c>
      <c r="AG564" s="98" t="s">
        <v>729</v>
      </c>
      <c r="AH564" s="98" t="s">
        <v>971</v>
      </c>
      <c r="AI564" s="98" t="s">
        <v>971</v>
      </c>
      <c r="AJ564" s="98" t="s">
        <v>972</v>
      </c>
      <c r="AK564" s="98" t="s">
        <v>159</v>
      </c>
      <c r="AL564" s="98" t="s">
        <v>224</v>
      </c>
      <c r="AM564" s="98" t="s">
        <v>225</v>
      </c>
      <c r="AP564" s="98" t="s">
        <v>553</v>
      </c>
      <c r="AQ564" s="98" t="s">
        <v>551</v>
      </c>
      <c r="AR564" s="98" t="s">
        <v>1479</v>
      </c>
      <c r="AS564" s="98" t="s">
        <v>1698</v>
      </c>
      <c r="AT564" s="100" t="n">
        <v>0</v>
      </c>
      <c r="AU564" s="100" t="n">
        <v>-116676.93</v>
      </c>
      <c r="AX564" s="98" t="s">
        <v>200</v>
      </c>
      <c r="AMH564" s="0"/>
      <c r="AMI564" s="0"/>
      <c r="AMJ564" s="0"/>
    </row>
    <row r="565" s="98" customFormat="true" ht="13.8" hidden="false" customHeight="false" outlineLevel="0" collapsed="false">
      <c r="A565" s="98" t="s">
        <v>142</v>
      </c>
      <c r="B565" s="98" t="s">
        <v>143</v>
      </c>
      <c r="C565" s="98" t="n">
        <v>51322577</v>
      </c>
      <c r="D565" s="98" t="s">
        <v>1696</v>
      </c>
      <c r="E565" s="98" t="s">
        <v>725</v>
      </c>
      <c r="F565" s="98" t="s">
        <v>297</v>
      </c>
      <c r="G565" s="98" t="s">
        <v>147</v>
      </c>
      <c r="H565" s="98" t="s">
        <v>168</v>
      </c>
      <c r="I565" s="99" t="n">
        <v>43620</v>
      </c>
      <c r="J565" s="99" t="n">
        <v>43703</v>
      </c>
      <c r="K565" s="100" t="n">
        <v>-1983507.86</v>
      </c>
      <c r="L565" s="100" t="n">
        <f aca="false">K565-Q565+T565</f>
        <v>-1680938.87</v>
      </c>
      <c r="M565" s="98" t="s">
        <v>149</v>
      </c>
      <c r="N565" s="100" t="n">
        <v>-1983507.86</v>
      </c>
      <c r="O565" s="98" t="s">
        <v>149</v>
      </c>
      <c r="P565" s="100" t="n">
        <v>-1983507.86</v>
      </c>
      <c r="Q565" s="100" t="n">
        <v>-302568.99</v>
      </c>
      <c r="R565" s="100" t="n">
        <v>-1680938.87</v>
      </c>
      <c r="S565" s="100" t="n">
        <v>0</v>
      </c>
      <c r="T565" s="100" t="n">
        <v>0</v>
      </c>
      <c r="U565" s="98" t="s">
        <v>192</v>
      </c>
      <c r="V565" s="98" t="s">
        <v>151</v>
      </c>
      <c r="X565" s="98" t="s">
        <v>1212</v>
      </c>
      <c r="Y565" s="98" t="s">
        <v>1213</v>
      </c>
      <c r="Z565" s="98" t="s">
        <v>1697</v>
      </c>
      <c r="AB565" s="98" t="s">
        <v>1213</v>
      </c>
      <c r="AD565" s="98" t="s">
        <v>155</v>
      </c>
      <c r="AE565" s="98" t="s">
        <v>156</v>
      </c>
      <c r="AF565" s="98" t="s">
        <v>728</v>
      </c>
      <c r="AG565" s="98" t="s">
        <v>729</v>
      </c>
      <c r="AH565" s="98" t="s">
        <v>971</v>
      </c>
      <c r="AI565" s="98" t="s">
        <v>971</v>
      </c>
      <c r="AJ565" s="98" t="s">
        <v>972</v>
      </c>
      <c r="AK565" s="98" t="s">
        <v>159</v>
      </c>
      <c r="AL565" s="98" t="s">
        <v>224</v>
      </c>
      <c r="AM565" s="98" t="s">
        <v>225</v>
      </c>
      <c r="AP565" s="98" t="s">
        <v>508</v>
      </c>
      <c r="AQ565" s="98" t="s">
        <v>506</v>
      </c>
      <c r="AR565" s="98" t="s">
        <v>1479</v>
      </c>
      <c r="AS565" s="98" t="s">
        <v>1698</v>
      </c>
      <c r="AT565" s="100" t="n">
        <v>0</v>
      </c>
      <c r="AU565" s="100" t="n">
        <v>-1983507.86</v>
      </c>
      <c r="AX565" s="98" t="s">
        <v>586</v>
      </c>
      <c r="AMH565" s="0"/>
      <c r="AMI565" s="0"/>
      <c r="AMJ565" s="0"/>
    </row>
    <row r="566" s="98" customFormat="true" ht="13.8" hidden="false" customHeight="false" outlineLevel="0" collapsed="false">
      <c r="A566" s="98" t="s">
        <v>142</v>
      </c>
      <c r="B566" s="98" t="s">
        <v>143</v>
      </c>
      <c r="C566" s="98" t="n">
        <v>51322577</v>
      </c>
      <c r="D566" s="98" t="s">
        <v>1696</v>
      </c>
      <c r="E566" s="98" t="s">
        <v>725</v>
      </c>
      <c r="F566" s="98" t="s">
        <v>297</v>
      </c>
      <c r="G566" s="98" t="s">
        <v>147</v>
      </c>
      <c r="H566" s="98" t="s">
        <v>168</v>
      </c>
      <c r="I566" s="99" t="n">
        <v>43620</v>
      </c>
      <c r="J566" s="99" t="n">
        <v>43703</v>
      </c>
      <c r="K566" s="100" t="n">
        <v>-116676.94</v>
      </c>
      <c r="L566" s="100" t="n">
        <f aca="false">K566-Q566+T566</f>
        <v>-98878.76</v>
      </c>
      <c r="M566" s="98" t="s">
        <v>149</v>
      </c>
      <c r="N566" s="100" t="n">
        <v>-116676.94</v>
      </c>
      <c r="O566" s="98" t="s">
        <v>149</v>
      </c>
      <c r="P566" s="100" t="n">
        <v>-116676.94</v>
      </c>
      <c r="Q566" s="100" t="n">
        <v>-17798.18</v>
      </c>
      <c r="R566" s="100" t="n">
        <v>-98878.76</v>
      </c>
      <c r="S566" s="100" t="n">
        <v>0</v>
      </c>
      <c r="T566" s="100" t="n">
        <v>0</v>
      </c>
      <c r="U566" s="98" t="s">
        <v>192</v>
      </c>
      <c r="V566" s="98" t="s">
        <v>151</v>
      </c>
      <c r="X566" s="98" t="s">
        <v>1212</v>
      </c>
      <c r="Y566" s="98" t="s">
        <v>1213</v>
      </c>
      <c r="Z566" s="98" t="s">
        <v>1697</v>
      </c>
      <c r="AB566" s="98" t="s">
        <v>1213</v>
      </c>
      <c r="AD566" s="98" t="s">
        <v>155</v>
      </c>
      <c r="AE566" s="98" t="s">
        <v>156</v>
      </c>
      <c r="AF566" s="98" t="s">
        <v>728</v>
      </c>
      <c r="AG566" s="98" t="s">
        <v>729</v>
      </c>
      <c r="AH566" s="98" t="s">
        <v>971</v>
      </c>
      <c r="AI566" s="98" t="s">
        <v>971</v>
      </c>
      <c r="AJ566" s="98" t="s">
        <v>972</v>
      </c>
      <c r="AK566" s="98" t="s">
        <v>159</v>
      </c>
      <c r="AL566" s="98" t="s">
        <v>224</v>
      </c>
      <c r="AM566" s="98" t="s">
        <v>225</v>
      </c>
      <c r="AP566" s="98" t="s">
        <v>553</v>
      </c>
      <c r="AQ566" s="98" t="s">
        <v>551</v>
      </c>
      <c r="AR566" s="98" t="s">
        <v>1479</v>
      </c>
      <c r="AS566" s="98" t="s">
        <v>1698</v>
      </c>
      <c r="AT566" s="100" t="n">
        <v>0</v>
      </c>
      <c r="AU566" s="100" t="n">
        <v>-116676.94</v>
      </c>
      <c r="AX566" s="98" t="s">
        <v>213</v>
      </c>
      <c r="AMH566" s="0"/>
      <c r="AMI566" s="0"/>
      <c r="AMJ566" s="0"/>
    </row>
    <row r="567" s="98" customFormat="true" ht="13.8" hidden="false" customHeight="false" outlineLevel="0" collapsed="false">
      <c r="A567" s="98" t="s">
        <v>142</v>
      </c>
      <c r="B567" s="98" t="s">
        <v>143</v>
      </c>
      <c r="C567" s="98" t="n">
        <v>51322577</v>
      </c>
      <c r="D567" s="98" t="s">
        <v>1696</v>
      </c>
      <c r="E567" s="98" t="s">
        <v>725</v>
      </c>
      <c r="F567" s="98" t="s">
        <v>297</v>
      </c>
      <c r="G567" s="98" t="s">
        <v>147</v>
      </c>
      <c r="H567" s="98" t="s">
        <v>168</v>
      </c>
      <c r="I567" s="99" t="n">
        <v>43620</v>
      </c>
      <c r="J567" s="99" t="n">
        <v>43703</v>
      </c>
      <c r="K567" s="100" t="n">
        <v>-116676.93</v>
      </c>
      <c r="L567" s="100" t="n">
        <f aca="false">K567-Q567+T567</f>
        <v>-98878.75</v>
      </c>
      <c r="M567" s="98" t="s">
        <v>149</v>
      </c>
      <c r="N567" s="100" t="n">
        <v>-116676.93</v>
      </c>
      <c r="O567" s="98" t="s">
        <v>149</v>
      </c>
      <c r="P567" s="100" t="n">
        <v>-116676.93</v>
      </c>
      <c r="Q567" s="100" t="n">
        <v>-17798.18</v>
      </c>
      <c r="R567" s="100" t="n">
        <v>-98878.75</v>
      </c>
      <c r="S567" s="100" t="n">
        <v>0</v>
      </c>
      <c r="T567" s="100" t="n">
        <v>0</v>
      </c>
      <c r="U567" s="98" t="s">
        <v>192</v>
      </c>
      <c r="V567" s="98" t="s">
        <v>151</v>
      </c>
      <c r="X567" s="98" t="s">
        <v>1212</v>
      </c>
      <c r="Y567" s="98" t="s">
        <v>1213</v>
      </c>
      <c r="Z567" s="98" t="s">
        <v>1697</v>
      </c>
      <c r="AB567" s="98" t="s">
        <v>1213</v>
      </c>
      <c r="AD567" s="98" t="s">
        <v>155</v>
      </c>
      <c r="AE567" s="98" t="s">
        <v>156</v>
      </c>
      <c r="AF567" s="98" t="s">
        <v>728</v>
      </c>
      <c r="AG567" s="98" t="s">
        <v>729</v>
      </c>
      <c r="AH567" s="98" t="s">
        <v>971</v>
      </c>
      <c r="AI567" s="98" t="s">
        <v>971</v>
      </c>
      <c r="AJ567" s="98" t="s">
        <v>972</v>
      </c>
      <c r="AK567" s="98" t="s">
        <v>159</v>
      </c>
      <c r="AL567" s="98" t="s">
        <v>224</v>
      </c>
      <c r="AM567" s="98" t="s">
        <v>225</v>
      </c>
      <c r="AP567" s="98" t="s">
        <v>553</v>
      </c>
      <c r="AQ567" s="98" t="s">
        <v>551</v>
      </c>
      <c r="AR567" s="98" t="s">
        <v>1479</v>
      </c>
      <c r="AS567" s="98" t="s">
        <v>1698</v>
      </c>
      <c r="AT567" s="100" t="n">
        <v>0</v>
      </c>
      <c r="AU567" s="100" t="n">
        <v>-116676.93</v>
      </c>
      <c r="AX567" s="98" t="s">
        <v>191</v>
      </c>
      <c r="AMH567" s="0"/>
      <c r="AMI567" s="0"/>
      <c r="AMJ567" s="0"/>
    </row>
    <row r="568" s="98" customFormat="true" ht="13.8" hidden="false" customHeight="false" outlineLevel="0" collapsed="false">
      <c r="A568" s="98" t="s">
        <v>142</v>
      </c>
      <c r="B568" s="98" t="s">
        <v>143</v>
      </c>
      <c r="C568" s="98" t="n">
        <v>51322559</v>
      </c>
      <c r="D568" s="98" t="s">
        <v>1699</v>
      </c>
      <c r="E568" s="98" t="s">
        <v>725</v>
      </c>
      <c r="F568" s="98" t="s">
        <v>297</v>
      </c>
      <c r="G568" s="98" t="s">
        <v>147</v>
      </c>
      <c r="H568" s="98" t="s">
        <v>168</v>
      </c>
      <c r="I568" s="99" t="n">
        <v>43619</v>
      </c>
      <c r="J568" s="99" t="n">
        <v>43703</v>
      </c>
      <c r="K568" s="100" t="n">
        <v>-155422.68</v>
      </c>
      <c r="L568" s="100" t="n">
        <f aca="false">K568-Q568+T568</f>
        <v>-131714.14</v>
      </c>
      <c r="M568" s="98" t="s">
        <v>149</v>
      </c>
      <c r="N568" s="100" t="n">
        <v>-155422.68</v>
      </c>
      <c r="O568" s="98" t="s">
        <v>149</v>
      </c>
      <c r="P568" s="100" t="n">
        <v>-155422.68</v>
      </c>
      <c r="Q568" s="100" t="n">
        <v>-23708.54</v>
      </c>
      <c r="R568" s="100" t="n">
        <v>-131714.14</v>
      </c>
      <c r="S568" s="100" t="n">
        <v>0</v>
      </c>
      <c r="T568" s="100" t="n">
        <v>0</v>
      </c>
      <c r="U568" s="98" t="s">
        <v>192</v>
      </c>
      <c r="V568" s="98" t="s">
        <v>151</v>
      </c>
      <c r="X568" s="98" t="s">
        <v>1212</v>
      </c>
      <c r="Y568" s="98" t="s">
        <v>1213</v>
      </c>
      <c r="Z568" s="98" t="s">
        <v>1700</v>
      </c>
      <c r="AB568" s="98" t="s">
        <v>1213</v>
      </c>
      <c r="AD568" s="98" t="s">
        <v>155</v>
      </c>
      <c r="AE568" s="98" t="s">
        <v>156</v>
      </c>
      <c r="AF568" s="98" t="s">
        <v>728</v>
      </c>
      <c r="AG568" s="98" t="s">
        <v>729</v>
      </c>
      <c r="AH568" s="98" t="s">
        <v>971</v>
      </c>
      <c r="AI568" s="98" t="s">
        <v>971</v>
      </c>
      <c r="AJ568" s="98" t="s">
        <v>972</v>
      </c>
      <c r="AK568" s="98" t="s">
        <v>159</v>
      </c>
      <c r="AL568" s="98" t="s">
        <v>224</v>
      </c>
      <c r="AM568" s="98" t="s">
        <v>225</v>
      </c>
      <c r="AP568" s="98" t="s">
        <v>553</v>
      </c>
      <c r="AQ568" s="98" t="s">
        <v>551</v>
      </c>
      <c r="AR568" s="98" t="s">
        <v>1479</v>
      </c>
      <c r="AS568" s="98" t="s">
        <v>1701</v>
      </c>
      <c r="AT568" s="100" t="n">
        <v>0</v>
      </c>
      <c r="AU568" s="100" t="n">
        <v>-155422.68</v>
      </c>
      <c r="AX568" s="98" t="s">
        <v>213</v>
      </c>
      <c r="AMH568" s="0"/>
      <c r="AMI568" s="0"/>
      <c r="AMJ568" s="0"/>
    </row>
    <row r="569" s="98" customFormat="true" ht="13.8" hidden="false" customHeight="false" outlineLevel="0" collapsed="false">
      <c r="A569" s="98" t="s">
        <v>142</v>
      </c>
      <c r="B569" s="98" t="s">
        <v>143</v>
      </c>
      <c r="C569" s="98" t="n">
        <v>51322559</v>
      </c>
      <c r="D569" s="98" t="s">
        <v>1699</v>
      </c>
      <c r="E569" s="98" t="s">
        <v>725</v>
      </c>
      <c r="F569" s="98" t="s">
        <v>297</v>
      </c>
      <c r="G569" s="98" t="s">
        <v>147</v>
      </c>
      <c r="H569" s="98" t="s">
        <v>168</v>
      </c>
      <c r="I569" s="99" t="n">
        <v>43619</v>
      </c>
      <c r="J569" s="99" t="n">
        <v>43703</v>
      </c>
      <c r="K569" s="100" t="n">
        <v>-155422.69</v>
      </c>
      <c r="L569" s="100" t="n">
        <f aca="false">K569-Q569+T569</f>
        <v>-131714.14</v>
      </c>
      <c r="M569" s="98" t="s">
        <v>149</v>
      </c>
      <c r="N569" s="100" t="n">
        <v>-155422.69</v>
      </c>
      <c r="O569" s="98" t="s">
        <v>149</v>
      </c>
      <c r="P569" s="100" t="n">
        <v>-155422.69</v>
      </c>
      <c r="Q569" s="100" t="n">
        <v>-23708.55</v>
      </c>
      <c r="R569" s="100" t="n">
        <v>-131714.14</v>
      </c>
      <c r="S569" s="100" t="n">
        <v>0</v>
      </c>
      <c r="T569" s="100" t="n">
        <v>0</v>
      </c>
      <c r="U569" s="98" t="s">
        <v>192</v>
      </c>
      <c r="V569" s="98" t="s">
        <v>151</v>
      </c>
      <c r="X569" s="98" t="s">
        <v>1212</v>
      </c>
      <c r="Y569" s="98" t="s">
        <v>1213</v>
      </c>
      <c r="Z569" s="98" t="s">
        <v>1700</v>
      </c>
      <c r="AB569" s="98" t="s">
        <v>1213</v>
      </c>
      <c r="AD569" s="98" t="s">
        <v>155</v>
      </c>
      <c r="AE569" s="98" t="s">
        <v>156</v>
      </c>
      <c r="AF569" s="98" t="s">
        <v>728</v>
      </c>
      <c r="AG569" s="98" t="s">
        <v>729</v>
      </c>
      <c r="AH569" s="98" t="s">
        <v>971</v>
      </c>
      <c r="AI569" s="98" t="s">
        <v>971</v>
      </c>
      <c r="AJ569" s="98" t="s">
        <v>972</v>
      </c>
      <c r="AK569" s="98" t="s">
        <v>159</v>
      </c>
      <c r="AL569" s="98" t="s">
        <v>224</v>
      </c>
      <c r="AM569" s="98" t="s">
        <v>225</v>
      </c>
      <c r="AP569" s="98" t="s">
        <v>553</v>
      </c>
      <c r="AQ569" s="98" t="s">
        <v>551</v>
      </c>
      <c r="AR569" s="98" t="s">
        <v>1479</v>
      </c>
      <c r="AS569" s="98" t="s">
        <v>1701</v>
      </c>
      <c r="AT569" s="100" t="n">
        <v>0</v>
      </c>
      <c r="AU569" s="100" t="n">
        <v>-155422.69</v>
      </c>
      <c r="AX569" s="98" t="s">
        <v>191</v>
      </c>
      <c r="AMH569" s="0"/>
      <c r="AMI569" s="0"/>
      <c r="AMJ569" s="0"/>
    </row>
    <row r="570" s="98" customFormat="true" ht="13.8" hidden="false" customHeight="false" outlineLevel="0" collapsed="false">
      <c r="A570" s="98" t="s">
        <v>142</v>
      </c>
      <c r="B570" s="98" t="s">
        <v>143</v>
      </c>
      <c r="C570" s="98" t="n">
        <v>51322559</v>
      </c>
      <c r="D570" s="98" t="s">
        <v>1699</v>
      </c>
      <c r="E570" s="98" t="s">
        <v>725</v>
      </c>
      <c r="F570" s="98" t="s">
        <v>297</v>
      </c>
      <c r="G570" s="98" t="s">
        <v>147</v>
      </c>
      <c r="H570" s="98" t="s">
        <v>168</v>
      </c>
      <c r="I570" s="99" t="n">
        <v>43619</v>
      </c>
      <c r="J570" s="99" t="n">
        <v>43703</v>
      </c>
      <c r="K570" s="100" t="n">
        <v>-155422.69</v>
      </c>
      <c r="L570" s="100" t="n">
        <f aca="false">K570-Q570+T570</f>
        <v>-131714.14</v>
      </c>
      <c r="M570" s="98" t="s">
        <v>149</v>
      </c>
      <c r="N570" s="100" t="n">
        <v>-155422.69</v>
      </c>
      <c r="O570" s="98" t="s">
        <v>149</v>
      </c>
      <c r="P570" s="100" t="n">
        <v>-155422.69</v>
      </c>
      <c r="Q570" s="100" t="n">
        <v>-23708.55</v>
      </c>
      <c r="R570" s="100" t="n">
        <v>-131714.14</v>
      </c>
      <c r="S570" s="100" t="n">
        <v>0</v>
      </c>
      <c r="T570" s="100" t="n">
        <v>0</v>
      </c>
      <c r="U570" s="98" t="s">
        <v>192</v>
      </c>
      <c r="V570" s="98" t="s">
        <v>151</v>
      </c>
      <c r="X570" s="98" t="s">
        <v>1212</v>
      </c>
      <c r="Y570" s="98" t="s">
        <v>1213</v>
      </c>
      <c r="Z570" s="98" t="s">
        <v>1700</v>
      </c>
      <c r="AB570" s="98" t="s">
        <v>1213</v>
      </c>
      <c r="AD570" s="98" t="s">
        <v>155</v>
      </c>
      <c r="AE570" s="98" t="s">
        <v>156</v>
      </c>
      <c r="AF570" s="98" t="s">
        <v>728</v>
      </c>
      <c r="AG570" s="98" t="s">
        <v>729</v>
      </c>
      <c r="AH570" s="98" t="s">
        <v>971</v>
      </c>
      <c r="AI570" s="98" t="s">
        <v>971</v>
      </c>
      <c r="AJ570" s="98" t="s">
        <v>972</v>
      </c>
      <c r="AK570" s="98" t="s">
        <v>159</v>
      </c>
      <c r="AL570" s="98" t="s">
        <v>224</v>
      </c>
      <c r="AM570" s="98" t="s">
        <v>225</v>
      </c>
      <c r="AP570" s="98" t="s">
        <v>553</v>
      </c>
      <c r="AQ570" s="98" t="s">
        <v>551</v>
      </c>
      <c r="AR570" s="98" t="s">
        <v>1479</v>
      </c>
      <c r="AS570" s="98" t="s">
        <v>1701</v>
      </c>
      <c r="AT570" s="100" t="n">
        <v>0</v>
      </c>
      <c r="AU570" s="100" t="n">
        <v>-155422.69</v>
      </c>
      <c r="AX570" s="98" t="s">
        <v>200</v>
      </c>
      <c r="AMH570" s="0"/>
      <c r="AMI570" s="0"/>
      <c r="AMJ570" s="0"/>
    </row>
    <row r="571" s="98" customFormat="true" ht="13.8" hidden="false" customHeight="false" outlineLevel="0" collapsed="false">
      <c r="A571" s="98" t="s">
        <v>142</v>
      </c>
      <c r="B571" s="98" t="s">
        <v>143</v>
      </c>
      <c r="C571" s="98" t="n">
        <v>51322559</v>
      </c>
      <c r="D571" s="98" t="s">
        <v>1699</v>
      </c>
      <c r="E571" s="98" t="s">
        <v>725</v>
      </c>
      <c r="F571" s="98" t="s">
        <v>297</v>
      </c>
      <c r="G571" s="98" t="s">
        <v>147</v>
      </c>
      <c r="H571" s="98" t="s">
        <v>168</v>
      </c>
      <c r="I571" s="99" t="n">
        <v>43619</v>
      </c>
      <c r="J571" s="99" t="n">
        <v>43703</v>
      </c>
      <c r="K571" s="100" t="n">
        <v>-2642185.7</v>
      </c>
      <c r="L571" s="100" t="n">
        <f aca="false">K571-Q571+T571</f>
        <v>-2239140.42</v>
      </c>
      <c r="M571" s="98" t="s">
        <v>149</v>
      </c>
      <c r="N571" s="100" t="n">
        <v>-2642185.7</v>
      </c>
      <c r="O571" s="98" t="s">
        <v>149</v>
      </c>
      <c r="P571" s="100" t="n">
        <v>-2642185.7</v>
      </c>
      <c r="Q571" s="100" t="n">
        <v>-403045.28</v>
      </c>
      <c r="R571" s="100" t="n">
        <v>-2239140.42</v>
      </c>
      <c r="S571" s="100" t="n">
        <v>0</v>
      </c>
      <c r="T571" s="100" t="n">
        <v>0</v>
      </c>
      <c r="U571" s="98" t="s">
        <v>192</v>
      </c>
      <c r="V571" s="98" t="s">
        <v>151</v>
      </c>
      <c r="X571" s="98" t="s">
        <v>1212</v>
      </c>
      <c r="Y571" s="98" t="s">
        <v>1213</v>
      </c>
      <c r="Z571" s="98" t="s">
        <v>1700</v>
      </c>
      <c r="AB571" s="98" t="s">
        <v>1213</v>
      </c>
      <c r="AD571" s="98" t="s">
        <v>155</v>
      </c>
      <c r="AE571" s="98" t="s">
        <v>156</v>
      </c>
      <c r="AF571" s="98" t="s">
        <v>728</v>
      </c>
      <c r="AG571" s="98" t="s">
        <v>729</v>
      </c>
      <c r="AH571" s="98" t="s">
        <v>971</v>
      </c>
      <c r="AI571" s="98" t="s">
        <v>971</v>
      </c>
      <c r="AJ571" s="98" t="s">
        <v>972</v>
      </c>
      <c r="AK571" s="98" t="s">
        <v>159</v>
      </c>
      <c r="AL571" s="98" t="s">
        <v>224</v>
      </c>
      <c r="AM571" s="98" t="s">
        <v>225</v>
      </c>
      <c r="AP571" s="98" t="s">
        <v>508</v>
      </c>
      <c r="AQ571" s="98" t="s">
        <v>506</v>
      </c>
      <c r="AR571" s="98" t="s">
        <v>1479</v>
      </c>
      <c r="AS571" s="98" t="s">
        <v>1701</v>
      </c>
      <c r="AT571" s="100" t="n">
        <v>0</v>
      </c>
      <c r="AU571" s="100" t="n">
        <v>-2642185.7</v>
      </c>
      <c r="AX571" s="98" t="s">
        <v>586</v>
      </c>
      <c r="AMH571" s="0"/>
      <c r="AMI571" s="0"/>
      <c r="AMJ571" s="0"/>
    </row>
    <row r="572" s="98" customFormat="true" ht="13.8" hidden="false" customHeight="false" outlineLevel="0" collapsed="false">
      <c r="A572" s="98" t="s">
        <v>142</v>
      </c>
      <c r="B572" s="98" t="s">
        <v>143</v>
      </c>
      <c r="C572" s="98" t="n">
        <v>51322525</v>
      </c>
      <c r="D572" s="98" t="s">
        <v>1702</v>
      </c>
      <c r="E572" s="98" t="s">
        <v>725</v>
      </c>
      <c r="F572" s="98" t="s">
        <v>297</v>
      </c>
      <c r="G572" s="98" t="s">
        <v>147</v>
      </c>
      <c r="H572" s="98" t="s">
        <v>168</v>
      </c>
      <c r="I572" s="99" t="n">
        <v>43609</v>
      </c>
      <c r="J572" s="99" t="n">
        <v>43703</v>
      </c>
      <c r="K572" s="100" t="n">
        <v>-1189170.43</v>
      </c>
      <c r="L572" s="100" t="n">
        <f aca="false">K572-Q572+T572</f>
        <v>-1007771.56</v>
      </c>
      <c r="M572" s="98" t="s">
        <v>149</v>
      </c>
      <c r="N572" s="100" t="n">
        <v>-1189170.43</v>
      </c>
      <c r="O572" s="98" t="s">
        <v>149</v>
      </c>
      <c r="P572" s="100" t="n">
        <v>-1189170.43</v>
      </c>
      <c r="Q572" s="100" t="n">
        <v>-181398.87</v>
      </c>
      <c r="R572" s="100" t="n">
        <v>-1007771.56</v>
      </c>
      <c r="S572" s="100" t="n">
        <v>0</v>
      </c>
      <c r="T572" s="100" t="n">
        <v>0</v>
      </c>
      <c r="U572" s="98" t="s">
        <v>192</v>
      </c>
      <c r="V572" s="98" t="s">
        <v>151</v>
      </c>
      <c r="X572" s="98" t="s">
        <v>1212</v>
      </c>
      <c r="Y572" s="98" t="s">
        <v>1213</v>
      </c>
      <c r="Z572" s="98" t="s">
        <v>1703</v>
      </c>
      <c r="AB572" s="98" t="s">
        <v>1213</v>
      </c>
      <c r="AD572" s="98" t="s">
        <v>155</v>
      </c>
      <c r="AE572" s="98" t="s">
        <v>156</v>
      </c>
      <c r="AF572" s="98" t="s">
        <v>728</v>
      </c>
      <c r="AG572" s="98" t="s">
        <v>729</v>
      </c>
      <c r="AH572" s="98" t="s">
        <v>971</v>
      </c>
      <c r="AI572" s="98" t="s">
        <v>971</v>
      </c>
      <c r="AJ572" s="98" t="s">
        <v>972</v>
      </c>
      <c r="AK572" s="98" t="s">
        <v>159</v>
      </c>
      <c r="AL572" s="98" t="s">
        <v>224</v>
      </c>
      <c r="AM572" s="98" t="s">
        <v>225</v>
      </c>
      <c r="AP572" s="98" t="s">
        <v>508</v>
      </c>
      <c r="AQ572" s="98" t="s">
        <v>506</v>
      </c>
      <c r="AR572" s="98" t="s">
        <v>1479</v>
      </c>
      <c r="AS572" s="98" t="s">
        <v>1704</v>
      </c>
      <c r="AT572" s="100" t="n">
        <v>0</v>
      </c>
      <c r="AU572" s="100" t="n">
        <v>-1189170.43</v>
      </c>
      <c r="AX572" s="98" t="s">
        <v>586</v>
      </c>
      <c r="AMH572" s="0"/>
      <c r="AMI572" s="0"/>
      <c r="AMJ572" s="0"/>
    </row>
    <row r="573" s="98" customFormat="true" ht="13.8" hidden="false" customHeight="false" outlineLevel="0" collapsed="false">
      <c r="A573" s="98" t="s">
        <v>142</v>
      </c>
      <c r="B573" s="98" t="s">
        <v>143</v>
      </c>
      <c r="C573" s="98" t="n">
        <v>51322525</v>
      </c>
      <c r="D573" s="98" t="s">
        <v>1702</v>
      </c>
      <c r="E573" s="98" t="s">
        <v>725</v>
      </c>
      <c r="F573" s="98" t="s">
        <v>297</v>
      </c>
      <c r="G573" s="98" t="s">
        <v>147</v>
      </c>
      <c r="H573" s="98" t="s">
        <v>168</v>
      </c>
      <c r="I573" s="99" t="n">
        <v>43609</v>
      </c>
      <c r="J573" s="99" t="n">
        <v>43703</v>
      </c>
      <c r="K573" s="100" t="n">
        <v>-69951.2</v>
      </c>
      <c r="L573" s="100" t="n">
        <f aca="false">K573-Q573+T573</f>
        <v>-59280.68</v>
      </c>
      <c r="M573" s="98" t="s">
        <v>149</v>
      </c>
      <c r="N573" s="100" t="n">
        <v>-69951.2</v>
      </c>
      <c r="O573" s="98" t="s">
        <v>149</v>
      </c>
      <c r="P573" s="100" t="n">
        <v>-69951.2</v>
      </c>
      <c r="Q573" s="100" t="n">
        <v>-10670.52</v>
      </c>
      <c r="R573" s="100" t="n">
        <v>-59280.68</v>
      </c>
      <c r="S573" s="100" t="n">
        <v>0</v>
      </c>
      <c r="T573" s="100" t="n">
        <v>0</v>
      </c>
      <c r="U573" s="98" t="s">
        <v>192</v>
      </c>
      <c r="V573" s="98" t="s">
        <v>151</v>
      </c>
      <c r="X573" s="98" t="s">
        <v>1212</v>
      </c>
      <c r="Y573" s="98" t="s">
        <v>1213</v>
      </c>
      <c r="Z573" s="98" t="s">
        <v>1703</v>
      </c>
      <c r="AB573" s="98" t="s">
        <v>1213</v>
      </c>
      <c r="AD573" s="98" t="s">
        <v>155</v>
      </c>
      <c r="AE573" s="98" t="s">
        <v>156</v>
      </c>
      <c r="AF573" s="98" t="s">
        <v>728</v>
      </c>
      <c r="AG573" s="98" t="s">
        <v>729</v>
      </c>
      <c r="AH573" s="98" t="s">
        <v>971</v>
      </c>
      <c r="AI573" s="98" t="s">
        <v>971</v>
      </c>
      <c r="AJ573" s="98" t="s">
        <v>972</v>
      </c>
      <c r="AK573" s="98" t="s">
        <v>159</v>
      </c>
      <c r="AL573" s="98" t="s">
        <v>224</v>
      </c>
      <c r="AM573" s="98" t="s">
        <v>225</v>
      </c>
      <c r="AP573" s="98" t="s">
        <v>553</v>
      </c>
      <c r="AQ573" s="98" t="s">
        <v>551</v>
      </c>
      <c r="AR573" s="98" t="s">
        <v>1479</v>
      </c>
      <c r="AS573" s="98" t="s">
        <v>1704</v>
      </c>
      <c r="AT573" s="100" t="n">
        <v>0</v>
      </c>
      <c r="AU573" s="100" t="n">
        <v>-69951.2</v>
      </c>
      <c r="AX573" s="98" t="s">
        <v>213</v>
      </c>
      <c r="AMH573" s="0"/>
      <c r="AMI573" s="0"/>
      <c r="AMJ573" s="0"/>
    </row>
    <row r="574" s="98" customFormat="true" ht="13.8" hidden="false" customHeight="false" outlineLevel="0" collapsed="false">
      <c r="A574" s="98" t="s">
        <v>142</v>
      </c>
      <c r="B574" s="98" t="s">
        <v>143</v>
      </c>
      <c r="C574" s="98" t="n">
        <v>51322525</v>
      </c>
      <c r="D574" s="98" t="s">
        <v>1702</v>
      </c>
      <c r="E574" s="98" t="s">
        <v>725</v>
      </c>
      <c r="F574" s="98" t="s">
        <v>297</v>
      </c>
      <c r="G574" s="98" t="s">
        <v>147</v>
      </c>
      <c r="H574" s="98" t="s">
        <v>168</v>
      </c>
      <c r="I574" s="99" t="n">
        <v>43609</v>
      </c>
      <c r="J574" s="99" t="n">
        <v>43703</v>
      </c>
      <c r="K574" s="100" t="n">
        <v>-69951.2</v>
      </c>
      <c r="L574" s="100" t="n">
        <f aca="false">K574-Q574+T574</f>
        <v>-59280.68</v>
      </c>
      <c r="M574" s="98" t="s">
        <v>149</v>
      </c>
      <c r="N574" s="100" t="n">
        <v>-69951.2</v>
      </c>
      <c r="O574" s="98" t="s">
        <v>149</v>
      </c>
      <c r="P574" s="100" t="n">
        <v>-69951.2</v>
      </c>
      <c r="Q574" s="100" t="n">
        <v>-10670.52</v>
      </c>
      <c r="R574" s="100" t="n">
        <v>-59280.68</v>
      </c>
      <c r="S574" s="100" t="n">
        <v>0</v>
      </c>
      <c r="T574" s="100" t="n">
        <v>0</v>
      </c>
      <c r="U574" s="98" t="s">
        <v>192</v>
      </c>
      <c r="V574" s="98" t="s">
        <v>151</v>
      </c>
      <c r="X574" s="98" t="s">
        <v>1212</v>
      </c>
      <c r="Y574" s="98" t="s">
        <v>1213</v>
      </c>
      <c r="Z574" s="98" t="s">
        <v>1703</v>
      </c>
      <c r="AB574" s="98" t="s">
        <v>1213</v>
      </c>
      <c r="AD574" s="98" t="s">
        <v>155</v>
      </c>
      <c r="AE574" s="98" t="s">
        <v>156</v>
      </c>
      <c r="AF574" s="98" t="s">
        <v>728</v>
      </c>
      <c r="AG574" s="98" t="s">
        <v>729</v>
      </c>
      <c r="AH574" s="98" t="s">
        <v>971</v>
      </c>
      <c r="AI574" s="98" t="s">
        <v>971</v>
      </c>
      <c r="AJ574" s="98" t="s">
        <v>972</v>
      </c>
      <c r="AK574" s="98" t="s">
        <v>159</v>
      </c>
      <c r="AL574" s="98" t="s">
        <v>224</v>
      </c>
      <c r="AM574" s="98" t="s">
        <v>225</v>
      </c>
      <c r="AP574" s="98" t="s">
        <v>553</v>
      </c>
      <c r="AQ574" s="98" t="s">
        <v>551</v>
      </c>
      <c r="AR574" s="98" t="s">
        <v>1479</v>
      </c>
      <c r="AS574" s="98" t="s">
        <v>1704</v>
      </c>
      <c r="AT574" s="100" t="n">
        <v>0</v>
      </c>
      <c r="AU574" s="100" t="n">
        <v>-69951.2</v>
      </c>
      <c r="AX574" s="98" t="s">
        <v>200</v>
      </c>
      <c r="AMH574" s="0"/>
      <c r="AMI574" s="0"/>
      <c r="AMJ574" s="0"/>
    </row>
    <row r="575" s="98" customFormat="true" ht="13.8" hidden="false" customHeight="false" outlineLevel="0" collapsed="false">
      <c r="A575" s="98" t="s">
        <v>142</v>
      </c>
      <c r="B575" s="98" t="s">
        <v>143</v>
      </c>
      <c r="C575" s="98" t="n">
        <v>51322525</v>
      </c>
      <c r="D575" s="98" t="s">
        <v>1702</v>
      </c>
      <c r="E575" s="98" t="s">
        <v>725</v>
      </c>
      <c r="F575" s="98" t="s">
        <v>297</v>
      </c>
      <c r="G575" s="98" t="s">
        <v>147</v>
      </c>
      <c r="H575" s="98" t="s">
        <v>168</v>
      </c>
      <c r="I575" s="99" t="n">
        <v>43609</v>
      </c>
      <c r="J575" s="99" t="n">
        <v>43703</v>
      </c>
      <c r="K575" s="100" t="n">
        <v>-69951.2</v>
      </c>
      <c r="L575" s="100" t="n">
        <f aca="false">K575-Q575+T575</f>
        <v>-59280.68</v>
      </c>
      <c r="M575" s="98" t="s">
        <v>149</v>
      </c>
      <c r="N575" s="100" t="n">
        <v>-69951.2</v>
      </c>
      <c r="O575" s="98" t="s">
        <v>149</v>
      </c>
      <c r="P575" s="100" t="n">
        <v>-69951.2</v>
      </c>
      <c r="Q575" s="100" t="n">
        <v>-10670.52</v>
      </c>
      <c r="R575" s="100" t="n">
        <v>-59280.68</v>
      </c>
      <c r="S575" s="100" t="n">
        <v>0</v>
      </c>
      <c r="T575" s="100" t="n">
        <v>0</v>
      </c>
      <c r="U575" s="98" t="s">
        <v>192</v>
      </c>
      <c r="V575" s="98" t="s">
        <v>151</v>
      </c>
      <c r="X575" s="98" t="s">
        <v>1212</v>
      </c>
      <c r="Y575" s="98" t="s">
        <v>1213</v>
      </c>
      <c r="Z575" s="98" t="s">
        <v>1703</v>
      </c>
      <c r="AB575" s="98" t="s">
        <v>1213</v>
      </c>
      <c r="AD575" s="98" t="s">
        <v>155</v>
      </c>
      <c r="AE575" s="98" t="s">
        <v>156</v>
      </c>
      <c r="AF575" s="98" t="s">
        <v>728</v>
      </c>
      <c r="AG575" s="98" t="s">
        <v>729</v>
      </c>
      <c r="AH575" s="98" t="s">
        <v>971</v>
      </c>
      <c r="AI575" s="98" t="s">
        <v>971</v>
      </c>
      <c r="AJ575" s="98" t="s">
        <v>972</v>
      </c>
      <c r="AK575" s="98" t="s">
        <v>159</v>
      </c>
      <c r="AL575" s="98" t="s">
        <v>224</v>
      </c>
      <c r="AM575" s="98" t="s">
        <v>225</v>
      </c>
      <c r="AP575" s="98" t="s">
        <v>553</v>
      </c>
      <c r="AQ575" s="98" t="s">
        <v>551</v>
      </c>
      <c r="AR575" s="98" t="s">
        <v>1479</v>
      </c>
      <c r="AS575" s="98" t="s">
        <v>1704</v>
      </c>
      <c r="AT575" s="100" t="n">
        <v>0</v>
      </c>
      <c r="AU575" s="100" t="n">
        <v>-69951.2</v>
      </c>
      <c r="AX575" s="98" t="s">
        <v>191</v>
      </c>
      <c r="AMH575" s="0"/>
      <c r="AMI575" s="0"/>
      <c r="AMJ575" s="0"/>
    </row>
    <row r="576" s="98" customFormat="true" ht="13.8" hidden="false" customHeight="false" outlineLevel="0" collapsed="false">
      <c r="A576" s="98" t="s">
        <v>142</v>
      </c>
      <c r="B576" s="98" t="s">
        <v>143</v>
      </c>
      <c r="C576" s="98" t="n">
        <v>51777427</v>
      </c>
      <c r="D576" s="98" t="s">
        <v>1705</v>
      </c>
      <c r="E576" s="98" t="s">
        <v>725</v>
      </c>
      <c r="F576" s="98" t="s">
        <v>167</v>
      </c>
      <c r="G576" s="98" t="s">
        <v>147</v>
      </c>
      <c r="H576" s="98" t="s">
        <v>213</v>
      </c>
      <c r="I576" s="104" t="n">
        <v>43820</v>
      </c>
      <c r="J576" s="99" t="n">
        <v>43917</v>
      </c>
      <c r="K576" s="100" t="n">
        <v>-153594.09</v>
      </c>
      <c r="L576" s="100" t="n">
        <f aca="false">K576-Q576+T576</f>
        <v>-130164.48</v>
      </c>
      <c r="M576" s="98" t="s">
        <v>149</v>
      </c>
      <c r="N576" s="100" t="n">
        <v>-153594.09</v>
      </c>
      <c r="O576" s="98" t="s">
        <v>149</v>
      </c>
      <c r="P576" s="100" t="n">
        <v>-153594.09</v>
      </c>
      <c r="Q576" s="100" t="n">
        <v>-23429.61</v>
      </c>
      <c r="R576" s="100" t="n">
        <v>-153594.09</v>
      </c>
      <c r="S576" s="100" t="n">
        <v>0</v>
      </c>
      <c r="T576" s="100" t="n">
        <v>0</v>
      </c>
      <c r="U576" s="98" t="s">
        <v>150</v>
      </c>
      <c r="V576" s="98" t="s">
        <v>151</v>
      </c>
      <c r="Y576" s="98" t="s">
        <v>1575</v>
      </c>
      <c r="Z576" s="98" t="s">
        <v>1706</v>
      </c>
      <c r="AB576" s="98" t="s">
        <v>1575</v>
      </c>
      <c r="AD576" s="98" t="s">
        <v>155</v>
      </c>
      <c r="AE576" s="98" t="s">
        <v>156</v>
      </c>
      <c r="AF576" s="98" t="s">
        <v>728</v>
      </c>
      <c r="AG576" s="98" t="s">
        <v>729</v>
      </c>
      <c r="AH576" s="98" t="s">
        <v>730</v>
      </c>
      <c r="AI576" s="98" t="s">
        <v>730</v>
      </c>
      <c r="AJ576" s="98" t="s">
        <v>731</v>
      </c>
      <c r="AK576" s="98" t="s">
        <v>159</v>
      </c>
      <c r="AL576" s="98" t="s">
        <v>224</v>
      </c>
      <c r="AM576" s="98" t="s">
        <v>225</v>
      </c>
      <c r="AR576" s="98" t="s">
        <v>1577</v>
      </c>
      <c r="AS576" s="98" t="s">
        <v>1707</v>
      </c>
      <c r="AT576" s="100" t="n">
        <v>0</v>
      </c>
      <c r="AU576" s="100" t="n">
        <v>-153594.09</v>
      </c>
      <c r="AX576" s="98" t="s">
        <v>165</v>
      </c>
      <c r="AMH576" s="0"/>
      <c r="AMI576" s="0"/>
      <c r="AMJ576" s="0"/>
    </row>
    <row r="577" s="98" customFormat="true" ht="13.8" hidden="false" customHeight="false" outlineLevel="0" collapsed="false">
      <c r="A577" s="98" t="s">
        <v>142</v>
      </c>
      <c r="B577" s="98" t="s">
        <v>143</v>
      </c>
      <c r="C577" s="98" t="n">
        <v>51777428</v>
      </c>
      <c r="D577" s="98" t="s">
        <v>1708</v>
      </c>
      <c r="E577" s="98" t="s">
        <v>725</v>
      </c>
      <c r="F577" s="98" t="s">
        <v>167</v>
      </c>
      <c r="G577" s="98" t="s">
        <v>147</v>
      </c>
      <c r="H577" s="98" t="s">
        <v>213</v>
      </c>
      <c r="I577" s="104" t="n">
        <v>43820</v>
      </c>
      <c r="J577" s="99" t="n">
        <v>43917</v>
      </c>
      <c r="K577" s="100" t="n">
        <v>-14314.06</v>
      </c>
      <c r="L577" s="100" t="n">
        <f aca="false">K577-Q577+T577</f>
        <v>-12130.56</v>
      </c>
      <c r="M577" s="98" t="s">
        <v>149</v>
      </c>
      <c r="N577" s="100" t="n">
        <v>-14314.06</v>
      </c>
      <c r="O577" s="98" t="s">
        <v>149</v>
      </c>
      <c r="P577" s="100" t="n">
        <v>-14314.06</v>
      </c>
      <c r="Q577" s="100" t="n">
        <v>-2183.5</v>
      </c>
      <c r="R577" s="100" t="n">
        <v>-14314.06</v>
      </c>
      <c r="S577" s="100" t="n">
        <v>0</v>
      </c>
      <c r="T577" s="100" t="n">
        <v>0</v>
      </c>
      <c r="U577" s="98" t="s">
        <v>150</v>
      </c>
      <c r="V577" s="98" t="s">
        <v>151</v>
      </c>
      <c r="Y577" s="98" t="s">
        <v>1575</v>
      </c>
      <c r="Z577" s="98" t="s">
        <v>1709</v>
      </c>
      <c r="AB577" s="98" t="s">
        <v>1575</v>
      </c>
      <c r="AD577" s="98" t="s">
        <v>155</v>
      </c>
      <c r="AE577" s="98" t="s">
        <v>156</v>
      </c>
      <c r="AF577" s="98" t="s">
        <v>728</v>
      </c>
      <c r="AG577" s="98" t="s">
        <v>729</v>
      </c>
      <c r="AH577" s="98" t="s">
        <v>730</v>
      </c>
      <c r="AI577" s="98" t="s">
        <v>730</v>
      </c>
      <c r="AJ577" s="98" t="s">
        <v>731</v>
      </c>
      <c r="AK577" s="98" t="s">
        <v>159</v>
      </c>
      <c r="AL577" s="98" t="s">
        <v>224</v>
      </c>
      <c r="AM577" s="98" t="s">
        <v>225</v>
      </c>
      <c r="AR577" s="98" t="s">
        <v>1577</v>
      </c>
      <c r="AS577" s="98" t="s">
        <v>1710</v>
      </c>
      <c r="AT577" s="100" t="n">
        <v>0</v>
      </c>
      <c r="AU577" s="100" t="n">
        <v>-14314.06</v>
      </c>
      <c r="AX577" s="98" t="s">
        <v>165</v>
      </c>
      <c r="AMH577" s="0"/>
      <c r="AMI577" s="0"/>
      <c r="AMJ577" s="0"/>
    </row>
    <row r="578" s="98" customFormat="true" ht="13.8" hidden="false" customHeight="false" outlineLevel="0" collapsed="false">
      <c r="A578" s="98" t="s">
        <v>142</v>
      </c>
      <c r="B578" s="98" t="s">
        <v>143</v>
      </c>
      <c r="C578" s="98" t="n">
        <v>51777429</v>
      </c>
      <c r="D578" s="98" t="s">
        <v>1711</v>
      </c>
      <c r="E578" s="98" t="s">
        <v>725</v>
      </c>
      <c r="F578" s="98" t="s">
        <v>167</v>
      </c>
      <c r="G578" s="98" t="s">
        <v>147</v>
      </c>
      <c r="H578" s="98" t="s">
        <v>213</v>
      </c>
      <c r="I578" s="104" t="n">
        <v>43820</v>
      </c>
      <c r="J578" s="99" t="n">
        <v>43917</v>
      </c>
      <c r="K578" s="100" t="n">
        <v>-135167.96</v>
      </c>
      <c r="L578" s="100" t="n">
        <f aca="false">K578-Q578+T578</f>
        <v>-114549.12</v>
      </c>
      <c r="M578" s="98" t="s">
        <v>149</v>
      </c>
      <c r="N578" s="100" t="n">
        <v>-135167.96</v>
      </c>
      <c r="O578" s="98" t="s">
        <v>149</v>
      </c>
      <c r="P578" s="100" t="n">
        <v>-135167.96</v>
      </c>
      <c r="Q578" s="100" t="n">
        <v>-20618.84</v>
      </c>
      <c r="R578" s="100" t="n">
        <v>-135167.96</v>
      </c>
      <c r="S578" s="100" t="n">
        <v>0</v>
      </c>
      <c r="T578" s="100" t="n">
        <v>0</v>
      </c>
      <c r="U578" s="98" t="s">
        <v>150</v>
      </c>
      <c r="V578" s="98" t="s">
        <v>151</v>
      </c>
      <c r="Y578" s="98" t="s">
        <v>1575</v>
      </c>
      <c r="Z578" s="98" t="s">
        <v>1712</v>
      </c>
      <c r="AB578" s="98" t="s">
        <v>1575</v>
      </c>
      <c r="AD578" s="98" t="s">
        <v>155</v>
      </c>
      <c r="AE578" s="98" t="s">
        <v>156</v>
      </c>
      <c r="AF578" s="98" t="s">
        <v>728</v>
      </c>
      <c r="AG578" s="98" t="s">
        <v>729</v>
      </c>
      <c r="AH578" s="98" t="s">
        <v>730</v>
      </c>
      <c r="AI578" s="98" t="s">
        <v>730</v>
      </c>
      <c r="AJ578" s="98" t="s">
        <v>731</v>
      </c>
      <c r="AK578" s="98" t="s">
        <v>159</v>
      </c>
      <c r="AL578" s="98" t="s">
        <v>224</v>
      </c>
      <c r="AM578" s="98" t="s">
        <v>225</v>
      </c>
      <c r="AR578" s="98" t="s">
        <v>1577</v>
      </c>
      <c r="AS578" s="98" t="s">
        <v>1713</v>
      </c>
      <c r="AT578" s="100" t="n">
        <v>0</v>
      </c>
      <c r="AU578" s="100" t="n">
        <v>-135167.96</v>
      </c>
      <c r="AX578" s="98" t="s">
        <v>165</v>
      </c>
      <c r="AMH578" s="0"/>
      <c r="AMI578" s="0"/>
      <c r="AMJ578" s="0"/>
    </row>
    <row r="579" s="98" customFormat="true" ht="13.8" hidden="false" customHeight="false" outlineLevel="0" collapsed="false">
      <c r="A579" s="98" t="s">
        <v>142</v>
      </c>
      <c r="B579" s="98" t="s">
        <v>143</v>
      </c>
      <c r="C579" s="98" t="n">
        <v>51777430</v>
      </c>
      <c r="D579" s="98" t="s">
        <v>1714</v>
      </c>
      <c r="E579" s="98" t="s">
        <v>725</v>
      </c>
      <c r="F579" s="98" t="s">
        <v>167</v>
      </c>
      <c r="G579" s="98" t="s">
        <v>147</v>
      </c>
      <c r="H579" s="98" t="s">
        <v>213</v>
      </c>
      <c r="I579" s="104" t="n">
        <v>43820</v>
      </c>
      <c r="J579" s="99" t="n">
        <v>43917</v>
      </c>
      <c r="K579" s="100" t="n">
        <v>-12370.18</v>
      </c>
      <c r="L579" s="100" t="n">
        <f aca="false">K579-Q579+T579</f>
        <v>-10483.2</v>
      </c>
      <c r="M579" s="98" t="s">
        <v>149</v>
      </c>
      <c r="N579" s="100" t="n">
        <v>-12370.18</v>
      </c>
      <c r="O579" s="98" t="s">
        <v>149</v>
      </c>
      <c r="P579" s="100" t="n">
        <v>-12370.18</v>
      </c>
      <c r="Q579" s="100" t="n">
        <v>-1886.98</v>
      </c>
      <c r="R579" s="100" t="n">
        <v>-12370.18</v>
      </c>
      <c r="S579" s="100" t="n">
        <v>0</v>
      </c>
      <c r="T579" s="100" t="n">
        <v>0</v>
      </c>
      <c r="U579" s="98" t="s">
        <v>150</v>
      </c>
      <c r="V579" s="98" t="s">
        <v>151</v>
      </c>
      <c r="Y579" s="98" t="s">
        <v>1575</v>
      </c>
      <c r="Z579" s="98" t="s">
        <v>1715</v>
      </c>
      <c r="AB579" s="98" t="s">
        <v>1575</v>
      </c>
      <c r="AD579" s="98" t="s">
        <v>155</v>
      </c>
      <c r="AE579" s="98" t="s">
        <v>156</v>
      </c>
      <c r="AF579" s="98" t="s">
        <v>728</v>
      </c>
      <c r="AG579" s="98" t="s">
        <v>729</v>
      </c>
      <c r="AH579" s="98" t="s">
        <v>730</v>
      </c>
      <c r="AI579" s="98" t="s">
        <v>730</v>
      </c>
      <c r="AJ579" s="98" t="s">
        <v>731</v>
      </c>
      <c r="AK579" s="98" t="s">
        <v>159</v>
      </c>
      <c r="AL579" s="98" t="s">
        <v>224</v>
      </c>
      <c r="AM579" s="98" t="s">
        <v>225</v>
      </c>
      <c r="AR579" s="98" t="s">
        <v>1577</v>
      </c>
      <c r="AS579" s="98" t="s">
        <v>1716</v>
      </c>
      <c r="AT579" s="100" t="n">
        <v>0</v>
      </c>
      <c r="AU579" s="100" t="n">
        <v>-12370.18</v>
      </c>
      <c r="AX579" s="98" t="s">
        <v>165</v>
      </c>
      <c r="AMH579" s="0"/>
      <c r="AMI579" s="0"/>
      <c r="AMJ579" s="0"/>
    </row>
    <row r="580" s="98" customFormat="true" ht="13.8" hidden="false" customHeight="false" outlineLevel="0" collapsed="false">
      <c r="A580" s="98" t="s">
        <v>142</v>
      </c>
      <c r="B580" s="98" t="s">
        <v>143</v>
      </c>
      <c r="C580" s="98" t="n">
        <v>51777431</v>
      </c>
      <c r="D580" s="98" t="s">
        <v>1717</v>
      </c>
      <c r="E580" s="98" t="s">
        <v>725</v>
      </c>
      <c r="F580" s="98" t="s">
        <v>167</v>
      </c>
      <c r="G580" s="98" t="s">
        <v>147</v>
      </c>
      <c r="H580" s="98" t="s">
        <v>213</v>
      </c>
      <c r="I580" s="104" t="n">
        <v>43820</v>
      </c>
      <c r="J580" s="99" t="n">
        <v>43917</v>
      </c>
      <c r="K580" s="100" t="n">
        <v>-46388.16</v>
      </c>
      <c r="L580" s="100" t="n">
        <f aca="false">K580-Q580+T580</f>
        <v>-39312</v>
      </c>
      <c r="M580" s="98" t="s">
        <v>149</v>
      </c>
      <c r="N580" s="100" t="n">
        <v>-46388.16</v>
      </c>
      <c r="O580" s="98" t="s">
        <v>149</v>
      </c>
      <c r="P580" s="100" t="n">
        <v>-46388.16</v>
      </c>
      <c r="Q580" s="100" t="n">
        <v>-7076.16</v>
      </c>
      <c r="R580" s="100" t="n">
        <v>-46388.16</v>
      </c>
      <c r="S580" s="100" t="n">
        <v>0</v>
      </c>
      <c r="T580" s="100" t="n">
        <v>0</v>
      </c>
      <c r="U580" s="98" t="s">
        <v>150</v>
      </c>
      <c r="V580" s="98" t="s">
        <v>151</v>
      </c>
      <c r="Y580" s="98" t="s">
        <v>1575</v>
      </c>
      <c r="Z580" s="98" t="s">
        <v>1718</v>
      </c>
      <c r="AB580" s="98" t="s">
        <v>1575</v>
      </c>
      <c r="AD580" s="98" t="s">
        <v>155</v>
      </c>
      <c r="AE580" s="98" t="s">
        <v>156</v>
      </c>
      <c r="AF580" s="98" t="s">
        <v>728</v>
      </c>
      <c r="AG580" s="98" t="s">
        <v>729</v>
      </c>
      <c r="AH580" s="98" t="s">
        <v>730</v>
      </c>
      <c r="AI580" s="98" t="s">
        <v>730</v>
      </c>
      <c r="AJ580" s="98" t="s">
        <v>731</v>
      </c>
      <c r="AK580" s="98" t="s">
        <v>159</v>
      </c>
      <c r="AL580" s="98" t="s">
        <v>224</v>
      </c>
      <c r="AM580" s="98" t="s">
        <v>225</v>
      </c>
      <c r="AR580" s="98" t="s">
        <v>1577</v>
      </c>
      <c r="AS580" s="98" t="s">
        <v>1719</v>
      </c>
      <c r="AT580" s="100" t="n">
        <v>0</v>
      </c>
      <c r="AU580" s="100" t="n">
        <v>-46388.16</v>
      </c>
      <c r="AX580" s="98" t="s">
        <v>165</v>
      </c>
      <c r="AMH580" s="0"/>
      <c r="AMI580" s="0"/>
      <c r="AMJ580" s="0"/>
    </row>
    <row r="581" s="98" customFormat="true" ht="13.8" hidden="false" customHeight="false" outlineLevel="0" collapsed="false">
      <c r="A581" s="98" t="s">
        <v>142</v>
      </c>
      <c r="B581" s="98" t="s">
        <v>143</v>
      </c>
      <c r="C581" s="98" t="n">
        <v>51777432</v>
      </c>
      <c r="D581" s="98" t="s">
        <v>1720</v>
      </c>
      <c r="E581" s="98" t="s">
        <v>725</v>
      </c>
      <c r="F581" s="98" t="s">
        <v>167</v>
      </c>
      <c r="G581" s="98" t="s">
        <v>147</v>
      </c>
      <c r="H581" s="98" t="s">
        <v>213</v>
      </c>
      <c r="I581" s="104" t="n">
        <v>43820</v>
      </c>
      <c r="J581" s="99" t="n">
        <v>43917</v>
      </c>
      <c r="K581" s="100" t="n">
        <v>-416829.1</v>
      </c>
      <c r="L581" s="100" t="n">
        <f aca="false">K581-Q581+T581</f>
        <v>-353245</v>
      </c>
      <c r="M581" s="98" t="s">
        <v>149</v>
      </c>
      <c r="N581" s="100" t="n">
        <v>-416829.1</v>
      </c>
      <c r="O581" s="98" t="s">
        <v>149</v>
      </c>
      <c r="P581" s="100" t="n">
        <v>-416829.1</v>
      </c>
      <c r="Q581" s="100" t="n">
        <v>-63584.1</v>
      </c>
      <c r="R581" s="100" t="n">
        <v>-416829.1</v>
      </c>
      <c r="S581" s="100" t="n">
        <v>0</v>
      </c>
      <c r="T581" s="100" t="n">
        <v>0</v>
      </c>
      <c r="U581" s="98" t="s">
        <v>150</v>
      </c>
      <c r="V581" s="98" t="s">
        <v>151</v>
      </c>
      <c r="Y581" s="98" t="s">
        <v>1575</v>
      </c>
      <c r="Z581" s="98" t="s">
        <v>1721</v>
      </c>
      <c r="AB581" s="98" t="s">
        <v>1575</v>
      </c>
      <c r="AD581" s="98" t="s">
        <v>155</v>
      </c>
      <c r="AE581" s="98" t="s">
        <v>156</v>
      </c>
      <c r="AF581" s="98" t="s">
        <v>728</v>
      </c>
      <c r="AG581" s="98" t="s">
        <v>729</v>
      </c>
      <c r="AH581" s="98" t="s">
        <v>730</v>
      </c>
      <c r="AI581" s="98" t="s">
        <v>730</v>
      </c>
      <c r="AJ581" s="98" t="s">
        <v>731</v>
      </c>
      <c r="AK581" s="98" t="s">
        <v>159</v>
      </c>
      <c r="AL581" s="98" t="s">
        <v>224</v>
      </c>
      <c r="AM581" s="98" t="s">
        <v>225</v>
      </c>
      <c r="AR581" s="98" t="s">
        <v>1577</v>
      </c>
      <c r="AS581" s="98" t="s">
        <v>1722</v>
      </c>
      <c r="AT581" s="100" t="n">
        <v>0</v>
      </c>
      <c r="AU581" s="100" t="n">
        <v>-416829.1</v>
      </c>
      <c r="AX581" s="98" t="s">
        <v>165</v>
      </c>
      <c r="AMH581" s="0"/>
      <c r="AMI581" s="0"/>
      <c r="AMJ581" s="0"/>
    </row>
    <row r="582" s="98" customFormat="true" ht="13.8" hidden="false" customHeight="false" outlineLevel="0" collapsed="false">
      <c r="A582" s="98" t="s">
        <v>142</v>
      </c>
      <c r="B582" s="98" t="s">
        <v>143</v>
      </c>
      <c r="C582" s="98" t="n">
        <v>51777433</v>
      </c>
      <c r="D582" s="98" t="s">
        <v>1723</v>
      </c>
      <c r="E582" s="98" t="s">
        <v>725</v>
      </c>
      <c r="F582" s="98" t="s">
        <v>167</v>
      </c>
      <c r="G582" s="98" t="s">
        <v>147</v>
      </c>
      <c r="H582" s="98" t="s">
        <v>213</v>
      </c>
      <c r="I582" s="104" t="n">
        <v>43820</v>
      </c>
      <c r="J582" s="99" t="n">
        <v>43917</v>
      </c>
      <c r="K582" s="100" t="n">
        <v>-232648.8</v>
      </c>
      <c r="L582" s="100" t="n">
        <f aca="false">K582-Q582+T582</f>
        <v>-197160</v>
      </c>
      <c r="M582" s="98" t="s">
        <v>149</v>
      </c>
      <c r="N582" s="100" t="n">
        <v>-232648.8</v>
      </c>
      <c r="O582" s="98" t="s">
        <v>149</v>
      </c>
      <c r="P582" s="100" t="n">
        <v>-232648.8</v>
      </c>
      <c r="Q582" s="100" t="n">
        <v>-35488.8</v>
      </c>
      <c r="R582" s="100" t="n">
        <v>-232648.8</v>
      </c>
      <c r="S582" s="100" t="n">
        <v>0</v>
      </c>
      <c r="T582" s="100" t="n">
        <v>0</v>
      </c>
      <c r="U582" s="98" t="s">
        <v>150</v>
      </c>
      <c r="V582" s="98" t="s">
        <v>151</v>
      </c>
      <c r="Y582" s="98" t="s">
        <v>1575</v>
      </c>
      <c r="Z582" s="98" t="s">
        <v>1724</v>
      </c>
      <c r="AB582" s="98" t="s">
        <v>1575</v>
      </c>
      <c r="AD582" s="98" t="s">
        <v>155</v>
      </c>
      <c r="AE582" s="98" t="s">
        <v>156</v>
      </c>
      <c r="AF582" s="98" t="s">
        <v>728</v>
      </c>
      <c r="AG582" s="98" t="s">
        <v>729</v>
      </c>
      <c r="AH582" s="98" t="s">
        <v>730</v>
      </c>
      <c r="AI582" s="98" t="s">
        <v>730</v>
      </c>
      <c r="AJ582" s="98" t="s">
        <v>731</v>
      </c>
      <c r="AK582" s="98" t="s">
        <v>159</v>
      </c>
      <c r="AL582" s="98" t="s">
        <v>224</v>
      </c>
      <c r="AM582" s="98" t="s">
        <v>225</v>
      </c>
      <c r="AR582" s="98" t="s">
        <v>1577</v>
      </c>
      <c r="AS582" s="98" t="s">
        <v>1725</v>
      </c>
      <c r="AT582" s="100" t="n">
        <v>0</v>
      </c>
      <c r="AU582" s="100" t="n">
        <v>-232648.8</v>
      </c>
      <c r="AX582" s="98" t="s">
        <v>165</v>
      </c>
      <c r="AMH582" s="0"/>
      <c r="AMI582" s="0"/>
      <c r="AMJ582" s="0"/>
    </row>
    <row r="583" s="98" customFormat="true" ht="13.8" hidden="false" customHeight="false" outlineLevel="0" collapsed="false">
      <c r="A583" s="98" t="s">
        <v>142</v>
      </c>
      <c r="B583" s="98" t="s">
        <v>143</v>
      </c>
      <c r="C583" s="98" t="n">
        <v>51777434</v>
      </c>
      <c r="D583" s="98" t="s">
        <v>1726</v>
      </c>
      <c r="E583" s="98" t="s">
        <v>725</v>
      </c>
      <c r="F583" s="98" t="s">
        <v>167</v>
      </c>
      <c r="G583" s="98" t="s">
        <v>147</v>
      </c>
      <c r="H583" s="98" t="s">
        <v>213</v>
      </c>
      <c r="I583" s="104" t="n">
        <v>43820</v>
      </c>
      <c r="J583" s="99" t="n">
        <v>43917</v>
      </c>
      <c r="K583" s="100" t="n">
        <v>-240403.76</v>
      </c>
      <c r="L583" s="100" t="n">
        <f aca="false">K583-Q583+T583</f>
        <v>-203732</v>
      </c>
      <c r="M583" s="98" t="s">
        <v>149</v>
      </c>
      <c r="N583" s="100" t="n">
        <v>-240403.76</v>
      </c>
      <c r="O583" s="98" t="s">
        <v>149</v>
      </c>
      <c r="P583" s="100" t="n">
        <v>-240403.76</v>
      </c>
      <c r="Q583" s="100" t="n">
        <v>-36671.76</v>
      </c>
      <c r="R583" s="100" t="n">
        <v>-240403.76</v>
      </c>
      <c r="S583" s="100" t="n">
        <v>0</v>
      </c>
      <c r="T583" s="100" t="n">
        <v>0</v>
      </c>
      <c r="U583" s="98" t="s">
        <v>150</v>
      </c>
      <c r="V583" s="98" t="s">
        <v>151</v>
      </c>
      <c r="Y583" s="98" t="s">
        <v>1575</v>
      </c>
      <c r="Z583" s="98" t="s">
        <v>1727</v>
      </c>
      <c r="AB583" s="98" t="s">
        <v>1575</v>
      </c>
      <c r="AD583" s="98" t="s">
        <v>155</v>
      </c>
      <c r="AE583" s="98" t="s">
        <v>156</v>
      </c>
      <c r="AF583" s="98" t="s">
        <v>728</v>
      </c>
      <c r="AG583" s="98" t="s">
        <v>729</v>
      </c>
      <c r="AH583" s="98" t="s">
        <v>730</v>
      </c>
      <c r="AI583" s="98" t="s">
        <v>730</v>
      </c>
      <c r="AJ583" s="98" t="s">
        <v>731</v>
      </c>
      <c r="AK583" s="98" t="s">
        <v>159</v>
      </c>
      <c r="AL583" s="98" t="s">
        <v>224</v>
      </c>
      <c r="AM583" s="98" t="s">
        <v>225</v>
      </c>
      <c r="AR583" s="98" t="s">
        <v>1577</v>
      </c>
      <c r="AS583" s="98" t="s">
        <v>1728</v>
      </c>
      <c r="AT583" s="100" t="n">
        <v>0</v>
      </c>
      <c r="AU583" s="100" t="n">
        <v>-240403.76</v>
      </c>
      <c r="AX583" s="98" t="s">
        <v>165</v>
      </c>
      <c r="AMH583" s="0"/>
      <c r="AMI583" s="0"/>
      <c r="AMJ583" s="0"/>
    </row>
    <row r="584" s="98" customFormat="true" ht="13.8" hidden="false" customHeight="false" outlineLevel="0" collapsed="false">
      <c r="A584" s="98" t="s">
        <v>142</v>
      </c>
      <c r="B584" s="98" t="s">
        <v>143</v>
      </c>
      <c r="C584" s="98" t="n">
        <v>51777435</v>
      </c>
      <c r="D584" s="98" t="s">
        <v>1729</v>
      </c>
      <c r="E584" s="98" t="s">
        <v>725</v>
      </c>
      <c r="F584" s="98" t="s">
        <v>167</v>
      </c>
      <c r="G584" s="98" t="s">
        <v>147</v>
      </c>
      <c r="H584" s="98" t="s">
        <v>213</v>
      </c>
      <c r="I584" s="104" t="n">
        <v>43820</v>
      </c>
      <c r="J584" s="99" t="n">
        <v>43917</v>
      </c>
      <c r="K584" s="100" t="n">
        <v>-697946.4</v>
      </c>
      <c r="L584" s="100" t="n">
        <f aca="false">K584-Q584+T584</f>
        <v>-591480</v>
      </c>
      <c r="M584" s="98" t="s">
        <v>149</v>
      </c>
      <c r="N584" s="100" t="n">
        <v>-697946.4</v>
      </c>
      <c r="O584" s="98" t="s">
        <v>149</v>
      </c>
      <c r="P584" s="100" t="n">
        <v>-697946.4</v>
      </c>
      <c r="Q584" s="100" t="n">
        <v>-106466.4</v>
      </c>
      <c r="R584" s="100" t="n">
        <v>-697946.4</v>
      </c>
      <c r="S584" s="100" t="n">
        <v>0</v>
      </c>
      <c r="T584" s="100" t="n">
        <v>0</v>
      </c>
      <c r="U584" s="98" t="s">
        <v>150</v>
      </c>
      <c r="V584" s="98" t="s">
        <v>151</v>
      </c>
      <c r="Y584" s="98" t="s">
        <v>1575</v>
      </c>
      <c r="Z584" s="98" t="s">
        <v>1730</v>
      </c>
      <c r="AB584" s="98" t="s">
        <v>1575</v>
      </c>
      <c r="AD584" s="98" t="s">
        <v>155</v>
      </c>
      <c r="AE584" s="98" t="s">
        <v>156</v>
      </c>
      <c r="AF584" s="98" t="s">
        <v>728</v>
      </c>
      <c r="AG584" s="98" t="s">
        <v>729</v>
      </c>
      <c r="AH584" s="98" t="s">
        <v>730</v>
      </c>
      <c r="AI584" s="98" t="s">
        <v>730</v>
      </c>
      <c r="AJ584" s="98" t="s">
        <v>731</v>
      </c>
      <c r="AK584" s="98" t="s">
        <v>159</v>
      </c>
      <c r="AL584" s="98" t="s">
        <v>224</v>
      </c>
      <c r="AM584" s="98" t="s">
        <v>225</v>
      </c>
      <c r="AR584" s="98" t="s">
        <v>1577</v>
      </c>
      <c r="AS584" s="98" t="s">
        <v>1731</v>
      </c>
      <c r="AT584" s="100" t="n">
        <v>0</v>
      </c>
      <c r="AU584" s="100" t="n">
        <v>-697946.4</v>
      </c>
      <c r="AX584" s="98" t="s">
        <v>165</v>
      </c>
      <c r="AMH584" s="0"/>
      <c r="AMI584" s="0"/>
      <c r="AMJ584" s="0"/>
    </row>
    <row r="585" s="98" customFormat="true" ht="13.8" hidden="false" customHeight="false" outlineLevel="0" collapsed="false">
      <c r="A585" s="98" t="s">
        <v>142</v>
      </c>
      <c r="B585" s="98" t="s">
        <v>143</v>
      </c>
      <c r="C585" s="98" t="n">
        <v>51777436</v>
      </c>
      <c r="D585" s="98" t="s">
        <v>1732</v>
      </c>
      <c r="E585" s="98" t="s">
        <v>725</v>
      </c>
      <c r="F585" s="98" t="s">
        <v>167</v>
      </c>
      <c r="G585" s="98" t="s">
        <v>147</v>
      </c>
      <c r="H585" s="98" t="s">
        <v>213</v>
      </c>
      <c r="I585" s="104" t="n">
        <v>43820</v>
      </c>
      <c r="J585" s="99" t="n">
        <v>43917</v>
      </c>
      <c r="K585" s="100" t="n">
        <v>-40713.54</v>
      </c>
      <c r="L585" s="100" t="n">
        <f aca="false">K585-Q585+T585</f>
        <v>-34503</v>
      </c>
      <c r="M585" s="98" t="s">
        <v>149</v>
      </c>
      <c r="N585" s="100" t="n">
        <v>-40713.54</v>
      </c>
      <c r="O585" s="98" t="s">
        <v>149</v>
      </c>
      <c r="P585" s="100" t="n">
        <v>-40713.54</v>
      </c>
      <c r="Q585" s="100" t="n">
        <v>-6210.54</v>
      </c>
      <c r="R585" s="100" t="n">
        <v>-40713.54</v>
      </c>
      <c r="S585" s="100" t="n">
        <v>0</v>
      </c>
      <c r="T585" s="100" t="n">
        <v>0</v>
      </c>
      <c r="U585" s="98" t="s">
        <v>150</v>
      </c>
      <c r="V585" s="98" t="s">
        <v>151</v>
      </c>
      <c r="Y585" s="98" t="s">
        <v>1575</v>
      </c>
      <c r="Z585" s="98" t="s">
        <v>1733</v>
      </c>
      <c r="AB585" s="98" t="s">
        <v>1575</v>
      </c>
      <c r="AD585" s="98" t="s">
        <v>155</v>
      </c>
      <c r="AE585" s="98" t="s">
        <v>156</v>
      </c>
      <c r="AF585" s="98" t="s">
        <v>728</v>
      </c>
      <c r="AG585" s="98" t="s">
        <v>729</v>
      </c>
      <c r="AH585" s="98" t="s">
        <v>730</v>
      </c>
      <c r="AI585" s="98" t="s">
        <v>730</v>
      </c>
      <c r="AJ585" s="98" t="s">
        <v>731</v>
      </c>
      <c r="AK585" s="98" t="s">
        <v>159</v>
      </c>
      <c r="AL585" s="98" t="s">
        <v>224</v>
      </c>
      <c r="AM585" s="98" t="s">
        <v>225</v>
      </c>
      <c r="AR585" s="98" t="s">
        <v>1577</v>
      </c>
      <c r="AS585" s="98" t="s">
        <v>1734</v>
      </c>
      <c r="AT585" s="100" t="n">
        <v>0</v>
      </c>
      <c r="AU585" s="100" t="n">
        <v>-40713.54</v>
      </c>
      <c r="AX585" s="98" t="s">
        <v>165</v>
      </c>
      <c r="AMH585" s="0"/>
      <c r="AMI585" s="0"/>
      <c r="AMJ585" s="0"/>
    </row>
    <row r="586" s="98" customFormat="true" ht="13.8" hidden="false" customHeight="false" outlineLevel="0" collapsed="false">
      <c r="A586" s="98" t="s">
        <v>142</v>
      </c>
      <c r="B586" s="98" t="s">
        <v>143</v>
      </c>
      <c r="C586" s="98" t="n">
        <v>51777437</v>
      </c>
      <c r="D586" s="98" t="s">
        <v>1735</v>
      </c>
      <c r="E586" s="98" t="s">
        <v>725</v>
      </c>
      <c r="F586" s="98" t="s">
        <v>167</v>
      </c>
      <c r="G586" s="98" t="s">
        <v>147</v>
      </c>
      <c r="H586" s="98" t="s">
        <v>213</v>
      </c>
      <c r="I586" s="104" t="n">
        <v>43820</v>
      </c>
      <c r="J586" s="99" t="n">
        <v>43917</v>
      </c>
      <c r="K586" s="100" t="n">
        <v>-34897.32</v>
      </c>
      <c r="L586" s="100" t="n">
        <f aca="false">K586-Q586+T586</f>
        <v>-29574</v>
      </c>
      <c r="M586" s="98" t="s">
        <v>149</v>
      </c>
      <c r="N586" s="100" t="n">
        <v>-34897.32</v>
      </c>
      <c r="O586" s="98" t="s">
        <v>149</v>
      </c>
      <c r="P586" s="100" t="n">
        <v>-34897.32</v>
      </c>
      <c r="Q586" s="100" t="n">
        <v>-5323.32</v>
      </c>
      <c r="R586" s="100" t="n">
        <v>-34897.32</v>
      </c>
      <c r="S586" s="100" t="n">
        <v>0</v>
      </c>
      <c r="T586" s="100" t="n">
        <v>0</v>
      </c>
      <c r="U586" s="98" t="s">
        <v>150</v>
      </c>
      <c r="V586" s="98" t="s">
        <v>151</v>
      </c>
      <c r="Y586" s="98" t="s">
        <v>1575</v>
      </c>
      <c r="Z586" s="98" t="s">
        <v>1736</v>
      </c>
      <c r="AB586" s="98" t="s">
        <v>1575</v>
      </c>
      <c r="AD586" s="98" t="s">
        <v>155</v>
      </c>
      <c r="AE586" s="98" t="s">
        <v>156</v>
      </c>
      <c r="AF586" s="98" t="s">
        <v>728</v>
      </c>
      <c r="AG586" s="98" t="s">
        <v>729</v>
      </c>
      <c r="AH586" s="98" t="s">
        <v>730</v>
      </c>
      <c r="AI586" s="98" t="s">
        <v>730</v>
      </c>
      <c r="AJ586" s="98" t="s">
        <v>731</v>
      </c>
      <c r="AK586" s="98" t="s">
        <v>159</v>
      </c>
      <c r="AL586" s="98" t="s">
        <v>224</v>
      </c>
      <c r="AM586" s="98" t="s">
        <v>225</v>
      </c>
      <c r="AR586" s="98" t="s">
        <v>1577</v>
      </c>
      <c r="AS586" s="98" t="s">
        <v>1737</v>
      </c>
      <c r="AT586" s="100" t="n">
        <v>0</v>
      </c>
      <c r="AU586" s="100" t="n">
        <v>-34897.32</v>
      </c>
      <c r="AX586" s="98" t="s">
        <v>165</v>
      </c>
      <c r="AMH586" s="0"/>
      <c r="AMI586" s="0"/>
      <c r="AMJ586" s="0"/>
    </row>
    <row r="587" s="98" customFormat="true" ht="13.8" hidden="false" customHeight="false" outlineLevel="0" collapsed="false">
      <c r="A587" s="98" t="s">
        <v>142</v>
      </c>
      <c r="B587" s="98" t="s">
        <v>143</v>
      </c>
      <c r="C587" s="98" t="n">
        <v>51777438</v>
      </c>
      <c r="D587" s="98" t="s">
        <v>1738</v>
      </c>
      <c r="E587" s="98" t="s">
        <v>725</v>
      </c>
      <c r="F587" s="98" t="s">
        <v>167</v>
      </c>
      <c r="G587" s="98" t="s">
        <v>147</v>
      </c>
      <c r="H587" s="98" t="s">
        <v>213</v>
      </c>
      <c r="I587" s="104" t="n">
        <v>43820</v>
      </c>
      <c r="J587" s="99" t="n">
        <v>43917</v>
      </c>
      <c r="K587" s="100" t="n">
        <v>-434277.76</v>
      </c>
      <c r="L587" s="100" t="n">
        <f aca="false">K587-Q587+T587</f>
        <v>-368032</v>
      </c>
      <c r="M587" s="98" t="s">
        <v>149</v>
      </c>
      <c r="N587" s="100" t="n">
        <v>-434277.76</v>
      </c>
      <c r="O587" s="98" t="s">
        <v>149</v>
      </c>
      <c r="P587" s="100" t="n">
        <v>-434277.76</v>
      </c>
      <c r="Q587" s="100" t="n">
        <v>-66245.76</v>
      </c>
      <c r="R587" s="100" t="n">
        <v>-434277.76</v>
      </c>
      <c r="S587" s="100" t="n">
        <v>0</v>
      </c>
      <c r="T587" s="100" t="n">
        <v>0</v>
      </c>
      <c r="U587" s="98" t="s">
        <v>150</v>
      </c>
      <c r="V587" s="98" t="s">
        <v>151</v>
      </c>
      <c r="Y587" s="98" t="s">
        <v>1575</v>
      </c>
      <c r="Z587" s="98" t="s">
        <v>1739</v>
      </c>
      <c r="AB587" s="98" t="s">
        <v>1575</v>
      </c>
      <c r="AD587" s="98" t="s">
        <v>155</v>
      </c>
      <c r="AE587" s="98" t="s">
        <v>156</v>
      </c>
      <c r="AF587" s="98" t="s">
        <v>728</v>
      </c>
      <c r="AG587" s="98" t="s">
        <v>729</v>
      </c>
      <c r="AH587" s="98" t="s">
        <v>730</v>
      </c>
      <c r="AI587" s="98" t="s">
        <v>730</v>
      </c>
      <c r="AJ587" s="98" t="s">
        <v>731</v>
      </c>
      <c r="AK587" s="98" t="s">
        <v>159</v>
      </c>
      <c r="AL587" s="98" t="s">
        <v>224</v>
      </c>
      <c r="AM587" s="98" t="s">
        <v>225</v>
      </c>
      <c r="AR587" s="98" t="s">
        <v>1577</v>
      </c>
      <c r="AS587" s="98" t="s">
        <v>1740</v>
      </c>
      <c r="AT587" s="100" t="n">
        <v>0</v>
      </c>
      <c r="AU587" s="100" t="n">
        <v>-434277.76</v>
      </c>
      <c r="AX587" s="98" t="s">
        <v>165</v>
      </c>
      <c r="AMH587" s="0"/>
      <c r="AMI587" s="0"/>
      <c r="AMJ587" s="0"/>
    </row>
    <row r="588" s="98" customFormat="true" ht="13.8" hidden="false" customHeight="false" outlineLevel="0" collapsed="false">
      <c r="A588" s="98" t="s">
        <v>142</v>
      </c>
      <c r="B588" s="98" t="s">
        <v>143</v>
      </c>
      <c r="C588" s="98" t="n">
        <v>51777439</v>
      </c>
      <c r="D588" s="98" t="s">
        <v>1741</v>
      </c>
      <c r="E588" s="98" t="s">
        <v>725</v>
      </c>
      <c r="F588" s="98" t="s">
        <v>167</v>
      </c>
      <c r="G588" s="98" t="s">
        <v>147</v>
      </c>
      <c r="H588" s="98" t="s">
        <v>213</v>
      </c>
      <c r="I588" s="104" t="n">
        <v>43820</v>
      </c>
      <c r="J588" s="99" t="n">
        <v>43917</v>
      </c>
      <c r="K588" s="100" t="n">
        <v>-155099.2</v>
      </c>
      <c r="L588" s="100" t="n">
        <f aca="false">K588-Q588+T588</f>
        <v>-131440</v>
      </c>
      <c r="M588" s="98" t="s">
        <v>149</v>
      </c>
      <c r="N588" s="100" t="n">
        <v>-155099.2</v>
      </c>
      <c r="O588" s="98" t="s">
        <v>149</v>
      </c>
      <c r="P588" s="100" t="n">
        <v>-155099.2</v>
      </c>
      <c r="Q588" s="100" t="n">
        <v>-23659.2</v>
      </c>
      <c r="R588" s="100" t="n">
        <v>-155099.2</v>
      </c>
      <c r="S588" s="100" t="n">
        <v>0</v>
      </c>
      <c r="T588" s="100" t="n">
        <v>0</v>
      </c>
      <c r="U588" s="98" t="s">
        <v>150</v>
      </c>
      <c r="V588" s="98" t="s">
        <v>151</v>
      </c>
      <c r="Y588" s="98" t="s">
        <v>1575</v>
      </c>
      <c r="Z588" s="98" t="s">
        <v>1742</v>
      </c>
      <c r="AB588" s="98" t="s">
        <v>1575</v>
      </c>
      <c r="AD588" s="98" t="s">
        <v>155</v>
      </c>
      <c r="AE588" s="98" t="s">
        <v>156</v>
      </c>
      <c r="AF588" s="98" t="s">
        <v>728</v>
      </c>
      <c r="AG588" s="98" t="s">
        <v>729</v>
      </c>
      <c r="AH588" s="98" t="s">
        <v>730</v>
      </c>
      <c r="AI588" s="98" t="s">
        <v>730</v>
      </c>
      <c r="AJ588" s="98" t="s">
        <v>731</v>
      </c>
      <c r="AK588" s="98" t="s">
        <v>159</v>
      </c>
      <c r="AL588" s="98" t="s">
        <v>224</v>
      </c>
      <c r="AM588" s="98" t="s">
        <v>225</v>
      </c>
      <c r="AR588" s="98" t="s">
        <v>1577</v>
      </c>
      <c r="AS588" s="98" t="s">
        <v>1743</v>
      </c>
      <c r="AT588" s="100" t="n">
        <v>0</v>
      </c>
      <c r="AU588" s="100" t="n">
        <v>-155099.2</v>
      </c>
      <c r="AX588" s="98" t="s">
        <v>165</v>
      </c>
      <c r="AMH588" s="0"/>
      <c r="AMI588" s="0"/>
      <c r="AMJ588" s="0"/>
    </row>
    <row r="589" s="98" customFormat="true" ht="13.8" hidden="false" customHeight="false" outlineLevel="0" collapsed="false">
      <c r="A589" s="98" t="s">
        <v>142</v>
      </c>
      <c r="B589" s="98" t="s">
        <v>143</v>
      </c>
      <c r="C589" s="98" t="n">
        <v>51573028</v>
      </c>
      <c r="D589" s="98" t="s">
        <v>1744</v>
      </c>
      <c r="E589" s="98" t="s">
        <v>725</v>
      </c>
      <c r="F589" s="98" t="s">
        <v>212</v>
      </c>
      <c r="G589" s="98" t="s">
        <v>147</v>
      </c>
      <c r="H589" s="98" t="s">
        <v>586</v>
      </c>
      <c r="I589" s="104" t="n">
        <v>43732</v>
      </c>
      <c r="J589" s="99" t="n">
        <v>43830</v>
      </c>
      <c r="K589" s="100" t="n">
        <v>-394075.11</v>
      </c>
      <c r="L589" s="100" t="n">
        <f aca="false">K589-Q589+T589</f>
        <v>-333961.95</v>
      </c>
      <c r="M589" s="98" t="s">
        <v>149</v>
      </c>
      <c r="N589" s="100" t="n">
        <v>-394075.11</v>
      </c>
      <c r="O589" s="98" t="s">
        <v>149</v>
      </c>
      <c r="P589" s="100" t="n">
        <v>-394075.11</v>
      </c>
      <c r="Q589" s="105" t="n">
        <v>-60113.16</v>
      </c>
      <c r="R589" s="100" t="n">
        <v>-394075.11</v>
      </c>
      <c r="S589" s="100" t="n">
        <v>0</v>
      </c>
      <c r="T589" s="100" t="n">
        <v>0</v>
      </c>
      <c r="U589" s="98" t="s">
        <v>150</v>
      </c>
      <c r="V589" s="98" t="s">
        <v>151</v>
      </c>
      <c r="Y589" s="98" t="s">
        <v>1745</v>
      </c>
      <c r="Z589" s="98" t="s">
        <v>1746</v>
      </c>
      <c r="AB589" s="98" t="s">
        <v>1745</v>
      </c>
      <c r="AD589" s="98" t="s">
        <v>155</v>
      </c>
      <c r="AE589" s="98" t="s">
        <v>156</v>
      </c>
      <c r="AF589" s="98" t="s">
        <v>728</v>
      </c>
      <c r="AG589" s="98" t="s">
        <v>729</v>
      </c>
      <c r="AH589" s="98" t="s">
        <v>730</v>
      </c>
      <c r="AI589" s="98" t="s">
        <v>730</v>
      </c>
      <c r="AJ589" s="98" t="s">
        <v>731</v>
      </c>
      <c r="AK589" s="98" t="s">
        <v>159</v>
      </c>
      <c r="AL589" s="98" t="s">
        <v>224</v>
      </c>
      <c r="AM589" s="98" t="s">
        <v>225</v>
      </c>
      <c r="AP589" s="98" t="s">
        <v>628</v>
      </c>
      <c r="AQ589" s="98" t="s">
        <v>623</v>
      </c>
      <c r="AR589" s="98" t="s">
        <v>1276</v>
      </c>
      <c r="AS589" s="98" t="s">
        <v>1747</v>
      </c>
      <c r="AT589" s="100" t="n">
        <v>0</v>
      </c>
      <c r="AU589" s="100" t="n">
        <v>-394075.11</v>
      </c>
      <c r="AX589" s="98" t="s">
        <v>220</v>
      </c>
      <c r="AMH589" s="0"/>
      <c r="AMI589" s="0"/>
      <c r="AMJ589" s="0"/>
    </row>
    <row r="590" s="98" customFormat="true" ht="13.8" hidden="false" customHeight="false" outlineLevel="0" collapsed="false">
      <c r="A590" s="98" t="s">
        <v>142</v>
      </c>
      <c r="B590" s="98" t="s">
        <v>143</v>
      </c>
      <c r="C590" s="98" t="n">
        <v>51573028</v>
      </c>
      <c r="D590" s="98" t="s">
        <v>1744</v>
      </c>
      <c r="E590" s="98" t="s">
        <v>725</v>
      </c>
      <c r="F590" s="98" t="s">
        <v>212</v>
      </c>
      <c r="G590" s="98" t="s">
        <v>147</v>
      </c>
      <c r="H590" s="98" t="s">
        <v>586</v>
      </c>
      <c r="I590" s="104" t="n">
        <v>43732</v>
      </c>
      <c r="J590" s="99" t="n">
        <v>43830</v>
      </c>
      <c r="K590" s="100" t="n">
        <v>-0.01</v>
      </c>
      <c r="L590" s="100" t="n">
        <f aca="false">K590-Q590+T590</f>
        <v>60113.15</v>
      </c>
      <c r="M590" s="98" t="s">
        <v>149</v>
      </c>
      <c r="N590" s="100" t="n">
        <v>-0.01</v>
      </c>
      <c r="O590" s="98" t="s">
        <v>149</v>
      </c>
      <c r="P590" s="100" t="n">
        <v>-0.01</v>
      </c>
      <c r="Q590" s="105" t="n">
        <v>-60113.16</v>
      </c>
      <c r="R590" s="100" t="n">
        <v>-0.01</v>
      </c>
      <c r="S590" s="100" t="n">
        <v>0</v>
      </c>
      <c r="T590" s="100" t="n">
        <v>0</v>
      </c>
      <c r="U590" s="98" t="s">
        <v>150</v>
      </c>
      <c r="V590" s="98" t="s">
        <v>151</v>
      </c>
      <c r="Y590" s="98" t="s">
        <v>1745</v>
      </c>
      <c r="Z590" s="98" t="s">
        <v>1746</v>
      </c>
      <c r="AB590" s="98" t="s">
        <v>1745</v>
      </c>
      <c r="AD590" s="98" t="s">
        <v>155</v>
      </c>
      <c r="AE590" s="98" t="s">
        <v>156</v>
      </c>
      <c r="AF590" s="98" t="s">
        <v>728</v>
      </c>
      <c r="AG590" s="98" t="s">
        <v>729</v>
      </c>
      <c r="AH590" s="98" t="s">
        <v>730</v>
      </c>
      <c r="AI590" s="98" t="s">
        <v>730</v>
      </c>
      <c r="AJ590" s="98" t="s">
        <v>731</v>
      </c>
      <c r="AK590" s="98" t="s">
        <v>159</v>
      </c>
      <c r="AL590" s="98" t="s">
        <v>224</v>
      </c>
      <c r="AM590" s="98" t="s">
        <v>225</v>
      </c>
      <c r="AP590" s="98" t="s">
        <v>628</v>
      </c>
      <c r="AQ590" s="98" t="s">
        <v>623</v>
      </c>
      <c r="AR590" s="98" t="s">
        <v>1276</v>
      </c>
      <c r="AS590" s="98" t="s">
        <v>1747</v>
      </c>
      <c r="AT590" s="100" t="n">
        <v>0</v>
      </c>
      <c r="AU590" s="100" t="n">
        <v>-0.01</v>
      </c>
      <c r="AX590" s="98" t="s">
        <v>165</v>
      </c>
      <c r="AMH590" s="0"/>
      <c r="AMI590" s="0"/>
      <c r="AMJ590" s="0"/>
    </row>
    <row r="591" s="98" customFormat="true" ht="13.8" hidden="false" customHeight="false" outlineLevel="0" collapsed="false">
      <c r="A591" s="98" t="s">
        <v>142</v>
      </c>
      <c r="B591" s="98" t="s">
        <v>143</v>
      </c>
      <c r="C591" s="98" t="n">
        <v>51309578</v>
      </c>
      <c r="D591" s="98" t="s">
        <v>1748</v>
      </c>
      <c r="E591" s="98" t="s">
        <v>725</v>
      </c>
      <c r="F591" s="98" t="s">
        <v>297</v>
      </c>
      <c r="G591" s="98" t="s">
        <v>147</v>
      </c>
      <c r="H591" s="98" t="s">
        <v>168</v>
      </c>
      <c r="I591" s="99" t="n">
        <v>43595</v>
      </c>
      <c r="J591" s="99" t="n">
        <v>43697</v>
      </c>
      <c r="K591" s="100" t="n">
        <v>-329886.08</v>
      </c>
      <c r="L591" s="100" t="n">
        <f aca="false">K591-Q591+T591</f>
        <v>-279562.4</v>
      </c>
      <c r="M591" s="98" t="s">
        <v>149</v>
      </c>
      <c r="N591" s="100" t="n">
        <v>-329886.08</v>
      </c>
      <c r="O591" s="98" t="s">
        <v>149</v>
      </c>
      <c r="P591" s="100" t="n">
        <v>-329886.08</v>
      </c>
      <c r="Q591" s="100" t="n">
        <v>-50323.68</v>
      </c>
      <c r="R591" s="100" t="n">
        <v>-279562.4</v>
      </c>
      <c r="S591" s="100" t="n">
        <v>0</v>
      </c>
      <c r="T591" s="100" t="n">
        <v>0</v>
      </c>
      <c r="U591" s="98" t="s">
        <v>192</v>
      </c>
      <c r="V591" s="98" t="s">
        <v>151</v>
      </c>
      <c r="X591" s="98" t="s">
        <v>1749</v>
      </c>
      <c r="Y591" s="98" t="s">
        <v>1750</v>
      </c>
      <c r="Z591" s="98" t="s">
        <v>1751</v>
      </c>
      <c r="AB591" s="98" t="s">
        <v>1750</v>
      </c>
      <c r="AD591" s="98" t="s">
        <v>155</v>
      </c>
      <c r="AE591" s="98" t="s">
        <v>156</v>
      </c>
      <c r="AF591" s="98" t="s">
        <v>737</v>
      </c>
      <c r="AG591" s="98" t="s">
        <v>738</v>
      </c>
      <c r="AH591" s="98" t="s">
        <v>793</v>
      </c>
      <c r="AI591" s="98" t="s">
        <v>793</v>
      </c>
      <c r="AJ591" s="98" t="s">
        <v>794</v>
      </c>
      <c r="AK591" s="98" t="s">
        <v>159</v>
      </c>
      <c r="AL591" s="98" t="s">
        <v>224</v>
      </c>
      <c r="AM591" s="98" t="s">
        <v>225</v>
      </c>
      <c r="AP591" s="98" t="s">
        <v>499</v>
      </c>
      <c r="AQ591" s="98" t="s">
        <v>497</v>
      </c>
      <c r="AR591" s="98" t="s">
        <v>487</v>
      </c>
      <c r="AS591" s="98" t="s">
        <v>1752</v>
      </c>
      <c r="AT591" s="100" t="n">
        <v>0</v>
      </c>
      <c r="AU591" s="100" t="n">
        <v>-329886.08</v>
      </c>
      <c r="AX591" s="98" t="s">
        <v>165</v>
      </c>
      <c r="AMH591" s="0"/>
      <c r="AMI591" s="0"/>
      <c r="AMJ591" s="0"/>
    </row>
    <row r="592" s="98" customFormat="true" ht="13.8" hidden="false" customHeight="false" outlineLevel="0" collapsed="false">
      <c r="A592" s="98" t="s">
        <v>142</v>
      </c>
      <c r="B592" s="98" t="s">
        <v>143</v>
      </c>
      <c r="C592" s="98" t="n">
        <v>51535537</v>
      </c>
      <c r="D592" s="98" t="s">
        <v>1753</v>
      </c>
      <c r="E592" s="98" t="s">
        <v>725</v>
      </c>
      <c r="F592" s="98" t="s">
        <v>297</v>
      </c>
      <c r="G592" s="98" t="s">
        <v>147</v>
      </c>
      <c r="H592" s="98" t="s">
        <v>586</v>
      </c>
      <c r="I592" s="99" t="n">
        <v>43707</v>
      </c>
      <c r="J592" s="99" t="n">
        <v>43809</v>
      </c>
      <c r="K592" s="100" t="n">
        <v>-296339.2</v>
      </c>
      <c r="L592" s="100" t="n">
        <f aca="false">K592-Q592+T592</f>
        <v>-251134.92</v>
      </c>
      <c r="M592" s="98" t="s">
        <v>149</v>
      </c>
      <c r="N592" s="100" t="n">
        <v>-296339.2</v>
      </c>
      <c r="O592" s="98" t="s">
        <v>149</v>
      </c>
      <c r="P592" s="100" t="n">
        <v>-296339.2</v>
      </c>
      <c r="Q592" s="100" t="n">
        <v>-45204.28</v>
      </c>
      <c r="R592" s="100" t="n">
        <v>-251134.92</v>
      </c>
      <c r="S592" s="100" t="n">
        <v>0</v>
      </c>
      <c r="T592" s="100" t="n">
        <v>0</v>
      </c>
      <c r="U592" s="98" t="s">
        <v>192</v>
      </c>
      <c r="V592" s="98" t="s">
        <v>151</v>
      </c>
      <c r="X592" s="98" t="s">
        <v>1754</v>
      </c>
      <c r="Y592" s="98" t="s">
        <v>1755</v>
      </c>
      <c r="Z592" s="98" t="s">
        <v>1756</v>
      </c>
      <c r="AB592" s="98" t="s">
        <v>1755</v>
      </c>
      <c r="AD592" s="98" t="s">
        <v>155</v>
      </c>
      <c r="AE592" s="98" t="s">
        <v>156</v>
      </c>
      <c r="AF592" s="98" t="s">
        <v>737</v>
      </c>
      <c r="AG592" s="98" t="s">
        <v>738</v>
      </c>
      <c r="AH592" s="98" t="s">
        <v>739</v>
      </c>
      <c r="AI592" s="98" t="s">
        <v>739</v>
      </c>
      <c r="AJ592" s="98" t="s">
        <v>740</v>
      </c>
      <c r="AK592" s="98" t="s">
        <v>159</v>
      </c>
      <c r="AL592" s="98" t="s">
        <v>224</v>
      </c>
      <c r="AM592" s="98" t="s">
        <v>225</v>
      </c>
      <c r="AP592" s="98" t="s">
        <v>603</v>
      </c>
      <c r="AQ592" s="98" t="s">
        <v>597</v>
      </c>
      <c r="AR592" s="98" t="s">
        <v>592</v>
      </c>
      <c r="AS592" s="98" t="s">
        <v>1757</v>
      </c>
      <c r="AT592" s="100" t="n">
        <v>0</v>
      </c>
      <c r="AU592" s="100" t="n">
        <v>-296339.2</v>
      </c>
      <c r="AX592" s="98" t="s">
        <v>165</v>
      </c>
      <c r="AMH592" s="0"/>
      <c r="AMI592" s="0"/>
      <c r="AMJ592" s="0"/>
    </row>
    <row r="593" s="98" customFormat="true" ht="13.8" hidden="false" customHeight="false" outlineLevel="0" collapsed="false">
      <c r="A593" s="98" t="s">
        <v>142</v>
      </c>
      <c r="B593" s="98" t="s">
        <v>143</v>
      </c>
      <c r="C593" s="98" t="n">
        <v>51540056</v>
      </c>
      <c r="D593" s="98" t="s">
        <v>1758</v>
      </c>
      <c r="E593" s="98" t="s">
        <v>725</v>
      </c>
      <c r="F593" s="98" t="s">
        <v>297</v>
      </c>
      <c r="G593" s="98" t="s">
        <v>147</v>
      </c>
      <c r="H593" s="98" t="s">
        <v>586</v>
      </c>
      <c r="I593" s="99" t="n">
        <v>43707</v>
      </c>
      <c r="J593" s="99" t="n">
        <v>43811</v>
      </c>
      <c r="K593" s="100" t="n">
        <v>-230723.4</v>
      </c>
      <c r="L593" s="100" t="n">
        <f aca="false">K593-Q593+T593</f>
        <v>-195528.38</v>
      </c>
      <c r="M593" s="98" t="s">
        <v>149</v>
      </c>
      <c r="N593" s="100" t="n">
        <v>-230723.4</v>
      </c>
      <c r="O593" s="98" t="s">
        <v>149</v>
      </c>
      <c r="P593" s="100" t="n">
        <v>-230723.4</v>
      </c>
      <c r="Q593" s="100" t="n">
        <v>-35195.02</v>
      </c>
      <c r="R593" s="100" t="n">
        <v>-195528.38</v>
      </c>
      <c r="S593" s="100" t="n">
        <v>0</v>
      </c>
      <c r="T593" s="100" t="n">
        <v>0</v>
      </c>
      <c r="U593" s="98" t="s">
        <v>192</v>
      </c>
      <c r="V593" s="98" t="s">
        <v>151</v>
      </c>
      <c r="X593" s="98" t="s">
        <v>1759</v>
      </c>
      <c r="Y593" s="98" t="s">
        <v>1760</v>
      </c>
      <c r="Z593" s="98" t="s">
        <v>1761</v>
      </c>
      <c r="AB593" s="98" t="s">
        <v>1760</v>
      </c>
      <c r="AD593" s="98" t="s">
        <v>155</v>
      </c>
      <c r="AE593" s="98" t="s">
        <v>156</v>
      </c>
      <c r="AF593" s="98" t="s">
        <v>737</v>
      </c>
      <c r="AG593" s="98" t="s">
        <v>738</v>
      </c>
      <c r="AH593" s="98" t="s">
        <v>793</v>
      </c>
      <c r="AI593" s="98" t="s">
        <v>793</v>
      </c>
      <c r="AJ593" s="98" t="s">
        <v>794</v>
      </c>
      <c r="AK593" s="98" t="s">
        <v>159</v>
      </c>
      <c r="AL593" s="98" t="s">
        <v>224</v>
      </c>
      <c r="AM593" s="98" t="s">
        <v>225</v>
      </c>
      <c r="AP593" s="98" t="s">
        <v>650</v>
      </c>
      <c r="AQ593" s="98" t="s">
        <v>640</v>
      </c>
      <c r="AR593" s="98" t="s">
        <v>1762</v>
      </c>
      <c r="AS593" s="98" t="s">
        <v>1763</v>
      </c>
      <c r="AT593" s="100" t="n">
        <v>0</v>
      </c>
      <c r="AU593" s="100" t="n">
        <v>-230723.4</v>
      </c>
      <c r="AX593" s="98" t="s">
        <v>165</v>
      </c>
      <c r="AMH593" s="0"/>
      <c r="AMI593" s="0"/>
      <c r="AMJ593" s="0"/>
    </row>
    <row r="594" s="98" customFormat="true" ht="13.8" hidden="false" customHeight="false" outlineLevel="0" collapsed="false">
      <c r="A594" s="98" t="s">
        <v>142</v>
      </c>
      <c r="B594" s="98" t="s">
        <v>143</v>
      </c>
      <c r="C594" s="98" t="n">
        <v>51777447</v>
      </c>
      <c r="D594" s="98" t="s">
        <v>1764</v>
      </c>
      <c r="E594" s="98" t="s">
        <v>725</v>
      </c>
      <c r="F594" s="98" t="s">
        <v>167</v>
      </c>
      <c r="G594" s="98" t="s">
        <v>147</v>
      </c>
      <c r="H594" s="98" t="s">
        <v>213</v>
      </c>
      <c r="I594" s="104" t="n">
        <v>43813</v>
      </c>
      <c r="J594" s="99" t="n">
        <v>43917</v>
      </c>
      <c r="K594" s="100" t="n">
        <v>-566112.08</v>
      </c>
      <c r="L594" s="100" t="n">
        <f aca="false">K594-Q594+T594</f>
        <v>-479756</v>
      </c>
      <c r="M594" s="98" t="s">
        <v>149</v>
      </c>
      <c r="N594" s="100" t="n">
        <v>-566112.08</v>
      </c>
      <c r="O594" s="98" t="s">
        <v>149</v>
      </c>
      <c r="P594" s="100" t="n">
        <v>-566112.08</v>
      </c>
      <c r="Q594" s="100" t="n">
        <v>-86356.08</v>
      </c>
      <c r="R594" s="100" t="n">
        <v>-566112.08</v>
      </c>
      <c r="S594" s="100" t="n">
        <v>0</v>
      </c>
      <c r="T594" s="100" t="n">
        <v>0</v>
      </c>
      <c r="U594" s="98" t="s">
        <v>150</v>
      </c>
      <c r="V594" s="98" t="s">
        <v>151</v>
      </c>
      <c r="Y594" s="98" t="s">
        <v>1575</v>
      </c>
      <c r="Z594" s="98" t="s">
        <v>1765</v>
      </c>
      <c r="AB594" s="98" t="s">
        <v>1575</v>
      </c>
      <c r="AD594" s="98" t="s">
        <v>155</v>
      </c>
      <c r="AE594" s="98" t="s">
        <v>156</v>
      </c>
      <c r="AF594" s="98" t="s">
        <v>728</v>
      </c>
      <c r="AG594" s="98" t="s">
        <v>729</v>
      </c>
      <c r="AH594" s="98" t="s">
        <v>730</v>
      </c>
      <c r="AI594" s="98" t="s">
        <v>730</v>
      </c>
      <c r="AJ594" s="98" t="s">
        <v>731</v>
      </c>
      <c r="AK594" s="98" t="s">
        <v>159</v>
      </c>
      <c r="AL594" s="98" t="s">
        <v>224</v>
      </c>
      <c r="AM594" s="98" t="s">
        <v>225</v>
      </c>
      <c r="AR594" s="98" t="s">
        <v>1577</v>
      </c>
      <c r="AS594" s="98" t="s">
        <v>1766</v>
      </c>
      <c r="AT594" s="100" t="n">
        <v>0</v>
      </c>
      <c r="AU594" s="100" t="n">
        <v>-566112.08</v>
      </c>
      <c r="AX594" s="98" t="s">
        <v>165</v>
      </c>
      <c r="AMH594" s="0"/>
      <c r="AMI594" s="0"/>
      <c r="AMJ594" s="0"/>
    </row>
    <row r="595" s="98" customFormat="true" ht="13.8" hidden="false" customHeight="false" outlineLevel="0" collapsed="false">
      <c r="A595" s="98" t="s">
        <v>142</v>
      </c>
      <c r="B595" s="98" t="s">
        <v>143</v>
      </c>
      <c r="C595" s="98" t="n">
        <v>51777448</v>
      </c>
      <c r="D595" s="98" t="s">
        <v>1767</v>
      </c>
      <c r="E595" s="98" t="s">
        <v>725</v>
      </c>
      <c r="F595" s="98" t="s">
        <v>167</v>
      </c>
      <c r="G595" s="98" t="s">
        <v>147</v>
      </c>
      <c r="H595" s="98" t="s">
        <v>213</v>
      </c>
      <c r="I595" s="104" t="n">
        <v>43813</v>
      </c>
      <c r="J595" s="99" t="n">
        <v>43917</v>
      </c>
      <c r="K595" s="100" t="n">
        <v>-17335.92</v>
      </c>
      <c r="L595" s="100" t="n">
        <f aca="false">K595-Q595+T595</f>
        <v>-14691.46</v>
      </c>
      <c r="M595" s="98" t="s">
        <v>149</v>
      </c>
      <c r="N595" s="100" t="n">
        <v>-17335.92</v>
      </c>
      <c r="O595" s="98" t="s">
        <v>149</v>
      </c>
      <c r="P595" s="100" t="n">
        <v>-17335.92</v>
      </c>
      <c r="Q595" s="100" t="n">
        <v>-2644.46</v>
      </c>
      <c r="R595" s="100" t="n">
        <v>-17335.92</v>
      </c>
      <c r="S595" s="100" t="n">
        <v>0</v>
      </c>
      <c r="T595" s="100" t="n">
        <v>0</v>
      </c>
      <c r="U595" s="98" t="s">
        <v>150</v>
      </c>
      <c r="V595" s="98" t="s">
        <v>151</v>
      </c>
      <c r="Y595" s="98" t="s">
        <v>1575</v>
      </c>
      <c r="Z595" s="98" t="s">
        <v>1768</v>
      </c>
      <c r="AB595" s="98" t="s">
        <v>1575</v>
      </c>
      <c r="AD595" s="98" t="s">
        <v>155</v>
      </c>
      <c r="AE595" s="98" t="s">
        <v>156</v>
      </c>
      <c r="AF595" s="98" t="s">
        <v>728</v>
      </c>
      <c r="AG595" s="98" t="s">
        <v>729</v>
      </c>
      <c r="AH595" s="98" t="s">
        <v>730</v>
      </c>
      <c r="AI595" s="98" t="s">
        <v>730</v>
      </c>
      <c r="AJ595" s="98" t="s">
        <v>731</v>
      </c>
      <c r="AK595" s="98" t="s">
        <v>159</v>
      </c>
      <c r="AL595" s="98" t="s">
        <v>224</v>
      </c>
      <c r="AM595" s="98" t="s">
        <v>225</v>
      </c>
      <c r="AR595" s="98" t="s">
        <v>1577</v>
      </c>
      <c r="AS595" s="98" t="s">
        <v>1769</v>
      </c>
      <c r="AT595" s="100" t="n">
        <v>0</v>
      </c>
      <c r="AU595" s="100" t="n">
        <v>-17335.92</v>
      </c>
      <c r="AX595" s="98" t="s">
        <v>165</v>
      </c>
      <c r="AMH595" s="0"/>
      <c r="AMI595" s="0"/>
      <c r="AMJ595" s="0"/>
    </row>
    <row r="596" s="98" customFormat="true" ht="13.8" hidden="false" customHeight="false" outlineLevel="0" collapsed="false">
      <c r="A596" s="98" t="s">
        <v>142</v>
      </c>
      <c r="B596" s="98" t="s">
        <v>143</v>
      </c>
      <c r="C596" s="98" t="n">
        <v>51777449</v>
      </c>
      <c r="D596" s="98" t="s">
        <v>1770</v>
      </c>
      <c r="E596" s="98" t="s">
        <v>725</v>
      </c>
      <c r="F596" s="98" t="s">
        <v>167</v>
      </c>
      <c r="G596" s="98" t="s">
        <v>147</v>
      </c>
      <c r="H596" s="98" t="s">
        <v>213</v>
      </c>
      <c r="I596" s="104" t="n">
        <v>43813</v>
      </c>
      <c r="J596" s="99" t="n">
        <v>43917</v>
      </c>
      <c r="K596" s="100" t="n">
        <v>-573867.04</v>
      </c>
      <c r="L596" s="100" t="n">
        <f aca="false">K596-Q596+T596</f>
        <v>-486328</v>
      </c>
      <c r="M596" s="98" t="s">
        <v>149</v>
      </c>
      <c r="N596" s="100" t="n">
        <v>-573867.04</v>
      </c>
      <c r="O596" s="98" t="s">
        <v>149</v>
      </c>
      <c r="P596" s="100" t="n">
        <v>-573867.04</v>
      </c>
      <c r="Q596" s="100" t="n">
        <v>-87539.04</v>
      </c>
      <c r="R596" s="100" t="n">
        <v>-573867.04</v>
      </c>
      <c r="S596" s="100" t="n">
        <v>0</v>
      </c>
      <c r="T596" s="100" t="n">
        <v>0</v>
      </c>
      <c r="U596" s="98" t="s">
        <v>150</v>
      </c>
      <c r="V596" s="98" t="s">
        <v>151</v>
      </c>
      <c r="Y596" s="98" t="s">
        <v>1575</v>
      </c>
      <c r="Z596" s="98" t="s">
        <v>1771</v>
      </c>
      <c r="AB596" s="98" t="s">
        <v>1575</v>
      </c>
      <c r="AD596" s="98" t="s">
        <v>155</v>
      </c>
      <c r="AE596" s="98" t="s">
        <v>156</v>
      </c>
      <c r="AF596" s="98" t="s">
        <v>728</v>
      </c>
      <c r="AG596" s="98" t="s">
        <v>729</v>
      </c>
      <c r="AH596" s="98" t="s">
        <v>730</v>
      </c>
      <c r="AI596" s="98" t="s">
        <v>730</v>
      </c>
      <c r="AJ596" s="98" t="s">
        <v>731</v>
      </c>
      <c r="AK596" s="98" t="s">
        <v>159</v>
      </c>
      <c r="AL596" s="98" t="s">
        <v>224</v>
      </c>
      <c r="AM596" s="98" t="s">
        <v>225</v>
      </c>
      <c r="AR596" s="98" t="s">
        <v>1577</v>
      </c>
      <c r="AS596" s="98" t="s">
        <v>1772</v>
      </c>
      <c r="AT596" s="100" t="n">
        <v>0</v>
      </c>
      <c r="AU596" s="100" t="n">
        <v>-573867.04</v>
      </c>
      <c r="AX596" s="98" t="s">
        <v>165</v>
      </c>
      <c r="AMH596" s="0"/>
      <c r="AMI596" s="0"/>
      <c r="AMJ596" s="0"/>
    </row>
    <row r="597" s="98" customFormat="true" ht="13.8" hidden="false" customHeight="false" outlineLevel="0" collapsed="false">
      <c r="A597" s="98" t="s">
        <v>142</v>
      </c>
      <c r="B597" s="98" t="s">
        <v>143</v>
      </c>
      <c r="C597" s="98" t="n">
        <v>51777450</v>
      </c>
      <c r="D597" s="98" t="s">
        <v>1773</v>
      </c>
      <c r="E597" s="98" t="s">
        <v>725</v>
      </c>
      <c r="F597" s="98" t="s">
        <v>167</v>
      </c>
      <c r="G597" s="98" t="s">
        <v>147</v>
      </c>
      <c r="H597" s="98" t="s">
        <v>213</v>
      </c>
      <c r="I597" s="104" t="n">
        <v>43813</v>
      </c>
      <c r="J597" s="99" t="n">
        <v>43917</v>
      </c>
      <c r="K597" s="100" t="n">
        <v>-17751.2</v>
      </c>
      <c r="L597" s="100" t="n">
        <f aca="false">K597-Q597+T597</f>
        <v>-15043.39</v>
      </c>
      <c r="M597" s="98" t="s">
        <v>149</v>
      </c>
      <c r="N597" s="100" t="n">
        <v>-17751.2</v>
      </c>
      <c r="O597" s="98" t="s">
        <v>149</v>
      </c>
      <c r="P597" s="100" t="n">
        <v>-17751.2</v>
      </c>
      <c r="Q597" s="100" t="n">
        <v>-2707.81</v>
      </c>
      <c r="R597" s="100" t="n">
        <v>-17751.2</v>
      </c>
      <c r="S597" s="100" t="n">
        <v>0</v>
      </c>
      <c r="T597" s="100" t="n">
        <v>0</v>
      </c>
      <c r="U597" s="98" t="s">
        <v>150</v>
      </c>
      <c r="V597" s="98" t="s">
        <v>151</v>
      </c>
      <c r="Y597" s="98" t="s">
        <v>1575</v>
      </c>
      <c r="Z597" s="98" t="s">
        <v>1774</v>
      </c>
      <c r="AB597" s="98" t="s">
        <v>1575</v>
      </c>
      <c r="AD597" s="98" t="s">
        <v>155</v>
      </c>
      <c r="AE597" s="98" t="s">
        <v>156</v>
      </c>
      <c r="AF597" s="98" t="s">
        <v>728</v>
      </c>
      <c r="AG597" s="98" t="s">
        <v>729</v>
      </c>
      <c r="AH597" s="98" t="s">
        <v>730</v>
      </c>
      <c r="AI597" s="98" t="s">
        <v>730</v>
      </c>
      <c r="AJ597" s="98" t="s">
        <v>731</v>
      </c>
      <c r="AK597" s="98" t="s">
        <v>159</v>
      </c>
      <c r="AL597" s="98" t="s">
        <v>224</v>
      </c>
      <c r="AM597" s="98" t="s">
        <v>225</v>
      </c>
      <c r="AR597" s="98" t="s">
        <v>1577</v>
      </c>
      <c r="AS597" s="98" t="s">
        <v>1775</v>
      </c>
      <c r="AT597" s="100" t="n">
        <v>0</v>
      </c>
      <c r="AU597" s="100" t="n">
        <v>-17751.2</v>
      </c>
      <c r="AX597" s="98" t="s">
        <v>165</v>
      </c>
      <c r="AMH597" s="0"/>
      <c r="AMI597" s="0"/>
      <c r="AMJ597" s="0"/>
    </row>
    <row r="598" s="98" customFormat="true" ht="13.8" hidden="false" customHeight="false" outlineLevel="0" collapsed="false">
      <c r="A598" s="98" t="s">
        <v>142</v>
      </c>
      <c r="B598" s="98" t="s">
        <v>143</v>
      </c>
      <c r="C598" s="98" t="n">
        <v>51777452</v>
      </c>
      <c r="D598" s="98" t="s">
        <v>1776</v>
      </c>
      <c r="E598" s="98" t="s">
        <v>725</v>
      </c>
      <c r="F598" s="98" t="s">
        <v>167</v>
      </c>
      <c r="G598" s="98" t="s">
        <v>147</v>
      </c>
      <c r="H598" s="98" t="s">
        <v>213</v>
      </c>
      <c r="I598" s="104" t="n">
        <v>43813</v>
      </c>
      <c r="J598" s="99" t="n">
        <v>43917</v>
      </c>
      <c r="K598" s="100" t="n">
        <v>-387748</v>
      </c>
      <c r="L598" s="100" t="n">
        <f aca="false">K598-Q598+T598</f>
        <v>-328600</v>
      </c>
      <c r="M598" s="98" t="s">
        <v>149</v>
      </c>
      <c r="N598" s="100" t="n">
        <v>-387748</v>
      </c>
      <c r="O598" s="98" t="s">
        <v>149</v>
      </c>
      <c r="P598" s="100" t="n">
        <v>-387748</v>
      </c>
      <c r="Q598" s="100" t="n">
        <v>-59148</v>
      </c>
      <c r="R598" s="100" t="n">
        <v>-387748</v>
      </c>
      <c r="S598" s="100" t="n">
        <v>0</v>
      </c>
      <c r="T598" s="100" t="n">
        <v>0</v>
      </c>
      <c r="U598" s="98" t="s">
        <v>150</v>
      </c>
      <c r="V598" s="98" t="s">
        <v>151</v>
      </c>
      <c r="Y598" s="98" t="s">
        <v>1575</v>
      </c>
      <c r="Z598" s="98" t="s">
        <v>1777</v>
      </c>
      <c r="AB598" s="98" t="s">
        <v>1575</v>
      </c>
      <c r="AD598" s="98" t="s">
        <v>155</v>
      </c>
      <c r="AE598" s="98" t="s">
        <v>156</v>
      </c>
      <c r="AF598" s="98" t="s">
        <v>728</v>
      </c>
      <c r="AG598" s="98" t="s">
        <v>729</v>
      </c>
      <c r="AH598" s="98" t="s">
        <v>730</v>
      </c>
      <c r="AI598" s="98" t="s">
        <v>730</v>
      </c>
      <c r="AJ598" s="98" t="s">
        <v>731</v>
      </c>
      <c r="AK598" s="98" t="s">
        <v>159</v>
      </c>
      <c r="AL598" s="98" t="s">
        <v>224</v>
      </c>
      <c r="AM598" s="98" t="s">
        <v>225</v>
      </c>
      <c r="AR598" s="98" t="s">
        <v>1577</v>
      </c>
      <c r="AS598" s="98" t="s">
        <v>1778</v>
      </c>
      <c r="AT598" s="100" t="n">
        <v>0</v>
      </c>
      <c r="AU598" s="100" t="n">
        <v>-387748</v>
      </c>
      <c r="AX598" s="98" t="s">
        <v>165</v>
      </c>
      <c r="AMH598" s="0"/>
      <c r="AMI598" s="0"/>
      <c r="AMJ598" s="0"/>
    </row>
    <row r="599" s="98" customFormat="true" ht="13.8" hidden="false" customHeight="false" outlineLevel="0" collapsed="false">
      <c r="A599" s="98" t="s">
        <v>142</v>
      </c>
      <c r="B599" s="98" t="s">
        <v>143</v>
      </c>
      <c r="C599" s="98" t="n">
        <v>51777453</v>
      </c>
      <c r="D599" s="98" t="s">
        <v>1779</v>
      </c>
      <c r="E599" s="98" t="s">
        <v>725</v>
      </c>
      <c r="F599" s="98" t="s">
        <v>167</v>
      </c>
      <c r="G599" s="98" t="s">
        <v>147</v>
      </c>
      <c r="H599" s="98" t="s">
        <v>213</v>
      </c>
      <c r="I599" s="104" t="n">
        <v>43813</v>
      </c>
      <c r="J599" s="99" t="n">
        <v>43917</v>
      </c>
      <c r="K599" s="100" t="n">
        <v>-465297.6</v>
      </c>
      <c r="L599" s="100" t="n">
        <f aca="false">K599-Q599+T599</f>
        <v>-394320</v>
      </c>
      <c r="M599" s="98" t="s">
        <v>149</v>
      </c>
      <c r="N599" s="100" t="n">
        <v>-465297.6</v>
      </c>
      <c r="O599" s="98" t="s">
        <v>149</v>
      </c>
      <c r="P599" s="100" t="n">
        <v>-465297.6</v>
      </c>
      <c r="Q599" s="100" t="n">
        <v>-70977.6</v>
      </c>
      <c r="R599" s="100" t="n">
        <v>-465297.6</v>
      </c>
      <c r="S599" s="100" t="n">
        <v>0</v>
      </c>
      <c r="T599" s="100" t="n">
        <v>0</v>
      </c>
      <c r="U599" s="98" t="s">
        <v>150</v>
      </c>
      <c r="V599" s="98" t="s">
        <v>151</v>
      </c>
      <c r="Y599" s="98" t="s">
        <v>1575</v>
      </c>
      <c r="Z599" s="98" t="s">
        <v>1780</v>
      </c>
      <c r="AB599" s="98" t="s">
        <v>1575</v>
      </c>
      <c r="AD599" s="98" t="s">
        <v>155</v>
      </c>
      <c r="AE599" s="98" t="s">
        <v>156</v>
      </c>
      <c r="AF599" s="98" t="s">
        <v>728</v>
      </c>
      <c r="AG599" s="98" t="s">
        <v>729</v>
      </c>
      <c r="AH599" s="98" t="s">
        <v>730</v>
      </c>
      <c r="AI599" s="98" t="s">
        <v>730</v>
      </c>
      <c r="AJ599" s="98" t="s">
        <v>731</v>
      </c>
      <c r="AK599" s="98" t="s">
        <v>159</v>
      </c>
      <c r="AL599" s="98" t="s">
        <v>224</v>
      </c>
      <c r="AM599" s="98" t="s">
        <v>225</v>
      </c>
      <c r="AR599" s="98" t="s">
        <v>1577</v>
      </c>
      <c r="AS599" s="98" t="s">
        <v>1781</v>
      </c>
      <c r="AT599" s="100" t="n">
        <v>0</v>
      </c>
      <c r="AU599" s="100" t="n">
        <v>-465297.6</v>
      </c>
      <c r="AX599" s="98" t="s">
        <v>165</v>
      </c>
      <c r="AMH599" s="0"/>
      <c r="AMI599" s="0"/>
      <c r="AMJ599" s="0"/>
    </row>
    <row r="600" s="98" customFormat="true" ht="13.8" hidden="false" customHeight="false" outlineLevel="0" collapsed="false">
      <c r="A600" s="98" t="s">
        <v>142</v>
      </c>
      <c r="B600" s="98" t="s">
        <v>143</v>
      </c>
      <c r="C600" s="98" t="n">
        <v>51777454</v>
      </c>
      <c r="D600" s="98" t="s">
        <v>1782</v>
      </c>
      <c r="E600" s="98" t="s">
        <v>725</v>
      </c>
      <c r="F600" s="98" t="s">
        <v>167</v>
      </c>
      <c r="G600" s="98" t="s">
        <v>147</v>
      </c>
      <c r="H600" s="98" t="s">
        <v>213</v>
      </c>
      <c r="I600" s="104" t="n">
        <v>43813</v>
      </c>
      <c r="J600" s="99" t="n">
        <v>43917</v>
      </c>
      <c r="K600" s="100" t="n">
        <v>-189259.61</v>
      </c>
      <c r="L600" s="100" t="n">
        <f aca="false">K600-Q600+T600</f>
        <v>-160389.5</v>
      </c>
      <c r="M600" s="98" t="s">
        <v>149</v>
      </c>
      <c r="N600" s="100" t="n">
        <v>-189259.61</v>
      </c>
      <c r="O600" s="98" t="s">
        <v>149</v>
      </c>
      <c r="P600" s="100" t="n">
        <v>-189259.61</v>
      </c>
      <c r="Q600" s="100" t="n">
        <v>-28870.11</v>
      </c>
      <c r="R600" s="100" t="n">
        <v>-189259.61</v>
      </c>
      <c r="S600" s="100" t="n">
        <v>0</v>
      </c>
      <c r="T600" s="100" t="n">
        <v>0</v>
      </c>
      <c r="U600" s="98" t="s">
        <v>150</v>
      </c>
      <c r="V600" s="98" t="s">
        <v>151</v>
      </c>
      <c r="Y600" s="98" t="s">
        <v>1575</v>
      </c>
      <c r="Z600" s="98" t="s">
        <v>1783</v>
      </c>
      <c r="AB600" s="98" t="s">
        <v>1575</v>
      </c>
      <c r="AD600" s="98" t="s">
        <v>155</v>
      </c>
      <c r="AE600" s="98" t="s">
        <v>156</v>
      </c>
      <c r="AF600" s="98" t="s">
        <v>728</v>
      </c>
      <c r="AG600" s="98" t="s">
        <v>729</v>
      </c>
      <c r="AH600" s="98" t="s">
        <v>730</v>
      </c>
      <c r="AI600" s="98" t="s">
        <v>730</v>
      </c>
      <c r="AJ600" s="98" t="s">
        <v>731</v>
      </c>
      <c r="AK600" s="98" t="s">
        <v>159</v>
      </c>
      <c r="AL600" s="98" t="s">
        <v>224</v>
      </c>
      <c r="AM600" s="98" t="s">
        <v>225</v>
      </c>
      <c r="AR600" s="98" t="s">
        <v>1577</v>
      </c>
      <c r="AS600" s="98" t="s">
        <v>1784</v>
      </c>
      <c r="AT600" s="100" t="n">
        <v>0</v>
      </c>
      <c r="AU600" s="100" t="n">
        <v>-189259.61</v>
      </c>
      <c r="AX600" s="98" t="s">
        <v>165</v>
      </c>
      <c r="AMH600" s="0"/>
      <c r="AMI600" s="0"/>
      <c r="AMJ600" s="0"/>
    </row>
    <row r="601" s="98" customFormat="true" ht="13.8" hidden="false" customHeight="false" outlineLevel="0" collapsed="false">
      <c r="A601" s="98" t="s">
        <v>142</v>
      </c>
      <c r="B601" s="98" t="s">
        <v>143</v>
      </c>
      <c r="C601" s="98" t="n">
        <v>51777455</v>
      </c>
      <c r="D601" s="98" t="s">
        <v>1785</v>
      </c>
      <c r="E601" s="98" t="s">
        <v>725</v>
      </c>
      <c r="F601" s="98" t="s">
        <v>167</v>
      </c>
      <c r="G601" s="98" t="s">
        <v>147</v>
      </c>
      <c r="H601" s="98" t="s">
        <v>213</v>
      </c>
      <c r="I601" s="104" t="n">
        <v>43813</v>
      </c>
      <c r="J601" s="99" t="n">
        <v>43917</v>
      </c>
      <c r="K601" s="100" t="n">
        <v>-736721.2</v>
      </c>
      <c r="L601" s="100" t="n">
        <f aca="false">K601-Q601+T601</f>
        <v>-624340</v>
      </c>
      <c r="M601" s="98" t="s">
        <v>149</v>
      </c>
      <c r="N601" s="100" t="n">
        <v>-736721.2</v>
      </c>
      <c r="O601" s="98" t="s">
        <v>149</v>
      </c>
      <c r="P601" s="100" t="n">
        <v>-736721.2</v>
      </c>
      <c r="Q601" s="100" t="n">
        <v>-112381.2</v>
      </c>
      <c r="R601" s="100" t="n">
        <v>-736721.2</v>
      </c>
      <c r="S601" s="100" t="n">
        <v>0</v>
      </c>
      <c r="T601" s="100" t="n">
        <v>0</v>
      </c>
      <c r="U601" s="98" t="s">
        <v>150</v>
      </c>
      <c r="V601" s="98" t="s">
        <v>151</v>
      </c>
      <c r="Y601" s="98" t="s">
        <v>1575</v>
      </c>
      <c r="Z601" s="98" t="s">
        <v>1786</v>
      </c>
      <c r="AB601" s="98" t="s">
        <v>1575</v>
      </c>
      <c r="AD601" s="98" t="s">
        <v>155</v>
      </c>
      <c r="AE601" s="98" t="s">
        <v>156</v>
      </c>
      <c r="AF601" s="98" t="s">
        <v>728</v>
      </c>
      <c r="AG601" s="98" t="s">
        <v>729</v>
      </c>
      <c r="AH601" s="98" t="s">
        <v>730</v>
      </c>
      <c r="AI601" s="98" t="s">
        <v>730</v>
      </c>
      <c r="AJ601" s="98" t="s">
        <v>731</v>
      </c>
      <c r="AK601" s="98" t="s">
        <v>159</v>
      </c>
      <c r="AL601" s="98" t="s">
        <v>224</v>
      </c>
      <c r="AM601" s="98" t="s">
        <v>225</v>
      </c>
      <c r="AR601" s="98" t="s">
        <v>1577</v>
      </c>
      <c r="AS601" s="98" t="s">
        <v>1787</v>
      </c>
      <c r="AT601" s="100" t="n">
        <v>0</v>
      </c>
      <c r="AU601" s="100" t="n">
        <v>-736721.2</v>
      </c>
      <c r="AX601" s="98" t="s">
        <v>165</v>
      </c>
      <c r="AMH601" s="0"/>
      <c r="AMI601" s="0"/>
      <c r="AMJ601" s="0"/>
    </row>
    <row r="602" s="98" customFormat="true" ht="13.8" hidden="false" customHeight="false" outlineLevel="0" collapsed="false">
      <c r="A602" s="98" t="s">
        <v>142</v>
      </c>
      <c r="B602" s="98" t="s">
        <v>143</v>
      </c>
      <c r="C602" s="98" t="n">
        <v>51777456</v>
      </c>
      <c r="D602" s="98" t="s">
        <v>1788</v>
      </c>
      <c r="E602" s="98" t="s">
        <v>725</v>
      </c>
      <c r="F602" s="98" t="s">
        <v>167</v>
      </c>
      <c r="G602" s="98" t="s">
        <v>147</v>
      </c>
      <c r="H602" s="98" t="s">
        <v>213</v>
      </c>
      <c r="I602" s="104" t="n">
        <v>43813</v>
      </c>
      <c r="J602" s="99" t="n">
        <v>43917</v>
      </c>
      <c r="K602" s="100" t="n">
        <v>-186186.1</v>
      </c>
      <c r="L602" s="100" t="n">
        <f aca="false">K602-Q602+T602</f>
        <v>-157784.83</v>
      </c>
      <c r="M602" s="98" t="s">
        <v>149</v>
      </c>
      <c r="N602" s="100" t="n">
        <v>-186186.1</v>
      </c>
      <c r="O602" s="98" t="s">
        <v>149</v>
      </c>
      <c r="P602" s="100" t="n">
        <v>-186186.1</v>
      </c>
      <c r="Q602" s="100" t="n">
        <v>-28401.27</v>
      </c>
      <c r="R602" s="100" t="n">
        <v>-186186.1</v>
      </c>
      <c r="S602" s="100" t="n">
        <v>0</v>
      </c>
      <c r="T602" s="100" t="n">
        <v>0</v>
      </c>
      <c r="U602" s="98" t="s">
        <v>150</v>
      </c>
      <c r="V602" s="98" t="s">
        <v>151</v>
      </c>
      <c r="Y602" s="98" t="s">
        <v>1575</v>
      </c>
      <c r="Z602" s="98" t="s">
        <v>1789</v>
      </c>
      <c r="AB602" s="98" t="s">
        <v>1575</v>
      </c>
      <c r="AD602" s="98" t="s">
        <v>155</v>
      </c>
      <c r="AE602" s="98" t="s">
        <v>156</v>
      </c>
      <c r="AF602" s="98" t="s">
        <v>728</v>
      </c>
      <c r="AG602" s="98" t="s">
        <v>729</v>
      </c>
      <c r="AH602" s="98" t="s">
        <v>730</v>
      </c>
      <c r="AI602" s="98" t="s">
        <v>730</v>
      </c>
      <c r="AJ602" s="98" t="s">
        <v>731</v>
      </c>
      <c r="AK602" s="98" t="s">
        <v>159</v>
      </c>
      <c r="AL602" s="98" t="s">
        <v>224</v>
      </c>
      <c r="AM602" s="98" t="s">
        <v>225</v>
      </c>
      <c r="AR602" s="98" t="s">
        <v>1577</v>
      </c>
      <c r="AS602" s="98" t="s">
        <v>1790</v>
      </c>
      <c r="AT602" s="100" t="n">
        <v>0</v>
      </c>
      <c r="AU602" s="100" t="n">
        <v>-186186.1</v>
      </c>
      <c r="AX602" s="98" t="s">
        <v>165</v>
      </c>
      <c r="AMH602" s="0"/>
      <c r="AMI602" s="0"/>
      <c r="AMJ602" s="0"/>
    </row>
    <row r="603" s="98" customFormat="true" ht="13.8" hidden="false" customHeight="false" outlineLevel="0" collapsed="false">
      <c r="A603" s="98" t="s">
        <v>142</v>
      </c>
      <c r="B603" s="98" t="s">
        <v>143</v>
      </c>
      <c r="C603" s="98" t="n">
        <v>51322504</v>
      </c>
      <c r="D603" s="98" t="s">
        <v>1791</v>
      </c>
      <c r="E603" s="98" t="s">
        <v>725</v>
      </c>
      <c r="F603" s="98" t="s">
        <v>297</v>
      </c>
      <c r="G603" s="98" t="s">
        <v>147</v>
      </c>
      <c r="H603" s="98" t="s">
        <v>168</v>
      </c>
      <c r="I603" s="99" t="n">
        <v>43598</v>
      </c>
      <c r="J603" s="99" t="n">
        <v>43703</v>
      </c>
      <c r="K603" s="100" t="n">
        <v>-120798.82</v>
      </c>
      <c r="L603" s="100" t="n">
        <f aca="false">K603-Q603+T603</f>
        <v>-102371.88</v>
      </c>
      <c r="M603" s="98" t="s">
        <v>149</v>
      </c>
      <c r="N603" s="100" t="n">
        <v>-120798.82</v>
      </c>
      <c r="O603" s="98" t="s">
        <v>149</v>
      </c>
      <c r="P603" s="100" t="n">
        <v>-120798.82</v>
      </c>
      <c r="Q603" s="100" t="n">
        <v>-18426.94</v>
      </c>
      <c r="R603" s="100" t="n">
        <v>-102371.88</v>
      </c>
      <c r="S603" s="100" t="n">
        <v>0</v>
      </c>
      <c r="T603" s="100" t="n">
        <v>0</v>
      </c>
      <c r="U603" s="98" t="s">
        <v>192</v>
      </c>
      <c r="V603" s="98" t="s">
        <v>151</v>
      </c>
      <c r="X603" s="98" t="s">
        <v>1212</v>
      </c>
      <c r="Y603" s="98" t="s">
        <v>1213</v>
      </c>
      <c r="Z603" s="98" t="s">
        <v>1792</v>
      </c>
      <c r="AB603" s="98" t="s">
        <v>1213</v>
      </c>
      <c r="AD603" s="98" t="s">
        <v>155</v>
      </c>
      <c r="AE603" s="98" t="s">
        <v>156</v>
      </c>
      <c r="AF603" s="98" t="s">
        <v>728</v>
      </c>
      <c r="AG603" s="98" t="s">
        <v>729</v>
      </c>
      <c r="AH603" s="98" t="s">
        <v>971</v>
      </c>
      <c r="AI603" s="98" t="s">
        <v>971</v>
      </c>
      <c r="AJ603" s="98" t="s">
        <v>972</v>
      </c>
      <c r="AK603" s="98" t="s">
        <v>159</v>
      </c>
      <c r="AL603" s="98" t="s">
        <v>224</v>
      </c>
      <c r="AM603" s="98" t="s">
        <v>225</v>
      </c>
      <c r="AP603" s="98" t="s">
        <v>553</v>
      </c>
      <c r="AQ603" s="98" t="s">
        <v>551</v>
      </c>
      <c r="AR603" s="98" t="s">
        <v>1479</v>
      </c>
      <c r="AS603" s="98" t="s">
        <v>1793</v>
      </c>
      <c r="AT603" s="100" t="n">
        <v>0</v>
      </c>
      <c r="AU603" s="100" t="n">
        <v>-120798.82</v>
      </c>
      <c r="AX603" s="98" t="s">
        <v>586</v>
      </c>
      <c r="AMH603" s="0"/>
      <c r="AMI603" s="0"/>
      <c r="AMJ603" s="0"/>
    </row>
    <row r="604" s="98" customFormat="true" ht="13.8" hidden="false" customHeight="false" outlineLevel="0" collapsed="false">
      <c r="A604" s="98" t="s">
        <v>142</v>
      </c>
      <c r="B604" s="98" t="s">
        <v>143</v>
      </c>
      <c r="C604" s="98" t="n">
        <v>51322504</v>
      </c>
      <c r="D604" s="98" t="s">
        <v>1791</v>
      </c>
      <c r="E604" s="98" t="s">
        <v>725</v>
      </c>
      <c r="F604" s="98" t="s">
        <v>297</v>
      </c>
      <c r="G604" s="98" t="s">
        <v>147</v>
      </c>
      <c r="H604" s="98" t="s">
        <v>168</v>
      </c>
      <c r="I604" s="99" t="n">
        <v>43598</v>
      </c>
      <c r="J604" s="99" t="n">
        <v>43703</v>
      </c>
      <c r="K604" s="100" t="n">
        <v>-2053579.97</v>
      </c>
      <c r="L604" s="100" t="n">
        <f aca="false">K604-Q604+T604</f>
        <v>-1740322.01</v>
      </c>
      <c r="M604" s="98" t="s">
        <v>149</v>
      </c>
      <c r="N604" s="100" t="n">
        <v>-2053579.97</v>
      </c>
      <c r="O604" s="98" t="s">
        <v>149</v>
      </c>
      <c r="P604" s="100" t="n">
        <v>-2053579.97</v>
      </c>
      <c r="Q604" s="100" t="n">
        <v>-313257.96</v>
      </c>
      <c r="R604" s="100" t="n">
        <v>-1740322.01</v>
      </c>
      <c r="S604" s="100" t="n">
        <v>0</v>
      </c>
      <c r="T604" s="100" t="n">
        <v>0</v>
      </c>
      <c r="U604" s="98" t="s">
        <v>192</v>
      </c>
      <c r="V604" s="98" t="s">
        <v>151</v>
      </c>
      <c r="X604" s="98" t="s">
        <v>1212</v>
      </c>
      <c r="Y604" s="98" t="s">
        <v>1213</v>
      </c>
      <c r="Z604" s="98" t="s">
        <v>1792</v>
      </c>
      <c r="AB604" s="98" t="s">
        <v>1213</v>
      </c>
      <c r="AD604" s="98" t="s">
        <v>155</v>
      </c>
      <c r="AE604" s="98" t="s">
        <v>156</v>
      </c>
      <c r="AF604" s="98" t="s">
        <v>728</v>
      </c>
      <c r="AG604" s="98" t="s">
        <v>729</v>
      </c>
      <c r="AH604" s="98" t="s">
        <v>971</v>
      </c>
      <c r="AI604" s="98" t="s">
        <v>971</v>
      </c>
      <c r="AJ604" s="98" t="s">
        <v>972</v>
      </c>
      <c r="AK604" s="98" t="s">
        <v>159</v>
      </c>
      <c r="AL604" s="98" t="s">
        <v>224</v>
      </c>
      <c r="AM604" s="98" t="s">
        <v>225</v>
      </c>
      <c r="AP604" s="98" t="s">
        <v>508</v>
      </c>
      <c r="AQ604" s="98" t="s">
        <v>506</v>
      </c>
      <c r="AR604" s="98" t="s">
        <v>1479</v>
      </c>
      <c r="AS604" s="98" t="s">
        <v>1793</v>
      </c>
      <c r="AT604" s="100" t="n">
        <v>0</v>
      </c>
      <c r="AU604" s="100" t="n">
        <v>-2053579.97</v>
      </c>
      <c r="AX604" s="98" t="s">
        <v>556</v>
      </c>
      <c r="AMH604" s="0"/>
      <c r="AMI604" s="0"/>
      <c r="AMJ604" s="0"/>
    </row>
    <row r="605" s="98" customFormat="true" ht="13.8" hidden="false" customHeight="false" outlineLevel="0" collapsed="false">
      <c r="A605" s="98" t="s">
        <v>142</v>
      </c>
      <c r="B605" s="98" t="s">
        <v>143</v>
      </c>
      <c r="C605" s="98" t="n">
        <v>51322504</v>
      </c>
      <c r="D605" s="98" t="s">
        <v>1791</v>
      </c>
      <c r="E605" s="98" t="s">
        <v>725</v>
      </c>
      <c r="F605" s="98" t="s">
        <v>297</v>
      </c>
      <c r="G605" s="98" t="s">
        <v>147</v>
      </c>
      <c r="H605" s="98" t="s">
        <v>168</v>
      </c>
      <c r="I605" s="99" t="n">
        <v>43598</v>
      </c>
      <c r="J605" s="99" t="n">
        <v>43703</v>
      </c>
      <c r="K605" s="100" t="n">
        <v>-120798.82</v>
      </c>
      <c r="L605" s="100" t="n">
        <f aca="false">K605-Q605+T605</f>
        <v>-102371.88</v>
      </c>
      <c r="M605" s="98" t="s">
        <v>149</v>
      </c>
      <c r="N605" s="100" t="n">
        <v>-120798.82</v>
      </c>
      <c r="O605" s="98" t="s">
        <v>149</v>
      </c>
      <c r="P605" s="100" t="n">
        <v>-120798.82</v>
      </c>
      <c r="Q605" s="100" t="n">
        <v>-18426.94</v>
      </c>
      <c r="R605" s="100" t="n">
        <v>-102371.88</v>
      </c>
      <c r="S605" s="100" t="n">
        <v>0</v>
      </c>
      <c r="T605" s="100" t="n">
        <v>0</v>
      </c>
      <c r="U605" s="98" t="s">
        <v>192</v>
      </c>
      <c r="V605" s="98" t="s">
        <v>151</v>
      </c>
      <c r="X605" s="98" t="s">
        <v>1212</v>
      </c>
      <c r="Y605" s="98" t="s">
        <v>1213</v>
      </c>
      <c r="Z605" s="98" t="s">
        <v>1792</v>
      </c>
      <c r="AB605" s="98" t="s">
        <v>1213</v>
      </c>
      <c r="AD605" s="98" t="s">
        <v>155</v>
      </c>
      <c r="AE605" s="98" t="s">
        <v>156</v>
      </c>
      <c r="AF605" s="98" t="s">
        <v>728</v>
      </c>
      <c r="AG605" s="98" t="s">
        <v>729</v>
      </c>
      <c r="AH605" s="98" t="s">
        <v>971</v>
      </c>
      <c r="AI605" s="98" t="s">
        <v>971</v>
      </c>
      <c r="AJ605" s="98" t="s">
        <v>972</v>
      </c>
      <c r="AK605" s="98" t="s">
        <v>159</v>
      </c>
      <c r="AL605" s="98" t="s">
        <v>224</v>
      </c>
      <c r="AM605" s="98" t="s">
        <v>225</v>
      </c>
      <c r="AP605" s="98" t="s">
        <v>553</v>
      </c>
      <c r="AQ605" s="98" t="s">
        <v>551</v>
      </c>
      <c r="AR605" s="98" t="s">
        <v>1479</v>
      </c>
      <c r="AS605" s="98" t="s">
        <v>1793</v>
      </c>
      <c r="AT605" s="100" t="n">
        <v>0</v>
      </c>
      <c r="AU605" s="100" t="n">
        <v>-120798.82</v>
      </c>
      <c r="AX605" s="98" t="s">
        <v>191</v>
      </c>
      <c r="AMH605" s="0"/>
      <c r="AMI605" s="0"/>
      <c r="AMJ605" s="0"/>
    </row>
    <row r="606" s="98" customFormat="true" ht="13.8" hidden="false" customHeight="false" outlineLevel="0" collapsed="false">
      <c r="A606" s="98" t="s">
        <v>142</v>
      </c>
      <c r="B606" s="98" t="s">
        <v>143</v>
      </c>
      <c r="C606" s="98" t="n">
        <v>51322504</v>
      </c>
      <c r="D606" s="98" t="s">
        <v>1791</v>
      </c>
      <c r="E606" s="98" t="s">
        <v>725</v>
      </c>
      <c r="F606" s="98" t="s">
        <v>297</v>
      </c>
      <c r="G606" s="98" t="s">
        <v>147</v>
      </c>
      <c r="H606" s="98" t="s">
        <v>168</v>
      </c>
      <c r="I606" s="99" t="n">
        <v>43598</v>
      </c>
      <c r="J606" s="99" t="n">
        <v>43703</v>
      </c>
      <c r="K606" s="100" t="n">
        <v>-120798.83</v>
      </c>
      <c r="L606" s="100" t="n">
        <f aca="false">K606-Q606+T606</f>
        <v>-102371.89</v>
      </c>
      <c r="M606" s="98" t="s">
        <v>149</v>
      </c>
      <c r="N606" s="100" t="n">
        <v>-120798.83</v>
      </c>
      <c r="O606" s="98" t="s">
        <v>149</v>
      </c>
      <c r="P606" s="100" t="n">
        <v>-120798.83</v>
      </c>
      <c r="Q606" s="100" t="n">
        <v>-18426.94</v>
      </c>
      <c r="R606" s="100" t="n">
        <v>-102371.89</v>
      </c>
      <c r="S606" s="100" t="n">
        <v>0</v>
      </c>
      <c r="T606" s="100" t="n">
        <v>0</v>
      </c>
      <c r="U606" s="98" t="s">
        <v>192</v>
      </c>
      <c r="V606" s="98" t="s">
        <v>151</v>
      </c>
      <c r="X606" s="98" t="s">
        <v>1212</v>
      </c>
      <c r="Y606" s="98" t="s">
        <v>1213</v>
      </c>
      <c r="Z606" s="98" t="s">
        <v>1792</v>
      </c>
      <c r="AB606" s="98" t="s">
        <v>1213</v>
      </c>
      <c r="AD606" s="98" t="s">
        <v>155</v>
      </c>
      <c r="AE606" s="98" t="s">
        <v>156</v>
      </c>
      <c r="AF606" s="98" t="s">
        <v>728</v>
      </c>
      <c r="AG606" s="98" t="s">
        <v>729</v>
      </c>
      <c r="AH606" s="98" t="s">
        <v>971</v>
      </c>
      <c r="AI606" s="98" t="s">
        <v>971</v>
      </c>
      <c r="AJ606" s="98" t="s">
        <v>972</v>
      </c>
      <c r="AK606" s="98" t="s">
        <v>159</v>
      </c>
      <c r="AL606" s="98" t="s">
        <v>224</v>
      </c>
      <c r="AM606" s="98" t="s">
        <v>225</v>
      </c>
      <c r="AP606" s="98" t="s">
        <v>553</v>
      </c>
      <c r="AQ606" s="98" t="s">
        <v>551</v>
      </c>
      <c r="AR606" s="98" t="s">
        <v>1479</v>
      </c>
      <c r="AS606" s="98" t="s">
        <v>1793</v>
      </c>
      <c r="AT606" s="100" t="n">
        <v>0</v>
      </c>
      <c r="AU606" s="100" t="n">
        <v>-120798.83</v>
      </c>
      <c r="AX606" s="98" t="s">
        <v>200</v>
      </c>
      <c r="AMH606" s="0"/>
      <c r="AMI606" s="0"/>
      <c r="AMJ606" s="0"/>
    </row>
    <row r="607" s="98" customFormat="true" ht="13.8" hidden="false" customHeight="false" outlineLevel="0" collapsed="false">
      <c r="A607" s="98" t="s">
        <v>142</v>
      </c>
      <c r="B607" s="98" t="s">
        <v>143</v>
      </c>
      <c r="C607" s="98" t="n">
        <v>51561811</v>
      </c>
      <c r="D607" s="98" t="s">
        <v>1596</v>
      </c>
      <c r="E607" s="98" t="s">
        <v>725</v>
      </c>
      <c r="F607" s="98" t="s">
        <v>167</v>
      </c>
      <c r="G607" s="98" t="s">
        <v>147</v>
      </c>
      <c r="H607" s="98" t="s">
        <v>586</v>
      </c>
      <c r="I607" s="104" t="n">
        <v>43717</v>
      </c>
      <c r="J607" s="99" t="n">
        <v>43823</v>
      </c>
      <c r="K607" s="100" t="n">
        <v>-622790.55</v>
      </c>
      <c r="L607" s="100" t="n">
        <f aca="false">K607-Q607+T607</f>
        <v>-531803.1</v>
      </c>
      <c r="M607" s="98" t="s">
        <v>149</v>
      </c>
      <c r="N607" s="100" t="n">
        <v>-622790.55</v>
      </c>
      <c r="O607" s="98" t="s">
        <v>149</v>
      </c>
      <c r="P607" s="100" t="n">
        <v>-633528.55</v>
      </c>
      <c r="Q607" s="105" t="n">
        <v>-101726.26</v>
      </c>
      <c r="R607" s="100" t="n">
        <v>-622790.55</v>
      </c>
      <c r="S607" s="100" t="n">
        <v>-536889.29</v>
      </c>
      <c r="T607" s="100" t="n">
        <v>-10738.81</v>
      </c>
      <c r="U607" s="98" t="s">
        <v>192</v>
      </c>
      <c r="V607" s="98" t="s">
        <v>151</v>
      </c>
      <c r="Y607" s="98" t="s">
        <v>1448</v>
      </c>
      <c r="Z607" s="98" t="s">
        <v>1599</v>
      </c>
      <c r="AB607" s="98" t="s">
        <v>1448</v>
      </c>
      <c r="AD607" s="98" t="s">
        <v>155</v>
      </c>
      <c r="AE607" s="98" t="s">
        <v>156</v>
      </c>
      <c r="AF607" s="98" t="s">
        <v>747</v>
      </c>
      <c r="AG607" s="98" t="s">
        <v>748</v>
      </c>
      <c r="AH607" s="98" t="s">
        <v>971</v>
      </c>
      <c r="AI607" s="98" t="s">
        <v>971</v>
      </c>
      <c r="AJ607" s="98" t="s">
        <v>972</v>
      </c>
      <c r="AK607" s="98" t="s">
        <v>159</v>
      </c>
      <c r="AL607" s="98" t="s">
        <v>224</v>
      </c>
      <c r="AM607" s="98" t="s">
        <v>225</v>
      </c>
      <c r="AP607" s="98" t="s">
        <v>1600</v>
      </c>
      <c r="AQ607" s="98" t="s">
        <v>1601</v>
      </c>
      <c r="AR607" s="98" t="s">
        <v>606</v>
      </c>
      <c r="AS607" s="98" t="s">
        <v>1794</v>
      </c>
      <c r="AT607" s="100" t="n">
        <v>0</v>
      </c>
      <c r="AU607" s="100" t="n">
        <v>-622790.55</v>
      </c>
      <c r="AX607" s="98" t="s">
        <v>200</v>
      </c>
      <c r="AMH607" s="0"/>
      <c r="AMI607" s="0"/>
      <c r="AMJ607" s="0"/>
    </row>
    <row r="608" s="98" customFormat="true" ht="13.8" hidden="false" customHeight="false" outlineLevel="0" collapsed="false">
      <c r="A608" s="98" t="s">
        <v>142</v>
      </c>
      <c r="B608" s="98" t="s">
        <v>143</v>
      </c>
      <c r="C608" s="98" t="n">
        <v>51561811</v>
      </c>
      <c r="D608" s="98" t="s">
        <v>1596</v>
      </c>
      <c r="E608" s="98" t="s">
        <v>725</v>
      </c>
      <c r="F608" s="98" t="s">
        <v>167</v>
      </c>
      <c r="G608" s="98" t="s">
        <v>147</v>
      </c>
      <c r="H608" s="98" t="s">
        <v>586</v>
      </c>
      <c r="I608" s="104" t="n">
        <v>43717</v>
      </c>
      <c r="J608" s="99" t="n">
        <v>43823</v>
      </c>
      <c r="K608" s="100" t="n">
        <v>-32777.61</v>
      </c>
      <c r="L608" s="100" t="n">
        <f aca="false">K608-Q608+T608</f>
        <v>68383.46</v>
      </c>
      <c r="M608" s="98" t="s">
        <v>149</v>
      </c>
      <c r="N608" s="100" t="n">
        <v>-32777.61</v>
      </c>
      <c r="O608" s="98" t="s">
        <v>149</v>
      </c>
      <c r="P608" s="100" t="n">
        <v>-33343.61</v>
      </c>
      <c r="Q608" s="105" t="n">
        <v>-101726.26</v>
      </c>
      <c r="R608" s="100" t="n">
        <v>-32777.61</v>
      </c>
      <c r="S608" s="100" t="n">
        <v>-28256.61</v>
      </c>
      <c r="T608" s="100" t="n">
        <v>-565.19</v>
      </c>
      <c r="U608" s="98" t="s">
        <v>192</v>
      </c>
      <c r="V608" s="98" t="s">
        <v>151</v>
      </c>
      <c r="Y608" s="98" t="s">
        <v>1448</v>
      </c>
      <c r="Z608" s="98" t="s">
        <v>1599</v>
      </c>
      <c r="AB608" s="98" t="s">
        <v>1448</v>
      </c>
      <c r="AD608" s="98" t="s">
        <v>155</v>
      </c>
      <c r="AE608" s="98" t="s">
        <v>156</v>
      </c>
      <c r="AF608" s="98" t="s">
        <v>747</v>
      </c>
      <c r="AG608" s="98" t="s">
        <v>748</v>
      </c>
      <c r="AH608" s="98" t="s">
        <v>971</v>
      </c>
      <c r="AI608" s="98" t="s">
        <v>971</v>
      </c>
      <c r="AJ608" s="98" t="s">
        <v>972</v>
      </c>
      <c r="AK608" s="98" t="s">
        <v>159</v>
      </c>
      <c r="AL608" s="98" t="s">
        <v>224</v>
      </c>
      <c r="AM608" s="98" t="s">
        <v>225</v>
      </c>
      <c r="AP608" s="98" t="s">
        <v>1600</v>
      </c>
      <c r="AQ608" s="98" t="s">
        <v>1601</v>
      </c>
      <c r="AR608" s="98" t="s">
        <v>606</v>
      </c>
      <c r="AS608" s="98" t="s">
        <v>1794</v>
      </c>
      <c r="AT608" s="100" t="n">
        <v>0</v>
      </c>
      <c r="AU608" s="100" t="n">
        <v>-32777.61</v>
      </c>
      <c r="AX608" s="98" t="s">
        <v>213</v>
      </c>
      <c r="AMH608" s="0"/>
      <c r="AMI608" s="0"/>
      <c r="AMJ608" s="0"/>
    </row>
    <row r="609" s="98" customFormat="true" ht="13.8" hidden="false" customHeight="false" outlineLevel="0" collapsed="false">
      <c r="A609" s="98" t="s">
        <v>142</v>
      </c>
      <c r="B609" s="98" t="s">
        <v>143</v>
      </c>
      <c r="C609" s="98" t="n">
        <v>51565344</v>
      </c>
      <c r="D609" s="98" t="s">
        <v>1596</v>
      </c>
      <c r="E609" s="98" t="s">
        <v>725</v>
      </c>
      <c r="F609" s="98" t="s">
        <v>167</v>
      </c>
      <c r="G609" s="98" t="s">
        <v>147</v>
      </c>
      <c r="H609" s="98" t="s">
        <v>586</v>
      </c>
      <c r="I609" s="99" t="n">
        <v>43717</v>
      </c>
      <c r="J609" s="99" t="n">
        <v>43826</v>
      </c>
      <c r="K609" s="100" t="n">
        <v>-32777.61</v>
      </c>
      <c r="L609" s="100" t="n">
        <f aca="false">K609-Q609+T609</f>
        <v>-28256.61</v>
      </c>
      <c r="M609" s="98" t="s">
        <v>149</v>
      </c>
      <c r="N609" s="100" t="n">
        <v>-32777.61</v>
      </c>
      <c r="O609" s="98" t="s">
        <v>149</v>
      </c>
      <c r="P609" s="100" t="n">
        <v>-33343.61</v>
      </c>
      <c r="Q609" s="100" t="n">
        <v>-5086.19</v>
      </c>
      <c r="R609" s="100" t="n">
        <v>-27691.42</v>
      </c>
      <c r="S609" s="100" t="n">
        <v>-28256.61</v>
      </c>
      <c r="T609" s="100" t="n">
        <v>-565.19</v>
      </c>
      <c r="U609" s="98" t="s">
        <v>192</v>
      </c>
      <c r="V609" s="98" t="s">
        <v>151</v>
      </c>
      <c r="Y609" s="98" t="s">
        <v>1448</v>
      </c>
      <c r="Z609" s="98" t="s">
        <v>1795</v>
      </c>
      <c r="AB609" s="98" t="s">
        <v>1448</v>
      </c>
      <c r="AD609" s="98" t="s">
        <v>155</v>
      </c>
      <c r="AE609" s="98" t="s">
        <v>156</v>
      </c>
      <c r="AF609" s="98" t="s">
        <v>747</v>
      </c>
      <c r="AG609" s="98" t="s">
        <v>748</v>
      </c>
      <c r="AH609" s="98" t="s">
        <v>971</v>
      </c>
      <c r="AI609" s="98" t="s">
        <v>971</v>
      </c>
      <c r="AJ609" s="98" t="s">
        <v>972</v>
      </c>
      <c r="AK609" s="98" t="s">
        <v>159</v>
      </c>
      <c r="AL609" s="98" t="s">
        <v>224</v>
      </c>
      <c r="AM609" s="98" t="s">
        <v>225</v>
      </c>
      <c r="AR609" s="98" t="s">
        <v>1450</v>
      </c>
      <c r="AS609" s="98" t="s">
        <v>1796</v>
      </c>
      <c r="AT609" s="100" t="n">
        <v>0</v>
      </c>
      <c r="AU609" s="100" t="n">
        <v>-32777.61</v>
      </c>
      <c r="AX609" s="98" t="s">
        <v>213</v>
      </c>
      <c r="AMH609" s="0"/>
      <c r="AMI609" s="0"/>
      <c r="AMJ609" s="0"/>
    </row>
    <row r="610" s="98" customFormat="true" ht="13.8" hidden="false" customHeight="false" outlineLevel="0" collapsed="false">
      <c r="A610" s="98" t="s">
        <v>142</v>
      </c>
      <c r="B610" s="98" t="s">
        <v>143</v>
      </c>
      <c r="C610" s="98" t="n">
        <v>51565344</v>
      </c>
      <c r="D610" s="98" t="s">
        <v>1596</v>
      </c>
      <c r="E610" s="98" t="s">
        <v>725</v>
      </c>
      <c r="F610" s="98" t="s">
        <v>167</v>
      </c>
      <c r="G610" s="98" t="s">
        <v>147</v>
      </c>
      <c r="H610" s="98" t="s">
        <v>586</v>
      </c>
      <c r="I610" s="99" t="n">
        <v>43717</v>
      </c>
      <c r="J610" s="99" t="n">
        <v>43826</v>
      </c>
      <c r="K610" s="100" t="n">
        <v>-622790.55</v>
      </c>
      <c r="L610" s="100" t="n">
        <f aca="false">K610-Q610+T610</f>
        <v>-536889.29</v>
      </c>
      <c r="M610" s="98" t="s">
        <v>149</v>
      </c>
      <c r="N610" s="100" t="n">
        <v>-622790.55</v>
      </c>
      <c r="O610" s="98" t="s">
        <v>149</v>
      </c>
      <c r="P610" s="100" t="n">
        <v>-633528.55</v>
      </c>
      <c r="Q610" s="100" t="n">
        <v>-96640.07</v>
      </c>
      <c r="R610" s="100" t="n">
        <v>-526150.48</v>
      </c>
      <c r="S610" s="100" t="n">
        <v>-536889.29</v>
      </c>
      <c r="T610" s="100" t="n">
        <v>-10738.81</v>
      </c>
      <c r="U610" s="98" t="s">
        <v>192</v>
      </c>
      <c r="V610" s="98" t="s">
        <v>151</v>
      </c>
      <c r="Y610" s="98" t="s">
        <v>1448</v>
      </c>
      <c r="Z610" s="98" t="s">
        <v>1795</v>
      </c>
      <c r="AB610" s="98" t="s">
        <v>1448</v>
      </c>
      <c r="AD610" s="98" t="s">
        <v>155</v>
      </c>
      <c r="AE610" s="98" t="s">
        <v>156</v>
      </c>
      <c r="AF610" s="98" t="s">
        <v>747</v>
      </c>
      <c r="AG610" s="98" t="s">
        <v>748</v>
      </c>
      <c r="AH610" s="98" t="s">
        <v>971</v>
      </c>
      <c r="AI610" s="98" t="s">
        <v>971</v>
      </c>
      <c r="AJ610" s="98" t="s">
        <v>972</v>
      </c>
      <c r="AK610" s="98" t="s">
        <v>159</v>
      </c>
      <c r="AL610" s="98" t="s">
        <v>224</v>
      </c>
      <c r="AM610" s="98" t="s">
        <v>225</v>
      </c>
      <c r="AP610" s="98" t="s">
        <v>646</v>
      </c>
      <c r="AQ610" s="98" t="s">
        <v>640</v>
      </c>
      <c r="AR610" s="98" t="s">
        <v>1450</v>
      </c>
      <c r="AS610" s="98" t="s">
        <v>1796</v>
      </c>
      <c r="AT610" s="100" t="n">
        <v>0</v>
      </c>
      <c r="AU610" s="100" t="n">
        <v>-622790.55</v>
      </c>
      <c r="AX610" s="98" t="s">
        <v>200</v>
      </c>
      <c r="AMH610" s="0"/>
      <c r="AMI610" s="0"/>
      <c r="AMJ610" s="0"/>
    </row>
    <row r="611" s="98" customFormat="true" ht="13.8" hidden="false" customHeight="false" outlineLevel="0" collapsed="false">
      <c r="A611" s="98" t="s">
        <v>142</v>
      </c>
      <c r="B611" s="98" t="s">
        <v>143</v>
      </c>
      <c r="C611" s="98" t="n">
        <v>51603246</v>
      </c>
      <c r="D611" s="98" t="s">
        <v>1797</v>
      </c>
      <c r="E611" s="98" t="s">
        <v>725</v>
      </c>
      <c r="F611" s="98" t="s">
        <v>167</v>
      </c>
      <c r="G611" s="98" t="s">
        <v>147</v>
      </c>
      <c r="H611" s="98" t="s">
        <v>191</v>
      </c>
      <c r="I611" s="99" t="n">
        <v>43735</v>
      </c>
      <c r="J611" s="99" t="n">
        <v>43845</v>
      </c>
      <c r="K611" s="100" t="n">
        <v>-1424635.39</v>
      </c>
      <c r="L611" s="100" t="n">
        <f aca="false">K611-Q611+T611</f>
        <v>-1207318.13</v>
      </c>
      <c r="M611" s="98" t="s">
        <v>149</v>
      </c>
      <c r="N611" s="100" t="n">
        <v>-1424635.39</v>
      </c>
      <c r="O611" s="98" t="s">
        <v>149</v>
      </c>
      <c r="P611" s="100" t="n">
        <v>-1424635.39</v>
      </c>
      <c r="Q611" s="100" t="n">
        <v>-217317.26</v>
      </c>
      <c r="R611" s="100" t="n">
        <v>-1207318.13</v>
      </c>
      <c r="S611" s="100" t="n">
        <v>0</v>
      </c>
      <c r="T611" s="100" t="n">
        <v>0</v>
      </c>
      <c r="U611" s="98" t="s">
        <v>192</v>
      </c>
      <c r="V611" s="98" t="s">
        <v>151</v>
      </c>
      <c r="Y611" s="98" t="s">
        <v>1632</v>
      </c>
      <c r="Z611" s="98" t="s">
        <v>1798</v>
      </c>
      <c r="AB611" s="98" t="s">
        <v>1632</v>
      </c>
      <c r="AD611" s="98" t="s">
        <v>155</v>
      </c>
      <c r="AE611" s="98" t="s">
        <v>156</v>
      </c>
      <c r="AF611" s="98" t="s">
        <v>728</v>
      </c>
      <c r="AG611" s="98" t="s">
        <v>729</v>
      </c>
      <c r="AH611" s="98" t="s">
        <v>730</v>
      </c>
      <c r="AI611" s="98" t="s">
        <v>730</v>
      </c>
      <c r="AJ611" s="98" t="s">
        <v>731</v>
      </c>
      <c r="AK611" s="98" t="s">
        <v>159</v>
      </c>
      <c r="AL611" s="98" t="s">
        <v>224</v>
      </c>
      <c r="AM611" s="98" t="s">
        <v>225</v>
      </c>
      <c r="AP611" s="98" t="s">
        <v>670</v>
      </c>
      <c r="AQ611" s="98" t="s">
        <v>668</v>
      </c>
      <c r="AR611" s="98" t="s">
        <v>1799</v>
      </c>
      <c r="AS611" s="98" t="s">
        <v>1800</v>
      </c>
      <c r="AT611" s="100" t="n">
        <v>0</v>
      </c>
      <c r="AU611" s="100" t="n">
        <v>-1424635.39</v>
      </c>
      <c r="AX611" s="98" t="s">
        <v>165</v>
      </c>
      <c r="AMH611" s="0"/>
      <c r="AMI611" s="0"/>
      <c r="AMJ611" s="0"/>
    </row>
    <row r="612" s="98" customFormat="true" ht="13.8" hidden="false" customHeight="false" outlineLevel="0" collapsed="false">
      <c r="A612" s="98" t="s">
        <v>142</v>
      </c>
      <c r="B612" s="98" t="s">
        <v>143</v>
      </c>
      <c r="C612" s="98" t="n">
        <v>51603254</v>
      </c>
      <c r="D612" s="98" t="s">
        <v>1801</v>
      </c>
      <c r="E612" s="98" t="s">
        <v>725</v>
      </c>
      <c r="F612" s="98" t="s">
        <v>167</v>
      </c>
      <c r="G612" s="98" t="s">
        <v>147</v>
      </c>
      <c r="H612" s="98" t="s">
        <v>191</v>
      </c>
      <c r="I612" s="99" t="n">
        <v>43735</v>
      </c>
      <c r="J612" s="99" t="n">
        <v>43845</v>
      </c>
      <c r="K612" s="100" t="n">
        <v>-359577.68</v>
      </c>
      <c r="L612" s="100" t="n">
        <f aca="false">K612-Q612+T612</f>
        <v>-304726.85</v>
      </c>
      <c r="M612" s="98" t="s">
        <v>149</v>
      </c>
      <c r="N612" s="100" t="n">
        <v>-359577.68</v>
      </c>
      <c r="O612" s="98" t="s">
        <v>149</v>
      </c>
      <c r="P612" s="100" t="n">
        <v>-359577.68</v>
      </c>
      <c r="Q612" s="100" t="n">
        <v>-54850.83</v>
      </c>
      <c r="R612" s="100" t="n">
        <v>-304726.85</v>
      </c>
      <c r="S612" s="100" t="n">
        <v>0</v>
      </c>
      <c r="T612" s="100" t="n">
        <v>0</v>
      </c>
      <c r="U612" s="98" t="s">
        <v>192</v>
      </c>
      <c r="V612" s="98" t="s">
        <v>151</v>
      </c>
      <c r="Y612" s="98" t="s">
        <v>1632</v>
      </c>
      <c r="Z612" s="98" t="s">
        <v>1802</v>
      </c>
      <c r="AB612" s="98" t="s">
        <v>1632</v>
      </c>
      <c r="AD612" s="98" t="s">
        <v>155</v>
      </c>
      <c r="AE612" s="98" t="s">
        <v>156</v>
      </c>
      <c r="AF612" s="98" t="s">
        <v>728</v>
      </c>
      <c r="AG612" s="98" t="s">
        <v>729</v>
      </c>
      <c r="AH612" s="98" t="s">
        <v>730</v>
      </c>
      <c r="AI612" s="98" t="s">
        <v>730</v>
      </c>
      <c r="AJ612" s="98" t="s">
        <v>731</v>
      </c>
      <c r="AK612" s="98" t="s">
        <v>159</v>
      </c>
      <c r="AL612" s="98" t="s">
        <v>224</v>
      </c>
      <c r="AM612" s="98" t="s">
        <v>225</v>
      </c>
      <c r="AP612" s="98" t="s">
        <v>670</v>
      </c>
      <c r="AQ612" s="98" t="s">
        <v>668</v>
      </c>
      <c r="AR612" s="98" t="s">
        <v>1799</v>
      </c>
      <c r="AS612" s="98" t="s">
        <v>1803</v>
      </c>
      <c r="AT612" s="100" t="n">
        <v>0</v>
      </c>
      <c r="AU612" s="100" t="n">
        <v>-359577.68</v>
      </c>
      <c r="AX612" s="98" t="s">
        <v>165</v>
      </c>
      <c r="AMH612" s="0"/>
      <c r="AMI612" s="0"/>
      <c r="AMJ612" s="0"/>
    </row>
    <row r="613" s="98" customFormat="true" ht="13.8" hidden="false" customHeight="false" outlineLevel="0" collapsed="false">
      <c r="A613" s="98" t="s">
        <v>142</v>
      </c>
      <c r="B613" s="98" t="s">
        <v>143</v>
      </c>
      <c r="C613" s="98" t="n">
        <v>51565243</v>
      </c>
      <c r="D613" s="98" t="s">
        <v>1804</v>
      </c>
      <c r="E613" s="98" t="s">
        <v>725</v>
      </c>
      <c r="F613" s="98" t="s">
        <v>167</v>
      </c>
      <c r="G613" s="98" t="s">
        <v>147</v>
      </c>
      <c r="H613" s="98" t="s">
        <v>586</v>
      </c>
      <c r="I613" s="99" t="n">
        <v>43711</v>
      </c>
      <c r="J613" s="99" t="n">
        <v>43826</v>
      </c>
      <c r="K613" s="100" t="n">
        <v>-4949.87</v>
      </c>
      <c r="L613" s="100" t="n">
        <f aca="false">K613-Q613+T613</f>
        <v>-4267.17</v>
      </c>
      <c r="M613" s="98" t="s">
        <v>149</v>
      </c>
      <c r="N613" s="100" t="n">
        <v>-4949.87</v>
      </c>
      <c r="O613" s="98" t="s">
        <v>149</v>
      </c>
      <c r="P613" s="100" t="n">
        <v>-5035.87</v>
      </c>
      <c r="Q613" s="100" t="n">
        <v>-768.09</v>
      </c>
      <c r="R613" s="100" t="n">
        <v>-4181.78</v>
      </c>
      <c r="S613" s="100" t="n">
        <v>-4267.17</v>
      </c>
      <c r="T613" s="100" t="n">
        <v>-85.39</v>
      </c>
      <c r="U613" s="98" t="s">
        <v>150</v>
      </c>
      <c r="V613" s="98" t="s">
        <v>151</v>
      </c>
      <c r="Y613" s="98" t="s">
        <v>1805</v>
      </c>
      <c r="Z613" s="98" t="s">
        <v>1806</v>
      </c>
      <c r="AB613" s="98" t="s">
        <v>1805</v>
      </c>
      <c r="AD613" s="98" t="s">
        <v>155</v>
      </c>
      <c r="AE613" s="98" t="s">
        <v>156</v>
      </c>
      <c r="AF613" s="98" t="s">
        <v>747</v>
      </c>
      <c r="AG613" s="98" t="s">
        <v>748</v>
      </c>
      <c r="AH613" s="98" t="s">
        <v>971</v>
      </c>
      <c r="AI613" s="98" t="s">
        <v>971</v>
      </c>
      <c r="AJ613" s="98" t="s">
        <v>972</v>
      </c>
      <c r="AK613" s="98" t="s">
        <v>159</v>
      </c>
      <c r="AL613" s="98" t="s">
        <v>224</v>
      </c>
      <c r="AM613" s="98" t="s">
        <v>225</v>
      </c>
      <c r="AR613" s="98" t="s">
        <v>1450</v>
      </c>
      <c r="AS613" s="98" t="s">
        <v>1807</v>
      </c>
      <c r="AT613" s="100" t="n">
        <v>0</v>
      </c>
      <c r="AU613" s="100" t="n">
        <v>-4949.87</v>
      </c>
      <c r="AX613" s="98" t="s">
        <v>402</v>
      </c>
      <c r="AMH613" s="0"/>
      <c r="AMI613" s="0"/>
      <c r="AMJ613" s="0"/>
    </row>
    <row r="614" s="98" customFormat="true" ht="13.8" hidden="false" customHeight="false" outlineLevel="0" collapsed="false">
      <c r="A614" s="98" t="s">
        <v>142</v>
      </c>
      <c r="B614" s="98" t="s">
        <v>143</v>
      </c>
      <c r="C614" s="98" t="n">
        <v>51565243</v>
      </c>
      <c r="D614" s="98" t="s">
        <v>1804</v>
      </c>
      <c r="E614" s="98" t="s">
        <v>725</v>
      </c>
      <c r="F614" s="98" t="s">
        <v>167</v>
      </c>
      <c r="G614" s="98" t="s">
        <v>147</v>
      </c>
      <c r="H614" s="98" t="s">
        <v>586</v>
      </c>
      <c r="I614" s="99" t="n">
        <v>43711</v>
      </c>
      <c r="J614" s="99" t="n">
        <v>43826</v>
      </c>
      <c r="K614" s="100" t="n">
        <v>-94059.56</v>
      </c>
      <c r="L614" s="100" t="n">
        <f aca="false">K614-Q614+T614</f>
        <v>-81086.58</v>
      </c>
      <c r="M614" s="98" t="s">
        <v>149</v>
      </c>
      <c r="N614" s="100" t="n">
        <v>-94059.56</v>
      </c>
      <c r="O614" s="98" t="s">
        <v>149</v>
      </c>
      <c r="P614" s="100" t="n">
        <v>-95681.56</v>
      </c>
      <c r="Q614" s="100" t="n">
        <v>-14595.59</v>
      </c>
      <c r="R614" s="100" t="n">
        <v>-79463.97</v>
      </c>
      <c r="S614" s="100" t="n">
        <v>-81086.58</v>
      </c>
      <c r="T614" s="100" t="n">
        <v>-1622.61</v>
      </c>
      <c r="U614" s="98" t="s">
        <v>150</v>
      </c>
      <c r="V614" s="98" t="s">
        <v>151</v>
      </c>
      <c r="Y614" s="98" t="s">
        <v>1805</v>
      </c>
      <c r="Z614" s="98" t="s">
        <v>1806</v>
      </c>
      <c r="AB614" s="98" t="s">
        <v>1805</v>
      </c>
      <c r="AD614" s="98" t="s">
        <v>155</v>
      </c>
      <c r="AE614" s="98" t="s">
        <v>156</v>
      </c>
      <c r="AF614" s="98" t="s">
        <v>747</v>
      </c>
      <c r="AG614" s="98" t="s">
        <v>748</v>
      </c>
      <c r="AH614" s="98" t="s">
        <v>971</v>
      </c>
      <c r="AI614" s="98" t="s">
        <v>971</v>
      </c>
      <c r="AJ614" s="98" t="s">
        <v>972</v>
      </c>
      <c r="AK614" s="98" t="s">
        <v>159</v>
      </c>
      <c r="AL614" s="98" t="s">
        <v>224</v>
      </c>
      <c r="AM614" s="98" t="s">
        <v>225</v>
      </c>
      <c r="AP614" s="98" t="s">
        <v>628</v>
      </c>
      <c r="AQ614" s="98" t="s">
        <v>623</v>
      </c>
      <c r="AR614" s="98" t="s">
        <v>1450</v>
      </c>
      <c r="AS614" s="98" t="s">
        <v>1807</v>
      </c>
      <c r="AT614" s="100" t="n">
        <v>0</v>
      </c>
      <c r="AU614" s="100" t="n">
        <v>-94059.56</v>
      </c>
      <c r="AX614" s="98" t="s">
        <v>148</v>
      </c>
      <c r="AMH614" s="0"/>
      <c r="AMI614" s="0"/>
      <c r="AMJ614" s="0"/>
    </row>
    <row r="615" s="98" customFormat="true" ht="13.8" hidden="false" customHeight="false" outlineLevel="0" collapsed="false">
      <c r="A615" s="98" t="s">
        <v>142</v>
      </c>
      <c r="B615" s="98" t="s">
        <v>143</v>
      </c>
      <c r="C615" s="98" t="n">
        <v>51730598</v>
      </c>
      <c r="D615" s="98" t="s">
        <v>1808</v>
      </c>
      <c r="E615" s="98" t="s">
        <v>725</v>
      </c>
      <c r="F615" s="98" t="s">
        <v>167</v>
      </c>
      <c r="G615" s="98" t="s">
        <v>147</v>
      </c>
      <c r="H615" s="98" t="s">
        <v>213</v>
      </c>
      <c r="I615" s="104" t="n">
        <v>43749</v>
      </c>
      <c r="J615" s="99" t="n">
        <v>43896</v>
      </c>
      <c r="K615" s="100" t="n">
        <v>-974445.29</v>
      </c>
      <c r="L615" s="100" t="n">
        <f aca="false">K615-Q615+T615</f>
        <v>-825801.12</v>
      </c>
      <c r="M615" s="98" t="s">
        <v>149</v>
      </c>
      <c r="N615" s="100" t="n">
        <v>-974445.29</v>
      </c>
      <c r="O615" s="98" t="s">
        <v>149</v>
      </c>
      <c r="P615" s="100" t="n">
        <v>-974445.29</v>
      </c>
      <c r="Q615" s="106" t="n">
        <v>-148644.17</v>
      </c>
      <c r="R615" s="100" t="n">
        <v>-974445.29</v>
      </c>
      <c r="S615" s="100" t="n">
        <v>0</v>
      </c>
      <c r="T615" s="100" t="n">
        <v>0</v>
      </c>
      <c r="U615" s="98" t="s">
        <v>150</v>
      </c>
      <c r="V615" s="98" t="s">
        <v>151</v>
      </c>
      <c r="Y615" s="98" t="s">
        <v>1809</v>
      </c>
      <c r="Z615" s="98" t="s">
        <v>1810</v>
      </c>
      <c r="AB615" s="98" t="s">
        <v>1809</v>
      </c>
      <c r="AD615" s="98" t="s">
        <v>155</v>
      </c>
      <c r="AE615" s="98" t="s">
        <v>156</v>
      </c>
      <c r="AF615" s="98" t="s">
        <v>728</v>
      </c>
      <c r="AG615" s="98" t="s">
        <v>729</v>
      </c>
      <c r="AH615" s="98" t="s">
        <v>730</v>
      </c>
      <c r="AI615" s="98" t="s">
        <v>730</v>
      </c>
      <c r="AJ615" s="98" t="s">
        <v>731</v>
      </c>
      <c r="AK615" s="98" t="s">
        <v>159</v>
      </c>
      <c r="AL615" s="98" t="s">
        <v>224</v>
      </c>
      <c r="AM615" s="98" t="s">
        <v>225</v>
      </c>
      <c r="AP615" s="98" t="s">
        <v>717</v>
      </c>
      <c r="AQ615" s="98" t="s">
        <v>715</v>
      </c>
      <c r="AR615" s="98" t="s">
        <v>1811</v>
      </c>
      <c r="AS615" s="98" t="s">
        <v>1812</v>
      </c>
      <c r="AT615" s="100" t="n">
        <v>0</v>
      </c>
      <c r="AU615" s="100" t="n">
        <v>-974445.29</v>
      </c>
      <c r="AX615" s="98" t="s">
        <v>165</v>
      </c>
      <c r="AMH615" s="0"/>
      <c r="AMI615" s="0"/>
      <c r="AMJ615" s="0"/>
    </row>
    <row r="616" s="98" customFormat="true" ht="13.8" hidden="false" customHeight="false" outlineLevel="0" collapsed="false">
      <c r="A616" s="98" t="s">
        <v>142</v>
      </c>
      <c r="B616" s="98" t="s">
        <v>143</v>
      </c>
      <c r="C616" s="98" t="n">
        <v>51730632</v>
      </c>
      <c r="D616" s="98" t="s">
        <v>1813</v>
      </c>
      <c r="E616" s="98" t="s">
        <v>725</v>
      </c>
      <c r="F616" s="98" t="s">
        <v>167</v>
      </c>
      <c r="G616" s="98" t="s">
        <v>147</v>
      </c>
      <c r="H616" s="98" t="s">
        <v>213</v>
      </c>
      <c r="I616" s="104" t="n">
        <v>43749</v>
      </c>
      <c r="J616" s="99" t="n">
        <v>43896</v>
      </c>
      <c r="K616" s="100" t="n">
        <v>-4248</v>
      </c>
      <c r="L616" s="100" t="n">
        <f aca="false">K616-Q616+T616</f>
        <v>-3600</v>
      </c>
      <c r="M616" s="98" t="s">
        <v>149</v>
      </c>
      <c r="N616" s="100" t="n">
        <v>-4248</v>
      </c>
      <c r="O616" s="98" t="s">
        <v>149</v>
      </c>
      <c r="P616" s="100" t="n">
        <v>-4248</v>
      </c>
      <c r="Q616" s="100" t="n">
        <v>-648</v>
      </c>
      <c r="R616" s="100" t="n">
        <v>-4248</v>
      </c>
      <c r="S616" s="100" t="n">
        <v>0</v>
      </c>
      <c r="T616" s="100" t="n">
        <v>0</v>
      </c>
      <c r="U616" s="98" t="s">
        <v>150</v>
      </c>
      <c r="V616" s="98" t="s">
        <v>151</v>
      </c>
      <c r="Y616" s="98" t="s">
        <v>1809</v>
      </c>
      <c r="Z616" s="98" t="s">
        <v>1814</v>
      </c>
      <c r="AB616" s="98" t="s">
        <v>1809</v>
      </c>
      <c r="AD616" s="98" t="s">
        <v>155</v>
      </c>
      <c r="AE616" s="98" t="s">
        <v>156</v>
      </c>
      <c r="AF616" s="98" t="s">
        <v>728</v>
      </c>
      <c r="AG616" s="98" t="s">
        <v>729</v>
      </c>
      <c r="AH616" s="98" t="s">
        <v>730</v>
      </c>
      <c r="AI616" s="98" t="s">
        <v>730</v>
      </c>
      <c r="AJ616" s="98" t="s">
        <v>731</v>
      </c>
      <c r="AK616" s="98" t="s">
        <v>159</v>
      </c>
      <c r="AL616" s="98" t="s">
        <v>224</v>
      </c>
      <c r="AM616" s="98" t="s">
        <v>225</v>
      </c>
      <c r="AP616" s="98" t="s">
        <v>717</v>
      </c>
      <c r="AQ616" s="98" t="s">
        <v>715</v>
      </c>
      <c r="AR616" s="98" t="s">
        <v>1811</v>
      </c>
      <c r="AS616" s="98" t="s">
        <v>1815</v>
      </c>
      <c r="AT616" s="100" t="n">
        <v>0</v>
      </c>
      <c r="AU616" s="100" t="n">
        <v>-4248</v>
      </c>
      <c r="AX616" s="98" t="s">
        <v>165</v>
      </c>
      <c r="AMH616" s="0"/>
      <c r="AMI616" s="0"/>
      <c r="AMJ616" s="0"/>
    </row>
    <row r="617" s="98" customFormat="true" ht="13.8" hidden="false" customHeight="false" outlineLevel="0" collapsed="false">
      <c r="A617" s="98" t="s">
        <v>142</v>
      </c>
      <c r="B617" s="98" t="s">
        <v>143</v>
      </c>
      <c r="C617" s="98" t="n">
        <v>51730640</v>
      </c>
      <c r="D617" s="98" t="s">
        <v>1816</v>
      </c>
      <c r="E617" s="98" t="s">
        <v>725</v>
      </c>
      <c r="F617" s="98" t="s">
        <v>167</v>
      </c>
      <c r="G617" s="98" t="s">
        <v>147</v>
      </c>
      <c r="H617" s="98" t="s">
        <v>213</v>
      </c>
      <c r="I617" s="104" t="n">
        <v>43749</v>
      </c>
      <c r="J617" s="99" t="n">
        <v>43896</v>
      </c>
      <c r="K617" s="100" t="n">
        <v>-227105.4</v>
      </c>
      <c r="L617" s="100" t="n">
        <f aca="false">K617-Q617+T617</f>
        <v>-192462.13</v>
      </c>
      <c r="M617" s="98" t="s">
        <v>149</v>
      </c>
      <c r="N617" s="100" t="n">
        <v>-227105.4</v>
      </c>
      <c r="O617" s="98" t="s">
        <v>149</v>
      </c>
      <c r="P617" s="100" t="n">
        <v>-227105.4</v>
      </c>
      <c r="Q617" s="100" t="n">
        <v>-34643.27</v>
      </c>
      <c r="R617" s="100" t="n">
        <v>-227105.4</v>
      </c>
      <c r="S617" s="100" t="n">
        <v>0</v>
      </c>
      <c r="T617" s="100" t="n">
        <v>0</v>
      </c>
      <c r="U617" s="98" t="s">
        <v>150</v>
      </c>
      <c r="V617" s="98" t="s">
        <v>151</v>
      </c>
      <c r="Y617" s="98" t="s">
        <v>1809</v>
      </c>
      <c r="Z617" s="98" t="s">
        <v>1817</v>
      </c>
      <c r="AB617" s="98" t="s">
        <v>1809</v>
      </c>
      <c r="AD617" s="98" t="s">
        <v>155</v>
      </c>
      <c r="AE617" s="98" t="s">
        <v>156</v>
      </c>
      <c r="AF617" s="98" t="s">
        <v>728</v>
      </c>
      <c r="AG617" s="98" t="s">
        <v>729</v>
      </c>
      <c r="AH617" s="98" t="s">
        <v>730</v>
      </c>
      <c r="AI617" s="98" t="s">
        <v>730</v>
      </c>
      <c r="AJ617" s="98" t="s">
        <v>731</v>
      </c>
      <c r="AK617" s="98" t="s">
        <v>159</v>
      </c>
      <c r="AL617" s="98" t="s">
        <v>224</v>
      </c>
      <c r="AM617" s="98" t="s">
        <v>225</v>
      </c>
      <c r="AP617" s="98" t="s">
        <v>717</v>
      </c>
      <c r="AQ617" s="98" t="s">
        <v>715</v>
      </c>
      <c r="AR617" s="98" t="s">
        <v>1811</v>
      </c>
      <c r="AS617" s="98" t="s">
        <v>1818</v>
      </c>
      <c r="AT617" s="100" t="n">
        <v>0</v>
      </c>
      <c r="AU617" s="100" t="n">
        <v>-227105.4</v>
      </c>
      <c r="AX617" s="98" t="s">
        <v>165</v>
      </c>
      <c r="AMH617" s="0"/>
      <c r="AMI617" s="0"/>
      <c r="AMJ617" s="0"/>
    </row>
    <row r="618" s="98" customFormat="true" ht="13.8" hidden="false" customHeight="false" outlineLevel="0" collapsed="false">
      <c r="A618" s="98" t="s">
        <v>142</v>
      </c>
      <c r="B618" s="98" t="s">
        <v>143</v>
      </c>
      <c r="C618" s="98" t="n">
        <v>51730646</v>
      </c>
      <c r="D618" s="98" t="s">
        <v>1819</v>
      </c>
      <c r="E618" s="98" t="s">
        <v>725</v>
      </c>
      <c r="F618" s="98" t="s">
        <v>167</v>
      </c>
      <c r="G618" s="98" t="s">
        <v>147</v>
      </c>
      <c r="H618" s="98" t="s">
        <v>213</v>
      </c>
      <c r="I618" s="104" t="n">
        <v>43749</v>
      </c>
      <c r="J618" s="99" t="n">
        <v>43896</v>
      </c>
      <c r="K618" s="100" t="n">
        <v>-83260.8</v>
      </c>
      <c r="L618" s="100" t="n">
        <f aca="false">K618-Q618+T618</f>
        <v>-70560</v>
      </c>
      <c r="M618" s="98" t="s">
        <v>149</v>
      </c>
      <c r="N618" s="100" t="n">
        <v>-83260.8</v>
      </c>
      <c r="O618" s="98" t="s">
        <v>149</v>
      </c>
      <c r="P618" s="100" t="n">
        <v>-83260.8</v>
      </c>
      <c r="Q618" s="100" t="n">
        <v>-12700.8</v>
      </c>
      <c r="R618" s="100" t="n">
        <v>-83260.8</v>
      </c>
      <c r="S618" s="100" t="n">
        <v>0</v>
      </c>
      <c r="T618" s="100" t="n">
        <v>0</v>
      </c>
      <c r="U618" s="98" t="s">
        <v>150</v>
      </c>
      <c r="V618" s="98" t="s">
        <v>151</v>
      </c>
      <c r="Y618" s="98" t="s">
        <v>1809</v>
      </c>
      <c r="Z618" s="98" t="s">
        <v>1820</v>
      </c>
      <c r="AB618" s="98" t="s">
        <v>1809</v>
      </c>
      <c r="AD618" s="98" t="s">
        <v>155</v>
      </c>
      <c r="AE618" s="98" t="s">
        <v>156</v>
      </c>
      <c r="AF618" s="98" t="s">
        <v>728</v>
      </c>
      <c r="AG618" s="98" t="s">
        <v>729</v>
      </c>
      <c r="AH618" s="98" t="s">
        <v>730</v>
      </c>
      <c r="AI618" s="98" t="s">
        <v>730</v>
      </c>
      <c r="AJ618" s="98" t="s">
        <v>731</v>
      </c>
      <c r="AK618" s="98" t="s">
        <v>159</v>
      </c>
      <c r="AL618" s="98" t="s">
        <v>224</v>
      </c>
      <c r="AM618" s="98" t="s">
        <v>225</v>
      </c>
      <c r="AP618" s="98" t="s">
        <v>717</v>
      </c>
      <c r="AQ618" s="98" t="s">
        <v>715</v>
      </c>
      <c r="AR618" s="98" t="s">
        <v>1811</v>
      </c>
      <c r="AS618" s="98" t="s">
        <v>1821</v>
      </c>
      <c r="AT618" s="100" t="n">
        <v>0</v>
      </c>
      <c r="AU618" s="100" t="n">
        <v>-83260.8</v>
      </c>
      <c r="AX618" s="98" t="s">
        <v>165</v>
      </c>
      <c r="AMH618" s="0"/>
      <c r="AMI618" s="0"/>
      <c r="AMJ618" s="0"/>
    </row>
    <row r="619" s="98" customFormat="true" ht="13.8" hidden="false" customHeight="false" outlineLevel="0" collapsed="false">
      <c r="A619" s="98" t="s">
        <v>142</v>
      </c>
      <c r="B619" s="98" t="s">
        <v>143</v>
      </c>
      <c r="C619" s="98" t="n">
        <v>51730953</v>
      </c>
      <c r="D619" s="98" t="s">
        <v>1822</v>
      </c>
      <c r="E619" s="98" t="s">
        <v>725</v>
      </c>
      <c r="F619" s="98" t="s">
        <v>167</v>
      </c>
      <c r="G619" s="98" t="s">
        <v>147</v>
      </c>
      <c r="H619" s="98" t="s">
        <v>213</v>
      </c>
      <c r="I619" s="104" t="n">
        <v>43749</v>
      </c>
      <c r="J619" s="99" t="n">
        <v>43896</v>
      </c>
      <c r="K619" s="100" t="n">
        <v>-142650.2</v>
      </c>
      <c r="L619" s="100" t="n">
        <f aca="false">K619-Q619+T619</f>
        <v>-120890.1</v>
      </c>
      <c r="M619" s="98" t="s">
        <v>149</v>
      </c>
      <c r="N619" s="100" t="n">
        <v>-142650.2</v>
      </c>
      <c r="O619" s="98" t="s">
        <v>149</v>
      </c>
      <c r="P619" s="100" t="n">
        <v>-142650.2</v>
      </c>
      <c r="Q619" s="100" t="n">
        <v>-21760.1</v>
      </c>
      <c r="R619" s="100" t="n">
        <v>-142650.2</v>
      </c>
      <c r="S619" s="100" t="n">
        <v>0</v>
      </c>
      <c r="T619" s="100" t="n">
        <v>0</v>
      </c>
      <c r="U619" s="98" t="s">
        <v>150</v>
      </c>
      <c r="V619" s="98" t="s">
        <v>151</v>
      </c>
      <c r="Y619" s="98" t="s">
        <v>1809</v>
      </c>
      <c r="Z619" s="98" t="s">
        <v>1823</v>
      </c>
      <c r="AB619" s="98" t="s">
        <v>1809</v>
      </c>
      <c r="AD619" s="98" t="s">
        <v>155</v>
      </c>
      <c r="AE619" s="98" t="s">
        <v>156</v>
      </c>
      <c r="AF619" s="98" t="s">
        <v>728</v>
      </c>
      <c r="AG619" s="98" t="s">
        <v>729</v>
      </c>
      <c r="AH619" s="98" t="s">
        <v>730</v>
      </c>
      <c r="AI619" s="98" t="s">
        <v>730</v>
      </c>
      <c r="AJ619" s="98" t="s">
        <v>731</v>
      </c>
      <c r="AK619" s="98" t="s">
        <v>159</v>
      </c>
      <c r="AL619" s="98" t="s">
        <v>224</v>
      </c>
      <c r="AM619" s="98" t="s">
        <v>225</v>
      </c>
      <c r="AP619" s="98" t="s">
        <v>717</v>
      </c>
      <c r="AQ619" s="98" t="s">
        <v>715</v>
      </c>
      <c r="AR619" s="98" t="s">
        <v>1811</v>
      </c>
      <c r="AS619" s="98" t="s">
        <v>1824</v>
      </c>
      <c r="AT619" s="100" t="n">
        <v>0</v>
      </c>
      <c r="AU619" s="100" t="n">
        <v>-142650.2</v>
      </c>
      <c r="AX619" s="98" t="s">
        <v>165</v>
      </c>
      <c r="AMH619" s="0"/>
      <c r="AMI619" s="0"/>
      <c r="AMJ619" s="0"/>
    </row>
    <row r="620" s="98" customFormat="true" ht="13.8" hidden="false" customHeight="false" outlineLevel="0" collapsed="false">
      <c r="A620" s="98" t="s">
        <v>142</v>
      </c>
      <c r="B620" s="98" t="s">
        <v>143</v>
      </c>
      <c r="C620" s="98" t="n">
        <v>51730972</v>
      </c>
      <c r="D620" s="98" t="s">
        <v>1825</v>
      </c>
      <c r="E620" s="98" t="s">
        <v>725</v>
      </c>
      <c r="F620" s="98" t="s">
        <v>167</v>
      </c>
      <c r="G620" s="98" t="s">
        <v>147</v>
      </c>
      <c r="H620" s="98" t="s">
        <v>213</v>
      </c>
      <c r="I620" s="104" t="n">
        <v>43749</v>
      </c>
      <c r="J620" s="99" t="n">
        <v>43896</v>
      </c>
      <c r="K620" s="100" t="n">
        <v>-955748.35</v>
      </c>
      <c r="L620" s="100" t="n">
        <f aca="false">K620-Q620+T620</f>
        <v>-809956.23</v>
      </c>
      <c r="M620" s="98" t="s">
        <v>149</v>
      </c>
      <c r="N620" s="100" t="n">
        <v>-955748.35</v>
      </c>
      <c r="O620" s="98" t="s">
        <v>149</v>
      </c>
      <c r="P620" s="100" t="n">
        <v>-955748.35</v>
      </c>
      <c r="Q620" s="100" t="n">
        <v>-145792.12</v>
      </c>
      <c r="R620" s="100" t="n">
        <v>-955748.35</v>
      </c>
      <c r="S620" s="100" t="n">
        <v>0</v>
      </c>
      <c r="T620" s="100" t="n">
        <v>0</v>
      </c>
      <c r="U620" s="98" t="s">
        <v>150</v>
      </c>
      <c r="V620" s="98" t="s">
        <v>151</v>
      </c>
      <c r="Y620" s="98" t="s">
        <v>1809</v>
      </c>
      <c r="Z620" s="98" t="s">
        <v>1826</v>
      </c>
      <c r="AB620" s="98" t="s">
        <v>1809</v>
      </c>
      <c r="AD620" s="98" t="s">
        <v>155</v>
      </c>
      <c r="AE620" s="98" t="s">
        <v>156</v>
      </c>
      <c r="AF620" s="98" t="s">
        <v>728</v>
      </c>
      <c r="AG620" s="98" t="s">
        <v>729</v>
      </c>
      <c r="AH620" s="98" t="s">
        <v>730</v>
      </c>
      <c r="AI620" s="98" t="s">
        <v>730</v>
      </c>
      <c r="AJ620" s="98" t="s">
        <v>731</v>
      </c>
      <c r="AK620" s="98" t="s">
        <v>159</v>
      </c>
      <c r="AL620" s="98" t="s">
        <v>224</v>
      </c>
      <c r="AM620" s="98" t="s">
        <v>225</v>
      </c>
      <c r="AP620" s="98" t="s">
        <v>717</v>
      </c>
      <c r="AQ620" s="98" t="s">
        <v>715</v>
      </c>
      <c r="AR620" s="98" t="s">
        <v>1811</v>
      </c>
      <c r="AS620" s="98" t="s">
        <v>1827</v>
      </c>
      <c r="AT620" s="100" t="n">
        <v>0</v>
      </c>
      <c r="AU620" s="100" t="n">
        <v>-955748.35</v>
      </c>
      <c r="AX620" s="98" t="s">
        <v>165</v>
      </c>
      <c r="AMH620" s="0"/>
      <c r="AMI620" s="0"/>
      <c r="AMJ620" s="0"/>
    </row>
    <row r="621" s="98" customFormat="true" ht="13.8" hidden="false" customHeight="false" outlineLevel="0" collapsed="false">
      <c r="A621" s="98" t="s">
        <v>142</v>
      </c>
      <c r="B621" s="98" t="s">
        <v>143</v>
      </c>
      <c r="C621" s="98" t="n">
        <v>51730993</v>
      </c>
      <c r="D621" s="98" t="s">
        <v>1828</v>
      </c>
      <c r="E621" s="98" t="s">
        <v>725</v>
      </c>
      <c r="F621" s="98" t="s">
        <v>167</v>
      </c>
      <c r="G621" s="98" t="s">
        <v>147</v>
      </c>
      <c r="H621" s="98" t="s">
        <v>213</v>
      </c>
      <c r="I621" s="104" t="n">
        <v>43749</v>
      </c>
      <c r="J621" s="99" t="n">
        <v>43896</v>
      </c>
      <c r="K621" s="100" t="n">
        <v>-25488</v>
      </c>
      <c r="L621" s="100" t="n">
        <f aca="false">K621-Q621+T621</f>
        <v>-21600</v>
      </c>
      <c r="M621" s="98" t="s">
        <v>149</v>
      </c>
      <c r="N621" s="100" t="n">
        <v>-25488</v>
      </c>
      <c r="O621" s="98" t="s">
        <v>149</v>
      </c>
      <c r="P621" s="100" t="n">
        <v>-25488</v>
      </c>
      <c r="Q621" s="100" t="n">
        <v>-3888</v>
      </c>
      <c r="R621" s="100" t="n">
        <v>-25488</v>
      </c>
      <c r="S621" s="100" t="n">
        <v>0</v>
      </c>
      <c r="T621" s="100" t="n">
        <v>0</v>
      </c>
      <c r="U621" s="98" t="s">
        <v>150</v>
      </c>
      <c r="V621" s="98" t="s">
        <v>151</v>
      </c>
      <c r="Y621" s="98" t="s">
        <v>1809</v>
      </c>
      <c r="Z621" s="98" t="s">
        <v>1829</v>
      </c>
      <c r="AB621" s="98" t="s">
        <v>1809</v>
      </c>
      <c r="AD621" s="98" t="s">
        <v>155</v>
      </c>
      <c r="AE621" s="98" t="s">
        <v>156</v>
      </c>
      <c r="AF621" s="98" t="s">
        <v>728</v>
      </c>
      <c r="AG621" s="98" t="s">
        <v>729</v>
      </c>
      <c r="AH621" s="98" t="s">
        <v>730</v>
      </c>
      <c r="AI621" s="98" t="s">
        <v>730</v>
      </c>
      <c r="AJ621" s="98" t="s">
        <v>731</v>
      </c>
      <c r="AK621" s="98" t="s">
        <v>159</v>
      </c>
      <c r="AL621" s="98" t="s">
        <v>224</v>
      </c>
      <c r="AM621" s="98" t="s">
        <v>225</v>
      </c>
      <c r="AP621" s="98" t="s">
        <v>717</v>
      </c>
      <c r="AQ621" s="98" t="s">
        <v>715</v>
      </c>
      <c r="AR621" s="98" t="s">
        <v>1811</v>
      </c>
      <c r="AS621" s="98" t="s">
        <v>1830</v>
      </c>
      <c r="AT621" s="100" t="n">
        <v>0</v>
      </c>
      <c r="AU621" s="100" t="n">
        <v>-25488</v>
      </c>
      <c r="AX621" s="98" t="s">
        <v>165</v>
      </c>
      <c r="AMH621" s="0"/>
      <c r="AMI621" s="0"/>
      <c r="AMJ621" s="0"/>
    </row>
    <row r="622" s="98" customFormat="true" ht="13.8" hidden="false" customHeight="false" outlineLevel="0" collapsed="false">
      <c r="A622" s="98" t="s">
        <v>142</v>
      </c>
      <c r="B622" s="98" t="s">
        <v>143</v>
      </c>
      <c r="C622" s="98" t="n">
        <v>51730999</v>
      </c>
      <c r="D622" s="98" t="s">
        <v>1831</v>
      </c>
      <c r="E622" s="98" t="s">
        <v>725</v>
      </c>
      <c r="F622" s="98" t="s">
        <v>167</v>
      </c>
      <c r="G622" s="98" t="s">
        <v>147</v>
      </c>
      <c r="H622" s="98" t="s">
        <v>213</v>
      </c>
      <c r="I622" s="104" t="n">
        <v>43749</v>
      </c>
      <c r="J622" s="99" t="n">
        <v>43896</v>
      </c>
      <c r="K622" s="100" t="n">
        <v>-35683.2</v>
      </c>
      <c r="L622" s="100" t="n">
        <f aca="false">K622-Q622+T622</f>
        <v>-30240</v>
      </c>
      <c r="M622" s="98" t="s">
        <v>149</v>
      </c>
      <c r="N622" s="100" t="n">
        <v>-35683.2</v>
      </c>
      <c r="O622" s="98" t="s">
        <v>149</v>
      </c>
      <c r="P622" s="100" t="n">
        <v>-35683.2</v>
      </c>
      <c r="Q622" s="100" t="n">
        <v>-5443.2</v>
      </c>
      <c r="R622" s="100" t="n">
        <v>-35683.2</v>
      </c>
      <c r="S622" s="100" t="n">
        <v>0</v>
      </c>
      <c r="T622" s="100" t="n">
        <v>0</v>
      </c>
      <c r="U622" s="98" t="s">
        <v>150</v>
      </c>
      <c r="V622" s="98" t="s">
        <v>151</v>
      </c>
      <c r="Y622" s="98" t="s">
        <v>1809</v>
      </c>
      <c r="Z622" s="98" t="s">
        <v>1832</v>
      </c>
      <c r="AB622" s="98" t="s">
        <v>1809</v>
      </c>
      <c r="AD622" s="98" t="s">
        <v>155</v>
      </c>
      <c r="AE622" s="98" t="s">
        <v>156</v>
      </c>
      <c r="AF622" s="98" t="s">
        <v>728</v>
      </c>
      <c r="AG622" s="98" t="s">
        <v>729</v>
      </c>
      <c r="AH622" s="98" t="s">
        <v>730</v>
      </c>
      <c r="AI622" s="98" t="s">
        <v>730</v>
      </c>
      <c r="AJ622" s="98" t="s">
        <v>731</v>
      </c>
      <c r="AK622" s="98" t="s">
        <v>159</v>
      </c>
      <c r="AL622" s="98" t="s">
        <v>224</v>
      </c>
      <c r="AM622" s="98" t="s">
        <v>225</v>
      </c>
      <c r="AP622" s="98" t="s">
        <v>717</v>
      </c>
      <c r="AQ622" s="98" t="s">
        <v>715</v>
      </c>
      <c r="AR622" s="98" t="s">
        <v>1811</v>
      </c>
      <c r="AS622" s="98" t="s">
        <v>1476</v>
      </c>
      <c r="AT622" s="100" t="n">
        <v>0</v>
      </c>
      <c r="AU622" s="100" t="n">
        <v>-35683.2</v>
      </c>
      <c r="AX622" s="98" t="s">
        <v>165</v>
      </c>
      <c r="AMH622" s="0"/>
      <c r="AMI622" s="0"/>
      <c r="AMJ622" s="0"/>
    </row>
    <row r="623" s="98" customFormat="true" ht="13.8" hidden="false" customHeight="false" outlineLevel="0" collapsed="false">
      <c r="A623" s="98" t="s">
        <v>142</v>
      </c>
      <c r="B623" s="98" t="s">
        <v>143</v>
      </c>
      <c r="C623" s="98" t="n">
        <v>51731011</v>
      </c>
      <c r="D623" s="98" t="s">
        <v>1833</v>
      </c>
      <c r="E623" s="98" t="s">
        <v>725</v>
      </c>
      <c r="F623" s="98" t="s">
        <v>167</v>
      </c>
      <c r="G623" s="98" t="s">
        <v>147</v>
      </c>
      <c r="H623" s="98" t="s">
        <v>213</v>
      </c>
      <c r="I623" s="104" t="n">
        <v>43749</v>
      </c>
      <c r="J623" s="99" t="n">
        <v>43896</v>
      </c>
      <c r="K623" s="100" t="n">
        <v>-30396.8</v>
      </c>
      <c r="L623" s="100" t="n">
        <f aca="false">K623-Q623+T623</f>
        <v>-25760</v>
      </c>
      <c r="M623" s="98" t="s">
        <v>149</v>
      </c>
      <c r="N623" s="100" t="n">
        <v>-30396.8</v>
      </c>
      <c r="O623" s="98" t="s">
        <v>149</v>
      </c>
      <c r="P623" s="100" t="n">
        <v>-30396.8</v>
      </c>
      <c r="Q623" s="100" t="n">
        <v>-4636.8</v>
      </c>
      <c r="R623" s="100" t="n">
        <v>-30396.8</v>
      </c>
      <c r="S623" s="100" t="n">
        <v>0</v>
      </c>
      <c r="T623" s="100" t="n">
        <v>0</v>
      </c>
      <c r="U623" s="98" t="s">
        <v>150</v>
      </c>
      <c r="V623" s="98" t="s">
        <v>151</v>
      </c>
      <c r="Y623" s="98" t="s">
        <v>1809</v>
      </c>
      <c r="Z623" s="98" t="s">
        <v>1834</v>
      </c>
      <c r="AB623" s="98" t="s">
        <v>1809</v>
      </c>
      <c r="AD623" s="98" t="s">
        <v>155</v>
      </c>
      <c r="AE623" s="98" t="s">
        <v>156</v>
      </c>
      <c r="AF623" s="98" t="s">
        <v>728</v>
      </c>
      <c r="AG623" s="98" t="s">
        <v>729</v>
      </c>
      <c r="AH623" s="98" t="s">
        <v>730</v>
      </c>
      <c r="AI623" s="98" t="s">
        <v>730</v>
      </c>
      <c r="AJ623" s="98" t="s">
        <v>731</v>
      </c>
      <c r="AK623" s="98" t="s">
        <v>159</v>
      </c>
      <c r="AL623" s="98" t="s">
        <v>224</v>
      </c>
      <c r="AM623" s="98" t="s">
        <v>225</v>
      </c>
      <c r="AP623" s="98" t="s">
        <v>717</v>
      </c>
      <c r="AQ623" s="98" t="s">
        <v>715</v>
      </c>
      <c r="AR623" s="98" t="s">
        <v>1811</v>
      </c>
      <c r="AS623" s="98" t="s">
        <v>1835</v>
      </c>
      <c r="AT623" s="100" t="n">
        <v>0</v>
      </c>
      <c r="AU623" s="100" t="n">
        <v>-30396.8</v>
      </c>
      <c r="AX623" s="98" t="s">
        <v>165</v>
      </c>
      <c r="AMH623" s="0"/>
      <c r="AMI623" s="0"/>
      <c r="AMJ623" s="0"/>
    </row>
    <row r="624" s="98" customFormat="true" ht="13.8" hidden="false" customHeight="false" outlineLevel="0" collapsed="false">
      <c r="A624" s="98" t="s">
        <v>142</v>
      </c>
      <c r="B624" s="98" t="s">
        <v>143</v>
      </c>
      <c r="C624" s="98" t="n">
        <v>51731020</v>
      </c>
      <c r="D624" s="98" t="s">
        <v>1836</v>
      </c>
      <c r="E624" s="98" t="s">
        <v>725</v>
      </c>
      <c r="F624" s="98" t="s">
        <v>167</v>
      </c>
      <c r="G624" s="98" t="s">
        <v>147</v>
      </c>
      <c r="H624" s="98" t="s">
        <v>213</v>
      </c>
      <c r="I624" s="104" t="n">
        <v>43749</v>
      </c>
      <c r="J624" s="99" t="n">
        <v>43896</v>
      </c>
      <c r="K624" s="100" t="n">
        <v>-841923.76</v>
      </c>
      <c r="L624" s="100" t="n">
        <f aca="false">K624-Q624+T624</f>
        <v>-713494.7</v>
      </c>
      <c r="M624" s="98" t="s">
        <v>149</v>
      </c>
      <c r="N624" s="100" t="n">
        <v>-841923.76</v>
      </c>
      <c r="O624" s="98" t="s">
        <v>149</v>
      </c>
      <c r="P624" s="100" t="n">
        <v>-841923.76</v>
      </c>
      <c r="Q624" s="100" t="n">
        <v>-128429.06</v>
      </c>
      <c r="R624" s="100" t="n">
        <v>-841923.76</v>
      </c>
      <c r="S624" s="100" t="n">
        <v>0</v>
      </c>
      <c r="T624" s="100" t="n">
        <v>0</v>
      </c>
      <c r="U624" s="98" t="s">
        <v>150</v>
      </c>
      <c r="V624" s="98" t="s">
        <v>151</v>
      </c>
      <c r="Y624" s="98" t="s">
        <v>1809</v>
      </c>
      <c r="Z624" s="98" t="s">
        <v>1837</v>
      </c>
      <c r="AB624" s="98" t="s">
        <v>1809</v>
      </c>
      <c r="AD624" s="98" t="s">
        <v>155</v>
      </c>
      <c r="AE624" s="98" t="s">
        <v>156</v>
      </c>
      <c r="AF624" s="98" t="s">
        <v>728</v>
      </c>
      <c r="AG624" s="98" t="s">
        <v>729</v>
      </c>
      <c r="AH624" s="98" t="s">
        <v>730</v>
      </c>
      <c r="AI624" s="98" t="s">
        <v>730</v>
      </c>
      <c r="AJ624" s="98" t="s">
        <v>731</v>
      </c>
      <c r="AK624" s="98" t="s">
        <v>159</v>
      </c>
      <c r="AL624" s="98" t="s">
        <v>224</v>
      </c>
      <c r="AM624" s="98" t="s">
        <v>225</v>
      </c>
      <c r="AP624" s="98" t="s">
        <v>717</v>
      </c>
      <c r="AQ624" s="98" t="s">
        <v>715</v>
      </c>
      <c r="AR624" s="98" t="s">
        <v>1811</v>
      </c>
      <c r="AS624" s="98" t="s">
        <v>1838</v>
      </c>
      <c r="AT624" s="100" t="n">
        <v>0</v>
      </c>
      <c r="AU624" s="100" t="n">
        <v>-841923.76</v>
      </c>
      <c r="AX624" s="98" t="s">
        <v>165</v>
      </c>
      <c r="AMH624" s="0"/>
      <c r="AMI624" s="0"/>
      <c r="AMJ624" s="0"/>
    </row>
    <row r="625" s="98" customFormat="true" ht="13.8" hidden="false" customHeight="false" outlineLevel="0" collapsed="false">
      <c r="A625" s="98" t="s">
        <v>142</v>
      </c>
      <c r="B625" s="98" t="s">
        <v>143</v>
      </c>
      <c r="C625" s="98" t="n">
        <v>51731035</v>
      </c>
      <c r="D625" s="98" t="s">
        <v>1839</v>
      </c>
      <c r="E625" s="98" t="s">
        <v>725</v>
      </c>
      <c r="F625" s="98" t="s">
        <v>167</v>
      </c>
      <c r="G625" s="98" t="s">
        <v>147</v>
      </c>
      <c r="H625" s="98" t="s">
        <v>213</v>
      </c>
      <c r="I625" s="104" t="n">
        <v>43749</v>
      </c>
      <c r="J625" s="99" t="n">
        <v>43896</v>
      </c>
      <c r="K625" s="100" t="n">
        <v>-93045.38</v>
      </c>
      <c r="L625" s="100" t="n">
        <f aca="false">K625-Q625+T625</f>
        <v>-78852.06</v>
      </c>
      <c r="M625" s="98" t="s">
        <v>149</v>
      </c>
      <c r="N625" s="100" t="n">
        <v>-93045.38</v>
      </c>
      <c r="O625" s="98" t="s">
        <v>149</v>
      </c>
      <c r="P625" s="100" t="n">
        <v>-93045.38</v>
      </c>
      <c r="Q625" s="100" t="n">
        <v>-14193.32</v>
      </c>
      <c r="R625" s="100" t="n">
        <v>-93045.38</v>
      </c>
      <c r="S625" s="100" t="n">
        <v>0</v>
      </c>
      <c r="T625" s="100" t="n">
        <v>0</v>
      </c>
      <c r="U625" s="98" t="s">
        <v>150</v>
      </c>
      <c r="V625" s="98" t="s">
        <v>151</v>
      </c>
      <c r="Y625" s="98" t="s">
        <v>1809</v>
      </c>
      <c r="Z625" s="98" t="s">
        <v>1840</v>
      </c>
      <c r="AB625" s="98" t="s">
        <v>1809</v>
      </c>
      <c r="AD625" s="98" t="s">
        <v>155</v>
      </c>
      <c r="AE625" s="98" t="s">
        <v>156</v>
      </c>
      <c r="AF625" s="98" t="s">
        <v>728</v>
      </c>
      <c r="AG625" s="98" t="s">
        <v>729</v>
      </c>
      <c r="AH625" s="98" t="s">
        <v>730</v>
      </c>
      <c r="AI625" s="98" t="s">
        <v>730</v>
      </c>
      <c r="AJ625" s="98" t="s">
        <v>731</v>
      </c>
      <c r="AK625" s="98" t="s">
        <v>159</v>
      </c>
      <c r="AL625" s="98" t="s">
        <v>224</v>
      </c>
      <c r="AM625" s="98" t="s">
        <v>225</v>
      </c>
      <c r="AP625" s="98" t="s">
        <v>717</v>
      </c>
      <c r="AQ625" s="98" t="s">
        <v>715</v>
      </c>
      <c r="AR625" s="98" t="s">
        <v>1811</v>
      </c>
      <c r="AS625" s="98" t="s">
        <v>1841</v>
      </c>
      <c r="AT625" s="100" t="n">
        <v>0</v>
      </c>
      <c r="AU625" s="100" t="n">
        <v>-93045.38</v>
      </c>
      <c r="AX625" s="98" t="s">
        <v>165</v>
      </c>
      <c r="AMH625" s="0"/>
      <c r="AMI625" s="0"/>
      <c r="AMJ625" s="0"/>
    </row>
    <row r="626" s="98" customFormat="true" ht="13.8" hidden="false" customHeight="false" outlineLevel="0" collapsed="false">
      <c r="A626" s="98" t="s">
        <v>142</v>
      </c>
      <c r="B626" s="98" t="s">
        <v>143</v>
      </c>
      <c r="C626" s="98" t="n">
        <v>51731055</v>
      </c>
      <c r="D626" s="98" t="s">
        <v>1842</v>
      </c>
      <c r="E626" s="98" t="s">
        <v>725</v>
      </c>
      <c r="F626" s="98" t="s">
        <v>167</v>
      </c>
      <c r="G626" s="98" t="s">
        <v>147</v>
      </c>
      <c r="H626" s="98" t="s">
        <v>213</v>
      </c>
      <c r="I626" s="104" t="n">
        <v>43749</v>
      </c>
      <c r="J626" s="99" t="n">
        <v>43896</v>
      </c>
      <c r="K626" s="100" t="n">
        <v>-120265.6</v>
      </c>
      <c r="L626" s="100" t="n">
        <f aca="false">K626-Q626+T626</f>
        <v>-101920</v>
      </c>
      <c r="M626" s="98" t="s">
        <v>149</v>
      </c>
      <c r="N626" s="100" t="n">
        <v>-120265.6</v>
      </c>
      <c r="O626" s="98" t="s">
        <v>149</v>
      </c>
      <c r="P626" s="100" t="n">
        <v>-120265.6</v>
      </c>
      <c r="Q626" s="100" t="n">
        <v>-18345.6</v>
      </c>
      <c r="R626" s="100" t="n">
        <v>-120265.6</v>
      </c>
      <c r="S626" s="100" t="n">
        <v>0</v>
      </c>
      <c r="T626" s="100" t="n">
        <v>0</v>
      </c>
      <c r="U626" s="98" t="s">
        <v>150</v>
      </c>
      <c r="V626" s="98" t="s">
        <v>151</v>
      </c>
      <c r="Y626" s="98" t="s">
        <v>1809</v>
      </c>
      <c r="Z626" s="98" t="s">
        <v>1843</v>
      </c>
      <c r="AB626" s="98" t="s">
        <v>1809</v>
      </c>
      <c r="AD626" s="98" t="s">
        <v>155</v>
      </c>
      <c r="AE626" s="98" t="s">
        <v>156</v>
      </c>
      <c r="AF626" s="98" t="s">
        <v>728</v>
      </c>
      <c r="AG626" s="98" t="s">
        <v>729</v>
      </c>
      <c r="AH626" s="98" t="s">
        <v>730</v>
      </c>
      <c r="AI626" s="98" t="s">
        <v>730</v>
      </c>
      <c r="AJ626" s="98" t="s">
        <v>731</v>
      </c>
      <c r="AK626" s="98" t="s">
        <v>159</v>
      </c>
      <c r="AL626" s="98" t="s">
        <v>224</v>
      </c>
      <c r="AM626" s="98" t="s">
        <v>225</v>
      </c>
      <c r="AP626" s="98" t="s">
        <v>717</v>
      </c>
      <c r="AQ626" s="98" t="s">
        <v>715</v>
      </c>
      <c r="AR626" s="98" t="s">
        <v>1811</v>
      </c>
      <c r="AS626" s="98" t="s">
        <v>1844</v>
      </c>
      <c r="AT626" s="100" t="n">
        <v>0</v>
      </c>
      <c r="AU626" s="100" t="n">
        <v>-120265.6</v>
      </c>
      <c r="AX626" s="98" t="s">
        <v>165</v>
      </c>
      <c r="AMH626" s="0"/>
      <c r="AMI626" s="0"/>
      <c r="AMJ626" s="0"/>
    </row>
    <row r="627" s="98" customFormat="true" ht="13.8" hidden="false" customHeight="false" outlineLevel="0" collapsed="false">
      <c r="A627" s="98" t="s">
        <v>142</v>
      </c>
      <c r="B627" s="98" t="s">
        <v>143</v>
      </c>
      <c r="C627" s="98" t="n">
        <v>51731063</v>
      </c>
      <c r="D627" s="98" t="s">
        <v>1845</v>
      </c>
      <c r="E627" s="98" t="s">
        <v>725</v>
      </c>
      <c r="F627" s="98" t="s">
        <v>167</v>
      </c>
      <c r="G627" s="98" t="s">
        <v>147</v>
      </c>
      <c r="H627" s="98" t="s">
        <v>213</v>
      </c>
      <c r="I627" s="104" t="n">
        <v>43749</v>
      </c>
      <c r="J627" s="99" t="n">
        <v>43896</v>
      </c>
      <c r="K627" s="100" t="n">
        <v>-1545361.75</v>
      </c>
      <c r="L627" s="100" t="n">
        <f aca="false">K627-Q627+T627</f>
        <v>-1309628.69</v>
      </c>
      <c r="M627" s="98" t="s">
        <v>149</v>
      </c>
      <c r="N627" s="100" t="n">
        <v>-1545361.75</v>
      </c>
      <c r="O627" s="98" t="s">
        <v>149</v>
      </c>
      <c r="P627" s="100" t="n">
        <v>-1545361.75</v>
      </c>
      <c r="Q627" s="100" t="n">
        <v>-235733.06</v>
      </c>
      <c r="R627" s="100" t="n">
        <v>-1545361.75</v>
      </c>
      <c r="S627" s="100" t="n">
        <v>0</v>
      </c>
      <c r="T627" s="100" t="n">
        <v>0</v>
      </c>
      <c r="U627" s="98" t="s">
        <v>150</v>
      </c>
      <c r="V627" s="98" t="s">
        <v>151</v>
      </c>
      <c r="Y627" s="98" t="s">
        <v>1809</v>
      </c>
      <c r="Z627" s="98" t="s">
        <v>1846</v>
      </c>
      <c r="AB627" s="98" t="s">
        <v>1809</v>
      </c>
      <c r="AD627" s="98" t="s">
        <v>155</v>
      </c>
      <c r="AE627" s="98" t="s">
        <v>156</v>
      </c>
      <c r="AF627" s="98" t="s">
        <v>728</v>
      </c>
      <c r="AG627" s="98" t="s">
        <v>729</v>
      </c>
      <c r="AH627" s="98" t="s">
        <v>730</v>
      </c>
      <c r="AI627" s="98" t="s">
        <v>730</v>
      </c>
      <c r="AJ627" s="98" t="s">
        <v>731</v>
      </c>
      <c r="AK627" s="98" t="s">
        <v>159</v>
      </c>
      <c r="AL627" s="98" t="s">
        <v>224</v>
      </c>
      <c r="AM627" s="98" t="s">
        <v>225</v>
      </c>
      <c r="AP627" s="98" t="s">
        <v>717</v>
      </c>
      <c r="AQ627" s="98" t="s">
        <v>715</v>
      </c>
      <c r="AR627" s="98" t="s">
        <v>1811</v>
      </c>
      <c r="AS627" s="98" t="s">
        <v>1847</v>
      </c>
      <c r="AT627" s="100" t="n">
        <v>0</v>
      </c>
      <c r="AU627" s="100" t="n">
        <v>-1545361.75</v>
      </c>
      <c r="AX627" s="98" t="s">
        <v>165</v>
      </c>
      <c r="AMH627" s="0"/>
      <c r="AMI627" s="0"/>
      <c r="AMJ627" s="0"/>
    </row>
    <row r="628" s="98" customFormat="true" ht="13.8" hidden="false" customHeight="false" outlineLevel="0" collapsed="false">
      <c r="A628" s="98" t="s">
        <v>142</v>
      </c>
      <c r="B628" s="98" t="s">
        <v>143</v>
      </c>
      <c r="C628" s="98" t="n">
        <v>51731142</v>
      </c>
      <c r="D628" s="98" t="s">
        <v>1848</v>
      </c>
      <c r="E628" s="98" t="s">
        <v>725</v>
      </c>
      <c r="F628" s="98" t="s">
        <v>167</v>
      </c>
      <c r="G628" s="98" t="s">
        <v>147</v>
      </c>
      <c r="H628" s="98" t="s">
        <v>213</v>
      </c>
      <c r="I628" s="104" t="n">
        <v>43749</v>
      </c>
      <c r="J628" s="99" t="n">
        <v>43896</v>
      </c>
      <c r="K628" s="100" t="n">
        <v>-1584872.16</v>
      </c>
      <c r="L628" s="100" t="n">
        <f aca="false">K628-Q628+T628</f>
        <v>-1343112</v>
      </c>
      <c r="M628" s="98" t="s">
        <v>149</v>
      </c>
      <c r="N628" s="100" t="n">
        <v>-1584872.16</v>
      </c>
      <c r="O628" s="98" t="s">
        <v>149</v>
      </c>
      <c r="P628" s="100" t="n">
        <v>-1584872.16</v>
      </c>
      <c r="Q628" s="100" t="n">
        <v>-241760.16</v>
      </c>
      <c r="R628" s="100" t="n">
        <v>-1584872.16</v>
      </c>
      <c r="S628" s="100" t="n">
        <v>0</v>
      </c>
      <c r="T628" s="100" t="n">
        <v>0</v>
      </c>
      <c r="U628" s="98" t="s">
        <v>150</v>
      </c>
      <c r="V628" s="98" t="s">
        <v>151</v>
      </c>
      <c r="Y628" s="98" t="s">
        <v>1809</v>
      </c>
      <c r="Z628" s="98" t="s">
        <v>1849</v>
      </c>
      <c r="AB628" s="98" t="s">
        <v>1809</v>
      </c>
      <c r="AD628" s="98" t="s">
        <v>155</v>
      </c>
      <c r="AE628" s="98" t="s">
        <v>156</v>
      </c>
      <c r="AF628" s="98" t="s">
        <v>728</v>
      </c>
      <c r="AG628" s="98" t="s">
        <v>729</v>
      </c>
      <c r="AH628" s="98" t="s">
        <v>730</v>
      </c>
      <c r="AI628" s="98" t="s">
        <v>730</v>
      </c>
      <c r="AJ628" s="98" t="s">
        <v>731</v>
      </c>
      <c r="AK628" s="98" t="s">
        <v>159</v>
      </c>
      <c r="AL628" s="98" t="s">
        <v>224</v>
      </c>
      <c r="AM628" s="98" t="s">
        <v>225</v>
      </c>
      <c r="AP628" s="98" t="s">
        <v>717</v>
      </c>
      <c r="AQ628" s="98" t="s">
        <v>715</v>
      </c>
      <c r="AR628" s="98" t="s">
        <v>1811</v>
      </c>
      <c r="AS628" s="98" t="s">
        <v>1850</v>
      </c>
      <c r="AT628" s="100" t="n">
        <v>0</v>
      </c>
      <c r="AU628" s="100" t="n">
        <v>-1584872.16</v>
      </c>
      <c r="AX628" s="98" t="s">
        <v>165</v>
      </c>
      <c r="AMH628" s="0"/>
      <c r="AMI628" s="0"/>
      <c r="AMJ628" s="0"/>
    </row>
    <row r="629" s="98" customFormat="true" ht="13.8" hidden="false" customHeight="false" outlineLevel="0" collapsed="false">
      <c r="A629" s="98" t="s">
        <v>142</v>
      </c>
      <c r="B629" s="98" t="s">
        <v>143</v>
      </c>
      <c r="C629" s="98" t="n">
        <v>51730546</v>
      </c>
      <c r="D629" s="98" t="s">
        <v>1851</v>
      </c>
      <c r="E629" s="98" t="s">
        <v>725</v>
      </c>
      <c r="F629" s="98" t="s">
        <v>167</v>
      </c>
      <c r="G629" s="98" t="s">
        <v>147</v>
      </c>
      <c r="H629" s="98" t="s">
        <v>213</v>
      </c>
      <c r="I629" s="104" t="n">
        <v>43748</v>
      </c>
      <c r="J629" s="99" t="n">
        <v>43896</v>
      </c>
      <c r="K629" s="100" t="n">
        <v>-2406925.32</v>
      </c>
      <c r="L629" s="100" t="n">
        <f aca="false">K629-Q629+T629</f>
        <v>-2039767.25</v>
      </c>
      <c r="M629" s="98" t="s">
        <v>149</v>
      </c>
      <c r="N629" s="100" t="n">
        <v>-2406925.32</v>
      </c>
      <c r="O629" s="98" t="s">
        <v>149</v>
      </c>
      <c r="P629" s="100" t="n">
        <v>-2406925.32</v>
      </c>
      <c r="Q629" s="106" t="n">
        <v>-367158.07</v>
      </c>
      <c r="R629" s="100" t="n">
        <v>-2406925.32</v>
      </c>
      <c r="S629" s="100" t="n">
        <v>0</v>
      </c>
      <c r="T629" s="100" t="n">
        <v>0</v>
      </c>
      <c r="U629" s="98" t="s">
        <v>150</v>
      </c>
      <c r="V629" s="98" t="s">
        <v>151</v>
      </c>
      <c r="Y629" s="98" t="s">
        <v>1809</v>
      </c>
      <c r="Z629" s="98" t="s">
        <v>1852</v>
      </c>
      <c r="AB629" s="98" t="s">
        <v>1809</v>
      </c>
      <c r="AD629" s="98" t="s">
        <v>155</v>
      </c>
      <c r="AE629" s="98" t="s">
        <v>156</v>
      </c>
      <c r="AF629" s="98" t="s">
        <v>728</v>
      </c>
      <c r="AG629" s="98" t="s">
        <v>729</v>
      </c>
      <c r="AH629" s="98" t="s">
        <v>730</v>
      </c>
      <c r="AI629" s="98" t="s">
        <v>730</v>
      </c>
      <c r="AJ629" s="98" t="s">
        <v>731</v>
      </c>
      <c r="AK629" s="98" t="s">
        <v>159</v>
      </c>
      <c r="AL629" s="98" t="s">
        <v>224</v>
      </c>
      <c r="AM629" s="98" t="s">
        <v>225</v>
      </c>
      <c r="AP629" s="98" t="s">
        <v>717</v>
      </c>
      <c r="AQ629" s="98" t="s">
        <v>715</v>
      </c>
      <c r="AR629" s="98" t="s">
        <v>1811</v>
      </c>
      <c r="AS629" s="98" t="s">
        <v>1853</v>
      </c>
      <c r="AT629" s="100" t="n">
        <v>0</v>
      </c>
      <c r="AU629" s="100" t="n">
        <v>-2406925.32</v>
      </c>
      <c r="AX629" s="98" t="s">
        <v>165</v>
      </c>
      <c r="AMH629" s="0"/>
      <c r="AMI629" s="0"/>
      <c r="AMJ629" s="0"/>
    </row>
    <row r="630" s="98" customFormat="true" ht="13.8" hidden="false" customHeight="false" outlineLevel="0" collapsed="false">
      <c r="A630" s="98" t="s">
        <v>142</v>
      </c>
      <c r="B630" s="98" t="s">
        <v>143</v>
      </c>
      <c r="C630" s="98" t="n">
        <v>51730553</v>
      </c>
      <c r="D630" s="98" t="s">
        <v>1854</v>
      </c>
      <c r="E630" s="98" t="s">
        <v>725</v>
      </c>
      <c r="F630" s="98" t="s">
        <v>167</v>
      </c>
      <c r="G630" s="98" t="s">
        <v>147</v>
      </c>
      <c r="H630" s="98" t="s">
        <v>213</v>
      </c>
      <c r="I630" s="104" t="n">
        <v>43748</v>
      </c>
      <c r="J630" s="99" t="n">
        <v>43896</v>
      </c>
      <c r="K630" s="100" t="n">
        <v>-8496</v>
      </c>
      <c r="L630" s="100" t="n">
        <f aca="false">K630-Q630+T630</f>
        <v>-7200</v>
      </c>
      <c r="M630" s="98" t="s">
        <v>149</v>
      </c>
      <c r="N630" s="100" t="n">
        <v>-8496</v>
      </c>
      <c r="O630" s="98" t="s">
        <v>149</v>
      </c>
      <c r="P630" s="100" t="n">
        <v>-8496</v>
      </c>
      <c r="Q630" s="106" t="n">
        <v>-1296</v>
      </c>
      <c r="R630" s="100" t="n">
        <v>-8496</v>
      </c>
      <c r="S630" s="100" t="n">
        <v>0</v>
      </c>
      <c r="T630" s="100" t="n">
        <v>0</v>
      </c>
      <c r="U630" s="98" t="s">
        <v>150</v>
      </c>
      <c r="V630" s="98" t="s">
        <v>151</v>
      </c>
      <c r="Y630" s="98" t="s">
        <v>1809</v>
      </c>
      <c r="Z630" s="98" t="s">
        <v>1855</v>
      </c>
      <c r="AB630" s="98" t="s">
        <v>1809</v>
      </c>
      <c r="AD630" s="98" t="s">
        <v>155</v>
      </c>
      <c r="AE630" s="98" t="s">
        <v>156</v>
      </c>
      <c r="AF630" s="98" t="s">
        <v>728</v>
      </c>
      <c r="AG630" s="98" t="s">
        <v>729</v>
      </c>
      <c r="AH630" s="98" t="s">
        <v>730</v>
      </c>
      <c r="AI630" s="98" t="s">
        <v>730</v>
      </c>
      <c r="AJ630" s="98" t="s">
        <v>731</v>
      </c>
      <c r="AK630" s="98" t="s">
        <v>159</v>
      </c>
      <c r="AL630" s="98" t="s">
        <v>224</v>
      </c>
      <c r="AM630" s="98" t="s">
        <v>225</v>
      </c>
      <c r="AP630" s="98" t="s">
        <v>717</v>
      </c>
      <c r="AQ630" s="98" t="s">
        <v>715</v>
      </c>
      <c r="AR630" s="98" t="s">
        <v>1811</v>
      </c>
      <c r="AS630" s="98" t="s">
        <v>1856</v>
      </c>
      <c r="AT630" s="100" t="n">
        <v>0</v>
      </c>
      <c r="AU630" s="100" t="n">
        <v>-8496</v>
      </c>
      <c r="AX630" s="98" t="s">
        <v>165</v>
      </c>
      <c r="AMH630" s="0"/>
      <c r="AMI630" s="0"/>
      <c r="AMJ630" s="0"/>
    </row>
    <row r="631" s="98" customFormat="true" ht="13.8" hidden="false" customHeight="false" outlineLevel="0" collapsed="false">
      <c r="A631" s="98" t="s">
        <v>142</v>
      </c>
      <c r="B631" s="98" t="s">
        <v>143</v>
      </c>
      <c r="C631" s="98" t="n">
        <v>51730562</v>
      </c>
      <c r="D631" s="98" t="s">
        <v>1857</v>
      </c>
      <c r="E631" s="98" t="s">
        <v>725</v>
      </c>
      <c r="F631" s="98" t="s">
        <v>167</v>
      </c>
      <c r="G631" s="98" t="s">
        <v>147</v>
      </c>
      <c r="H631" s="98" t="s">
        <v>213</v>
      </c>
      <c r="I631" s="104" t="n">
        <v>43748</v>
      </c>
      <c r="J631" s="99" t="n">
        <v>43896</v>
      </c>
      <c r="K631" s="100" t="n">
        <v>-208812.8</v>
      </c>
      <c r="L631" s="100" t="n">
        <f aca="false">K631-Q631+T631</f>
        <v>-176960</v>
      </c>
      <c r="M631" s="98" t="s">
        <v>149</v>
      </c>
      <c r="N631" s="100" t="n">
        <v>-208812.8</v>
      </c>
      <c r="O631" s="98" t="s">
        <v>149</v>
      </c>
      <c r="P631" s="100" t="n">
        <v>-208812.8</v>
      </c>
      <c r="Q631" s="106" t="n">
        <v>-31852.8</v>
      </c>
      <c r="R631" s="100" t="n">
        <v>-208812.8</v>
      </c>
      <c r="S631" s="100" t="n">
        <v>0</v>
      </c>
      <c r="T631" s="100" t="n">
        <v>0</v>
      </c>
      <c r="U631" s="98" t="s">
        <v>150</v>
      </c>
      <c r="V631" s="98" t="s">
        <v>151</v>
      </c>
      <c r="Y631" s="98" t="s">
        <v>1809</v>
      </c>
      <c r="Z631" s="98" t="s">
        <v>1858</v>
      </c>
      <c r="AB631" s="98" t="s">
        <v>1809</v>
      </c>
      <c r="AD631" s="98" t="s">
        <v>155</v>
      </c>
      <c r="AE631" s="98" t="s">
        <v>156</v>
      </c>
      <c r="AF631" s="98" t="s">
        <v>728</v>
      </c>
      <c r="AG631" s="98" t="s">
        <v>729</v>
      </c>
      <c r="AH631" s="98" t="s">
        <v>730</v>
      </c>
      <c r="AI631" s="98" t="s">
        <v>730</v>
      </c>
      <c r="AJ631" s="98" t="s">
        <v>731</v>
      </c>
      <c r="AK631" s="98" t="s">
        <v>159</v>
      </c>
      <c r="AL631" s="98" t="s">
        <v>224</v>
      </c>
      <c r="AM631" s="98" t="s">
        <v>225</v>
      </c>
      <c r="AP631" s="98" t="s">
        <v>717</v>
      </c>
      <c r="AQ631" s="98" t="s">
        <v>715</v>
      </c>
      <c r="AR631" s="98" t="s">
        <v>1811</v>
      </c>
      <c r="AS631" s="98" t="s">
        <v>1859</v>
      </c>
      <c r="AT631" s="100" t="n">
        <v>0</v>
      </c>
      <c r="AU631" s="100" t="n">
        <v>-208812.8</v>
      </c>
      <c r="AX631" s="98" t="s">
        <v>165</v>
      </c>
      <c r="AMH631" s="0"/>
      <c r="AMI631" s="0"/>
      <c r="AMJ631" s="0"/>
    </row>
    <row r="632" s="98" customFormat="true" ht="13.8" hidden="false" customHeight="false" outlineLevel="0" collapsed="false">
      <c r="A632" s="98" t="s">
        <v>142</v>
      </c>
      <c r="B632" s="98" t="s">
        <v>143</v>
      </c>
      <c r="C632" s="98" t="n">
        <v>51730574</v>
      </c>
      <c r="D632" s="98" t="s">
        <v>1860</v>
      </c>
      <c r="E632" s="98" t="s">
        <v>725</v>
      </c>
      <c r="F632" s="98" t="s">
        <v>167</v>
      </c>
      <c r="G632" s="98" t="s">
        <v>147</v>
      </c>
      <c r="H632" s="98" t="s">
        <v>213</v>
      </c>
      <c r="I632" s="104" t="n">
        <v>43748</v>
      </c>
      <c r="J632" s="99" t="n">
        <v>43896</v>
      </c>
      <c r="K632" s="100" t="n">
        <v>-467237.11</v>
      </c>
      <c r="L632" s="100" t="n">
        <f aca="false">K632-Q632+T632</f>
        <v>-395963.66</v>
      </c>
      <c r="M632" s="98" t="s">
        <v>149</v>
      </c>
      <c r="N632" s="100" t="n">
        <v>-467237.11</v>
      </c>
      <c r="O632" s="98" t="s">
        <v>149</v>
      </c>
      <c r="P632" s="100" t="n">
        <v>-467237.11</v>
      </c>
      <c r="Q632" s="106" t="n">
        <v>-71273.45</v>
      </c>
      <c r="R632" s="100" t="n">
        <v>-467237.11</v>
      </c>
      <c r="S632" s="100" t="n">
        <v>0</v>
      </c>
      <c r="T632" s="100" t="n">
        <v>0</v>
      </c>
      <c r="U632" s="98" t="s">
        <v>150</v>
      </c>
      <c r="V632" s="98" t="s">
        <v>151</v>
      </c>
      <c r="Y632" s="98" t="s">
        <v>1809</v>
      </c>
      <c r="Z632" s="98" t="s">
        <v>1861</v>
      </c>
      <c r="AB632" s="98" t="s">
        <v>1809</v>
      </c>
      <c r="AD632" s="98" t="s">
        <v>155</v>
      </c>
      <c r="AE632" s="98" t="s">
        <v>156</v>
      </c>
      <c r="AF632" s="98" t="s">
        <v>728</v>
      </c>
      <c r="AG632" s="98" t="s">
        <v>729</v>
      </c>
      <c r="AH632" s="98" t="s">
        <v>730</v>
      </c>
      <c r="AI632" s="98" t="s">
        <v>730</v>
      </c>
      <c r="AJ632" s="98" t="s">
        <v>731</v>
      </c>
      <c r="AK632" s="98" t="s">
        <v>159</v>
      </c>
      <c r="AL632" s="98" t="s">
        <v>224</v>
      </c>
      <c r="AM632" s="98" t="s">
        <v>225</v>
      </c>
      <c r="AP632" s="98" t="s">
        <v>717</v>
      </c>
      <c r="AQ632" s="98" t="s">
        <v>715</v>
      </c>
      <c r="AR632" s="98" t="s">
        <v>1811</v>
      </c>
      <c r="AS632" s="98" t="s">
        <v>1862</v>
      </c>
      <c r="AT632" s="100" t="n">
        <v>0</v>
      </c>
      <c r="AU632" s="100" t="n">
        <v>-467237.11</v>
      </c>
      <c r="AX632" s="98" t="s">
        <v>165</v>
      </c>
      <c r="AMH632" s="0"/>
      <c r="AMI632" s="0"/>
      <c r="AMJ632" s="0"/>
    </row>
    <row r="633" s="98" customFormat="true" ht="13.8" hidden="false" customHeight="false" outlineLevel="0" collapsed="false">
      <c r="A633" s="98" t="s">
        <v>142</v>
      </c>
      <c r="B633" s="98" t="s">
        <v>143</v>
      </c>
      <c r="C633" s="98" t="n">
        <v>51730582</v>
      </c>
      <c r="D633" s="98" t="s">
        <v>1863</v>
      </c>
      <c r="E633" s="98" t="s">
        <v>725</v>
      </c>
      <c r="F633" s="98" t="s">
        <v>167</v>
      </c>
      <c r="G633" s="98" t="s">
        <v>147</v>
      </c>
      <c r="H633" s="98" t="s">
        <v>213</v>
      </c>
      <c r="I633" s="104" t="n">
        <v>43748</v>
      </c>
      <c r="J633" s="99" t="n">
        <v>43896</v>
      </c>
      <c r="K633" s="100" t="n">
        <v>-4248</v>
      </c>
      <c r="L633" s="100" t="n">
        <f aca="false">K633-Q633+T633</f>
        <v>-3600</v>
      </c>
      <c r="M633" s="98" t="s">
        <v>149</v>
      </c>
      <c r="N633" s="100" t="n">
        <v>-4248</v>
      </c>
      <c r="O633" s="98" t="s">
        <v>149</v>
      </c>
      <c r="P633" s="100" t="n">
        <v>-4248</v>
      </c>
      <c r="Q633" s="106" t="n">
        <v>-648</v>
      </c>
      <c r="R633" s="100" t="n">
        <v>-4248</v>
      </c>
      <c r="S633" s="100" t="n">
        <v>0</v>
      </c>
      <c r="T633" s="100" t="n">
        <v>0</v>
      </c>
      <c r="U633" s="98" t="s">
        <v>150</v>
      </c>
      <c r="V633" s="98" t="s">
        <v>151</v>
      </c>
      <c r="Y633" s="98" t="s">
        <v>1809</v>
      </c>
      <c r="Z633" s="98" t="s">
        <v>1864</v>
      </c>
      <c r="AB633" s="98" t="s">
        <v>1809</v>
      </c>
      <c r="AD633" s="98" t="s">
        <v>155</v>
      </c>
      <c r="AE633" s="98" t="s">
        <v>156</v>
      </c>
      <c r="AF633" s="98" t="s">
        <v>728</v>
      </c>
      <c r="AG633" s="98" t="s">
        <v>729</v>
      </c>
      <c r="AH633" s="98" t="s">
        <v>730</v>
      </c>
      <c r="AI633" s="98" t="s">
        <v>730</v>
      </c>
      <c r="AJ633" s="98" t="s">
        <v>731</v>
      </c>
      <c r="AK633" s="98" t="s">
        <v>159</v>
      </c>
      <c r="AL633" s="98" t="s">
        <v>224</v>
      </c>
      <c r="AM633" s="98" t="s">
        <v>225</v>
      </c>
      <c r="AP633" s="98" t="s">
        <v>717</v>
      </c>
      <c r="AQ633" s="98" t="s">
        <v>715</v>
      </c>
      <c r="AR633" s="98" t="s">
        <v>1811</v>
      </c>
      <c r="AS633" s="98" t="s">
        <v>1865</v>
      </c>
      <c r="AT633" s="100" t="n">
        <v>0</v>
      </c>
      <c r="AU633" s="100" t="n">
        <v>-4248</v>
      </c>
      <c r="AX633" s="98" t="s">
        <v>165</v>
      </c>
      <c r="AMH633" s="0"/>
      <c r="AMI633" s="0"/>
      <c r="AMJ633" s="0"/>
    </row>
    <row r="634" s="98" customFormat="true" ht="13.8" hidden="false" customHeight="false" outlineLevel="0" collapsed="false">
      <c r="A634" s="98" t="s">
        <v>142</v>
      </c>
      <c r="B634" s="98" t="s">
        <v>143</v>
      </c>
      <c r="C634" s="98" t="n">
        <v>51730586</v>
      </c>
      <c r="D634" s="98" t="s">
        <v>1866</v>
      </c>
      <c r="E634" s="98" t="s">
        <v>725</v>
      </c>
      <c r="F634" s="98" t="s">
        <v>167</v>
      </c>
      <c r="G634" s="98" t="s">
        <v>147</v>
      </c>
      <c r="H634" s="98" t="s">
        <v>213</v>
      </c>
      <c r="I634" s="104" t="n">
        <v>43748</v>
      </c>
      <c r="J634" s="99" t="n">
        <v>43896</v>
      </c>
      <c r="K634" s="100" t="n">
        <v>-162556.8</v>
      </c>
      <c r="L634" s="100" t="n">
        <f aca="false">K634-Q634+T634</f>
        <v>-137760</v>
      </c>
      <c r="M634" s="98" t="s">
        <v>149</v>
      </c>
      <c r="N634" s="100" t="n">
        <v>-162556.8</v>
      </c>
      <c r="O634" s="98" t="s">
        <v>149</v>
      </c>
      <c r="P634" s="100" t="n">
        <v>-162556.8</v>
      </c>
      <c r="Q634" s="106" t="n">
        <v>-24796.8</v>
      </c>
      <c r="R634" s="100" t="n">
        <v>-162556.8</v>
      </c>
      <c r="S634" s="100" t="n">
        <v>0</v>
      </c>
      <c r="T634" s="100" t="n">
        <v>0</v>
      </c>
      <c r="U634" s="98" t="s">
        <v>150</v>
      </c>
      <c r="V634" s="98" t="s">
        <v>151</v>
      </c>
      <c r="Y634" s="98" t="s">
        <v>1809</v>
      </c>
      <c r="Z634" s="98" t="s">
        <v>1867</v>
      </c>
      <c r="AB634" s="98" t="s">
        <v>1809</v>
      </c>
      <c r="AD634" s="98" t="s">
        <v>155</v>
      </c>
      <c r="AE634" s="98" t="s">
        <v>156</v>
      </c>
      <c r="AF634" s="98" t="s">
        <v>728</v>
      </c>
      <c r="AG634" s="98" t="s">
        <v>729</v>
      </c>
      <c r="AH634" s="98" t="s">
        <v>730</v>
      </c>
      <c r="AI634" s="98" t="s">
        <v>730</v>
      </c>
      <c r="AJ634" s="98" t="s">
        <v>731</v>
      </c>
      <c r="AK634" s="98" t="s">
        <v>159</v>
      </c>
      <c r="AL634" s="98" t="s">
        <v>224</v>
      </c>
      <c r="AM634" s="98" t="s">
        <v>225</v>
      </c>
      <c r="AP634" s="98" t="s">
        <v>717</v>
      </c>
      <c r="AQ634" s="98" t="s">
        <v>715</v>
      </c>
      <c r="AR634" s="98" t="s">
        <v>1811</v>
      </c>
      <c r="AS634" s="98" t="s">
        <v>1868</v>
      </c>
      <c r="AT634" s="100" t="n">
        <v>0</v>
      </c>
      <c r="AU634" s="100" t="n">
        <v>-162556.8</v>
      </c>
      <c r="AX634" s="98" t="s">
        <v>165</v>
      </c>
      <c r="AMH634" s="0"/>
      <c r="AMI634" s="0"/>
      <c r="AMJ634" s="0"/>
    </row>
    <row r="635" s="98" customFormat="true" ht="13.8" hidden="false" customHeight="false" outlineLevel="0" collapsed="false">
      <c r="A635" s="98" t="s">
        <v>142</v>
      </c>
      <c r="B635" s="98" t="s">
        <v>143</v>
      </c>
      <c r="C635" s="98" t="n">
        <v>51731044</v>
      </c>
      <c r="D635" s="98" t="s">
        <v>1869</v>
      </c>
      <c r="E635" s="98" t="s">
        <v>725</v>
      </c>
      <c r="F635" s="98" t="s">
        <v>167</v>
      </c>
      <c r="G635" s="98" t="s">
        <v>147</v>
      </c>
      <c r="H635" s="98" t="s">
        <v>213</v>
      </c>
      <c r="I635" s="104" t="n">
        <v>43748</v>
      </c>
      <c r="J635" s="99" t="n">
        <v>43896</v>
      </c>
      <c r="K635" s="100" t="n">
        <v>-218064</v>
      </c>
      <c r="L635" s="100" t="n">
        <f aca="false">K635-Q635+T635</f>
        <v>-184800</v>
      </c>
      <c r="M635" s="98" t="s">
        <v>149</v>
      </c>
      <c r="N635" s="100" t="n">
        <v>-218064</v>
      </c>
      <c r="O635" s="98" t="s">
        <v>149</v>
      </c>
      <c r="P635" s="100" t="n">
        <v>-218064</v>
      </c>
      <c r="Q635" s="106" t="n">
        <v>-33264</v>
      </c>
      <c r="R635" s="100" t="n">
        <v>-218064</v>
      </c>
      <c r="S635" s="100" t="n">
        <v>0</v>
      </c>
      <c r="T635" s="100" t="n">
        <v>0</v>
      </c>
      <c r="U635" s="98" t="s">
        <v>150</v>
      </c>
      <c r="V635" s="98" t="s">
        <v>151</v>
      </c>
      <c r="Y635" s="98" t="s">
        <v>1809</v>
      </c>
      <c r="Z635" s="98" t="s">
        <v>1870</v>
      </c>
      <c r="AB635" s="98" t="s">
        <v>1809</v>
      </c>
      <c r="AD635" s="98" t="s">
        <v>155</v>
      </c>
      <c r="AE635" s="98" t="s">
        <v>156</v>
      </c>
      <c r="AF635" s="98" t="s">
        <v>728</v>
      </c>
      <c r="AG635" s="98" t="s">
        <v>729</v>
      </c>
      <c r="AH635" s="98" t="s">
        <v>730</v>
      </c>
      <c r="AI635" s="98" t="s">
        <v>730</v>
      </c>
      <c r="AJ635" s="98" t="s">
        <v>731</v>
      </c>
      <c r="AK635" s="98" t="s">
        <v>159</v>
      </c>
      <c r="AL635" s="98" t="s">
        <v>224</v>
      </c>
      <c r="AM635" s="98" t="s">
        <v>225</v>
      </c>
      <c r="AP635" s="98" t="s">
        <v>717</v>
      </c>
      <c r="AQ635" s="98" t="s">
        <v>715</v>
      </c>
      <c r="AR635" s="98" t="s">
        <v>1811</v>
      </c>
      <c r="AS635" s="98" t="s">
        <v>1871</v>
      </c>
      <c r="AT635" s="100" t="n">
        <v>0</v>
      </c>
      <c r="AU635" s="100" t="n">
        <v>-218064</v>
      </c>
      <c r="AX635" s="98" t="s">
        <v>165</v>
      </c>
      <c r="AMH635" s="0"/>
      <c r="AMI635" s="0"/>
      <c r="AMJ635" s="0"/>
    </row>
    <row r="636" s="98" customFormat="true" ht="13.8" hidden="false" customHeight="false" outlineLevel="0" collapsed="false">
      <c r="A636" s="98" t="s">
        <v>142</v>
      </c>
      <c r="B636" s="98" t="s">
        <v>143</v>
      </c>
      <c r="C636" s="98" t="n">
        <v>51502828</v>
      </c>
      <c r="D636" s="98" t="s">
        <v>1872</v>
      </c>
      <c r="E636" s="98" t="s">
        <v>725</v>
      </c>
      <c r="F636" s="110" t="s">
        <v>278</v>
      </c>
      <c r="G636" s="110" t="s">
        <v>147</v>
      </c>
      <c r="H636" s="110" t="s">
        <v>556</v>
      </c>
      <c r="I636" s="99" t="n">
        <v>43637</v>
      </c>
      <c r="J636" s="99" t="n">
        <v>43794</v>
      </c>
      <c r="K636" s="100" t="n">
        <v>-2467760.44</v>
      </c>
      <c r="L636" s="100" t="n">
        <f aca="false">K636-Q636+T636</f>
        <v>-2091322.4</v>
      </c>
      <c r="M636" s="110" t="s">
        <v>149</v>
      </c>
      <c r="N636" s="111" t="n">
        <v>-2467760.44</v>
      </c>
      <c r="O636" s="110" t="s">
        <v>149</v>
      </c>
      <c r="P636" s="111" t="n">
        <v>-2467760.44</v>
      </c>
      <c r="Q636" s="112" t="n">
        <v>-376438.04</v>
      </c>
      <c r="R636" s="100" t="n">
        <v>-2467760.44</v>
      </c>
      <c r="S636" s="100" t="n">
        <v>0</v>
      </c>
      <c r="T636" s="100" t="n">
        <v>0</v>
      </c>
      <c r="U636" s="98" t="s">
        <v>150</v>
      </c>
      <c r="V636" s="98" t="s">
        <v>151</v>
      </c>
      <c r="X636" s="98" t="s">
        <v>1873</v>
      </c>
      <c r="Y636" s="98" t="s">
        <v>1874</v>
      </c>
      <c r="Z636" s="98" t="s">
        <v>1875</v>
      </c>
      <c r="AB636" s="98" t="s">
        <v>1874</v>
      </c>
      <c r="AD636" s="98" t="s">
        <v>155</v>
      </c>
      <c r="AE636" s="98" t="s">
        <v>156</v>
      </c>
      <c r="AF636" s="98" t="s">
        <v>728</v>
      </c>
      <c r="AG636" s="98" t="s">
        <v>729</v>
      </c>
      <c r="AH636" s="98" t="s">
        <v>730</v>
      </c>
      <c r="AI636" s="98" t="s">
        <v>730</v>
      </c>
      <c r="AJ636" s="98" t="s">
        <v>731</v>
      </c>
      <c r="AK636" s="98" t="s">
        <v>159</v>
      </c>
      <c r="AL636" s="98" t="s">
        <v>224</v>
      </c>
      <c r="AM636" s="98" t="s">
        <v>225</v>
      </c>
      <c r="AP636" s="98" t="s">
        <v>578</v>
      </c>
      <c r="AQ636" s="98" t="s">
        <v>576</v>
      </c>
      <c r="AR636" s="98" t="s">
        <v>1876</v>
      </c>
      <c r="AS636" s="98" t="s">
        <v>1877</v>
      </c>
      <c r="AT636" s="100" t="n">
        <v>0</v>
      </c>
      <c r="AU636" s="100" t="n">
        <v>-2467760.44</v>
      </c>
      <c r="AX636" s="98" t="s">
        <v>165</v>
      </c>
      <c r="AMH636" s="0"/>
      <c r="AMI636" s="0"/>
      <c r="AMJ636" s="0"/>
    </row>
    <row r="637" s="98" customFormat="true" ht="13.8" hidden="false" customHeight="false" outlineLevel="0" collapsed="false">
      <c r="A637" s="98" t="s">
        <v>142</v>
      </c>
      <c r="B637" s="98" t="s">
        <v>143</v>
      </c>
      <c r="C637" s="98" t="n">
        <v>51565329</v>
      </c>
      <c r="D637" s="98" t="s">
        <v>1878</v>
      </c>
      <c r="E637" s="98" t="s">
        <v>725</v>
      </c>
      <c r="F637" s="98" t="s">
        <v>167</v>
      </c>
      <c r="G637" s="98" t="s">
        <v>147</v>
      </c>
      <c r="H637" s="98" t="s">
        <v>586</v>
      </c>
      <c r="I637" s="104" t="n">
        <v>43614</v>
      </c>
      <c r="J637" s="99" t="n">
        <v>43826</v>
      </c>
      <c r="K637" s="100" t="n">
        <v>-5752792.36</v>
      </c>
      <c r="L637" s="100" t="n">
        <f aca="false">K637-Q637+T637</f>
        <v>-4959304.54</v>
      </c>
      <c r="M637" s="98" t="s">
        <v>149</v>
      </c>
      <c r="N637" s="100" t="n">
        <v>-5752792.36</v>
      </c>
      <c r="O637" s="98" t="s">
        <v>149</v>
      </c>
      <c r="P637" s="100" t="n">
        <v>-5851979.36</v>
      </c>
      <c r="Q637" s="105" t="n">
        <v>-892674.82</v>
      </c>
      <c r="R637" s="100" t="n">
        <v>-5752792.36</v>
      </c>
      <c r="S637" s="100" t="n">
        <v>-4959304.54</v>
      </c>
      <c r="T637" s="100" t="n">
        <v>-99187</v>
      </c>
      <c r="U637" s="98" t="s">
        <v>192</v>
      </c>
      <c r="V637" s="98" t="s">
        <v>151</v>
      </c>
      <c r="Y637" s="98" t="s">
        <v>1879</v>
      </c>
      <c r="Z637" s="98" t="s">
        <v>1880</v>
      </c>
      <c r="AB637" s="98" t="s">
        <v>1879</v>
      </c>
      <c r="AD637" s="98" t="s">
        <v>155</v>
      </c>
      <c r="AE637" s="98" t="s">
        <v>156</v>
      </c>
      <c r="AF637" s="98" t="s">
        <v>747</v>
      </c>
      <c r="AG637" s="98" t="s">
        <v>748</v>
      </c>
      <c r="AH637" s="98" t="s">
        <v>971</v>
      </c>
      <c r="AI637" s="98" t="s">
        <v>971</v>
      </c>
      <c r="AJ637" s="98" t="s">
        <v>972</v>
      </c>
      <c r="AK637" s="98" t="s">
        <v>159</v>
      </c>
      <c r="AL637" s="98" t="s">
        <v>224</v>
      </c>
      <c r="AM637" s="98" t="s">
        <v>225</v>
      </c>
      <c r="AP637" s="98" t="s">
        <v>646</v>
      </c>
      <c r="AQ637" s="98" t="s">
        <v>640</v>
      </c>
      <c r="AR637" s="98" t="s">
        <v>1450</v>
      </c>
      <c r="AS637" s="98" t="s">
        <v>1881</v>
      </c>
      <c r="AT637" s="100" t="n">
        <v>0</v>
      </c>
      <c r="AU637" s="100" t="n">
        <v>-5752792.36</v>
      </c>
      <c r="AX637" s="98" t="s">
        <v>165</v>
      </c>
      <c r="AMH637" s="0"/>
      <c r="AMI637" s="0"/>
      <c r="AMJ637" s="0"/>
    </row>
    <row r="638" s="98" customFormat="true" ht="13.8" hidden="false" customHeight="false" outlineLevel="0" collapsed="false">
      <c r="A638" s="98" t="s">
        <v>142</v>
      </c>
      <c r="B638" s="98" t="s">
        <v>143</v>
      </c>
      <c r="C638" s="98" t="n">
        <v>52001308</v>
      </c>
      <c r="D638" s="98" t="s">
        <v>1882</v>
      </c>
      <c r="E638" s="98" t="s">
        <v>1883</v>
      </c>
      <c r="F638" s="98" t="s">
        <v>167</v>
      </c>
      <c r="G638" s="98" t="s">
        <v>147</v>
      </c>
      <c r="H638" s="98" t="s">
        <v>165</v>
      </c>
      <c r="I638" s="99" t="n">
        <v>43492</v>
      </c>
      <c r="J638" s="99" t="n">
        <v>43585</v>
      </c>
      <c r="K638" s="100" t="n">
        <v>45533.9</v>
      </c>
      <c r="L638" s="100" t="n">
        <f aca="false">K638-Q638+T638</f>
        <v>38588.05</v>
      </c>
      <c r="M638" s="98" t="s">
        <v>149</v>
      </c>
      <c r="N638" s="100" t="n">
        <v>45533.9</v>
      </c>
      <c r="O638" s="98" t="s">
        <v>149</v>
      </c>
      <c r="P638" s="100" t="n">
        <v>45533.9</v>
      </c>
      <c r="Q638" s="100" t="n">
        <v>6945.85</v>
      </c>
      <c r="R638" s="100" t="n">
        <v>38588.05</v>
      </c>
      <c r="S638" s="100" t="n">
        <v>0</v>
      </c>
      <c r="T638" s="100" t="n">
        <v>0</v>
      </c>
      <c r="U638" s="98" t="s">
        <v>150</v>
      </c>
      <c r="V638" s="98" t="s">
        <v>151</v>
      </c>
      <c r="X638" s="98" t="s">
        <v>1884</v>
      </c>
      <c r="Y638" s="98" t="s">
        <v>769</v>
      </c>
      <c r="Z638" s="98" t="s">
        <v>1885</v>
      </c>
      <c r="AB638" s="98" t="s">
        <v>769</v>
      </c>
      <c r="AD638" s="98" t="s">
        <v>155</v>
      </c>
      <c r="AE638" s="98" t="s">
        <v>156</v>
      </c>
      <c r="AF638" s="98" t="s">
        <v>1886</v>
      </c>
      <c r="AG638" s="98" t="s">
        <v>1887</v>
      </c>
      <c r="AH638" s="98" t="s">
        <v>730</v>
      </c>
      <c r="AI638" s="98" t="s">
        <v>730</v>
      </c>
      <c r="AJ638" s="98" t="s">
        <v>731</v>
      </c>
      <c r="AK638" s="98" t="s">
        <v>159</v>
      </c>
      <c r="AL638" s="98" t="s">
        <v>160</v>
      </c>
      <c r="AM638" s="98" t="s">
        <v>161</v>
      </c>
      <c r="AP638" s="98" t="s">
        <v>321</v>
      </c>
      <c r="AQ638" s="98" t="s">
        <v>319</v>
      </c>
      <c r="AR638" s="98" t="s">
        <v>884</v>
      </c>
      <c r="AS638" s="98" t="s">
        <v>1888</v>
      </c>
      <c r="AT638" s="100" t="n">
        <v>0</v>
      </c>
      <c r="AU638" s="100" t="n">
        <v>45533.9</v>
      </c>
      <c r="AX638" s="98" t="s">
        <v>165</v>
      </c>
      <c r="AMH638" s="0"/>
      <c r="AMI638" s="0"/>
      <c r="AMJ638" s="0"/>
    </row>
    <row r="639" s="98" customFormat="true" ht="13.8" hidden="false" customHeight="false" outlineLevel="0" collapsed="false">
      <c r="A639" s="98" t="s">
        <v>142</v>
      </c>
      <c r="B639" s="98" t="s">
        <v>143</v>
      </c>
      <c r="C639" s="98" t="n">
        <v>51565340</v>
      </c>
      <c r="D639" s="98" t="s">
        <v>1889</v>
      </c>
      <c r="E639" s="98" t="s">
        <v>725</v>
      </c>
      <c r="F639" s="98" t="s">
        <v>167</v>
      </c>
      <c r="G639" s="98" t="s">
        <v>147</v>
      </c>
      <c r="H639" s="98" t="s">
        <v>586</v>
      </c>
      <c r="I639" s="104" t="n">
        <v>43614</v>
      </c>
      <c r="J639" s="99" t="n">
        <v>43826</v>
      </c>
      <c r="K639" s="100" t="n">
        <v>-2853998.61</v>
      </c>
      <c r="L639" s="100" t="n">
        <f aca="false">K639-Q639+T639</f>
        <v>-2460343.74</v>
      </c>
      <c r="M639" s="98" t="s">
        <v>149</v>
      </c>
      <c r="N639" s="100" t="n">
        <v>-2853998.61</v>
      </c>
      <c r="O639" s="98" t="s">
        <v>149</v>
      </c>
      <c r="P639" s="100" t="n">
        <v>-2903205.61</v>
      </c>
      <c r="Q639" s="105" t="n">
        <v>-442861.87</v>
      </c>
      <c r="R639" s="100" t="n">
        <v>-2853998.61</v>
      </c>
      <c r="S639" s="100" t="n">
        <v>-2460343.74</v>
      </c>
      <c r="T639" s="100" t="n">
        <v>-49207</v>
      </c>
      <c r="U639" s="98" t="s">
        <v>192</v>
      </c>
      <c r="V639" s="98" t="s">
        <v>151</v>
      </c>
      <c r="Y639" s="98" t="s">
        <v>1890</v>
      </c>
      <c r="Z639" s="98" t="s">
        <v>1891</v>
      </c>
      <c r="AB639" s="98" t="s">
        <v>1890</v>
      </c>
      <c r="AD639" s="98" t="s">
        <v>155</v>
      </c>
      <c r="AE639" s="98" t="s">
        <v>156</v>
      </c>
      <c r="AF639" s="98" t="s">
        <v>747</v>
      </c>
      <c r="AG639" s="98" t="s">
        <v>748</v>
      </c>
      <c r="AH639" s="98" t="s">
        <v>971</v>
      </c>
      <c r="AI639" s="98" t="s">
        <v>971</v>
      </c>
      <c r="AJ639" s="98" t="s">
        <v>972</v>
      </c>
      <c r="AK639" s="98" t="s">
        <v>159</v>
      </c>
      <c r="AL639" s="98" t="s">
        <v>224</v>
      </c>
      <c r="AM639" s="98" t="s">
        <v>225</v>
      </c>
      <c r="AP639" s="98" t="s">
        <v>646</v>
      </c>
      <c r="AQ639" s="98" t="s">
        <v>640</v>
      </c>
      <c r="AR639" s="98" t="s">
        <v>1450</v>
      </c>
      <c r="AS639" s="98" t="s">
        <v>1892</v>
      </c>
      <c r="AT639" s="100" t="n">
        <v>0</v>
      </c>
      <c r="AU639" s="100" t="n">
        <v>-2853998.61</v>
      </c>
      <c r="AX639" s="98" t="s">
        <v>165</v>
      </c>
      <c r="AMH639" s="0"/>
      <c r="AMI639" s="0"/>
      <c r="AMJ639" s="0"/>
    </row>
    <row r="640" s="98" customFormat="true" ht="13.8" hidden="false" customHeight="false" outlineLevel="0" collapsed="false">
      <c r="A640" s="98" t="s">
        <v>142</v>
      </c>
      <c r="B640" s="98" t="s">
        <v>143</v>
      </c>
      <c r="C640" s="98" t="n">
        <v>51590651</v>
      </c>
      <c r="D640" s="98" t="s">
        <v>1893</v>
      </c>
      <c r="E640" s="98" t="s">
        <v>725</v>
      </c>
      <c r="F640" s="98" t="s">
        <v>511</v>
      </c>
      <c r="G640" s="98" t="s">
        <v>147</v>
      </c>
      <c r="H640" s="98" t="s">
        <v>191</v>
      </c>
      <c r="I640" s="99" t="n">
        <v>43619</v>
      </c>
      <c r="J640" s="99" t="n">
        <v>43838</v>
      </c>
      <c r="K640" s="100" t="n">
        <v>-612508.5</v>
      </c>
      <c r="L640" s="100" t="n">
        <f aca="false">K640-Q640+T640</f>
        <v>-519075</v>
      </c>
      <c r="M640" s="98" t="s">
        <v>149</v>
      </c>
      <c r="N640" s="100" t="n">
        <v>-612508.5</v>
      </c>
      <c r="O640" s="98" t="s">
        <v>149</v>
      </c>
      <c r="P640" s="100" t="n">
        <v>-612508.5</v>
      </c>
      <c r="Q640" s="100" t="n">
        <v>-93433.5</v>
      </c>
      <c r="R640" s="100" t="n">
        <v>-519075</v>
      </c>
      <c r="S640" s="100" t="n">
        <v>0</v>
      </c>
      <c r="T640" s="100" t="n">
        <v>0</v>
      </c>
      <c r="U640" s="98" t="s">
        <v>192</v>
      </c>
      <c r="V640" s="98" t="s">
        <v>151</v>
      </c>
      <c r="X640" s="98" t="s">
        <v>1894</v>
      </c>
      <c r="Y640" s="98" t="s">
        <v>1895</v>
      </c>
      <c r="Z640" s="98" t="s">
        <v>1896</v>
      </c>
      <c r="AB640" s="98" t="s">
        <v>1895</v>
      </c>
      <c r="AD640" s="98" t="s">
        <v>155</v>
      </c>
      <c r="AE640" s="98" t="s">
        <v>156</v>
      </c>
      <c r="AF640" s="98" t="s">
        <v>737</v>
      </c>
      <c r="AG640" s="98" t="s">
        <v>738</v>
      </c>
      <c r="AH640" s="98" t="s">
        <v>739</v>
      </c>
      <c r="AI640" s="98" t="s">
        <v>739</v>
      </c>
      <c r="AJ640" s="98" t="s">
        <v>740</v>
      </c>
      <c r="AK640" s="98" t="s">
        <v>159</v>
      </c>
      <c r="AL640" s="98" t="s">
        <v>224</v>
      </c>
      <c r="AM640" s="98" t="s">
        <v>225</v>
      </c>
      <c r="AP640" s="98" t="s">
        <v>688</v>
      </c>
      <c r="AQ640" s="98" t="s">
        <v>204</v>
      </c>
      <c r="AR640" s="98" t="s">
        <v>1166</v>
      </c>
      <c r="AS640" s="98" t="s">
        <v>1897</v>
      </c>
      <c r="AT640" s="100" t="n">
        <v>0</v>
      </c>
      <c r="AU640" s="100" t="n">
        <v>-612508.5</v>
      </c>
      <c r="AX640" s="98" t="s">
        <v>165</v>
      </c>
      <c r="AMH640" s="0"/>
      <c r="AMI640" s="0"/>
      <c r="AMJ640" s="0"/>
    </row>
    <row r="641" s="98" customFormat="true" ht="13.8" hidden="false" customHeight="false" outlineLevel="0" collapsed="false">
      <c r="A641" s="98" t="s">
        <v>142</v>
      </c>
      <c r="B641" s="98" t="s">
        <v>143</v>
      </c>
      <c r="C641" s="98" t="n">
        <v>52022426</v>
      </c>
      <c r="D641" s="98" t="s">
        <v>1898</v>
      </c>
      <c r="E641" s="98" t="s">
        <v>1883</v>
      </c>
      <c r="F641" s="98" t="s">
        <v>167</v>
      </c>
      <c r="G641" s="98" t="s">
        <v>147</v>
      </c>
      <c r="H641" s="98" t="s">
        <v>586</v>
      </c>
      <c r="I641" s="99" t="n">
        <v>43614</v>
      </c>
      <c r="J641" s="99" t="n">
        <v>43826</v>
      </c>
      <c r="K641" s="100" t="n">
        <v>34692</v>
      </c>
      <c r="L641" s="100" t="n">
        <f aca="false">K641-Q641+T641</f>
        <v>29400</v>
      </c>
      <c r="M641" s="98" t="s">
        <v>149</v>
      </c>
      <c r="N641" s="100" t="n">
        <v>34692</v>
      </c>
      <c r="O641" s="98" t="s">
        <v>149</v>
      </c>
      <c r="P641" s="100" t="n">
        <v>34692</v>
      </c>
      <c r="Q641" s="100" t="n">
        <v>5292</v>
      </c>
      <c r="R641" s="100" t="n">
        <v>29400</v>
      </c>
      <c r="S641" s="100" t="n">
        <v>0</v>
      </c>
      <c r="T641" s="100" t="n">
        <v>0</v>
      </c>
      <c r="U641" s="98" t="s">
        <v>192</v>
      </c>
      <c r="V641" s="98" t="s">
        <v>151</v>
      </c>
      <c r="X641" s="98" t="s">
        <v>1899</v>
      </c>
      <c r="Y641" s="98" t="s">
        <v>1879</v>
      </c>
      <c r="Z641" s="98" t="s">
        <v>1900</v>
      </c>
      <c r="AB641" s="98" t="s">
        <v>1879</v>
      </c>
      <c r="AD641" s="98" t="s">
        <v>155</v>
      </c>
      <c r="AE641" s="98" t="s">
        <v>156</v>
      </c>
      <c r="AF641" s="98" t="s">
        <v>971</v>
      </c>
      <c r="AG641" s="98" t="s">
        <v>972</v>
      </c>
      <c r="AH641" s="98" t="s">
        <v>971</v>
      </c>
      <c r="AI641" s="98" t="s">
        <v>971</v>
      </c>
      <c r="AJ641" s="98" t="s">
        <v>972</v>
      </c>
      <c r="AK641" s="98" t="s">
        <v>159</v>
      </c>
      <c r="AL641" s="98" t="s">
        <v>160</v>
      </c>
      <c r="AM641" s="98" t="s">
        <v>161</v>
      </c>
      <c r="AP641" s="98" t="s">
        <v>619</v>
      </c>
      <c r="AQ641" s="98" t="s">
        <v>613</v>
      </c>
      <c r="AR641" s="98" t="s">
        <v>1450</v>
      </c>
      <c r="AS641" s="98" t="s">
        <v>1901</v>
      </c>
      <c r="AT641" s="100" t="n">
        <v>0</v>
      </c>
      <c r="AU641" s="100" t="n">
        <v>34692</v>
      </c>
      <c r="AX641" s="98" t="s">
        <v>165</v>
      </c>
      <c r="AMH641" s="0"/>
      <c r="AMI641" s="0"/>
      <c r="AMJ641" s="0"/>
    </row>
    <row r="642" s="98" customFormat="true" ht="13.8" hidden="false" customHeight="false" outlineLevel="0" collapsed="false">
      <c r="A642" s="98" t="s">
        <v>142</v>
      </c>
      <c r="B642" s="98" t="s">
        <v>143</v>
      </c>
      <c r="C642" s="98" t="n">
        <v>52026824</v>
      </c>
      <c r="D642" s="98" t="s">
        <v>1278</v>
      </c>
      <c r="E642" s="98" t="s">
        <v>1597</v>
      </c>
      <c r="F642" s="98" t="s">
        <v>212</v>
      </c>
      <c r="G642" s="98" t="s">
        <v>147</v>
      </c>
      <c r="H642" s="98" t="s">
        <v>200</v>
      </c>
      <c r="I642" s="99" t="n">
        <v>43844</v>
      </c>
      <c r="J642" s="99" t="n">
        <v>43865</v>
      </c>
      <c r="K642" s="100" t="n">
        <v>1639864.88</v>
      </c>
      <c r="L642" s="100" t="n">
        <f aca="false">K642-Q642+T642</f>
        <v>1389716</v>
      </c>
      <c r="M642" s="98" t="s">
        <v>149</v>
      </c>
      <c r="N642" s="100" t="n">
        <v>1639864.88</v>
      </c>
      <c r="O642" s="98" t="s">
        <v>149</v>
      </c>
      <c r="P642" s="100" t="n">
        <v>1639864.88</v>
      </c>
      <c r="Q642" s="100" t="n">
        <v>250148.88</v>
      </c>
      <c r="R642" s="100" t="n">
        <v>1389716</v>
      </c>
      <c r="S642" s="100" t="n">
        <v>0</v>
      </c>
      <c r="T642" s="100" t="n">
        <v>0</v>
      </c>
      <c r="U642" s="98" t="s">
        <v>150</v>
      </c>
      <c r="V642" s="98" t="s">
        <v>151</v>
      </c>
      <c r="X642" s="98" t="s">
        <v>1279</v>
      </c>
      <c r="Y642" s="98" t="s">
        <v>1280</v>
      </c>
      <c r="Z642" s="98" t="s">
        <v>1281</v>
      </c>
      <c r="AB642" s="98" t="s">
        <v>1280</v>
      </c>
      <c r="AD642" s="98" t="s">
        <v>155</v>
      </c>
      <c r="AE642" s="98" t="s">
        <v>156</v>
      </c>
      <c r="AF642" s="98" t="s">
        <v>737</v>
      </c>
      <c r="AG642" s="98" t="s">
        <v>738</v>
      </c>
      <c r="AH642" s="98" t="s">
        <v>793</v>
      </c>
      <c r="AI642" s="98" t="s">
        <v>793</v>
      </c>
      <c r="AJ642" s="98" t="s">
        <v>794</v>
      </c>
      <c r="AK642" s="98" t="s">
        <v>159</v>
      </c>
      <c r="AL642" s="98" t="s">
        <v>160</v>
      </c>
      <c r="AM642" s="98" t="s">
        <v>161</v>
      </c>
      <c r="AP642" s="98" t="s">
        <v>1282</v>
      </c>
      <c r="AQ642" s="98" t="s">
        <v>1172</v>
      </c>
      <c r="AR642" s="98" t="s">
        <v>1172</v>
      </c>
      <c r="AS642" s="98" t="s">
        <v>1902</v>
      </c>
      <c r="AT642" s="100" t="n">
        <v>0</v>
      </c>
      <c r="AU642" s="100" t="n">
        <v>1639864.88</v>
      </c>
      <c r="AX642" s="98" t="s">
        <v>220</v>
      </c>
      <c r="AMH642" s="0"/>
      <c r="AMI642" s="0"/>
      <c r="AMJ642" s="0"/>
    </row>
    <row r="643" s="98" customFormat="true" ht="13.8" hidden="false" customHeight="false" outlineLevel="0" collapsed="false">
      <c r="A643" s="98" t="s">
        <v>142</v>
      </c>
      <c r="B643" s="98" t="s">
        <v>143</v>
      </c>
      <c r="C643" s="98" t="n">
        <v>52026824</v>
      </c>
      <c r="D643" s="98" t="s">
        <v>1278</v>
      </c>
      <c r="E643" s="98" t="s">
        <v>1597</v>
      </c>
      <c r="F643" s="98" t="s">
        <v>212</v>
      </c>
      <c r="G643" s="98" t="s">
        <v>147</v>
      </c>
      <c r="H643" s="98" t="s">
        <v>200</v>
      </c>
      <c r="I643" s="99" t="n">
        <v>43844</v>
      </c>
      <c r="J643" s="99" t="n">
        <v>43865</v>
      </c>
      <c r="K643" s="100" t="n">
        <v>1237110.82</v>
      </c>
      <c r="L643" s="100" t="n">
        <f aca="false">K643-Q643+T643</f>
        <v>1048399</v>
      </c>
      <c r="M643" s="98" t="s">
        <v>149</v>
      </c>
      <c r="N643" s="100" t="n">
        <v>1237110.82</v>
      </c>
      <c r="O643" s="98" t="s">
        <v>149</v>
      </c>
      <c r="P643" s="100" t="n">
        <v>1237110.82</v>
      </c>
      <c r="Q643" s="100" t="n">
        <v>188711.82</v>
      </c>
      <c r="R643" s="100" t="n">
        <v>1048399</v>
      </c>
      <c r="S643" s="100" t="n">
        <v>0</v>
      </c>
      <c r="T643" s="100" t="n">
        <v>0</v>
      </c>
      <c r="U643" s="98" t="s">
        <v>150</v>
      </c>
      <c r="V643" s="98" t="s">
        <v>151</v>
      </c>
      <c r="X643" s="98" t="s">
        <v>1279</v>
      </c>
      <c r="Y643" s="98" t="s">
        <v>1280</v>
      </c>
      <c r="Z643" s="98" t="s">
        <v>1281</v>
      </c>
      <c r="AB643" s="98" t="s">
        <v>1280</v>
      </c>
      <c r="AD643" s="98" t="s">
        <v>155</v>
      </c>
      <c r="AE643" s="98" t="s">
        <v>156</v>
      </c>
      <c r="AF643" s="98" t="s">
        <v>737</v>
      </c>
      <c r="AG643" s="98" t="s">
        <v>738</v>
      </c>
      <c r="AH643" s="98" t="s">
        <v>793</v>
      </c>
      <c r="AI643" s="98" t="s">
        <v>793</v>
      </c>
      <c r="AJ643" s="98" t="s">
        <v>794</v>
      </c>
      <c r="AK643" s="98" t="s">
        <v>159</v>
      </c>
      <c r="AL643" s="98" t="s">
        <v>160</v>
      </c>
      <c r="AM643" s="98" t="s">
        <v>161</v>
      </c>
      <c r="AP643" s="98" t="s">
        <v>1282</v>
      </c>
      <c r="AQ643" s="98" t="s">
        <v>1172</v>
      </c>
      <c r="AR643" s="98" t="s">
        <v>1172</v>
      </c>
      <c r="AS643" s="98" t="s">
        <v>1902</v>
      </c>
      <c r="AT643" s="100" t="n">
        <v>0</v>
      </c>
      <c r="AU643" s="100" t="n">
        <v>1237110.82</v>
      </c>
      <c r="AX643" s="98" t="s">
        <v>165</v>
      </c>
      <c r="AMH643" s="0"/>
      <c r="AMI643" s="0"/>
      <c r="AMJ643" s="0"/>
    </row>
    <row r="644" customFormat="false" ht="13.8" hidden="false" customHeight="false" outlineLevel="0" collapsed="false">
      <c r="A644" s="92" t="s">
        <v>142</v>
      </c>
      <c r="B644" s="92" t="s">
        <v>143</v>
      </c>
      <c r="C644" s="92" t="n">
        <v>55635816</v>
      </c>
      <c r="D644" s="92" t="s">
        <v>870</v>
      </c>
      <c r="E644" s="92" t="s">
        <v>1903</v>
      </c>
      <c r="F644" s="92" t="s">
        <v>234</v>
      </c>
      <c r="G644" s="92" t="s">
        <v>147</v>
      </c>
      <c r="H644" s="92" t="s">
        <v>213</v>
      </c>
      <c r="I644" s="92" t="s">
        <v>1904</v>
      </c>
      <c r="J644" s="92" t="s">
        <v>1905</v>
      </c>
      <c r="K644" s="101" t="n">
        <v>7802.46</v>
      </c>
      <c r="L644" s="101" t="n">
        <f aca="false">K644-Q644+T644</f>
        <v>7802.46</v>
      </c>
      <c r="M644" s="92" t="s">
        <v>149</v>
      </c>
      <c r="N644" s="101" t="n">
        <v>7802.46</v>
      </c>
      <c r="O644" s="92" t="s">
        <v>149</v>
      </c>
      <c r="P644" s="101" t="n">
        <v>0</v>
      </c>
      <c r="Q644" s="101" t="n">
        <v>0</v>
      </c>
      <c r="R644" s="101" t="n">
        <v>7802.46</v>
      </c>
      <c r="S644" s="101" t="n">
        <v>0</v>
      </c>
      <c r="T644" s="101" t="n">
        <v>0</v>
      </c>
      <c r="U644" s="92" t="s">
        <v>192</v>
      </c>
      <c r="V644" s="92" t="s">
        <v>151</v>
      </c>
      <c r="X644" s="92" t="s">
        <v>1906</v>
      </c>
      <c r="Y644" s="92" t="s">
        <v>1907</v>
      </c>
      <c r="Z644" s="92" t="s">
        <v>217</v>
      </c>
      <c r="AD644" s="92" t="s">
        <v>155</v>
      </c>
      <c r="AE644" s="92" t="s">
        <v>156</v>
      </c>
      <c r="AF644" s="92" t="s">
        <v>1908</v>
      </c>
      <c r="AG644" s="92" t="s">
        <v>1909</v>
      </c>
      <c r="AI644" s="92" t="s">
        <v>1908</v>
      </c>
      <c r="AJ644" s="92" t="s">
        <v>1909</v>
      </c>
      <c r="AK644" s="92" t="s">
        <v>159</v>
      </c>
      <c r="AL644" s="92" t="s">
        <v>160</v>
      </c>
      <c r="AM644" s="92" t="s">
        <v>161</v>
      </c>
      <c r="AP644" s="92" t="s">
        <v>872</v>
      </c>
      <c r="AQ644" s="92" t="s">
        <v>873</v>
      </c>
      <c r="AR644" s="92" t="s">
        <v>873</v>
      </c>
      <c r="AS644" s="92" t="s">
        <v>1910</v>
      </c>
      <c r="AT644" s="101" t="n">
        <v>0</v>
      </c>
      <c r="AU644" s="101" t="n">
        <v>7802.46</v>
      </c>
      <c r="AX644" s="92" t="s">
        <v>165</v>
      </c>
    </row>
    <row r="645" customFormat="false" ht="13.8" hidden="false" customHeight="false" outlineLevel="0" collapsed="false">
      <c r="A645" s="92" t="s">
        <v>142</v>
      </c>
      <c r="B645" s="92" t="s">
        <v>143</v>
      </c>
      <c r="C645" s="92" t="n">
        <v>55636044</v>
      </c>
      <c r="D645" s="92" t="s">
        <v>860</v>
      </c>
      <c r="E645" s="92" t="s">
        <v>1903</v>
      </c>
      <c r="F645" s="92" t="s">
        <v>234</v>
      </c>
      <c r="G645" s="92" t="s">
        <v>147</v>
      </c>
      <c r="H645" s="92" t="s">
        <v>213</v>
      </c>
      <c r="I645" s="92" t="s">
        <v>1911</v>
      </c>
      <c r="J645" s="92" t="s">
        <v>1905</v>
      </c>
      <c r="K645" s="101" t="n">
        <v>2834</v>
      </c>
      <c r="L645" s="101" t="n">
        <f aca="false">K645-Q645+T645</f>
        <v>2834</v>
      </c>
      <c r="M645" s="92" t="s">
        <v>149</v>
      </c>
      <c r="N645" s="101" t="n">
        <v>2834</v>
      </c>
      <c r="O645" s="92" t="s">
        <v>149</v>
      </c>
      <c r="P645" s="101" t="n">
        <v>0</v>
      </c>
      <c r="Q645" s="101" t="n">
        <v>0</v>
      </c>
      <c r="R645" s="101" t="n">
        <v>2834</v>
      </c>
      <c r="S645" s="101" t="n">
        <v>0</v>
      </c>
      <c r="T645" s="101" t="n">
        <v>0</v>
      </c>
      <c r="U645" s="92" t="s">
        <v>192</v>
      </c>
      <c r="V645" s="92" t="s">
        <v>151</v>
      </c>
      <c r="X645" s="92" t="s">
        <v>1906</v>
      </c>
      <c r="Y645" s="92" t="s">
        <v>1907</v>
      </c>
      <c r="Z645" s="92" t="s">
        <v>217</v>
      </c>
      <c r="AD645" s="92" t="s">
        <v>155</v>
      </c>
      <c r="AE645" s="92" t="s">
        <v>156</v>
      </c>
      <c r="AF645" s="92" t="s">
        <v>1908</v>
      </c>
      <c r="AG645" s="92" t="s">
        <v>1909</v>
      </c>
      <c r="AI645" s="92" t="s">
        <v>1908</v>
      </c>
      <c r="AJ645" s="92" t="s">
        <v>1909</v>
      </c>
      <c r="AK645" s="92" t="s">
        <v>159</v>
      </c>
      <c r="AL645" s="92" t="s">
        <v>160</v>
      </c>
      <c r="AM645" s="92" t="s">
        <v>161</v>
      </c>
      <c r="AP645" s="92" t="s">
        <v>866</v>
      </c>
      <c r="AQ645" s="92" t="s">
        <v>867</v>
      </c>
      <c r="AR645" s="92" t="s">
        <v>873</v>
      </c>
      <c r="AS645" s="92" t="s">
        <v>1912</v>
      </c>
      <c r="AT645" s="101" t="n">
        <v>0</v>
      </c>
      <c r="AU645" s="101" t="n">
        <v>2834</v>
      </c>
      <c r="AX645" s="92" t="s">
        <v>165</v>
      </c>
    </row>
    <row r="646" s="98" customFormat="true" ht="13.8" hidden="false" customHeight="false" outlineLevel="0" collapsed="false">
      <c r="A646" s="98" t="s">
        <v>142</v>
      </c>
      <c r="B646" s="98" t="s">
        <v>143</v>
      </c>
      <c r="C646" s="98" t="n">
        <v>56000291</v>
      </c>
      <c r="D646" s="98" t="s">
        <v>190</v>
      </c>
      <c r="E646" s="98" t="s">
        <v>1913</v>
      </c>
      <c r="F646" s="108" t="s">
        <v>167</v>
      </c>
      <c r="G646" s="108" t="s">
        <v>147</v>
      </c>
      <c r="H646" s="108" t="s">
        <v>191</v>
      </c>
      <c r="I646" s="98" t="s">
        <v>197</v>
      </c>
      <c r="J646" s="98" t="s">
        <v>197</v>
      </c>
      <c r="K646" s="100" t="n">
        <v>-1100</v>
      </c>
      <c r="L646" s="100" t="n">
        <f aca="false">K646-Q646+T646</f>
        <v>-1100</v>
      </c>
      <c r="M646" s="108" t="s">
        <v>149</v>
      </c>
      <c r="N646" s="109" t="n">
        <v>-1100</v>
      </c>
      <c r="O646" s="108" t="s">
        <v>149</v>
      </c>
      <c r="P646" s="109" t="n">
        <v>-1100</v>
      </c>
      <c r="Q646" s="100" t="n">
        <v>0</v>
      </c>
      <c r="R646" s="100" t="n">
        <v>-1100</v>
      </c>
      <c r="S646" s="100" t="n">
        <v>0</v>
      </c>
      <c r="T646" s="100" t="n">
        <v>0</v>
      </c>
      <c r="U646" s="98" t="s">
        <v>192</v>
      </c>
      <c r="V646" s="98" t="s">
        <v>151</v>
      </c>
      <c r="X646" s="98" t="s">
        <v>1914</v>
      </c>
      <c r="Y646" s="98" t="s">
        <v>1915</v>
      </c>
      <c r="Z646" s="98" t="s">
        <v>1916</v>
      </c>
      <c r="AD646" s="98" t="s">
        <v>155</v>
      </c>
      <c r="AE646" s="98" t="s">
        <v>156</v>
      </c>
      <c r="AF646" s="98" t="s">
        <v>1917</v>
      </c>
      <c r="AG646" s="98" t="s">
        <v>1918</v>
      </c>
      <c r="AI646" s="98" t="s">
        <v>1917</v>
      </c>
      <c r="AJ646" s="98" t="s">
        <v>1918</v>
      </c>
      <c r="AK646" s="98" t="s">
        <v>159</v>
      </c>
      <c r="AL646" s="98" t="s">
        <v>224</v>
      </c>
      <c r="AM646" s="98" t="s">
        <v>225</v>
      </c>
      <c r="AP646" s="98" t="s">
        <v>196</v>
      </c>
      <c r="AQ646" s="98" t="s">
        <v>197</v>
      </c>
      <c r="AR646" s="98" t="s">
        <v>197</v>
      </c>
      <c r="AS646" s="98" t="s">
        <v>1919</v>
      </c>
      <c r="AT646" s="100" t="n">
        <v>0</v>
      </c>
      <c r="AU646" s="100" t="n">
        <v>-1100</v>
      </c>
      <c r="AX646" s="98" t="s">
        <v>168</v>
      </c>
      <c r="AMH646" s="0"/>
      <c r="AMI646" s="0"/>
      <c r="AMJ646" s="0"/>
    </row>
    <row r="647" customFormat="false" ht="13.8" hidden="false" customHeight="false" outlineLevel="0" collapsed="false">
      <c r="A647" s="92" t="s">
        <v>142</v>
      </c>
      <c r="B647" s="92" t="s">
        <v>143</v>
      </c>
      <c r="C647" s="92" t="n">
        <v>91510334</v>
      </c>
      <c r="D647" s="92" t="s">
        <v>1920</v>
      </c>
      <c r="E647" s="92" t="s">
        <v>1921</v>
      </c>
      <c r="F647" s="92" t="s">
        <v>146</v>
      </c>
      <c r="G647" s="92" t="s">
        <v>147</v>
      </c>
      <c r="H647" s="92" t="s">
        <v>148</v>
      </c>
      <c r="I647" s="92" t="s">
        <v>163</v>
      </c>
      <c r="J647" s="92" t="s">
        <v>163</v>
      </c>
      <c r="K647" s="101" t="n">
        <v>-2000</v>
      </c>
      <c r="L647" s="101" t="n">
        <f aca="false">K647-Q647+T647</f>
        <v>-2000</v>
      </c>
      <c r="M647" s="92" t="s">
        <v>149</v>
      </c>
      <c r="N647" s="101" t="n">
        <v>-2000</v>
      </c>
      <c r="O647" s="92" t="s">
        <v>149</v>
      </c>
      <c r="P647" s="101" t="n">
        <v>0</v>
      </c>
      <c r="Q647" s="101" t="n">
        <v>0</v>
      </c>
      <c r="R647" s="101" t="n">
        <v>-2000</v>
      </c>
      <c r="S647" s="101" t="n">
        <v>0</v>
      </c>
      <c r="T647" s="101" t="n">
        <v>0</v>
      </c>
      <c r="U647" s="92" t="s">
        <v>150</v>
      </c>
      <c r="V647" s="92" t="s">
        <v>151</v>
      </c>
      <c r="Y647" s="92" t="s">
        <v>1922</v>
      </c>
      <c r="Z647" s="92" t="s">
        <v>162</v>
      </c>
      <c r="AD647" s="92" t="s">
        <v>155</v>
      </c>
      <c r="AE647" s="92" t="s">
        <v>156</v>
      </c>
      <c r="AF647" s="92" t="s">
        <v>1923</v>
      </c>
      <c r="AG647" s="92" t="s">
        <v>1924</v>
      </c>
      <c r="AI647" s="92" t="s">
        <v>1923</v>
      </c>
      <c r="AJ647" s="92" t="s">
        <v>1924</v>
      </c>
      <c r="AK647" s="92" t="s">
        <v>159</v>
      </c>
      <c r="AL647" s="92" t="s">
        <v>1925</v>
      </c>
      <c r="AM647" s="92" t="s">
        <v>225</v>
      </c>
      <c r="AP647" s="92" t="s">
        <v>162</v>
      </c>
      <c r="AQ647" s="92" t="s">
        <v>163</v>
      </c>
      <c r="AR647" s="92" t="s">
        <v>163</v>
      </c>
      <c r="AS647" s="92" t="s">
        <v>1926</v>
      </c>
      <c r="AT647" s="101" t="n">
        <v>0</v>
      </c>
      <c r="AU647" s="101" t="n">
        <v>-2000</v>
      </c>
      <c r="AX647" s="92" t="s">
        <v>220</v>
      </c>
    </row>
    <row r="648" customFormat="false" ht="13.8" hidden="false" customHeight="false" outlineLevel="0" collapsed="false">
      <c r="A648" s="92" t="s">
        <v>142</v>
      </c>
      <c r="B648" s="92" t="s">
        <v>143</v>
      </c>
      <c r="C648" s="92" t="n">
        <v>92076426</v>
      </c>
      <c r="D648" s="92" t="s">
        <v>184</v>
      </c>
      <c r="E648" s="92" t="s">
        <v>1921</v>
      </c>
      <c r="F648" s="92" t="s">
        <v>146</v>
      </c>
      <c r="G648" s="92" t="s">
        <v>147</v>
      </c>
      <c r="H648" s="92" t="s">
        <v>175</v>
      </c>
      <c r="I648" s="92" t="s">
        <v>182</v>
      </c>
      <c r="J648" s="92" t="s">
        <v>182</v>
      </c>
      <c r="K648" s="101" t="n">
        <v>-800</v>
      </c>
      <c r="L648" s="101" t="n">
        <f aca="false">K648-Q648+T648</f>
        <v>-800</v>
      </c>
      <c r="M648" s="92" t="s">
        <v>149</v>
      </c>
      <c r="N648" s="101" t="n">
        <v>-800</v>
      </c>
      <c r="O648" s="92" t="s">
        <v>149</v>
      </c>
      <c r="P648" s="101" t="n">
        <v>0</v>
      </c>
      <c r="Q648" s="101" t="n">
        <v>0</v>
      </c>
      <c r="R648" s="101" t="n">
        <v>-800</v>
      </c>
      <c r="S648" s="101" t="n">
        <v>0</v>
      </c>
      <c r="T648" s="101" t="n">
        <v>0</v>
      </c>
      <c r="U648" s="92" t="s">
        <v>150</v>
      </c>
      <c r="V648" s="92" t="s">
        <v>151</v>
      </c>
      <c r="Y648" s="92" t="s">
        <v>1927</v>
      </c>
      <c r="Z648" s="92" t="s">
        <v>181</v>
      </c>
      <c r="AD648" s="92" t="s">
        <v>155</v>
      </c>
      <c r="AE648" s="92" t="s">
        <v>156</v>
      </c>
      <c r="AF648" s="92" t="s">
        <v>1923</v>
      </c>
      <c r="AG648" s="92" t="s">
        <v>1924</v>
      </c>
      <c r="AI648" s="92" t="s">
        <v>1923</v>
      </c>
      <c r="AJ648" s="92" t="s">
        <v>1924</v>
      </c>
      <c r="AK648" s="92" t="s">
        <v>159</v>
      </c>
      <c r="AL648" s="92" t="s">
        <v>1925</v>
      </c>
      <c r="AM648" s="92" t="s">
        <v>225</v>
      </c>
      <c r="AP648" s="92" t="s">
        <v>181</v>
      </c>
      <c r="AQ648" s="92" t="s">
        <v>182</v>
      </c>
      <c r="AR648" s="92" t="s">
        <v>188</v>
      </c>
      <c r="AS648" s="92" t="s">
        <v>1928</v>
      </c>
      <c r="AT648" s="101" t="n">
        <v>0</v>
      </c>
      <c r="AU648" s="101" t="n">
        <v>-800</v>
      </c>
      <c r="AX648" s="92" t="s">
        <v>220</v>
      </c>
    </row>
    <row r="649" customFormat="false" ht="13.8" hidden="false" customHeight="false" outlineLevel="0" collapsed="false">
      <c r="A649" s="92" t="s">
        <v>142</v>
      </c>
      <c r="B649" s="92" t="s">
        <v>143</v>
      </c>
      <c r="C649" s="92" t="n">
        <v>92721343</v>
      </c>
      <c r="E649" s="92" t="s">
        <v>1921</v>
      </c>
      <c r="F649" s="92" t="s">
        <v>167</v>
      </c>
      <c r="G649" s="92" t="s">
        <v>147</v>
      </c>
      <c r="H649" s="92" t="s">
        <v>586</v>
      </c>
      <c r="I649" s="92" t="s">
        <v>1601</v>
      </c>
      <c r="J649" s="92" t="s">
        <v>1601</v>
      </c>
      <c r="K649" s="101" t="n">
        <v>655568.16</v>
      </c>
      <c r="L649" s="101" t="n">
        <f aca="false">K649-Q649+T649</f>
        <v>655568.16</v>
      </c>
      <c r="M649" s="92" t="s">
        <v>149</v>
      </c>
      <c r="N649" s="101" t="n">
        <v>655568.16</v>
      </c>
      <c r="O649" s="92" t="s">
        <v>149</v>
      </c>
      <c r="P649" s="101" t="n">
        <v>0</v>
      </c>
      <c r="Q649" s="101" t="n">
        <v>0</v>
      </c>
      <c r="R649" s="101" t="n">
        <v>655568.16</v>
      </c>
      <c r="S649" s="101" t="n">
        <v>0</v>
      </c>
      <c r="T649" s="101" t="n">
        <v>0</v>
      </c>
      <c r="U649" s="92" t="s">
        <v>192</v>
      </c>
      <c r="V649" s="92" t="s">
        <v>151</v>
      </c>
      <c r="Z649" s="92" t="s">
        <v>1600</v>
      </c>
      <c r="AD649" s="92" t="s">
        <v>155</v>
      </c>
      <c r="AE649" s="92" t="s">
        <v>156</v>
      </c>
      <c r="AF649" s="92" t="s">
        <v>192</v>
      </c>
      <c r="AG649" s="92" t="s">
        <v>151</v>
      </c>
      <c r="AI649" s="92" t="s">
        <v>155</v>
      </c>
      <c r="AJ649" s="92" t="s">
        <v>156</v>
      </c>
      <c r="AK649" s="92" t="s">
        <v>159</v>
      </c>
      <c r="AL649" s="92" t="s">
        <v>1408</v>
      </c>
      <c r="AM649" s="92" t="s">
        <v>161</v>
      </c>
      <c r="AP649" s="92" t="s">
        <v>1600</v>
      </c>
      <c r="AQ649" s="92" t="s">
        <v>1601</v>
      </c>
      <c r="AR649" s="92" t="s">
        <v>1601</v>
      </c>
      <c r="AS649" s="92" t="s">
        <v>1929</v>
      </c>
      <c r="AT649" s="101" t="n">
        <v>0</v>
      </c>
      <c r="AU649" s="101" t="n">
        <v>655568.16</v>
      </c>
      <c r="AX649" s="92" t="s">
        <v>165</v>
      </c>
    </row>
    <row r="650" customFormat="false" ht="13.8" hidden="false" customHeight="false" outlineLevel="0" collapsed="false">
      <c r="A650" s="92" t="s">
        <v>142</v>
      </c>
      <c r="B650" s="92" t="s">
        <v>143</v>
      </c>
      <c r="C650" s="92" t="n">
        <v>92721343</v>
      </c>
      <c r="E650" s="92" t="s">
        <v>1921</v>
      </c>
      <c r="F650" s="92" t="s">
        <v>167</v>
      </c>
      <c r="G650" s="92" t="s">
        <v>147</v>
      </c>
      <c r="H650" s="92" t="s">
        <v>586</v>
      </c>
      <c r="I650" s="92" t="s">
        <v>1601</v>
      </c>
      <c r="J650" s="92" t="s">
        <v>1601</v>
      </c>
      <c r="K650" s="101" t="n">
        <v>-655568.16</v>
      </c>
      <c r="L650" s="101" t="n">
        <f aca="false">K650-Q650+T650</f>
        <v>-655568.16</v>
      </c>
      <c r="M650" s="92" t="s">
        <v>149</v>
      </c>
      <c r="N650" s="101" t="n">
        <v>-655568.16</v>
      </c>
      <c r="O650" s="92" t="s">
        <v>149</v>
      </c>
      <c r="P650" s="101" t="n">
        <v>0</v>
      </c>
      <c r="Q650" s="101" t="n">
        <v>0</v>
      </c>
      <c r="R650" s="101" t="n">
        <v>-655568.16</v>
      </c>
      <c r="S650" s="101" t="n">
        <v>0</v>
      </c>
      <c r="T650" s="101" t="n">
        <v>0</v>
      </c>
      <c r="U650" s="92" t="s">
        <v>192</v>
      </c>
      <c r="V650" s="92" t="s">
        <v>151</v>
      </c>
      <c r="Z650" s="92" t="s">
        <v>1600</v>
      </c>
      <c r="AD650" s="92" t="s">
        <v>155</v>
      </c>
      <c r="AE650" s="92" t="s">
        <v>156</v>
      </c>
      <c r="AF650" s="92" t="s">
        <v>192</v>
      </c>
      <c r="AG650" s="92" t="s">
        <v>151</v>
      </c>
      <c r="AI650" s="92" t="s">
        <v>155</v>
      </c>
      <c r="AJ650" s="92" t="s">
        <v>156</v>
      </c>
      <c r="AK650" s="92" t="s">
        <v>159</v>
      </c>
      <c r="AL650" s="92" t="s">
        <v>1925</v>
      </c>
      <c r="AM650" s="92" t="s">
        <v>225</v>
      </c>
      <c r="AP650" s="92" t="s">
        <v>1600</v>
      </c>
      <c r="AQ650" s="92" t="s">
        <v>1601</v>
      </c>
      <c r="AR650" s="92" t="s">
        <v>1601</v>
      </c>
      <c r="AS650" s="92" t="s">
        <v>1929</v>
      </c>
      <c r="AT650" s="101" t="n">
        <v>0</v>
      </c>
      <c r="AU650" s="101" t="n">
        <v>-655568.16</v>
      </c>
      <c r="AX650" s="92" t="s">
        <v>220</v>
      </c>
    </row>
    <row r="651" customFormat="false" ht="13.8" hidden="false" customHeight="false" outlineLevel="0" collapsed="false">
      <c r="A651" s="92" t="s">
        <v>142</v>
      </c>
      <c r="B651" s="92" t="s">
        <v>143</v>
      </c>
      <c r="C651" s="92" t="n">
        <v>92978106</v>
      </c>
      <c r="E651" s="92" t="s">
        <v>1921</v>
      </c>
      <c r="F651" s="92" t="s">
        <v>167</v>
      </c>
      <c r="G651" s="92" t="s">
        <v>147</v>
      </c>
      <c r="H651" s="92" t="s">
        <v>191</v>
      </c>
      <c r="I651" s="92" t="s">
        <v>197</v>
      </c>
      <c r="J651" s="92" t="s">
        <v>197</v>
      </c>
      <c r="K651" s="101" t="n">
        <v>-1100</v>
      </c>
      <c r="L651" s="101" t="n">
        <f aca="false">K651-Q651+T651</f>
        <v>-1100</v>
      </c>
      <c r="M651" s="92" t="s">
        <v>149</v>
      </c>
      <c r="N651" s="101" t="n">
        <v>-1100</v>
      </c>
      <c r="O651" s="92" t="s">
        <v>149</v>
      </c>
      <c r="P651" s="101" t="n">
        <v>0</v>
      </c>
      <c r="Q651" s="101" t="n">
        <v>0</v>
      </c>
      <c r="R651" s="101" t="n">
        <v>-1100</v>
      </c>
      <c r="S651" s="101" t="n">
        <v>0</v>
      </c>
      <c r="T651" s="101" t="n">
        <v>0</v>
      </c>
      <c r="U651" s="92" t="s">
        <v>192</v>
      </c>
      <c r="V651" s="92" t="s">
        <v>151</v>
      </c>
      <c r="Z651" s="92" t="s">
        <v>196</v>
      </c>
      <c r="AD651" s="92" t="s">
        <v>155</v>
      </c>
      <c r="AE651" s="92" t="s">
        <v>156</v>
      </c>
      <c r="AF651" s="92" t="s">
        <v>192</v>
      </c>
      <c r="AG651" s="92" t="s">
        <v>151</v>
      </c>
      <c r="AI651" s="92" t="s">
        <v>155</v>
      </c>
      <c r="AJ651" s="92" t="s">
        <v>156</v>
      </c>
      <c r="AK651" s="92" t="s">
        <v>159</v>
      </c>
      <c r="AL651" s="92" t="s">
        <v>1925</v>
      </c>
      <c r="AM651" s="92" t="s">
        <v>225</v>
      </c>
      <c r="AP651" s="92" t="s">
        <v>196</v>
      </c>
      <c r="AQ651" s="92" t="s">
        <v>197</v>
      </c>
      <c r="AR651" s="92" t="s">
        <v>197</v>
      </c>
      <c r="AS651" s="92" t="s">
        <v>1930</v>
      </c>
      <c r="AT651" s="101" t="n">
        <v>0</v>
      </c>
      <c r="AU651" s="101" t="n">
        <v>-1100</v>
      </c>
      <c r="AX651" s="92" t="s">
        <v>165</v>
      </c>
    </row>
    <row r="652" customFormat="false" ht="13.8" hidden="false" customHeight="false" outlineLevel="0" collapsed="false">
      <c r="A652" s="92" t="s">
        <v>142</v>
      </c>
      <c r="B652" s="92" t="s">
        <v>143</v>
      </c>
      <c r="C652" s="92" t="n">
        <v>92978106</v>
      </c>
      <c r="E652" s="92" t="s">
        <v>1921</v>
      </c>
      <c r="F652" s="92" t="s">
        <v>167</v>
      </c>
      <c r="G652" s="92" t="s">
        <v>147</v>
      </c>
      <c r="H652" s="92" t="s">
        <v>191</v>
      </c>
      <c r="I652" s="92" t="s">
        <v>197</v>
      </c>
      <c r="J652" s="92" t="s">
        <v>197</v>
      </c>
      <c r="K652" s="101" t="n">
        <v>1100</v>
      </c>
      <c r="L652" s="101" t="n">
        <f aca="false">K652-Q652+T652</f>
        <v>1100</v>
      </c>
      <c r="M652" s="92" t="s">
        <v>149</v>
      </c>
      <c r="N652" s="101" t="n">
        <v>1100</v>
      </c>
      <c r="O652" s="92" t="s">
        <v>149</v>
      </c>
      <c r="P652" s="101" t="n">
        <v>0</v>
      </c>
      <c r="Q652" s="101" t="n">
        <v>0</v>
      </c>
      <c r="R652" s="101" t="n">
        <v>1100</v>
      </c>
      <c r="S652" s="101" t="n">
        <v>0</v>
      </c>
      <c r="T652" s="101" t="n">
        <v>0</v>
      </c>
      <c r="U652" s="92" t="s">
        <v>192</v>
      </c>
      <c r="V652" s="92" t="s">
        <v>151</v>
      </c>
      <c r="Z652" s="92" t="s">
        <v>196</v>
      </c>
      <c r="AD652" s="92" t="s">
        <v>155</v>
      </c>
      <c r="AE652" s="92" t="s">
        <v>156</v>
      </c>
      <c r="AF652" s="92" t="s">
        <v>192</v>
      </c>
      <c r="AG652" s="92" t="s">
        <v>151</v>
      </c>
      <c r="AI652" s="92" t="s">
        <v>155</v>
      </c>
      <c r="AJ652" s="92" t="s">
        <v>156</v>
      </c>
      <c r="AK652" s="92" t="s">
        <v>159</v>
      </c>
      <c r="AL652" s="92" t="s">
        <v>1408</v>
      </c>
      <c r="AM652" s="92" t="s">
        <v>161</v>
      </c>
      <c r="AP652" s="92" t="s">
        <v>196</v>
      </c>
      <c r="AQ652" s="92" t="s">
        <v>197</v>
      </c>
      <c r="AR652" s="92" t="s">
        <v>197</v>
      </c>
      <c r="AS652" s="92" t="s">
        <v>1930</v>
      </c>
      <c r="AT652" s="101" t="n">
        <v>0</v>
      </c>
      <c r="AU652" s="101" t="n">
        <v>1100</v>
      </c>
      <c r="AX652" s="92" t="s">
        <v>220</v>
      </c>
    </row>
    <row r="653" customFormat="false" ht="13.8" hidden="false" customHeight="false" outlineLevel="0" collapsed="false">
      <c r="A653" s="92" t="s">
        <v>142</v>
      </c>
      <c r="B653" s="92" t="s">
        <v>143</v>
      </c>
      <c r="C653" s="92" t="n">
        <v>93046164</v>
      </c>
      <c r="D653" s="92" t="s">
        <v>199</v>
      </c>
      <c r="E653" s="92" t="s">
        <v>1921</v>
      </c>
      <c r="F653" s="92" t="s">
        <v>146</v>
      </c>
      <c r="G653" s="92" t="s">
        <v>147</v>
      </c>
      <c r="H653" s="92" t="s">
        <v>200</v>
      </c>
      <c r="I653" s="92" t="s">
        <v>204</v>
      </c>
      <c r="J653" s="92" t="s">
        <v>204</v>
      </c>
      <c r="K653" s="101" t="n">
        <v>-400</v>
      </c>
      <c r="L653" s="101" t="n">
        <f aca="false">K653-Q653+T653</f>
        <v>-400</v>
      </c>
      <c r="M653" s="92" t="s">
        <v>149</v>
      </c>
      <c r="N653" s="101" t="n">
        <v>-400</v>
      </c>
      <c r="O653" s="92" t="s">
        <v>149</v>
      </c>
      <c r="P653" s="101" t="n">
        <v>0</v>
      </c>
      <c r="Q653" s="101" t="n">
        <v>0</v>
      </c>
      <c r="R653" s="101" t="n">
        <v>-400</v>
      </c>
      <c r="S653" s="101" t="n">
        <v>0</v>
      </c>
      <c r="T653" s="101" t="n">
        <v>0</v>
      </c>
      <c r="U653" s="92" t="s">
        <v>150</v>
      </c>
      <c r="V653" s="92" t="s">
        <v>151</v>
      </c>
      <c r="Y653" s="92" t="s">
        <v>1931</v>
      </c>
      <c r="Z653" s="92" t="s">
        <v>203</v>
      </c>
      <c r="AD653" s="92" t="s">
        <v>155</v>
      </c>
      <c r="AE653" s="92" t="s">
        <v>156</v>
      </c>
      <c r="AF653" s="92" t="s">
        <v>1923</v>
      </c>
      <c r="AG653" s="92" t="s">
        <v>1924</v>
      </c>
      <c r="AI653" s="92" t="s">
        <v>1923</v>
      </c>
      <c r="AJ653" s="92" t="s">
        <v>1924</v>
      </c>
      <c r="AK653" s="92" t="s">
        <v>159</v>
      </c>
      <c r="AL653" s="92" t="s">
        <v>1925</v>
      </c>
      <c r="AM653" s="92" t="s">
        <v>225</v>
      </c>
      <c r="AP653" s="92" t="s">
        <v>203</v>
      </c>
      <c r="AQ653" s="92" t="s">
        <v>204</v>
      </c>
      <c r="AR653" s="92" t="s">
        <v>204</v>
      </c>
      <c r="AS653" s="92" t="s">
        <v>1932</v>
      </c>
      <c r="AT653" s="101" t="n">
        <v>0</v>
      </c>
      <c r="AU653" s="101" t="n">
        <v>-400</v>
      </c>
      <c r="AX653" s="92" t="s">
        <v>220</v>
      </c>
    </row>
    <row r="654" customFormat="false" ht="13.8" hidden="false" customHeight="false" outlineLevel="0" collapsed="false">
      <c r="A654" s="92" t="s">
        <v>142</v>
      </c>
      <c r="B654" s="92" t="s">
        <v>143</v>
      </c>
      <c r="C654" s="92" t="n">
        <v>93046166</v>
      </c>
      <c r="D654" s="92" t="s">
        <v>206</v>
      </c>
      <c r="E654" s="92" t="s">
        <v>1921</v>
      </c>
      <c r="F654" s="92" t="s">
        <v>146</v>
      </c>
      <c r="G654" s="92" t="s">
        <v>147</v>
      </c>
      <c r="H654" s="92" t="s">
        <v>200</v>
      </c>
      <c r="I654" s="92" t="s">
        <v>204</v>
      </c>
      <c r="J654" s="92" t="s">
        <v>204</v>
      </c>
      <c r="K654" s="101" t="n">
        <v>-200</v>
      </c>
      <c r="L654" s="101" t="n">
        <f aca="false">K654-Q654+T654</f>
        <v>-200</v>
      </c>
      <c r="M654" s="92" t="s">
        <v>149</v>
      </c>
      <c r="N654" s="101" t="n">
        <v>-200</v>
      </c>
      <c r="O654" s="92" t="s">
        <v>149</v>
      </c>
      <c r="P654" s="101" t="n">
        <v>0</v>
      </c>
      <c r="Q654" s="101" t="n">
        <v>0</v>
      </c>
      <c r="R654" s="101" t="n">
        <v>-200</v>
      </c>
      <c r="S654" s="101" t="n">
        <v>0</v>
      </c>
      <c r="T654" s="101" t="n">
        <v>0</v>
      </c>
      <c r="U654" s="92" t="s">
        <v>150</v>
      </c>
      <c r="V654" s="92" t="s">
        <v>151</v>
      </c>
      <c r="Y654" s="92" t="s">
        <v>1931</v>
      </c>
      <c r="Z654" s="92" t="s">
        <v>208</v>
      </c>
      <c r="AD654" s="92" t="s">
        <v>155</v>
      </c>
      <c r="AE654" s="92" t="s">
        <v>156</v>
      </c>
      <c r="AF654" s="92" t="s">
        <v>1923</v>
      </c>
      <c r="AG654" s="92" t="s">
        <v>1924</v>
      </c>
      <c r="AI654" s="92" t="s">
        <v>1923</v>
      </c>
      <c r="AJ654" s="92" t="s">
        <v>1924</v>
      </c>
      <c r="AK654" s="92" t="s">
        <v>159</v>
      </c>
      <c r="AL654" s="92" t="s">
        <v>1925</v>
      </c>
      <c r="AM654" s="92" t="s">
        <v>225</v>
      </c>
      <c r="AP654" s="92" t="s">
        <v>208</v>
      </c>
      <c r="AQ654" s="92" t="s">
        <v>204</v>
      </c>
      <c r="AR654" s="92" t="s">
        <v>204</v>
      </c>
      <c r="AS654" s="92" t="s">
        <v>1933</v>
      </c>
      <c r="AT654" s="101" t="n">
        <v>0</v>
      </c>
      <c r="AU654" s="101" t="n">
        <v>-200</v>
      </c>
      <c r="AX654" s="92" t="s">
        <v>220</v>
      </c>
    </row>
    <row r="655" customFormat="false" ht="13.8" hidden="false" customHeight="false" outlineLevel="0" collapsed="false">
      <c r="A655" s="92" t="s">
        <v>142</v>
      </c>
      <c r="B655" s="92" t="s">
        <v>143</v>
      </c>
      <c r="C655" s="92" t="n">
        <v>93062212</v>
      </c>
      <c r="D655" s="92" t="s">
        <v>1934</v>
      </c>
      <c r="E655" s="92" t="s">
        <v>1921</v>
      </c>
      <c r="F655" s="92" t="s">
        <v>167</v>
      </c>
      <c r="G655" s="92" t="s">
        <v>147</v>
      </c>
      <c r="H655" s="92" t="s">
        <v>200</v>
      </c>
      <c r="I655" s="92" t="s">
        <v>1935</v>
      </c>
      <c r="J655" s="92" t="s">
        <v>1936</v>
      </c>
      <c r="K655" s="101" t="n">
        <v>1623616.05</v>
      </c>
      <c r="L655" s="101" t="n">
        <f aca="false">K655-Q655+T655</f>
        <v>1623616.05</v>
      </c>
      <c r="M655" s="92" t="s">
        <v>149</v>
      </c>
      <c r="N655" s="101" t="n">
        <v>1623616.05</v>
      </c>
      <c r="O655" s="92" t="s">
        <v>149</v>
      </c>
      <c r="P655" s="101" t="n">
        <v>1623616.05</v>
      </c>
      <c r="Q655" s="101" t="n">
        <v>0</v>
      </c>
      <c r="R655" s="101" t="n">
        <v>1623616.05</v>
      </c>
      <c r="S655" s="101" t="n">
        <v>0</v>
      </c>
      <c r="T655" s="101" t="n">
        <v>0</v>
      </c>
      <c r="U655" s="92" t="s">
        <v>1937</v>
      </c>
      <c r="V655" s="92" t="s">
        <v>1938</v>
      </c>
      <c r="X655" s="92" t="s">
        <v>1939</v>
      </c>
      <c r="Y655" s="92" t="s">
        <v>1940</v>
      </c>
      <c r="Z655" s="92" t="s">
        <v>1941</v>
      </c>
      <c r="AD655" s="92" t="s">
        <v>155</v>
      </c>
      <c r="AE655" s="92" t="s">
        <v>156</v>
      </c>
      <c r="AF655" s="92" t="s">
        <v>1937</v>
      </c>
      <c r="AG655" s="92" t="s">
        <v>1938</v>
      </c>
      <c r="AI655" s="92" t="s">
        <v>155</v>
      </c>
      <c r="AJ655" s="92" t="s">
        <v>156</v>
      </c>
      <c r="AK655" s="92" t="s">
        <v>159</v>
      </c>
      <c r="AL655" s="92" t="s">
        <v>160</v>
      </c>
      <c r="AM655" s="92" t="s">
        <v>161</v>
      </c>
      <c r="AR655" s="92" t="s">
        <v>1936</v>
      </c>
      <c r="AS655" s="92" t="s">
        <v>1942</v>
      </c>
      <c r="AT655" s="101" t="n">
        <v>0</v>
      </c>
      <c r="AU655" s="101" t="n">
        <v>1623616.05</v>
      </c>
      <c r="AX655" s="92" t="s">
        <v>165</v>
      </c>
    </row>
    <row r="656" customFormat="false" ht="13.8" hidden="false" customHeight="false" outlineLevel="0" collapsed="false">
      <c r="A656" s="92" t="s">
        <v>142</v>
      </c>
      <c r="B656" s="92" t="s">
        <v>143</v>
      </c>
      <c r="C656" s="92" t="n">
        <v>93062212</v>
      </c>
      <c r="D656" s="92" t="s">
        <v>1934</v>
      </c>
      <c r="E656" s="92" t="s">
        <v>1921</v>
      </c>
      <c r="F656" s="92" t="s">
        <v>167</v>
      </c>
      <c r="G656" s="92" t="s">
        <v>147</v>
      </c>
      <c r="H656" s="92" t="s">
        <v>200</v>
      </c>
      <c r="I656" s="92" t="s">
        <v>1935</v>
      </c>
      <c r="J656" s="92" t="s">
        <v>1936</v>
      </c>
      <c r="K656" s="101" t="n">
        <v>-1623616.05</v>
      </c>
      <c r="L656" s="101" t="n">
        <f aca="false">K656-Q656+T656</f>
        <v>-1623616.05</v>
      </c>
      <c r="M656" s="92" t="s">
        <v>149</v>
      </c>
      <c r="N656" s="101" t="n">
        <v>-1623616.05</v>
      </c>
      <c r="O656" s="92" t="s">
        <v>149</v>
      </c>
      <c r="P656" s="101" t="n">
        <v>-1623616.05</v>
      </c>
      <c r="Q656" s="101" t="n">
        <v>0</v>
      </c>
      <c r="R656" s="101" t="n">
        <v>-1623616.05</v>
      </c>
      <c r="S656" s="101" t="n">
        <v>0</v>
      </c>
      <c r="T656" s="101" t="n">
        <v>0</v>
      </c>
      <c r="U656" s="92" t="s">
        <v>1937</v>
      </c>
      <c r="V656" s="92" t="s">
        <v>1938</v>
      </c>
      <c r="X656" s="92" t="s">
        <v>1939</v>
      </c>
      <c r="Y656" s="92" t="s">
        <v>1940</v>
      </c>
      <c r="Z656" s="92" t="s">
        <v>1941</v>
      </c>
      <c r="AD656" s="92" t="s">
        <v>155</v>
      </c>
      <c r="AE656" s="92" t="s">
        <v>156</v>
      </c>
      <c r="AF656" s="92" t="s">
        <v>1937</v>
      </c>
      <c r="AG656" s="92" t="s">
        <v>1938</v>
      </c>
      <c r="AI656" s="92" t="s">
        <v>155</v>
      </c>
      <c r="AJ656" s="92" t="s">
        <v>156</v>
      </c>
      <c r="AK656" s="92" t="s">
        <v>159</v>
      </c>
      <c r="AL656" s="92" t="s">
        <v>224</v>
      </c>
      <c r="AM656" s="92" t="s">
        <v>225</v>
      </c>
      <c r="AR656" s="92" t="s">
        <v>1936</v>
      </c>
      <c r="AS656" s="92" t="s">
        <v>1942</v>
      </c>
      <c r="AT656" s="101" t="n">
        <v>0</v>
      </c>
      <c r="AU656" s="101" t="n">
        <v>-1623616.05</v>
      </c>
      <c r="AX656" s="92" t="s">
        <v>220</v>
      </c>
    </row>
    <row r="657" customFormat="false" ht="13.8" hidden="false" customHeight="false" outlineLevel="0" collapsed="false">
      <c r="A657" s="92" t="s">
        <v>142</v>
      </c>
      <c r="B657" s="92" t="s">
        <v>143</v>
      </c>
      <c r="C657" s="92" t="n">
        <v>93101630</v>
      </c>
      <c r="D657" s="92" t="s">
        <v>1943</v>
      </c>
      <c r="E657" s="92" t="s">
        <v>1921</v>
      </c>
      <c r="F657" s="92" t="s">
        <v>167</v>
      </c>
      <c r="G657" s="92" t="s">
        <v>147</v>
      </c>
      <c r="H657" s="92" t="s">
        <v>200</v>
      </c>
      <c r="I657" s="92" t="s">
        <v>235</v>
      </c>
      <c r="J657" s="92" t="s">
        <v>1944</v>
      </c>
      <c r="K657" s="101" t="n">
        <v>1490846.75</v>
      </c>
      <c r="L657" s="101" t="n">
        <f aca="false">K657-Q657+T657</f>
        <v>1490846.75</v>
      </c>
      <c r="M657" s="92" t="s">
        <v>149</v>
      </c>
      <c r="N657" s="101" t="n">
        <v>1490846.75</v>
      </c>
      <c r="O657" s="92" t="s">
        <v>149</v>
      </c>
      <c r="P657" s="101" t="n">
        <v>1490846.75</v>
      </c>
      <c r="Q657" s="101" t="n">
        <v>0</v>
      </c>
      <c r="R657" s="101" t="n">
        <v>1490846.75</v>
      </c>
      <c r="S657" s="101" t="n">
        <v>0</v>
      </c>
      <c r="T657" s="101" t="n">
        <v>0</v>
      </c>
      <c r="U657" s="92" t="s">
        <v>192</v>
      </c>
      <c r="V657" s="92" t="s">
        <v>151</v>
      </c>
      <c r="X657" s="92" t="s">
        <v>1945</v>
      </c>
      <c r="Y657" s="92" t="s">
        <v>1940</v>
      </c>
      <c r="Z657" s="92" t="s">
        <v>1946</v>
      </c>
      <c r="AD657" s="92" t="s">
        <v>155</v>
      </c>
      <c r="AE657" s="92" t="s">
        <v>156</v>
      </c>
      <c r="AF657" s="92" t="s">
        <v>192</v>
      </c>
      <c r="AG657" s="92" t="s">
        <v>151</v>
      </c>
      <c r="AI657" s="92" t="s">
        <v>155</v>
      </c>
      <c r="AJ657" s="92" t="s">
        <v>156</v>
      </c>
      <c r="AK657" s="92" t="s">
        <v>159</v>
      </c>
      <c r="AL657" s="92" t="s">
        <v>160</v>
      </c>
      <c r="AM657" s="92" t="s">
        <v>161</v>
      </c>
      <c r="AP657" s="92" t="s">
        <v>707</v>
      </c>
      <c r="AQ657" s="92" t="s">
        <v>705</v>
      </c>
      <c r="AR657" s="92" t="s">
        <v>1944</v>
      </c>
      <c r="AS657" s="92" t="s">
        <v>1947</v>
      </c>
      <c r="AT657" s="101" t="n">
        <v>0</v>
      </c>
      <c r="AU657" s="101" t="n">
        <v>1490846.75</v>
      </c>
      <c r="AX657" s="92" t="s">
        <v>220</v>
      </c>
    </row>
    <row r="658" customFormat="false" ht="13.8" hidden="false" customHeight="false" outlineLevel="0" collapsed="false">
      <c r="A658" s="92" t="s">
        <v>142</v>
      </c>
      <c r="B658" s="92" t="s">
        <v>143</v>
      </c>
      <c r="C658" s="92" t="n">
        <v>93101630</v>
      </c>
      <c r="D658" s="92" t="s">
        <v>1943</v>
      </c>
      <c r="E658" s="92" t="s">
        <v>1921</v>
      </c>
      <c r="F658" s="92" t="s">
        <v>167</v>
      </c>
      <c r="G658" s="92" t="s">
        <v>147</v>
      </c>
      <c r="H658" s="92" t="s">
        <v>200</v>
      </c>
      <c r="I658" s="92" t="s">
        <v>235</v>
      </c>
      <c r="J658" s="92" t="s">
        <v>1944</v>
      </c>
      <c r="K658" s="101" t="n">
        <v>-1490846.75</v>
      </c>
      <c r="L658" s="101" t="n">
        <f aca="false">K658-Q658+T658</f>
        <v>-1490846.75</v>
      </c>
      <c r="M658" s="92" t="s">
        <v>149</v>
      </c>
      <c r="N658" s="101" t="n">
        <v>-1490846.75</v>
      </c>
      <c r="O658" s="92" t="s">
        <v>149</v>
      </c>
      <c r="P658" s="101" t="n">
        <v>-1490846.75</v>
      </c>
      <c r="Q658" s="101" t="n">
        <v>0</v>
      </c>
      <c r="R658" s="101" t="n">
        <v>-1490846.75</v>
      </c>
      <c r="S658" s="101" t="n">
        <v>0</v>
      </c>
      <c r="T658" s="101" t="n">
        <v>0</v>
      </c>
      <c r="U658" s="92" t="s">
        <v>192</v>
      </c>
      <c r="V658" s="92" t="s">
        <v>151</v>
      </c>
      <c r="X658" s="92" t="s">
        <v>1945</v>
      </c>
      <c r="Y658" s="92" t="s">
        <v>1940</v>
      </c>
      <c r="Z658" s="92" t="s">
        <v>1946</v>
      </c>
      <c r="AD658" s="92" t="s">
        <v>155</v>
      </c>
      <c r="AE658" s="92" t="s">
        <v>156</v>
      </c>
      <c r="AF658" s="92" t="s">
        <v>192</v>
      </c>
      <c r="AG658" s="92" t="s">
        <v>151</v>
      </c>
      <c r="AI658" s="92" t="s">
        <v>155</v>
      </c>
      <c r="AJ658" s="92" t="s">
        <v>156</v>
      </c>
      <c r="AK658" s="92" t="s">
        <v>159</v>
      </c>
      <c r="AL658" s="92" t="s">
        <v>224</v>
      </c>
      <c r="AM658" s="92" t="s">
        <v>225</v>
      </c>
      <c r="AP658" s="92" t="s">
        <v>1190</v>
      </c>
      <c r="AQ658" s="92" t="s">
        <v>1191</v>
      </c>
      <c r="AR658" s="92" t="s">
        <v>1944</v>
      </c>
      <c r="AS658" s="92" t="s">
        <v>1947</v>
      </c>
      <c r="AT658" s="101" t="n">
        <v>0</v>
      </c>
      <c r="AU658" s="101" t="n">
        <v>-1490846.75</v>
      </c>
      <c r="AX658" s="92" t="s">
        <v>165</v>
      </c>
    </row>
    <row r="659" customFormat="false" ht="13.8" hidden="false" customHeight="false" outlineLevel="0" collapsed="false">
      <c r="A659" s="92" t="s">
        <v>142</v>
      </c>
      <c r="B659" s="92" t="s">
        <v>143</v>
      </c>
      <c r="C659" s="92" t="n">
        <v>93117008</v>
      </c>
      <c r="E659" s="92" t="s">
        <v>1921</v>
      </c>
      <c r="F659" s="92" t="s">
        <v>212</v>
      </c>
      <c r="G659" s="92" t="s">
        <v>147</v>
      </c>
      <c r="H659" s="92" t="s">
        <v>200</v>
      </c>
      <c r="I659" s="92" t="s">
        <v>1172</v>
      </c>
      <c r="J659" s="92" t="s">
        <v>1172</v>
      </c>
      <c r="K659" s="101" t="n">
        <v>1639864.88</v>
      </c>
      <c r="L659" s="101" t="n">
        <f aca="false">K659-Q659+T659</f>
        <v>1639864.88</v>
      </c>
      <c r="M659" s="92" t="s">
        <v>149</v>
      </c>
      <c r="N659" s="101" t="n">
        <v>1639864.88</v>
      </c>
      <c r="O659" s="92" t="s">
        <v>149</v>
      </c>
      <c r="P659" s="101" t="n">
        <v>0</v>
      </c>
      <c r="Q659" s="101" t="n">
        <v>0</v>
      </c>
      <c r="R659" s="101" t="n">
        <v>1639864.88</v>
      </c>
      <c r="S659" s="101" t="n">
        <v>0</v>
      </c>
      <c r="T659" s="101" t="n">
        <v>0</v>
      </c>
      <c r="U659" s="92" t="s">
        <v>150</v>
      </c>
      <c r="V659" s="92" t="s">
        <v>151</v>
      </c>
      <c r="Z659" s="92" t="s">
        <v>1282</v>
      </c>
      <c r="AD659" s="92" t="s">
        <v>155</v>
      </c>
      <c r="AE659" s="92" t="s">
        <v>156</v>
      </c>
      <c r="AF659" s="92" t="s">
        <v>150</v>
      </c>
      <c r="AG659" s="92" t="s">
        <v>151</v>
      </c>
      <c r="AI659" s="92" t="s">
        <v>155</v>
      </c>
      <c r="AJ659" s="92" t="s">
        <v>156</v>
      </c>
      <c r="AK659" s="92" t="s">
        <v>159</v>
      </c>
      <c r="AL659" s="92" t="s">
        <v>1408</v>
      </c>
      <c r="AM659" s="92" t="s">
        <v>161</v>
      </c>
      <c r="AP659" s="92" t="s">
        <v>1282</v>
      </c>
      <c r="AQ659" s="92" t="s">
        <v>1172</v>
      </c>
      <c r="AR659" s="92" t="s">
        <v>1172</v>
      </c>
      <c r="AS659" s="92" t="s">
        <v>1948</v>
      </c>
      <c r="AT659" s="101" t="n">
        <v>0</v>
      </c>
      <c r="AU659" s="101" t="n">
        <v>1639864.88</v>
      </c>
      <c r="AX659" s="92" t="s">
        <v>402</v>
      </c>
    </row>
    <row r="660" customFormat="false" ht="13.8" hidden="false" customHeight="false" outlineLevel="0" collapsed="false">
      <c r="A660" s="92" t="s">
        <v>142</v>
      </c>
      <c r="B660" s="92" t="s">
        <v>143</v>
      </c>
      <c r="C660" s="92" t="n">
        <v>93117008</v>
      </c>
      <c r="E660" s="92" t="s">
        <v>1921</v>
      </c>
      <c r="F660" s="92" t="s">
        <v>212</v>
      </c>
      <c r="G660" s="92" t="s">
        <v>147</v>
      </c>
      <c r="H660" s="92" t="s">
        <v>200</v>
      </c>
      <c r="I660" s="92" t="s">
        <v>1172</v>
      </c>
      <c r="J660" s="92" t="s">
        <v>1172</v>
      </c>
      <c r="K660" s="101" t="n">
        <v>-1639864.88</v>
      </c>
      <c r="L660" s="101" t="n">
        <f aca="false">K660-Q660+T660</f>
        <v>-1639864.88</v>
      </c>
      <c r="M660" s="92" t="s">
        <v>149</v>
      </c>
      <c r="N660" s="101" t="n">
        <v>-1639864.88</v>
      </c>
      <c r="O660" s="92" t="s">
        <v>149</v>
      </c>
      <c r="P660" s="101" t="n">
        <v>0</v>
      </c>
      <c r="Q660" s="101" t="n">
        <v>0</v>
      </c>
      <c r="R660" s="101" t="n">
        <v>-1639864.88</v>
      </c>
      <c r="S660" s="101" t="n">
        <v>0</v>
      </c>
      <c r="T660" s="101" t="n">
        <v>0</v>
      </c>
      <c r="U660" s="92" t="s">
        <v>150</v>
      </c>
      <c r="V660" s="92" t="s">
        <v>151</v>
      </c>
      <c r="Z660" s="92" t="s">
        <v>1282</v>
      </c>
      <c r="AD660" s="92" t="s">
        <v>155</v>
      </c>
      <c r="AE660" s="92" t="s">
        <v>156</v>
      </c>
      <c r="AF660" s="92" t="s">
        <v>150</v>
      </c>
      <c r="AG660" s="92" t="s">
        <v>151</v>
      </c>
      <c r="AI660" s="92" t="s">
        <v>155</v>
      </c>
      <c r="AJ660" s="92" t="s">
        <v>156</v>
      </c>
      <c r="AK660" s="92" t="s">
        <v>159</v>
      </c>
      <c r="AL660" s="92" t="s">
        <v>1925</v>
      </c>
      <c r="AM660" s="92" t="s">
        <v>225</v>
      </c>
      <c r="AP660" s="92" t="s">
        <v>1282</v>
      </c>
      <c r="AQ660" s="92" t="s">
        <v>1172</v>
      </c>
      <c r="AR660" s="92" t="s">
        <v>1172</v>
      </c>
      <c r="AS660" s="92" t="s">
        <v>1948</v>
      </c>
      <c r="AT660" s="101" t="n">
        <v>0</v>
      </c>
      <c r="AU660" s="101" t="n">
        <v>-1639864.88</v>
      </c>
      <c r="AX660" s="92" t="s">
        <v>220</v>
      </c>
    </row>
    <row r="661" customFormat="false" ht="13.8" hidden="false" customHeight="false" outlineLevel="0" collapsed="false">
      <c r="A661" s="92" t="s">
        <v>142</v>
      </c>
      <c r="B661" s="92" t="s">
        <v>143</v>
      </c>
      <c r="C661" s="92" t="n">
        <v>93117008</v>
      </c>
      <c r="E661" s="92" t="s">
        <v>1921</v>
      </c>
      <c r="F661" s="92" t="s">
        <v>212</v>
      </c>
      <c r="G661" s="92" t="s">
        <v>147</v>
      </c>
      <c r="H661" s="92" t="s">
        <v>200</v>
      </c>
      <c r="I661" s="92" t="s">
        <v>1172</v>
      </c>
      <c r="J661" s="92" t="s">
        <v>1172</v>
      </c>
      <c r="K661" s="101" t="n">
        <v>1237110.82</v>
      </c>
      <c r="L661" s="101" t="n">
        <f aca="false">K661-Q661+T661</f>
        <v>1237110.82</v>
      </c>
      <c r="M661" s="92" t="s">
        <v>149</v>
      </c>
      <c r="N661" s="101" t="n">
        <v>1237110.82</v>
      </c>
      <c r="O661" s="92" t="s">
        <v>149</v>
      </c>
      <c r="P661" s="101" t="n">
        <v>0</v>
      </c>
      <c r="Q661" s="101" t="n">
        <v>0</v>
      </c>
      <c r="R661" s="101" t="n">
        <v>1237110.82</v>
      </c>
      <c r="S661" s="101" t="n">
        <v>0</v>
      </c>
      <c r="T661" s="101" t="n">
        <v>0</v>
      </c>
      <c r="U661" s="92" t="s">
        <v>150</v>
      </c>
      <c r="V661" s="92" t="s">
        <v>151</v>
      </c>
      <c r="Z661" s="92" t="s">
        <v>1282</v>
      </c>
      <c r="AD661" s="92" t="s">
        <v>155</v>
      </c>
      <c r="AE661" s="92" t="s">
        <v>156</v>
      </c>
      <c r="AF661" s="92" t="s">
        <v>150</v>
      </c>
      <c r="AG661" s="92" t="s">
        <v>151</v>
      </c>
      <c r="AI661" s="92" t="s">
        <v>155</v>
      </c>
      <c r="AJ661" s="92" t="s">
        <v>156</v>
      </c>
      <c r="AK661" s="92" t="s">
        <v>159</v>
      </c>
      <c r="AL661" s="92" t="s">
        <v>1408</v>
      </c>
      <c r="AM661" s="92" t="s">
        <v>161</v>
      </c>
      <c r="AP661" s="92" t="s">
        <v>1282</v>
      </c>
      <c r="AQ661" s="92" t="s">
        <v>1172</v>
      </c>
      <c r="AR661" s="92" t="s">
        <v>1172</v>
      </c>
      <c r="AS661" s="92" t="s">
        <v>1948</v>
      </c>
      <c r="AT661" s="101" t="n">
        <v>0</v>
      </c>
      <c r="AU661" s="101" t="n">
        <v>1237110.82</v>
      </c>
      <c r="AX661" s="92" t="s">
        <v>148</v>
      </c>
    </row>
    <row r="662" customFormat="false" ht="13.8" hidden="false" customHeight="false" outlineLevel="0" collapsed="false">
      <c r="A662" s="92" t="s">
        <v>142</v>
      </c>
      <c r="B662" s="92" t="s">
        <v>143</v>
      </c>
      <c r="C662" s="92" t="n">
        <v>93117008</v>
      </c>
      <c r="E662" s="92" t="s">
        <v>1921</v>
      </c>
      <c r="F662" s="92" t="s">
        <v>212</v>
      </c>
      <c r="G662" s="92" t="s">
        <v>147</v>
      </c>
      <c r="H662" s="92" t="s">
        <v>200</v>
      </c>
      <c r="I662" s="92" t="s">
        <v>1172</v>
      </c>
      <c r="J662" s="92" t="s">
        <v>1172</v>
      </c>
      <c r="K662" s="101" t="n">
        <v>-1237110.82</v>
      </c>
      <c r="L662" s="101" t="n">
        <f aca="false">K662-Q662+T662</f>
        <v>-1237110.82</v>
      </c>
      <c r="M662" s="92" t="s">
        <v>149</v>
      </c>
      <c r="N662" s="101" t="n">
        <v>-1237110.82</v>
      </c>
      <c r="O662" s="92" t="s">
        <v>149</v>
      </c>
      <c r="P662" s="101" t="n">
        <v>0</v>
      </c>
      <c r="Q662" s="101" t="n">
        <v>0</v>
      </c>
      <c r="R662" s="101" t="n">
        <v>-1237110.82</v>
      </c>
      <c r="S662" s="101" t="n">
        <v>0</v>
      </c>
      <c r="T662" s="101" t="n">
        <v>0</v>
      </c>
      <c r="U662" s="92" t="s">
        <v>150</v>
      </c>
      <c r="V662" s="92" t="s">
        <v>151</v>
      </c>
      <c r="Z662" s="92" t="s">
        <v>1282</v>
      </c>
      <c r="AD662" s="92" t="s">
        <v>155</v>
      </c>
      <c r="AE662" s="92" t="s">
        <v>156</v>
      </c>
      <c r="AF662" s="92" t="s">
        <v>150</v>
      </c>
      <c r="AG662" s="92" t="s">
        <v>151</v>
      </c>
      <c r="AI662" s="92" t="s">
        <v>155</v>
      </c>
      <c r="AJ662" s="92" t="s">
        <v>156</v>
      </c>
      <c r="AK662" s="92" t="s">
        <v>159</v>
      </c>
      <c r="AL662" s="92" t="s">
        <v>1925</v>
      </c>
      <c r="AM662" s="92" t="s">
        <v>225</v>
      </c>
      <c r="AP662" s="92" t="s">
        <v>1282</v>
      </c>
      <c r="AQ662" s="92" t="s">
        <v>1172</v>
      </c>
      <c r="AR662" s="92" t="s">
        <v>1172</v>
      </c>
      <c r="AS662" s="92" t="s">
        <v>1948</v>
      </c>
      <c r="AT662" s="101" t="n">
        <v>0</v>
      </c>
      <c r="AU662" s="101" t="n">
        <v>-1237110.82</v>
      </c>
      <c r="AX662" s="92" t="s">
        <v>165</v>
      </c>
    </row>
    <row r="663" customFormat="false" ht="13.8" hidden="false" customHeight="false" outlineLevel="0" collapsed="false">
      <c r="A663" s="92" t="s">
        <v>142</v>
      </c>
      <c r="B663" s="92" t="s">
        <v>143</v>
      </c>
      <c r="C663" s="92" t="n">
        <v>93385931</v>
      </c>
      <c r="E663" s="92" t="s">
        <v>1921</v>
      </c>
      <c r="F663" s="92" t="s">
        <v>234</v>
      </c>
      <c r="G663" s="92" t="s">
        <v>147</v>
      </c>
      <c r="H663" s="92" t="s">
        <v>213</v>
      </c>
      <c r="I663" s="92" t="s">
        <v>873</v>
      </c>
      <c r="J663" s="92" t="s">
        <v>873</v>
      </c>
      <c r="K663" s="101" t="n">
        <v>7802.46</v>
      </c>
      <c r="L663" s="101" t="n">
        <f aca="false">K663-Q663+T663</f>
        <v>7802.46</v>
      </c>
      <c r="M663" s="92" t="s">
        <v>149</v>
      </c>
      <c r="N663" s="101" t="n">
        <v>7802.46</v>
      </c>
      <c r="O663" s="92" t="s">
        <v>149</v>
      </c>
      <c r="P663" s="101" t="n">
        <v>0</v>
      </c>
      <c r="Q663" s="101" t="n">
        <v>0</v>
      </c>
      <c r="R663" s="101" t="n">
        <v>7802.46</v>
      </c>
      <c r="S663" s="101" t="n">
        <v>0</v>
      </c>
      <c r="T663" s="101" t="n">
        <v>0</v>
      </c>
      <c r="U663" s="92" t="s">
        <v>192</v>
      </c>
      <c r="V663" s="92" t="s">
        <v>151</v>
      </c>
      <c r="Z663" s="92" t="s">
        <v>872</v>
      </c>
      <c r="AD663" s="92" t="s">
        <v>155</v>
      </c>
      <c r="AE663" s="92" t="s">
        <v>156</v>
      </c>
      <c r="AF663" s="92" t="s">
        <v>192</v>
      </c>
      <c r="AG663" s="92" t="s">
        <v>151</v>
      </c>
      <c r="AI663" s="92" t="s">
        <v>155</v>
      </c>
      <c r="AJ663" s="92" t="s">
        <v>156</v>
      </c>
      <c r="AK663" s="92" t="s">
        <v>159</v>
      </c>
      <c r="AL663" s="92" t="s">
        <v>1408</v>
      </c>
      <c r="AM663" s="92" t="s">
        <v>161</v>
      </c>
      <c r="AP663" s="92" t="s">
        <v>872</v>
      </c>
      <c r="AQ663" s="92" t="s">
        <v>873</v>
      </c>
      <c r="AR663" s="92" t="s">
        <v>873</v>
      </c>
      <c r="AS663" s="92" t="s">
        <v>1949</v>
      </c>
      <c r="AT663" s="101" t="n">
        <v>0</v>
      </c>
      <c r="AU663" s="101" t="n">
        <v>7802.46</v>
      </c>
      <c r="AX663" s="92" t="s">
        <v>165</v>
      </c>
    </row>
    <row r="664" customFormat="false" ht="13.8" hidden="false" customHeight="false" outlineLevel="0" collapsed="false">
      <c r="A664" s="92" t="s">
        <v>142</v>
      </c>
      <c r="B664" s="92" t="s">
        <v>143</v>
      </c>
      <c r="C664" s="92" t="n">
        <v>93385931</v>
      </c>
      <c r="E664" s="92" t="s">
        <v>1921</v>
      </c>
      <c r="F664" s="92" t="s">
        <v>234</v>
      </c>
      <c r="G664" s="92" t="s">
        <v>147</v>
      </c>
      <c r="H664" s="92" t="s">
        <v>213</v>
      </c>
      <c r="I664" s="92" t="s">
        <v>873</v>
      </c>
      <c r="J664" s="92" t="s">
        <v>873</v>
      </c>
      <c r="K664" s="101" t="n">
        <v>-7802.46</v>
      </c>
      <c r="L664" s="101" t="n">
        <f aca="false">K664-Q664+T664</f>
        <v>-7802.46</v>
      </c>
      <c r="M664" s="92" t="s">
        <v>149</v>
      </c>
      <c r="N664" s="101" t="n">
        <v>-7802.46</v>
      </c>
      <c r="O664" s="92" t="s">
        <v>149</v>
      </c>
      <c r="P664" s="101" t="n">
        <v>0</v>
      </c>
      <c r="Q664" s="101" t="n">
        <v>0</v>
      </c>
      <c r="R664" s="101" t="n">
        <v>-7802.46</v>
      </c>
      <c r="S664" s="101" t="n">
        <v>0</v>
      </c>
      <c r="T664" s="101" t="n">
        <v>0</v>
      </c>
      <c r="U664" s="92" t="s">
        <v>192</v>
      </c>
      <c r="V664" s="92" t="s">
        <v>151</v>
      </c>
      <c r="Z664" s="92" t="s">
        <v>872</v>
      </c>
      <c r="AD664" s="92" t="s">
        <v>155</v>
      </c>
      <c r="AE664" s="92" t="s">
        <v>156</v>
      </c>
      <c r="AF664" s="92" t="s">
        <v>192</v>
      </c>
      <c r="AG664" s="92" t="s">
        <v>151</v>
      </c>
      <c r="AI664" s="92" t="s">
        <v>155</v>
      </c>
      <c r="AJ664" s="92" t="s">
        <v>156</v>
      </c>
      <c r="AK664" s="92" t="s">
        <v>159</v>
      </c>
      <c r="AL664" s="92" t="s">
        <v>1925</v>
      </c>
      <c r="AM664" s="92" t="s">
        <v>225</v>
      </c>
      <c r="AP664" s="92" t="s">
        <v>872</v>
      </c>
      <c r="AQ664" s="92" t="s">
        <v>873</v>
      </c>
      <c r="AR664" s="92" t="s">
        <v>873</v>
      </c>
      <c r="AS664" s="92" t="s">
        <v>1949</v>
      </c>
      <c r="AT664" s="101" t="n">
        <v>0</v>
      </c>
      <c r="AU664" s="101" t="n">
        <v>-7802.46</v>
      </c>
      <c r="AX664" s="92" t="s">
        <v>220</v>
      </c>
    </row>
    <row r="665" customFormat="false" ht="13.8" hidden="false" customHeight="false" outlineLevel="0" collapsed="false">
      <c r="A665" s="92" t="s">
        <v>142</v>
      </c>
      <c r="B665" s="92" t="s">
        <v>143</v>
      </c>
      <c r="C665" s="92" t="n">
        <v>93393253</v>
      </c>
      <c r="E665" s="92" t="s">
        <v>1921</v>
      </c>
      <c r="F665" s="92" t="s">
        <v>234</v>
      </c>
      <c r="G665" s="92" t="s">
        <v>147</v>
      </c>
      <c r="H665" s="92" t="s">
        <v>213</v>
      </c>
      <c r="I665" s="92" t="s">
        <v>867</v>
      </c>
      <c r="J665" s="92" t="s">
        <v>867</v>
      </c>
      <c r="K665" s="101" t="n">
        <v>-2834</v>
      </c>
      <c r="L665" s="101" t="n">
        <f aca="false">K665-Q665+T665</f>
        <v>-2834</v>
      </c>
      <c r="M665" s="92" t="s">
        <v>149</v>
      </c>
      <c r="N665" s="101" t="n">
        <v>-2834</v>
      </c>
      <c r="O665" s="92" t="s">
        <v>149</v>
      </c>
      <c r="P665" s="101" t="n">
        <v>0</v>
      </c>
      <c r="Q665" s="101" t="n">
        <v>0</v>
      </c>
      <c r="R665" s="101" t="n">
        <v>-2834</v>
      </c>
      <c r="S665" s="101" t="n">
        <v>0</v>
      </c>
      <c r="T665" s="101" t="n">
        <v>0</v>
      </c>
      <c r="U665" s="92" t="s">
        <v>192</v>
      </c>
      <c r="V665" s="92" t="s">
        <v>151</v>
      </c>
      <c r="Z665" s="92" t="s">
        <v>866</v>
      </c>
      <c r="AD665" s="92" t="s">
        <v>155</v>
      </c>
      <c r="AE665" s="92" t="s">
        <v>156</v>
      </c>
      <c r="AF665" s="92" t="s">
        <v>192</v>
      </c>
      <c r="AG665" s="92" t="s">
        <v>151</v>
      </c>
      <c r="AI665" s="92" t="s">
        <v>155</v>
      </c>
      <c r="AJ665" s="92" t="s">
        <v>156</v>
      </c>
      <c r="AK665" s="92" t="s">
        <v>159</v>
      </c>
      <c r="AL665" s="92" t="s">
        <v>1925</v>
      </c>
      <c r="AM665" s="92" t="s">
        <v>225</v>
      </c>
      <c r="AP665" s="92" t="s">
        <v>866</v>
      </c>
      <c r="AQ665" s="92" t="s">
        <v>867</v>
      </c>
      <c r="AR665" s="92" t="s">
        <v>867</v>
      </c>
      <c r="AS665" s="92" t="s">
        <v>1950</v>
      </c>
      <c r="AT665" s="101" t="n">
        <v>0</v>
      </c>
      <c r="AU665" s="101" t="n">
        <v>-2834</v>
      </c>
      <c r="AX665" s="92" t="s">
        <v>220</v>
      </c>
    </row>
    <row r="666" customFormat="false" ht="13.8" hidden="false" customHeight="false" outlineLevel="0" collapsed="false">
      <c r="A666" s="92" t="s">
        <v>142</v>
      </c>
      <c r="B666" s="92" t="s">
        <v>143</v>
      </c>
      <c r="C666" s="92" t="n">
        <v>93393253</v>
      </c>
      <c r="E666" s="92" t="s">
        <v>1921</v>
      </c>
      <c r="F666" s="92" t="s">
        <v>234</v>
      </c>
      <c r="G666" s="92" t="s">
        <v>147</v>
      </c>
      <c r="H666" s="92" t="s">
        <v>213</v>
      </c>
      <c r="I666" s="92" t="s">
        <v>867</v>
      </c>
      <c r="J666" s="92" t="s">
        <v>867</v>
      </c>
      <c r="K666" s="101" t="n">
        <v>2834</v>
      </c>
      <c r="L666" s="101" t="n">
        <f aca="false">K666-Q666+T666</f>
        <v>2834</v>
      </c>
      <c r="M666" s="92" t="s">
        <v>149</v>
      </c>
      <c r="N666" s="101" t="n">
        <v>2834</v>
      </c>
      <c r="O666" s="92" t="s">
        <v>149</v>
      </c>
      <c r="P666" s="101" t="n">
        <v>0</v>
      </c>
      <c r="Q666" s="101" t="n">
        <v>0</v>
      </c>
      <c r="R666" s="101" t="n">
        <v>2834</v>
      </c>
      <c r="S666" s="101" t="n">
        <v>0</v>
      </c>
      <c r="T666" s="101" t="n">
        <v>0</v>
      </c>
      <c r="U666" s="92" t="s">
        <v>192</v>
      </c>
      <c r="V666" s="92" t="s">
        <v>151</v>
      </c>
      <c r="Z666" s="92" t="s">
        <v>866</v>
      </c>
      <c r="AD666" s="92" t="s">
        <v>155</v>
      </c>
      <c r="AE666" s="92" t="s">
        <v>156</v>
      </c>
      <c r="AF666" s="92" t="s">
        <v>192</v>
      </c>
      <c r="AG666" s="92" t="s">
        <v>151</v>
      </c>
      <c r="AI666" s="92" t="s">
        <v>155</v>
      </c>
      <c r="AJ666" s="92" t="s">
        <v>156</v>
      </c>
      <c r="AK666" s="92" t="s">
        <v>159</v>
      </c>
      <c r="AL666" s="92" t="s">
        <v>1408</v>
      </c>
      <c r="AM666" s="92" t="s">
        <v>161</v>
      </c>
      <c r="AP666" s="92" t="s">
        <v>866</v>
      </c>
      <c r="AQ666" s="92" t="s">
        <v>867</v>
      </c>
      <c r="AR666" s="92" t="s">
        <v>867</v>
      </c>
      <c r="AS666" s="92" t="s">
        <v>1950</v>
      </c>
      <c r="AT666" s="101" t="n">
        <v>0</v>
      </c>
      <c r="AU666" s="101" t="n">
        <v>2834</v>
      </c>
      <c r="AX666" s="92" t="s">
        <v>165</v>
      </c>
    </row>
    <row r="667" customFormat="false" ht="13.8" hidden="false" customHeight="false" outlineLevel="0" collapsed="false">
      <c r="A667" s="92" t="s">
        <v>142</v>
      </c>
      <c r="B667" s="92" t="s">
        <v>143</v>
      </c>
      <c r="C667" s="92" t="n">
        <v>93412068</v>
      </c>
      <c r="E667" s="92" t="s">
        <v>1921</v>
      </c>
      <c r="F667" s="92" t="s">
        <v>278</v>
      </c>
      <c r="G667" s="92" t="s">
        <v>147</v>
      </c>
      <c r="H667" s="92" t="s">
        <v>213</v>
      </c>
      <c r="I667" s="92" t="s">
        <v>214</v>
      </c>
      <c r="J667" s="92" t="s">
        <v>214</v>
      </c>
      <c r="K667" s="101" t="n">
        <v>382999.65</v>
      </c>
      <c r="L667" s="101" t="n">
        <f aca="false">K667-Q667+T667</f>
        <v>382999.65</v>
      </c>
      <c r="M667" s="92" t="s">
        <v>149</v>
      </c>
      <c r="N667" s="101" t="n">
        <v>382999.65</v>
      </c>
      <c r="O667" s="92" t="s">
        <v>149</v>
      </c>
      <c r="P667" s="101" t="n">
        <v>0</v>
      </c>
      <c r="Q667" s="101" t="n">
        <v>0</v>
      </c>
      <c r="R667" s="101" t="n">
        <v>382999.65</v>
      </c>
      <c r="S667" s="101" t="n">
        <v>0</v>
      </c>
      <c r="T667" s="101" t="n">
        <v>0</v>
      </c>
      <c r="U667" s="92" t="s">
        <v>1937</v>
      </c>
      <c r="V667" s="92" t="s">
        <v>1938</v>
      </c>
      <c r="Z667" s="92" t="s">
        <v>1951</v>
      </c>
      <c r="AD667" s="92" t="s">
        <v>155</v>
      </c>
      <c r="AE667" s="92" t="s">
        <v>156</v>
      </c>
      <c r="AF667" s="92" t="s">
        <v>1908</v>
      </c>
      <c r="AG667" s="92" t="s">
        <v>1909</v>
      </c>
      <c r="AI667" s="92" t="s">
        <v>1908</v>
      </c>
      <c r="AJ667" s="92" t="s">
        <v>1909</v>
      </c>
      <c r="AK667" s="92" t="s">
        <v>159</v>
      </c>
      <c r="AL667" s="92" t="s">
        <v>1408</v>
      </c>
      <c r="AM667" s="92" t="s">
        <v>161</v>
      </c>
      <c r="AP667" s="92" t="s">
        <v>1951</v>
      </c>
      <c r="AQ667" s="92" t="s">
        <v>214</v>
      </c>
      <c r="AR667" s="92" t="s">
        <v>1952</v>
      </c>
      <c r="AS667" s="92" t="s">
        <v>1953</v>
      </c>
      <c r="AT667" s="101" t="n">
        <v>0</v>
      </c>
      <c r="AU667" s="101" t="n">
        <v>382999.65</v>
      </c>
      <c r="AX667" s="92" t="s">
        <v>220</v>
      </c>
    </row>
    <row r="668" customFormat="false" ht="13.8" hidden="false" customHeight="false" outlineLevel="0" collapsed="false">
      <c r="K668" s="113"/>
      <c r="L668" s="113"/>
      <c r="Q668" s="113"/>
      <c r="T668" s="113"/>
    </row>
    <row r="669" s="114" customFormat="true" ht="13.8" hidden="false" customHeight="false" outlineLevel="0" collapsed="false">
      <c r="K669" s="115" t="n">
        <f aca="false">SUBTOTAL(9,K2:K667)</f>
        <v>9442187.29000004</v>
      </c>
      <c r="L669" s="115" t="n">
        <f aca="false">SUBTOTAL(9,L2:L667)</f>
        <v>43338406.83</v>
      </c>
      <c r="Q669" s="115" t="n">
        <f aca="false">SUBTOTAL(9,Q2:Q667)</f>
        <v>-34636394.14</v>
      </c>
      <c r="R669" s="115" t="n">
        <f aca="false">SUBTOTAL(9,R2:R667)</f>
        <v>35610263.7700001</v>
      </c>
      <c r="S669" s="115" t="n">
        <f aca="false">SUBTOTAL(9,S2:S667)</f>
        <v>-36972907.03</v>
      </c>
      <c r="T669" s="115" t="n">
        <f aca="false">SUBTOTAL(9,T2:T667)</f>
        <v>-740174.6</v>
      </c>
      <c r="AMH669" s="0"/>
      <c r="AMI669" s="0"/>
      <c r="AMJ669" s="0"/>
    </row>
    <row r="670" customFormat="false" ht="13.8" hidden="false" customHeight="false" outlineLevel="0" collapsed="false">
      <c r="L670" s="116"/>
    </row>
    <row r="671" customFormat="false" ht="13.8" hidden="false" customHeight="false" outlineLevel="0" collapsed="false">
      <c r="K671" s="92" t="n">
        <f aca="false">L671+Q671</f>
        <v>-225659525.77</v>
      </c>
      <c r="L671" s="92" t="n">
        <v>-191023131.63</v>
      </c>
      <c r="Q671" s="92" t="n">
        <v>-34636394.14</v>
      </c>
    </row>
    <row r="672" customFormat="false" ht="13.8" hidden="false" customHeight="false" outlineLevel="0" collapsed="false">
      <c r="K672" s="92" t="n">
        <f aca="false">K669-K671</f>
        <v>235101713.06</v>
      </c>
    </row>
    <row r="673" customFormat="false" ht="13.8" hidden="false" customHeight="false" outlineLevel="0" collapsed="false">
      <c r="R673" s="92" t="n">
        <f aca="false">R669-L669</f>
        <v>-7728143.05999994</v>
      </c>
    </row>
    <row r="675" customFormat="false" ht="13.8" hidden="false" customHeight="false" outlineLevel="0" collapsed="false">
      <c r="K675" s="92" t="n">
        <f aca="false">K669-Q669+T669</f>
        <v>43338406.83</v>
      </c>
    </row>
  </sheetData>
  <autoFilter ref="A1:AX667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AMJ1500"/>
  <sheetViews>
    <sheetView showFormulas="false" showGridLines="true" showRowColHeaders="true" showZeros="true" rightToLeft="false" tabSelected="false" showOutlineSymbols="true" defaultGridColor="true" view="normal" topLeftCell="Y1" colorId="64" zoomScale="85" zoomScaleNormal="85" zoomScalePageLayoutView="100" workbookViewId="0">
      <pane xSplit="0" ySplit="1" topLeftCell="A2" activePane="bottomLeft" state="frozen"/>
      <selection pane="topLeft" activeCell="Y1" activeCellId="0" sqref="Y1"/>
      <selection pane="bottomLeft" activeCell="Z1" activeCellId="0" sqref="Z1"/>
    </sheetView>
  </sheetViews>
  <sheetFormatPr defaultRowHeight="13.8" zeroHeight="false" outlineLevelRow="0" outlineLevelCol="0"/>
  <cols>
    <col collapsed="false" customWidth="true" hidden="false" outlineLevel="0" max="1" min="1" style="117" width="9.33"/>
    <col collapsed="false" customWidth="true" hidden="false" outlineLevel="0" max="2" min="2" style="117" width="9.11"/>
    <col collapsed="false" customWidth="true" hidden="false" outlineLevel="0" max="3" min="3" style="117" width="11"/>
    <col collapsed="false" customWidth="true" hidden="false" outlineLevel="0" max="4" min="4" style="117" width="16.66"/>
    <col collapsed="false" customWidth="true" hidden="false" outlineLevel="0" max="5" min="5" style="117" width="9.11"/>
    <col collapsed="false" customWidth="true" hidden="false" outlineLevel="0" max="8" min="6" style="117" width="9.33"/>
    <col collapsed="false" customWidth="true" hidden="false" outlineLevel="0" max="9" min="9" style="118" width="10.44"/>
    <col collapsed="false" customWidth="true" hidden="false" outlineLevel="0" max="10" min="10" style="118" width="20.11"/>
    <col collapsed="false" customWidth="true" hidden="false" outlineLevel="0" max="11" min="11" style="119" width="17.13"/>
    <col collapsed="false" customWidth="true" hidden="false" outlineLevel="0" max="12" min="12" style="117" width="17.13"/>
    <col collapsed="false" customWidth="true" hidden="false" outlineLevel="0" max="13" min="13" style="117" width="9.11"/>
    <col collapsed="false" customWidth="true" hidden="false" outlineLevel="0" max="14" min="14" style="119" width="17.13"/>
    <col collapsed="false" customWidth="true" hidden="false" outlineLevel="0" max="15" min="15" style="117" width="9.11"/>
    <col collapsed="false" customWidth="true" hidden="false" outlineLevel="0" max="16" min="16" style="117" width="9.33"/>
    <col collapsed="false" customWidth="true" hidden="false" outlineLevel="0" max="17" min="17" style="117" width="16.02"/>
    <col collapsed="false" customWidth="true" hidden="false" outlineLevel="0" max="18" min="18" style="119" width="17.13"/>
    <col collapsed="false" customWidth="true" hidden="false" outlineLevel="0" max="19" min="19" style="117" width="9.33"/>
    <col collapsed="false" customWidth="true" hidden="false" outlineLevel="0" max="20" min="20" style="117" width="16.53"/>
    <col collapsed="false" customWidth="true" hidden="false" outlineLevel="0" max="21" min="21" style="117" width="9.33"/>
    <col collapsed="false" customWidth="true" hidden="false" outlineLevel="0" max="25" min="22" style="117" width="9.11"/>
    <col collapsed="false" customWidth="true" hidden="false" outlineLevel="0" max="26" min="26" style="117" width="11"/>
    <col collapsed="false" customWidth="true" hidden="false" outlineLevel="0" max="27" min="27" style="117" width="9.11"/>
    <col collapsed="false" customWidth="true" hidden="false" outlineLevel="0" max="28" min="28" style="117" width="11"/>
    <col collapsed="false" customWidth="true" hidden="false" outlineLevel="0" max="29" min="29" style="117" width="9.11"/>
    <col collapsed="false" customWidth="true" hidden="false" outlineLevel="0" max="30" min="30" style="117" width="9.33"/>
    <col collapsed="false" customWidth="true" hidden="false" outlineLevel="0" max="31" min="31" style="117" width="9.11"/>
    <col collapsed="false" customWidth="true" hidden="false" outlineLevel="0" max="32" min="32" style="117" width="9.33"/>
    <col collapsed="false" customWidth="true" hidden="false" outlineLevel="0" max="33" min="33" style="117" width="28.11"/>
    <col collapsed="false" customWidth="true" hidden="false" outlineLevel="0" max="34" min="34" style="117" width="9.11"/>
    <col collapsed="false" customWidth="true" hidden="false" outlineLevel="0" max="35" min="35" style="117" width="9.33"/>
    <col collapsed="false" customWidth="true" hidden="false" outlineLevel="0" max="36" min="36" style="117" width="35.34"/>
    <col collapsed="false" customWidth="true" hidden="false" outlineLevel="0" max="38" min="37" style="117" width="9.33"/>
    <col collapsed="false" customWidth="true" hidden="false" outlineLevel="0" max="40" min="39" style="117" width="9.11"/>
    <col collapsed="false" customWidth="true" hidden="false" outlineLevel="0" max="42" min="41" style="117" width="10"/>
    <col collapsed="false" customWidth="true" hidden="false" outlineLevel="0" max="44" min="43" style="118" width="9.33"/>
    <col collapsed="false" customWidth="true" hidden="false" outlineLevel="0" max="47" min="45" style="117" width="9.33"/>
    <col collapsed="false" customWidth="true" hidden="false" outlineLevel="0" max="48" min="48" style="117" width="9.11"/>
    <col collapsed="false" customWidth="true" hidden="false" outlineLevel="0" max="50" min="49" style="117" width="9.33"/>
    <col collapsed="false" customWidth="true" hidden="false" outlineLevel="0" max="1008" min="51" style="117" width="9.11"/>
    <col collapsed="false" customWidth="true" hidden="false" outlineLevel="0" max="1025" min="1009" style="0" width="9.14"/>
  </cols>
  <sheetData>
    <row r="1" s="127" customFormat="true" ht="33" hidden="false" customHeight="false" outlineLevel="0" collapsed="false">
      <c r="A1" s="120" t="s">
        <v>92</v>
      </c>
      <c r="B1" s="120" t="s">
        <v>93</v>
      </c>
      <c r="C1" s="120" t="s">
        <v>94</v>
      </c>
      <c r="D1" s="120" t="s">
        <v>95</v>
      </c>
      <c r="E1" s="121" t="s">
        <v>96</v>
      </c>
      <c r="F1" s="120" t="s">
        <v>97</v>
      </c>
      <c r="G1" s="120" t="s">
        <v>98</v>
      </c>
      <c r="H1" s="121" t="s">
        <v>99</v>
      </c>
      <c r="I1" s="122" t="s">
        <v>1954</v>
      </c>
      <c r="J1" s="122" t="s">
        <v>101</v>
      </c>
      <c r="K1" s="123" t="s">
        <v>102</v>
      </c>
      <c r="L1" s="124" t="s">
        <v>103</v>
      </c>
      <c r="M1" s="121" t="s">
        <v>104</v>
      </c>
      <c r="N1" s="123" t="s">
        <v>105</v>
      </c>
      <c r="O1" s="121" t="s">
        <v>106</v>
      </c>
      <c r="P1" s="121" t="s">
        <v>107</v>
      </c>
      <c r="Q1" s="120" t="s">
        <v>108</v>
      </c>
      <c r="R1" s="125" t="s">
        <v>109</v>
      </c>
      <c r="S1" s="120" t="s">
        <v>110</v>
      </c>
      <c r="T1" s="121" t="s">
        <v>111</v>
      </c>
      <c r="U1" s="121" t="s">
        <v>1955</v>
      </c>
      <c r="V1" s="121" t="s">
        <v>1956</v>
      </c>
      <c r="W1" s="120" t="s">
        <v>114</v>
      </c>
      <c r="X1" s="120" t="s">
        <v>1957</v>
      </c>
      <c r="Y1" s="120" t="s">
        <v>1958</v>
      </c>
      <c r="Z1" s="120" t="s">
        <v>1959</v>
      </c>
      <c r="AA1" s="120" t="s">
        <v>118</v>
      </c>
      <c r="AB1" s="120" t="s">
        <v>119</v>
      </c>
      <c r="AC1" s="120" t="s">
        <v>120</v>
      </c>
      <c r="AD1" s="120" t="s">
        <v>121</v>
      </c>
      <c r="AE1" s="120" t="s">
        <v>122</v>
      </c>
      <c r="AF1" s="120" t="s">
        <v>123</v>
      </c>
      <c r="AG1" s="121" t="s">
        <v>124</v>
      </c>
      <c r="AH1" s="120" t="s">
        <v>125</v>
      </c>
      <c r="AI1" s="126" t="s">
        <v>126</v>
      </c>
      <c r="AJ1" s="120" t="s">
        <v>127</v>
      </c>
      <c r="AK1" s="120" t="s">
        <v>128</v>
      </c>
      <c r="AL1" s="121" t="s">
        <v>129</v>
      </c>
      <c r="AM1" s="120" t="s">
        <v>1960</v>
      </c>
      <c r="AN1" s="121" t="s">
        <v>1961</v>
      </c>
      <c r="AO1" s="120" t="s">
        <v>132</v>
      </c>
      <c r="AP1" s="120" t="s">
        <v>133</v>
      </c>
      <c r="AQ1" s="122" t="s">
        <v>134</v>
      </c>
      <c r="AR1" s="122" t="s">
        <v>135</v>
      </c>
      <c r="AS1" s="120" t="s">
        <v>136</v>
      </c>
      <c r="AT1" s="120" t="s">
        <v>137</v>
      </c>
      <c r="AU1" s="120" t="s">
        <v>138</v>
      </c>
      <c r="AV1" s="121" t="s">
        <v>139</v>
      </c>
      <c r="AW1" s="120" t="s">
        <v>140</v>
      </c>
      <c r="AX1" s="120" t="s">
        <v>141</v>
      </c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true" customHeight="false" outlineLevel="0" collapsed="false">
      <c r="A2" s="117" t="n">
        <v>1000</v>
      </c>
      <c r="B2" s="117" t="s">
        <v>1962</v>
      </c>
      <c r="C2" s="117" t="n">
        <v>100058209</v>
      </c>
      <c r="E2" s="117" t="s">
        <v>1921</v>
      </c>
      <c r="F2" s="117" t="n">
        <v>1109</v>
      </c>
      <c r="G2" s="117" t="n">
        <v>2019</v>
      </c>
      <c r="H2" s="117" t="n">
        <v>4</v>
      </c>
      <c r="I2" s="118" t="n">
        <v>43677</v>
      </c>
      <c r="J2" s="118" t="n">
        <v>43677</v>
      </c>
      <c r="K2" s="119" t="n">
        <v>463358.86</v>
      </c>
      <c r="L2" s="128" t="n">
        <f aca="false">K2-Q2+T2</f>
        <v>463358.86</v>
      </c>
      <c r="M2" s="117" t="s">
        <v>149</v>
      </c>
      <c r="N2" s="117" t="n">
        <v>463358.86</v>
      </c>
      <c r="O2" s="117" t="s">
        <v>149</v>
      </c>
      <c r="P2" s="117" t="n">
        <v>0</v>
      </c>
      <c r="Q2" s="117" t="n">
        <v>0</v>
      </c>
      <c r="R2" s="117" t="n">
        <v>463358.86</v>
      </c>
      <c r="S2" s="117" t="n">
        <v>0</v>
      </c>
      <c r="T2" s="117" t="n">
        <v>0</v>
      </c>
      <c r="U2" s="117" t="n">
        <v>312193</v>
      </c>
      <c r="V2" s="117" t="s">
        <v>1963</v>
      </c>
      <c r="X2" s="117" t="s">
        <v>1964</v>
      </c>
      <c r="Z2" s="117" t="n">
        <v>2316</v>
      </c>
      <c r="AB2" s="117" t="s">
        <v>1965</v>
      </c>
      <c r="AD2" s="117" t="n">
        <v>110000</v>
      </c>
      <c r="AE2" s="117" t="s">
        <v>1966</v>
      </c>
      <c r="AF2" s="117" t="n">
        <v>110000</v>
      </c>
      <c r="AG2" s="117" t="s">
        <v>1966</v>
      </c>
      <c r="AI2" s="117" t="n">
        <v>110000</v>
      </c>
      <c r="AJ2" s="117" t="s">
        <v>1966</v>
      </c>
      <c r="AK2" s="117" t="n">
        <v>0</v>
      </c>
      <c r="AL2" s="117" t="n">
        <v>4</v>
      </c>
      <c r="AM2" s="117" t="s">
        <v>161</v>
      </c>
      <c r="AP2" s="117" t="n">
        <v>100058463</v>
      </c>
      <c r="AQ2" s="118" t="n">
        <v>43677</v>
      </c>
      <c r="AR2" s="118" t="n">
        <v>43678</v>
      </c>
      <c r="AS2" s="117" t="n">
        <v>0.197037037037037</v>
      </c>
      <c r="AT2" s="117" t="n">
        <v>0</v>
      </c>
      <c r="AU2" s="117" t="n">
        <v>0</v>
      </c>
      <c r="AX2" s="117" t="n">
        <v>2</v>
      </c>
    </row>
    <row r="3" customFormat="false" ht="13.8" hidden="true" customHeight="false" outlineLevel="0" collapsed="false">
      <c r="A3" s="117" t="n">
        <v>1000</v>
      </c>
      <c r="B3" s="117" t="s">
        <v>1962</v>
      </c>
      <c r="C3" s="117" t="n">
        <v>100082045</v>
      </c>
      <c r="E3" s="117" t="s">
        <v>1921</v>
      </c>
      <c r="F3" s="117" t="n">
        <v>1101</v>
      </c>
      <c r="G3" s="117" t="n">
        <v>2019</v>
      </c>
      <c r="H3" s="117" t="n">
        <v>5</v>
      </c>
      <c r="I3" s="118" t="n">
        <v>43708</v>
      </c>
      <c r="J3" s="118" t="n">
        <v>43708</v>
      </c>
      <c r="K3" s="119" t="n">
        <v>74051</v>
      </c>
      <c r="L3" s="128" t="n">
        <f aca="false">K3-Q3+T3</f>
        <v>74051</v>
      </c>
      <c r="M3" s="117" t="s">
        <v>149</v>
      </c>
      <c r="N3" s="117" t="n">
        <v>74051</v>
      </c>
      <c r="O3" s="117" t="s">
        <v>149</v>
      </c>
      <c r="P3" s="117" t="n">
        <v>0</v>
      </c>
      <c r="Q3" s="117" t="n">
        <v>0</v>
      </c>
      <c r="R3" s="117" t="n">
        <v>74051</v>
      </c>
      <c r="S3" s="117" t="n">
        <v>0</v>
      </c>
      <c r="T3" s="117" t="n">
        <v>0</v>
      </c>
      <c r="U3" s="117" t="n">
        <v>318999</v>
      </c>
      <c r="V3" s="117" t="s">
        <v>143</v>
      </c>
      <c r="X3" s="117" t="s">
        <v>1967</v>
      </c>
      <c r="Z3" s="117" t="n">
        <v>100082045</v>
      </c>
      <c r="AD3" s="117" t="n">
        <v>110000</v>
      </c>
      <c r="AE3" s="117" t="s">
        <v>1966</v>
      </c>
      <c r="AF3" s="117" t="n">
        <v>110000</v>
      </c>
      <c r="AG3" s="117" t="s">
        <v>1966</v>
      </c>
      <c r="AI3" s="117" t="n">
        <v>110000</v>
      </c>
      <c r="AJ3" s="117" t="s">
        <v>1966</v>
      </c>
      <c r="AK3" s="117" t="n">
        <v>0</v>
      </c>
      <c r="AL3" s="117" t="n">
        <v>4</v>
      </c>
      <c r="AM3" s="117" t="s">
        <v>161</v>
      </c>
      <c r="AR3" s="118" t="n">
        <v>43710</v>
      </c>
      <c r="AS3" s="117" t="n">
        <v>0.352673611111111</v>
      </c>
      <c r="AT3" s="117" t="n">
        <v>0</v>
      </c>
      <c r="AU3" s="117" t="n">
        <v>0</v>
      </c>
      <c r="AX3" s="117" t="n">
        <v>3</v>
      </c>
    </row>
    <row r="4" customFormat="false" ht="13.8" hidden="true" customHeight="false" outlineLevel="0" collapsed="false">
      <c r="A4" s="117" t="n">
        <v>1000</v>
      </c>
      <c r="B4" s="117" t="s">
        <v>1962</v>
      </c>
      <c r="C4" s="117" t="n">
        <v>100075998</v>
      </c>
      <c r="E4" s="117" t="s">
        <v>1921</v>
      </c>
      <c r="F4" s="117" t="n">
        <v>1101</v>
      </c>
      <c r="G4" s="117" t="n">
        <v>2019</v>
      </c>
      <c r="H4" s="117" t="n">
        <v>5</v>
      </c>
      <c r="I4" s="118" t="n">
        <v>43703</v>
      </c>
      <c r="J4" s="118" t="n">
        <v>43703</v>
      </c>
      <c r="K4" s="119" t="n">
        <v>-6259900</v>
      </c>
      <c r="L4" s="128" t="n">
        <f aca="false">K4-Q4+T4</f>
        <v>-6259900</v>
      </c>
      <c r="M4" s="117" t="s">
        <v>149</v>
      </c>
      <c r="N4" s="117" t="n">
        <v>-6259900</v>
      </c>
      <c r="O4" s="117" t="s">
        <v>149</v>
      </c>
      <c r="P4" s="117" t="n">
        <v>0</v>
      </c>
      <c r="Q4" s="117" t="n">
        <v>0</v>
      </c>
      <c r="R4" s="117" t="n">
        <v>-6259900</v>
      </c>
      <c r="S4" s="117" t="n">
        <v>0</v>
      </c>
      <c r="T4" s="117" t="n">
        <v>0</v>
      </c>
      <c r="U4" s="117" t="n">
        <v>309728</v>
      </c>
      <c r="V4" s="117" t="s">
        <v>1968</v>
      </c>
      <c r="Z4" s="117" t="n">
        <v>100075998</v>
      </c>
      <c r="AD4" s="117" t="n">
        <v>110000</v>
      </c>
      <c r="AE4" s="117" t="s">
        <v>1966</v>
      </c>
      <c r="AF4" s="117" t="n">
        <v>310300</v>
      </c>
      <c r="AG4" s="117" t="s">
        <v>1969</v>
      </c>
      <c r="AI4" s="117" t="n">
        <v>310300</v>
      </c>
      <c r="AJ4" s="117" t="s">
        <v>1969</v>
      </c>
      <c r="AK4" s="117" t="n">
        <v>0</v>
      </c>
      <c r="AL4" s="117" t="n">
        <v>17</v>
      </c>
      <c r="AM4" s="117" t="s">
        <v>225</v>
      </c>
      <c r="AP4" s="117" t="n">
        <v>100075998</v>
      </c>
      <c r="AQ4" s="118" t="n">
        <v>43703</v>
      </c>
      <c r="AR4" s="118" t="n">
        <v>43703</v>
      </c>
      <c r="AS4" s="117" t="n">
        <v>0.739675925925926</v>
      </c>
      <c r="AT4" s="117" t="n">
        <v>0</v>
      </c>
      <c r="AU4" s="117" t="n">
        <v>0</v>
      </c>
      <c r="AX4" s="117" t="n">
        <v>1</v>
      </c>
    </row>
    <row r="5" s="106" customFormat="true" ht="13.8" hidden="true" customHeight="false" outlineLevel="0" collapsed="false">
      <c r="A5" s="106" t="n">
        <v>1000</v>
      </c>
      <c r="B5" s="106" t="s">
        <v>1962</v>
      </c>
      <c r="C5" s="106" t="n">
        <v>113598</v>
      </c>
      <c r="D5" s="106" t="n">
        <v>95004888</v>
      </c>
      <c r="E5" s="106" t="s">
        <v>1970</v>
      </c>
      <c r="F5" s="106" t="n">
        <v>1109</v>
      </c>
      <c r="G5" s="106" t="n">
        <v>2019</v>
      </c>
      <c r="H5" s="106" t="n">
        <v>12</v>
      </c>
      <c r="I5" s="129" t="n">
        <v>43893</v>
      </c>
      <c r="J5" s="129" t="n">
        <v>43893</v>
      </c>
      <c r="K5" s="107" t="n">
        <v>444919</v>
      </c>
      <c r="L5" s="130" t="n">
        <f aca="false">K5-Q5+T5</f>
        <v>377050</v>
      </c>
      <c r="M5" s="106" t="s">
        <v>149</v>
      </c>
      <c r="N5" s="106" t="n">
        <v>444919</v>
      </c>
      <c r="O5" s="106" t="s">
        <v>149</v>
      </c>
      <c r="P5" s="106" t="n">
        <v>0</v>
      </c>
      <c r="Q5" s="107" t="n">
        <v>67869</v>
      </c>
      <c r="R5" s="106" t="n">
        <v>377050</v>
      </c>
      <c r="S5" s="106" t="n">
        <v>0</v>
      </c>
      <c r="T5" s="106" t="n">
        <v>0</v>
      </c>
      <c r="U5" s="106" t="n">
        <v>312193</v>
      </c>
      <c r="V5" s="106" t="s">
        <v>1963</v>
      </c>
      <c r="Z5" s="106" t="n">
        <v>2525</v>
      </c>
      <c r="AB5" s="106" t="s">
        <v>1076</v>
      </c>
      <c r="AD5" s="106" t="n">
        <v>110000</v>
      </c>
      <c r="AE5" s="106" t="s">
        <v>1966</v>
      </c>
      <c r="AF5" s="106" t="n">
        <v>501020</v>
      </c>
      <c r="AG5" s="106" t="s">
        <v>1971</v>
      </c>
      <c r="AI5" s="106" t="n">
        <v>501020</v>
      </c>
      <c r="AJ5" s="106" t="s">
        <v>1971</v>
      </c>
      <c r="AK5" s="106" t="n">
        <v>0</v>
      </c>
      <c r="AL5" s="106" t="n">
        <v>1</v>
      </c>
      <c r="AM5" s="106" t="s">
        <v>161</v>
      </c>
      <c r="AQ5" s="129"/>
      <c r="AR5" s="129" t="n">
        <v>43893</v>
      </c>
      <c r="AS5" s="106" t="n">
        <v>0.594444444444445</v>
      </c>
      <c r="AT5" s="106" t="n">
        <v>0</v>
      </c>
      <c r="AU5" s="106" t="n">
        <v>0</v>
      </c>
      <c r="AW5" s="106" t="n">
        <v>0</v>
      </c>
      <c r="AX5" s="106" t="n">
        <v>1</v>
      </c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s="106" customFormat="true" ht="13.8" hidden="true" customHeight="false" outlineLevel="0" collapsed="false">
      <c r="A6" s="106" t="n">
        <v>1000</v>
      </c>
      <c r="B6" s="106" t="s">
        <v>1962</v>
      </c>
      <c r="C6" s="106" t="n">
        <v>113643</v>
      </c>
      <c r="D6" s="106" t="n">
        <v>95004889</v>
      </c>
      <c r="E6" s="106" t="s">
        <v>1970</v>
      </c>
      <c r="F6" s="106" t="n">
        <v>1109</v>
      </c>
      <c r="G6" s="106" t="n">
        <v>2019</v>
      </c>
      <c r="H6" s="106" t="n">
        <v>12</v>
      </c>
      <c r="I6" s="129" t="n">
        <v>43895</v>
      </c>
      <c r="J6" s="129" t="n">
        <v>43895</v>
      </c>
      <c r="K6" s="107" t="n">
        <v>570730.6</v>
      </c>
      <c r="L6" s="130" t="n">
        <f aca="false">K6-Q6+T6</f>
        <v>483670</v>
      </c>
      <c r="M6" s="106" t="s">
        <v>149</v>
      </c>
      <c r="N6" s="106" t="n">
        <v>570730.6</v>
      </c>
      <c r="O6" s="106" t="s">
        <v>149</v>
      </c>
      <c r="P6" s="106" t="n">
        <v>0</v>
      </c>
      <c r="Q6" s="107" t="n">
        <v>87060.6</v>
      </c>
      <c r="R6" s="106" t="n">
        <v>483670</v>
      </c>
      <c r="S6" s="106" t="n">
        <v>0</v>
      </c>
      <c r="T6" s="106" t="n">
        <v>0</v>
      </c>
      <c r="U6" s="106" t="n">
        <v>312193</v>
      </c>
      <c r="V6" s="106" t="s">
        <v>1963</v>
      </c>
      <c r="Z6" s="106" t="n">
        <v>2525</v>
      </c>
      <c r="AB6" s="106" t="s">
        <v>1070</v>
      </c>
      <c r="AD6" s="106" t="n">
        <v>110000</v>
      </c>
      <c r="AE6" s="106" t="s">
        <v>1966</v>
      </c>
      <c r="AF6" s="106" t="n">
        <v>501020</v>
      </c>
      <c r="AG6" s="106" t="s">
        <v>1971</v>
      </c>
      <c r="AI6" s="106" t="n">
        <v>501020</v>
      </c>
      <c r="AJ6" s="106" t="s">
        <v>1971</v>
      </c>
      <c r="AK6" s="106" t="n">
        <v>0</v>
      </c>
      <c r="AL6" s="106" t="n">
        <v>1</v>
      </c>
      <c r="AM6" s="106" t="s">
        <v>161</v>
      </c>
      <c r="AQ6" s="129"/>
      <c r="AR6" s="129" t="n">
        <v>43895</v>
      </c>
      <c r="AS6" s="106" t="n">
        <v>0.775694444444445</v>
      </c>
      <c r="AT6" s="106" t="n">
        <v>0</v>
      </c>
      <c r="AU6" s="106" t="n">
        <v>0</v>
      </c>
      <c r="AW6" s="106" t="n">
        <v>0</v>
      </c>
      <c r="AX6" s="106" t="n">
        <v>1</v>
      </c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3.8" hidden="true" customHeight="false" outlineLevel="0" collapsed="false">
      <c r="A7" s="117" t="n">
        <v>1000</v>
      </c>
      <c r="B7" s="117" t="s">
        <v>1962</v>
      </c>
      <c r="C7" s="117" t="n">
        <v>1400006405</v>
      </c>
      <c r="E7" s="117" t="s">
        <v>1972</v>
      </c>
      <c r="F7" s="117" t="n">
        <v>1106</v>
      </c>
      <c r="G7" s="117" t="n">
        <v>2019</v>
      </c>
      <c r="H7" s="117" t="n">
        <v>6</v>
      </c>
      <c r="I7" s="118" t="n">
        <v>43738</v>
      </c>
      <c r="J7" s="118" t="n">
        <v>43738</v>
      </c>
      <c r="K7" s="119" t="n">
        <v>-5496781.8</v>
      </c>
      <c r="L7" s="128" t="n">
        <f aca="false">K7-Q7+T7</f>
        <v>-5496781.8</v>
      </c>
      <c r="M7" s="117" t="s">
        <v>149</v>
      </c>
      <c r="N7" s="117" t="n">
        <v>-5496781.8</v>
      </c>
      <c r="O7" s="117" t="s">
        <v>149</v>
      </c>
      <c r="P7" s="117" t="n">
        <v>0</v>
      </c>
      <c r="Q7" s="117" t="n">
        <v>0</v>
      </c>
      <c r="R7" s="117" t="n">
        <v>-5496781.8</v>
      </c>
      <c r="S7" s="117" t="n">
        <v>0</v>
      </c>
      <c r="T7" s="117" t="n">
        <v>0</v>
      </c>
      <c r="U7" s="117" t="n">
        <v>305576</v>
      </c>
      <c r="V7" s="117" t="s">
        <v>1973</v>
      </c>
      <c r="X7" s="117" t="s">
        <v>1974</v>
      </c>
      <c r="Y7" s="117" t="s">
        <v>1975</v>
      </c>
      <c r="Z7" s="117" t="n">
        <v>1400006405</v>
      </c>
      <c r="AC7" s="117" t="s">
        <v>1976</v>
      </c>
      <c r="AD7" s="117" t="n">
        <v>310300</v>
      </c>
      <c r="AE7" s="117" t="s">
        <v>1969</v>
      </c>
      <c r="AF7" s="117" t="n">
        <v>101105</v>
      </c>
      <c r="AG7" s="117" t="s">
        <v>1977</v>
      </c>
      <c r="AI7" s="117" t="n">
        <v>101105</v>
      </c>
      <c r="AJ7" s="117" t="s">
        <v>1977</v>
      </c>
      <c r="AK7" s="117" t="n">
        <v>0</v>
      </c>
      <c r="AL7" s="117" t="n">
        <v>19</v>
      </c>
      <c r="AM7" s="117" t="s">
        <v>225</v>
      </c>
      <c r="AN7" s="117" t="s">
        <v>1978</v>
      </c>
      <c r="AP7" s="117" t="n">
        <v>100122444</v>
      </c>
      <c r="AQ7" s="118" t="n">
        <v>43738</v>
      </c>
      <c r="AR7" s="118" t="n">
        <v>43739</v>
      </c>
      <c r="AS7" s="117" t="n">
        <v>0.4278125</v>
      </c>
      <c r="AT7" s="117" t="n">
        <v>0</v>
      </c>
      <c r="AU7" s="117" t="n">
        <v>0</v>
      </c>
      <c r="AX7" s="117" t="n">
        <v>2</v>
      </c>
    </row>
    <row r="8" s="106" customFormat="true" ht="13.8" hidden="true" customHeight="false" outlineLevel="0" collapsed="false">
      <c r="A8" s="106" t="n">
        <v>1000</v>
      </c>
      <c r="B8" s="106" t="s">
        <v>1962</v>
      </c>
      <c r="C8" s="106" t="n">
        <v>100882</v>
      </c>
      <c r="D8" s="106" t="s">
        <v>1979</v>
      </c>
      <c r="E8" s="106" t="s">
        <v>1970</v>
      </c>
      <c r="F8" s="106" t="n">
        <v>1109</v>
      </c>
      <c r="G8" s="106" t="n">
        <v>2019</v>
      </c>
      <c r="H8" s="106" t="n">
        <v>1</v>
      </c>
      <c r="I8" s="129" t="n">
        <v>43581</v>
      </c>
      <c r="J8" s="129" t="n">
        <v>43581</v>
      </c>
      <c r="K8" s="107" t="n">
        <v>651626.68</v>
      </c>
      <c r="L8" s="130" t="n">
        <f aca="false">K8-Q8+T8</f>
        <v>552226</v>
      </c>
      <c r="M8" s="106" t="s">
        <v>149</v>
      </c>
      <c r="N8" s="107" t="n">
        <v>651626.68</v>
      </c>
      <c r="O8" s="106" t="s">
        <v>149</v>
      </c>
      <c r="P8" s="106" t="n">
        <v>0</v>
      </c>
      <c r="Q8" s="107" t="n">
        <v>99400.68</v>
      </c>
      <c r="R8" s="107" t="n">
        <v>552226</v>
      </c>
      <c r="S8" s="106" t="n">
        <v>0</v>
      </c>
      <c r="T8" s="106" t="n">
        <v>0</v>
      </c>
      <c r="U8" s="106" t="n">
        <v>312193</v>
      </c>
      <c r="V8" s="106" t="s">
        <v>1963</v>
      </c>
      <c r="Z8" s="106" t="n">
        <v>2316</v>
      </c>
      <c r="AB8" s="106" t="s">
        <v>1965</v>
      </c>
      <c r="AD8" s="106" t="n">
        <v>110000</v>
      </c>
      <c r="AE8" s="106" t="s">
        <v>1966</v>
      </c>
      <c r="AF8" s="106" t="n">
        <v>501020</v>
      </c>
      <c r="AG8" s="106" t="s">
        <v>1971</v>
      </c>
      <c r="AI8" s="106" t="n">
        <v>501020</v>
      </c>
      <c r="AJ8" s="106" t="s">
        <v>1971</v>
      </c>
      <c r="AK8" s="106" t="n">
        <v>0</v>
      </c>
      <c r="AL8" s="106" t="n">
        <v>1</v>
      </c>
      <c r="AM8" s="106" t="s">
        <v>161</v>
      </c>
      <c r="AP8" s="106" t="n">
        <v>100005107</v>
      </c>
      <c r="AQ8" s="129" t="n">
        <v>43585</v>
      </c>
      <c r="AR8" s="129" t="n">
        <v>43581</v>
      </c>
      <c r="AS8" s="106" t="n">
        <v>0.77087962962963</v>
      </c>
      <c r="AT8" s="106" t="n">
        <v>0</v>
      </c>
      <c r="AU8" s="106" t="n">
        <v>0</v>
      </c>
      <c r="AX8" s="106" t="n">
        <v>1</v>
      </c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3.8" hidden="true" customHeight="false" outlineLevel="0" collapsed="false">
      <c r="A9" s="117" t="n">
        <v>1000</v>
      </c>
      <c r="B9" s="117" t="s">
        <v>1962</v>
      </c>
      <c r="C9" s="117" t="n">
        <v>100057890</v>
      </c>
      <c r="E9" s="117" t="s">
        <v>1921</v>
      </c>
      <c r="F9" s="117" t="n">
        <v>1109</v>
      </c>
      <c r="G9" s="117" t="n">
        <v>2019</v>
      </c>
      <c r="H9" s="117" t="n">
        <v>4</v>
      </c>
      <c r="I9" s="118" t="n">
        <v>43677</v>
      </c>
      <c r="J9" s="118" t="n">
        <v>43677</v>
      </c>
      <c r="K9" s="119" t="n">
        <v>7696</v>
      </c>
      <c r="L9" s="128" t="n">
        <f aca="false">K9-Q9+T9</f>
        <v>7696</v>
      </c>
      <c r="M9" s="117" t="s">
        <v>149</v>
      </c>
      <c r="N9" s="117" t="n">
        <v>7696</v>
      </c>
      <c r="O9" s="117" t="s">
        <v>149</v>
      </c>
      <c r="P9" s="117" t="n">
        <v>0</v>
      </c>
      <c r="Q9" s="117" t="n">
        <v>0</v>
      </c>
      <c r="R9" s="117" t="n">
        <v>7696</v>
      </c>
      <c r="S9" s="117" t="n">
        <v>0</v>
      </c>
      <c r="T9" s="117" t="n">
        <v>0</v>
      </c>
      <c r="U9" s="117" t="n">
        <v>312193</v>
      </c>
      <c r="V9" s="117" t="s">
        <v>1963</v>
      </c>
      <c r="X9" s="117" t="s">
        <v>1980</v>
      </c>
      <c r="Z9" s="117" t="n">
        <v>2316</v>
      </c>
      <c r="AB9" s="117" t="s">
        <v>1965</v>
      </c>
      <c r="AD9" s="117" t="n">
        <v>110000</v>
      </c>
      <c r="AE9" s="117" t="s">
        <v>1966</v>
      </c>
      <c r="AF9" s="117" t="n">
        <v>110000</v>
      </c>
      <c r="AG9" s="117" t="s">
        <v>1966</v>
      </c>
      <c r="AI9" s="117" t="n">
        <v>110000</v>
      </c>
      <c r="AJ9" s="117" t="s">
        <v>1966</v>
      </c>
      <c r="AK9" s="117" t="n">
        <v>0</v>
      </c>
      <c r="AL9" s="117" t="n">
        <v>4</v>
      </c>
      <c r="AM9" s="117" t="s">
        <v>161</v>
      </c>
      <c r="AP9" s="117" t="n">
        <v>100173563</v>
      </c>
      <c r="AQ9" s="118" t="n">
        <v>43799</v>
      </c>
      <c r="AR9" s="118" t="n">
        <v>43677</v>
      </c>
      <c r="AS9" s="117" t="n">
        <v>0.622083333333333</v>
      </c>
      <c r="AT9" s="117" t="n">
        <v>0</v>
      </c>
      <c r="AU9" s="117" t="n">
        <v>0</v>
      </c>
      <c r="AX9" s="117" t="n">
        <v>4</v>
      </c>
    </row>
    <row r="10" customFormat="false" ht="13.8" hidden="true" customHeight="false" outlineLevel="0" collapsed="false">
      <c r="A10" s="117" t="n">
        <v>1000</v>
      </c>
      <c r="B10" s="117" t="s">
        <v>1962</v>
      </c>
      <c r="C10" s="117" t="n">
        <v>100078765</v>
      </c>
      <c r="E10" s="117" t="s">
        <v>1921</v>
      </c>
      <c r="F10" s="117" t="n">
        <v>1108</v>
      </c>
      <c r="G10" s="117" t="n">
        <v>2019</v>
      </c>
      <c r="H10" s="117" t="n">
        <v>5</v>
      </c>
      <c r="I10" s="118" t="n">
        <v>43706</v>
      </c>
      <c r="J10" s="118" t="n">
        <v>43706</v>
      </c>
      <c r="K10" s="119" t="n">
        <v>-210068.32</v>
      </c>
      <c r="L10" s="128" t="n">
        <f aca="false">K10-Q10+T10</f>
        <v>-210068.32</v>
      </c>
      <c r="M10" s="117" t="s">
        <v>149</v>
      </c>
      <c r="N10" s="117" t="n">
        <v>-210068.32</v>
      </c>
      <c r="O10" s="117" t="s">
        <v>149</v>
      </c>
      <c r="P10" s="117" t="n">
        <v>0</v>
      </c>
      <c r="Q10" s="117" t="n">
        <v>0</v>
      </c>
      <c r="R10" s="117" t="n">
        <v>-210068.32</v>
      </c>
      <c r="S10" s="117" t="n">
        <v>0</v>
      </c>
      <c r="T10" s="117" t="n">
        <v>0</v>
      </c>
      <c r="U10" s="117" t="n">
        <v>312193</v>
      </c>
      <c r="V10" s="117" t="s">
        <v>1963</v>
      </c>
      <c r="Z10" s="117" t="n">
        <v>100078765</v>
      </c>
      <c r="AD10" s="117" t="n">
        <v>110000</v>
      </c>
      <c r="AE10" s="117" t="s">
        <v>1966</v>
      </c>
      <c r="AF10" s="117" t="n">
        <v>110000</v>
      </c>
      <c r="AG10" s="117" t="s">
        <v>1966</v>
      </c>
      <c r="AI10" s="117" t="n">
        <v>110000</v>
      </c>
      <c r="AJ10" s="117" t="s">
        <v>1966</v>
      </c>
      <c r="AK10" s="117" t="n">
        <v>0</v>
      </c>
      <c r="AL10" s="117" t="n">
        <v>17</v>
      </c>
      <c r="AM10" s="117" t="s">
        <v>225</v>
      </c>
      <c r="AP10" s="117" t="n">
        <v>100078765</v>
      </c>
      <c r="AQ10" s="118" t="n">
        <v>43706</v>
      </c>
      <c r="AR10" s="118" t="n">
        <v>43706</v>
      </c>
      <c r="AS10" s="117" t="n">
        <v>0.702835648148148</v>
      </c>
      <c r="AT10" s="117" t="n">
        <v>0</v>
      </c>
      <c r="AU10" s="117" t="n">
        <v>0</v>
      </c>
      <c r="AX10" s="117" t="n">
        <v>8</v>
      </c>
    </row>
    <row r="11" customFormat="false" ht="13.8" hidden="true" customHeight="false" outlineLevel="0" collapsed="false">
      <c r="A11" s="117" t="n">
        <v>1000</v>
      </c>
      <c r="B11" s="117" t="s">
        <v>1962</v>
      </c>
      <c r="C11" s="117" t="n">
        <v>1400003713</v>
      </c>
      <c r="E11" s="117" t="s">
        <v>1972</v>
      </c>
      <c r="F11" s="117" t="n">
        <v>1106</v>
      </c>
      <c r="G11" s="117" t="n">
        <v>2019</v>
      </c>
      <c r="H11" s="117" t="n">
        <v>4</v>
      </c>
      <c r="I11" s="118" t="n">
        <v>43654</v>
      </c>
      <c r="J11" s="118" t="n">
        <v>43654</v>
      </c>
      <c r="K11" s="119" t="n">
        <v>-844942.76</v>
      </c>
      <c r="L11" s="128" t="n">
        <f aca="false">K11-Q11+T11</f>
        <v>-844942.76</v>
      </c>
      <c r="M11" s="117" t="s">
        <v>149</v>
      </c>
      <c r="N11" s="117" t="n">
        <v>-844942.76</v>
      </c>
      <c r="O11" s="117" t="s">
        <v>149</v>
      </c>
      <c r="P11" s="117" t="n">
        <v>0</v>
      </c>
      <c r="Q11" s="117" t="n">
        <v>0</v>
      </c>
      <c r="R11" s="117" t="n">
        <v>-844942.76</v>
      </c>
      <c r="S11" s="117" t="n">
        <v>0</v>
      </c>
      <c r="T11" s="117" t="n">
        <v>0</v>
      </c>
      <c r="U11" s="117" t="n">
        <v>305576</v>
      </c>
      <c r="V11" s="117" t="s">
        <v>1973</v>
      </c>
      <c r="X11" s="117" t="s">
        <v>1981</v>
      </c>
      <c r="Y11" s="117" t="s">
        <v>1982</v>
      </c>
      <c r="Z11" s="117" t="n">
        <v>1400003713</v>
      </c>
      <c r="AC11" s="117" t="s">
        <v>1976</v>
      </c>
      <c r="AD11" s="117" t="n">
        <v>310300</v>
      </c>
      <c r="AE11" s="117" t="s">
        <v>1969</v>
      </c>
      <c r="AF11" s="117" t="n">
        <v>101105</v>
      </c>
      <c r="AG11" s="117" t="s">
        <v>1977</v>
      </c>
      <c r="AI11" s="117" t="n">
        <v>101105</v>
      </c>
      <c r="AJ11" s="117" t="s">
        <v>1977</v>
      </c>
      <c r="AK11" s="117" t="n">
        <v>0</v>
      </c>
      <c r="AL11" s="117" t="n">
        <v>19</v>
      </c>
      <c r="AM11" s="117" t="s">
        <v>225</v>
      </c>
      <c r="AN11" s="117" t="s">
        <v>1978</v>
      </c>
      <c r="AP11" s="117" t="n">
        <v>100057905</v>
      </c>
      <c r="AQ11" s="118" t="n">
        <v>43677</v>
      </c>
      <c r="AR11" s="118" t="n">
        <v>43656</v>
      </c>
      <c r="AS11" s="117" t="n">
        <v>0.272627314814815</v>
      </c>
      <c r="AT11" s="117" t="n">
        <v>0</v>
      </c>
      <c r="AU11" s="117" t="n">
        <v>0</v>
      </c>
      <c r="AX11" s="117" t="n">
        <v>2</v>
      </c>
    </row>
    <row r="12" customFormat="false" ht="13.8" hidden="true" customHeight="false" outlineLevel="0" collapsed="false">
      <c r="A12" s="117" t="n">
        <v>1000</v>
      </c>
      <c r="B12" s="117" t="s">
        <v>1962</v>
      </c>
      <c r="C12" s="117" t="n">
        <v>100057905</v>
      </c>
      <c r="E12" s="117" t="s">
        <v>1921</v>
      </c>
      <c r="F12" s="117" t="n">
        <v>1106</v>
      </c>
      <c r="G12" s="117" t="n">
        <v>2019</v>
      </c>
      <c r="H12" s="117" t="n">
        <v>4</v>
      </c>
      <c r="I12" s="118" t="n">
        <v>43677</v>
      </c>
      <c r="J12" s="118" t="n">
        <v>43677</v>
      </c>
      <c r="K12" s="119" t="n">
        <v>3199939.56</v>
      </c>
      <c r="L12" s="128" t="n">
        <f aca="false">K12-Q12+T12</f>
        <v>3199939.56</v>
      </c>
      <c r="M12" s="117" t="s">
        <v>149</v>
      </c>
      <c r="N12" s="117" t="n">
        <v>3199939.56</v>
      </c>
      <c r="O12" s="117" t="s">
        <v>149</v>
      </c>
      <c r="P12" s="117" t="n">
        <v>0</v>
      </c>
      <c r="Q12" s="117" t="n">
        <v>0</v>
      </c>
      <c r="R12" s="117" t="n">
        <v>3199939.56</v>
      </c>
      <c r="S12" s="117" t="n">
        <v>0</v>
      </c>
      <c r="T12" s="117" t="n">
        <v>0</v>
      </c>
      <c r="U12" s="117" t="n">
        <v>305576</v>
      </c>
      <c r="V12" s="117" t="s">
        <v>1973</v>
      </c>
      <c r="Z12" s="117" t="n">
        <v>100057905</v>
      </c>
      <c r="AD12" s="117" t="n">
        <v>310300</v>
      </c>
      <c r="AE12" s="117" t="s">
        <v>1969</v>
      </c>
      <c r="AF12" s="117" t="n">
        <v>310300</v>
      </c>
      <c r="AG12" s="117" t="s">
        <v>1969</v>
      </c>
      <c r="AI12" s="117" t="n">
        <v>310300</v>
      </c>
      <c r="AJ12" s="117" t="s">
        <v>1969</v>
      </c>
      <c r="AK12" s="117" t="n">
        <v>0</v>
      </c>
      <c r="AL12" s="117" t="n">
        <v>9</v>
      </c>
      <c r="AM12" s="117" t="s">
        <v>161</v>
      </c>
      <c r="AN12" s="117" t="s">
        <v>1978</v>
      </c>
      <c r="AP12" s="117" t="n">
        <v>100057905</v>
      </c>
      <c r="AQ12" s="118" t="n">
        <v>43677</v>
      </c>
      <c r="AR12" s="118" t="n">
        <v>43677</v>
      </c>
      <c r="AS12" s="117" t="n">
        <v>0.661875</v>
      </c>
      <c r="AT12" s="117" t="n">
        <v>0</v>
      </c>
      <c r="AU12" s="117" t="n">
        <v>0</v>
      </c>
      <c r="AX12" s="117" t="n">
        <v>3</v>
      </c>
    </row>
    <row r="13" customFormat="false" ht="13.8" hidden="true" customHeight="false" outlineLevel="0" collapsed="false">
      <c r="A13" s="117" t="n">
        <v>1000</v>
      </c>
      <c r="B13" s="117" t="s">
        <v>1962</v>
      </c>
      <c r="C13" s="117" t="n">
        <v>100058185</v>
      </c>
      <c r="E13" s="117" t="s">
        <v>1921</v>
      </c>
      <c r="F13" s="117" t="n">
        <v>1106</v>
      </c>
      <c r="G13" s="117" t="n">
        <v>2019</v>
      </c>
      <c r="H13" s="117" t="n">
        <v>4</v>
      </c>
      <c r="I13" s="118" t="n">
        <v>43677</v>
      </c>
      <c r="J13" s="118" t="n">
        <v>43677</v>
      </c>
      <c r="K13" s="119" t="n">
        <v>774670</v>
      </c>
      <c r="L13" s="128" t="n">
        <f aca="false">K13-Q13+T13</f>
        <v>774670</v>
      </c>
      <c r="M13" s="117" t="s">
        <v>149</v>
      </c>
      <c r="N13" s="117" t="n">
        <v>774670</v>
      </c>
      <c r="O13" s="117" t="s">
        <v>149</v>
      </c>
      <c r="P13" s="117" t="n">
        <v>0</v>
      </c>
      <c r="Q13" s="117" t="n">
        <v>0</v>
      </c>
      <c r="R13" s="117" t="n">
        <v>774670</v>
      </c>
      <c r="S13" s="117" t="n">
        <v>0</v>
      </c>
      <c r="T13" s="117" t="n">
        <v>0</v>
      </c>
      <c r="U13" s="117" t="n">
        <v>305576</v>
      </c>
      <c r="V13" s="117" t="s">
        <v>1973</v>
      </c>
      <c r="Z13" s="117" t="n">
        <v>100058185</v>
      </c>
      <c r="AD13" s="117" t="n">
        <v>310300</v>
      </c>
      <c r="AE13" s="117" t="s">
        <v>1969</v>
      </c>
      <c r="AF13" s="117" t="n">
        <v>110000</v>
      </c>
      <c r="AG13" s="117" t="s">
        <v>1966</v>
      </c>
      <c r="AI13" s="117" t="n">
        <v>110000</v>
      </c>
      <c r="AJ13" s="117" t="s">
        <v>1966</v>
      </c>
      <c r="AK13" s="117" t="n">
        <v>0</v>
      </c>
      <c r="AL13" s="117" t="n">
        <v>9</v>
      </c>
      <c r="AM13" s="117" t="s">
        <v>161</v>
      </c>
      <c r="AN13" s="117" t="s">
        <v>1978</v>
      </c>
      <c r="AP13" s="117" t="n">
        <v>100058185</v>
      </c>
      <c r="AQ13" s="118" t="n">
        <v>43677</v>
      </c>
      <c r="AR13" s="118" t="n">
        <v>43678</v>
      </c>
      <c r="AS13" s="117" t="n">
        <v>0.173715277777778</v>
      </c>
      <c r="AT13" s="117" t="n">
        <v>0</v>
      </c>
      <c r="AU13" s="117" t="n">
        <v>0</v>
      </c>
      <c r="AX13" s="117" t="n">
        <v>2</v>
      </c>
    </row>
    <row r="14" s="106" customFormat="true" ht="13.8" hidden="true" customHeight="false" outlineLevel="0" collapsed="false">
      <c r="A14" s="106" t="n">
        <v>1000</v>
      </c>
      <c r="B14" s="106" t="s">
        <v>1962</v>
      </c>
      <c r="C14" s="106" t="n">
        <v>113741</v>
      </c>
      <c r="D14" s="106" t="n">
        <v>95004891</v>
      </c>
      <c r="E14" s="106" t="s">
        <v>1970</v>
      </c>
      <c r="F14" s="106" t="n">
        <v>1109</v>
      </c>
      <c r="G14" s="106" t="n">
        <v>2019</v>
      </c>
      <c r="H14" s="106" t="n">
        <v>12</v>
      </c>
      <c r="I14" s="129" t="n">
        <v>43899</v>
      </c>
      <c r="J14" s="129" t="n">
        <v>43899</v>
      </c>
      <c r="K14" s="107" t="n">
        <v>533737.6</v>
      </c>
      <c r="L14" s="130" t="n">
        <f aca="false">K14-Q14+T14</f>
        <v>452320</v>
      </c>
      <c r="M14" s="106" t="s">
        <v>149</v>
      </c>
      <c r="N14" s="106" t="n">
        <v>533737.6</v>
      </c>
      <c r="O14" s="106" t="s">
        <v>149</v>
      </c>
      <c r="P14" s="106" t="n">
        <v>0</v>
      </c>
      <c r="Q14" s="107" t="n">
        <v>81417.6</v>
      </c>
      <c r="R14" s="106" t="n">
        <v>452320</v>
      </c>
      <c r="S14" s="106" t="n">
        <v>0</v>
      </c>
      <c r="T14" s="106" t="n">
        <v>0</v>
      </c>
      <c r="U14" s="106" t="n">
        <v>312193</v>
      </c>
      <c r="V14" s="106" t="s">
        <v>1963</v>
      </c>
      <c r="Z14" s="106" t="n">
        <v>2525</v>
      </c>
      <c r="AB14" s="106" t="s">
        <v>1248</v>
      </c>
      <c r="AD14" s="106" t="n">
        <v>110000</v>
      </c>
      <c r="AE14" s="106" t="s">
        <v>1966</v>
      </c>
      <c r="AF14" s="106" t="n">
        <v>501020</v>
      </c>
      <c r="AG14" s="106" t="s">
        <v>1971</v>
      </c>
      <c r="AI14" s="106" t="n">
        <v>501020</v>
      </c>
      <c r="AJ14" s="106" t="s">
        <v>1971</v>
      </c>
      <c r="AK14" s="106" t="n">
        <v>0</v>
      </c>
      <c r="AL14" s="106" t="n">
        <v>1</v>
      </c>
      <c r="AM14" s="106" t="s">
        <v>161</v>
      </c>
      <c r="AQ14" s="129"/>
      <c r="AR14" s="129" t="n">
        <v>43899</v>
      </c>
      <c r="AS14" s="106" t="n">
        <v>0.686805555555556</v>
      </c>
      <c r="AT14" s="106" t="n">
        <v>0</v>
      </c>
      <c r="AU14" s="106" t="n">
        <v>0</v>
      </c>
      <c r="AW14" s="106" t="n">
        <v>0</v>
      </c>
      <c r="AX14" s="106" t="n">
        <v>1</v>
      </c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s="106" customFormat="true" ht="13.8" hidden="true" customHeight="false" outlineLevel="0" collapsed="false">
      <c r="A15" s="106" t="n">
        <v>1000</v>
      </c>
      <c r="B15" s="106" t="s">
        <v>1962</v>
      </c>
      <c r="C15" s="106" t="n">
        <v>105301</v>
      </c>
      <c r="D15" s="106" t="s">
        <v>1983</v>
      </c>
      <c r="E15" s="106" t="s">
        <v>1970</v>
      </c>
      <c r="F15" s="106" t="n">
        <v>1108</v>
      </c>
      <c r="G15" s="106" t="n">
        <v>2019</v>
      </c>
      <c r="H15" s="106" t="n">
        <v>4</v>
      </c>
      <c r="I15" s="129" t="n">
        <v>43677</v>
      </c>
      <c r="J15" s="129" t="n">
        <v>43677</v>
      </c>
      <c r="K15" s="107" t="n">
        <v>-10620</v>
      </c>
      <c r="L15" s="130" t="n">
        <f aca="false">K15-Q15+T15</f>
        <v>-9000</v>
      </c>
      <c r="M15" s="106" t="s">
        <v>149</v>
      </c>
      <c r="N15" s="106" t="n">
        <v>-10620</v>
      </c>
      <c r="O15" s="106" t="s">
        <v>149</v>
      </c>
      <c r="P15" s="106" t="n">
        <v>0</v>
      </c>
      <c r="Q15" s="107" t="n">
        <v>-1620</v>
      </c>
      <c r="R15" s="107" t="n">
        <v>-9000</v>
      </c>
      <c r="S15" s="106" t="n">
        <v>0</v>
      </c>
      <c r="T15" s="106" t="n">
        <v>0</v>
      </c>
      <c r="U15" s="106" t="n">
        <v>312948</v>
      </c>
      <c r="V15" s="106" t="s">
        <v>1984</v>
      </c>
      <c r="Z15" s="106" t="n">
        <v>60002464</v>
      </c>
      <c r="AD15" s="106" t="n">
        <v>110000</v>
      </c>
      <c r="AE15" s="106" t="s">
        <v>1966</v>
      </c>
      <c r="AF15" s="106" t="n">
        <v>901000</v>
      </c>
      <c r="AG15" s="106" t="s">
        <v>1985</v>
      </c>
      <c r="AI15" s="106" t="n">
        <v>901000</v>
      </c>
      <c r="AJ15" s="106" t="s">
        <v>1985</v>
      </c>
      <c r="AK15" s="106" t="n">
        <v>0</v>
      </c>
      <c r="AL15" s="106" t="n">
        <v>11</v>
      </c>
      <c r="AM15" s="106" t="s">
        <v>225</v>
      </c>
      <c r="AP15" s="106" t="n">
        <v>100058213</v>
      </c>
      <c r="AQ15" s="129" t="n">
        <v>43677</v>
      </c>
      <c r="AR15" s="129" t="n">
        <v>43677</v>
      </c>
      <c r="AS15" s="106" t="n">
        <v>0.539664351851852</v>
      </c>
      <c r="AT15" s="106" t="n">
        <v>0</v>
      </c>
      <c r="AU15" s="106" t="n">
        <v>0</v>
      </c>
      <c r="AX15" s="106" t="n">
        <v>1</v>
      </c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13.8" hidden="true" customHeight="false" outlineLevel="0" collapsed="false">
      <c r="A16" s="117" t="n">
        <v>1000</v>
      </c>
      <c r="B16" s="117" t="s">
        <v>1962</v>
      </c>
      <c r="C16" s="117" t="n">
        <v>100116355</v>
      </c>
      <c r="E16" s="117" t="s">
        <v>1921</v>
      </c>
      <c r="F16" s="117" t="n">
        <v>1108</v>
      </c>
      <c r="G16" s="117" t="n">
        <v>2019</v>
      </c>
      <c r="H16" s="117" t="n">
        <v>6</v>
      </c>
      <c r="I16" s="118" t="n">
        <v>43738</v>
      </c>
      <c r="J16" s="118" t="n">
        <v>43738</v>
      </c>
      <c r="K16" s="119" t="n">
        <v>-735858.32</v>
      </c>
      <c r="L16" s="128" t="n">
        <f aca="false">K16-Q16+T16</f>
        <v>-735858.32</v>
      </c>
      <c r="M16" s="117" t="s">
        <v>149</v>
      </c>
      <c r="N16" s="117" t="n">
        <v>-735858.32</v>
      </c>
      <c r="O16" s="117" t="s">
        <v>149</v>
      </c>
      <c r="P16" s="117" t="n">
        <v>0</v>
      </c>
      <c r="Q16" s="117" t="n">
        <v>0</v>
      </c>
      <c r="R16" s="117" t="n">
        <v>-735858.32</v>
      </c>
      <c r="S16" s="117" t="n">
        <v>0</v>
      </c>
      <c r="T16" s="117" t="n">
        <v>0</v>
      </c>
      <c r="U16" s="117" t="n">
        <v>312193</v>
      </c>
      <c r="V16" s="117" t="s">
        <v>1963</v>
      </c>
      <c r="Z16" s="117" t="n">
        <v>100116355</v>
      </c>
      <c r="AD16" s="117" t="n">
        <v>110000</v>
      </c>
      <c r="AE16" s="117" t="s">
        <v>1966</v>
      </c>
      <c r="AF16" s="117" t="n">
        <v>110000</v>
      </c>
      <c r="AG16" s="117" t="s">
        <v>1966</v>
      </c>
      <c r="AI16" s="117" t="n">
        <v>110000</v>
      </c>
      <c r="AJ16" s="117" t="s">
        <v>1966</v>
      </c>
      <c r="AK16" s="117" t="n">
        <v>0</v>
      </c>
      <c r="AL16" s="117" t="n">
        <v>17</v>
      </c>
      <c r="AM16" s="117" t="s">
        <v>225</v>
      </c>
      <c r="AP16" s="117" t="n">
        <v>100116355</v>
      </c>
      <c r="AQ16" s="118" t="n">
        <v>43738</v>
      </c>
      <c r="AR16" s="118" t="n">
        <v>43738</v>
      </c>
      <c r="AS16" s="117" t="n">
        <v>0.224525462962963</v>
      </c>
      <c r="AT16" s="117" t="n">
        <v>0</v>
      </c>
      <c r="AU16" s="117" t="n">
        <v>0</v>
      </c>
      <c r="AX16" s="117" t="n">
        <v>6</v>
      </c>
    </row>
    <row r="17" customFormat="false" ht="13.8" hidden="true" customHeight="false" outlineLevel="0" collapsed="false">
      <c r="A17" s="117" t="n">
        <v>1000</v>
      </c>
      <c r="B17" s="117" t="s">
        <v>1962</v>
      </c>
      <c r="C17" s="117" t="n">
        <v>100081981</v>
      </c>
      <c r="E17" s="117" t="s">
        <v>1921</v>
      </c>
      <c r="F17" s="117" t="n">
        <v>1101</v>
      </c>
      <c r="G17" s="117" t="n">
        <v>2019</v>
      </c>
      <c r="H17" s="117" t="n">
        <v>5</v>
      </c>
      <c r="I17" s="118" t="n">
        <v>43708</v>
      </c>
      <c r="J17" s="118" t="n">
        <v>43708</v>
      </c>
      <c r="K17" s="119" t="n">
        <v>-2478000</v>
      </c>
      <c r="L17" s="128" t="n">
        <f aca="false">K17-Q17+T17</f>
        <v>-2478000</v>
      </c>
      <c r="M17" s="117" t="s">
        <v>149</v>
      </c>
      <c r="N17" s="117" t="n">
        <v>-2478000</v>
      </c>
      <c r="O17" s="117" t="s">
        <v>149</v>
      </c>
      <c r="P17" s="117" t="n">
        <v>0</v>
      </c>
      <c r="Q17" s="117" t="n">
        <v>0</v>
      </c>
      <c r="R17" s="117" t="n">
        <v>-2478000</v>
      </c>
      <c r="S17" s="117" t="n">
        <v>0</v>
      </c>
      <c r="T17" s="117" t="n">
        <v>0</v>
      </c>
      <c r="U17" s="117" t="n">
        <v>309728</v>
      </c>
      <c r="V17" s="117" t="s">
        <v>1968</v>
      </c>
      <c r="Z17" s="117" t="n">
        <v>100081981</v>
      </c>
      <c r="AD17" s="117" t="n">
        <v>110000</v>
      </c>
      <c r="AE17" s="117" t="s">
        <v>1966</v>
      </c>
      <c r="AF17" s="117" t="n">
        <v>310300</v>
      </c>
      <c r="AG17" s="117" t="s">
        <v>1969</v>
      </c>
      <c r="AI17" s="117" t="n">
        <v>310300</v>
      </c>
      <c r="AJ17" s="117" t="s">
        <v>1969</v>
      </c>
      <c r="AK17" s="117" t="n">
        <v>0</v>
      </c>
      <c r="AL17" s="117" t="n">
        <v>17</v>
      </c>
      <c r="AM17" s="117" t="s">
        <v>225</v>
      </c>
      <c r="AP17" s="117" t="n">
        <v>100081981</v>
      </c>
      <c r="AQ17" s="118" t="n">
        <v>43708</v>
      </c>
      <c r="AR17" s="118" t="n">
        <v>43710</v>
      </c>
      <c r="AS17" s="117" t="n">
        <v>0.289780092592593</v>
      </c>
      <c r="AT17" s="117" t="n">
        <v>0</v>
      </c>
      <c r="AU17" s="117" t="n">
        <v>0</v>
      </c>
      <c r="AX17" s="117" t="n">
        <v>1</v>
      </c>
    </row>
    <row r="18" customFormat="false" ht="13.8" hidden="true" customHeight="false" outlineLevel="0" collapsed="false">
      <c r="A18" s="117" t="n">
        <v>1000</v>
      </c>
      <c r="B18" s="117" t="s">
        <v>1962</v>
      </c>
      <c r="C18" s="117" t="n">
        <v>100058228</v>
      </c>
      <c r="E18" s="117" t="s">
        <v>1921</v>
      </c>
      <c r="F18" s="117" t="n">
        <v>1102</v>
      </c>
      <c r="G18" s="117" t="n">
        <v>2019</v>
      </c>
      <c r="H18" s="117" t="n">
        <v>4</v>
      </c>
      <c r="I18" s="118" t="n">
        <v>43677</v>
      </c>
      <c r="J18" s="118" t="n">
        <v>43677</v>
      </c>
      <c r="K18" s="119" t="n">
        <v>-24754.04</v>
      </c>
      <c r="L18" s="128" t="n">
        <f aca="false">K18-Q18+T18</f>
        <v>-24754.04</v>
      </c>
      <c r="M18" s="117" t="s">
        <v>149</v>
      </c>
      <c r="N18" s="117" t="n">
        <v>-24754.04</v>
      </c>
      <c r="O18" s="117" t="s">
        <v>149</v>
      </c>
      <c r="P18" s="117" t="n">
        <v>0</v>
      </c>
      <c r="Q18" s="117" t="n">
        <v>0</v>
      </c>
      <c r="R18" s="117" t="n">
        <v>-24754.04</v>
      </c>
      <c r="S18" s="117" t="n">
        <v>0</v>
      </c>
      <c r="T18" s="117" t="n">
        <v>0</v>
      </c>
      <c r="U18" s="117" t="n">
        <v>315113</v>
      </c>
      <c r="V18" s="117" t="s">
        <v>143</v>
      </c>
      <c r="Z18" s="117" t="n">
        <v>100058228</v>
      </c>
      <c r="AD18" s="117" t="n">
        <v>110000</v>
      </c>
      <c r="AE18" s="117" t="s">
        <v>1966</v>
      </c>
      <c r="AF18" s="117" t="n">
        <v>310300</v>
      </c>
      <c r="AG18" s="117" t="s">
        <v>1969</v>
      </c>
      <c r="AI18" s="117" t="n">
        <v>310300</v>
      </c>
      <c r="AJ18" s="117" t="s">
        <v>1969</v>
      </c>
      <c r="AK18" s="117" t="n">
        <v>0</v>
      </c>
      <c r="AL18" s="117" t="n">
        <v>17</v>
      </c>
      <c r="AM18" s="117" t="s">
        <v>225</v>
      </c>
      <c r="AP18" s="117" t="n">
        <v>100058228</v>
      </c>
      <c r="AQ18" s="118" t="n">
        <v>43677</v>
      </c>
      <c r="AR18" s="118" t="n">
        <v>43678</v>
      </c>
      <c r="AS18" s="117" t="n">
        <v>0.209675925925926</v>
      </c>
      <c r="AT18" s="117" t="n">
        <v>0</v>
      </c>
      <c r="AU18" s="117" t="n">
        <v>0</v>
      </c>
      <c r="AX18" s="117" t="n">
        <v>1</v>
      </c>
    </row>
    <row r="19" customFormat="false" ht="13.8" hidden="true" customHeight="false" outlineLevel="0" collapsed="false">
      <c r="A19" s="117" t="n">
        <v>1000</v>
      </c>
      <c r="B19" s="117" t="s">
        <v>1962</v>
      </c>
      <c r="C19" s="117" t="n">
        <v>1600000142</v>
      </c>
      <c r="D19" s="117" t="s">
        <v>1986</v>
      </c>
      <c r="E19" s="117" t="s">
        <v>1987</v>
      </c>
      <c r="F19" s="117" t="n">
        <v>1106</v>
      </c>
      <c r="G19" s="117" t="n">
        <v>2019</v>
      </c>
      <c r="H19" s="117" t="n">
        <v>4</v>
      </c>
      <c r="I19" s="118" t="n">
        <v>43676</v>
      </c>
      <c r="J19" s="118" t="n">
        <v>43676</v>
      </c>
      <c r="K19" s="119" t="n">
        <v>-24754.04</v>
      </c>
      <c r="L19" s="128" t="n">
        <f aca="false">K19-Q19+T19</f>
        <v>-24754.04</v>
      </c>
      <c r="M19" s="117" t="s">
        <v>149</v>
      </c>
      <c r="N19" s="117" t="n">
        <v>-24754.04</v>
      </c>
      <c r="O19" s="117" t="s">
        <v>149</v>
      </c>
      <c r="P19" s="117" t="n">
        <v>-24754.04</v>
      </c>
      <c r="Q19" s="117" t="n">
        <v>0</v>
      </c>
      <c r="R19" s="117" t="n">
        <v>-24754.04</v>
      </c>
      <c r="S19" s="117" t="n">
        <v>0</v>
      </c>
      <c r="T19" s="117" t="n">
        <v>0</v>
      </c>
      <c r="U19" s="117" t="n">
        <v>315113</v>
      </c>
      <c r="V19" s="117" t="s">
        <v>143</v>
      </c>
      <c r="X19" s="117" t="s">
        <v>1988</v>
      </c>
      <c r="Y19" s="117" t="s">
        <v>1989</v>
      </c>
      <c r="Z19" s="117" t="n">
        <v>1600000142</v>
      </c>
      <c r="AD19" s="117" t="n">
        <v>310300</v>
      </c>
      <c r="AE19" s="117" t="s">
        <v>1969</v>
      </c>
      <c r="AF19" s="117" t="n">
        <v>198044</v>
      </c>
      <c r="AG19" s="117" t="s">
        <v>1990</v>
      </c>
      <c r="AI19" s="117" t="n">
        <v>198044</v>
      </c>
      <c r="AJ19" s="117" t="s">
        <v>1990</v>
      </c>
      <c r="AK19" s="117" t="n">
        <v>0</v>
      </c>
      <c r="AL19" s="117" t="n">
        <v>19</v>
      </c>
      <c r="AM19" s="117" t="s">
        <v>225</v>
      </c>
      <c r="AN19" s="117" t="s">
        <v>1978</v>
      </c>
      <c r="AP19" s="117" t="n">
        <v>100058228</v>
      </c>
      <c r="AQ19" s="118" t="n">
        <v>43677</v>
      </c>
      <c r="AR19" s="118" t="n">
        <v>43676</v>
      </c>
      <c r="AS19" s="117" t="n">
        <v>0.558506944444444</v>
      </c>
      <c r="AT19" s="117" t="n">
        <v>0</v>
      </c>
      <c r="AU19" s="117" t="n">
        <v>0</v>
      </c>
      <c r="AX19" s="117" t="n">
        <v>2</v>
      </c>
    </row>
    <row r="20" s="106" customFormat="true" ht="13.8" hidden="true" customHeight="false" outlineLevel="0" collapsed="false">
      <c r="A20" s="106" t="n">
        <v>1000</v>
      </c>
      <c r="B20" s="106" t="s">
        <v>1962</v>
      </c>
      <c r="C20" s="106" t="n">
        <v>113809</v>
      </c>
      <c r="D20" s="106" t="n">
        <v>95004892</v>
      </c>
      <c r="E20" s="106" t="s">
        <v>1970</v>
      </c>
      <c r="F20" s="106" t="n">
        <v>1109</v>
      </c>
      <c r="G20" s="106" t="n">
        <v>2019</v>
      </c>
      <c r="H20" s="106" t="n">
        <v>12</v>
      </c>
      <c r="I20" s="129" t="n">
        <v>43901</v>
      </c>
      <c r="J20" s="129" t="n">
        <v>43901</v>
      </c>
      <c r="K20" s="107" t="n">
        <v>302032.8</v>
      </c>
      <c r="L20" s="130" t="n">
        <f aca="false">K20-Q20+T20</f>
        <v>255960</v>
      </c>
      <c r="M20" s="106" t="s">
        <v>149</v>
      </c>
      <c r="N20" s="106" t="n">
        <v>302032.8</v>
      </c>
      <c r="O20" s="106" t="s">
        <v>149</v>
      </c>
      <c r="P20" s="106" t="n">
        <v>0</v>
      </c>
      <c r="Q20" s="107" t="n">
        <v>46072.8</v>
      </c>
      <c r="R20" s="106" t="n">
        <v>255960</v>
      </c>
      <c r="S20" s="106" t="n">
        <v>0</v>
      </c>
      <c r="T20" s="106" t="n">
        <v>0</v>
      </c>
      <c r="U20" s="106" t="n">
        <v>312193</v>
      </c>
      <c r="V20" s="106" t="s">
        <v>1963</v>
      </c>
      <c r="Z20" s="106" t="n">
        <v>2525</v>
      </c>
      <c r="AB20" s="106" t="s">
        <v>1244</v>
      </c>
      <c r="AD20" s="106" t="n">
        <v>110000</v>
      </c>
      <c r="AE20" s="106" t="s">
        <v>1966</v>
      </c>
      <c r="AF20" s="106" t="n">
        <v>501020</v>
      </c>
      <c r="AG20" s="106" t="s">
        <v>1971</v>
      </c>
      <c r="AI20" s="106" t="n">
        <v>501020</v>
      </c>
      <c r="AJ20" s="106" t="s">
        <v>1971</v>
      </c>
      <c r="AK20" s="106" t="n">
        <v>0</v>
      </c>
      <c r="AL20" s="106" t="n">
        <v>1</v>
      </c>
      <c r="AM20" s="106" t="s">
        <v>161</v>
      </c>
      <c r="AQ20" s="129"/>
      <c r="AR20" s="129" t="n">
        <v>43901</v>
      </c>
      <c r="AS20" s="106" t="n">
        <v>0.704861111111111</v>
      </c>
      <c r="AT20" s="106" t="n">
        <v>0</v>
      </c>
      <c r="AU20" s="106" t="n">
        <v>0</v>
      </c>
      <c r="AW20" s="106" t="n">
        <v>0</v>
      </c>
      <c r="AX20" s="106" t="n">
        <v>1</v>
      </c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13.8" hidden="true" customHeight="false" outlineLevel="0" collapsed="false">
      <c r="A21" s="117" t="n">
        <v>1000</v>
      </c>
      <c r="B21" s="117" t="s">
        <v>1962</v>
      </c>
      <c r="C21" s="117" t="n">
        <v>100057906</v>
      </c>
      <c r="E21" s="117" t="s">
        <v>1921</v>
      </c>
      <c r="F21" s="117" t="n">
        <v>1109</v>
      </c>
      <c r="G21" s="117" t="n">
        <v>2019</v>
      </c>
      <c r="H21" s="117" t="n">
        <v>4</v>
      </c>
      <c r="I21" s="118" t="n">
        <v>43677</v>
      </c>
      <c r="J21" s="118" t="n">
        <v>43677</v>
      </c>
      <c r="K21" s="119" t="n">
        <v>-380140.76</v>
      </c>
      <c r="L21" s="128" t="n">
        <f aca="false">K21-Q21+T21</f>
        <v>-380140.76</v>
      </c>
      <c r="M21" s="117" t="s">
        <v>149</v>
      </c>
      <c r="N21" s="117" t="n">
        <v>-380140.76</v>
      </c>
      <c r="O21" s="117" t="s">
        <v>149</v>
      </c>
      <c r="P21" s="117" t="n">
        <v>0</v>
      </c>
      <c r="Q21" s="117" t="n">
        <v>0</v>
      </c>
      <c r="R21" s="117" t="n">
        <v>-380140.76</v>
      </c>
      <c r="S21" s="117" t="n">
        <v>0</v>
      </c>
      <c r="T21" s="117" t="n">
        <v>0</v>
      </c>
      <c r="U21" s="117" t="n">
        <v>307259</v>
      </c>
      <c r="V21" s="117" t="s">
        <v>143</v>
      </c>
      <c r="Z21" s="117" t="n">
        <v>100057906</v>
      </c>
      <c r="AD21" s="117" t="n">
        <v>110000</v>
      </c>
      <c r="AE21" s="117" t="s">
        <v>1966</v>
      </c>
      <c r="AF21" s="117" t="n">
        <v>310300</v>
      </c>
      <c r="AG21" s="117" t="s">
        <v>1969</v>
      </c>
      <c r="AI21" s="117" t="n">
        <v>310300</v>
      </c>
      <c r="AJ21" s="117" t="s">
        <v>1969</v>
      </c>
      <c r="AK21" s="117" t="n">
        <v>0</v>
      </c>
      <c r="AL21" s="117" t="n">
        <v>17</v>
      </c>
      <c r="AM21" s="117" t="s">
        <v>225</v>
      </c>
      <c r="AP21" s="117" t="n">
        <v>100057906</v>
      </c>
      <c r="AQ21" s="118" t="n">
        <v>43677</v>
      </c>
      <c r="AR21" s="118" t="n">
        <v>43677</v>
      </c>
      <c r="AS21" s="117" t="n">
        <v>0.664548611111111</v>
      </c>
      <c r="AT21" s="117" t="n">
        <v>0</v>
      </c>
      <c r="AU21" s="117" t="n">
        <v>0</v>
      </c>
      <c r="AX21" s="117" t="n">
        <v>1</v>
      </c>
    </row>
    <row r="22" customFormat="false" ht="13.8" hidden="true" customHeight="false" outlineLevel="0" collapsed="false">
      <c r="A22" s="117" t="n">
        <v>1000</v>
      </c>
      <c r="B22" s="117" t="s">
        <v>1962</v>
      </c>
      <c r="C22" s="117" t="n">
        <v>1600000147</v>
      </c>
      <c r="D22" s="117" t="s">
        <v>1991</v>
      </c>
      <c r="E22" s="117" t="s">
        <v>1987</v>
      </c>
      <c r="F22" s="117" t="n">
        <v>1106</v>
      </c>
      <c r="G22" s="117" t="n">
        <v>2019</v>
      </c>
      <c r="H22" s="117" t="n">
        <v>4</v>
      </c>
      <c r="I22" s="118" t="n">
        <v>43677</v>
      </c>
      <c r="J22" s="118" t="n">
        <v>43677</v>
      </c>
      <c r="K22" s="119" t="n">
        <v>380140.76</v>
      </c>
      <c r="L22" s="128" t="n">
        <f aca="false">K22-Q22+T22</f>
        <v>380140.76</v>
      </c>
      <c r="M22" s="117" t="s">
        <v>149</v>
      </c>
      <c r="N22" s="117" t="n">
        <v>380140.76</v>
      </c>
      <c r="O22" s="117" t="s">
        <v>149</v>
      </c>
      <c r="P22" s="117" t="n">
        <v>380140.76</v>
      </c>
      <c r="Q22" s="117" t="n">
        <v>0</v>
      </c>
      <c r="R22" s="117" t="n">
        <v>380140.76</v>
      </c>
      <c r="S22" s="117" t="n">
        <v>0</v>
      </c>
      <c r="T22" s="117" t="n">
        <v>0</v>
      </c>
      <c r="U22" s="117" t="n">
        <v>305576</v>
      </c>
      <c r="V22" s="117" t="s">
        <v>1973</v>
      </c>
      <c r="X22" s="117" t="s">
        <v>1992</v>
      </c>
      <c r="Y22" s="117" t="s">
        <v>1993</v>
      </c>
      <c r="Z22" s="117" t="n">
        <v>1600000147</v>
      </c>
      <c r="AD22" s="117" t="n">
        <v>110000</v>
      </c>
      <c r="AE22" s="117" t="s">
        <v>1966</v>
      </c>
      <c r="AF22" s="117" t="n">
        <v>307259</v>
      </c>
      <c r="AG22" s="117" t="s">
        <v>143</v>
      </c>
      <c r="AI22" s="117" t="n">
        <v>307259</v>
      </c>
      <c r="AJ22" s="131" t="s">
        <v>143</v>
      </c>
      <c r="AK22" s="117" t="n">
        <v>0</v>
      </c>
      <c r="AL22" s="117" t="n">
        <v>4</v>
      </c>
      <c r="AM22" s="117" t="s">
        <v>161</v>
      </c>
      <c r="AP22" s="117" t="n">
        <v>100057907</v>
      </c>
      <c r="AQ22" s="118" t="n">
        <v>43677</v>
      </c>
      <c r="AR22" s="118" t="n">
        <v>43677</v>
      </c>
      <c r="AS22" s="117" t="n">
        <v>0.664016203703704</v>
      </c>
      <c r="AT22" s="117" t="n">
        <v>0</v>
      </c>
      <c r="AU22" s="117" t="n">
        <v>0</v>
      </c>
      <c r="AX22" s="117" t="n">
        <v>1</v>
      </c>
    </row>
    <row r="23" customFormat="false" ht="13.8" hidden="true" customHeight="false" outlineLevel="0" collapsed="false">
      <c r="A23" s="117" t="n">
        <v>1000</v>
      </c>
      <c r="B23" s="117" t="s">
        <v>1962</v>
      </c>
      <c r="C23" s="117" t="n">
        <v>100078765</v>
      </c>
      <c r="E23" s="117" t="s">
        <v>1921</v>
      </c>
      <c r="F23" s="117" t="n">
        <v>1101</v>
      </c>
      <c r="G23" s="117" t="n">
        <v>2019</v>
      </c>
      <c r="H23" s="117" t="n">
        <v>5</v>
      </c>
      <c r="I23" s="118" t="n">
        <v>43706</v>
      </c>
      <c r="J23" s="118" t="n">
        <v>43706</v>
      </c>
      <c r="K23" s="119" t="n">
        <v>992081</v>
      </c>
      <c r="L23" s="128" t="n">
        <f aca="false">K23-Q23+T23</f>
        <v>992081</v>
      </c>
      <c r="M23" s="117" t="s">
        <v>149</v>
      </c>
      <c r="N23" s="117" t="n">
        <v>992081</v>
      </c>
      <c r="O23" s="117" t="s">
        <v>149</v>
      </c>
      <c r="P23" s="117" t="n">
        <v>0</v>
      </c>
      <c r="Q23" s="117" t="n">
        <v>0</v>
      </c>
      <c r="R23" s="117" t="n">
        <v>992081</v>
      </c>
      <c r="S23" s="117" t="n">
        <v>0</v>
      </c>
      <c r="T23" s="117" t="n">
        <v>0</v>
      </c>
      <c r="U23" s="117" t="n">
        <v>312193</v>
      </c>
      <c r="V23" s="117" t="s">
        <v>1963</v>
      </c>
      <c r="Z23" s="117" t="n">
        <v>100078765</v>
      </c>
      <c r="AD23" s="117" t="n">
        <v>310300</v>
      </c>
      <c r="AE23" s="117" t="s">
        <v>1969</v>
      </c>
      <c r="AF23" s="117" t="n">
        <v>110000</v>
      </c>
      <c r="AG23" s="117" t="s">
        <v>1966</v>
      </c>
      <c r="AI23" s="117" t="n">
        <v>110000</v>
      </c>
      <c r="AJ23" s="117" t="s">
        <v>1966</v>
      </c>
      <c r="AK23" s="117" t="n">
        <v>0</v>
      </c>
      <c r="AL23" s="117" t="n">
        <v>9</v>
      </c>
      <c r="AM23" s="117" t="s">
        <v>161</v>
      </c>
      <c r="AN23" s="117" t="s">
        <v>1978</v>
      </c>
      <c r="AP23" s="117" t="n">
        <v>100078765</v>
      </c>
      <c r="AQ23" s="118" t="n">
        <v>43706</v>
      </c>
      <c r="AR23" s="118" t="n">
        <v>43706</v>
      </c>
      <c r="AS23" s="117" t="n">
        <v>0.702835648148148</v>
      </c>
      <c r="AT23" s="117" t="n">
        <v>0</v>
      </c>
      <c r="AU23" s="117" t="n">
        <v>0</v>
      </c>
      <c r="AX23" s="117" t="n">
        <v>10</v>
      </c>
    </row>
    <row r="24" customFormat="false" ht="13.8" hidden="true" customHeight="false" outlineLevel="0" collapsed="false">
      <c r="A24" s="117" t="n">
        <v>1000</v>
      </c>
      <c r="B24" s="117" t="s">
        <v>1962</v>
      </c>
      <c r="C24" s="117" t="n">
        <v>100081970</v>
      </c>
      <c r="E24" s="117" t="s">
        <v>1921</v>
      </c>
      <c r="F24" s="117" t="n">
        <v>1109</v>
      </c>
      <c r="G24" s="117" t="n">
        <v>2019</v>
      </c>
      <c r="H24" s="117" t="n">
        <v>5</v>
      </c>
      <c r="I24" s="118" t="n">
        <v>43708</v>
      </c>
      <c r="J24" s="118" t="n">
        <v>43708</v>
      </c>
      <c r="K24" s="119" t="n">
        <v>-254204.56</v>
      </c>
      <c r="L24" s="128" t="n">
        <f aca="false">K24-Q24+T24</f>
        <v>-254204.56</v>
      </c>
      <c r="M24" s="117" t="s">
        <v>149</v>
      </c>
      <c r="N24" s="117" t="n">
        <v>-254204.56</v>
      </c>
      <c r="O24" s="117" t="s">
        <v>149</v>
      </c>
      <c r="P24" s="117" t="n">
        <v>0</v>
      </c>
      <c r="Q24" s="117" t="n">
        <v>0</v>
      </c>
      <c r="R24" s="117" t="n">
        <v>-254204.56</v>
      </c>
      <c r="S24" s="117" t="n">
        <v>0</v>
      </c>
      <c r="T24" s="117" t="n">
        <v>0</v>
      </c>
      <c r="U24" s="117" t="n">
        <v>307259</v>
      </c>
      <c r="V24" s="117" t="s">
        <v>143</v>
      </c>
      <c r="Z24" s="117" t="n">
        <v>100081970</v>
      </c>
      <c r="AD24" s="117" t="n">
        <v>110000</v>
      </c>
      <c r="AE24" s="117" t="s">
        <v>1966</v>
      </c>
      <c r="AF24" s="117" t="n">
        <v>310300</v>
      </c>
      <c r="AG24" s="117" t="s">
        <v>1969</v>
      </c>
      <c r="AI24" s="117" t="n">
        <v>310300</v>
      </c>
      <c r="AJ24" s="117" t="s">
        <v>1969</v>
      </c>
      <c r="AK24" s="117" t="n">
        <v>0</v>
      </c>
      <c r="AL24" s="117" t="n">
        <v>17</v>
      </c>
      <c r="AM24" s="117" t="s">
        <v>225</v>
      </c>
      <c r="AP24" s="117" t="n">
        <v>100081970</v>
      </c>
      <c r="AQ24" s="118" t="n">
        <v>43708</v>
      </c>
      <c r="AR24" s="118" t="n">
        <v>43710</v>
      </c>
      <c r="AS24" s="117" t="n">
        <v>0.282395833333333</v>
      </c>
      <c r="AT24" s="117" t="n">
        <v>0</v>
      </c>
      <c r="AU24" s="117" t="n">
        <v>0</v>
      </c>
      <c r="AX24" s="117" t="n">
        <v>1</v>
      </c>
    </row>
    <row r="25" customFormat="false" ht="13.8" hidden="true" customHeight="false" outlineLevel="0" collapsed="false">
      <c r="A25" s="117" t="n">
        <v>1000</v>
      </c>
      <c r="B25" s="117" t="s">
        <v>1962</v>
      </c>
      <c r="C25" s="117" t="n">
        <v>100082479</v>
      </c>
      <c r="E25" s="117" t="s">
        <v>1921</v>
      </c>
      <c r="F25" s="117" t="n">
        <v>1101</v>
      </c>
      <c r="G25" s="117" t="n">
        <v>2019</v>
      </c>
      <c r="H25" s="117" t="n">
        <v>5</v>
      </c>
      <c r="I25" s="118" t="n">
        <v>43708</v>
      </c>
      <c r="J25" s="118" t="n">
        <v>43708</v>
      </c>
      <c r="K25" s="119" t="n">
        <v>-365469.45</v>
      </c>
      <c r="L25" s="128" t="n">
        <f aca="false">K25-Q25+T25</f>
        <v>-365469.45</v>
      </c>
      <c r="M25" s="117" t="s">
        <v>149</v>
      </c>
      <c r="N25" s="117" t="n">
        <v>-365469.45</v>
      </c>
      <c r="O25" s="117" t="s">
        <v>149</v>
      </c>
      <c r="P25" s="117" t="n">
        <v>0</v>
      </c>
      <c r="Q25" s="117" t="n">
        <v>0</v>
      </c>
      <c r="R25" s="117" t="n">
        <v>-365469.45</v>
      </c>
      <c r="S25" s="117" t="n">
        <v>0</v>
      </c>
      <c r="T25" s="117" t="n">
        <v>0</v>
      </c>
      <c r="U25" s="117" t="n">
        <v>318999</v>
      </c>
      <c r="V25" s="117" t="s">
        <v>143</v>
      </c>
      <c r="Z25" s="117" t="n">
        <v>100082479</v>
      </c>
      <c r="AD25" s="117" t="n">
        <v>111105</v>
      </c>
      <c r="AE25" s="117" t="s">
        <v>1994</v>
      </c>
      <c r="AF25" s="117" t="n">
        <v>110000</v>
      </c>
      <c r="AG25" s="117" t="s">
        <v>1966</v>
      </c>
      <c r="AI25" s="117" t="n">
        <v>110000</v>
      </c>
      <c r="AJ25" s="117" t="s">
        <v>1966</v>
      </c>
      <c r="AK25" s="117" t="n">
        <v>0</v>
      </c>
      <c r="AL25" s="117" t="n">
        <v>19</v>
      </c>
      <c r="AM25" s="117" t="s">
        <v>225</v>
      </c>
      <c r="AN25" s="117" t="s">
        <v>1995</v>
      </c>
      <c r="AP25" s="117" t="n">
        <v>100082479</v>
      </c>
      <c r="AQ25" s="118" t="n">
        <v>43708</v>
      </c>
      <c r="AR25" s="118" t="n">
        <v>43711</v>
      </c>
      <c r="AS25" s="117" t="n">
        <v>0.238310185185185</v>
      </c>
      <c r="AT25" s="117" t="n">
        <v>0</v>
      </c>
      <c r="AU25" s="117" t="n">
        <v>0</v>
      </c>
      <c r="AX25" s="117" t="n">
        <v>4</v>
      </c>
    </row>
    <row r="26" customFormat="false" ht="13.8" hidden="true" customHeight="false" outlineLevel="0" collapsed="false">
      <c r="A26" s="117" t="n">
        <v>1000</v>
      </c>
      <c r="B26" s="117" t="s">
        <v>1962</v>
      </c>
      <c r="C26" s="117" t="n">
        <v>100058249</v>
      </c>
      <c r="E26" s="117" t="s">
        <v>1921</v>
      </c>
      <c r="F26" s="117" t="n">
        <v>1109</v>
      </c>
      <c r="G26" s="117" t="n">
        <v>2019</v>
      </c>
      <c r="H26" s="117" t="n">
        <v>4</v>
      </c>
      <c r="I26" s="118" t="n">
        <v>43677</v>
      </c>
      <c r="J26" s="118" t="n">
        <v>43677</v>
      </c>
      <c r="K26" s="119" t="n">
        <v>-3614555.84</v>
      </c>
      <c r="L26" s="128" t="n">
        <f aca="false">K26-Q26+T26</f>
        <v>-3614555.84</v>
      </c>
      <c r="M26" s="117" t="s">
        <v>149</v>
      </c>
      <c r="N26" s="117" t="n">
        <v>-3614555.84</v>
      </c>
      <c r="O26" s="117" t="s">
        <v>149</v>
      </c>
      <c r="P26" s="117" t="n">
        <v>0</v>
      </c>
      <c r="Q26" s="117" t="n">
        <v>0</v>
      </c>
      <c r="R26" s="117" t="n">
        <v>-3614555.84</v>
      </c>
      <c r="S26" s="117" t="n">
        <v>0</v>
      </c>
      <c r="T26" s="117" t="n">
        <v>0</v>
      </c>
      <c r="U26" s="117" t="n">
        <v>318179</v>
      </c>
      <c r="V26" s="117" t="s">
        <v>143</v>
      </c>
      <c r="Z26" s="117" t="n">
        <v>100058249</v>
      </c>
      <c r="AD26" s="117" t="n">
        <v>110000</v>
      </c>
      <c r="AE26" s="117" t="s">
        <v>1966</v>
      </c>
      <c r="AF26" s="117" t="n">
        <v>110000</v>
      </c>
      <c r="AG26" s="117" t="s">
        <v>1966</v>
      </c>
      <c r="AI26" s="117" t="n">
        <v>110000</v>
      </c>
      <c r="AJ26" s="117" t="s">
        <v>1966</v>
      </c>
      <c r="AK26" s="117" t="n">
        <v>0</v>
      </c>
      <c r="AL26" s="117" t="n">
        <v>17</v>
      </c>
      <c r="AM26" s="117" t="s">
        <v>225</v>
      </c>
      <c r="AP26" s="117" t="n">
        <v>100058249</v>
      </c>
      <c r="AQ26" s="118" t="n">
        <v>43677</v>
      </c>
      <c r="AR26" s="118" t="n">
        <v>43678</v>
      </c>
      <c r="AS26" s="117" t="n">
        <v>0.222881944444444</v>
      </c>
      <c r="AT26" s="117" t="n">
        <v>0</v>
      </c>
      <c r="AU26" s="117" t="n">
        <v>0</v>
      </c>
      <c r="AX26" s="117" t="n">
        <v>3</v>
      </c>
    </row>
    <row r="27" customFormat="false" ht="13.8" hidden="false" customHeight="false" outlineLevel="0" collapsed="false">
      <c r="A27" s="117" t="n">
        <v>1000</v>
      </c>
      <c r="B27" s="117" t="s">
        <v>1962</v>
      </c>
      <c r="C27" s="117" t="n">
        <v>100082479</v>
      </c>
      <c r="E27" s="117" t="s">
        <v>1921</v>
      </c>
      <c r="F27" s="117" t="n">
        <v>1101</v>
      </c>
      <c r="G27" s="117" t="n">
        <v>2019</v>
      </c>
      <c r="H27" s="117" t="n">
        <v>5</v>
      </c>
      <c r="I27" s="118" t="n">
        <v>43708</v>
      </c>
      <c r="J27" s="118" t="n">
        <v>43708</v>
      </c>
      <c r="K27" s="119" t="n">
        <v>509193.39</v>
      </c>
      <c r="L27" s="128" t="n">
        <f aca="false">K27-Q27+T27</f>
        <v>509193.39</v>
      </c>
      <c r="M27" s="117" t="s">
        <v>149</v>
      </c>
      <c r="N27" s="117" t="n">
        <v>509193.39</v>
      </c>
      <c r="O27" s="117" t="s">
        <v>149</v>
      </c>
      <c r="P27" s="117" t="n">
        <v>509193.39</v>
      </c>
      <c r="Q27" s="117" t="n">
        <v>0</v>
      </c>
      <c r="R27" s="117" t="n">
        <v>509193.39</v>
      </c>
      <c r="S27" s="117" t="n">
        <v>0</v>
      </c>
      <c r="T27" s="117" t="n">
        <v>0</v>
      </c>
      <c r="U27" s="117" t="n">
        <v>318999</v>
      </c>
      <c r="V27" s="117" t="s">
        <v>143</v>
      </c>
      <c r="X27" s="117" t="s">
        <v>1996</v>
      </c>
      <c r="Z27" s="117" t="n">
        <v>100082479</v>
      </c>
      <c r="AD27" s="117" t="n">
        <v>111105</v>
      </c>
      <c r="AE27" s="117" t="s">
        <v>1994</v>
      </c>
      <c r="AF27" s="117" t="n">
        <v>110000</v>
      </c>
      <c r="AG27" s="117" t="s">
        <v>1966</v>
      </c>
      <c r="AI27" s="117" t="n">
        <v>110000</v>
      </c>
      <c r="AJ27" s="117" t="s">
        <v>1966</v>
      </c>
      <c r="AK27" s="117" t="n">
        <v>0</v>
      </c>
      <c r="AL27" s="117" t="n">
        <v>9</v>
      </c>
      <c r="AM27" s="117" t="s">
        <v>161</v>
      </c>
      <c r="AN27" s="117" t="s">
        <v>1995</v>
      </c>
      <c r="AP27" s="117" t="n">
        <v>100173604</v>
      </c>
      <c r="AQ27" s="118" t="n">
        <v>43799</v>
      </c>
      <c r="AR27" s="118" t="n">
        <v>43711</v>
      </c>
      <c r="AS27" s="117" t="n">
        <v>0.238310185185185</v>
      </c>
      <c r="AT27" s="117" t="n">
        <v>0</v>
      </c>
      <c r="AU27" s="117" t="n">
        <v>0</v>
      </c>
      <c r="AX27" s="117" t="n">
        <v>2</v>
      </c>
    </row>
    <row r="28" customFormat="false" ht="13.8" hidden="true" customHeight="false" outlineLevel="0" collapsed="false">
      <c r="A28" s="117" t="n">
        <v>1000</v>
      </c>
      <c r="B28" s="117" t="s">
        <v>1962</v>
      </c>
      <c r="C28" s="117" t="n">
        <v>1400003592</v>
      </c>
      <c r="E28" s="117" t="s">
        <v>1972</v>
      </c>
      <c r="F28" s="117" t="n">
        <v>1106</v>
      </c>
      <c r="G28" s="117" t="n">
        <v>2019</v>
      </c>
      <c r="H28" s="117" t="n">
        <v>4</v>
      </c>
      <c r="I28" s="118" t="n">
        <v>43650</v>
      </c>
      <c r="J28" s="118" t="n">
        <v>43650</v>
      </c>
      <c r="K28" s="119" t="n">
        <v>-3143638</v>
      </c>
      <c r="L28" s="128" t="n">
        <f aca="false">K28-Q28+T28</f>
        <v>-3143638</v>
      </c>
      <c r="M28" s="117" t="s">
        <v>149</v>
      </c>
      <c r="N28" s="117" t="n">
        <v>-3143638</v>
      </c>
      <c r="O28" s="117" t="s">
        <v>149</v>
      </c>
      <c r="P28" s="117" t="n">
        <v>0</v>
      </c>
      <c r="Q28" s="117" t="n">
        <v>0</v>
      </c>
      <c r="R28" s="117" t="n">
        <v>-3143638</v>
      </c>
      <c r="S28" s="117" t="n">
        <v>0</v>
      </c>
      <c r="T28" s="117" t="n">
        <v>0</v>
      </c>
      <c r="U28" s="117" t="n">
        <v>305576</v>
      </c>
      <c r="V28" s="117" t="s">
        <v>1973</v>
      </c>
      <c r="X28" s="117" t="s">
        <v>1997</v>
      </c>
      <c r="Y28" s="117" t="s">
        <v>1998</v>
      </c>
      <c r="Z28" s="117" t="n">
        <v>1400003592</v>
      </c>
      <c r="AC28" s="117" t="s">
        <v>1976</v>
      </c>
      <c r="AD28" s="117" t="n">
        <v>310300</v>
      </c>
      <c r="AE28" s="117" t="s">
        <v>1969</v>
      </c>
      <c r="AF28" s="117" t="n">
        <v>101105</v>
      </c>
      <c r="AG28" s="117" t="s">
        <v>1977</v>
      </c>
      <c r="AI28" s="117" t="n">
        <v>101105</v>
      </c>
      <c r="AJ28" s="117" t="s">
        <v>1977</v>
      </c>
      <c r="AK28" s="117" t="n">
        <v>0</v>
      </c>
      <c r="AL28" s="117" t="n">
        <v>19</v>
      </c>
      <c r="AM28" s="117" t="s">
        <v>225</v>
      </c>
      <c r="AN28" s="117" t="s">
        <v>1978</v>
      </c>
      <c r="AP28" s="117" t="n">
        <v>100055938</v>
      </c>
      <c r="AQ28" s="118" t="n">
        <v>43671</v>
      </c>
      <c r="AR28" s="118" t="n">
        <v>43651</v>
      </c>
      <c r="AS28" s="117" t="n">
        <v>0.752164351851852</v>
      </c>
      <c r="AT28" s="117" t="n">
        <v>0</v>
      </c>
      <c r="AU28" s="117" t="n">
        <v>0</v>
      </c>
      <c r="AX28" s="117" t="n">
        <v>2</v>
      </c>
    </row>
    <row r="29" customFormat="false" ht="13.8" hidden="true" customHeight="false" outlineLevel="0" collapsed="false">
      <c r="A29" s="117" t="n">
        <v>1000</v>
      </c>
      <c r="B29" s="117" t="s">
        <v>1962</v>
      </c>
      <c r="C29" s="117" t="n">
        <v>100075998</v>
      </c>
      <c r="E29" s="117" t="s">
        <v>1921</v>
      </c>
      <c r="F29" s="117" t="n">
        <v>1106</v>
      </c>
      <c r="G29" s="117" t="n">
        <v>2019</v>
      </c>
      <c r="H29" s="117" t="n">
        <v>5</v>
      </c>
      <c r="I29" s="118" t="n">
        <v>43703</v>
      </c>
      <c r="J29" s="118" t="n">
        <v>43703</v>
      </c>
      <c r="K29" s="119" t="n">
        <v>6259900</v>
      </c>
      <c r="L29" s="128" t="n">
        <f aca="false">K29-Q29+T29</f>
        <v>6259900</v>
      </c>
      <c r="M29" s="117" t="s">
        <v>149</v>
      </c>
      <c r="N29" s="117" t="n">
        <v>6259900</v>
      </c>
      <c r="O29" s="117" t="s">
        <v>149</v>
      </c>
      <c r="P29" s="117" t="n">
        <v>0</v>
      </c>
      <c r="Q29" s="117" t="n">
        <v>0</v>
      </c>
      <c r="R29" s="117" t="n">
        <v>6259900</v>
      </c>
      <c r="S29" s="117" t="n">
        <v>0</v>
      </c>
      <c r="T29" s="117" t="n">
        <v>0</v>
      </c>
      <c r="U29" s="117" t="n">
        <v>309728</v>
      </c>
      <c r="V29" s="117" t="s">
        <v>1968</v>
      </c>
      <c r="Z29" s="117" t="n">
        <v>100075998</v>
      </c>
      <c r="AD29" s="117" t="n">
        <v>310300</v>
      </c>
      <c r="AE29" s="117" t="s">
        <v>1969</v>
      </c>
      <c r="AF29" s="117" t="n">
        <v>110000</v>
      </c>
      <c r="AG29" s="117" t="s">
        <v>1966</v>
      </c>
      <c r="AI29" s="117" t="n">
        <v>110000</v>
      </c>
      <c r="AJ29" s="117" t="s">
        <v>1966</v>
      </c>
      <c r="AK29" s="117" t="n">
        <v>0</v>
      </c>
      <c r="AL29" s="117" t="n">
        <v>9</v>
      </c>
      <c r="AM29" s="117" t="s">
        <v>161</v>
      </c>
      <c r="AN29" s="117" t="s">
        <v>1978</v>
      </c>
      <c r="AP29" s="117" t="n">
        <v>100075998</v>
      </c>
      <c r="AQ29" s="118" t="n">
        <v>43703</v>
      </c>
      <c r="AR29" s="118" t="n">
        <v>43703</v>
      </c>
      <c r="AS29" s="117" t="n">
        <v>0.739675925925926</v>
      </c>
      <c r="AT29" s="117" t="n">
        <v>0</v>
      </c>
      <c r="AU29" s="117" t="n">
        <v>0</v>
      </c>
      <c r="AX29" s="117" t="n">
        <v>2</v>
      </c>
    </row>
    <row r="30" customFormat="false" ht="13.8" hidden="true" customHeight="false" outlineLevel="0" collapsed="false">
      <c r="A30" s="117" t="n">
        <v>1000</v>
      </c>
      <c r="B30" s="117" t="s">
        <v>1962</v>
      </c>
      <c r="C30" s="117" t="n">
        <v>1600000180</v>
      </c>
      <c r="D30" s="117" t="s">
        <v>1991</v>
      </c>
      <c r="E30" s="117" t="s">
        <v>1987</v>
      </c>
      <c r="F30" s="117" t="n">
        <v>1106</v>
      </c>
      <c r="G30" s="117" t="n">
        <v>2019</v>
      </c>
      <c r="H30" s="117" t="n">
        <v>5</v>
      </c>
      <c r="I30" s="118" t="n">
        <v>43706</v>
      </c>
      <c r="J30" s="118" t="n">
        <v>43706</v>
      </c>
      <c r="K30" s="119" t="n">
        <v>-303810.6</v>
      </c>
      <c r="L30" s="128" t="n">
        <f aca="false">K30-Q30+T30</f>
        <v>-303810.6</v>
      </c>
      <c r="M30" s="117" t="s">
        <v>149</v>
      </c>
      <c r="N30" s="117" t="n">
        <v>-303810.6</v>
      </c>
      <c r="O30" s="117" t="s">
        <v>149</v>
      </c>
      <c r="P30" s="117" t="n">
        <v>-303810.6</v>
      </c>
      <c r="Q30" s="117" t="n">
        <v>0</v>
      </c>
      <c r="R30" s="117" t="n">
        <v>-303810.6</v>
      </c>
      <c r="S30" s="117" t="n">
        <v>0</v>
      </c>
      <c r="T30" s="117" t="n">
        <v>0</v>
      </c>
      <c r="U30" s="117" t="n">
        <v>312193</v>
      </c>
      <c r="V30" s="117" t="s">
        <v>1963</v>
      </c>
      <c r="X30" s="117" t="s">
        <v>1999</v>
      </c>
      <c r="Y30" s="117" t="s">
        <v>2000</v>
      </c>
      <c r="Z30" s="117" t="n">
        <v>1600000180</v>
      </c>
      <c r="AD30" s="117" t="n">
        <v>310300</v>
      </c>
      <c r="AE30" s="117" t="s">
        <v>1969</v>
      </c>
      <c r="AF30" s="117" t="n">
        <v>309085</v>
      </c>
      <c r="AG30" s="117" t="s">
        <v>2001</v>
      </c>
      <c r="AI30" s="117" t="n">
        <v>309085</v>
      </c>
      <c r="AJ30" s="131" t="s">
        <v>2001</v>
      </c>
      <c r="AK30" s="117" t="n">
        <v>0</v>
      </c>
      <c r="AL30" s="117" t="n">
        <v>19</v>
      </c>
      <c r="AM30" s="117" t="s">
        <v>225</v>
      </c>
      <c r="AN30" s="117" t="s">
        <v>1978</v>
      </c>
      <c r="AP30" s="117" t="n">
        <v>100078765</v>
      </c>
      <c r="AQ30" s="118" t="n">
        <v>43706</v>
      </c>
      <c r="AR30" s="118" t="n">
        <v>43706</v>
      </c>
      <c r="AS30" s="117" t="n">
        <v>0.46318287037037</v>
      </c>
      <c r="AT30" s="117" t="n">
        <v>0</v>
      </c>
      <c r="AU30" s="117" t="n">
        <v>0</v>
      </c>
      <c r="AX30" s="117" t="n">
        <v>2</v>
      </c>
    </row>
    <row r="31" s="106" customFormat="true" ht="13.8" hidden="true" customHeight="false" outlineLevel="0" collapsed="false">
      <c r="A31" s="106" t="n">
        <v>1000</v>
      </c>
      <c r="B31" s="106" t="s">
        <v>1962</v>
      </c>
      <c r="C31" s="106" t="n">
        <v>101042</v>
      </c>
      <c r="D31" s="106" t="s">
        <v>2002</v>
      </c>
      <c r="E31" s="106" t="s">
        <v>1970</v>
      </c>
      <c r="F31" s="106" t="n">
        <v>1109</v>
      </c>
      <c r="G31" s="106" t="n">
        <v>2019</v>
      </c>
      <c r="H31" s="106" t="n">
        <v>1</v>
      </c>
      <c r="I31" s="129" t="n">
        <v>43584</v>
      </c>
      <c r="J31" s="129" t="n">
        <v>43584</v>
      </c>
      <c r="K31" s="107" t="n">
        <v>212211.2</v>
      </c>
      <c r="L31" s="130" t="n">
        <f aca="false">K31-Q31+T31</f>
        <v>179840</v>
      </c>
      <c r="M31" s="106" t="s">
        <v>149</v>
      </c>
      <c r="N31" s="107" t="n">
        <v>212211.2</v>
      </c>
      <c r="O31" s="106" t="s">
        <v>149</v>
      </c>
      <c r="P31" s="106" t="n">
        <v>0</v>
      </c>
      <c r="Q31" s="107" t="n">
        <v>32371.2</v>
      </c>
      <c r="R31" s="107" t="n">
        <v>179840</v>
      </c>
      <c r="S31" s="106" t="n">
        <v>0</v>
      </c>
      <c r="T31" s="106" t="n">
        <v>0</v>
      </c>
      <c r="U31" s="106" t="n">
        <v>312193</v>
      </c>
      <c r="V31" s="106" t="s">
        <v>1963</v>
      </c>
      <c r="Z31" s="106" t="n">
        <v>2316</v>
      </c>
      <c r="AB31" s="106" t="s">
        <v>1965</v>
      </c>
      <c r="AD31" s="106" t="n">
        <v>110000</v>
      </c>
      <c r="AE31" s="106" t="s">
        <v>1966</v>
      </c>
      <c r="AF31" s="106" t="n">
        <v>501020</v>
      </c>
      <c r="AG31" s="106" t="s">
        <v>1971</v>
      </c>
      <c r="AI31" s="106" t="n">
        <v>501020</v>
      </c>
      <c r="AJ31" s="106" t="s">
        <v>1971</v>
      </c>
      <c r="AK31" s="106" t="n">
        <v>0</v>
      </c>
      <c r="AL31" s="106" t="n">
        <v>1</v>
      </c>
      <c r="AM31" s="106" t="s">
        <v>161</v>
      </c>
      <c r="AP31" s="106" t="n">
        <v>100005107</v>
      </c>
      <c r="AQ31" s="129" t="n">
        <v>43585</v>
      </c>
      <c r="AR31" s="129" t="n">
        <v>43584</v>
      </c>
      <c r="AS31" s="106" t="n">
        <v>0.605127314814815</v>
      </c>
      <c r="AT31" s="106" t="n">
        <v>0</v>
      </c>
      <c r="AU31" s="106" t="n">
        <v>0</v>
      </c>
      <c r="AX31" s="106" t="n">
        <v>1</v>
      </c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3.8" hidden="true" customHeight="false" outlineLevel="0" collapsed="false">
      <c r="A32" s="117" t="n">
        <v>1000</v>
      </c>
      <c r="B32" s="117" t="s">
        <v>1962</v>
      </c>
      <c r="C32" s="117" t="n">
        <v>100116355</v>
      </c>
      <c r="E32" s="117" t="s">
        <v>1921</v>
      </c>
      <c r="F32" s="117" t="n">
        <v>1109</v>
      </c>
      <c r="G32" s="117" t="n">
        <v>2019</v>
      </c>
      <c r="H32" s="117" t="n">
        <v>6</v>
      </c>
      <c r="I32" s="118" t="n">
        <v>43738</v>
      </c>
      <c r="J32" s="118" t="n">
        <v>43738</v>
      </c>
      <c r="K32" s="119" t="n">
        <v>308876.8</v>
      </c>
      <c r="L32" s="128" t="n">
        <f aca="false">K32-Q32+T32</f>
        <v>308876.8</v>
      </c>
      <c r="M32" s="117" t="s">
        <v>149</v>
      </c>
      <c r="N32" s="117" t="n">
        <v>308876.8</v>
      </c>
      <c r="O32" s="117" t="s">
        <v>149</v>
      </c>
      <c r="P32" s="117" t="n">
        <v>0</v>
      </c>
      <c r="Q32" s="117" t="n">
        <v>0</v>
      </c>
      <c r="R32" s="117" t="n">
        <v>308876.8</v>
      </c>
      <c r="S32" s="117" t="n">
        <v>0</v>
      </c>
      <c r="T32" s="117" t="n">
        <v>0</v>
      </c>
      <c r="U32" s="117" t="n">
        <v>312193</v>
      </c>
      <c r="V32" s="117" t="s">
        <v>1963</v>
      </c>
      <c r="X32" s="117" t="s">
        <v>2003</v>
      </c>
      <c r="Z32" s="117" t="n">
        <v>2316</v>
      </c>
      <c r="AB32" s="117" t="s">
        <v>1965</v>
      </c>
      <c r="AD32" s="117" t="n">
        <v>110000</v>
      </c>
      <c r="AE32" s="117" t="s">
        <v>1966</v>
      </c>
      <c r="AF32" s="117" t="n">
        <v>110000</v>
      </c>
      <c r="AG32" s="117" t="s">
        <v>1966</v>
      </c>
      <c r="AI32" s="117" t="n">
        <v>110000</v>
      </c>
      <c r="AJ32" s="117" t="s">
        <v>1966</v>
      </c>
      <c r="AK32" s="117" t="n">
        <v>0</v>
      </c>
      <c r="AL32" s="117" t="n">
        <v>4</v>
      </c>
      <c r="AM32" s="117" t="s">
        <v>161</v>
      </c>
      <c r="AP32" s="117" t="n">
        <v>100123318</v>
      </c>
      <c r="AQ32" s="118" t="n">
        <v>43738</v>
      </c>
      <c r="AR32" s="118" t="n">
        <v>43738</v>
      </c>
      <c r="AS32" s="117" t="n">
        <v>0.224525462962963</v>
      </c>
      <c r="AT32" s="117" t="n">
        <v>0</v>
      </c>
      <c r="AU32" s="117" t="n">
        <v>0</v>
      </c>
      <c r="AX32" s="117" t="n">
        <v>2</v>
      </c>
    </row>
    <row r="33" customFormat="false" ht="13.8" hidden="true" customHeight="false" outlineLevel="0" collapsed="false">
      <c r="A33" s="117" t="n">
        <v>1000</v>
      </c>
      <c r="B33" s="117" t="s">
        <v>1962</v>
      </c>
      <c r="C33" s="117" t="n">
        <v>100081967</v>
      </c>
      <c r="E33" s="117" t="s">
        <v>1921</v>
      </c>
      <c r="F33" s="117" t="n">
        <v>1109</v>
      </c>
      <c r="G33" s="117" t="n">
        <v>2019</v>
      </c>
      <c r="H33" s="117" t="n">
        <v>5</v>
      </c>
      <c r="I33" s="118" t="n">
        <v>43708</v>
      </c>
      <c r="J33" s="118" t="n">
        <v>43708</v>
      </c>
      <c r="K33" s="119" t="n">
        <v>1833661</v>
      </c>
      <c r="L33" s="128" t="n">
        <f aca="false">K33-Q33+T33</f>
        <v>1833661</v>
      </c>
      <c r="M33" s="117" t="s">
        <v>149</v>
      </c>
      <c r="N33" s="117" t="n">
        <v>1833661</v>
      </c>
      <c r="O33" s="117" t="s">
        <v>149</v>
      </c>
      <c r="P33" s="117" t="n">
        <v>0</v>
      </c>
      <c r="Q33" s="117" t="n">
        <v>0</v>
      </c>
      <c r="R33" s="117" t="n">
        <v>1833661</v>
      </c>
      <c r="S33" s="117" t="n">
        <v>0</v>
      </c>
      <c r="T33" s="117" t="n">
        <v>0</v>
      </c>
      <c r="U33" s="117" t="n">
        <v>305576</v>
      </c>
      <c r="V33" s="117" t="s">
        <v>1973</v>
      </c>
      <c r="X33" s="117" t="s">
        <v>1288</v>
      </c>
      <c r="Z33" s="117" t="n">
        <v>60427</v>
      </c>
      <c r="AB33" s="117" t="s">
        <v>2004</v>
      </c>
      <c r="AD33" s="117" t="n">
        <v>110000</v>
      </c>
      <c r="AE33" s="117" t="s">
        <v>1966</v>
      </c>
      <c r="AF33" s="117" t="n">
        <v>110000</v>
      </c>
      <c r="AG33" s="117" t="s">
        <v>1966</v>
      </c>
      <c r="AI33" s="117" t="n">
        <v>110000</v>
      </c>
      <c r="AJ33" s="117" t="s">
        <v>1966</v>
      </c>
      <c r="AK33" s="117" t="n">
        <v>0</v>
      </c>
      <c r="AL33" s="117" t="n">
        <v>4</v>
      </c>
      <c r="AM33" s="117" t="s">
        <v>161</v>
      </c>
      <c r="AP33" s="117" t="n">
        <v>100122444</v>
      </c>
      <c r="AQ33" s="118" t="n">
        <v>43738</v>
      </c>
      <c r="AR33" s="118" t="n">
        <v>43710</v>
      </c>
      <c r="AS33" s="117" t="n">
        <v>0.276030092592593</v>
      </c>
      <c r="AT33" s="117" t="n">
        <v>0</v>
      </c>
      <c r="AU33" s="117" t="n">
        <v>0</v>
      </c>
      <c r="AX33" s="117" t="n">
        <v>2</v>
      </c>
    </row>
    <row r="34" customFormat="false" ht="13.8" hidden="true" customHeight="false" outlineLevel="0" collapsed="false">
      <c r="A34" s="117" t="n">
        <v>1000</v>
      </c>
      <c r="B34" s="117" t="s">
        <v>1962</v>
      </c>
      <c r="C34" s="117" t="n">
        <v>100113124</v>
      </c>
      <c r="D34" s="117" t="s">
        <v>2005</v>
      </c>
      <c r="E34" s="117" t="s">
        <v>1903</v>
      </c>
      <c r="F34" s="117" t="n">
        <v>1108</v>
      </c>
      <c r="G34" s="117" t="n">
        <v>2019</v>
      </c>
      <c r="H34" s="117" t="n">
        <v>6</v>
      </c>
      <c r="I34" s="118" t="n">
        <v>43732</v>
      </c>
      <c r="J34" s="118" t="n">
        <v>43732</v>
      </c>
      <c r="K34" s="119" t="n">
        <v>-0.43</v>
      </c>
      <c r="L34" s="128" t="n">
        <f aca="false">K34-Q34+T34</f>
        <v>-0.43</v>
      </c>
      <c r="M34" s="117" t="s">
        <v>149</v>
      </c>
      <c r="N34" s="117" t="n">
        <v>-0.43</v>
      </c>
      <c r="O34" s="117" t="s">
        <v>149</v>
      </c>
      <c r="P34" s="117" t="n">
        <v>0</v>
      </c>
      <c r="Q34" s="117" t="n">
        <v>0</v>
      </c>
      <c r="R34" s="117" t="n">
        <v>-0.43</v>
      </c>
      <c r="S34" s="117" t="n">
        <v>0</v>
      </c>
      <c r="T34" s="117" t="n">
        <v>0</v>
      </c>
      <c r="U34" s="117" t="n">
        <v>306263</v>
      </c>
      <c r="V34" s="117" t="s">
        <v>2006</v>
      </c>
      <c r="X34" s="117" t="s">
        <v>2007</v>
      </c>
      <c r="Y34" s="117" t="s">
        <v>2008</v>
      </c>
      <c r="Z34" s="117" t="n">
        <v>100113124</v>
      </c>
      <c r="AD34" s="117" t="n">
        <v>110000</v>
      </c>
      <c r="AE34" s="117" t="s">
        <v>1966</v>
      </c>
      <c r="AF34" s="117" t="n">
        <v>891305</v>
      </c>
      <c r="AG34" s="117" t="s">
        <v>2009</v>
      </c>
      <c r="AI34" s="117" t="n">
        <v>891305</v>
      </c>
      <c r="AJ34" s="117" t="s">
        <v>2009</v>
      </c>
      <c r="AK34" s="117" t="n">
        <v>0</v>
      </c>
      <c r="AL34" s="117" t="n">
        <v>17</v>
      </c>
      <c r="AM34" s="117" t="s">
        <v>225</v>
      </c>
      <c r="AP34" s="117" t="n">
        <v>100113124</v>
      </c>
      <c r="AQ34" s="118" t="n">
        <v>43732</v>
      </c>
      <c r="AR34" s="118" t="n">
        <v>43733</v>
      </c>
      <c r="AS34" s="117" t="n">
        <v>0.692303240740741</v>
      </c>
      <c r="AT34" s="117" t="n">
        <v>0</v>
      </c>
      <c r="AU34" s="117" t="n">
        <v>0</v>
      </c>
      <c r="AX34" s="117" t="n">
        <v>2</v>
      </c>
    </row>
    <row r="35" s="106" customFormat="true" ht="13.8" hidden="true" customHeight="false" outlineLevel="0" collapsed="false">
      <c r="A35" s="106" t="n">
        <v>1000</v>
      </c>
      <c r="B35" s="106" t="s">
        <v>1962</v>
      </c>
      <c r="C35" s="106" t="n">
        <v>101052</v>
      </c>
      <c r="D35" s="106" t="s">
        <v>2010</v>
      </c>
      <c r="E35" s="106" t="s">
        <v>1970</v>
      </c>
      <c r="F35" s="106" t="n">
        <v>1109</v>
      </c>
      <c r="G35" s="106" t="n">
        <v>2019</v>
      </c>
      <c r="H35" s="106" t="n">
        <v>1</v>
      </c>
      <c r="I35" s="129" t="n">
        <v>43584</v>
      </c>
      <c r="J35" s="129" t="n">
        <v>43584</v>
      </c>
      <c r="K35" s="107" t="n">
        <v>309431.4</v>
      </c>
      <c r="L35" s="130" t="n">
        <f aca="false">K35-Q35+T35</f>
        <v>262230</v>
      </c>
      <c r="M35" s="106" t="s">
        <v>149</v>
      </c>
      <c r="N35" s="107" t="n">
        <v>309431.4</v>
      </c>
      <c r="O35" s="106" t="s">
        <v>149</v>
      </c>
      <c r="P35" s="106" t="n">
        <v>0</v>
      </c>
      <c r="Q35" s="107" t="n">
        <v>47201.4</v>
      </c>
      <c r="R35" s="107" t="n">
        <v>262230</v>
      </c>
      <c r="S35" s="106" t="n">
        <v>0</v>
      </c>
      <c r="T35" s="106" t="n">
        <v>0</v>
      </c>
      <c r="U35" s="106" t="n">
        <v>312193</v>
      </c>
      <c r="V35" s="106" t="s">
        <v>1963</v>
      </c>
      <c r="Z35" s="106" t="n">
        <v>2316</v>
      </c>
      <c r="AB35" s="106" t="s">
        <v>1965</v>
      </c>
      <c r="AD35" s="106" t="n">
        <v>110000</v>
      </c>
      <c r="AE35" s="106" t="s">
        <v>1966</v>
      </c>
      <c r="AF35" s="106" t="n">
        <v>501020</v>
      </c>
      <c r="AG35" s="106" t="s">
        <v>1971</v>
      </c>
      <c r="AI35" s="106" t="n">
        <v>501020</v>
      </c>
      <c r="AJ35" s="106" t="s">
        <v>1971</v>
      </c>
      <c r="AK35" s="106" t="n">
        <v>0</v>
      </c>
      <c r="AL35" s="106" t="n">
        <v>1</v>
      </c>
      <c r="AM35" s="106" t="s">
        <v>161</v>
      </c>
      <c r="AP35" s="106" t="n">
        <v>100005107</v>
      </c>
      <c r="AQ35" s="129" t="n">
        <v>43585</v>
      </c>
      <c r="AR35" s="129" t="n">
        <v>43584</v>
      </c>
      <c r="AS35" s="106" t="n">
        <v>0.699560185185185</v>
      </c>
      <c r="AT35" s="106" t="n">
        <v>0</v>
      </c>
      <c r="AU35" s="106" t="n">
        <v>0</v>
      </c>
      <c r="AX35" s="106" t="n">
        <v>1</v>
      </c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customFormat="false" ht="13.8" hidden="true" customHeight="false" outlineLevel="0" collapsed="false">
      <c r="A36" s="117" t="n">
        <v>1000</v>
      </c>
      <c r="B36" s="117" t="s">
        <v>1962</v>
      </c>
      <c r="C36" s="117" t="n">
        <v>1400004796</v>
      </c>
      <c r="E36" s="117" t="s">
        <v>1972</v>
      </c>
      <c r="F36" s="117" t="n">
        <v>1101</v>
      </c>
      <c r="G36" s="117" t="n">
        <v>2019</v>
      </c>
      <c r="H36" s="117" t="n">
        <v>5</v>
      </c>
      <c r="I36" s="118" t="n">
        <v>43682</v>
      </c>
      <c r="J36" s="118" t="n">
        <v>43682</v>
      </c>
      <c r="K36" s="119" t="n">
        <v>-1743896.04</v>
      </c>
      <c r="L36" s="128" t="n">
        <f aca="false">K36-Q36+T36</f>
        <v>-1743896.04</v>
      </c>
      <c r="M36" s="117" t="s">
        <v>149</v>
      </c>
      <c r="N36" s="117" t="n">
        <v>-1743896.04</v>
      </c>
      <c r="O36" s="117" t="s">
        <v>149</v>
      </c>
      <c r="P36" s="117" t="n">
        <v>0</v>
      </c>
      <c r="Q36" s="117" t="n">
        <v>0</v>
      </c>
      <c r="R36" s="117" t="n">
        <v>-1743896.04</v>
      </c>
      <c r="S36" s="117" t="n">
        <v>0</v>
      </c>
      <c r="T36" s="117" t="n">
        <v>0</v>
      </c>
      <c r="U36" s="117" t="n">
        <v>318999</v>
      </c>
      <c r="V36" s="117" t="s">
        <v>143</v>
      </c>
      <c r="X36" s="117" t="s">
        <v>2011</v>
      </c>
      <c r="Y36" s="117" t="s">
        <v>2012</v>
      </c>
      <c r="Z36" s="117" t="n">
        <v>1400004796</v>
      </c>
      <c r="AC36" s="117" t="s">
        <v>1976</v>
      </c>
      <c r="AD36" s="117" t="n">
        <v>310300</v>
      </c>
      <c r="AE36" s="117" t="s">
        <v>1969</v>
      </c>
      <c r="AF36" s="117" t="n">
        <v>101105</v>
      </c>
      <c r="AG36" s="117" t="s">
        <v>1977</v>
      </c>
      <c r="AI36" s="117" t="n">
        <v>101105</v>
      </c>
      <c r="AJ36" s="117" t="s">
        <v>1977</v>
      </c>
      <c r="AK36" s="117" t="n">
        <v>0</v>
      </c>
      <c r="AL36" s="117" t="n">
        <v>19</v>
      </c>
      <c r="AM36" s="117" t="s">
        <v>225</v>
      </c>
      <c r="AN36" s="117" t="s">
        <v>1978</v>
      </c>
      <c r="AP36" s="117" t="n">
        <v>100076146</v>
      </c>
      <c r="AQ36" s="118" t="n">
        <v>43703</v>
      </c>
      <c r="AR36" s="118" t="n">
        <v>43685</v>
      </c>
      <c r="AS36" s="117" t="n">
        <v>0.488032407407407</v>
      </c>
      <c r="AT36" s="117" t="n">
        <v>0</v>
      </c>
      <c r="AU36" s="117" t="n">
        <v>0</v>
      </c>
      <c r="AX36" s="117" t="n">
        <v>2</v>
      </c>
    </row>
    <row r="37" customFormat="false" ht="13.8" hidden="true" customHeight="false" outlineLevel="0" collapsed="false">
      <c r="A37" s="117" t="n">
        <v>1000</v>
      </c>
      <c r="B37" s="117" t="s">
        <v>1962</v>
      </c>
      <c r="C37" s="117" t="n">
        <v>1400005437</v>
      </c>
      <c r="E37" s="117" t="s">
        <v>1972</v>
      </c>
      <c r="F37" s="117" t="n">
        <v>1101</v>
      </c>
      <c r="G37" s="117" t="n">
        <v>2019</v>
      </c>
      <c r="H37" s="117" t="n">
        <v>5</v>
      </c>
      <c r="I37" s="118" t="n">
        <v>43706</v>
      </c>
      <c r="J37" s="118" t="n">
        <v>43706</v>
      </c>
      <c r="K37" s="119" t="n">
        <v>-3431713.39</v>
      </c>
      <c r="L37" s="128" t="n">
        <f aca="false">K37-Q37+T37</f>
        <v>-3431713.39</v>
      </c>
      <c r="M37" s="117" t="s">
        <v>149</v>
      </c>
      <c r="N37" s="117" t="n">
        <v>-3431713.39</v>
      </c>
      <c r="O37" s="117" t="s">
        <v>149</v>
      </c>
      <c r="P37" s="117" t="n">
        <v>0</v>
      </c>
      <c r="Q37" s="117" t="n">
        <v>0</v>
      </c>
      <c r="R37" s="117" t="n">
        <v>-3431713.39</v>
      </c>
      <c r="S37" s="117" t="n">
        <v>0</v>
      </c>
      <c r="T37" s="117" t="n">
        <v>0</v>
      </c>
      <c r="U37" s="117" t="n">
        <v>312948</v>
      </c>
      <c r="V37" s="117" t="s">
        <v>1984</v>
      </c>
      <c r="X37" s="117" t="s">
        <v>2013</v>
      </c>
      <c r="Y37" s="117" t="s">
        <v>2014</v>
      </c>
      <c r="Z37" s="117" t="n">
        <v>1400005437</v>
      </c>
      <c r="AC37" s="117" t="s">
        <v>1976</v>
      </c>
      <c r="AD37" s="117" t="n">
        <v>310300</v>
      </c>
      <c r="AE37" s="117" t="s">
        <v>1969</v>
      </c>
      <c r="AF37" s="117" t="n">
        <v>101105</v>
      </c>
      <c r="AG37" s="117" t="s">
        <v>1977</v>
      </c>
      <c r="AI37" s="117" t="n">
        <v>101105</v>
      </c>
      <c r="AJ37" s="117" t="s">
        <v>1977</v>
      </c>
      <c r="AK37" s="117" t="n">
        <v>0</v>
      </c>
      <c r="AL37" s="117" t="n">
        <v>19</v>
      </c>
      <c r="AM37" s="117" t="s">
        <v>225</v>
      </c>
      <c r="AN37" s="117" t="s">
        <v>1978</v>
      </c>
      <c r="AP37" s="117" t="n">
        <v>100081995</v>
      </c>
      <c r="AQ37" s="118" t="n">
        <v>43708</v>
      </c>
      <c r="AR37" s="118" t="n">
        <v>43707</v>
      </c>
      <c r="AS37" s="117" t="n">
        <v>0.49556712962963</v>
      </c>
      <c r="AT37" s="117" t="n">
        <v>0</v>
      </c>
      <c r="AU37" s="117" t="n">
        <v>0</v>
      </c>
      <c r="AX37" s="117" t="n">
        <v>2</v>
      </c>
    </row>
    <row r="38" customFormat="false" ht="13.8" hidden="true" customHeight="false" outlineLevel="0" collapsed="false">
      <c r="A38" s="117" t="n">
        <v>1000</v>
      </c>
      <c r="B38" s="117" t="s">
        <v>1962</v>
      </c>
      <c r="C38" s="117" t="n">
        <v>100058463</v>
      </c>
      <c r="E38" s="117" t="s">
        <v>1921</v>
      </c>
      <c r="F38" s="117" t="n">
        <v>1109</v>
      </c>
      <c r="G38" s="117" t="n">
        <v>2019</v>
      </c>
      <c r="H38" s="117" t="n">
        <v>4</v>
      </c>
      <c r="I38" s="118" t="n">
        <v>43677</v>
      </c>
      <c r="J38" s="118" t="n">
        <v>43677</v>
      </c>
      <c r="K38" s="119" t="n">
        <v>6579</v>
      </c>
      <c r="L38" s="128" t="n">
        <f aca="false">K38-Q38+T38</f>
        <v>6579</v>
      </c>
      <c r="M38" s="117" t="s">
        <v>149</v>
      </c>
      <c r="N38" s="117" t="n">
        <v>6579</v>
      </c>
      <c r="O38" s="117" t="s">
        <v>149</v>
      </c>
      <c r="P38" s="117" t="n">
        <v>0</v>
      </c>
      <c r="Q38" s="117" t="n">
        <v>0</v>
      </c>
      <c r="R38" s="117" t="n">
        <v>6579</v>
      </c>
      <c r="S38" s="117" t="n">
        <v>0</v>
      </c>
      <c r="T38" s="117" t="n">
        <v>0</v>
      </c>
      <c r="U38" s="117" t="n">
        <v>312193</v>
      </c>
      <c r="V38" s="117" t="s">
        <v>1963</v>
      </c>
      <c r="X38" s="117" t="s">
        <v>2015</v>
      </c>
      <c r="Z38" s="117" t="n">
        <v>2316</v>
      </c>
      <c r="AB38" s="117" t="s">
        <v>1965</v>
      </c>
      <c r="AD38" s="117" t="n">
        <v>110000</v>
      </c>
      <c r="AE38" s="117" t="s">
        <v>1966</v>
      </c>
      <c r="AF38" s="117" t="n">
        <v>110000</v>
      </c>
      <c r="AG38" s="117" t="s">
        <v>1966</v>
      </c>
      <c r="AI38" s="117" t="n">
        <v>110000</v>
      </c>
      <c r="AJ38" s="117" t="s">
        <v>1966</v>
      </c>
      <c r="AK38" s="117" t="n">
        <v>0</v>
      </c>
      <c r="AL38" s="117" t="n">
        <v>4</v>
      </c>
      <c r="AM38" s="117" t="s">
        <v>161</v>
      </c>
      <c r="AP38" s="117" t="n">
        <v>100173563</v>
      </c>
      <c r="AQ38" s="118" t="n">
        <v>43799</v>
      </c>
      <c r="AR38" s="118" t="n">
        <v>43678</v>
      </c>
      <c r="AS38" s="117" t="n">
        <v>0.576759259259259</v>
      </c>
      <c r="AT38" s="117" t="n">
        <v>0</v>
      </c>
      <c r="AU38" s="117" t="n">
        <v>0</v>
      </c>
      <c r="AX38" s="117" t="n">
        <v>4</v>
      </c>
    </row>
    <row r="39" customFormat="false" ht="13.8" hidden="true" customHeight="false" outlineLevel="0" collapsed="false">
      <c r="A39" s="117" t="n">
        <v>1000</v>
      </c>
      <c r="B39" s="117" t="s">
        <v>1962</v>
      </c>
      <c r="C39" s="117" t="n">
        <v>100055956</v>
      </c>
      <c r="E39" s="117" t="s">
        <v>1921</v>
      </c>
      <c r="F39" s="117" t="n">
        <v>1109</v>
      </c>
      <c r="G39" s="117" t="n">
        <v>2019</v>
      </c>
      <c r="H39" s="117" t="n">
        <v>4</v>
      </c>
      <c r="I39" s="118" t="n">
        <v>43671</v>
      </c>
      <c r="J39" s="118" t="n">
        <v>43671</v>
      </c>
      <c r="K39" s="119" t="n">
        <v>-672600</v>
      </c>
      <c r="L39" s="128" t="n">
        <f aca="false">K39-Q39+T39</f>
        <v>-672600</v>
      </c>
      <c r="M39" s="117" t="s">
        <v>149</v>
      </c>
      <c r="N39" s="117" t="n">
        <v>-672600</v>
      </c>
      <c r="O39" s="117" t="s">
        <v>149</v>
      </c>
      <c r="P39" s="117" t="n">
        <v>0</v>
      </c>
      <c r="Q39" s="117" t="n">
        <v>0</v>
      </c>
      <c r="R39" s="117" t="n">
        <v>-672600</v>
      </c>
      <c r="S39" s="117" t="n">
        <v>0</v>
      </c>
      <c r="T39" s="117" t="n">
        <v>0</v>
      </c>
      <c r="U39" s="117" t="n">
        <v>313029</v>
      </c>
      <c r="V39" s="117" t="s">
        <v>143</v>
      </c>
      <c r="Z39" s="117" t="n">
        <v>100055956</v>
      </c>
      <c r="AD39" s="117" t="n">
        <v>110000</v>
      </c>
      <c r="AE39" s="117" t="s">
        <v>1966</v>
      </c>
      <c r="AF39" s="117" t="n">
        <v>310300</v>
      </c>
      <c r="AG39" s="117" t="s">
        <v>1969</v>
      </c>
      <c r="AI39" s="117" t="n">
        <v>310300</v>
      </c>
      <c r="AJ39" s="117" t="s">
        <v>1969</v>
      </c>
      <c r="AK39" s="117" t="n">
        <v>0</v>
      </c>
      <c r="AL39" s="117" t="n">
        <v>17</v>
      </c>
      <c r="AM39" s="117" t="s">
        <v>225</v>
      </c>
      <c r="AP39" s="117" t="n">
        <v>100055956</v>
      </c>
      <c r="AQ39" s="118" t="n">
        <v>43671</v>
      </c>
      <c r="AR39" s="118" t="n">
        <v>43671</v>
      </c>
      <c r="AS39" s="117" t="n">
        <v>0.656712962962963</v>
      </c>
      <c r="AT39" s="117" t="n">
        <v>0</v>
      </c>
      <c r="AU39" s="117" t="n">
        <v>0</v>
      </c>
      <c r="AX39" s="117" t="n">
        <v>1</v>
      </c>
    </row>
    <row r="40" customFormat="false" ht="13.8" hidden="true" customHeight="false" outlineLevel="0" collapsed="false">
      <c r="A40" s="117" t="n">
        <v>1000</v>
      </c>
      <c r="B40" s="117" t="s">
        <v>1962</v>
      </c>
      <c r="C40" s="117" t="n">
        <v>100074926</v>
      </c>
      <c r="E40" s="117" t="s">
        <v>1921</v>
      </c>
      <c r="F40" s="117" t="n">
        <v>1109</v>
      </c>
      <c r="G40" s="117" t="n">
        <v>2019</v>
      </c>
      <c r="H40" s="117" t="n">
        <v>5</v>
      </c>
      <c r="I40" s="118" t="n">
        <v>43701</v>
      </c>
      <c r="J40" s="118" t="n">
        <v>43701</v>
      </c>
      <c r="K40" s="119" t="n">
        <v>-396480</v>
      </c>
      <c r="L40" s="128" t="n">
        <f aca="false">K40-Q40+T40</f>
        <v>-396480</v>
      </c>
      <c r="M40" s="117" t="s">
        <v>149</v>
      </c>
      <c r="N40" s="117" t="n">
        <v>-396480</v>
      </c>
      <c r="O40" s="117" t="s">
        <v>149</v>
      </c>
      <c r="P40" s="117" t="n">
        <v>0</v>
      </c>
      <c r="Q40" s="117" t="n">
        <v>0</v>
      </c>
      <c r="R40" s="117" t="n">
        <v>-396480</v>
      </c>
      <c r="S40" s="117" t="n">
        <v>0</v>
      </c>
      <c r="T40" s="117" t="n">
        <v>0</v>
      </c>
      <c r="U40" s="117" t="n">
        <v>304431</v>
      </c>
      <c r="V40" s="117" t="s">
        <v>2016</v>
      </c>
      <c r="Z40" s="117" t="n">
        <v>100074926</v>
      </c>
      <c r="AD40" s="117" t="n">
        <v>110000</v>
      </c>
      <c r="AE40" s="117" t="s">
        <v>1966</v>
      </c>
      <c r="AF40" s="117" t="n">
        <v>110000</v>
      </c>
      <c r="AG40" s="117" t="s">
        <v>1966</v>
      </c>
      <c r="AI40" s="117" t="n">
        <v>110000</v>
      </c>
      <c r="AJ40" s="117" t="s">
        <v>1966</v>
      </c>
      <c r="AK40" s="117" t="n">
        <v>0</v>
      </c>
      <c r="AL40" s="117" t="n">
        <v>17</v>
      </c>
      <c r="AM40" s="117" t="s">
        <v>225</v>
      </c>
      <c r="AP40" s="117" t="n">
        <v>100074926</v>
      </c>
      <c r="AQ40" s="118" t="n">
        <v>43701</v>
      </c>
      <c r="AR40" s="118" t="n">
        <v>43701</v>
      </c>
      <c r="AS40" s="117" t="n">
        <v>0.557800925925926</v>
      </c>
      <c r="AT40" s="117" t="n">
        <v>0</v>
      </c>
      <c r="AU40" s="117" t="n">
        <v>0</v>
      </c>
      <c r="AX40" s="117" t="n">
        <v>3</v>
      </c>
    </row>
    <row r="41" customFormat="false" ht="13.8" hidden="true" customHeight="false" outlineLevel="0" collapsed="false">
      <c r="A41" s="117" t="n">
        <v>1000</v>
      </c>
      <c r="B41" s="117" t="s">
        <v>1962</v>
      </c>
      <c r="C41" s="117" t="n">
        <v>100058209</v>
      </c>
      <c r="E41" s="117" t="s">
        <v>1921</v>
      </c>
      <c r="F41" s="117" t="n">
        <v>1109</v>
      </c>
      <c r="G41" s="117" t="n">
        <v>2019</v>
      </c>
      <c r="H41" s="117" t="n">
        <v>4</v>
      </c>
      <c r="I41" s="118" t="n">
        <v>43677</v>
      </c>
      <c r="J41" s="118" t="n">
        <v>43677</v>
      </c>
      <c r="K41" s="119" t="n">
        <v>388161</v>
      </c>
      <c r="L41" s="128" t="n">
        <f aca="false">K41-Q41+T41</f>
        <v>388161</v>
      </c>
      <c r="M41" s="117" t="s">
        <v>149</v>
      </c>
      <c r="N41" s="117" t="n">
        <v>388161</v>
      </c>
      <c r="O41" s="117" t="s">
        <v>149</v>
      </c>
      <c r="P41" s="117" t="n">
        <v>0</v>
      </c>
      <c r="Q41" s="117" t="n">
        <v>0</v>
      </c>
      <c r="R41" s="117" t="n">
        <v>388161</v>
      </c>
      <c r="S41" s="117" t="n">
        <v>0</v>
      </c>
      <c r="T41" s="117" t="n">
        <v>0</v>
      </c>
      <c r="U41" s="117" t="n">
        <v>312193</v>
      </c>
      <c r="V41" s="117" t="s">
        <v>1963</v>
      </c>
      <c r="X41" s="117" t="s">
        <v>2017</v>
      </c>
      <c r="Z41" s="117" t="n">
        <v>2316</v>
      </c>
      <c r="AB41" s="117" t="s">
        <v>1965</v>
      </c>
      <c r="AD41" s="117" t="n">
        <v>110000</v>
      </c>
      <c r="AE41" s="117" t="s">
        <v>1966</v>
      </c>
      <c r="AF41" s="117" t="n">
        <v>110000</v>
      </c>
      <c r="AG41" s="117" t="s">
        <v>1966</v>
      </c>
      <c r="AI41" s="117" t="n">
        <v>110000</v>
      </c>
      <c r="AJ41" s="117" t="s">
        <v>1966</v>
      </c>
      <c r="AK41" s="117" t="n">
        <v>0</v>
      </c>
      <c r="AL41" s="117" t="n">
        <v>4</v>
      </c>
      <c r="AM41" s="117" t="s">
        <v>161</v>
      </c>
      <c r="AP41" s="117" t="n">
        <v>100058463</v>
      </c>
      <c r="AQ41" s="118" t="n">
        <v>43677</v>
      </c>
      <c r="AR41" s="118" t="n">
        <v>43678</v>
      </c>
      <c r="AS41" s="117" t="n">
        <v>0.197037037037037</v>
      </c>
      <c r="AT41" s="117" t="n">
        <v>0</v>
      </c>
      <c r="AU41" s="117" t="n">
        <v>0</v>
      </c>
      <c r="AX41" s="117" t="n">
        <v>5</v>
      </c>
    </row>
    <row r="42" customFormat="false" ht="13.8" hidden="true" customHeight="false" outlineLevel="0" collapsed="false">
      <c r="A42" s="117" t="n">
        <v>1000</v>
      </c>
      <c r="B42" s="117" t="s">
        <v>1962</v>
      </c>
      <c r="C42" s="117" t="n">
        <v>100081967</v>
      </c>
      <c r="E42" s="117" t="s">
        <v>1921</v>
      </c>
      <c r="F42" s="117" t="n">
        <v>1109</v>
      </c>
      <c r="G42" s="117" t="n">
        <v>2019</v>
      </c>
      <c r="H42" s="117" t="n">
        <v>5</v>
      </c>
      <c r="I42" s="118" t="n">
        <v>43708</v>
      </c>
      <c r="J42" s="118" t="n">
        <v>43708</v>
      </c>
      <c r="K42" s="119" t="n">
        <v>2416168</v>
      </c>
      <c r="L42" s="128" t="n">
        <f aca="false">K42-Q42+T42</f>
        <v>2416168</v>
      </c>
      <c r="M42" s="117" t="s">
        <v>149</v>
      </c>
      <c r="N42" s="117" t="n">
        <v>2416168</v>
      </c>
      <c r="O42" s="117" t="s">
        <v>149</v>
      </c>
      <c r="P42" s="117" t="n">
        <v>0</v>
      </c>
      <c r="Q42" s="117" t="n">
        <v>0</v>
      </c>
      <c r="R42" s="117" t="n">
        <v>2416168</v>
      </c>
      <c r="S42" s="117" t="n">
        <v>0</v>
      </c>
      <c r="T42" s="117" t="n">
        <v>0</v>
      </c>
      <c r="U42" s="117" t="n">
        <v>305576</v>
      </c>
      <c r="V42" s="117" t="s">
        <v>1973</v>
      </c>
      <c r="X42" s="117" t="s">
        <v>1384</v>
      </c>
      <c r="Z42" s="117" t="n">
        <v>60204</v>
      </c>
      <c r="AB42" s="117" t="s">
        <v>2018</v>
      </c>
      <c r="AD42" s="117" t="n">
        <v>110000</v>
      </c>
      <c r="AE42" s="117" t="s">
        <v>1966</v>
      </c>
      <c r="AF42" s="117" t="n">
        <v>110000</v>
      </c>
      <c r="AG42" s="117" t="s">
        <v>1966</v>
      </c>
      <c r="AI42" s="117" t="n">
        <v>110000</v>
      </c>
      <c r="AJ42" s="117" t="s">
        <v>1966</v>
      </c>
      <c r="AK42" s="117" t="n">
        <v>0</v>
      </c>
      <c r="AL42" s="117" t="n">
        <v>4</v>
      </c>
      <c r="AM42" s="117" t="s">
        <v>161</v>
      </c>
      <c r="AP42" s="117" t="n">
        <v>100122444</v>
      </c>
      <c r="AQ42" s="118" t="n">
        <v>43738</v>
      </c>
      <c r="AR42" s="118" t="n">
        <v>43710</v>
      </c>
      <c r="AS42" s="117" t="n">
        <v>0.276030092592593</v>
      </c>
      <c r="AT42" s="117" t="n">
        <v>0</v>
      </c>
      <c r="AU42" s="117" t="n">
        <v>0</v>
      </c>
      <c r="AX42" s="117" t="n">
        <v>1</v>
      </c>
    </row>
    <row r="43" customFormat="false" ht="13.8" hidden="true" customHeight="false" outlineLevel="0" collapsed="false">
      <c r="A43" s="117" t="n">
        <v>1000</v>
      </c>
      <c r="B43" s="117" t="s">
        <v>1962</v>
      </c>
      <c r="C43" s="117" t="n">
        <v>100122987</v>
      </c>
      <c r="E43" s="117" t="s">
        <v>1921</v>
      </c>
      <c r="F43" s="117" t="n">
        <v>1109</v>
      </c>
      <c r="G43" s="117" t="n">
        <v>2019</v>
      </c>
      <c r="H43" s="117" t="n">
        <v>6</v>
      </c>
      <c r="I43" s="118" t="n">
        <v>43738</v>
      </c>
      <c r="J43" s="118" t="n">
        <v>43738</v>
      </c>
      <c r="K43" s="119" t="n">
        <v>-2394019.4</v>
      </c>
      <c r="L43" s="128" t="n">
        <f aca="false">K43-Q43+T43</f>
        <v>-2394019.4</v>
      </c>
      <c r="M43" s="117" t="s">
        <v>149</v>
      </c>
      <c r="N43" s="117" t="n">
        <v>-2394019.4</v>
      </c>
      <c r="O43" s="117" t="s">
        <v>149</v>
      </c>
      <c r="P43" s="117" t="n">
        <v>0</v>
      </c>
      <c r="Q43" s="117" t="n">
        <v>0</v>
      </c>
      <c r="R43" s="117" t="n">
        <v>-2394019.4</v>
      </c>
      <c r="S43" s="117" t="n">
        <v>0</v>
      </c>
      <c r="T43" s="117" t="n">
        <v>0</v>
      </c>
      <c r="U43" s="117" t="n">
        <v>312193</v>
      </c>
      <c r="V43" s="117" t="s">
        <v>1963</v>
      </c>
      <c r="Z43" s="117" t="n">
        <v>100122987</v>
      </c>
      <c r="AD43" s="117" t="n">
        <v>110000</v>
      </c>
      <c r="AE43" s="117" t="s">
        <v>1966</v>
      </c>
      <c r="AF43" s="117" t="n">
        <v>110000</v>
      </c>
      <c r="AG43" s="117" t="s">
        <v>1966</v>
      </c>
      <c r="AI43" s="117" t="n">
        <v>110000</v>
      </c>
      <c r="AJ43" s="117" t="s">
        <v>1966</v>
      </c>
      <c r="AK43" s="117" t="n">
        <v>0</v>
      </c>
      <c r="AL43" s="117" t="n">
        <v>17</v>
      </c>
      <c r="AM43" s="117" t="s">
        <v>225</v>
      </c>
      <c r="AP43" s="117" t="n">
        <v>100122987</v>
      </c>
      <c r="AQ43" s="118" t="n">
        <v>43738</v>
      </c>
      <c r="AR43" s="118" t="n">
        <v>43739</v>
      </c>
      <c r="AS43" s="117" t="n">
        <v>0.481527777777778</v>
      </c>
      <c r="AT43" s="117" t="n">
        <v>0</v>
      </c>
      <c r="AU43" s="117" t="n">
        <v>0</v>
      </c>
      <c r="AX43" s="117" t="n">
        <v>8</v>
      </c>
    </row>
    <row r="44" customFormat="false" ht="13.8" hidden="true" customHeight="false" outlineLevel="0" collapsed="false">
      <c r="A44" s="117" t="n">
        <v>1000</v>
      </c>
      <c r="B44" s="117" t="s">
        <v>1962</v>
      </c>
      <c r="C44" s="117" t="n">
        <v>100055939</v>
      </c>
      <c r="E44" s="117" t="s">
        <v>1921</v>
      </c>
      <c r="F44" s="117" t="n">
        <v>1108</v>
      </c>
      <c r="G44" s="117" t="n">
        <v>2019</v>
      </c>
      <c r="H44" s="117" t="n">
        <v>4</v>
      </c>
      <c r="I44" s="118" t="n">
        <v>43671</v>
      </c>
      <c r="J44" s="118" t="n">
        <v>43671</v>
      </c>
      <c r="K44" s="119" t="n">
        <v>-2769100</v>
      </c>
      <c r="L44" s="128" t="n">
        <f aca="false">K44-Q44+T44</f>
        <v>-2769100</v>
      </c>
      <c r="M44" s="117" t="s">
        <v>149</v>
      </c>
      <c r="N44" s="117" t="n">
        <v>-2769100</v>
      </c>
      <c r="O44" s="117" t="s">
        <v>149</v>
      </c>
      <c r="P44" s="117" t="n">
        <v>0</v>
      </c>
      <c r="Q44" s="117" t="n">
        <v>0</v>
      </c>
      <c r="R44" s="117" t="n">
        <v>-2769100</v>
      </c>
      <c r="S44" s="117" t="n">
        <v>0</v>
      </c>
      <c r="T44" s="117" t="n">
        <v>0</v>
      </c>
      <c r="U44" s="117" t="n">
        <v>306263</v>
      </c>
      <c r="V44" s="117" t="s">
        <v>2006</v>
      </c>
      <c r="Z44" s="117" t="n">
        <v>100055939</v>
      </c>
      <c r="AD44" s="117" t="n">
        <v>110000</v>
      </c>
      <c r="AE44" s="117" t="s">
        <v>1966</v>
      </c>
      <c r="AF44" s="117" t="n">
        <v>310300</v>
      </c>
      <c r="AG44" s="117" t="s">
        <v>1969</v>
      </c>
      <c r="AI44" s="117" t="n">
        <v>310300</v>
      </c>
      <c r="AJ44" s="117" t="s">
        <v>1969</v>
      </c>
      <c r="AK44" s="117" t="n">
        <v>0</v>
      </c>
      <c r="AL44" s="117" t="n">
        <v>17</v>
      </c>
      <c r="AM44" s="117" t="s">
        <v>225</v>
      </c>
      <c r="AP44" s="117" t="n">
        <v>100055939</v>
      </c>
      <c r="AQ44" s="118" t="n">
        <v>43671</v>
      </c>
      <c r="AR44" s="118" t="n">
        <v>43671</v>
      </c>
      <c r="AS44" s="117" t="n">
        <v>0.638715277777778</v>
      </c>
      <c r="AT44" s="117" t="n">
        <v>0</v>
      </c>
      <c r="AU44" s="117" t="n">
        <v>0</v>
      </c>
      <c r="AX44" s="117" t="n">
        <v>1</v>
      </c>
    </row>
    <row r="45" s="106" customFormat="true" ht="13.8" hidden="true" customHeight="false" outlineLevel="0" collapsed="false">
      <c r="A45" s="106" t="n">
        <v>1000</v>
      </c>
      <c r="B45" s="106" t="s">
        <v>1962</v>
      </c>
      <c r="C45" s="106" t="n">
        <v>106080</v>
      </c>
      <c r="D45" s="106" t="s">
        <v>1323</v>
      </c>
      <c r="E45" s="106" t="s">
        <v>1970</v>
      </c>
      <c r="F45" s="106" t="n">
        <v>1101</v>
      </c>
      <c r="G45" s="106" t="n">
        <v>2019</v>
      </c>
      <c r="H45" s="106" t="n">
        <v>5</v>
      </c>
      <c r="I45" s="129" t="n">
        <v>43703</v>
      </c>
      <c r="J45" s="129" t="n">
        <v>43703</v>
      </c>
      <c r="K45" s="107" t="n">
        <v>1437239.38</v>
      </c>
      <c r="L45" s="130" t="n">
        <f aca="false">K45-Q45+T45</f>
        <v>1217999.48</v>
      </c>
      <c r="M45" s="106" t="s">
        <v>149</v>
      </c>
      <c r="N45" s="106" t="n">
        <v>1437239.38</v>
      </c>
      <c r="O45" s="106" t="s">
        <v>149</v>
      </c>
      <c r="P45" s="106" t="n">
        <v>0</v>
      </c>
      <c r="Q45" s="107" t="n">
        <v>219239.9</v>
      </c>
      <c r="R45" s="106" t="n">
        <v>1217999.48</v>
      </c>
      <c r="S45" s="106" t="n">
        <v>0</v>
      </c>
      <c r="T45" s="106" t="n">
        <v>0</v>
      </c>
      <c r="U45" s="106" t="n">
        <v>318999</v>
      </c>
      <c r="V45" s="106" t="s">
        <v>143</v>
      </c>
      <c r="Z45" s="106" t="n">
        <v>2388</v>
      </c>
      <c r="AB45" s="106" t="s">
        <v>2019</v>
      </c>
      <c r="AD45" s="106" t="n">
        <v>110000</v>
      </c>
      <c r="AE45" s="106" t="s">
        <v>1966</v>
      </c>
      <c r="AF45" s="106" t="n">
        <v>501020</v>
      </c>
      <c r="AG45" s="106" t="s">
        <v>1971</v>
      </c>
      <c r="AI45" s="106" t="n">
        <v>501020</v>
      </c>
      <c r="AJ45" s="106" t="s">
        <v>1971</v>
      </c>
      <c r="AK45" s="106" t="n">
        <v>0</v>
      </c>
      <c r="AL45" s="106" t="n">
        <v>1</v>
      </c>
      <c r="AM45" s="106" t="s">
        <v>161</v>
      </c>
      <c r="AP45" s="106" t="n">
        <v>100082045</v>
      </c>
      <c r="AQ45" s="129" t="n">
        <v>43708</v>
      </c>
      <c r="AR45" s="129" t="n">
        <v>43703</v>
      </c>
      <c r="AS45" s="106" t="n">
        <v>0.604166666666667</v>
      </c>
      <c r="AT45" s="106" t="n">
        <v>0</v>
      </c>
      <c r="AU45" s="106" t="n">
        <v>0</v>
      </c>
      <c r="AX45" s="106" t="n">
        <v>1</v>
      </c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3.8" hidden="true" customHeight="false" outlineLevel="0" collapsed="false">
      <c r="A46" s="117" t="n">
        <v>1000</v>
      </c>
      <c r="B46" s="117" t="s">
        <v>1962</v>
      </c>
      <c r="C46" s="117" t="n">
        <v>100123319</v>
      </c>
      <c r="E46" s="117" t="s">
        <v>1921</v>
      </c>
      <c r="F46" s="117" t="n">
        <v>1106</v>
      </c>
      <c r="G46" s="117" t="n">
        <v>2019</v>
      </c>
      <c r="H46" s="117" t="n">
        <v>6</v>
      </c>
      <c r="I46" s="118" t="n">
        <v>43738</v>
      </c>
      <c r="J46" s="118" t="n">
        <v>43738</v>
      </c>
      <c r="K46" s="119" t="n">
        <v>1246952.8</v>
      </c>
      <c r="L46" s="128" t="n">
        <f aca="false">K46-Q46+T46</f>
        <v>1246952.8</v>
      </c>
      <c r="M46" s="117" t="s">
        <v>149</v>
      </c>
      <c r="N46" s="117" t="n">
        <v>1246952.8</v>
      </c>
      <c r="O46" s="117" t="s">
        <v>149</v>
      </c>
      <c r="P46" s="117" t="n">
        <v>0</v>
      </c>
      <c r="Q46" s="117" t="n">
        <v>0</v>
      </c>
      <c r="R46" s="117" t="n">
        <v>1246952.8</v>
      </c>
      <c r="S46" s="117" t="n">
        <v>0</v>
      </c>
      <c r="T46" s="117" t="n">
        <v>0</v>
      </c>
      <c r="U46" s="117" t="n">
        <v>305576</v>
      </c>
      <c r="V46" s="117" t="s">
        <v>1973</v>
      </c>
      <c r="Z46" s="117" t="n">
        <v>100123319</v>
      </c>
      <c r="AD46" s="117" t="n">
        <v>310300</v>
      </c>
      <c r="AE46" s="117" t="s">
        <v>1969</v>
      </c>
      <c r="AF46" s="117" t="n">
        <v>110000</v>
      </c>
      <c r="AG46" s="117" t="s">
        <v>1966</v>
      </c>
      <c r="AI46" s="117" t="n">
        <v>110000</v>
      </c>
      <c r="AJ46" s="117" t="s">
        <v>1966</v>
      </c>
      <c r="AK46" s="117" t="n">
        <v>0</v>
      </c>
      <c r="AL46" s="117" t="n">
        <v>9</v>
      </c>
      <c r="AM46" s="117" t="s">
        <v>161</v>
      </c>
      <c r="AN46" s="117" t="s">
        <v>1978</v>
      </c>
      <c r="AP46" s="117" t="n">
        <v>100123319</v>
      </c>
      <c r="AQ46" s="118" t="n">
        <v>43738</v>
      </c>
      <c r="AR46" s="118" t="n">
        <v>43739</v>
      </c>
      <c r="AS46" s="117" t="n">
        <v>0.586921296296296</v>
      </c>
      <c r="AT46" s="117" t="n">
        <v>0</v>
      </c>
      <c r="AU46" s="117" t="n">
        <v>0</v>
      </c>
      <c r="AX46" s="117" t="n">
        <v>2</v>
      </c>
    </row>
    <row r="47" customFormat="false" ht="13.8" hidden="true" customHeight="false" outlineLevel="0" collapsed="false">
      <c r="A47" s="117" t="n">
        <v>1000</v>
      </c>
      <c r="B47" s="117" t="s">
        <v>1962</v>
      </c>
      <c r="C47" s="117" t="n">
        <v>100058463</v>
      </c>
      <c r="E47" s="117" t="s">
        <v>1921</v>
      </c>
      <c r="F47" s="117" t="n">
        <v>1109</v>
      </c>
      <c r="G47" s="117" t="n">
        <v>2019</v>
      </c>
      <c r="H47" s="117" t="n">
        <v>4</v>
      </c>
      <c r="I47" s="118" t="n">
        <v>43677</v>
      </c>
      <c r="J47" s="118" t="n">
        <v>43677</v>
      </c>
      <c r="K47" s="119" t="n">
        <v>7643.4</v>
      </c>
      <c r="L47" s="128" t="n">
        <f aca="false">K47-Q47+T47</f>
        <v>7643.4</v>
      </c>
      <c r="M47" s="117" t="s">
        <v>149</v>
      </c>
      <c r="N47" s="117" t="n">
        <v>7643.4</v>
      </c>
      <c r="O47" s="117" t="s">
        <v>149</v>
      </c>
      <c r="P47" s="117" t="n">
        <v>0</v>
      </c>
      <c r="Q47" s="117" t="n">
        <v>0</v>
      </c>
      <c r="R47" s="117" t="n">
        <v>7643.4</v>
      </c>
      <c r="S47" s="117" t="n">
        <v>0</v>
      </c>
      <c r="T47" s="117" t="n">
        <v>0</v>
      </c>
      <c r="U47" s="117" t="n">
        <v>312193</v>
      </c>
      <c r="V47" s="117" t="s">
        <v>1963</v>
      </c>
      <c r="X47" s="117" t="s">
        <v>2020</v>
      </c>
      <c r="Z47" s="117" t="n">
        <v>2316</v>
      </c>
      <c r="AB47" s="117" t="s">
        <v>1965</v>
      </c>
      <c r="AD47" s="117" t="n">
        <v>110000</v>
      </c>
      <c r="AE47" s="117" t="s">
        <v>1966</v>
      </c>
      <c r="AF47" s="117" t="n">
        <v>110000</v>
      </c>
      <c r="AG47" s="117" t="s">
        <v>1966</v>
      </c>
      <c r="AI47" s="117" t="n">
        <v>110000</v>
      </c>
      <c r="AJ47" s="117" t="s">
        <v>1966</v>
      </c>
      <c r="AK47" s="117" t="n">
        <v>0</v>
      </c>
      <c r="AL47" s="117" t="n">
        <v>4</v>
      </c>
      <c r="AM47" s="117" t="s">
        <v>161</v>
      </c>
      <c r="AP47" s="117" t="n">
        <v>100173563</v>
      </c>
      <c r="AQ47" s="118" t="n">
        <v>43799</v>
      </c>
      <c r="AR47" s="118" t="n">
        <v>43678</v>
      </c>
      <c r="AS47" s="117" t="n">
        <v>0.576759259259259</v>
      </c>
      <c r="AT47" s="117" t="n">
        <v>0</v>
      </c>
      <c r="AU47" s="117" t="n">
        <v>0</v>
      </c>
      <c r="AX47" s="117" t="n">
        <v>2</v>
      </c>
    </row>
    <row r="48" customFormat="false" ht="13.8" hidden="true" customHeight="false" outlineLevel="0" collapsed="false">
      <c r="A48" s="117" t="n">
        <v>1000</v>
      </c>
      <c r="B48" s="117" t="s">
        <v>1962</v>
      </c>
      <c r="C48" s="117" t="n">
        <v>100122987</v>
      </c>
      <c r="E48" s="117" t="s">
        <v>1921</v>
      </c>
      <c r="F48" s="117" t="n">
        <v>1109</v>
      </c>
      <c r="G48" s="117" t="n">
        <v>2019</v>
      </c>
      <c r="H48" s="117" t="n">
        <v>6</v>
      </c>
      <c r="I48" s="118" t="n">
        <v>43738</v>
      </c>
      <c r="J48" s="118" t="n">
        <v>43738</v>
      </c>
      <c r="K48" s="119" t="n">
        <v>499730</v>
      </c>
      <c r="L48" s="128" t="n">
        <f aca="false">K48-Q48+T48</f>
        <v>499730</v>
      </c>
      <c r="M48" s="117" t="s">
        <v>149</v>
      </c>
      <c r="N48" s="117" t="n">
        <v>499730</v>
      </c>
      <c r="O48" s="117" t="s">
        <v>149</v>
      </c>
      <c r="P48" s="117" t="n">
        <v>0</v>
      </c>
      <c r="Q48" s="117" t="n">
        <v>0</v>
      </c>
      <c r="R48" s="117" t="n">
        <v>499730</v>
      </c>
      <c r="S48" s="117" t="n">
        <v>0</v>
      </c>
      <c r="T48" s="117" t="n">
        <v>0</v>
      </c>
      <c r="U48" s="117" t="n">
        <v>312193</v>
      </c>
      <c r="V48" s="117" t="s">
        <v>1963</v>
      </c>
      <c r="X48" s="117" t="s">
        <v>1117</v>
      </c>
      <c r="Z48" s="117" t="n">
        <v>2316</v>
      </c>
      <c r="AB48" s="117" t="s">
        <v>1965</v>
      </c>
      <c r="AD48" s="117" t="n">
        <v>110000</v>
      </c>
      <c r="AE48" s="117" t="s">
        <v>1966</v>
      </c>
      <c r="AF48" s="117" t="n">
        <v>110000</v>
      </c>
      <c r="AG48" s="117" t="s">
        <v>1966</v>
      </c>
      <c r="AI48" s="117" t="n">
        <v>110000</v>
      </c>
      <c r="AJ48" s="117" t="s">
        <v>1966</v>
      </c>
      <c r="AK48" s="117" t="n">
        <v>0</v>
      </c>
      <c r="AL48" s="117" t="n">
        <v>4</v>
      </c>
      <c r="AM48" s="117" t="s">
        <v>161</v>
      </c>
      <c r="AP48" s="117" t="n">
        <v>100173530</v>
      </c>
      <c r="AQ48" s="118" t="n">
        <v>43799</v>
      </c>
      <c r="AR48" s="118" t="n">
        <v>43739</v>
      </c>
      <c r="AS48" s="117" t="n">
        <v>0.481527777777778</v>
      </c>
      <c r="AT48" s="117" t="n">
        <v>0</v>
      </c>
      <c r="AU48" s="117" t="n">
        <v>0</v>
      </c>
      <c r="AX48" s="117" t="n">
        <v>4</v>
      </c>
    </row>
    <row r="49" customFormat="false" ht="13.8" hidden="true" customHeight="false" outlineLevel="0" collapsed="false">
      <c r="A49" s="117" t="n">
        <v>1000</v>
      </c>
      <c r="B49" s="117" t="s">
        <v>1962</v>
      </c>
      <c r="C49" s="117" t="n">
        <v>100082045</v>
      </c>
      <c r="E49" s="117" t="s">
        <v>1921</v>
      </c>
      <c r="F49" s="117" t="n">
        <v>1101</v>
      </c>
      <c r="G49" s="117" t="n">
        <v>2019</v>
      </c>
      <c r="H49" s="117" t="n">
        <v>5</v>
      </c>
      <c r="I49" s="118" t="n">
        <v>43708</v>
      </c>
      <c r="J49" s="118" t="n">
        <v>43708</v>
      </c>
      <c r="K49" s="119" t="n">
        <v>1437239.38</v>
      </c>
      <c r="L49" s="128" t="n">
        <f aca="false">K49-Q49+T49</f>
        <v>1437239.38</v>
      </c>
      <c r="M49" s="117" t="s">
        <v>149</v>
      </c>
      <c r="N49" s="117" t="n">
        <v>1437239.38</v>
      </c>
      <c r="O49" s="117" t="s">
        <v>149</v>
      </c>
      <c r="P49" s="117" t="n">
        <v>0</v>
      </c>
      <c r="Q49" s="117" t="n">
        <v>0</v>
      </c>
      <c r="R49" s="117" t="n">
        <v>1437239.38</v>
      </c>
      <c r="S49" s="117" t="n">
        <v>0</v>
      </c>
      <c r="T49" s="117" t="n">
        <v>0</v>
      </c>
      <c r="U49" s="117" t="n">
        <v>318999</v>
      </c>
      <c r="V49" s="117" t="s">
        <v>143</v>
      </c>
      <c r="X49" s="117" t="s">
        <v>1323</v>
      </c>
      <c r="Z49" s="117" t="n">
        <v>2388</v>
      </c>
      <c r="AB49" s="117" t="s">
        <v>2019</v>
      </c>
      <c r="AD49" s="117" t="n">
        <v>110000</v>
      </c>
      <c r="AE49" s="117" t="s">
        <v>1966</v>
      </c>
      <c r="AF49" s="117" t="n">
        <v>110000</v>
      </c>
      <c r="AG49" s="117" t="s">
        <v>1966</v>
      </c>
      <c r="AI49" s="117" t="n">
        <v>110000</v>
      </c>
      <c r="AJ49" s="117" t="s">
        <v>1966</v>
      </c>
      <c r="AK49" s="117" t="n">
        <v>0</v>
      </c>
      <c r="AL49" s="117" t="n">
        <v>4</v>
      </c>
      <c r="AM49" s="117" t="s">
        <v>161</v>
      </c>
      <c r="AP49" s="117" t="n">
        <v>100082479</v>
      </c>
      <c r="AQ49" s="118" t="n">
        <v>43708</v>
      </c>
      <c r="AR49" s="118" t="n">
        <v>43710</v>
      </c>
      <c r="AS49" s="117" t="n">
        <v>0.352673611111111</v>
      </c>
      <c r="AT49" s="117" t="n">
        <v>0</v>
      </c>
      <c r="AU49" s="117" t="n">
        <v>0</v>
      </c>
      <c r="AX49" s="117" t="n">
        <v>1</v>
      </c>
    </row>
    <row r="50" customFormat="false" ht="13.8" hidden="true" customHeight="false" outlineLevel="0" collapsed="false">
      <c r="A50" s="117" t="n">
        <v>1000</v>
      </c>
      <c r="B50" s="117" t="s">
        <v>1962</v>
      </c>
      <c r="C50" s="117" t="n">
        <v>100057912</v>
      </c>
      <c r="E50" s="117" t="s">
        <v>1921</v>
      </c>
      <c r="F50" s="117" t="n">
        <v>1101</v>
      </c>
      <c r="G50" s="117" t="n">
        <v>2019</v>
      </c>
      <c r="H50" s="117" t="n">
        <v>4</v>
      </c>
      <c r="I50" s="118" t="n">
        <v>43677</v>
      </c>
      <c r="J50" s="118" t="n">
        <v>43677</v>
      </c>
      <c r="K50" s="119" t="n">
        <v>527318.91</v>
      </c>
      <c r="L50" s="128" t="n">
        <f aca="false">K50-Q50+T50</f>
        <v>527318.91</v>
      </c>
      <c r="M50" s="117" t="s">
        <v>149</v>
      </c>
      <c r="N50" s="117" t="n">
        <v>527318.91</v>
      </c>
      <c r="O50" s="117" t="s">
        <v>149</v>
      </c>
      <c r="P50" s="117" t="n">
        <v>0</v>
      </c>
      <c r="Q50" s="117" t="n">
        <v>0</v>
      </c>
      <c r="R50" s="117" t="n">
        <v>527318.91</v>
      </c>
      <c r="S50" s="117" t="n">
        <v>0</v>
      </c>
      <c r="T50" s="117" t="n">
        <v>0</v>
      </c>
      <c r="U50" s="117" t="n">
        <v>318999</v>
      </c>
      <c r="V50" s="117" t="s">
        <v>143</v>
      </c>
      <c r="X50" s="117" t="s">
        <v>2021</v>
      </c>
      <c r="Z50" s="117" t="n">
        <v>100057912</v>
      </c>
      <c r="AD50" s="117" t="n">
        <v>110000</v>
      </c>
      <c r="AE50" s="117" t="s">
        <v>1966</v>
      </c>
      <c r="AF50" s="117" t="n">
        <v>110000</v>
      </c>
      <c r="AG50" s="117" t="s">
        <v>1966</v>
      </c>
      <c r="AI50" s="117" t="n">
        <v>110000</v>
      </c>
      <c r="AJ50" s="117" t="s">
        <v>1966</v>
      </c>
      <c r="AK50" s="117" t="n">
        <v>0</v>
      </c>
      <c r="AL50" s="117" t="n">
        <v>4</v>
      </c>
      <c r="AM50" s="117" t="s">
        <v>161</v>
      </c>
      <c r="AP50" s="117" t="n">
        <v>100082045</v>
      </c>
      <c r="AQ50" s="118" t="n">
        <v>43708</v>
      </c>
      <c r="AR50" s="118" t="n">
        <v>43677</v>
      </c>
      <c r="AS50" s="117" t="n">
        <v>0.699490740740741</v>
      </c>
      <c r="AT50" s="117" t="n">
        <v>0</v>
      </c>
      <c r="AU50" s="117" t="n">
        <v>0</v>
      </c>
      <c r="AX50" s="117" t="n">
        <v>4</v>
      </c>
    </row>
    <row r="51" customFormat="false" ht="13.8" hidden="true" customHeight="false" outlineLevel="0" collapsed="false">
      <c r="A51" s="117" t="n">
        <v>1000</v>
      </c>
      <c r="B51" s="117" t="s">
        <v>1962</v>
      </c>
      <c r="C51" s="117" t="n">
        <v>100081987</v>
      </c>
      <c r="E51" s="117" t="s">
        <v>1921</v>
      </c>
      <c r="F51" s="117" t="n">
        <v>1109</v>
      </c>
      <c r="G51" s="117" t="n">
        <v>2019</v>
      </c>
      <c r="H51" s="117" t="n">
        <v>5</v>
      </c>
      <c r="I51" s="118" t="n">
        <v>43708</v>
      </c>
      <c r="J51" s="118" t="n">
        <v>43708</v>
      </c>
      <c r="K51" s="119" t="n">
        <v>3942514.09</v>
      </c>
      <c r="L51" s="128" t="n">
        <f aca="false">K51-Q51+T51</f>
        <v>3942514.09</v>
      </c>
      <c r="M51" s="117" t="s">
        <v>149</v>
      </c>
      <c r="N51" s="117" t="n">
        <v>3942514.09</v>
      </c>
      <c r="O51" s="117" t="s">
        <v>149</v>
      </c>
      <c r="P51" s="117" t="n">
        <v>0</v>
      </c>
      <c r="Q51" s="117" t="n">
        <v>0</v>
      </c>
      <c r="R51" s="117" t="n">
        <v>3942514.09</v>
      </c>
      <c r="S51" s="117" t="n">
        <v>0</v>
      </c>
      <c r="T51" s="117" t="n">
        <v>0</v>
      </c>
      <c r="U51" s="117" t="n">
        <v>311155</v>
      </c>
      <c r="V51" s="117" t="s">
        <v>2022</v>
      </c>
      <c r="X51" s="117" t="s">
        <v>1370</v>
      </c>
      <c r="Z51" s="117" t="n">
        <v>60431</v>
      </c>
      <c r="AB51" s="117" t="s">
        <v>2023</v>
      </c>
      <c r="AD51" s="117" t="n">
        <v>110000</v>
      </c>
      <c r="AE51" s="117" t="s">
        <v>1966</v>
      </c>
      <c r="AF51" s="117" t="n">
        <v>110000</v>
      </c>
      <c r="AG51" s="117" t="s">
        <v>1966</v>
      </c>
      <c r="AI51" s="117" t="n">
        <v>110000</v>
      </c>
      <c r="AJ51" s="117" t="s">
        <v>1966</v>
      </c>
      <c r="AK51" s="117" t="n">
        <v>0</v>
      </c>
      <c r="AL51" s="117" t="n">
        <v>4</v>
      </c>
      <c r="AM51" s="117" t="s">
        <v>161</v>
      </c>
      <c r="AP51" s="117" t="n">
        <v>100143931</v>
      </c>
      <c r="AQ51" s="118" t="n">
        <v>43769</v>
      </c>
      <c r="AR51" s="118" t="n">
        <v>43710</v>
      </c>
      <c r="AS51" s="117" t="n">
        <v>0.294097222222222</v>
      </c>
      <c r="AT51" s="117" t="n">
        <v>0</v>
      </c>
      <c r="AU51" s="117" t="n">
        <v>0</v>
      </c>
      <c r="AX51" s="117" t="n">
        <v>1</v>
      </c>
    </row>
    <row r="52" customFormat="false" ht="13.8" hidden="true" customHeight="false" outlineLevel="0" collapsed="false">
      <c r="A52" s="117" t="n">
        <v>1000</v>
      </c>
      <c r="B52" s="117" t="s">
        <v>1962</v>
      </c>
      <c r="C52" s="117" t="n">
        <v>100057535</v>
      </c>
      <c r="D52" s="117" t="s">
        <v>2024</v>
      </c>
      <c r="E52" s="117" t="s">
        <v>1921</v>
      </c>
      <c r="F52" s="117" t="n">
        <v>1101</v>
      </c>
      <c r="G52" s="117" t="n">
        <v>2019</v>
      </c>
      <c r="H52" s="117" t="n">
        <v>4</v>
      </c>
      <c r="I52" s="118" t="n">
        <v>43676</v>
      </c>
      <c r="J52" s="118" t="n">
        <v>43676</v>
      </c>
      <c r="K52" s="119" t="n">
        <v>24753.6</v>
      </c>
      <c r="L52" s="128" t="n">
        <f aca="false">K52-Q52+T52</f>
        <v>24753.6</v>
      </c>
      <c r="M52" s="117" t="s">
        <v>149</v>
      </c>
      <c r="N52" s="117" t="n">
        <v>24753.6</v>
      </c>
      <c r="O52" s="117" t="s">
        <v>149</v>
      </c>
      <c r="P52" s="117" t="n">
        <v>0</v>
      </c>
      <c r="Q52" s="117" t="n">
        <v>0</v>
      </c>
      <c r="R52" s="117" t="n">
        <v>24753.6</v>
      </c>
      <c r="S52" s="117" t="n">
        <v>0</v>
      </c>
      <c r="T52" s="117" t="n">
        <v>0</v>
      </c>
      <c r="U52" s="117" t="n">
        <v>315113</v>
      </c>
      <c r="V52" s="117" t="s">
        <v>143</v>
      </c>
      <c r="X52" s="117" t="s">
        <v>2025</v>
      </c>
      <c r="Y52" s="117" t="s">
        <v>2026</v>
      </c>
      <c r="Z52" s="117" t="n">
        <v>100057535</v>
      </c>
      <c r="AD52" s="117" t="n">
        <v>110000</v>
      </c>
      <c r="AE52" s="117" t="s">
        <v>1966</v>
      </c>
      <c r="AF52" s="117" t="s">
        <v>2027</v>
      </c>
      <c r="AG52" s="117" t="s">
        <v>2028</v>
      </c>
      <c r="AI52" s="117" t="s">
        <v>2027</v>
      </c>
      <c r="AJ52" s="117" t="s">
        <v>2028</v>
      </c>
      <c r="AK52" s="117" t="n">
        <v>0</v>
      </c>
      <c r="AL52" s="117" t="n">
        <v>4</v>
      </c>
      <c r="AM52" s="117" t="s">
        <v>161</v>
      </c>
      <c r="AO52" s="117" t="n">
        <v>100057533</v>
      </c>
      <c r="AP52" s="117" t="n">
        <v>100057535</v>
      </c>
      <c r="AQ52" s="118" t="n">
        <v>43676</v>
      </c>
      <c r="AR52" s="118" t="n">
        <v>43676</v>
      </c>
      <c r="AS52" s="117" t="n">
        <v>0.633321759259259</v>
      </c>
      <c r="AT52" s="117" t="n">
        <v>0</v>
      </c>
      <c r="AU52" s="117" t="n">
        <v>0</v>
      </c>
      <c r="AX52" s="117" t="n">
        <v>2</v>
      </c>
    </row>
    <row r="53" customFormat="false" ht="13.8" hidden="true" customHeight="false" outlineLevel="0" collapsed="false">
      <c r="A53" s="117" t="n">
        <v>1000</v>
      </c>
      <c r="B53" s="117" t="s">
        <v>1962</v>
      </c>
      <c r="C53" s="117" t="n">
        <v>100057908</v>
      </c>
      <c r="E53" s="117" t="s">
        <v>1921</v>
      </c>
      <c r="F53" s="117" t="n">
        <v>1109</v>
      </c>
      <c r="G53" s="117" t="n">
        <v>2019</v>
      </c>
      <c r="H53" s="117" t="n">
        <v>4</v>
      </c>
      <c r="I53" s="118" t="n">
        <v>43677</v>
      </c>
      <c r="J53" s="118" t="n">
        <v>43677</v>
      </c>
      <c r="K53" s="119" t="n">
        <v>3351327.71</v>
      </c>
      <c r="L53" s="128" t="n">
        <f aca="false">K53-Q53+T53</f>
        <v>3351327.71</v>
      </c>
      <c r="M53" s="117" t="s">
        <v>149</v>
      </c>
      <c r="N53" s="117" t="n">
        <v>3351327.71</v>
      </c>
      <c r="O53" s="117" t="s">
        <v>149</v>
      </c>
      <c r="P53" s="117" t="n">
        <v>0</v>
      </c>
      <c r="Q53" s="117" t="n">
        <v>0</v>
      </c>
      <c r="R53" s="117" t="n">
        <v>3351327.71</v>
      </c>
      <c r="S53" s="117" t="n">
        <v>0</v>
      </c>
      <c r="T53" s="117" t="n">
        <v>0</v>
      </c>
      <c r="U53" s="117" t="n">
        <v>311155</v>
      </c>
      <c r="V53" s="117" t="s">
        <v>2022</v>
      </c>
      <c r="X53" s="117" t="s">
        <v>1193</v>
      </c>
      <c r="Z53" s="117" t="n">
        <v>59854</v>
      </c>
      <c r="AB53" s="117" t="s">
        <v>2029</v>
      </c>
      <c r="AD53" s="117" t="n">
        <v>110000</v>
      </c>
      <c r="AE53" s="117" t="s">
        <v>1966</v>
      </c>
      <c r="AF53" s="117" t="n">
        <v>110000</v>
      </c>
      <c r="AG53" s="117" t="s">
        <v>1966</v>
      </c>
      <c r="AI53" s="117" t="n">
        <v>110000</v>
      </c>
      <c r="AJ53" s="117" t="s">
        <v>1966</v>
      </c>
      <c r="AK53" s="117" t="n">
        <v>0</v>
      </c>
      <c r="AL53" s="117" t="n">
        <v>4</v>
      </c>
      <c r="AM53" s="117" t="s">
        <v>161</v>
      </c>
      <c r="AP53" s="117" t="n">
        <v>100122462</v>
      </c>
      <c r="AQ53" s="118" t="n">
        <v>43738</v>
      </c>
      <c r="AR53" s="118" t="n">
        <v>43677</v>
      </c>
      <c r="AS53" s="117" t="n">
        <v>0.687395833333333</v>
      </c>
      <c r="AT53" s="117" t="n">
        <v>0</v>
      </c>
      <c r="AU53" s="117" t="n">
        <v>0</v>
      </c>
      <c r="AX53" s="117" t="n">
        <v>1</v>
      </c>
    </row>
    <row r="54" customFormat="false" ht="13.8" hidden="true" customHeight="false" outlineLevel="0" collapsed="false">
      <c r="A54" s="117" t="n">
        <v>1000</v>
      </c>
      <c r="B54" s="117" t="s">
        <v>1962</v>
      </c>
      <c r="C54" s="117" t="n">
        <v>100058209</v>
      </c>
      <c r="E54" s="117" t="s">
        <v>1921</v>
      </c>
      <c r="F54" s="117" t="n">
        <v>1108</v>
      </c>
      <c r="G54" s="117" t="n">
        <v>2019</v>
      </c>
      <c r="H54" s="117" t="n">
        <v>4</v>
      </c>
      <c r="I54" s="118" t="n">
        <v>43677</v>
      </c>
      <c r="J54" s="118" t="n">
        <v>43677</v>
      </c>
      <c r="K54" s="119" t="n">
        <v>210068.32</v>
      </c>
      <c r="L54" s="128" t="n">
        <f aca="false">K54-Q54+T54</f>
        <v>210068.32</v>
      </c>
      <c r="M54" s="117" t="s">
        <v>149</v>
      </c>
      <c r="N54" s="117" t="n">
        <v>210068.32</v>
      </c>
      <c r="O54" s="117" t="s">
        <v>149</v>
      </c>
      <c r="P54" s="117" t="n">
        <v>0</v>
      </c>
      <c r="Q54" s="117" t="n">
        <v>0</v>
      </c>
      <c r="R54" s="117" t="n">
        <v>210068.32</v>
      </c>
      <c r="S54" s="117" t="n">
        <v>0</v>
      </c>
      <c r="T54" s="117" t="n">
        <v>0</v>
      </c>
      <c r="U54" s="117" t="n">
        <v>312193</v>
      </c>
      <c r="V54" s="117" t="s">
        <v>1963</v>
      </c>
      <c r="X54" s="117" t="s">
        <v>2030</v>
      </c>
      <c r="Z54" s="117" t="n">
        <v>2346</v>
      </c>
      <c r="AB54" s="117" t="s">
        <v>2031</v>
      </c>
      <c r="AD54" s="117" t="n">
        <v>110000</v>
      </c>
      <c r="AE54" s="117" t="s">
        <v>1966</v>
      </c>
      <c r="AF54" s="117" t="n">
        <v>110000</v>
      </c>
      <c r="AG54" s="117" t="s">
        <v>1966</v>
      </c>
      <c r="AI54" s="117" t="n">
        <v>110000</v>
      </c>
      <c r="AJ54" s="117" t="s">
        <v>1966</v>
      </c>
      <c r="AK54" s="117" t="n">
        <v>0</v>
      </c>
      <c r="AL54" s="117" t="n">
        <v>4</v>
      </c>
      <c r="AM54" s="117" t="s">
        <v>161</v>
      </c>
      <c r="AP54" s="117" t="n">
        <v>100078765</v>
      </c>
      <c r="AQ54" s="118" t="n">
        <v>43706</v>
      </c>
      <c r="AR54" s="118" t="n">
        <v>43678</v>
      </c>
      <c r="AS54" s="117" t="n">
        <v>0.197037037037037</v>
      </c>
      <c r="AT54" s="117" t="n">
        <v>0</v>
      </c>
      <c r="AU54" s="117" t="n">
        <v>0</v>
      </c>
      <c r="AX54" s="117" t="n">
        <v>1</v>
      </c>
    </row>
    <row r="55" customFormat="false" ht="13.8" hidden="true" customHeight="false" outlineLevel="0" collapsed="false">
      <c r="A55" s="117" t="n">
        <v>1000</v>
      </c>
      <c r="B55" s="117" t="s">
        <v>1962</v>
      </c>
      <c r="C55" s="117" t="n">
        <v>100123327</v>
      </c>
      <c r="E55" s="117" t="s">
        <v>1921</v>
      </c>
      <c r="F55" s="117" t="n">
        <v>1109</v>
      </c>
      <c r="G55" s="117" t="n">
        <v>2019</v>
      </c>
      <c r="H55" s="117" t="n">
        <v>6</v>
      </c>
      <c r="I55" s="118" t="n">
        <v>43738</v>
      </c>
      <c r="J55" s="118" t="n">
        <v>43738</v>
      </c>
      <c r="K55" s="119" t="n">
        <v>-396480</v>
      </c>
      <c r="L55" s="128" t="n">
        <f aca="false">K55-Q55+T55</f>
        <v>-396480</v>
      </c>
      <c r="M55" s="117" t="s">
        <v>149</v>
      </c>
      <c r="N55" s="117" t="n">
        <v>-396480</v>
      </c>
      <c r="O55" s="117" t="s">
        <v>149</v>
      </c>
      <c r="P55" s="117" t="n">
        <v>0</v>
      </c>
      <c r="Q55" s="117" t="n">
        <v>0</v>
      </c>
      <c r="R55" s="117" t="n">
        <v>-396480</v>
      </c>
      <c r="S55" s="117" t="n">
        <v>0</v>
      </c>
      <c r="T55" s="117" t="n">
        <v>0</v>
      </c>
      <c r="U55" s="117" t="n">
        <v>304431</v>
      </c>
      <c r="V55" s="117" t="s">
        <v>2016</v>
      </c>
      <c r="Z55" s="117" t="n">
        <v>100123327</v>
      </c>
      <c r="AD55" s="117" t="n">
        <v>110000</v>
      </c>
      <c r="AE55" s="117" t="s">
        <v>1966</v>
      </c>
      <c r="AF55" s="117" t="n">
        <v>110000</v>
      </c>
      <c r="AG55" s="117" t="s">
        <v>1966</v>
      </c>
      <c r="AI55" s="117" t="n">
        <v>110000</v>
      </c>
      <c r="AJ55" s="117" t="s">
        <v>1966</v>
      </c>
      <c r="AK55" s="117" t="n">
        <v>0</v>
      </c>
      <c r="AL55" s="117" t="n">
        <v>17</v>
      </c>
      <c r="AM55" s="117" t="s">
        <v>225</v>
      </c>
      <c r="AP55" s="117" t="n">
        <v>100123327</v>
      </c>
      <c r="AQ55" s="118" t="n">
        <v>43738</v>
      </c>
      <c r="AR55" s="118" t="n">
        <v>43739</v>
      </c>
      <c r="AS55" s="117" t="n">
        <v>0.614930555555556</v>
      </c>
      <c r="AT55" s="117" t="n">
        <v>0</v>
      </c>
      <c r="AU55" s="117" t="n">
        <v>0</v>
      </c>
      <c r="AX55" s="117" t="n">
        <v>3</v>
      </c>
    </row>
    <row r="56" s="106" customFormat="true" ht="13.8" hidden="true" customHeight="false" outlineLevel="0" collapsed="false">
      <c r="A56" s="106" t="n">
        <v>1000</v>
      </c>
      <c r="B56" s="106" t="s">
        <v>1962</v>
      </c>
      <c r="C56" s="106" t="n">
        <v>113895</v>
      </c>
      <c r="D56" s="106" t="n">
        <v>95004895</v>
      </c>
      <c r="E56" s="106" t="s">
        <v>1970</v>
      </c>
      <c r="F56" s="106" t="n">
        <v>1109</v>
      </c>
      <c r="G56" s="106" t="n">
        <v>2019</v>
      </c>
      <c r="H56" s="106" t="n">
        <v>12</v>
      </c>
      <c r="I56" s="129" t="n">
        <v>43903</v>
      </c>
      <c r="J56" s="129" t="n">
        <v>43903</v>
      </c>
      <c r="K56" s="107" t="n">
        <v>542115.6</v>
      </c>
      <c r="L56" s="130" t="n">
        <f aca="false">K56-Q56+T56</f>
        <v>459420</v>
      </c>
      <c r="M56" s="106" t="s">
        <v>149</v>
      </c>
      <c r="N56" s="106" t="n">
        <v>542115.6</v>
      </c>
      <c r="O56" s="106" t="s">
        <v>149</v>
      </c>
      <c r="P56" s="106" t="n">
        <v>0</v>
      </c>
      <c r="Q56" s="107" t="n">
        <v>82695.6</v>
      </c>
      <c r="R56" s="106" t="n">
        <v>459420</v>
      </c>
      <c r="S56" s="106" t="n">
        <v>0</v>
      </c>
      <c r="T56" s="106" t="n">
        <v>0</v>
      </c>
      <c r="U56" s="106" t="n">
        <v>312193</v>
      </c>
      <c r="V56" s="106" t="s">
        <v>1963</v>
      </c>
      <c r="Z56" s="106" t="n">
        <v>2525</v>
      </c>
      <c r="AB56" s="106" t="s">
        <v>1252</v>
      </c>
      <c r="AD56" s="106" t="n">
        <v>110000</v>
      </c>
      <c r="AE56" s="106" t="s">
        <v>1966</v>
      </c>
      <c r="AF56" s="106" t="n">
        <v>501020</v>
      </c>
      <c r="AG56" s="106" t="s">
        <v>1971</v>
      </c>
      <c r="AI56" s="106" t="n">
        <v>501020</v>
      </c>
      <c r="AJ56" s="106" t="s">
        <v>1971</v>
      </c>
      <c r="AK56" s="106" t="n">
        <v>0</v>
      </c>
      <c r="AL56" s="106" t="n">
        <v>1</v>
      </c>
      <c r="AM56" s="106" t="s">
        <v>161</v>
      </c>
      <c r="AQ56" s="129"/>
      <c r="AR56" s="129" t="n">
        <v>43903</v>
      </c>
      <c r="AS56" s="106" t="n">
        <v>0.638194444444444</v>
      </c>
      <c r="AT56" s="106" t="n">
        <v>0</v>
      </c>
      <c r="AU56" s="106" t="n">
        <v>0</v>
      </c>
      <c r="AW56" s="106" t="n">
        <v>0</v>
      </c>
      <c r="AX56" s="106" t="n">
        <v>1</v>
      </c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s="106" customFormat="true" ht="13.8" hidden="true" customHeight="false" outlineLevel="0" collapsed="false">
      <c r="A57" s="106" t="n">
        <v>1000</v>
      </c>
      <c r="B57" s="106" t="s">
        <v>1962</v>
      </c>
      <c r="C57" s="106" t="n">
        <v>106330</v>
      </c>
      <c r="D57" s="106" t="s">
        <v>1758</v>
      </c>
      <c r="E57" s="106" t="s">
        <v>1970</v>
      </c>
      <c r="F57" s="106" t="n">
        <v>1108</v>
      </c>
      <c r="G57" s="106" t="n">
        <v>2019</v>
      </c>
      <c r="H57" s="106" t="n">
        <v>5</v>
      </c>
      <c r="I57" s="129" t="n">
        <v>43707</v>
      </c>
      <c r="J57" s="129" t="n">
        <v>43707</v>
      </c>
      <c r="K57" s="107" t="n">
        <v>230723.4</v>
      </c>
      <c r="L57" s="130" t="n">
        <f aca="false">K57-Q57+T57</f>
        <v>195528.3</v>
      </c>
      <c r="M57" s="106" t="s">
        <v>149</v>
      </c>
      <c r="N57" s="106" t="n">
        <v>230723.4</v>
      </c>
      <c r="O57" s="106" t="s">
        <v>149</v>
      </c>
      <c r="P57" s="106" t="n">
        <v>0</v>
      </c>
      <c r="Q57" s="107" t="n">
        <v>35195.1</v>
      </c>
      <c r="R57" s="106" t="n">
        <v>195528.3</v>
      </c>
      <c r="S57" s="106" t="n">
        <v>0</v>
      </c>
      <c r="T57" s="106" t="n">
        <v>0</v>
      </c>
      <c r="U57" s="106" t="n">
        <v>312948</v>
      </c>
      <c r="V57" s="106" t="s">
        <v>1984</v>
      </c>
      <c r="Z57" s="106" t="n">
        <v>60206</v>
      </c>
      <c r="AB57" s="106" t="s">
        <v>2032</v>
      </c>
      <c r="AD57" s="106" t="n">
        <v>110000</v>
      </c>
      <c r="AE57" s="106" t="s">
        <v>1966</v>
      </c>
      <c r="AF57" s="106" t="n">
        <v>501005</v>
      </c>
      <c r="AG57" s="106" t="s">
        <v>2033</v>
      </c>
      <c r="AI57" s="106" t="n">
        <v>501005</v>
      </c>
      <c r="AJ57" s="106" t="s">
        <v>2033</v>
      </c>
      <c r="AK57" s="106" t="n">
        <v>0</v>
      </c>
      <c r="AL57" s="106" t="n">
        <v>1</v>
      </c>
      <c r="AM57" s="106" t="s">
        <v>161</v>
      </c>
      <c r="AP57" s="106" t="n">
        <v>100081995</v>
      </c>
      <c r="AQ57" s="129" t="n">
        <v>43708</v>
      </c>
      <c r="AR57" s="129" t="n">
        <v>43707</v>
      </c>
      <c r="AS57" s="106" t="n">
        <v>0.633368055555555</v>
      </c>
      <c r="AT57" s="106" t="n">
        <v>0</v>
      </c>
      <c r="AU57" s="106" t="n">
        <v>0</v>
      </c>
      <c r="AX57" s="106" t="n">
        <v>1</v>
      </c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</row>
    <row r="58" customFormat="false" ht="13.8" hidden="true" customHeight="false" outlineLevel="0" collapsed="false">
      <c r="A58" s="117" t="n">
        <v>1000</v>
      </c>
      <c r="B58" s="117" t="s">
        <v>1962</v>
      </c>
      <c r="C58" s="117" t="n">
        <v>100078765</v>
      </c>
      <c r="E58" s="117" t="s">
        <v>1921</v>
      </c>
      <c r="F58" s="117" t="n">
        <v>1108</v>
      </c>
      <c r="G58" s="117" t="n">
        <v>2019</v>
      </c>
      <c r="H58" s="117" t="n">
        <v>5</v>
      </c>
      <c r="I58" s="118" t="n">
        <v>43706</v>
      </c>
      <c r="J58" s="118" t="n">
        <v>43706</v>
      </c>
      <c r="K58" s="119" t="n">
        <v>3560.48</v>
      </c>
      <c r="L58" s="128" t="n">
        <f aca="false">K58-Q58+T58</f>
        <v>3560.48</v>
      </c>
      <c r="M58" s="117" t="s">
        <v>149</v>
      </c>
      <c r="N58" s="117" t="n">
        <v>3560.48</v>
      </c>
      <c r="O58" s="117" t="s">
        <v>149</v>
      </c>
      <c r="P58" s="117" t="n">
        <v>0</v>
      </c>
      <c r="Q58" s="117" t="n">
        <v>0</v>
      </c>
      <c r="R58" s="117" t="n">
        <v>3560.48</v>
      </c>
      <c r="S58" s="117" t="n">
        <v>0</v>
      </c>
      <c r="T58" s="117" t="n">
        <v>0</v>
      </c>
      <c r="U58" s="117" t="n">
        <v>312193</v>
      </c>
      <c r="V58" s="117" t="s">
        <v>1963</v>
      </c>
      <c r="X58" s="117" t="s">
        <v>2034</v>
      </c>
      <c r="Z58" s="117" t="n">
        <v>2346</v>
      </c>
      <c r="AB58" s="117" t="s">
        <v>2031</v>
      </c>
      <c r="AD58" s="117" t="n">
        <v>110000</v>
      </c>
      <c r="AE58" s="117" t="s">
        <v>1966</v>
      </c>
      <c r="AF58" s="117" t="n">
        <v>110000</v>
      </c>
      <c r="AG58" s="117" t="s">
        <v>1966</v>
      </c>
      <c r="AI58" s="117" t="n">
        <v>110000</v>
      </c>
      <c r="AJ58" s="117" t="s">
        <v>1966</v>
      </c>
      <c r="AK58" s="117" t="n">
        <v>0</v>
      </c>
      <c r="AL58" s="117" t="n">
        <v>4</v>
      </c>
      <c r="AM58" s="117" t="s">
        <v>161</v>
      </c>
      <c r="AP58" s="117" t="n">
        <v>100173563</v>
      </c>
      <c r="AQ58" s="118" t="n">
        <v>43799</v>
      </c>
      <c r="AR58" s="118" t="n">
        <v>43706</v>
      </c>
      <c r="AS58" s="117" t="n">
        <v>0.702835648148148</v>
      </c>
      <c r="AT58" s="117" t="n">
        <v>0</v>
      </c>
      <c r="AU58" s="117" t="n">
        <v>0</v>
      </c>
      <c r="AX58" s="117" t="n">
        <v>4</v>
      </c>
    </row>
    <row r="59" s="106" customFormat="true" ht="13.8" hidden="true" customHeight="false" outlineLevel="0" collapsed="false">
      <c r="A59" s="106" t="n">
        <v>1000</v>
      </c>
      <c r="B59" s="106" t="s">
        <v>1962</v>
      </c>
      <c r="C59" s="106" t="n">
        <v>104207</v>
      </c>
      <c r="D59" s="106" t="s">
        <v>2035</v>
      </c>
      <c r="E59" s="106" t="s">
        <v>1970</v>
      </c>
      <c r="F59" s="106" t="n">
        <v>1101</v>
      </c>
      <c r="G59" s="106" t="n">
        <v>2019</v>
      </c>
      <c r="H59" s="106" t="n">
        <v>4</v>
      </c>
      <c r="I59" s="129" t="n">
        <v>43650</v>
      </c>
      <c r="J59" s="129" t="n">
        <v>43650</v>
      </c>
      <c r="K59" s="107" t="n">
        <v>371198.09</v>
      </c>
      <c r="L59" s="130" t="n">
        <f aca="false">K59-Q59+T59</f>
        <v>314574.65</v>
      </c>
      <c r="M59" s="106" t="s">
        <v>149</v>
      </c>
      <c r="N59" s="106" t="n">
        <v>371198.09</v>
      </c>
      <c r="O59" s="106" t="s">
        <v>149</v>
      </c>
      <c r="P59" s="106" t="n">
        <v>0</v>
      </c>
      <c r="Q59" s="107" t="n">
        <v>56623.44</v>
      </c>
      <c r="R59" s="106" t="n">
        <v>314574.65</v>
      </c>
      <c r="S59" s="106" t="n">
        <v>0</v>
      </c>
      <c r="T59" s="106" t="n">
        <v>0</v>
      </c>
      <c r="U59" s="106" t="n">
        <v>318999</v>
      </c>
      <c r="V59" s="106" t="s">
        <v>143</v>
      </c>
      <c r="Z59" s="106" t="n">
        <v>104207</v>
      </c>
      <c r="AD59" s="106" t="n">
        <v>110000</v>
      </c>
      <c r="AE59" s="106" t="s">
        <v>1966</v>
      </c>
      <c r="AF59" s="106" t="n">
        <v>501040</v>
      </c>
      <c r="AG59" s="106" t="s">
        <v>2036</v>
      </c>
      <c r="AI59" s="106" t="n">
        <v>501040</v>
      </c>
      <c r="AJ59" s="106" t="s">
        <v>2036</v>
      </c>
      <c r="AK59" s="106" t="n">
        <v>0</v>
      </c>
      <c r="AL59" s="106" t="n">
        <v>1</v>
      </c>
      <c r="AM59" s="106" t="s">
        <v>161</v>
      </c>
      <c r="AP59" s="106" t="n">
        <v>100057912</v>
      </c>
      <c r="AQ59" s="129" t="n">
        <v>43677</v>
      </c>
      <c r="AR59" s="129" t="n">
        <v>43650</v>
      </c>
      <c r="AS59" s="106" t="n">
        <v>0.531076388888889</v>
      </c>
      <c r="AT59" s="106" t="n">
        <v>0</v>
      </c>
      <c r="AU59" s="106" t="n">
        <v>0</v>
      </c>
      <c r="AX59" s="106" t="n">
        <v>1</v>
      </c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</row>
    <row r="60" customFormat="false" ht="13.8" hidden="true" customHeight="false" outlineLevel="0" collapsed="false">
      <c r="A60" s="117" t="n">
        <v>1000</v>
      </c>
      <c r="B60" s="117" t="s">
        <v>1962</v>
      </c>
      <c r="C60" s="117" t="n">
        <v>100058209</v>
      </c>
      <c r="E60" s="117" t="s">
        <v>1921</v>
      </c>
      <c r="F60" s="117" t="n">
        <v>1109</v>
      </c>
      <c r="G60" s="117" t="n">
        <v>2019</v>
      </c>
      <c r="H60" s="117" t="n">
        <v>4</v>
      </c>
      <c r="I60" s="118" t="n">
        <v>43677</v>
      </c>
      <c r="J60" s="118" t="n">
        <v>43677</v>
      </c>
      <c r="K60" s="119" t="n">
        <v>-2445983.06</v>
      </c>
      <c r="L60" s="128" t="n">
        <f aca="false">K60-Q60+T60</f>
        <v>-2445983.06</v>
      </c>
      <c r="M60" s="117" t="s">
        <v>149</v>
      </c>
      <c r="N60" s="117" t="n">
        <v>-2445983.06</v>
      </c>
      <c r="O60" s="117" t="s">
        <v>149</v>
      </c>
      <c r="P60" s="117" t="n">
        <v>0</v>
      </c>
      <c r="Q60" s="117" t="n">
        <v>0</v>
      </c>
      <c r="R60" s="117" t="n">
        <v>-2445983.06</v>
      </c>
      <c r="S60" s="117" t="n">
        <v>0</v>
      </c>
      <c r="T60" s="117" t="n">
        <v>0</v>
      </c>
      <c r="U60" s="117" t="n">
        <v>312193</v>
      </c>
      <c r="V60" s="117" t="s">
        <v>1963</v>
      </c>
      <c r="Z60" s="117" t="n">
        <v>100058209</v>
      </c>
      <c r="AD60" s="117" t="n">
        <v>110000</v>
      </c>
      <c r="AE60" s="117" t="s">
        <v>1966</v>
      </c>
      <c r="AF60" s="117" t="n">
        <v>110000</v>
      </c>
      <c r="AG60" s="117" t="s">
        <v>1966</v>
      </c>
      <c r="AI60" s="117" t="n">
        <v>110000</v>
      </c>
      <c r="AJ60" s="117" t="s">
        <v>1966</v>
      </c>
      <c r="AK60" s="117" t="n">
        <v>0</v>
      </c>
      <c r="AL60" s="117" t="n">
        <v>17</v>
      </c>
      <c r="AM60" s="117" t="s">
        <v>225</v>
      </c>
      <c r="AP60" s="117" t="n">
        <v>100058209</v>
      </c>
      <c r="AQ60" s="118" t="n">
        <v>43677</v>
      </c>
      <c r="AR60" s="118" t="n">
        <v>43678</v>
      </c>
      <c r="AS60" s="117" t="n">
        <v>0.197037037037037</v>
      </c>
      <c r="AT60" s="117" t="n">
        <v>0</v>
      </c>
      <c r="AU60" s="117" t="n">
        <v>0</v>
      </c>
      <c r="AX60" s="117" t="n">
        <v>9</v>
      </c>
    </row>
    <row r="61" customFormat="false" ht="13.8" hidden="true" customHeight="false" outlineLevel="0" collapsed="false">
      <c r="A61" s="117" t="n">
        <v>1000</v>
      </c>
      <c r="B61" s="117" t="s">
        <v>1962</v>
      </c>
      <c r="C61" s="117" t="n">
        <v>100078765</v>
      </c>
      <c r="E61" s="117" t="s">
        <v>1921</v>
      </c>
      <c r="F61" s="117" t="n">
        <v>1109</v>
      </c>
      <c r="G61" s="117" t="n">
        <v>2019</v>
      </c>
      <c r="H61" s="117" t="n">
        <v>5</v>
      </c>
      <c r="I61" s="118" t="n">
        <v>43706</v>
      </c>
      <c r="J61" s="118" t="n">
        <v>43706</v>
      </c>
      <c r="K61" s="119" t="n">
        <v>7407.2</v>
      </c>
      <c r="L61" s="128" t="n">
        <f aca="false">K61-Q61+T61</f>
        <v>7407.2</v>
      </c>
      <c r="M61" s="117" t="s">
        <v>149</v>
      </c>
      <c r="N61" s="117" t="n">
        <v>7407.2</v>
      </c>
      <c r="O61" s="117" t="s">
        <v>149</v>
      </c>
      <c r="P61" s="117" t="n">
        <v>0</v>
      </c>
      <c r="Q61" s="117" t="n">
        <v>0</v>
      </c>
      <c r="R61" s="117" t="n">
        <v>7407.2</v>
      </c>
      <c r="S61" s="117" t="n">
        <v>0</v>
      </c>
      <c r="T61" s="117" t="n">
        <v>0</v>
      </c>
      <c r="U61" s="117" t="n">
        <v>312193</v>
      </c>
      <c r="V61" s="117" t="s">
        <v>1963</v>
      </c>
      <c r="X61" s="117" t="s">
        <v>2037</v>
      </c>
      <c r="Z61" s="117" t="n">
        <v>2316</v>
      </c>
      <c r="AB61" s="117" t="s">
        <v>1965</v>
      </c>
      <c r="AD61" s="117" t="n">
        <v>110000</v>
      </c>
      <c r="AE61" s="117" t="s">
        <v>1966</v>
      </c>
      <c r="AF61" s="117" t="n">
        <v>110000</v>
      </c>
      <c r="AG61" s="117" t="s">
        <v>1966</v>
      </c>
      <c r="AI61" s="117" t="n">
        <v>110000</v>
      </c>
      <c r="AJ61" s="117" t="s">
        <v>1966</v>
      </c>
      <c r="AK61" s="117" t="n">
        <v>0</v>
      </c>
      <c r="AL61" s="117" t="n">
        <v>4</v>
      </c>
      <c r="AM61" s="117" t="s">
        <v>161</v>
      </c>
      <c r="AP61" s="117" t="n">
        <v>100173563</v>
      </c>
      <c r="AQ61" s="118" t="n">
        <v>43799</v>
      </c>
      <c r="AR61" s="118" t="n">
        <v>43706</v>
      </c>
      <c r="AS61" s="117" t="n">
        <v>0.702835648148148</v>
      </c>
      <c r="AT61" s="117" t="n">
        <v>0</v>
      </c>
      <c r="AU61" s="117" t="n">
        <v>0</v>
      </c>
      <c r="AX61" s="117" t="n">
        <v>5</v>
      </c>
    </row>
    <row r="62" customFormat="false" ht="13.8" hidden="true" customHeight="false" outlineLevel="0" collapsed="false">
      <c r="A62" s="117" t="n">
        <v>1000</v>
      </c>
      <c r="B62" s="117" t="s">
        <v>1962</v>
      </c>
      <c r="C62" s="117" t="n">
        <v>100123318</v>
      </c>
      <c r="E62" s="117" t="s">
        <v>1921</v>
      </c>
      <c r="F62" s="117" t="n">
        <v>1109</v>
      </c>
      <c r="G62" s="117" t="n">
        <v>2019</v>
      </c>
      <c r="H62" s="117" t="n">
        <v>6</v>
      </c>
      <c r="I62" s="118" t="n">
        <v>43738</v>
      </c>
      <c r="J62" s="118" t="n">
        <v>43738</v>
      </c>
      <c r="K62" s="119" t="n">
        <v>-1268452.8</v>
      </c>
      <c r="L62" s="128" t="n">
        <f aca="false">K62-Q62+T62</f>
        <v>-1268452.8</v>
      </c>
      <c r="M62" s="117" t="s">
        <v>149</v>
      </c>
      <c r="N62" s="117" t="n">
        <v>-1268452.8</v>
      </c>
      <c r="O62" s="117" t="s">
        <v>149</v>
      </c>
      <c r="P62" s="117" t="n">
        <v>0</v>
      </c>
      <c r="Q62" s="117" t="n">
        <v>0</v>
      </c>
      <c r="R62" s="117" t="n">
        <v>-1268452.8</v>
      </c>
      <c r="S62" s="117" t="n">
        <v>0</v>
      </c>
      <c r="T62" s="117" t="n">
        <v>0</v>
      </c>
      <c r="U62" s="117" t="n">
        <v>312193</v>
      </c>
      <c r="V62" s="117" t="s">
        <v>1963</v>
      </c>
      <c r="Z62" s="117" t="n">
        <v>100123318</v>
      </c>
      <c r="AD62" s="117" t="n">
        <v>110000</v>
      </c>
      <c r="AE62" s="117" t="s">
        <v>1966</v>
      </c>
      <c r="AF62" s="117" t="n">
        <v>110000</v>
      </c>
      <c r="AG62" s="117" t="s">
        <v>1966</v>
      </c>
      <c r="AI62" s="117" t="n">
        <v>110000</v>
      </c>
      <c r="AJ62" s="117" t="s">
        <v>1966</v>
      </c>
      <c r="AK62" s="117" t="n">
        <v>0</v>
      </c>
      <c r="AL62" s="117" t="n">
        <v>17</v>
      </c>
      <c r="AM62" s="117" t="s">
        <v>225</v>
      </c>
      <c r="AP62" s="117" t="n">
        <v>100123318</v>
      </c>
      <c r="AQ62" s="118" t="n">
        <v>43738</v>
      </c>
      <c r="AR62" s="118" t="n">
        <v>43739</v>
      </c>
      <c r="AS62" s="117" t="n">
        <v>0.584733796296296</v>
      </c>
      <c r="AT62" s="117" t="n">
        <v>0</v>
      </c>
      <c r="AU62" s="117" t="n">
        <v>0</v>
      </c>
      <c r="AX62" s="117" t="n">
        <v>7</v>
      </c>
    </row>
    <row r="63" customFormat="false" ht="13.8" hidden="true" customHeight="false" outlineLevel="0" collapsed="false">
      <c r="A63" s="117" t="n">
        <v>1000</v>
      </c>
      <c r="B63" s="117" t="s">
        <v>1962</v>
      </c>
      <c r="C63" s="117" t="n">
        <v>100123319</v>
      </c>
      <c r="E63" s="117" t="s">
        <v>1921</v>
      </c>
      <c r="F63" s="117" t="n">
        <v>1106</v>
      </c>
      <c r="G63" s="117" t="n">
        <v>2019</v>
      </c>
      <c r="H63" s="117" t="n">
        <v>6</v>
      </c>
      <c r="I63" s="118" t="n">
        <v>43738</v>
      </c>
      <c r="J63" s="118" t="n">
        <v>43738</v>
      </c>
      <c r="K63" s="119" t="n">
        <v>-1246952.8</v>
      </c>
      <c r="L63" s="128" t="n">
        <f aca="false">K63-Q63+T63</f>
        <v>-1246952.8</v>
      </c>
      <c r="M63" s="117" t="s">
        <v>149</v>
      </c>
      <c r="N63" s="117" t="n">
        <v>-1246952.8</v>
      </c>
      <c r="O63" s="117" t="s">
        <v>149</v>
      </c>
      <c r="P63" s="117" t="n">
        <v>0</v>
      </c>
      <c r="Q63" s="117" t="n">
        <v>0</v>
      </c>
      <c r="R63" s="117" t="n">
        <v>-1246952.8</v>
      </c>
      <c r="S63" s="117" t="n">
        <v>0</v>
      </c>
      <c r="T63" s="117" t="n">
        <v>0</v>
      </c>
      <c r="U63" s="117" t="n">
        <v>305576</v>
      </c>
      <c r="V63" s="117" t="s">
        <v>1973</v>
      </c>
      <c r="Z63" s="117" t="n">
        <v>100123319</v>
      </c>
      <c r="AD63" s="117" t="n">
        <v>110000</v>
      </c>
      <c r="AE63" s="117" t="s">
        <v>1966</v>
      </c>
      <c r="AF63" s="117" t="n">
        <v>310300</v>
      </c>
      <c r="AG63" s="117" t="s">
        <v>1969</v>
      </c>
      <c r="AI63" s="117" t="n">
        <v>310300</v>
      </c>
      <c r="AJ63" s="117" t="s">
        <v>1969</v>
      </c>
      <c r="AK63" s="117" t="n">
        <v>0</v>
      </c>
      <c r="AL63" s="117" t="n">
        <v>17</v>
      </c>
      <c r="AM63" s="117" t="s">
        <v>225</v>
      </c>
      <c r="AP63" s="117" t="n">
        <v>100123319</v>
      </c>
      <c r="AQ63" s="118" t="n">
        <v>43738</v>
      </c>
      <c r="AR63" s="118" t="n">
        <v>43739</v>
      </c>
      <c r="AS63" s="117" t="n">
        <v>0.586921296296296</v>
      </c>
      <c r="AT63" s="117" t="n">
        <v>0</v>
      </c>
      <c r="AU63" s="117" t="n">
        <v>0</v>
      </c>
      <c r="AX63" s="117" t="n">
        <v>1</v>
      </c>
    </row>
    <row r="64" customFormat="false" ht="13.8" hidden="true" customHeight="false" outlineLevel="0" collapsed="false">
      <c r="A64" s="117" t="n">
        <v>1000</v>
      </c>
      <c r="B64" s="117" t="s">
        <v>1962</v>
      </c>
      <c r="C64" s="117" t="n">
        <v>100058209</v>
      </c>
      <c r="E64" s="117" t="s">
        <v>1921</v>
      </c>
      <c r="F64" s="117" t="n">
        <v>1109</v>
      </c>
      <c r="G64" s="117" t="n">
        <v>2019</v>
      </c>
      <c r="H64" s="117" t="n">
        <v>4</v>
      </c>
      <c r="I64" s="118" t="n">
        <v>43677</v>
      </c>
      <c r="J64" s="118" t="n">
        <v>43677</v>
      </c>
      <c r="K64" s="119" t="n">
        <v>344383</v>
      </c>
      <c r="L64" s="128" t="n">
        <f aca="false">K64-Q64+T64</f>
        <v>344383</v>
      </c>
      <c r="M64" s="117" t="s">
        <v>149</v>
      </c>
      <c r="N64" s="117" t="n">
        <v>344383</v>
      </c>
      <c r="O64" s="117" t="s">
        <v>149</v>
      </c>
      <c r="P64" s="117" t="n">
        <v>0</v>
      </c>
      <c r="Q64" s="117" t="n">
        <v>0</v>
      </c>
      <c r="R64" s="117" t="n">
        <v>344383</v>
      </c>
      <c r="S64" s="117" t="n">
        <v>0</v>
      </c>
      <c r="T64" s="117" t="n">
        <v>0</v>
      </c>
      <c r="U64" s="117" t="n">
        <v>312193</v>
      </c>
      <c r="V64" s="117" t="s">
        <v>1963</v>
      </c>
      <c r="X64" s="117" t="s">
        <v>2038</v>
      </c>
      <c r="Z64" s="117" t="n">
        <v>2316</v>
      </c>
      <c r="AB64" s="117" t="s">
        <v>1965</v>
      </c>
      <c r="AD64" s="117" t="n">
        <v>110000</v>
      </c>
      <c r="AE64" s="117" t="s">
        <v>1966</v>
      </c>
      <c r="AF64" s="117" t="n">
        <v>110000</v>
      </c>
      <c r="AG64" s="117" t="s">
        <v>1966</v>
      </c>
      <c r="AI64" s="117" t="n">
        <v>110000</v>
      </c>
      <c r="AJ64" s="117" t="s">
        <v>1966</v>
      </c>
      <c r="AK64" s="117" t="n">
        <v>0</v>
      </c>
      <c r="AL64" s="117" t="n">
        <v>4</v>
      </c>
      <c r="AM64" s="117" t="s">
        <v>161</v>
      </c>
      <c r="AP64" s="117" t="n">
        <v>100058463</v>
      </c>
      <c r="AQ64" s="118" t="n">
        <v>43677</v>
      </c>
      <c r="AR64" s="118" t="n">
        <v>43678</v>
      </c>
      <c r="AS64" s="117" t="n">
        <v>0.197037037037037</v>
      </c>
      <c r="AT64" s="117" t="n">
        <v>0</v>
      </c>
      <c r="AU64" s="117" t="n">
        <v>0</v>
      </c>
      <c r="AX64" s="117" t="n">
        <v>4</v>
      </c>
    </row>
    <row r="65" customFormat="false" ht="13.8" hidden="true" customHeight="false" outlineLevel="0" collapsed="false">
      <c r="A65" s="117" t="n">
        <v>1000</v>
      </c>
      <c r="B65" s="117" t="s">
        <v>1962</v>
      </c>
      <c r="C65" s="117" t="n">
        <v>100082045</v>
      </c>
      <c r="E65" s="117" t="s">
        <v>1921</v>
      </c>
      <c r="F65" s="117" t="n">
        <v>1101</v>
      </c>
      <c r="G65" s="117" t="n">
        <v>2019</v>
      </c>
      <c r="H65" s="117" t="n">
        <v>5</v>
      </c>
      <c r="I65" s="118" t="n">
        <v>43708</v>
      </c>
      <c r="J65" s="118" t="n">
        <v>43708</v>
      </c>
      <c r="K65" s="119" t="n">
        <v>18773844.95</v>
      </c>
      <c r="L65" s="128" t="n">
        <f aca="false">K65-Q65+T65</f>
        <v>18773844.95</v>
      </c>
      <c r="M65" s="117" t="s">
        <v>149</v>
      </c>
      <c r="N65" s="117" t="n">
        <v>18773844.95</v>
      </c>
      <c r="O65" s="117" t="s">
        <v>149</v>
      </c>
      <c r="P65" s="117" t="n">
        <v>0</v>
      </c>
      <c r="Q65" s="117" t="n">
        <v>0</v>
      </c>
      <c r="R65" s="117" t="n">
        <v>18773844.95</v>
      </c>
      <c r="S65" s="117" t="n">
        <v>0</v>
      </c>
      <c r="T65" s="117" t="n">
        <v>0</v>
      </c>
      <c r="U65" s="117" t="n">
        <v>318999</v>
      </c>
      <c r="V65" s="117" t="s">
        <v>143</v>
      </c>
      <c r="Z65" s="117" t="n">
        <v>100082045</v>
      </c>
      <c r="AD65" s="117" t="n">
        <v>310300</v>
      </c>
      <c r="AE65" s="117" t="s">
        <v>1969</v>
      </c>
      <c r="AF65" s="117" t="n">
        <v>110000</v>
      </c>
      <c r="AG65" s="117" t="s">
        <v>1966</v>
      </c>
      <c r="AI65" s="117" t="n">
        <v>110000</v>
      </c>
      <c r="AJ65" s="117" t="s">
        <v>1966</v>
      </c>
      <c r="AK65" s="117" t="n">
        <v>0</v>
      </c>
      <c r="AL65" s="117" t="n">
        <v>9</v>
      </c>
      <c r="AM65" s="117" t="s">
        <v>161</v>
      </c>
      <c r="AN65" s="117" t="s">
        <v>1978</v>
      </c>
      <c r="AP65" s="117" t="n">
        <v>100082045</v>
      </c>
      <c r="AQ65" s="118" t="n">
        <v>43708</v>
      </c>
      <c r="AR65" s="118" t="n">
        <v>43710</v>
      </c>
      <c r="AS65" s="117" t="n">
        <v>0.352673611111111</v>
      </c>
      <c r="AT65" s="117" t="n">
        <v>0</v>
      </c>
      <c r="AU65" s="117" t="n">
        <v>0</v>
      </c>
      <c r="AX65" s="117" t="n">
        <v>6</v>
      </c>
    </row>
    <row r="66" customFormat="false" ht="13.8" hidden="true" customHeight="false" outlineLevel="0" collapsed="false">
      <c r="A66" s="117" t="n">
        <v>1000</v>
      </c>
      <c r="B66" s="117" t="s">
        <v>1962</v>
      </c>
      <c r="C66" s="117" t="n">
        <v>1400003914</v>
      </c>
      <c r="E66" s="117" t="s">
        <v>1972</v>
      </c>
      <c r="F66" s="117" t="n">
        <v>1106</v>
      </c>
      <c r="G66" s="117" t="n">
        <v>2019</v>
      </c>
      <c r="H66" s="117" t="n">
        <v>4</v>
      </c>
      <c r="I66" s="118" t="n">
        <v>43658</v>
      </c>
      <c r="J66" s="118" t="n">
        <v>43658</v>
      </c>
      <c r="K66" s="119" t="n">
        <v>-672600</v>
      </c>
      <c r="L66" s="128" t="n">
        <f aca="false">K66-Q66+T66</f>
        <v>-672600</v>
      </c>
      <c r="M66" s="117" t="s">
        <v>149</v>
      </c>
      <c r="N66" s="117" t="n">
        <v>-672600</v>
      </c>
      <c r="O66" s="117" t="s">
        <v>149</v>
      </c>
      <c r="P66" s="117" t="n">
        <v>0</v>
      </c>
      <c r="Q66" s="117" t="n">
        <v>0</v>
      </c>
      <c r="R66" s="117" t="n">
        <v>-672600</v>
      </c>
      <c r="S66" s="117" t="n">
        <v>0</v>
      </c>
      <c r="T66" s="117" t="n">
        <v>0</v>
      </c>
      <c r="U66" s="117" t="n">
        <v>313029</v>
      </c>
      <c r="V66" s="117" t="s">
        <v>143</v>
      </c>
      <c r="X66" s="117" t="s">
        <v>2039</v>
      </c>
      <c r="Y66" s="117" t="s">
        <v>2040</v>
      </c>
      <c r="Z66" s="117" t="n">
        <v>1400003914</v>
      </c>
      <c r="AC66" s="117" t="s">
        <v>1976</v>
      </c>
      <c r="AD66" s="117" t="n">
        <v>310300</v>
      </c>
      <c r="AE66" s="117" t="s">
        <v>1969</v>
      </c>
      <c r="AF66" s="117" t="n">
        <v>101105</v>
      </c>
      <c r="AG66" s="117" t="s">
        <v>1977</v>
      </c>
      <c r="AI66" s="117" t="n">
        <v>101105</v>
      </c>
      <c r="AJ66" s="117" t="s">
        <v>1977</v>
      </c>
      <c r="AK66" s="117" t="n">
        <v>0</v>
      </c>
      <c r="AL66" s="117" t="n">
        <v>19</v>
      </c>
      <c r="AM66" s="117" t="s">
        <v>225</v>
      </c>
      <c r="AN66" s="117" t="s">
        <v>1978</v>
      </c>
      <c r="AP66" s="117" t="n">
        <v>100055956</v>
      </c>
      <c r="AQ66" s="118" t="n">
        <v>43671</v>
      </c>
      <c r="AR66" s="118" t="n">
        <v>43662</v>
      </c>
      <c r="AS66" s="117" t="n">
        <v>0.511944444444444</v>
      </c>
      <c r="AT66" s="117" t="n">
        <v>0</v>
      </c>
      <c r="AU66" s="117" t="n">
        <v>0</v>
      </c>
      <c r="AX66" s="117" t="n">
        <v>2</v>
      </c>
    </row>
    <row r="67" customFormat="false" ht="13.8" hidden="true" customHeight="false" outlineLevel="0" collapsed="false">
      <c r="A67" s="117" t="n">
        <v>1000</v>
      </c>
      <c r="B67" s="117" t="s">
        <v>1962</v>
      </c>
      <c r="C67" s="117" t="n">
        <v>100058186</v>
      </c>
      <c r="E67" s="117" t="s">
        <v>1921</v>
      </c>
      <c r="F67" s="117" t="n">
        <v>1101</v>
      </c>
      <c r="G67" s="117" t="n">
        <v>2019</v>
      </c>
      <c r="H67" s="117" t="n">
        <v>4</v>
      </c>
      <c r="I67" s="118" t="n">
        <v>43677</v>
      </c>
      <c r="J67" s="118" t="n">
        <v>43677</v>
      </c>
      <c r="K67" s="119" t="n">
        <v>941711</v>
      </c>
      <c r="L67" s="128" t="n">
        <f aca="false">K67-Q67+T67</f>
        <v>941711</v>
      </c>
      <c r="M67" s="117" t="s">
        <v>149</v>
      </c>
      <c r="N67" s="117" t="n">
        <v>941711</v>
      </c>
      <c r="O67" s="117" t="s">
        <v>149</v>
      </c>
      <c r="P67" s="117" t="n">
        <v>0</v>
      </c>
      <c r="Q67" s="117" t="n">
        <v>0</v>
      </c>
      <c r="R67" s="117" t="n">
        <v>941711</v>
      </c>
      <c r="S67" s="117" t="n">
        <v>0</v>
      </c>
      <c r="T67" s="117" t="n">
        <v>0</v>
      </c>
      <c r="U67" s="117" t="n">
        <v>306263</v>
      </c>
      <c r="V67" s="117" t="s">
        <v>2006</v>
      </c>
      <c r="Z67" s="117" t="n">
        <v>100058186</v>
      </c>
      <c r="AD67" s="117" t="n">
        <v>310300</v>
      </c>
      <c r="AE67" s="117" t="s">
        <v>1969</v>
      </c>
      <c r="AF67" s="117" t="n">
        <v>110000</v>
      </c>
      <c r="AG67" s="117" t="s">
        <v>1966</v>
      </c>
      <c r="AI67" s="117" t="n">
        <v>110000</v>
      </c>
      <c r="AJ67" s="117" t="s">
        <v>1966</v>
      </c>
      <c r="AK67" s="117" t="n">
        <v>0</v>
      </c>
      <c r="AL67" s="117" t="n">
        <v>9</v>
      </c>
      <c r="AM67" s="117" t="s">
        <v>161</v>
      </c>
      <c r="AN67" s="117" t="s">
        <v>1978</v>
      </c>
      <c r="AP67" s="117" t="n">
        <v>100058186</v>
      </c>
      <c r="AQ67" s="118" t="n">
        <v>43677</v>
      </c>
      <c r="AR67" s="118" t="n">
        <v>43678</v>
      </c>
      <c r="AS67" s="117" t="n">
        <v>0.174375</v>
      </c>
      <c r="AT67" s="117" t="n">
        <v>0</v>
      </c>
      <c r="AU67" s="117" t="n">
        <v>0</v>
      </c>
      <c r="AX67" s="117" t="n">
        <v>3</v>
      </c>
    </row>
    <row r="68" customFormat="false" ht="13.8" hidden="true" customHeight="false" outlineLevel="0" collapsed="false">
      <c r="A68" s="117" t="n">
        <v>1000</v>
      </c>
      <c r="B68" s="117" t="s">
        <v>1962</v>
      </c>
      <c r="C68" s="117" t="n">
        <v>100057912</v>
      </c>
      <c r="E68" s="117" t="s">
        <v>1921</v>
      </c>
      <c r="F68" s="117" t="n">
        <v>1101</v>
      </c>
      <c r="G68" s="117" t="n">
        <v>2019</v>
      </c>
      <c r="H68" s="117" t="n">
        <v>4</v>
      </c>
      <c r="I68" s="118" t="n">
        <v>43677</v>
      </c>
      <c r="J68" s="118" t="n">
        <v>43677</v>
      </c>
      <c r="K68" s="119" t="n">
        <v>1515260.96</v>
      </c>
      <c r="L68" s="128" t="n">
        <f aca="false">K68-Q68+T68</f>
        <v>1515260.96</v>
      </c>
      <c r="M68" s="117" t="s">
        <v>149</v>
      </c>
      <c r="N68" s="117" t="n">
        <v>1515260.96</v>
      </c>
      <c r="O68" s="117" t="s">
        <v>149</v>
      </c>
      <c r="P68" s="117" t="n">
        <v>0</v>
      </c>
      <c r="Q68" s="117" t="n">
        <v>0</v>
      </c>
      <c r="R68" s="117" t="n">
        <v>1515260.96</v>
      </c>
      <c r="S68" s="117" t="n">
        <v>0</v>
      </c>
      <c r="T68" s="117" t="n">
        <v>0</v>
      </c>
      <c r="U68" s="117" t="n">
        <v>318999</v>
      </c>
      <c r="V68" s="117" t="s">
        <v>143</v>
      </c>
      <c r="X68" s="117" t="s">
        <v>1304</v>
      </c>
      <c r="Z68" s="117" t="n">
        <v>2388</v>
      </c>
      <c r="AB68" s="117" t="s">
        <v>2019</v>
      </c>
      <c r="AD68" s="117" t="n">
        <v>110000</v>
      </c>
      <c r="AE68" s="117" t="s">
        <v>1966</v>
      </c>
      <c r="AF68" s="117" t="n">
        <v>110000</v>
      </c>
      <c r="AG68" s="117" t="s">
        <v>1966</v>
      </c>
      <c r="AI68" s="117" t="n">
        <v>110000</v>
      </c>
      <c r="AJ68" s="117" t="s">
        <v>1966</v>
      </c>
      <c r="AK68" s="117" t="n">
        <v>0</v>
      </c>
      <c r="AL68" s="117" t="n">
        <v>4</v>
      </c>
      <c r="AM68" s="117" t="s">
        <v>161</v>
      </c>
      <c r="AP68" s="117" t="n">
        <v>100082045</v>
      </c>
      <c r="AQ68" s="118" t="n">
        <v>43708</v>
      </c>
      <c r="AR68" s="118" t="n">
        <v>43677</v>
      </c>
      <c r="AS68" s="117" t="n">
        <v>0.699490740740741</v>
      </c>
      <c r="AT68" s="117" t="n">
        <v>0</v>
      </c>
      <c r="AU68" s="117" t="n">
        <v>0</v>
      </c>
      <c r="AX68" s="117" t="n">
        <v>7</v>
      </c>
    </row>
    <row r="69" customFormat="false" ht="13.8" hidden="true" customHeight="false" outlineLevel="0" collapsed="false">
      <c r="A69" s="117" t="n">
        <v>1000</v>
      </c>
      <c r="B69" s="117" t="s">
        <v>1962</v>
      </c>
      <c r="C69" s="117" t="n">
        <v>100057890</v>
      </c>
      <c r="E69" s="117" t="s">
        <v>1921</v>
      </c>
      <c r="F69" s="117" t="n">
        <v>1108</v>
      </c>
      <c r="G69" s="117" t="n">
        <v>2019</v>
      </c>
      <c r="H69" s="117" t="n">
        <v>4</v>
      </c>
      <c r="I69" s="118" t="n">
        <v>43677</v>
      </c>
      <c r="J69" s="118" t="n">
        <v>43677</v>
      </c>
      <c r="K69" s="119" t="n">
        <v>9193</v>
      </c>
      <c r="L69" s="128" t="n">
        <f aca="false">K69-Q69+T69</f>
        <v>9193</v>
      </c>
      <c r="M69" s="117" t="s">
        <v>149</v>
      </c>
      <c r="N69" s="117" t="n">
        <v>9193</v>
      </c>
      <c r="O69" s="117" t="s">
        <v>149</v>
      </c>
      <c r="P69" s="117" t="n">
        <v>0</v>
      </c>
      <c r="Q69" s="117" t="n">
        <v>0</v>
      </c>
      <c r="R69" s="117" t="n">
        <v>9193</v>
      </c>
      <c r="S69" s="117" t="n">
        <v>0</v>
      </c>
      <c r="T69" s="117" t="n">
        <v>0</v>
      </c>
      <c r="U69" s="117" t="n">
        <v>312193</v>
      </c>
      <c r="V69" s="117" t="s">
        <v>1963</v>
      </c>
      <c r="X69" s="117" t="s">
        <v>2041</v>
      </c>
      <c r="Z69" s="117" t="n">
        <v>2346</v>
      </c>
      <c r="AB69" s="117" t="s">
        <v>2031</v>
      </c>
      <c r="AD69" s="117" t="n">
        <v>110000</v>
      </c>
      <c r="AE69" s="117" t="s">
        <v>1966</v>
      </c>
      <c r="AF69" s="117" t="n">
        <v>110000</v>
      </c>
      <c r="AG69" s="117" t="s">
        <v>1966</v>
      </c>
      <c r="AI69" s="117" t="n">
        <v>110000</v>
      </c>
      <c r="AJ69" s="117" t="s">
        <v>1966</v>
      </c>
      <c r="AK69" s="117" t="n">
        <v>0</v>
      </c>
      <c r="AL69" s="117" t="n">
        <v>4</v>
      </c>
      <c r="AM69" s="117" t="s">
        <v>161</v>
      </c>
      <c r="AP69" s="117" t="n">
        <v>100173563</v>
      </c>
      <c r="AQ69" s="118" t="n">
        <v>43799</v>
      </c>
      <c r="AR69" s="118" t="n">
        <v>43677</v>
      </c>
      <c r="AS69" s="117" t="n">
        <v>0.622083333333333</v>
      </c>
      <c r="AT69" s="117" t="n">
        <v>0</v>
      </c>
      <c r="AU69" s="117" t="n">
        <v>0</v>
      </c>
      <c r="AX69" s="117" t="n">
        <v>1</v>
      </c>
    </row>
    <row r="70" customFormat="false" ht="13.8" hidden="true" customHeight="false" outlineLevel="0" collapsed="false">
      <c r="A70" s="117" t="n">
        <v>1000</v>
      </c>
      <c r="B70" s="117" t="s">
        <v>1962</v>
      </c>
      <c r="C70" s="117" t="n">
        <v>100057912</v>
      </c>
      <c r="E70" s="117" t="s">
        <v>1921</v>
      </c>
      <c r="F70" s="117" t="n">
        <v>1101</v>
      </c>
      <c r="G70" s="117" t="n">
        <v>2019</v>
      </c>
      <c r="H70" s="117" t="n">
        <v>4</v>
      </c>
      <c r="I70" s="118" t="n">
        <v>43677</v>
      </c>
      <c r="J70" s="118" t="n">
        <v>43677</v>
      </c>
      <c r="K70" s="119" t="n">
        <v>7634994.63</v>
      </c>
      <c r="L70" s="128" t="n">
        <f aca="false">K70-Q70+T70</f>
        <v>7634994.63</v>
      </c>
      <c r="M70" s="117" t="s">
        <v>149</v>
      </c>
      <c r="N70" s="117" t="n">
        <v>7634994.63</v>
      </c>
      <c r="O70" s="117" t="s">
        <v>149</v>
      </c>
      <c r="P70" s="117" t="n">
        <v>0</v>
      </c>
      <c r="Q70" s="117" t="n">
        <v>0</v>
      </c>
      <c r="R70" s="117" t="n">
        <v>7634994.63</v>
      </c>
      <c r="S70" s="117" t="n">
        <v>0</v>
      </c>
      <c r="T70" s="117" t="n">
        <v>0</v>
      </c>
      <c r="U70" s="117" t="n">
        <v>318999</v>
      </c>
      <c r="V70" s="117" t="s">
        <v>143</v>
      </c>
      <c r="Z70" s="117" t="n">
        <v>100057912</v>
      </c>
      <c r="AD70" s="117" t="n">
        <v>310300</v>
      </c>
      <c r="AE70" s="117" t="s">
        <v>1969</v>
      </c>
      <c r="AF70" s="117" t="n">
        <v>110000</v>
      </c>
      <c r="AG70" s="117" t="s">
        <v>1966</v>
      </c>
      <c r="AI70" s="117" t="n">
        <v>110000</v>
      </c>
      <c r="AJ70" s="117" t="s">
        <v>1966</v>
      </c>
      <c r="AK70" s="117" t="n">
        <v>0</v>
      </c>
      <c r="AL70" s="117" t="n">
        <v>9</v>
      </c>
      <c r="AM70" s="117" t="s">
        <v>161</v>
      </c>
      <c r="AN70" s="117" t="s">
        <v>1978</v>
      </c>
      <c r="AP70" s="117" t="n">
        <v>100057912</v>
      </c>
      <c r="AQ70" s="118" t="n">
        <v>43677</v>
      </c>
      <c r="AR70" s="118" t="n">
        <v>43677</v>
      </c>
      <c r="AS70" s="117" t="n">
        <v>0.699490740740741</v>
      </c>
      <c r="AT70" s="117" t="n">
        <v>0</v>
      </c>
      <c r="AU70" s="117" t="n">
        <v>0</v>
      </c>
      <c r="AX70" s="117" t="n">
        <v>14</v>
      </c>
    </row>
    <row r="71" customFormat="false" ht="13.8" hidden="true" customHeight="false" outlineLevel="0" collapsed="false">
      <c r="A71" s="117" t="n">
        <v>1000</v>
      </c>
      <c r="B71" s="117" t="s">
        <v>1962</v>
      </c>
      <c r="C71" s="117" t="n">
        <v>100123318</v>
      </c>
      <c r="E71" s="117" t="s">
        <v>1921</v>
      </c>
      <c r="F71" s="117" t="n">
        <v>1106</v>
      </c>
      <c r="G71" s="117" t="n">
        <v>2019</v>
      </c>
      <c r="H71" s="117" t="n">
        <v>6</v>
      </c>
      <c r="I71" s="118" t="n">
        <v>43738</v>
      </c>
      <c r="J71" s="118" t="n">
        <v>43738</v>
      </c>
      <c r="K71" s="119" t="n">
        <v>1246952.8</v>
      </c>
      <c r="L71" s="128" t="n">
        <f aca="false">K71-Q71+T71</f>
        <v>1246952.8</v>
      </c>
      <c r="M71" s="117" t="s">
        <v>149</v>
      </c>
      <c r="N71" s="117" t="n">
        <v>1246952.8</v>
      </c>
      <c r="O71" s="117" t="s">
        <v>149</v>
      </c>
      <c r="P71" s="117" t="n">
        <v>0</v>
      </c>
      <c r="Q71" s="117" t="n">
        <v>0</v>
      </c>
      <c r="R71" s="117" t="n">
        <v>1246952.8</v>
      </c>
      <c r="S71" s="117" t="n">
        <v>0</v>
      </c>
      <c r="T71" s="117" t="n">
        <v>0</v>
      </c>
      <c r="U71" s="117" t="n">
        <v>312193</v>
      </c>
      <c r="V71" s="117" t="s">
        <v>1963</v>
      </c>
      <c r="Z71" s="117" t="n">
        <v>100123318</v>
      </c>
      <c r="AD71" s="117" t="n">
        <v>310300</v>
      </c>
      <c r="AE71" s="117" t="s">
        <v>1969</v>
      </c>
      <c r="AF71" s="117" t="n">
        <v>110000</v>
      </c>
      <c r="AG71" s="117" t="s">
        <v>1966</v>
      </c>
      <c r="AI71" s="117" t="n">
        <v>110000</v>
      </c>
      <c r="AJ71" s="117" t="s">
        <v>1966</v>
      </c>
      <c r="AK71" s="117" t="n">
        <v>0</v>
      </c>
      <c r="AL71" s="117" t="n">
        <v>9</v>
      </c>
      <c r="AM71" s="117" t="s">
        <v>161</v>
      </c>
      <c r="AN71" s="117" t="s">
        <v>1978</v>
      </c>
      <c r="AP71" s="117" t="n">
        <v>100123318</v>
      </c>
      <c r="AQ71" s="118" t="n">
        <v>43738</v>
      </c>
      <c r="AR71" s="118" t="n">
        <v>43739</v>
      </c>
      <c r="AS71" s="117" t="n">
        <v>0.584733796296296</v>
      </c>
      <c r="AT71" s="117" t="n">
        <v>0</v>
      </c>
      <c r="AU71" s="117" t="n">
        <v>0</v>
      </c>
      <c r="AX71" s="117" t="n">
        <v>8</v>
      </c>
    </row>
    <row r="72" customFormat="false" ht="13.8" hidden="true" customHeight="false" outlineLevel="0" collapsed="false">
      <c r="A72" s="117" t="n">
        <v>1000</v>
      </c>
      <c r="B72" s="117" t="s">
        <v>1962</v>
      </c>
      <c r="C72" s="117" t="n">
        <v>100081965</v>
      </c>
      <c r="E72" s="117" t="s">
        <v>1921</v>
      </c>
      <c r="F72" s="117" t="n">
        <v>1109</v>
      </c>
      <c r="G72" s="117" t="n">
        <v>2019</v>
      </c>
      <c r="H72" s="117" t="n">
        <v>5</v>
      </c>
      <c r="I72" s="118" t="n">
        <v>43708</v>
      </c>
      <c r="J72" s="118" t="n">
        <v>43708</v>
      </c>
      <c r="K72" s="119" t="n">
        <v>5393</v>
      </c>
      <c r="L72" s="128" t="n">
        <f aca="false">K72-Q72+T72</f>
        <v>5393</v>
      </c>
      <c r="M72" s="117" t="s">
        <v>149</v>
      </c>
      <c r="N72" s="117" t="n">
        <v>5393</v>
      </c>
      <c r="O72" s="117" t="s">
        <v>149</v>
      </c>
      <c r="P72" s="117" t="n">
        <v>0</v>
      </c>
      <c r="Q72" s="117" t="n">
        <v>0</v>
      </c>
      <c r="R72" s="117" t="n">
        <v>5393</v>
      </c>
      <c r="S72" s="117" t="n">
        <v>0</v>
      </c>
      <c r="T72" s="117" t="n">
        <v>0</v>
      </c>
      <c r="U72" s="117" t="n">
        <v>304431</v>
      </c>
      <c r="V72" s="117" t="s">
        <v>2016</v>
      </c>
      <c r="X72" s="117" t="s">
        <v>2042</v>
      </c>
      <c r="Z72" s="117" t="n">
        <v>2247</v>
      </c>
      <c r="AB72" s="117" t="s">
        <v>2043</v>
      </c>
      <c r="AD72" s="117" t="n">
        <v>110000</v>
      </c>
      <c r="AE72" s="117" t="s">
        <v>1966</v>
      </c>
      <c r="AF72" s="117" t="n">
        <v>110000</v>
      </c>
      <c r="AG72" s="117" t="s">
        <v>1966</v>
      </c>
      <c r="AI72" s="117" t="n">
        <v>110000</v>
      </c>
      <c r="AJ72" s="117" t="s">
        <v>1966</v>
      </c>
      <c r="AK72" s="117" t="n">
        <v>0</v>
      </c>
      <c r="AL72" s="117" t="n">
        <v>4</v>
      </c>
      <c r="AM72" s="117" t="s">
        <v>161</v>
      </c>
      <c r="AP72" s="117" t="n">
        <v>100172891</v>
      </c>
      <c r="AQ72" s="118" t="n">
        <v>43799</v>
      </c>
      <c r="AR72" s="118" t="n">
        <v>43710</v>
      </c>
      <c r="AS72" s="117" t="n">
        <v>0.27255787037037</v>
      </c>
      <c r="AT72" s="117" t="n">
        <v>0</v>
      </c>
      <c r="AU72" s="117" t="n">
        <v>0</v>
      </c>
      <c r="AX72" s="117" t="n">
        <v>3</v>
      </c>
    </row>
    <row r="73" customFormat="false" ht="13.8" hidden="true" customHeight="false" outlineLevel="0" collapsed="false">
      <c r="A73" s="117" t="n">
        <v>1000</v>
      </c>
      <c r="B73" s="117" t="s">
        <v>1962</v>
      </c>
      <c r="C73" s="117" t="n">
        <v>1400003823</v>
      </c>
      <c r="E73" s="117" t="s">
        <v>1972</v>
      </c>
      <c r="F73" s="117" t="n">
        <v>1101</v>
      </c>
      <c r="G73" s="117" t="n">
        <v>2019</v>
      </c>
      <c r="H73" s="117" t="n">
        <v>4</v>
      </c>
      <c r="I73" s="118" t="n">
        <v>43656</v>
      </c>
      <c r="J73" s="118" t="n">
        <v>43656</v>
      </c>
      <c r="K73" s="119" t="n">
        <v>-2222150.64</v>
      </c>
      <c r="L73" s="128" t="n">
        <f aca="false">K73-Q73+T73</f>
        <v>-2222150.64</v>
      </c>
      <c r="M73" s="117" t="s">
        <v>149</v>
      </c>
      <c r="N73" s="117" t="n">
        <v>-2222150.64</v>
      </c>
      <c r="O73" s="117" t="s">
        <v>149</v>
      </c>
      <c r="P73" s="117" t="n">
        <v>0</v>
      </c>
      <c r="Q73" s="117" t="n">
        <v>0</v>
      </c>
      <c r="R73" s="117" t="n">
        <v>-2222150.64</v>
      </c>
      <c r="S73" s="117" t="n">
        <v>0</v>
      </c>
      <c r="T73" s="117" t="n">
        <v>0</v>
      </c>
      <c r="U73" s="117" t="n">
        <v>312193</v>
      </c>
      <c r="V73" s="117" t="s">
        <v>1963</v>
      </c>
      <c r="X73" s="117" t="s">
        <v>2044</v>
      </c>
      <c r="Y73" s="117" t="s">
        <v>2045</v>
      </c>
      <c r="Z73" s="117" t="n">
        <v>1400003823</v>
      </c>
      <c r="AC73" s="117" t="s">
        <v>1976</v>
      </c>
      <c r="AD73" s="117" t="n">
        <v>310300</v>
      </c>
      <c r="AE73" s="117" t="s">
        <v>1969</v>
      </c>
      <c r="AF73" s="117" t="n">
        <v>101105</v>
      </c>
      <c r="AG73" s="117" t="s">
        <v>1977</v>
      </c>
      <c r="AI73" s="117" t="n">
        <v>101105</v>
      </c>
      <c r="AJ73" s="117" t="s">
        <v>1977</v>
      </c>
      <c r="AK73" s="117" t="n">
        <v>0</v>
      </c>
      <c r="AL73" s="117" t="n">
        <v>19</v>
      </c>
      <c r="AM73" s="117" t="s">
        <v>225</v>
      </c>
      <c r="AN73" s="117" t="s">
        <v>1978</v>
      </c>
      <c r="AP73" s="117" t="n">
        <v>100057890</v>
      </c>
      <c r="AQ73" s="118" t="n">
        <v>43677</v>
      </c>
      <c r="AR73" s="118" t="n">
        <v>43658</v>
      </c>
      <c r="AS73" s="117" t="n">
        <v>0.688078703703704</v>
      </c>
      <c r="AT73" s="117" t="n">
        <v>0</v>
      </c>
      <c r="AU73" s="117" t="n">
        <v>0</v>
      </c>
      <c r="AX73" s="117" t="n">
        <v>2</v>
      </c>
    </row>
    <row r="74" customFormat="false" ht="13.8" hidden="true" customHeight="false" outlineLevel="0" collapsed="false">
      <c r="A74" s="117" t="n">
        <v>1000</v>
      </c>
      <c r="B74" s="117" t="s">
        <v>1962</v>
      </c>
      <c r="C74" s="117" t="n">
        <v>100057907</v>
      </c>
      <c r="E74" s="117" t="s">
        <v>1921</v>
      </c>
      <c r="F74" s="117" t="n">
        <v>1106</v>
      </c>
      <c r="G74" s="117" t="n">
        <v>2019</v>
      </c>
      <c r="H74" s="117" t="n">
        <v>4</v>
      </c>
      <c r="I74" s="118" t="n">
        <v>43677</v>
      </c>
      <c r="J74" s="118" t="n">
        <v>43677</v>
      </c>
      <c r="K74" s="119" t="n">
        <v>380140.76</v>
      </c>
      <c r="L74" s="128" t="n">
        <f aca="false">K74-Q74+T74</f>
        <v>380140.76</v>
      </c>
      <c r="M74" s="117" t="s">
        <v>149</v>
      </c>
      <c r="N74" s="117" t="n">
        <v>380140.76</v>
      </c>
      <c r="O74" s="117" t="s">
        <v>149</v>
      </c>
      <c r="P74" s="117" t="n">
        <v>0</v>
      </c>
      <c r="Q74" s="117" t="n">
        <v>0</v>
      </c>
      <c r="R74" s="117" t="n">
        <v>380140.76</v>
      </c>
      <c r="S74" s="117" t="n">
        <v>0</v>
      </c>
      <c r="T74" s="117" t="n">
        <v>0</v>
      </c>
      <c r="U74" s="117" t="n">
        <v>305576</v>
      </c>
      <c r="V74" s="117" t="s">
        <v>1973</v>
      </c>
      <c r="Z74" s="117" t="n">
        <v>100057907</v>
      </c>
      <c r="AD74" s="117" t="n">
        <v>310300</v>
      </c>
      <c r="AE74" s="117" t="s">
        <v>1969</v>
      </c>
      <c r="AF74" s="117" t="n">
        <v>110000</v>
      </c>
      <c r="AG74" s="117" t="s">
        <v>1966</v>
      </c>
      <c r="AI74" s="117" t="n">
        <v>110000</v>
      </c>
      <c r="AJ74" s="117" t="s">
        <v>1966</v>
      </c>
      <c r="AK74" s="117" t="n">
        <v>0</v>
      </c>
      <c r="AL74" s="117" t="n">
        <v>9</v>
      </c>
      <c r="AM74" s="117" t="s">
        <v>161</v>
      </c>
      <c r="AN74" s="117" t="s">
        <v>1978</v>
      </c>
      <c r="AP74" s="117" t="n">
        <v>100057907</v>
      </c>
      <c r="AQ74" s="118" t="n">
        <v>43677</v>
      </c>
      <c r="AR74" s="118" t="n">
        <v>43677</v>
      </c>
      <c r="AS74" s="117" t="n">
        <v>0.664814814814815</v>
      </c>
      <c r="AT74" s="117" t="n">
        <v>0</v>
      </c>
      <c r="AU74" s="117" t="n">
        <v>0</v>
      </c>
      <c r="AX74" s="117" t="n">
        <v>2</v>
      </c>
    </row>
    <row r="75" customFormat="false" ht="13.8" hidden="true" customHeight="false" outlineLevel="0" collapsed="false">
      <c r="A75" s="117" t="n">
        <v>1000</v>
      </c>
      <c r="B75" s="117" t="s">
        <v>1962</v>
      </c>
      <c r="C75" s="117" t="n">
        <v>100122987</v>
      </c>
      <c r="E75" s="117" t="s">
        <v>1921</v>
      </c>
      <c r="F75" s="117" t="n">
        <v>1109</v>
      </c>
      <c r="G75" s="117" t="n">
        <v>2019</v>
      </c>
      <c r="H75" s="117" t="n">
        <v>6</v>
      </c>
      <c r="I75" s="118" t="n">
        <v>43738</v>
      </c>
      <c r="J75" s="118" t="n">
        <v>43738</v>
      </c>
      <c r="K75" s="119" t="n">
        <v>446040</v>
      </c>
      <c r="L75" s="128" t="n">
        <f aca="false">K75-Q75+T75</f>
        <v>446040</v>
      </c>
      <c r="M75" s="117" t="s">
        <v>149</v>
      </c>
      <c r="N75" s="117" t="n">
        <v>446040</v>
      </c>
      <c r="O75" s="117" t="s">
        <v>149</v>
      </c>
      <c r="P75" s="117" t="n">
        <v>0</v>
      </c>
      <c r="Q75" s="117" t="n">
        <v>0</v>
      </c>
      <c r="R75" s="117" t="n">
        <v>446040</v>
      </c>
      <c r="S75" s="117" t="n">
        <v>0</v>
      </c>
      <c r="T75" s="117" t="n">
        <v>0</v>
      </c>
      <c r="U75" s="117" t="n">
        <v>312193</v>
      </c>
      <c r="V75" s="117" t="s">
        <v>1963</v>
      </c>
      <c r="X75" s="117" t="s">
        <v>1105</v>
      </c>
      <c r="Z75" s="117" t="n">
        <v>2316</v>
      </c>
      <c r="AB75" s="117" t="s">
        <v>1965</v>
      </c>
      <c r="AD75" s="117" t="n">
        <v>110000</v>
      </c>
      <c r="AE75" s="117" t="s">
        <v>1966</v>
      </c>
      <c r="AF75" s="117" t="n">
        <v>110000</v>
      </c>
      <c r="AG75" s="117" t="s">
        <v>1966</v>
      </c>
      <c r="AI75" s="117" t="n">
        <v>110000</v>
      </c>
      <c r="AJ75" s="117" t="s">
        <v>1966</v>
      </c>
      <c r="AK75" s="117" t="n">
        <v>0</v>
      </c>
      <c r="AL75" s="117" t="n">
        <v>4</v>
      </c>
      <c r="AM75" s="117" t="s">
        <v>161</v>
      </c>
      <c r="AP75" s="117" t="n">
        <v>100173530</v>
      </c>
      <c r="AQ75" s="118" t="n">
        <v>43799</v>
      </c>
      <c r="AR75" s="118" t="n">
        <v>43739</v>
      </c>
      <c r="AS75" s="117" t="n">
        <v>0.481527777777778</v>
      </c>
      <c r="AT75" s="117" t="n">
        <v>0</v>
      </c>
      <c r="AU75" s="117" t="n">
        <v>0</v>
      </c>
      <c r="AX75" s="117" t="n">
        <v>6</v>
      </c>
    </row>
    <row r="76" customFormat="false" ht="13.8" hidden="true" customHeight="false" outlineLevel="0" collapsed="false">
      <c r="A76" s="117" t="n">
        <v>1000</v>
      </c>
      <c r="B76" s="117" t="s">
        <v>1962</v>
      </c>
      <c r="C76" s="117" t="n">
        <v>100058209</v>
      </c>
      <c r="E76" s="117" t="s">
        <v>1921</v>
      </c>
      <c r="F76" s="117" t="n">
        <v>1109</v>
      </c>
      <c r="G76" s="117" t="n">
        <v>2019</v>
      </c>
      <c r="H76" s="117" t="n">
        <v>4</v>
      </c>
      <c r="I76" s="118" t="n">
        <v>43677</v>
      </c>
      <c r="J76" s="118" t="n">
        <v>43677</v>
      </c>
      <c r="K76" s="119" t="n">
        <v>362094.8</v>
      </c>
      <c r="L76" s="128" t="n">
        <f aca="false">K76-Q76+T76</f>
        <v>362094.8</v>
      </c>
      <c r="M76" s="117" t="s">
        <v>149</v>
      </c>
      <c r="N76" s="117" t="n">
        <v>362094.8</v>
      </c>
      <c r="O76" s="117" t="s">
        <v>149</v>
      </c>
      <c r="P76" s="117" t="n">
        <v>0</v>
      </c>
      <c r="Q76" s="117" t="n">
        <v>0</v>
      </c>
      <c r="R76" s="117" t="n">
        <v>362094.8</v>
      </c>
      <c r="S76" s="117" t="n">
        <v>0</v>
      </c>
      <c r="T76" s="117" t="n">
        <v>0</v>
      </c>
      <c r="U76" s="117" t="n">
        <v>312193</v>
      </c>
      <c r="V76" s="117" t="s">
        <v>1963</v>
      </c>
      <c r="X76" s="117" t="s">
        <v>2046</v>
      </c>
      <c r="Z76" s="117" t="n">
        <v>2316</v>
      </c>
      <c r="AB76" s="117" t="s">
        <v>1965</v>
      </c>
      <c r="AD76" s="117" t="n">
        <v>110000</v>
      </c>
      <c r="AE76" s="117" t="s">
        <v>1966</v>
      </c>
      <c r="AF76" s="117" t="n">
        <v>110000</v>
      </c>
      <c r="AG76" s="117" t="s">
        <v>1966</v>
      </c>
      <c r="AI76" s="117" t="n">
        <v>110000</v>
      </c>
      <c r="AJ76" s="117" t="s">
        <v>1966</v>
      </c>
      <c r="AK76" s="117" t="n">
        <v>0</v>
      </c>
      <c r="AL76" s="117" t="n">
        <v>4</v>
      </c>
      <c r="AM76" s="117" t="s">
        <v>161</v>
      </c>
      <c r="AP76" s="117" t="n">
        <v>100078765</v>
      </c>
      <c r="AQ76" s="118" t="n">
        <v>43706</v>
      </c>
      <c r="AR76" s="118" t="n">
        <v>43678</v>
      </c>
      <c r="AS76" s="117" t="n">
        <v>0.197037037037037</v>
      </c>
      <c r="AT76" s="117" t="n">
        <v>0</v>
      </c>
      <c r="AU76" s="117" t="n">
        <v>0</v>
      </c>
      <c r="AX76" s="117" t="n">
        <v>7</v>
      </c>
    </row>
    <row r="77" s="106" customFormat="true" ht="13.8" hidden="true" customHeight="false" outlineLevel="0" collapsed="false">
      <c r="A77" s="106" t="n">
        <v>1000</v>
      </c>
      <c r="B77" s="106" t="s">
        <v>1962</v>
      </c>
      <c r="C77" s="106" t="n">
        <v>104424</v>
      </c>
      <c r="D77" s="106" t="s">
        <v>2047</v>
      </c>
      <c r="E77" s="106" t="s">
        <v>1970</v>
      </c>
      <c r="F77" s="106" t="n">
        <v>1101</v>
      </c>
      <c r="G77" s="106" t="n">
        <v>2019</v>
      </c>
      <c r="H77" s="106" t="n">
        <v>4</v>
      </c>
      <c r="I77" s="129" t="n">
        <v>43657</v>
      </c>
      <c r="J77" s="129" t="n">
        <v>43657</v>
      </c>
      <c r="K77" s="107" t="n">
        <v>567641.19</v>
      </c>
      <c r="L77" s="130" t="n">
        <f aca="false">K77-Q77+T77</f>
        <v>481051.83</v>
      </c>
      <c r="M77" s="106" t="s">
        <v>149</v>
      </c>
      <c r="N77" s="106" t="n">
        <v>567641.19</v>
      </c>
      <c r="O77" s="106" t="s">
        <v>149</v>
      </c>
      <c r="P77" s="106" t="n">
        <v>0</v>
      </c>
      <c r="Q77" s="107" t="n">
        <v>86589.36</v>
      </c>
      <c r="R77" s="106" t="n">
        <v>481051.83</v>
      </c>
      <c r="S77" s="106" t="n">
        <v>0</v>
      </c>
      <c r="T77" s="106" t="n">
        <v>0</v>
      </c>
      <c r="U77" s="106" t="n">
        <v>318999</v>
      </c>
      <c r="V77" s="106" t="s">
        <v>143</v>
      </c>
      <c r="Z77" s="106" t="n">
        <v>104424</v>
      </c>
      <c r="AD77" s="106" t="n">
        <v>110000</v>
      </c>
      <c r="AE77" s="106" t="s">
        <v>1966</v>
      </c>
      <c r="AF77" s="106" t="n">
        <v>501040</v>
      </c>
      <c r="AG77" s="106" t="s">
        <v>2036</v>
      </c>
      <c r="AI77" s="106" t="n">
        <v>501040</v>
      </c>
      <c r="AJ77" s="106" t="s">
        <v>2036</v>
      </c>
      <c r="AK77" s="106" t="n">
        <v>0</v>
      </c>
      <c r="AL77" s="106" t="n">
        <v>1</v>
      </c>
      <c r="AM77" s="106" t="s">
        <v>161</v>
      </c>
      <c r="AP77" s="106" t="n">
        <v>100057912</v>
      </c>
      <c r="AQ77" s="129" t="n">
        <v>43677</v>
      </c>
      <c r="AR77" s="129" t="n">
        <v>43657</v>
      </c>
      <c r="AS77" s="106" t="n">
        <v>0.506122685185185</v>
      </c>
      <c r="AT77" s="106" t="n">
        <v>0</v>
      </c>
      <c r="AU77" s="106" t="n">
        <v>0</v>
      </c>
      <c r="AX77" s="106" t="n">
        <v>1</v>
      </c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</row>
    <row r="78" customFormat="false" ht="13.8" hidden="true" customHeight="false" outlineLevel="0" collapsed="false">
      <c r="A78" s="117" t="n">
        <v>1000</v>
      </c>
      <c r="B78" s="117" t="s">
        <v>1962</v>
      </c>
      <c r="C78" s="117" t="n">
        <v>100081978</v>
      </c>
      <c r="E78" s="117" t="s">
        <v>1921</v>
      </c>
      <c r="F78" s="117" t="n">
        <v>1106</v>
      </c>
      <c r="G78" s="117" t="n">
        <v>2019</v>
      </c>
      <c r="H78" s="117" t="n">
        <v>5</v>
      </c>
      <c r="I78" s="118" t="n">
        <v>43708</v>
      </c>
      <c r="J78" s="118" t="n">
        <v>43708</v>
      </c>
      <c r="K78" s="119" t="n">
        <v>-112395.64</v>
      </c>
      <c r="L78" s="128" t="n">
        <f aca="false">K78-Q78+T78</f>
        <v>-112395.64</v>
      </c>
      <c r="M78" s="117" t="s">
        <v>149</v>
      </c>
      <c r="N78" s="117" t="n">
        <v>-112395.64</v>
      </c>
      <c r="O78" s="117" t="s">
        <v>149</v>
      </c>
      <c r="P78" s="117" t="n">
        <v>-112395.64</v>
      </c>
      <c r="Q78" s="117" t="n">
        <v>0</v>
      </c>
      <c r="R78" s="117" t="n">
        <v>-112395.64</v>
      </c>
      <c r="S78" s="117" t="n">
        <v>0</v>
      </c>
      <c r="T78" s="117" t="n">
        <v>0</v>
      </c>
      <c r="U78" s="117" t="n">
        <v>309085</v>
      </c>
      <c r="V78" s="117" t="s">
        <v>2001</v>
      </c>
      <c r="X78" s="117" t="s">
        <v>2048</v>
      </c>
      <c r="Z78" s="117" t="n">
        <v>100081978</v>
      </c>
      <c r="AD78" s="117" t="n">
        <v>310300</v>
      </c>
      <c r="AE78" s="117" t="s">
        <v>1969</v>
      </c>
      <c r="AF78" s="117" t="n">
        <v>310300</v>
      </c>
      <c r="AG78" s="117" t="s">
        <v>1969</v>
      </c>
      <c r="AI78" s="117" t="n">
        <v>310300</v>
      </c>
      <c r="AJ78" s="117" t="s">
        <v>1969</v>
      </c>
      <c r="AK78" s="117" t="n">
        <v>0</v>
      </c>
      <c r="AL78" s="117" t="n">
        <v>19</v>
      </c>
      <c r="AM78" s="117" t="s">
        <v>225</v>
      </c>
      <c r="AN78" s="117" t="s">
        <v>1978</v>
      </c>
      <c r="AR78" s="118" t="n">
        <v>43710</v>
      </c>
      <c r="AS78" s="117" t="n">
        <v>0.28693287037037</v>
      </c>
      <c r="AT78" s="117" t="n">
        <v>0</v>
      </c>
      <c r="AU78" s="117" t="n">
        <v>0</v>
      </c>
      <c r="AX78" s="117" t="n">
        <v>1</v>
      </c>
    </row>
    <row r="79" s="106" customFormat="true" ht="13.8" hidden="true" customHeight="false" outlineLevel="0" collapsed="false">
      <c r="A79" s="106" t="n">
        <v>1000</v>
      </c>
      <c r="B79" s="106" t="s">
        <v>1962</v>
      </c>
      <c r="C79" s="106" t="n">
        <v>114012</v>
      </c>
      <c r="D79" s="106" t="n">
        <v>95004897</v>
      </c>
      <c r="E79" s="106" t="s">
        <v>1970</v>
      </c>
      <c r="F79" s="106" t="n">
        <v>1109</v>
      </c>
      <c r="G79" s="106" t="n">
        <v>2019</v>
      </c>
      <c r="H79" s="106" t="n">
        <v>12</v>
      </c>
      <c r="I79" s="129" t="n">
        <v>43906</v>
      </c>
      <c r="J79" s="129" t="n">
        <v>43906</v>
      </c>
      <c r="K79" s="107" t="n">
        <v>361257</v>
      </c>
      <c r="L79" s="130" t="n">
        <f aca="false">K79-Q79+T79</f>
        <v>306150</v>
      </c>
      <c r="M79" s="106" t="s">
        <v>149</v>
      </c>
      <c r="N79" s="106" t="n">
        <v>361257</v>
      </c>
      <c r="O79" s="106" t="s">
        <v>149</v>
      </c>
      <c r="P79" s="106" t="n">
        <v>0</v>
      </c>
      <c r="Q79" s="107" t="n">
        <v>55107</v>
      </c>
      <c r="R79" s="106" t="n">
        <v>306150</v>
      </c>
      <c r="S79" s="106" t="n">
        <v>0</v>
      </c>
      <c r="T79" s="106" t="n">
        <v>0</v>
      </c>
      <c r="U79" s="106" t="n">
        <v>312193</v>
      </c>
      <c r="V79" s="106" t="s">
        <v>1963</v>
      </c>
      <c r="Z79" s="106" t="n">
        <v>2525</v>
      </c>
      <c r="AB79" s="106" t="s">
        <v>2049</v>
      </c>
      <c r="AD79" s="106" t="n">
        <v>110000</v>
      </c>
      <c r="AE79" s="106" t="s">
        <v>1966</v>
      </c>
      <c r="AF79" s="106" t="n">
        <v>501020</v>
      </c>
      <c r="AG79" s="106" t="s">
        <v>1971</v>
      </c>
      <c r="AI79" s="106" t="n">
        <v>501020</v>
      </c>
      <c r="AJ79" s="106" t="s">
        <v>1971</v>
      </c>
      <c r="AK79" s="106" t="n">
        <v>0</v>
      </c>
      <c r="AL79" s="106" t="n">
        <v>1</v>
      </c>
      <c r="AM79" s="106" t="s">
        <v>161</v>
      </c>
      <c r="AQ79" s="129"/>
      <c r="AR79" s="129" t="n">
        <v>43906</v>
      </c>
      <c r="AS79" s="106" t="n">
        <v>0.550694444444444</v>
      </c>
      <c r="AT79" s="106" t="n">
        <v>0</v>
      </c>
      <c r="AU79" s="106" t="n">
        <v>0</v>
      </c>
      <c r="AW79" s="106" t="n">
        <v>0</v>
      </c>
      <c r="AX79" s="106" t="n">
        <v>1</v>
      </c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</row>
    <row r="80" s="106" customFormat="true" ht="13.8" hidden="true" customHeight="false" outlineLevel="0" collapsed="false">
      <c r="A80" s="106" t="n">
        <v>1000</v>
      </c>
      <c r="B80" s="106" t="s">
        <v>1962</v>
      </c>
      <c r="C80" s="106" t="n">
        <v>104182</v>
      </c>
      <c r="D80" s="106" t="s">
        <v>2050</v>
      </c>
      <c r="E80" s="106" t="s">
        <v>1970</v>
      </c>
      <c r="F80" s="106" t="n">
        <v>1101</v>
      </c>
      <c r="G80" s="106" t="n">
        <v>2019</v>
      </c>
      <c r="H80" s="106" t="n">
        <v>4</v>
      </c>
      <c r="I80" s="129" t="n">
        <v>43649</v>
      </c>
      <c r="J80" s="129" t="n">
        <v>43649</v>
      </c>
      <c r="K80" s="107" t="n">
        <v>287552.85</v>
      </c>
      <c r="L80" s="130" t="n">
        <f aca="false">K80-Q80+T80</f>
        <v>243688.87</v>
      </c>
      <c r="M80" s="106" t="s">
        <v>149</v>
      </c>
      <c r="N80" s="106" t="n">
        <v>287552.85</v>
      </c>
      <c r="O80" s="106" t="s">
        <v>149</v>
      </c>
      <c r="P80" s="106" t="n">
        <v>0</v>
      </c>
      <c r="Q80" s="107" t="n">
        <v>43863.98</v>
      </c>
      <c r="R80" s="106" t="n">
        <v>243688.87</v>
      </c>
      <c r="S80" s="106" t="n">
        <v>0</v>
      </c>
      <c r="T80" s="106" t="n">
        <v>0</v>
      </c>
      <c r="U80" s="106" t="n">
        <v>318999</v>
      </c>
      <c r="V80" s="106" t="s">
        <v>143</v>
      </c>
      <c r="Z80" s="106" t="n">
        <v>104182</v>
      </c>
      <c r="AD80" s="106" t="n">
        <v>110000</v>
      </c>
      <c r="AE80" s="106" t="s">
        <v>1966</v>
      </c>
      <c r="AF80" s="106" t="n">
        <v>501040</v>
      </c>
      <c r="AG80" s="106" t="s">
        <v>2036</v>
      </c>
      <c r="AI80" s="106" t="n">
        <v>501040</v>
      </c>
      <c r="AJ80" s="106" t="s">
        <v>2036</v>
      </c>
      <c r="AK80" s="106" t="n">
        <v>0</v>
      </c>
      <c r="AL80" s="106" t="n">
        <v>1</v>
      </c>
      <c r="AM80" s="106" t="s">
        <v>161</v>
      </c>
      <c r="AP80" s="106" t="n">
        <v>100057912</v>
      </c>
      <c r="AQ80" s="129" t="n">
        <v>43677</v>
      </c>
      <c r="AR80" s="129" t="n">
        <v>43649</v>
      </c>
      <c r="AS80" s="106" t="n">
        <v>0.617766203703704</v>
      </c>
      <c r="AT80" s="106" t="n">
        <v>0</v>
      </c>
      <c r="AU80" s="106" t="n">
        <v>0</v>
      </c>
      <c r="AX80" s="106" t="n">
        <v>1</v>
      </c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</row>
    <row r="81" customFormat="false" ht="13.8" hidden="true" customHeight="false" outlineLevel="0" collapsed="false">
      <c r="A81" s="117" t="n">
        <v>1000</v>
      </c>
      <c r="B81" s="117" t="s">
        <v>1962</v>
      </c>
      <c r="C81" s="117" t="n">
        <v>1600000229</v>
      </c>
      <c r="D81" s="117" t="s">
        <v>1991</v>
      </c>
      <c r="E81" s="117" t="s">
        <v>1987</v>
      </c>
      <c r="F81" s="117" t="n">
        <v>1106</v>
      </c>
      <c r="G81" s="117" t="n">
        <v>2019</v>
      </c>
      <c r="H81" s="117" t="n">
        <v>6</v>
      </c>
      <c r="I81" s="118" t="n">
        <v>43738</v>
      </c>
      <c r="J81" s="118" t="n">
        <v>43738</v>
      </c>
      <c r="K81" s="119" t="n">
        <v>1246952.8</v>
      </c>
      <c r="L81" s="128" t="n">
        <f aca="false">K81-Q81+T81</f>
        <v>1246952.8</v>
      </c>
      <c r="M81" s="117" t="s">
        <v>149</v>
      </c>
      <c r="N81" s="117" t="n">
        <v>1246952.8</v>
      </c>
      <c r="O81" s="117" t="s">
        <v>149</v>
      </c>
      <c r="P81" s="117" t="n">
        <v>1246952.8</v>
      </c>
      <c r="Q81" s="117" t="n">
        <v>0</v>
      </c>
      <c r="R81" s="117" t="n">
        <v>1246952.8</v>
      </c>
      <c r="S81" s="117" t="n">
        <v>0</v>
      </c>
      <c r="T81" s="117" t="n">
        <v>0</v>
      </c>
      <c r="U81" s="117" t="n">
        <v>305576</v>
      </c>
      <c r="V81" s="117" t="s">
        <v>1973</v>
      </c>
      <c r="X81" s="117" t="s">
        <v>2051</v>
      </c>
      <c r="Y81" s="117" t="s">
        <v>2000</v>
      </c>
      <c r="Z81" s="117" t="n">
        <v>1600000229</v>
      </c>
      <c r="AD81" s="117" t="n">
        <v>110000</v>
      </c>
      <c r="AE81" s="117" t="s">
        <v>1966</v>
      </c>
      <c r="AF81" s="117" t="n">
        <v>312193</v>
      </c>
      <c r="AG81" s="117" t="s">
        <v>1963</v>
      </c>
      <c r="AI81" s="117" t="n">
        <v>312193</v>
      </c>
      <c r="AJ81" s="131" t="s">
        <v>1963</v>
      </c>
      <c r="AK81" s="117" t="n">
        <v>0</v>
      </c>
      <c r="AL81" s="117" t="n">
        <v>4</v>
      </c>
      <c r="AM81" s="117" t="s">
        <v>161</v>
      </c>
      <c r="AP81" s="117" t="n">
        <v>100123319</v>
      </c>
      <c r="AQ81" s="118" t="n">
        <v>43738</v>
      </c>
      <c r="AR81" s="118" t="n">
        <v>43739</v>
      </c>
      <c r="AS81" s="117" t="n">
        <v>0.568877314814815</v>
      </c>
      <c r="AT81" s="117" t="n">
        <v>0</v>
      </c>
      <c r="AU81" s="117" t="n">
        <v>0</v>
      </c>
      <c r="AX81" s="117" t="n">
        <v>1</v>
      </c>
    </row>
    <row r="82" customFormat="false" ht="13.8" hidden="true" customHeight="false" outlineLevel="0" collapsed="false">
      <c r="A82" s="117" t="n">
        <v>1000</v>
      </c>
      <c r="B82" s="117" t="s">
        <v>1962</v>
      </c>
      <c r="C82" s="117" t="n">
        <v>100081965</v>
      </c>
      <c r="E82" s="117" t="s">
        <v>1921</v>
      </c>
      <c r="F82" s="117" t="n">
        <v>1109</v>
      </c>
      <c r="G82" s="117" t="n">
        <v>2019</v>
      </c>
      <c r="H82" s="117" t="n">
        <v>5</v>
      </c>
      <c r="I82" s="118" t="n">
        <v>43708</v>
      </c>
      <c r="J82" s="118" t="n">
        <v>43708</v>
      </c>
      <c r="K82" s="119" t="n">
        <v>167714.46</v>
      </c>
      <c r="L82" s="128" t="n">
        <f aca="false">K82-Q82+T82</f>
        <v>167714.46</v>
      </c>
      <c r="M82" s="117" t="s">
        <v>149</v>
      </c>
      <c r="N82" s="117" t="n">
        <v>167714.46</v>
      </c>
      <c r="O82" s="117" t="s">
        <v>149</v>
      </c>
      <c r="P82" s="117" t="n">
        <v>0</v>
      </c>
      <c r="Q82" s="117" t="n">
        <v>0</v>
      </c>
      <c r="R82" s="117" t="n">
        <v>167714.46</v>
      </c>
      <c r="S82" s="117" t="n">
        <v>0</v>
      </c>
      <c r="T82" s="117" t="n">
        <v>0</v>
      </c>
      <c r="U82" s="117" t="n">
        <v>304431</v>
      </c>
      <c r="V82" s="117" t="s">
        <v>2016</v>
      </c>
      <c r="X82" s="117" t="s">
        <v>1066</v>
      </c>
      <c r="Z82" s="117" t="n">
        <v>2447</v>
      </c>
      <c r="AB82" s="117" t="s">
        <v>2052</v>
      </c>
      <c r="AD82" s="117" t="n">
        <v>110000</v>
      </c>
      <c r="AE82" s="117" t="s">
        <v>1966</v>
      </c>
      <c r="AF82" s="117" t="n">
        <v>110000</v>
      </c>
      <c r="AG82" s="117" t="s">
        <v>1966</v>
      </c>
      <c r="AI82" s="117" t="n">
        <v>110000</v>
      </c>
      <c r="AJ82" s="117" t="s">
        <v>1966</v>
      </c>
      <c r="AK82" s="117" t="n">
        <v>0</v>
      </c>
      <c r="AL82" s="117" t="n">
        <v>4</v>
      </c>
      <c r="AM82" s="117" t="s">
        <v>161</v>
      </c>
      <c r="AP82" s="117" t="n">
        <v>100141416</v>
      </c>
      <c r="AQ82" s="118" t="n">
        <v>43766</v>
      </c>
      <c r="AR82" s="118" t="n">
        <v>43710</v>
      </c>
      <c r="AS82" s="117" t="n">
        <v>0.27255787037037</v>
      </c>
      <c r="AT82" s="117" t="n">
        <v>0</v>
      </c>
      <c r="AU82" s="117" t="n">
        <v>0</v>
      </c>
      <c r="AX82" s="117" t="n">
        <v>1</v>
      </c>
    </row>
    <row r="83" customFormat="false" ht="13.8" hidden="true" customHeight="false" outlineLevel="0" collapsed="false">
      <c r="A83" s="117" t="n">
        <v>1000</v>
      </c>
      <c r="B83" s="117" t="s">
        <v>1962</v>
      </c>
      <c r="C83" s="117" t="n">
        <v>100078340</v>
      </c>
      <c r="D83" s="117" t="s">
        <v>2053</v>
      </c>
      <c r="E83" s="117" t="s">
        <v>1903</v>
      </c>
      <c r="F83" s="117" t="n">
        <v>1106</v>
      </c>
      <c r="G83" s="117" t="n">
        <v>2019</v>
      </c>
      <c r="H83" s="117" t="n">
        <v>5</v>
      </c>
      <c r="I83" s="118" t="n">
        <v>43699</v>
      </c>
      <c r="J83" s="118" t="n">
        <v>43699</v>
      </c>
      <c r="K83" s="119" t="n">
        <v>-2478000</v>
      </c>
      <c r="L83" s="128" t="n">
        <f aca="false">K83-Q83+T83</f>
        <v>-2478000</v>
      </c>
      <c r="M83" s="117" t="s">
        <v>149</v>
      </c>
      <c r="N83" s="117" t="n">
        <v>-2478000</v>
      </c>
      <c r="O83" s="117" t="s">
        <v>149</v>
      </c>
      <c r="P83" s="117" t="n">
        <v>-2478000</v>
      </c>
      <c r="Q83" s="117" t="n">
        <v>0</v>
      </c>
      <c r="R83" s="117" t="n">
        <v>-2478000</v>
      </c>
      <c r="S83" s="117" t="n">
        <v>0</v>
      </c>
      <c r="T83" s="117" t="n">
        <v>0</v>
      </c>
      <c r="U83" s="117" t="n">
        <v>309728</v>
      </c>
      <c r="V83" s="117" t="s">
        <v>1968</v>
      </c>
      <c r="X83" s="117" t="s">
        <v>2054</v>
      </c>
      <c r="Y83" s="117" t="s">
        <v>2055</v>
      </c>
      <c r="Z83" s="117" t="n">
        <v>100078340</v>
      </c>
      <c r="AD83" s="117" t="n">
        <v>310300</v>
      </c>
      <c r="AE83" s="117" t="s">
        <v>1969</v>
      </c>
      <c r="AF83" s="117" t="n">
        <v>101105</v>
      </c>
      <c r="AG83" s="117" t="s">
        <v>1977</v>
      </c>
      <c r="AI83" s="117" t="n">
        <v>101105</v>
      </c>
      <c r="AJ83" s="117" t="s">
        <v>1977</v>
      </c>
      <c r="AK83" s="117" t="n">
        <v>0</v>
      </c>
      <c r="AL83" s="117" t="n">
        <v>19</v>
      </c>
      <c r="AM83" s="117" t="s">
        <v>225</v>
      </c>
      <c r="AN83" s="117" t="s">
        <v>1978</v>
      </c>
      <c r="AP83" s="117" t="n">
        <v>100081981</v>
      </c>
      <c r="AQ83" s="118" t="n">
        <v>43708</v>
      </c>
      <c r="AR83" s="118" t="n">
        <v>43706</v>
      </c>
      <c r="AS83" s="117" t="n">
        <v>0.433449074074074</v>
      </c>
      <c r="AT83" s="117" t="n">
        <v>0</v>
      </c>
      <c r="AU83" s="117" t="n">
        <v>0</v>
      </c>
      <c r="AX83" s="117" t="n">
        <v>3</v>
      </c>
    </row>
    <row r="84" customFormat="false" ht="13.8" hidden="true" customHeight="false" outlineLevel="0" collapsed="false">
      <c r="A84" s="117" t="n">
        <v>1000</v>
      </c>
      <c r="B84" s="117" t="s">
        <v>1962</v>
      </c>
      <c r="C84" s="117" t="n">
        <v>100081995</v>
      </c>
      <c r="E84" s="117" t="s">
        <v>1921</v>
      </c>
      <c r="F84" s="117" t="n">
        <v>1108</v>
      </c>
      <c r="G84" s="117" t="n">
        <v>2019</v>
      </c>
      <c r="H84" s="117" t="n">
        <v>5</v>
      </c>
      <c r="I84" s="118" t="n">
        <v>43708</v>
      </c>
      <c r="J84" s="118" t="n">
        <v>43708</v>
      </c>
      <c r="K84" s="119" t="n">
        <v>-4288700.4</v>
      </c>
      <c r="L84" s="128" t="n">
        <f aca="false">K84-Q84+T84</f>
        <v>-4288700.4</v>
      </c>
      <c r="M84" s="117" t="s">
        <v>149</v>
      </c>
      <c r="N84" s="117" t="n">
        <v>-4288700.4</v>
      </c>
      <c r="O84" s="117" t="s">
        <v>149</v>
      </c>
      <c r="P84" s="117" t="n">
        <v>0</v>
      </c>
      <c r="Q84" s="117" t="n">
        <v>0</v>
      </c>
      <c r="R84" s="117" t="n">
        <v>-4288700.4</v>
      </c>
      <c r="S84" s="117" t="n">
        <v>0</v>
      </c>
      <c r="T84" s="117" t="n">
        <v>0</v>
      </c>
      <c r="U84" s="117" t="n">
        <v>312948</v>
      </c>
      <c r="V84" s="117" t="s">
        <v>1984</v>
      </c>
      <c r="Z84" s="117" t="n">
        <v>100081995</v>
      </c>
      <c r="AD84" s="117" t="n">
        <v>110000</v>
      </c>
      <c r="AE84" s="117" t="s">
        <v>1966</v>
      </c>
      <c r="AF84" s="117" t="n">
        <v>110000</v>
      </c>
      <c r="AG84" s="117" t="s">
        <v>1966</v>
      </c>
      <c r="AI84" s="117" t="n">
        <v>110000</v>
      </c>
      <c r="AJ84" s="117" t="s">
        <v>1966</v>
      </c>
      <c r="AK84" s="117" t="n">
        <v>0</v>
      </c>
      <c r="AL84" s="117" t="n">
        <v>17</v>
      </c>
      <c r="AM84" s="117" t="s">
        <v>225</v>
      </c>
      <c r="AP84" s="117" t="n">
        <v>100081995</v>
      </c>
      <c r="AQ84" s="118" t="n">
        <v>43708</v>
      </c>
      <c r="AR84" s="118" t="n">
        <v>43710</v>
      </c>
      <c r="AS84" s="117" t="n">
        <v>0.300902777777778</v>
      </c>
      <c r="AT84" s="117" t="n">
        <v>0</v>
      </c>
      <c r="AU84" s="117" t="n">
        <v>0</v>
      </c>
      <c r="AX84" s="117" t="n">
        <v>4</v>
      </c>
    </row>
    <row r="85" s="106" customFormat="true" ht="13.8" hidden="true" customHeight="false" outlineLevel="0" collapsed="false">
      <c r="A85" s="106" t="n">
        <v>1000</v>
      </c>
      <c r="B85" s="106" t="s">
        <v>1962</v>
      </c>
      <c r="C85" s="106" t="n">
        <v>100511</v>
      </c>
      <c r="D85" s="106" t="s">
        <v>1603</v>
      </c>
      <c r="E85" s="106" t="s">
        <v>1970</v>
      </c>
      <c r="F85" s="106" t="n">
        <v>1109</v>
      </c>
      <c r="G85" s="106" t="n">
        <v>2019</v>
      </c>
      <c r="H85" s="106" t="n">
        <v>1</v>
      </c>
      <c r="I85" s="129" t="n">
        <v>43572</v>
      </c>
      <c r="J85" s="129" t="n">
        <v>43572</v>
      </c>
      <c r="K85" s="107" t="n">
        <v>2354996.8</v>
      </c>
      <c r="L85" s="130" t="n">
        <f aca="false">K85-Q85+T85</f>
        <v>1995760</v>
      </c>
      <c r="M85" s="106" t="s">
        <v>149</v>
      </c>
      <c r="N85" s="106" t="n">
        <v>2354996.8</v>
      </c>
      <c r="O85" s="106" t="s">
        <v>149</v>
      </c>
      <c r="P85" s="106" t="n">
        <v>0</v>
      </c>
      <c r="Q85" s="107" t="n">
        <v>359236.8</v>
      </c>
      <c r="R85" s="106" t="n">
        <v>1995760</v>
      </c>
      <c r="S85" s="106" t="n">
        <v>0</v>
      </c>
      <c r="T85" s="106" t="n">
        <v>0</v>
      </c>
      <c r="U85" s="106" t="n">
        <v>305576</v>
      </c>
      <c r="V85" s="106" t="s">
        <v>1973</v>
      </c>
      <c r="Z85" s="106" t="n">
        <v>57637</v>
      </c>
      <c r="AB85" s="106" t="n">
        <v>4404331996</v>
      </c>
      <c r="AD85" s="106" t="n">
        <v>110000</v>
      </c>
      <c r="AE85" s="106" t="s">
        <v>1966</v>
      </c>
      <c r="AF85" s="106" t="n">
        <v>501005</v>
      </c>
      <c r="AG85" s="106" t="s">
        <v>2033</v>
      </c>
      <c r="AI85" s="106" t="n">
        <v>501005</v>
      </c>
      <c r="AJ85" s="106" t="s">
        <v>2033</v>
      </c>
      <c r="AK85" s="106" t="n">
        <v>0</v>
      </c>
      <c r="AL85" s="106" t="n">
        <v>1</v>
      </c>
      <c r="AM85" s="106" t="s">
        <v>161</v>
      </c>
      <c r="AP85" s="106" t="n">
        <v>100004317</v>
      </c>
      <c r="AQ85" s="129" t="n">
        <v>43583</v>
      </c>
      <c r="AR85" s="129" t="n">
        <v>43572</v>
      </c>
      <c r="AS85" s="106" t="n">
        <v>0.754247685185185</v>
      </c>
      <c r="AT85" s="106" t="n">
        <v>0</v>
      </c>
      <c r="AU85" s="106" t="n">
        <v>0</v>
      </c>
      <c r="AX85" s="106" t="n">
        <v>1</v>
      </c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</row>
    <row r="86" customFormat="false" ht="13.8" hidden="true" customHeight="false" outlineLevel="0" collapsed="false">
      <c r="A86" s="117" t="n">
        <v>1000</v>
      </c>
      <c r="B86" s="117" t="s">
        <v>1962</v>
      </c>
      <c r="C86" s="117" t="n">
        <v>100057912</v>
      </c>
      <c r="E86" s="117" t="s">
        <v>1921</v>
      </c>
      <c r="F86" s="117" t="n">
        <v>1108</v>
      </c>
      <c r="G86" s="117" t="n">
        <v>2019</v>
      </c>
      <c r="H86" s="117" t="n">
        <v>4</v>
      </c>
      <c r="I86" s="118" t="n">
        <v>43677</v>
      </c>
      <c r="J86" s="118" t="n">
        <v>43677</v>
      </c>
      <c r="K86" s="119" t="n">
        <v>-1783508.37</v>
      </c>
      <c r="L86" s="128" t="n">
        <f aca="false">K86-Q86+T86</f>
        <v>-1783508.37</v>
      </c>
      <c r="M86" s="117" t="s">
        <v>149</v>
      </c>
      <c r="N86" s="117" t="n">
        <v>-1783508.37</v>
      </c>
      <c r="O86" s="117" t="s">
        <v>149</v>
      </c>
      <c r="P86" s="117" t="n">
        <v>0</v>
      </c>
      <c r="Q86" s="117" t="n">
        <v>0</v>
      </c>
      <c r="R86" s="117" t="n">
        <v>-1783508.37</v>
      </c>
      <c r="S86" s="117" t="n">
        <v>0</v>
      </c>
      <c r="T86" s="117" t="n">
        <v>0</v>
      </c>
      <c r="U86" s="117" t="n">
        <v>318999</v>
      </c>
      <c r="V86" s="117" t="s">
        <v>143</v>
      </c>
      <c r="Z86" s="117" t="n">
        <v>100057912</v>
      </c>
      <c r="AD86" s="117" t="n">
        <v>110000</v>
      </c>
      <c r="AE86" s="117" t="s">
        <v>1966</v>
      </c>
      <c r="AF86" s="117" t="n">
        <v>110000</v>
      </c>
      <c r="AG86" s="117" t="s">
        <v>1966</v>
      </c>
      <c r="AI86" s="117" t="n">
        <v>110000</v>
      </c>
      <c r="AJ86" s="117" t="s">
        <v>1966</v>
      </c>
      <c r="AK86" s="117" t="n">
        <v>0</v>
      </c>
      <c r="AL86" s="117" t="n">
        <v>17</v>
      </c>
      <c r="AM86" s="117" t="s">
        <v>225</v>
      </c>
      <c r="AP86" s="117" t="n">
        <v>100057912</v>
      </c>
      <c r="AQ86" s="118" t="n">
        <v>43677</v>
      </c>
      <c r="AR86" s="118" t="n">
        <v>43677</v>
      </c>
      <c r="AS86" s="117" t="n">
        <v>0.699490740740741</v>
      </c>
      <c r="AT86" s="117" t="n">
        <v>0</v>
      </c>
      <c r="AU86" s="117" t="n">
        <v>0</v>
      </c>
      <c r="AX86" s="117" t="n">
        <v>12</v>
      </c>
    </row>
    <row r="87" customFormat="false" ht="13.8" hidden="true" customHeight="false" outlineLevel="0" collapsed="false">
      <c r="A87" s="117" t="n">
        <v>1000</v>
      </c>
      <c r="B87" s="117" t="s">
        <v>1962</v>
      </c>
      <c r="C87" s="117" t="n">
        <v>100078340</v>
      </c>
      <c r="D87" s="117" t="s">
        <v>2053</v>
      </c>
      <c r="E87" s="117" t="s">
        <v>1903</v>
      </c>
      <c r="F87" s="117" t="n">
        <v>1106</v>
      </c>
      <c r="G87" s="117" t="n">
        <v>2019</v>
      </c>
      <c r="H87" s="117" t="n">
        <v>5</v>
      </c>
      <c r="I87" s="118" t="n">
        <v>43699</v>
      </c>
      <c r="J87" s="118" t="n">
        <v>43699</v>
      </c>
      <c r="K87" s="119" t="n">
        <v>-1515173.12</v>
      </c>
      <c r="L87" s="128" t="n">
        <f aca="false">K87-Q87+T87</f>
        <v>-1515173.12</v>
      </c>
      <c r="M87" s="117" t="s">
        <v>149</v>
      </c>
      <c r="N87" s="117" t="n">
        <v>-1515173.12</v>
      </c>
      <c r="O87" s="117" t="s">
        <v>149</v>
      </c>
      <c r="P87" s="117" t="n">
        <v>-1515173.12</v>
      </c>
      <c r="Q87" s="117" t="n">
        <v>0</v>
      </c>
      <c r="R87" s="117" t="n">
        <v>-1515173.12</v>
      </c>
      <c r="S87" s="117" t="n">
        <v>0</v>
      </c>
      <c r="T87" s="117" t="n">
        <v>0</v>
      </c>
      <c r="U87" s="117" t="n">
        <v>312193</v>
      </c>
      <c r="V87" s="117" t="s">
        <v>1963</v>
      </c>
      <c r="X87" s="117" t="s">
        <v>2054</v>
      </c>
      <c r="Y87" s="117" t="s">
        <v>2055</v>
      </c>
      <c r="Z87" s="117" t="n">
        <v>100078340</v>
      </c>
      <c r="AD87" s="117" t="n">
        <v>310300</v>
      </c>
      <c r="AE87" s="117" t="s">
        <v>1969</v>
      </c>
      <c r="AF87" s="117" t="n">
        <v>101105</v>
      </c>
      <c r="AG87" s="117" t="s">
        <v>1977</v>
      </c>
      <c r="AI87" s="117" t="n">
        <v>101105</v>
      </c>
      <c r="AJ87" s="117" t="s">
        <v>1977</v>
      </c>
      <c r="AK87" s="117" t="n">
        <v>0</v>
      </c>
      <c r="AL87" s="117" t="n">
        <v>19</v>
      </c>
      <c r="AM87" s="117" t="s">
        <v>225</v>
      </c>
      <c r="AN87" s="117" t="s">
        <v>1978</v>
      </c>
      <c r="AP87" s="117" t="n">
        <v>100078765</v>
      </c>
      <c r="AQ87" s="118" t="n">
        <v>43706</v>
      </c>
      <c r="AR87" s="118" t="n">
        <v>43706</v>
      </c>
      <c r="AS87" s="117" t="n">
        <v>0.433449074074074</v>
      </c>
      <c r="AT87" s="117" t="n">
        <v>0</v>
      </c>
      <c r="AU87" s="117" t="n">
        <v>0</v>
      </c>
      <c r="AX87" s="117" t="n">
        <v>4</v>
      </c>
    </row>
    <row r="88" s="106" customFormat="true" ht="13.8" hidden="true" customHeight="false" outlineLevel="0" collapsed="false">
      <c r="A88" s="106" t="n">
        <v>1000</v>
      </c>
      <c r="B88" s="106" t="s">
        <v>1962</v>
      </c>
      <c r="C88" s="106" t="n">
        <v>100919</v>
      </c>
      <c r="D88" s="106" t="s">
        <v>1428</v>
      </c>
      <c r="E88" s="106" t="s">
        <v>1970</v>
      </c>
      <c r="F88" s="106" t="n">
        <v>1109</v>
      </c>
      <c r="G88" s="106" t="n">
        <v>2019</v>
      </c>
      <c r="H88" s="106" t="n">
        <v>1</v>
      </c>
      <c r="I88" s="129" t="n">
        <v>43582</v>
      </c>
      <c r="J88" s="129" t="n">
        <v>43582</v>
      </c>
      <c r="K88" s="107" t="n">
        <v>1301599</v>
      </c>
      <c r="L88" s="130" t="n">
        <f aca="false">K88-Q88+T88</f>
        <v>1103050</v>
      </c>
      <c r="M88" s="106" t="s">
        <v>149</v>
      </c>
      <c r="N88" s="106" t="n">
        <v>1301599</v>
      </c>
      <c r="O88" s="106" t="s">
        <v>149</v>
      </c>
      <c r="P88" s="106" t="n">
        <v>0</v>
      </c>
      <c r="Q88" s="107" t="n">
        <v>198549</v>
      </c>
      <c r="R88" s="106" t="n">
        <v>1103050</v>
      </c>
      <c r="S88" s="106" t="n">
        <v>0</v>
      </c>
      <c r="T88" s="106" t="n">
        <v>0</v>
      </c>
      <c r="U88" s="106" t="n">
        <v>305576</v>
      </c>
      <c r="V88" s="106" t="s">
        <v>1973</v>
      </c>
      <c r="Z88" s="106" t="n">
        <v>58180</v>
      </c>
      <c r="AB88" s="106" t="s">
        <v>2056</v>
      </c>
      <c r="AD88" s="106" t="n">
        <v>110000</v>
      </c>
      <c r="AE88" s="106" t="s">
        <v>1966</v>
      </c>
      <c r="AF88" s="106" t="n">
        <v>501005</v>
      </c>
      <c r="AG88" s="106" t="s">
        <v>2033</v>
      </c>
      <c r="AI88" s="106" t="n">
        <v>501005</v>
      </c>
      <c r="AJ88" s="106" t="s">
        <v>2033</v>
      </c>
      <c r="AK88" s="106" t="n">
        <v>0</v>
      </c>
      <c r="AL88" s="106" t="n">
        <v>1</v>
      </c>
      <c r="AM88" s="106" t="s">
        <v>161</v>
      </c>
      <c r="AP88" s="106" t="n">
        <v>100004317</v>
      </c>
      <c r="AQ88" s="129" t="n">
        <v>43583</v>
      </c>
      <c r="AR88" s="129" t="n">
        <v>43582</v>
      </c>
      <c r="AS88" s="106" t="n">
        <v>0.660150462962963</v>
      </c>
      <c r="AT88" s="106" t="n">
        <v>0</v>
      </c>
      <c r="AU88" s="106" t="n">
        <v>0</v>
      </c>
      <c r="AX88" s="106" t="n">
        <v>1</v>
      </c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</row>
    <row r="89" customFormat="false" ht="13.8" hidden="true" customHeight="false" outlineLevel="0" collapsed="false">
      <c r="A89" s="117" t="n">
        <v>1000</v>
      </c>
      <c r="B89" s="117" t="s">
        <v>1962</v>
      </c>
      <c r="C89" s="117" t="n">
        <v>100122987</v>
      </c>
      <c r="E89" s="117" t="s">
        <v>1921</v>
      </c>
      <c r="F89" s="117" t="n">
        <v>1109</v>
      </c>
      <c r="G89" s="117" t="n">
        <v>2019</v>
      </c>
      <c r="H89" s="117" t="n">
        <v>6</v>
      </c>
      <c r="I89" s="118" t="n">
        <v>43738</v>
      </c>
      <c r="J89" s="118" t="n">
        <v>43738</v>
      </c>
      <c r="K89" s="119" t="n">
        <v>452671.6</v>
      </c>
      <c r="L89" s="128" t="n">
        <f aca="false">K89-Q89+T89</f>
        <v>452671.6</v>
      </c>
      <c r="M89" s="117" t="s">
        <v>149</v>
      </c>
      <c r="N89" s="117" t="n">
        <v>452671.6</v>
      </c>
      <c r="O89" s="117" t="s">
        <v>149</v>
      </c>
      <c r="P89" s="117" t="n">
        <v>0</v>
      </c>
      <c r="Q89" s="117" t="n">
        <v>0</v>
      </c>
      <c r="R89" s="117" t="n">
        <v>452671.6</v>
      </c>
      <c r="S89" s="117" t="n">
        <v>0</v>
      </c>
      <c r="T89" s="117" t="n">
        <v>0</v>
      </c>
      <c r="U89" s="117" t="n">
        <v>312193</v>
      </c>
      <c r="V89" s="117" t="s">
        <v>1963</v>
      </c>
      <c r="X89" s="117" t="s">
        <v>1113</v>
      </c>
      <c r="Z89" s="117" t="n">
        <v>2316</v>
      </c>
      <c r="AB89" s="117" t="s">
        <v>1965</v>
      </c>
      <c r="AD89" s="117" t="n">
        <v>110000</v>
      </c>
      <c r="AE89" s="117" t="s">
        <v>1966</v>
      </c>
      <c r="AF89" s="117" t="n">
        <v>110000</v>
      </c>
      <c r="AG89" s="117" t="s">
        <v>1966</v>
      </c>
      <c r="AI89" s="117" t="n">
        <v>110000</v>
      </c>
      <c r="AJ89" s="117" t="s">
        <v>1966</v>
      </c>
      <c r="AK89" s="117" t="n">
        <v>0</v>
      </c>
      <c r="AL89" s="117" t="n">
        <v>4</v>
      </c>
      <c r="AM89" s="117" t="s">
        <v>161</v>
      </c>
      <c r="AP89" s="117" t="n">
        <v>100173530</v>
      </c>
      <c r="AQ89" s="118" t="n">
        <v>43799</v>
      </c>
      <c r="AR89" s="118" t="n">
        <v>43739</v>
      </c>
      <c r="AS89" s="117" t="n">
        <v>0.481527777777778</v>
      </c>
      <c r="AT89" s="117" t="n">
        <v>0</v>
      </c>
      <c r="AU89" s="117" t="n">
        <v>0</v>
      </c>
      <c r="AX89" s="117" t="n">
        <v>5</v>
      </c>
    </row>
    <row r="90" customFormat="false" ht="13.8" hidden="true" customHeight="false" outlineLevel="0" collapsed="false">
      <c r="A90" s="117" t="n">
        <v>1000</v>
      </c>
      <c r="B90" s="117" t="s">
        <v>1962</v>
      </c>
      <c r="C90" s="117" t="n">
        <v>1400004573</v>
      </c>
      <c r="E90" s="117" t="s">
        <v>1972</v>
      </c>
      <c r="F90" s="117" t="n">
        <v>1106</v>
      </c>
      <c r="G90" s="117" t="n">
        <v>2019</v>
      </c>
      <c r="H90" s="117" t="n">
        <v>4</v>
      </c>
      <c r="I90" s="118" t="n">
        <v>43672</v>
      </c>
      <c r="J90" s="118" t="n">
        <v>43672</v>
      </c>
      <c r="K90" s="119" t="n">
        <v>-774670</v>
      </c>
      <c r="L90" s="128" t="n">
        <f aca="false">K90-Q90+T90</f>
        <v>-774670</v>
      </c>
      <c r="M90" s="117" t="s">
        <v>149</v>
      </c>
      <c r="N90" s="117" t="n">
        <v>-774670</v>
      </c>
      <c r="O90" s="117" t="s">
        <v>149</v>
      </c>
      <c r="P90" s="117" t="n">
        <v>0</v>
      </c>
      <c r="Q90" s="117" t="n">
        <v>0</v>
      </c>
      <c r="R90" s="117" t="n">
        <v>-774670</v>
      </c>
      <c r="S90" s="117" t="n">
        <v>0</v>
      </c>
      <c r="T90" s="117" t="n">
        <v>0</v>
      </c>
      <c r="U90" s="117" t="n">
        <v>305576</v>
      </c>
      <c r="V90" s="117" t="s">
        <v>1973</v>
      </c>
      <c r="X90" s="117" t="s">
        <v>2057</v>
      </c>
      <c r="Y90" s="117" t="s">
        <v>2058</v>
      </c>
      <c r="Z90" s="117" t="n">
        <v>1400004573</v>
      </c>
      <c r="AC90" s="117" t="s">
        <v>1976</v>
      </c>
      <c r="AD90" s="117" t="n">
        <v>310300</v>
      </c>
      <c r="AE90" s="117" t="s">
        <v>1969</v>
      </c>
      <c r="AF90" s="117" t="n">
        <v>101105</v>
      </c>
      <c r="AG90" s="117" t="s">
        <v>1977</v>
      </c>
      <c r="AI90" s="117" t="n">
        <v>101105</v>
      </c>
      <c r="AJ90" s="117" t="s">
        <v>1977</v>
      </c>
      <c r="AK90" s="117" t="n">
        <v>0</v>
      </c>
      <c r="AL90" s="117" t="n">
        <v>19</v>
      </c>
      <c r="AM90" s="117" t="s">
        <v>225</v>
      </c>
      <c r="AN90" s="117" t="s">
        <v>1978</v>
      </c>
      <c r="AP90" s="117" t="n">
        <v>100058185</v>
      </c>
      <c r="AQ90" s="118" t="n">
        <v>43677</v>
      </c>
      <c r="AR90" s="118" t="n">
        <v>43677</v>
      </c>
      <c r="AS90" s="117" t="n">
        <v>0.731956018518519</v>
      </c>
      <c r="AT90" s="117" t="n">
        <v>0</v>
      </c>
      <c r="AU90" s="117" t="n">
        <v>0</v>
      </c>
      <c r="AX90" s="117" t="n">
        <v>2</v>
      </c>
    </row>
    <row r="91" s="106" customFormat="true" ht="13.8" hidden="true" customHeight="false" outlineLevel="0" collapsed="false">
      <c r="A91" s="106" t="n">
        <v>1000</v>
      </c>
      <c r="B91" s="106" t="s">
        <v>1962</v>
      </c>
      <c r="C91" s="106" t="n">
        <v>101081</v>
      </c>
      <c r="D91" s="106" t="s">
        <v>1409</v>
      </c>
      <c r="E91" s="106" t="s">
        <v>1970</v>
      </c>
      <c r="F91" s="106" t="n">
        <v>1109</v>
      </c>
      <c r="G91" s="106" t="n">
        <v>2019</v>
      </c>
      <c r="H91" s="106" t="n">
        <v>1</v>
      </c>
      <c r="I91" s="129" t="n">
        <v>43584</v>
      </c>
      <c r="J91" s="129" t="n">
        <v>43584</v>
      </c>
      <c r="K91" s="107" t="n">
        <v>464802</v>
      </c>
      <c r="L91" s="130" t="n">
        <f aca="false">K91-Q91+T91</f>
        <v>393900</v>
      </c>
      <c r="M91" s="106" t="s">
        <v>149</v>
      </c>
      <c r="N91" s="106" t="n">
        <v>464802</v>
      </c>
      <c r="O91" s="106" t="s">
        <v>149</v>
      </c>
      <c r="P91" s="106" t="n">
        <v>0</v>
      </c>
      <c r="Q91" s="107" t="n">
        <v>70902</v>
      </c>
      <c r="R91" s="106" t="n">
        <v>393900</v>
      </c>
      <c r="S91" s="106" t="n">
        <v>0</v>
      </c>
      <c r="T91" s="106" t="n">
        <v>0</v>
      </c>
      <c r="U91" s="106" t="n">
        <v>305576</v>
      </c>
      <c r="V91" s="106" t="s">
        <v>1973</v>
      </c>
      <c r="Z91" s="106" t="n">
        <v>58234</v>
      </c>
      <c r="AB91" s="106" t="s">
        <v>2059</v>
      </c>
      <c r="AD91" s="106" t="n">
        <v>110000</v>
      </c>
      <c r="AE91" s="106" t="s">
        <v>1966</v>
      </c>
      <c r="AF91" s="106" t="n">
        <v>501005</v>
      </c>
      <c r="AG91" s="106" t="s">
        <v>2033</v>
      </c>
      <c r="AI91" s="106" t="n">
        <v>501005</v>
      </c>
      <c r="AJ91" s="106" t="s">
        <v>2033</v>
      </c>
      <c r="AK91" s="106" t="n">
        <v>0</v>
      </c>
      <c r="AL91" s="106" t="n">
        <v>1</v>
      </c>
      <c r="AM91" s="106" t="s">
        <v>161</v>
      </c>
      <c r="AP91" s="106" t="n">
        <v>100005090</v>
      </c>
      <c r="AQ91" s="129" t="n">
        <v>43585</v>
      </c>
      <c r="AR91" s="129" t="n">
        <v>43584</v>
      </c>
      <c r="AS91" s="106" t="n">
        <v>0.891689814814815</v>
      </c>
      <c r="AT91" s="106" t="n">
        <v>0</v>
      </c>
      <c r="AU91" s="106" t="n">
        <v>0</v>
      </c>
      <c r="AX91" s="106" t="n">
        <v>1</v>
      </c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</row>
    <row r="92" s="106" customFormat="true" ht="13.8" hidden="true" customHeight="false" outlineLevel="0" collapsed="false">
      <c r="A92" s="106" t="n">
        <v>1000</v>
      </c>
      <c r="B92" s="106" t="s">
        <v>1962</v>
      </c>
      <c r="C92" s="106" t="n">
        <v>101077</v>
      </c>
      <c r="D92" s="106" t="s">
        <v>2060</v>
      </c>
      <c r="E92" s="106" t="s">
        <v>1970</v>
      </c>
      <c r="F92" s="106" t="n">
        <v>1109</v>
      </c>
      <c r="G92" s="106" t="n">
        <v>2019</v>
      </c>
      <c r="H92" s="106" t="n">
        <v>1</v>
      </c>
      <c r="I92" s="129" t="n">
        <v>43584</v>
      </c>
      <c r="J92" s="129" t="n">
        <v>43584</v>
      </c>
      <c r="K92" s="107" t="n">
        <v>422145</v>
      </c>
      <c r="L92" s="130" t="n">
        <f aca="false">K92-Q92+T92</f>
        <v>357750</v>
      </c>
      <c r="M92" s="106" t="s">
        <v>149</v>
      </c>
      <c r="N92" s="107" t="n">
        <v>422145</v>
      </c>
      <c r="O92" s="106" t="s">
        <v>149</v>
      </c>
      <c r="P92" s="106" t="n">
        <v>0</v>
      </c>
      <c r="Q92" s="107" t="n">
        <v>64395</v>
      </c>
      <c r="R92" s="107" t="n">
        <v>357750</v>
      </c>
      <c r="S92" s="106" t="n">
        <v>0</v>
      </c>
      <c r="T92" s="106" t="n">
        <v>0</v>
      </c>
      <c r="U92" s="106" t="n">
        <v>312193</v>
      </c>
      <c r="V92" s="106" t="s">
        <v>1963</v>
      </c>
      <c r="Z92" s="106" t="n">
        <v>2316</v>
      </c>
      <c r="AB92" s="106" t="s">
        <v>1965</v>
      </c>
      <c r="AD92" s="106" t="n">
        <v>110000</v>
      </c>
      <c r="AE92" s="106" t="s">
        <v>1966</v>
      </c>
      <c r="AF92" s="106" t="n">
        <v>501020</v>
      </c>
      <c r="AG92" s="106" t="s">
        <v>1971</v>
      </c>
      <c r="AI92" s="106" t="n">
        <v>501020</v>
      </c>
      <c r="AJ92" s="106" t="s">
        <v>1971</v>
      </c>
      <c r="AK92" s="106" t="n">
        <v>0</v>
      </c>
      <c r="AL92" s="106" t="n">
        <v>1</v>
      </c>
      <c r="AM92" s="106" t="s">
        <v>161</v>
      </c>
      <c r="AP92" s="106" t="n">
        <v>100005107</v>
      </c>
      <c r="AQ92" s="129" t="n">
        <v>43585</v>
      </c>
      <c r="AR92" s="129" t="n">
        <v>43584</v>
      </c>
      <c r="AS92" s="106" t="n">
        <v>0.822824074074074</v>
      </c>
      <c r="AT92" s="106" t="n">
        <v>0</v>
      </c>
      <c r="AU92" s="106" t="n">
        <v>0</v>
      </c>
      <c r="AX92" s="106" t="n">
        <v>1</v>
      </c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</row>
    <row r="93" customFormat="false" ht="13.8" hidden="true" customHeight="false" outlineLevel="0" collapsed="false">
      <c r="A93" s="117" t="n">
        <v>1000</v>
      </c>
      <c r="B93" s="117" t="s">
        <v>1962</v>
      </c>
      <c r="C93" s="117" t="n">
        <v>100081965</v>
      </c>
      <c r="E93" s="117" t="s">
        <v>1921</v>
      </c>
      <c r="F93" s="117" t="n">
        <v>1101</v>
      </c>
      <c r="G93" s="117" t="n">
        <v>2019</v>
      </c>
      <c r="H93" s="117" t="n">
        <v>5</v>
      </c>
      <c r="I93" s="118" t="n">
        <v>43708</v>
      </c>
      <c r="J93" s="118" t="n">
        <v>43708</v>
      </c>
      <c r="K93" s="119" t="n">
        <v>312778.66</v>
      </c>
      <c r="L93" s="128" t="n">
        <f aca="false">K93-Q93+T93</f>
        <v>312778.66</v>
      </c>
      <c r="M93" s="117" t="s">
        <v>149</v>
      </c>
      <c r="N93" s="117" t="n">
        <v>312778.66</v>
      </c>
      <c r="O93" s="117" t="s">
        <v>149</v>
      </c>
      <c r="P93" s="117" t="n">
        <v>0</v>
      </c>
      <c r="Q93" s="117" t="n">
        <v>0</v>
      </c>
      <c r="R93" s="117" t="n">
        <v>312778.66</v>
      </c>
      <c r="S93" s="117" t="n">
        <v>0</v>
      </c>
      <c r="T93" s="117" t="n">
        <v>0</v>
      </c>
      <c r="U93" s="117" t="n">
        <v>304431</v>
      </c>
      <c r="V93" s="117" t="s">
        <v>2016</v>
      </c>
      <c r="Z93" s="117" t="n">
        <v>100081965</v>
      </c>
      <c r="AD93" s="117" t="n">
        <v>310300</v>
      </c>
      <c r="AE93" s="117" t="s">
        <v>1969</v>
      </c>
      <c r="AF93" s="117" t="n">
        <v>110000</v>
      </c>
      <c r="AG93" s="117" t="s">
        <v>1966</v>
      </c>
      <c r="AI93" s="117" t="n">
        <v>110000</v>
      </c>
      <c r="AJ93" s="117" t="s">
        <v>1966</v>
      </c>
      <c r="AK93" s="117" t="n">
        <v>0</v>
      </c>
      <c r="AL93" s="117" t="n">
        <v>9</v>
      </c>
      <c r="AM93" s="117" t="s">
        <v>161</v>
      </c>
      <c r="AN93" s="117" t="s">
        <v>1978</v>
      </c>
      <c r="AP93" s="117" t="n">
        <v>100081965</v>
      </c>
      <c r="AQ93" s="118" t="n">
        <v>43708</v>
      </c>
      <c r="AR93" s="118" t="n">
        <v>43710</v>
      </c>
      <c r="AS93" s="117" t="n">
        <v>0.27255787037037</v>
      </c>
      <c r="AT93" s="117" t="n">
        <v>0</v>
      </c>
      <c r="AU93" s="117" t="n">
        <v>0</v>
      </c>
      <c r="AX93" s="117" t="n">
        <v>5</v>
      </c>
    </row>
    <row r="94" customFormat="false" ht="13.8" hidden="true" customHeight="false" outlineLevel="0" collapsed="false">
      <c r="A94" s="117" t="n">
        <v>1000</v>
      </c>
      <c r="B94" s="117" t="s">
        <v>1962</v>
      </c>
      <c r="C94" s="117" t="n">
        <v>100055938</v>
      </c>
      <c r="E94" s="117" t="s">
        <v>1921</v>
      </c>
      <c r="F94" s="117" t="n">
        <v>1106</v>
      </c>
      <c r="G94" s="117" t="n">
        <v>2019</v>
      </c>
      <c r="H94" s="117" t="n">
        <v>4</v>
      </c>
      <c r="I94" s="118" t="n">
        <v>43671</v>
      </c>
      <c r="J94" s="118" t="n">
        <v>43671</v>
      </c>
      <c r="K94" s="119" t="n">
        <v>3143638</v>
      </c>
      <c r="L94" s="128" t="n">
        <f aca="false">K94-Q94+T94</f>
        <v>3143638</v>
      </c>
      <c r="M94" s="117" t="s">
        <v>149</v>
      </c>
      <c r="N94" s="117" t="n">
        <v>3143638</v>
      </c>
      <c r="O94" s="117" t="s">
        <v>149</v>
      </c>
      <c r="P94" s="117" t="n">
        <v>0</v>
      </c>
      <c r="Q94" s="117" t="n">
        <v>0</v>
      </c>
      <c r="R94" s="117" t="n">
        <v>3143638</v>
      </c>
      <c r="S94" s="117" t="n">
        <v>0</v>
      </c>
      <c r="T94" s="117" t="n">
        <v>0</v>
      </c>
      <c r="U94" s="117" t="n">
        <v>305576</v>
      </c>
      <c r="V94" s="117" t="s">
        <v>1973</v>
      </c>
      <c r="Z94" s="117" t="n">
        <v>100055938</v>
      </c>
      <c r="AD94" s="117" t="n">
        <v>310300</v>
      </c>
      <c r="AE94" s="117" t="s">
        <v>1969</v>
      </c>
      <c r="AF94" s="117" t="n">
        <v>110000</v>
      </c>
      <c r="AG94" s="117" t="s">
        <v>1966</v>
      </c>
      <c r="AI94" s="117" t="n">
        <v>110000</v>
      </c>
      <c r="AJ94" s="117" t="s">
        <v>1966</v>
      </c>
      <c r="AK94" s="117" t="n">
        <v>0</v>
      </c>
      <c r="AL94" s="117" t="n">
        <v>9</v>
      </c>
      <c r="AM94" s="117" t="s">
        <v>161</v>
      </c>
      <c r="AN94" s="117" t="s">
        <v>1978</v>
      </c>
      <c r="AP94" s="117" t="n">
        <v>100055938</v>
      </c>
      <c r="AQ94" s="118" t="n">
        <v>43671</v>
      </c>
      <c r="AR94" s="118" t="n">
        <v>43671</v>
      </c>
      <c r="AS94" s="117" t="n">
        <v>0.638136574074074</v>
      </c>
      <c r="AT94" s="117" t="n">
        <v>0</v>
      </c>
      <c r="AU94" s="117" t="n">
        <v>0</v>
      </c>
      <c r="AX94" s="117" t="n">
        <v>2</v>
      </c>
    </row>
    <row r="95" customFormat="false" ht="13.8" hidden="true" customHeight="false" outlineLevel="0" collapsed="false">
      <c r="A95" s="117" t="n">
        <v>1000</v>
      </c>
      <c r="B95" s="117" t="s">
        <v>1962</v>
      </c>
      <c r="C95" s="117" t="n">
        <v>100122987</v>
      </c>
      <c r="E95" s="117" t="s">
        <v>1921</v>
      </c>
      <c r="F95" s="117" t="n">
        <v>1109</v>
      </c>
      <c r="G95" s="117" t="n">
        <v>2019</v>
      </c>
      <c r="H95" s="117" t="n">
        <v>6</v>
      </c>
      <c r="I95" s="118" t="n">
        <v>43738</v>
      </c>
      <c r="J95" s="118" t="n">
        <v>43738</v>
      </c>
      <c r="K95" s="119" t="n">
        <v>564453</v>
      </c>
      <c r="L95" s="128" t="n">
        <f aca="false">K95-Q95+T95</f>
        <v>564453</v>
      </c>
      <c r="M95" s="117" t="s">
        <v>149</v>
      </c>
      <c r="N95" s="117" t="n">
        <v>564453</v>
      </c>
      <c r="O95" s="117" t="s">
        <v>149</v>
      </c>
      <c r="P95" s="117" t="n">
        <v>0</v>
      </c>
      <c r="Q95" s="117" t="n">
        <v>0</v>
      </c>
      <c r="R95" s="117" t="n">
        <v>564453</v>
      </c>
      <c r="S95" s="117" t="n">
        <v>0</v>
      </c>
      <c r="T95" s="117" t="n">
        <v>0</v>
      </c>
      <c r="U95" s="117" t="n">
        <v>312193</v>
      </c>
      <c r="V95" s="117" t="s">
        <v>1963</v>
      </c>
      <c r="X95" s="117" t="s">
        <v>1121</v>
      </c>
      <c r="Z95" s="117" t="n">
        <v>2316</v>
      </c>
      <c r="AB95" s="117" t="s">
        <v>1965</v>
      </c>
      <c r="AD95" s="117" t="n">
        <v>110000</v>
      </c>
      <c r="AE95" s="117" t="s">
        <v>1966</v>
      </c>
      <c r="AF95" s="117" t="n">
        <v>110000</v>
      </c>
      <c r="AG95" s="117" t="s">
        <v>1966</v>
      </c>
      <c r="AI95" s="117" t="n">
        <v>110000</v>
      </c>
      <c r="AJ95" s="117" t="s">
        <v>1966</v>
      </c>
      <c r="AK95" s="117" t="n">
        <v>0</v>
      </c>
      <c r="AL95" s="117" t="n">
        <v>4</v>
      </c>
      <c r="AM95" s="117" t="s">
        <v>161</v>
      </c>
      <c r="AP95" s="117" t="n">
        <v>100173530</v>
      </c>
      <c r="AQ95" s="118" t="n">
        <v>43799</v>
      </c>
      <c r="AR95" s="118" t="n">
        <v>43739</v>
      </c>
      <c r="AS95" s="117" t="n">
        <v>0.481527777777778</v>
      </c>
      <c r="AT95" s="117" t="n">
        <v>0</v>
      </c>
      <c r="AU95" s="117" t="n">
        <v>0</v>
      </c>
      <c r="AX95" s="117" t="n">
        <v>3</v>
      </c>
    </row>
    <row r="96" s="106" customFormat="true" ht="13.8" hidden="true" customHeight="false" outlineLevel="0" collapsed="false">
      <c r="A96" s="106" t="n">
        <v>1000</v>
      </c>
      <c r="B96" s="106" t="s">
        <v>1962</v>
      </c>
      <c r="C96" s="106" t="n">
        <v>101952</v>
      </c>
      <c r="D96" s="106" t="s">
        <v>2061</v>
      </c>
      <c r="E96" s="106" t="s">
        <v>1970</v>
      </c>
      <c r="F96" s="106" t="n">
        <v>1109</v>
      </c>
      <c r="G96" s="106" t="n">
        <v>2019</v>
      </c>
      <c r="H96" s="106" t="n">
        <v>2</v>
      </c>
      <c r="I96" s="129" t="n">
        <v>43607</v>
      </c>
      <c r="J96" s="129" t="n">
        <v>43607</v>
      </c>
      <c r="K96" s="107" t="n">
        <v>2964560.26</v>
      </c>
      <c r="L96" s="130" t="n">
        <f aca="false">K96-Q96+T96</f>
        <v>2512339.2</v>
      </c>
      <c r="M96" s="106" t="s">
        <v>149</v>
      </c>
      <c r="N96" s="106" t="n">
        <v>2964560.26</v>
      </c>
      <c r="O96" s="106" t="s">
        <v>149</v>
      </c>
      <c r="P96" s="106" t="n">
        <v>0</v>
      </c>
      <c r="Q96" s="107" t="n">
        <v>452221.06</v>
      </c>
      <c r="R96" s="106" t="n">
        <v>2512339.2</v>
      </c>
      <c r="S96" s="106" t="n">
        <v>0</v>
      </c>
      <c r="T96" s="106" t="n">
        <v>0</v>
      </c>
      <c r="U96" s="106" t="n">
        <v>313029</v>
      </c>
      <c r="V96" s="106" t="s">
        <v>143</v>
      </c>
      <c r="Z96" s="106" t="n">
        <v>58552</v>
      </c>
      <c r="AB96" s="106" t="s">
        <v>2062</v>
      </c>
      <c r="AD96" s="106" t="n">
        <v>110000</v>
      </c>
      <c r="AE96" s="106" t="s">
        <v>1966</v>
      </c>
      <c r="AF96" s="106" t="n">
        <v>501005</v>
      </c>
      <c r="AG96" s="106" t="s">
        <v>2033</v>
      </c>
      <c r="AI96" s="106" t="n">
        <v>501005</v>
      </c>
      <c r="AJ96" s="106" t="s">
        <v>2033</v>
      </c>
      <c r="AK96" s="106" t="n">
        <v>0</v>
      </c>
      <c r="AL96" s="106" t="n">
        <v>1</v>
      </c>
      <c r="AM96" s="106" t="s">
        <v>161</v>
      </c>
      <c r="AP96" s="106" t="n">
        <v>100020154</v>
      </c>
      <c r="AQ96" s="129" t="n">
        <v>43611</v>
      </c>
      <c r="AR96" s="129" t="n">
        <v>43607</v>
      </c>
      <c r="AS96" s="106" t="n">
        <v>0.672627314814815</v>
      </c>
      <c r="AT96" s="106" t="n">
        <v>0</v>
      </c>
      <c r="AU96" s="106" t="n">
        <v>0</v>
      </c>
      <c r="AX96" s="106" t="n">
        <v>1</v>
      </c>
      <c r="ALU96" s="0"/>
      <c r="ALV96" s="0"/>
      <c r="ALW96" s="0"/>
      <c r="ALX96" s="0"/>
      <c r="ALY96" s="0"/>
      <c r="ALZ96" s="0"/>
      <c r="AMA96" s="0"/>
      <c r="AMB96" s="0"/>
      <c r="AMC96" s="0"/>
      <c r="AMD96" s="0"/>
      <c r="AME96" s="0"/>
      <c r="AMF96" s="0"/>
      <c r="AMG96" s="0"/>
      <c r="AMH96" s="0"/>
      <c r="AMI96" s="0"/>
      <c r="AMJ96" s="0"/>
    </row>
    <row r="97" customFormat="false" ht="13.8" hidden="true" customHeight="false" outlineLevel="0" collapsed="false">
      <c r="A97" s="117" t="n">
        <v>1000</v>
      </c>
      <c r="B97" s="117" t="s">
        <v>1962</v>
      </c>
      <c r="C97" s="117" t="n">
        <v>100057890</v>
      </c>
      <c r="E97" s="117" t="s">
        <v>1921</v>
      </c>
      <c r="F97" s="117" t="n">
        <v>1109</v>
      </c>
      <c r="G97" s="117" t="n">
        <v>2019</v>
      </c>
      <c r="H97" s="117" t="n">
        <v>4</v>
      </c>
      <c r="I97" s="118" t="n">
        <v>43677</v>
      </c>
      <c r="J97" s="118" t="n">
        <v>43677</v>
      </c>
      <c r="K97" s="119" t="n">
        <v>-1718091.8</v>
      </c>
      <c r="L97" s="128" t="n">
        <f aca="false">K97-Q97+T97</f>
        <v>-1718091.8</v>
      </c>
      <c r="M97" s="117" t="s">
        <v>149</v>
      </c>
      <c r="N97" s="117" t="n">
        <v>-1718091.8</v>
      </c>
      <c r="O97" s="117" t="s">
        <v>149</v>
      </c>
      <c r="P97" s="117" t="n">
        <v>0</v>
      </c>
      <c r="Q97" s="117" t="n">
        <v>0</v>
      </c>
      <c r="R97" s="117" t="n">
        <v>-1718091.8</v>
      </c>
      <c r="S97" s="117" t="n">
        <v>0</v>
      </c>
      <c r="T97" s="117" t="n">
        <v>0</v>
      </c>
      <c r="U97" s="117" t="n">
        <v>312193</v>
      </c>
      <c r="V97" s="117" t="s">
        <v>1963</v>
      </c>
      <c r="Z97" s="117" t="n">
        <v>100057890</v>
      </c>
      <c r="AD97" s="117" t="n">
        <v>110000</v>
      </c>
      <c r="AE97" s="117" t="s">
        <v>1966</v>
      </c>
      <c r="AF97" s="117" t="n">
        <v>110000</v>
      </c>
      <c r="AG97" s="117" t="s">
        <v>1966</v>
      </c>
      <c r="AI97" s="117" t="n">
        <v>110000</v>
      </c>
      <c r="AJ97" s="117" t="s">
        <v>1966</v>
      </c>
      <c r="AK97" s="117" t="n">
        <v>0</v>
      </c>
      <c r="AL97" s="117" t="n">
        <v>17</v>
      </c>
      <c r="AM97" s="117" t="s">
        <v>225</v>
      </c>
      <c r="AP97" s="117" t="n">
        <v>100057890</v>
      </c>
      <c r="AQ97" s="118" t="n">
        <v>43677</v>
      </c>
      <c r="AR97" s="118" t="n">
        <v>43677</v>
      </c>
      <c r="AS97" s="117" t="n">
        <v>0.622083333333333</v>
      </c>
      <c r="AT97" s="117" t="n">
        <v>0</v>
      </c>
      <c r="AU97" s="117" t="n">
        <v>0</v>
      </c>
      <c r="AX97" s="117" t="n">
        <v>7</v>
      </c>
    </row>
    <row r="98" customFormat="false" ht="13.8" hidden="true" customHeight="false" outlineLevel="0" collapsed="false">
      <c r="A98" s="117" t="n">
        <v>1000</v>
      </c>
      <c r="B98" s="117" t="s">
        <v>1962</v>
      </c>
      <c r="C98" s="117" t="n">
        <v>100122444</v>
      </c>
      <c r="E98" s="117" t="s">
        <v>1921</v>
      </c>
      <c r="F98" s="117" t="n">
        <v>1106</v>
      </c>
      <c r="G98" s="117" t="n">
        <v>2019</v>
      </c>
      <c r="H98" s="117" t="n">
        <v>6</v>
      </c>
      <c r="I98" s="118" t="n">
        <v>43738</v>
      </c>
      <c r="J98" s="118" t="n">
        <v>43738</v>
      </c>
      <c r="K98" s="119" t="n">
        <v>5496781.8</v>
      </c>
      <c r="L98" s="128" t="n">
        <f aca="false">K98-Q98+T98</f>
        <v>5496781.8</v>
      </c>
      <c r="M98" s="117" t="s">
        <v>149</v>
      </c>
      <c r="N98" s="117" t="n">
        <v>5496781.8</v>
      </c>
      <c r="O98" s="117" t="s">
        <v>149</v>
      </c>
      <c r="P98" s="117" t="n">
        <v>0</v>
      </c>
      <c r="Q98" s="117" t="n">
        <v>0</v>
      </c>
      <c r="R98" s="117" t="n">
        <v>5496781.8</v>
      </c>
      <c r="S98" s="117" t="n">
        <v>0</v>
      </c>
      <c r="T98" s="117" t="n">
        <v>0</v>
      </c>
      <c r="U98" s="117" t="n">
        <v>305576</v>
      </c>
      <c r="V98" s="117" t="s">
        <v>1973</v>
      </c>
      <c r="Z98" s="117" t="n">
        <v>100122444</v>
      </c>
      <c r="AD98" s="117" t="n">
        <v>310300</v>
      </c>
      <c r="AE98" s="117" t="s">
        <v>1969</v>
      </c>
      <c r="AF98" s="117" t="n">
        <v>310300</v>
      </c>
      <c r="AG98" s="117" t="s">
        <v>1969</v>
      </c>
      <c r="AI98" s="117" t="n">
        <v>310300</v>
      </c>
      <c r="AJ98" s="117" t="s">
        <v>1969</v>
      </c>
      <c r="AK98" s="117" t="n">
        <v>0</v>
      </c>
      <c r="AL98" s="117" t="n">
        <v>9</v>
      </c>
      <c r="AM98" s="117" t="s">
        <v>161</v>
      </c>
      <c r="AN98" s="117" t="s">
        <v>1978</v>
      </c>
      <c r="AP98" s="117" t="n">
        <v>100122444</v>
      </c>
      <c r="AQ98" s="118" t="n">
        <v>43738</v>
      </c>
      <c r="AR98" s="118" t="n">
        <v>43739</v>
      </c>
      <c r="AS98" s="117" t="n">
        <v>0.452604166666667</v>
      </c>
      <c r="AT98" s="117" t="n">
        <v>0</v>
      </c>
      <c r="AU98" s="117" t="n">
        <v>0</v>
      </c>
      <c r="AX98" s="117" t="n">
        <v>3</v>
      </c>
    </row>
    <row r="99" s="106" customFormat="true" ht="13.8" hidden="true" customHeight="false" outlineLevel="0" collapsed="false">
      <c r="A99" s="106" t="n">
        <v>1000</v>
      </c>
      <c r="B99" s="106" t="s">
        <v>1962</v>
      </c>
      <c r="C99" s="106" t="n">
        <v>104208</v>
      </c>
      <c r="D99" s="106" t="s">
        <v>2021</v>
      </c>
      <c r="E99" s="106" t="s">
        <v>1970</v>
      </c>
      <c r="F99" s="106" t="n">
        <v>1101</v>
      </c>
      <c r="G99" s="106" t="n">
        <v>2019</v>
      </c>
      <c r="H99" s="106" t="n">
        <v>4</v>
      </c>
      <c r="I99" s="129" t="n">
        <v>43650</v>
      </c>
      <c r="J99" s="129" t="n">
        <v>43650</v>
      </c>
      <c r="K99" s="107" t="n">
        <v>620375.19</v>
      </c>
      <c r="L99" s="130" t="n">
        <f aca="false">K99-Q99+T99</f>
        <v>525741.71</v>
      </c>
      <c r="M99" s="106" t="s">
        <v>149</v>
      </c>
      <c r="N99" s="106" t="n">
        <v>620375.19</v>
      </c>
      <c r="O99" s="106" t="s">
        <v>149</v>
      </c>
      <c r="P99" s="106" t="n">
        <v>0</v>
      </c>
      <c r="Q99" s="107" t="n">
        <v>94633.48</v>
      </c>
      <c r="R99" s="106" t="n">
        <v>525741.71</v>
      </c>
      <c r="S99" s="106" t="n">
        <v>0</v>
      </c>
      <c r="T99" s="106" t="n">
        <v>0</v>
      </c>
      <c r="U99" s="106" t="n">
        <v>318999</v>
      </c>
      <c r="V99" s="106" t="s">
        <v>143</v>
      </c>
      <c r="Z99" s="106" t="n">
        <v>104208</v>
      </c>
      <c r="AD99" s="106" t="n">
        <v>110000</v>
      </c>
      <c r="AE99" s="106" t="s">
        <v>1966</v>
      </c>
      <c r="AF99" s="106" t="n">
        <v>501040</v>
      </c>
      <c r="AG99" s="106" t="s">
        <v>2036</v>
      </c>
      <c r="AI99" s="106" t="n">
        <v>501040</v>
      </c>
      <c r="AJ99" s="106" t="s">
        <v>2036</v>
      </c>
      <c r="AK99" s="106" t="n">
        <v>0</v>
      </c>
      <c r="AL99" s="106" t="n">
        <v>1</v>
      </c>
      <c r="AM99" s="106" t="s">
        <v>161</v>
      </c>
      <c r="AP99" s="106" t="n">
        <v>100057912</v>
      </c>
      <c r="AQ99" s="129" t="n">
        <v>43677</v>
      </c>
      <c r="AR99" s="129" t="n">
        <v>43650</v>
      </c>
      <c r="AS99" s="106" t="n">
        <v>0.567418981481482</v>
      </c>
      <c r="AT99" s="106" t="n">
        <v>0</v>
      </c>
      <c r="AU99" s="106" t="n">
        <v>0</v>
      </c>
      <c r="AX99" s="106" t="n">
        <v>1</v>
      </c>
      <c r="ALU99" s="0"/>
      <c r="ALV99" s="0"/>
      <c r="ALW99" s="0"/>
      <c r="ALX99" s="0"/>
      <c r="ALY99" s="0"/>
      <c r="ALZ99" s="0"/>
      <c r="AMA99" s="0"/>
      <c r="AMB99" s="0"/>
      <c r="AMC99" s="0"/>
      <c r="AMD99" s="0"/>
      <c r="AME99" s="0"/>
      <c r="AMF99" s="0"/>
      <c r="AMG99" s="0"/>
      <c r="AMH99" s="0"/>
      <c r="AMI99" s="0"/>
      <c r="AMJ99" s="0"/>
    </row>
    <row r="100" s="106" customFormat="true" ht="13.8" hidden="true" customHeight="false" outlineLevel="0" collapsed="false">
      <c r="A100" s="106" t="n">
        <v>1000</v>
      </c>
      <c r="B100" s="106" t="s">
        <v>1962</v>
      </c>
      <c r="C100" s="106" t="n">
        <v>104164</v>
      </c>
      <c r="D100" s="106" t="s">
        <v>2063</v>
      </c>
      <c r="E100" s="106" t="s">
        <v>1970</v>
      </c>
      <c r="F100" s="106" t="n">
        <v>1101</v>
      </c>
      <c r="G100" s="106" t="n">
        <v>2019</v>
      </c>
      <c r="H100" s="106" t="n">
        <v>4</v>
      </c>
      <c r="I100" s="129" t="n">
        <v>43648</v>
      </c>
      <c r="J100" s="129" t="n">
        <v>43648</v>
      </c>
      <c r="K100" s="107" t="n">
        <v>350053.68</v>
      </c>
      <c r="L100" s="130" t="n">
        <f aca="false">K100-Q100+T100</f>
        <v>296655.66</v>
      </c>
      <c r="M100" s="106" t="s">
        <v>149</v>
      </c>
      <c r="N100" s="106" t="n">
        <v>350053.68</v>
      </c>
      <c r="O100" s="106" t="s">
        <v>149</v>
      </c>
      <c r="P100" s="106" t="n">
        <v>0</v>
      </c>
      <c r="Q100" s="107" t="n">
        <v>53398.02</v>
      </c>
      <c r="R100" s="106" t="n">
        <v>296655.66</v>
      </c>
      <c r="S100" s="106" t="n">
        <v>0</v>
      </c>
      <c r="T100" s="106" t="n">
        <v>0</v>
      </c>
      <c r="U100" s="106" t="n">
        <v>318999</v>
      </c>
      <c r="V100" s="106" t="s">
        <v>143</v>
      </c>
      <c r="Z100" s="106" t="n">
        <v>104164</v>
      </c>
      <c r="AD100" s="106" t="n">
        <v>110000</v>
      </c>
      <c r="AE100" s="106" t="s">
        <v>1966</v>
      </c>
      <c r="AF100" s="106" t="n">
        <v>501040</v>
      </c>
      <c r="AG100" s="106" t="s">
        <v>2036</v>
      </c>
      <c r="AI100" s="106" t="n">
        <v>501040</v>
      </c>
      <c r="AJ100" s="106" t="s">
        <v>2036</v>
      </c>
      <c r="AK100" s="106" t="n">
        <v>0</v>
      </c>
      <c r="AL100" s="106" t="n">
        <v>1</v>
      </c>
      <c r="AM100" s="106" t="s">
        <v>161</v>
      </c>
      <c r="AP100" s="106" t="n">
        <v>100057912</v>
      </c>
      <c r="AQ100" s="129" t="n">
        <v>43677</v>
      </c>
      <c r="AR100" s="129" t="n">
        <v>43648</v>
      </c>
      <c r="AS100" s="106" t="n">
        <v>0.77150462962963</v>
      </c>
      <c r="AT100" s="106" t="n">
        <v>0</v>
      </c>
      <c r="AU100" s="106" t="n">
        <v>0</v>
      </c>
      <c r="AX100" s="106" t="n">
        <v>1</v>
      </c>
      <c r="ALU100" s="0"/>
      <c r="ALV100" s="0"/>
      <c r="ALW100" s="0"/>
      <c r="ALX100" s="0"/>
      <c r="ALY100" s="0"/>
      <c r="ALZ100" s="0"/>
      <c r="AMA100" s="0"/>
      <c r="AMB100" s="0"/>
      <c r="AMC100" s="0"/>
      <c r="AMD100" s="0"/>
      <c r="AME100" s="0"/>
      <c r="AMF100" s="0"/>
      <c r="AMG100" s="0"/>
      <c r="AMH100" s="0"/>
      <c r="AMI100" s="0"/>
      <c r="AMJ100" s="0"/>
    </row>
    <row r="101" customFormat="false" ht="13.8" hidden="true" customHeight="false" outlineLevel="0" collapsed="false">
      <c r="A101" s="117" t="n">
        <v>1000</v>
      </c>
      <c r="B101" s="117" t="s">
        <v>1962</v>
      </c>
      <c r="C101" s="117" t="n">
        <v>100076082</v>
      </c>
      <c r="E101" s="117" t="s">
        <v>1921</v>
      </c>
      <c r="F101" s="117" t="n">
        <v>1109</v>
      </c>
      <c r="G101" s="117" t="n">
        <v>2019</v>
      </c>
      <c r="H101" s="117" t="n">
        <v>5</v>
      </c>
      <c r="I101" s="118" t="n">
        <v>43703</v>
      </c>
      <c r="J101" s="118" t="n">
        <v>43703</v>
      </c>
      <c r="K101" s="119" t="n">
        <v>506582.87</v>
      </c>
      <c r="L101" s="128" t="n">
        <f aca="false">K101-Q101+T101</f>
        <v>506582.87</v>
      </c>
      <c r="M101" s="117" t="s">
        <v>149</v>
      </c>
      <c r="N101" s="117" t="n">
        <v>506582.87</v>
      </c>
      <c r="O101" s="117" t="s">
        <v>149</v>
      </c>
      <c r="P101" s="117" t="n">
        <v>0</v>
      </c>
      <c r="Q101" s="117" t="n">
        <v>0</v>
      </c>
      <c r="R101" s="117" t="n">
        <v>506582.87</v>
      </c>
      <c r="S101" s="117" t="n">
        <v>0</v>
      </c>
      <c r="T101" s="117" t="n">
        <v>0</v>
      </c>
      <c r="U101" s="117" t="n">
        <v>313029</v>
      </c>
      <c r="V101" s="117" t="s">
        <v>143</v>
      </c>
      <c r="X101" s="117" t="s">
        <v>2064</v>
      </c>
      <c r="Z101" s="117" t="n">
        <v>60384</v>
      </c>
      <c r="AB101" s="117" t="s">
        <v>2065</v>
      </c>
      <c r="AD101" s="117" t="n">
        <v>110000</v>
      </c>
      <c r="AE101" s="117" t="s">
        <v>1966</v>
      </c>
      <c r="AF101" s="117" t="n">
        <v>110000</v>
      </c>
      <c r="AG101" s="117" t="s">
        <v>1966</v>
      </c>
      <c r="AI101" s="117" t="n">
        <v>110000</v>
      </c>
      <c r="AJ101" s="117" t="s">
        <v>1966</v>
      </c>
      <c r="AK101" s="117" t="n">
        <v>0</v>
      </c>
      <c r="AL101" s="117" t="n">
        <v>4</v>
      </c>
      <c r="AM101" s="117" t="s">
        <v>161</v>
      </c>
      <c r="AP101" s="117" t="n">
        <v>100162620</v>
      </c>
      <c r="AQ101" s="118" t="n">
        <v>43792</v>
      </c>
      <c r="AR101" s="118" t="n">
        <v>43703</v>
      </c>
      <c r="AS101" s="117" t="n">
        <v>0.762256944444444</v>
      </c>
      <c r="AT101" s="117" t="n">
        <v>0</v>
      </c>
      <c r="AU101" s="117" t="n">
        <v>0</v>
      </c>
      <c r="AX101" s="117" t="n">
        <v>1</v>
      </c>
    </row>
    <row r="102" customFormat="false" ht="13.8" hidden="true" customHeight="false" outlineLevel="0" collapsed="false">
      <c r="A102" s="117" t="n">
        <v>1000</v>
      </c>
      <c r="B102" s="117" t="s">
        <v>1962</v>
      </c>
      <c r="C102" s="117" t="n">
        <v>100055938</v>
      </c>
      <c r="E102" s="117" t="s">
        <v>1921</v>
      </c>
      <c r="F102" s="117" t="n">
        <v>1109</v>
      </c>
      <c r="G102" s="117" t="n">
        <v>2019</v>
      </c>
      <c r="H102" s="117" t="n">
        <v>4</v>
      </c>
      <c r="I102" s="118" t="n">
        <v>43671</v>
      </c>
      <c r="J102" s="118" t="n">
        <v>43671</v>
      </c>
      <c r="K102" s="119" t="n">
        <v>-3143638</v>
      </c>
      <c r="L102" s="128" t="n">
        <f aca="false">K102-Q102+T102</f>
        <v>-3143638</v>
      </c>
      <c r="M102" s="117" t="s">
        <v>149</v>
      </c>
      <c r="N102" s="117" t="n">
        <v>-3143638</v>
      </c>
      <c r="O102" s="117" t="s">
        <v>149</v>
      </c>
      <c r="P102" s="117" t="n">
        <v>0</v>
      </c>
      <c r="Q102" s="117" t="n">
        <v>0</v>
      </c>
      <c r="R102" s="117" t="n">
        <v>-3143638</v>
      </c>
      <c r="S102" s="117" t="n">
        <v>0</v>
      </c>
      <c r="T102" s="117" t="n">
        <v>0</v>
      </c>
      <c r="U102" s="117" t="n">
        <v>305576</v>
      </c>
      <c r="V102" s="117" t="s">
        <v>1973</v>
      </c>
      <c r="Z102" s="117" t="n">
        <v>100055938</v>
      </c>
      <c r="AD102" s="117" t="n">
        <v>110000</v>
      </c>
      <c r="AE102" s="117" t="s">
        <v>1966</v>
      </c>
      <c r="AF102" s="117" t="n">
        <v>310300</v>
      </c>
      <c r="AG102" s="117" t="s">
        <v>1969</v>
      </c>
      <c r="AI102" s="117" t="n">
        <v>310300</v>
      </c>
      <c r="AJ102" s="117" t="s">
        <v>1969</v>
      </c>
      <c r="AK102" s="117" t="n">
        <v>0</v>
      </c>
      <c r="AL102" s="117" t="n">
        <v>17</v>
      </c>
      <c r="AM102" s="117" t="s">
        <v>225</v>
      </c>
      <c r="AP102" s="117" t="n">
        <v>100055938</v>
      </c>
      <c r="AQ102" s="118" t="n">
        <v>43671</v>
      </c>
      <c r="AR102" s="118" t="n">
        <v>43671</v>
      </c>
      <c r="AS102" s="117" t="n">
        <v>0.638136574074074</v>
      </c>
      <c r="AT102" s="117" t="n">
        <v>0</v>
      </c>
      <c r="AU102" s="117" t="n">
        <v>0</v>
      </c>
      <c r="AX102" s="117" t="n">
        <v>1</v>
      </c>
    </row>
    <row r="103" customFormat="false" ht="13.8" hidden="true" customHeight="false" outlineLevel="0" collapsed="false">
      <c r="A103" s="117" t="n">
        <v>1000</v>
      </c>
      <c r="B103" s="117" t="s">
        <v>1962</v>
      </c>
      <c r="C103" s="117" t="n">
        <v>100116355</v>
      </c>
      <c r="E103" s="117" t="s">
        <v>1921</v>
      </c>
      <c r="F103" s="117" t="n">
        <v>1109</v>
      </c>
      <c r="G103" s="117" t="n">
        <v>2019</v>
      </c>
      <c r="H103" s="117" t="n">
        <v>6</v>
      </c>
      <c r="I103" s="118" t="n">
        <v>43738</v>
      </c>
      <c r="J103" s="118" t="n">
        <v>43738</v>
      </c>
      <c r="K103" s="119" t="n">
        <v>-1268452.8</v>
      </c>
      <c r="L103" s="128" t="n">
        <f aca="false">K103-Q103+T103</f>
        <v>-1268452.8</v>
      </c>
      <c r="M103" s="117" t="s">
        <v>149</v>
      </c>
      <c r="N103" s="117" t="n">
        <v>-1268452.8</v>
      </c>
      <c r="O103" s="117" t="s">
        <v>149</v>
      </c>
      <c r="P103" s="117" t="n">
        <v>0</v>
      </c>
      <c r="Q103" s="117" t="n">
        <v>0</v>
      </c>
      <c r="R103" s="117" t="n">
        <v>-1268452.8</v>
      </c>
      <c r="S103" s="117" t="n">
        <v>0</v>
      </c>
      <c r="T103" s="117" t="n">
        <v>0</v>
      </c>
      <c r="U103" s="117" t="n">
        <v>312193</v>
      </c>
      <c r="V103" s="117" t="s">
        <v>1963</v>
      </c>
      <c r="Z103" s="117" t="n">
        <v>100116355</v>
      </c>
      <c r="AD103" s="117" t="n">
        <v>110000</v>
      </c>
      <c r="AE103" s="117" t="s">
        <v>1966</v>
      </c>
      <c r="AF103" s="117" t="n">
        <v>110000</v>
      </c>
      <c r="AG103" s="117" t="s">
        <v>1966</v>
      </c>
      <c r="AI103" s="117" t="n">
        <v>110000</v>
      </c>
      <c r="AJ103" s="117" t="s">
        <v>1966</v>
      </c>
      <c r="AK103" s="117" t="n">
        <v>0</v>
      </c>
      <c r="AL103" s="117" t="n">
        <v>17</v>
      </c>
      <c r="AM103" s="117" t="s">
        <v>225</v>
      </c>
      <c r="AP103" s="117" t="n">
        <v>100116355</v>
      </c>
      <c r="AQ103" s="118" t="n">
        <v>43738</v>
      </c>
      <c r="AR103" s="118" t="n">
        <v>43738</v>
      </c>
      <c r="AS103" s="117" t="n">
        <v>0.224525462962963</v>
      </c>
      <c r="AT103" s="117" t="n">
        <v>0</v>
      </c>
      <c r="AU103" s="117" t="n">
        <v>0</v>
      </c>
      <c r="AX103" s="117" t="n">
        <v>7</v>
      </c>
    </row>
    <row r="104" customFormat="false" ht="13.8" hidden="true" customHeight="false" outlineLevel="0" collapsed="false">
      <c r="A104" s="117" t="n">
        <v>1000</v>
      </c>
      <c r="B104" s="117" t="s">
        <v>1962</v>
      </c>
      <c r="C104" s="117" t="n">
        <v>100122987</v>
      </c>
      <c r="E104" s="117" t="s">
        <v>1921</v>
      </c>
      <c r="F104" s="117" t="n">
        <v>1109</v>
      </c>
      <c r="G104" s="117" t="n">
        <v>2019</v>
      </c>
      <c r="H104" s="117" t="n">
        <v>6</v>
      </c>
      <c r="I104" s="118" t="n">
        <v>43738</v>
      </c>
      <c r="J104" s="118" t="n">
        <v>43738</v>
      </c>
      <c r="K104" s="119" t="n">
        <v>431124.8</v>
      </c>
      <c r="L104" s="128" t="n">
        <f aca="false">K104-Q104+T104</f>
        <v>431124.8</v>
      </c>
      <c r="M104" s="117" t="s">
        <v>149</v>
      </c>
      <c r="N104" s="117" t="n">
        <v>431124.8</v>
      </c>
      <c r="O104" s="117" t="s">
        <v>149</v>
      </c>
      <c r="P104" s="117" t="n">
        <v>0</v>
      </c>
      <c r="Q104" s="117" t="n">
        <v>0</v>
      </c>
      <c r="R104" s="117" t="n">
        <v>431124.8</v>
      </c>
      <c r="S104" s="117" t="n">
        <v>0</v>
      </c>
      <c r="T104" s="117" t="n">
        <v>0</v>
      </c>
      <c r="U104" s="117" t="n">
        <v>312193</v>
      </c>
      <c r="V104" s="117" t="s">
        <v>1963</v>
      </c>
      <c r="X104" s="117" t="s">
        <v>1109</v>
      </c>
      <c r="Z104" s="117" t="n">
        <v>2316</v>
      </c>
      <c r="AB104" s="117" t="s">
        <v>1965</v>
      </c>
      <c r="AD104" s="117" t="n">
        <v>110000</v>
      </c>
      <c r="AE104" s="117" t="s">
        <v>1966</v>
      </c>
      <c r="AF104" s="117" t="n">
        <v>110000</v>
      </c>
      <c r="AG104" s="117" t="s">
        <v>1966</v>
      </c>
      <c r="AI104" s="117" t="n">
        <v>110000</v>
      </c>
      <c r="AJ104" s="117" t="s">
        <v>1966</v>
      </c>
      <c r="AK104" s="117" t="n">
        <v>0</v>
      </c>
      <c r="AL104" s="117" t="n">
        <v>4</v>
      </c>
      <c r="AM104" s="117" t="s">
        <v>161</v>
      </c>
      <c r="AP104" s="117" t="n">
        <v>100173530</v>
      </c>
      <c r="AQ104" s="118" t="n">
        <v>43799</v>
      </c>
      <c r="AR104" s="118" t="n">
        <v>43739</v>
      </c>
      <c r="AS104" s="117" t="n">
        <v>0.481527777777778</v>
      </c>
      <c r="AT104" s="117" t="n">
        <v>0</v>
      </c>
      <c r="AU104" s="117" t="n">
        <v>0</v>
      </c>
      <c r="AX104" s="117" t="n">
        <v>2</v>
      </c>
    </row>
    <row r="105" customFormat="false" ht="13.8" hidden="true" customHeight="false" outlineLevel="0" collapsed="false">
      <c r="A105" s="117" t="n">
        <v>1000</v>
      </c>
      <c r="B105" s="117" t="s">
        <v>1962</v>
      </c>
      <c r="C105" s="117" t="n">
        <v>100058463</v>
      </c>
      <c r="E105" s="117" t="s">
        <v>1921</v>
      </c>
      <c r="F105" s="117" t="n">
        <v>1109</v>
      </c>
      <c r="G105" s="117" t="n">
        <v>2019</v>
      </c>
      <c r="H105" s="117" t="n">
        <v>4</v>
      </c>
      <c r="I105" s="118" t="n">
        <v>43677</v>
      </c>
      <c r="J105" s="118" t="n">
        <v>43677</v>
      </c>
      <c r="K105" s="119" t="n">
        <v>7853.54</v>
      </c>
      <c r="L105" s="128" t="n">
        <f aca="false">K105-Q105+T105</f>
        <v>7853.54</v>
      </c>
      <c r="M105" s="117" t="s">
        <v>149</v>
      </c>
      <c r="N105" s="117" t="n">
        <v>7853.54</v>
      </c>
      <c r="O105" s="117" t="s">
        <v>149</v>
      </c>
      <c r="P105" s="117" t="n">
        <v>0</v>
      </c>
      <c r="Q105" s="117" t="n">
        <v>0</v>
      </c>
      <c r="R105" s="117" t="n">
        <v>7853.54</v>
      </c>
      <c r="S105" s="117" t="n">
        <v>0</v>
      </c>
      <c r="T105" s="117" t="n">
        <v>0</v>
      </c>
      <c r="U105" s="117" t="n">
        <v>312193</v>
      </c>
      <c r="V105" s="117" t="s">
        <v>1963</v>
      </c>
      <c r="X105" s="117" t="s">
        <v>2066</v>
      </c>
      <c r="Z105" s="117" t="n">
        <v>2316</v>
      </c>
      <c r="AB105" s="117" t="s">
        <v>1965</v>
      </c>
      <c r="AD105" s="117" t="n">
        <v>110000</v>
      </c>
      <c r="AE105" s="117" t="s">
        <v>1966</v>
      </c>
      <c r="AF105" s="117" t="n">
        <v>110000</v>
      </c>
      <c r="AG105" s="117" t="s">
        <v>1966</v>
      </c>
      <c r="AI105" s="117" t="n">
        <v>110000</v>
      </c>
      <c r="AJ105" s="117" t="s">
        <v>1966</v>
      </c>
      <c r="AK105" s="117" t="n">
        <v>0</v>
      </c>
      <c r="AL105" s="117" t="n">
        <v>4</v>
      </c>
      <c r="AM105" s="117" t="s">
        <v>161</v>
      </c>
      <c r="AP105" s="117" t="n">
        <v>100173563</v>
      </c>
      <c r="AQ105" s="118" t="n">
        <v>43799</v>
      </c>
      <c r="AR105" s="118" t="n">
        <v>43678</v>
      </c>
      <c r="AS105" s="117" t="n">
        <v>0.576759259259259</v>
      </c>
      <c r="AT105" s="117" t="n">
        <v>0</v>
      </c>
      <c r="AU105" s="117" t="n">
        <v>0</v>
      </c>
      <c r="AX105" s="117" t="n">
        <v>1</v>
      </c>
    </row>
    <row r="106" customFormat="false" ht="13.8" hidden="true" customHeight="false" outlineLevel="0" collapsed="false">
      <c r="A106" s="117" t="n">
        <v>1000</v>
      </c>
      <c r="B106" s="117" t="s">
        <v>1962</v>
      </c>
      <c r="C106" s="117" t="n">
        <v>100055939</v>
      </c>
      <c r="E106" s="117" t="s">
        <v>1921</v>
      </c>
      <c r="F106" s="117" t="n">
        <v>1106</v>
      </c>
      <c r="G106" s="117" t="n">
        <v>2019</v>
      </c>
      <c r="H106" s="117" t="n">
        <v>4</v>
      </c>
      <c r="I106" s="118" t="n">
        <v>43671</v>
      </c>
      <c r="J106" s="118" t="n">
        <v>43671</v>
      </c>
      <c r="K106" s="119" t="n">
        <v>73056</v>
      </c>
      <c r="L106" s="128" t="n">
        <f aca="false">K106-Q106+T106</f>
        <v>73056</v>
      </c>
      <c r="M106" s="117" t="s">
        <v>149</v>
      </c>
      <c r="N106" s="117" t="n">
        <v>73056</v>
      </c>
      <c r="O106" s="117" t="s">
        <v>149</v>
      </c>
      <c r="P106" s="117" t="n">
        <v>0</v>
      </c>
      <c r="Q106" s="117" t="n">
        <v>0</v>
      </c>
      <c r="R106" s="117" t="n">
        <v>73056</v>
      </c>
      <c r="S106" s="117" t="n">
        <v>0</v>
      </c>
      <c r="T106" s="117" t="n">
        <v>0</v>
      </c>
      <c r="U106" s="117" t="n">
        <v>306263</v>
      </c>
      <c r="V106" s="117" t="s">
        <v>2006</v>
      </c>
      <c r="Z106" s="117" t="n">
        <v>100055939</v>
      </c>
      <c r="AD106" s="117" t="n">
        <v>310300</v>
      </c>
      <c r="AE106" s="117" t="s">
        <v>1969</v>
      </c>
      <c r="AF106" s="117" t="n">
        <v>110000</v>
      </c>
      <c r="AG106" s="117" t="s">
        <v>1966</v>
      </c>
      <c r="AI106" s="117" t="n">
        <v>110000</v>
      </c>
      <c r="AJ106" s="117" t="s">
        <v>1966</v>
      </c>
      <c r="AK106" s="117" t="n">
        <v>0</v>
      </c>
      <c r="AL106" s="117" t="n">
        <v>9</v>
      </c>
      <c r="AM106" s="117" t="s">
        <v>161</v>
      </c>
      <c r="AN106" s="117" t="s">
        <v>1978</v>
      </c>
      <c r="AP106" s="117" t="n">
        <v>100055939</v>
      </c>
      <c r="AQ106" s="118" t="n">
        <v>43671</v>
      </c>
      <c r="AR106" s="118" t="n">
        <v>43671</v>
      </c>
      <c r="AS106" s="117" t="n">
        <v>0.638715277777778</v>
      </c>
      <c r="AT106" s="117" t="n">
        <v>0</v>
      </c>
      <c r="AU106" s="117" t="n">
        <v>0</v>
      </c>
      <c r="AX106" s="117" t="n">
        <v>3</v>
      </c>
    </row>
    <row r="107" s="106" customFormat="true" ht="13.8" hidden="true" customHeight="false" outlineLevel="0" collapsed="false">
      <c r="A107" s="106" t="n">
        <v>1000</v>
      </c>
      <c r="B107" s="106" t="s">
        <v>1962</v>
      </c>
      <c r="C107" s="106" t="n">
        <v>101953</v>
      </c>
      <c r="D107" s="106" t="s">
        <v>2067</v>
      </c>
      <c r="E107" s="106" t="s">
        <v>1970</v>
      </c>
      <c r="F107" s="106" t="n">
        <v>1109</v>
      </c>
      <c r="G107" s="106" t="n">
        <v>2019</v>
      </c>
      <c r="H107" s="106" t="n">
        <v>2</v>
      </c>
      <c r="I107" s="129" t="n">
        <v>43607</v>
      </c>
      <c r="J107" s="129" t="n">
        <v>43607</v>
      </c>
      <c r="K107" s="107" t="n">
        <v>3178667.39</v>
      </c>
      <c r="L107" s="130" t="n">
        <f aca="false">K107-Q107+T107</f>
        <v>2693785.92</v>
      </c>
      <c r="M107" s="106" t="s">
        <v>149</v>
      </c>
      <c r="N107" s="106" t="n">
        <v>3178667.39</v>
      </c>
      <c r="O107" s="106" t="s">
        <v>149</v>
      </c>
      <c r="P107" s="106" t="n">
        <v>0</v>
      </c>
      <c r="Q107" s="107" t="n">
        <v>484881.47</v>
      </c>
      <c r="R107" s="106" t="n">
        <v>2693785.92</v>
      </c>
      <c r="S107" s="106" t="n">
        <v>0</v>
      </c>
      <c r="T107" s="106" t="n">
        <v>0</v>
      </c>
      <c r="U107" s="106" t="n">
        <v>313029</v>
      </c>
      <c r="V107" s="106" t="s">
        <v>143</v>
      </c>
      <c r="Z107" s="106" t="n">
        <v>58552</v>
      </c>
      <c r="AB107" s="106" t="s">
        <v>2062</v>
      </c>
      <c r="AD107" s="106" t="n">
        <v>110000</v>
      </c>
      <c r="AE107" s="106" t="s">
        <v>1966</v>
      </c>
      <c r="AF107" s="106" t="n">
        <v>501005</v>
      </c>
      <c r="AG107" s="106" t="s">
        <v>2033</v>
      </c>
      <c r="AI107" s="106" t="n">
        <v>501005</v>
      </c>
      <c r="AJ107" s="106" t="s">
        <v>2033</v>
      </c>
      <c r="AK107" s="106" t="n">
        <v>0</v>
      </c>
      <c r="AL107" s="106" t="n">
        <v>1</v>
      </c>
      <c r="AM107" s="106" t="s">
        <v>161</v>
      </c>
      <c r="AP107" s="106" t="n">
        <v>100020154</v>
      </c>
      <c r="AQ107" s="129" t="n">
        <v>43611</v>
      </c>
      <c r="AR107" s="129" t="n">
        <v>43607</v>
      </c>
      <c r="AS107" s="106" t="n">
        <v>0.673240740740741</v>
      </c>
      <c r="AT107" s="106" t="n">
        <v>0</v>
      </c>
      <c r="AU107" s="106" t="n">
        <v>0</v>
      </c>
      <c r="AX107" s="106" t="n">
        <v>1</v>
      </c>
      <c r="ALU107" s="0"/>
      <c r="ALV107" s="0"/>
      <c r="ALW107" s="0"/>
      <c r="ALX107" s="0"/>
      <c r="ALY107" s="0"/>
      <c r="ALZ107" s="0"/>
      <c r="AMA107" s="0"/>
      <c r="AMB107" s="0"/>
      <c r="AMC107" s="0"/>
      <c r="AMD107" s="0"/>
      <c r="AME107" s="0"/>
      <c r="AMF107" s="0"/>
      <c r="AMG107" s="0"/>
      <c r="AMH107" s="0"/>
      <c r="AMI107" s="0"/>
      <c r="AMJ107" s="0"/>
    </row>
    <row r="108" s="106" customFormat="true" ht="13.8" hidden="true" customHeight="false" outlineLevel="0" collapsed="false">
      <c r="A108" s="106" t="n">
        <v>1000</v>
      </c>
      <c r="B108" s="106" t="s">
        <v>1962</v>
      </c>
      <c r="C108" s="106" t="n">
        <v>102087</v>
      </c>
      <c r="D108" s="106" t="s">
        <v>1125</v>
      </c>
      <c r="E108" s="106" t="s">
        <v>1970</v>
      </c>
      <c r="F108" s="106" t="n">
        <v>1109</v>
      </c>
      <c r="G108" s="106" t="n">
        <v>2019</v>
      </c>
      <c r="H108" s="106" t="n">
        <v>2</v>
      </c>
      <c r="I108" s="129" t="n">
        <v>43609</v>
      </c>
      <c r="J108" s="129" t="n">
        <v>43609</v>
      </c>
      <c r="K108" s="107" t="n">
        <v>254204.56</v>
      </c>
      <c r="L108" s="130" t="n">
        <f aca="false">K108-Q108+T108</f>
        <v>215427.6</v>
      </c>
      <c r="M108" s="106" t="s">
        <v>149</v>
      </c>
      <c r="N108" s="106" t="n">
        <v>254204.56</v>
      </c>
      <c r="O108" s="106" t="s">
        <v>149</v>
      </c>
      <c r="P108" s="106" t="n">
        <v>0</v>
      </c>
      <c r="Q108" s="107" t="n">
        <v>38776.96</v>
      </c>
      <c r="R108" s="106" t="n">
        <v>215427.6</v>
      </c>
      <c r="S108" s="106" t="n">
        <v>0</v>
      </c>
      <c r="T108" s="106" t="n">
        <v>0</v>
      </c>
      <c r="U108" s="106" t="n">
        <v>307259</v>
      </c>
      <c r="V108" s="106" t="s">
        <v>143</v>
      </c>
      <c r="Z108" s="106" t="n">
        <v>58610</v>
      </c>
      <c r="AB108" s="106" t="s">
        <v>2068</v>
      </c>
      <c r="AD108" s="106" t="n">
        <v>110000</v>
      </c>
      <c r="AE108" s="106" t="s">
        <v>1966</v>
      </c>
      <c r="AF108" s="106" t="n">
        <v>501005</v>
      </c>
      <c r="AG108" s="106" t="s">
        <v>2033</v>
      </c>
      <c r="AI108" s="106" t="n">
        <v>501005</v>
      </c>
      <c r="AJ108" s="106" t="s">
        <v>2033</v>
      </c>
      <c r="AK108" s="106" t="n">
        <v>0</v>
      </c>
      <c r="AL108" s="106" t="n">
        <v>1</v>
      </c>
      <c r="AM108" s="106" t="s">
        <v>161</v>
      </c>
      <c r="AP108" s="106" t="n">
        <v>100020125</v>
      </c>
      <c r="AQ108" s="129" t="n">
        <v>43611</v>
      </c>
      <c r="AR108" s="129" t="n">
        <v>43609</v>
      </c>
      <c r="AS108" s="106" t="n">
        <v>0.763148148148148</v>
      </c>
      <c r="AT108" s="106" t="n">
        <v>0</v>
      </c>
      <c r="AU108" s="106" t="n">
        <v>0</v>
      </c>
      <c r="AX108" s="106" t="n">
        <v>1</v>
      </c>
      <c r="ALU108" s="0"/>
      <c r="ALV108" s="0"/>
      <c r="ALW108" s="0"/>
      <c r="ALX108" s="0"/>
      <c r="ALY108" s="0"/>
      <c r="ALZ108" s="0"/>
      <c r="AMA108" s="0"/>
      <c r="AMB108" s="0"/>
      <c r="AMC108" s="0"/>
      <c r="AMD108" s="0"/>
      <c r="AME108" s="0"/>
      <c r="AMF108" s="0"/>
      <c r="AMG108" s="0"/>
      <c r="AMH108" s="0"/>
      <c r="AMI108" s="0"/>
      <c r="AMJ108" s="0"/>
    </row>
    <row r="109" customFormat="false" ht="13.8" hidden="true" customHeight="false" outlineLevel="0" collapsed="false">
      <c r="A109" s="117" t="n">
        <v>1000</v>
      </c>
      <c r="B109" s="117" t="s">
        <v>1962</v>
      </c>
      <c r="C109" s="117" t="n">
        <v>100057890</v>
      </c>
      <c r="E109" s="117" t="s">
        <v>1921</v>
      </c>
      <c r="F109" s="117" t="n">
        <v>1109</v>
      </c>
      <c r="G109" s="117" t="n">
        <v>2019</v>
      </c>
      <c r="H109" s="117" t="n">
        <v>4</v>
      </c>
      <c r="I109" s="118" t="n">
        <v>43677</v>
      </c>
      <c r="J109" s="118" t="n">
        <v>43677</v>
      </c>
      <c r="K109" s="119" t="n">
        <v>6917</v>
      </c>
      <c r="L109" s="128" t="n">
        <f aca="false">K109-Q109+T109</f>
        <v>6917</v>
      </c>
      <c r="M109" s="117" t="s">
        <v>149</v>
      </c>
      <c r="N109" s="117" t="n">
        <v>6917</v>
      </c>
      <c r="O109" s="117" t="s">
        <v>149</v>
      </c>
      <c r="P109" s="117" t="n">
        <v>0</v>
      </c>
      <c r="Q109" s="117" t="n">
        <v>0</v>
      </c>
      <c r="R109" s="117" t="n">
        <v>6917</v>
      </c>
      <c r="S109" s="117" t="n">
        <v>0</v>
      </c>
      <c r="T109" s="117" t="n">
        <v>0</v>
      </c>
      <c r="U109" s="117" t="n">
        <v>312193</v>
      </c>
      <c r="V109" s="117" t="s">
        <v>1963</v>
      </c>
      <c r="X109" s="117" t="s">
        <v>2069</v>
      </c>
      <c r="Z109" s="117" t="n">
        <v>2316</v>
      </c>
      <c r="AB109" s="117" t="s">
        <v>1965</v>
      </c>
      <c r="AD109" s="117" t="n">
        <v>110000</v>
      </c>
      <c r="AE109" s="117" t="s">
        <v>1966</v>
      </c>
      <c r="AF109" s="117" t="n">
        <v>110000</v>
      </c>
      <c r="AG109" s="117" t="s">
        <v>1966</v>
      </c>
      <c r="AI109" s="117" t="n">
        <v>110000</v>
      </c>
      <c r="AJ109" s="117" t="s">
        <v>1966</v>
      </c>
      <c r="AK109" s="117" t="n">
        <v>0</v>
      </c>
      <c r="AL109" s="117" t="n">
        <v>4</v>
      </c>
      <c r="AM109" s="117" t="s">
        <v>161</v>
      </c>
      <c r="AP109" s="117" t="n">
        <v>100173563</v>
      </c>
      <c r="AQ109" s="118" t="n">
        <v>43799</v>
      </c>
      <c r="AR109" s="118" t="n">
        <v>43677</v>
      </c>
      <c r="AS109" s="117" t="n">
        <v>0.622083333333333</v>
      </c>
      <c r="AT109" s="117" t="n">
        <v>0</v>
      </c>
      <c r="AU109" s="117" t="n">
        <v>0</v>
      </c>
      <c r="AX109" s="117" t="n">
        <v>2</v>
      </c>
    </row>
    <row r="110" customFormat="false" ht="13.8" hidden="true" customHeight="false" outlineLevel="0" collapsed="false">
      <c r="A110" s="117" t="n">
        <v>1000</v>
      </c>
      <c r="B110" s="117" t="s">
        <v>1962</v>
      </c>
      <c r="C110" s="117" t="n">
        <v>100082479</v>
      </c>
      <c r="E110" s="117" t="s">
        <v>1921</v>
      </c>
      <c r="F110" s="117" t="n">
        <v>1101</v>
      </c>
      <c r="G110" s="117" t="n">
        <v>2019</v>
      </c>
      <c r="H110" s="117" t="n">
        <v>5</v>
      </c>
      <c r="I110" s="118" t="n">
        <v>43708</v>
      </c>
      <c r="J110" s="118" t="n">
        <v>43708</v>
      </c>
      <c r="K110" s="119" t="n">
        <v>1293515.44</v>
      </c>
      <c r="L110" s="128" t="n">
        <f aca="false">K110-Q110+T110</f>
        <v>1293515.44</v>
      </c>
      <c r="M110" s="117" t="s">
        <v>149</v>
      </c>
      <c r="N110" s="117" t="n">
        <v>1293515.44</v>
      </c>
      <c r="O110" s="117" t="s">
        <v>149</v>
      </c>
      <c r="P110" s="117" t="n">
        <v>0</v>
      </c>
      <c r="Q110" s="117" t="n">
        <v>0</v>
      </c>
      <c r="R110" s="117" t="n">
        <v>1293515.44</v>
      </c>
      <c r="S110" s="117" t="n">
        <v>0</v>
      </c>
      <c r="T110" s="117" t="n">
        <v>0</v>
      </c>
      <c r="U110" s="117" t="n">
        <v>318999</v>
      </c>
      <c r="V110" s="117" t="s">
        <v>143</v>
      </c>
      <c r="X110" s="117" t="s">
        <v>1323</v>
      </c>
      <c r="Z110" s="117" t="n">
        <v>2388</v>
      </c>
      <c r="AB110" s="117" t="s">
        <v>2019</v>
      </c>
      <c r="AD110" s="117" t="n">
        <v>110000</v>
      </c>
      <c r="AE110" s="117" t="s">
        <v>1966</v>
      </c>
      <c r="AF110" s="117" t="n">
        <v>110000</v>
      </c>
      <c r="AG110" s="117" t="s">
        <v>1966</v>
      </c>
      <c r="AI110" s="117" t="n">
        <v>110000</v>
      </c>
      <c r="AJ110" s="117" t="s">
        <v>1966</v>
      </c>
      <c r="AK110" s="117" t="n">
        <v>0</v>
      </c>
      <c r="AL110" s="117" t="n">
        <v>4</v>
      </c>
      <c r="AM110" s="117" t="s">
        <v>161</v>
      </c>
      <c r="AP110" s="117" t="n">
        <v>100143952</v>
      </c>
      <c r="AQ110" s="118" t="n">
        <v>43769</v>
      </c>
      <c r="AR110" s="118" t="n">
        <v>43711</v>
      </c>
      <c r="AS110" s="117" t="n">
        <v>0.238310185185185</v>
      </c>
      <c r="AT110" s="117" t="n">
        <v>0</v>
      </c>
      <c r="AU110" s="117" t="n">
        <v>0</v>
      </c>
      <c r="AX110" s="117" t="n">
        <v>1</v>
      </c>
    </row>
    <row r="111" customFormat="false" ht="13.8" hidden="true" customHeight="false" outlineLevel="0" collapsed="false">
      <c r="A111" s="117" t="n">
        <v>1000</v>
      </c>
      <c r="B111" s="117" t="s">
        <v>1962</v>
      </c>
      <c r="C111" s="117" t="n">
        <v>100058186</v>
      </c>
      <c r="E111" s="117" t="s">
        <v>1921</v>
      </c>
      <c r="F111" s="117" t="n">
        <v>1108</v>
      </c>
      <c r="G111" s="117" t="n">
        <v>2019</v>
      </c>
      <c r="H111" s="117" t="n">
        <v>4</v>
      </c>
      <c r="I111" s="118" t="n">
        <v>43677</v>
      </c>
      <c r="J111" s="118" t="n">
        <v>43677</v>
      </c>
      <c r="K111" s="119" t="n">
        <v>0.43</v>
      </c>
      <c r="L111" s="128" t="n">
        <f aca="false">K111-Q111+T111</f>
        <v>0.43</v>
      </c>
      <c r="M111" s="117" t="s">
        <v>149</v>
      </c>
      <c r="N111" s="117" t="n">
        <v>0.43</v>
      </c>
      <c r="O111" s="117" t="s">
        <v>149</v>
      </c>
      <c r="P111" s="117" t="n">
        <v>0</v>
      </c>
      <c r="Q111" s="117" t="n">
        <v>0</v>
      </c>
      <c r="R111" s="117" t="n">
        <v>0.43</v>
      </c>
      <c r="S111" s="117" t="n">
        <v>0</v>
      </c>
      <c r="T111" s="117" t="n">
        <v>0</v>
      </c>
      <c r="U111" s="117" t="n">
        <v>306263</v>
      </c>
      <c r="V111" s="117" t="s">
        <v>2006</v>
      </c>
      <c r="Z111" s="117" t="n">
        <v>58912</v>
      </c>
      <c r="AB111" s="117" t="s">
        <v>2070</v>
      </c>
      <c r="AD111" s="117" t="n">
        <v>110000</v>
      </c>
      <c r="AE111" s="117" t="s">
        <v>1966</v>
      </c>
      <c r="AF111" s="117" t="n">
        <v>110000</v>
      </c>
      <c r="AG111" s="117" t="s">
        <v>1966</v>
      </c>
      <c r="AI111" s="117" t="n">
        <v>110000</v>
      </c>
      <c r="AJ111" s="117" t="s">
        <v>1966</v>
      </c>
      <c r="AK111" s="117" t="n">
        <v>0</v>
      </c>
      <c r="AL111" s="117" t="n">
        <v>4</v>
      </c>
      <c r="AM111" s="117" t="s">
        <v>161</v>
      </c>
      <c r="AP111" s="117" t="n">
        <v>100113124</v>
      </c>
      <c r="AQ111" s="118" t="n">
        <v>43732</v>
      </c>
      <c r="AR111" s="118" t="n">
        <v>43678</v>
      </c>
      <c r="AS111" s="117" t="n">
        <v>0.174375</v>
      </c>
      <c r="AT111" s="117" t="n">
        <v>0</v>
      </c>
      <c r="AU111" s="117" t="n">
        <v>0</v>
      </c>
      <c r="AX111" s="117" t="n">
        <v>1</v>
      </c>
    </row>
    <row r="112" customFormat="false" ht="13.8" hidden="true" customHeight="false" outlineLevel="0" collapsed="false">
      <c r="A112" s="117" t="n">
        <v>1000</v>
      </c>
      <c r="B112" s="117" t="s">
        <v>1962</v>
      </c>
      <c r="C112" s="117" t="n">
        <v>100057890</v>
      </c>
      <c r="E112" s="117" t="s">
        <v>1921</v>
      </c>
      <c r="F112" s="117" t="n">
        <v>1109</v>
      </c>
      <c r="G112" s="117" t="n">
        <v>2019</v>
      </c>
      <c r="H112" s="117" t="n">
        <v>4</v>
      </c>
      <c r="I112" s="118" t="n">
        <v>43677</v>
      </c>
      <c r="J112" s="118" t="n">
        <v>43677</v>
      </c>
      <c r="K112" s="119" t="n">
        <v>7336</v>
      </c>
      <c r="L112" s="128" t="n">
        <f aca="false">K112-Q112+T112</f>
        <v>7336</v>
      </c>
      <c r="M112" s="117" t="s">
        <v>149</v>
      </c>
      <c r="N112" s="117" t="n">
        <v>7336</v>
      </c>
      <c r="O112" s="117" t="s">
        <v>149</v>
      </c>
      <c r="P112" s="117" t="n">
        <v>0</v>
      </c>
      <c r="Q112" s="117" t="n">
        <v>0</v>
      </c>
      <c r="R112" s="117" t="n">
        <v>7336</v>
      </c>
      <c r="S112" s="117" t="n">
        <v>0</v>
      </c>
      <c r="T112" s="117" t="n">
        <v>0</v>
      </c>
      <c r="U112" s="117" t="n">
        <v>312193</v>
      </c>
      <c r="V112" s="117" t="s">
        <v>1963</v>
      </c>
      <c r="X112" s="117" t="s">
        <v>2071</v>
      </c>
      <c r="Z112" s="117" t="n">
        <v>2316</v>
      </c>
      <c r="AB112" s="117" t="s">
        <v>1965</v>
      </c>
      <c r="AD112" s="117" t="n">
        <v>110000</v>
      </c>
      <c r="AE112" s="117" t="s">
        <v>1966</v>
      </c>
      <c r="AF112" s="117" t="n">
        <v>110000</v>
      </c>
      <c r="AG112" s="117" t="s">
        <v>1966</v>
      </c>
      <c r="AI112" s="117" t="n">
        <v>110000</v>
      </c>
      <c r="AJ112" s="117" t="s">
        <v>1966</v>
      </c>
      <c r="AK112" s="117" t="n">
        <v>0</v>
      </c>
      <c r="AL112" s="117" t="n">
        <v>4</v>
      </c>
      <c r="AM112" s="117" t="s">
        <v>161</v>
      </c>
      <c r="AP112" s="117" t="n">
        <v>100173563</v>
      </c>
      <c r="AQ112" s="118" t="n">
        <v>43799</v>
      </c>
      <c r="AR112" s="118" t="n">
        <v>43677</v>
      </c>
      <c r="AS112" s="117" t="n">
        <v>0.622083333333333</v>
      </c>
      <c r="AT112" s="117" t="n">
        <v>0</v>
      </c>
      <c r="AU112" s="117" t="n">
        <v>0</v>
      </c>
      <c r="AX112" s="117" t="n">
        <v>5</v>
      </c>
    </row>
    <row r="113" customFormat="false" ht="13.8" hidden="true" customHeight="false" outlineLevel="0" collapsed="false">
      <c r="A113" s="117" t="n">
        <v>1000</v>
      </c>
      <c r="B113" s="117" t="s">
        <v>1962</v>
      </c>
      <c r="C113" s="117" t="n">
        <v>1400004542</v>
      </c>
      <c r="E113" s="117" t="s">
        <v>1972</v>
      </c>
      <c r="F113" s="117" t="n">
        <v>1106</v>
      </c>
      <c r="G113" s="117" t="n">
        <v>2019</v>
      </c>
      <c r="H113" s="117" t="n">
        <v>4</v>
      </c>
      <c r="I113" s="118" t="n">
        <v>43676</v>
      </c>
      <c r="J113" s="118" t="n">
        <v>43676</v>
      </c>
      <c r="K113" s="119" t="n">
        <v>-2354996.8</v>
      </c>
      <c r="L113" s="128" t="n">
        <f aca="false">K113-Q113+T113</f>
        <v>-2354996.8</v>
      </c>
      <c r="M113" s="117" t="s">
        <v>149</v>
      </c>
      <c r="N113" s="117" t="n">
        <v>-2354996.8</v>
      </c>
      <c r="O113" s="117" t="s">
        <v>149</v>
      </c>
      <c r="P113" s="117" t="n">
        <v>0</v>
      </c>
      <c r="Q113" s="117" t="n">
        <v>0</v>
      </c>
      <c r="R113" s="117" t="n">
        <v>-2354996.8</v>
      </c>
      <c r="S113" s="117" t="n">
        <v>0</v>
      </c>
      <c r="T113" s="117" t="n">
        <v>0</v>
      </c>
      <c r="U113" s="117" t="n">
        <v>305576</v>
      </c>
      <c r="V113" s="117" t="s">
        <v>1973</v>
      </c>
      <c r="X113" s="117" t="s">
        <v>2072</v>
      </c>
      <c r="Y113" s="117" t="s">
        <v>2073</v>
      </c>
      <c r="Z113" s="117" t="n">
        <v>1400004542</v>
      </c>
      <c r="AC113" s="117" t="s">
        <v>1976</v>
      </c>
      <c r="AD113" s="117" t="n">
        <v>310300</v>
      </c>
      <c r="AE113" s="117" t="s">
        <v>1969</v>
      </c>
      <c r="AF113" s="117" t="n">
        <v>101105</v>
      </c>
      <c r="AG113" s="117" t="s">
        <v>1977</v>
      </c>
      <c r="AI113" s="117" t="n">
        <v>101105</v>
      </c>
      <c r="AJ113" s="117" t="s">
        <v>1977</v>
      </c>
      <c r="AK113" s="117" t="n">
        <v>0</v>
      </c>
      <c r="AL113" s="117" t="n">
        <v>19</v>
      </c>
      <c r="AM113" s="117" t="s">
        <v>225</v>
      </c>
      <c r="AN113" s="117" t="s">
        <v>1978</v>
      </c>
      <c r="AP113" s="117" t="n">
        <v>100057905</v>
      </c>
      <c r="AQ113" s="118" t="n">
        <v>43677</v>
      </c>
      <c r="AR113" s="118" t="n">
        <v>43677</v>
      </c>
      <c r="AS113" s="117" t="n">
        <v>0.497395833333333</v>
      </c>
      <c r="AT113" s="117" t="n">
        <v>0</v>
      </c>
      <c r="AU113" s="117" t="n">
        <v>0</v>
      </c>
      <c r="AX113" s="117" t="n">
        <v>2</v>
      </c>
    </row>
    <row r="114" customFormat="false" ht="13.8" hidden="true" customHeight="false" outlineLevel="0" collapsed="false">
      <c r="A114" s="117" t="n">
        <v>1000</v>
      </c>
      <c r="B114" s="117" t="s">
        <v>1962</v>
      </c>
      <c r="C114" s="117" t="n">
        <v>100081965</v>
      </c>
      <c r="E114" s="117" t="s">
        <v>1921</v>
      </c>
      <c r="F114" s="117" t="n">
        <v>1109</v>
      </c>
      <c r="G114" s="117" t="n">
        <v>2019</v>
      </c>
      <c r="H114" s="117" t="n">
        <v>5</v>
      </c>
      <c r="I114" s="118" t="n">
        <v>43708</v>
      </c>
      <c r="J114" s="118" t="n">
        <v>43708</v>
      </c>
      <c r="K114" s="119" t="n">
        <v>120513.88</v>
      </c>
      <c r="L114" s="128" t="n">
        <f aca="false">K114-Q114+T114</f>
        <v>120513.88</v>
      </c>
      <c r="M114" s="117" t="s">
        <v>149</v>
      </c>
      <c r="N114" s="117" t="n">
        <v>120513.88</v>
      </c>
      <c r="O114" s="117" t="s">
        <v>149</v>
      </c>
      <c r="P114" s="117" t="n">
        <v>0</v>
      </c>
      <c r="Q114" s="117" t="n">
        <v>0</v>
      </c>
      <c r="R114" s="117" t="n">
        <v>120513.88</v>
      </c>
      <c r="S114" s="117" t="n">
        <v>0</v>
      </c>
      <c r="T114" s="117" t="n">
        <v>0</v>
      </c>
      <c r="U114" s="117" t="n">
        <v>304431</v>
      </c>
      <c r="V114" s="117" t="s">
        <v>2016</v>
      </c>
      <c r="X114" s="117" t="s">
        <v>946</v>
      </c>
      <c r="Z114" s="117" t="n">
        <v>2447</v>
      </c>
      <c r="AB114" s="117" t="s">
        <v>2052</v>
      </c>
      <c r="AD114" s="117" t="n">
        <v>110000</v>
      </c>
      <c r="AE114" s="117" t="s">
        <v>1966</v>
      </c>
      <c r="AF114" s="117" t="n">
        <v>110000</v>
      </c>
      <c r="AG114" s="117" t="s">
        <v>1966</v>
      </c>
      <c r="AI114" s="117" t="n">
        <v>110000</v>
      </c>
      <c r="AJ114" s="117" t="s">
        <v>1966</v>
      </c>
      <c r="AK114" s="117" t="n">
        <v>0</v>
      </c>
      <c r="AL114" s="117" t="n">
        <v>4</v>
      </c>
      <c r="AM114" s="117" t="s">
        <v>161</v>
      </c>
      <c r="AP114" s="117" t="n">
        <v>100141416</v>
      </c>
      <c r="AQ114" s="118" t="n">
        <v>43766</v>
      </c>
      <c r="AR114" s="118" t="n">
        <v>43710</v>
      </c>
      <c r="AS114" s="117" t="n">
        <v>0.27255787037037</v>
      </c>
      <c r="AT114" s="117" t="n">
        <v>0</v>
      </c>
      <c r="AU114" s="117" t="n">
        <v>0</v>
      </c>
      <c r="AX114" s="117" t="n">
        <v>2</v>
      </c>
    </row>
    <row r="115" customFormat="false" ht="13.8" hidden="true" customHeight="false" outlineLevel="0" collapsed="false">
      <c r="A115" s="117" t="n">
        <v>1000</v>
      </c>
      <c r="B115" s="117" t="s">
        <v>1962</v>
      </c>
      <c r="C115" s="117" t="n">
        <v>100078765</v>
      </c>
      <c r="E115" s="117" t="s">
        <v>1921</v>
      </c>
      <c r="F115" s="117" t="n">
        <v>1109</v>
      </c>
      <c r="G115" s="117" t="n">
        <v>2019</v>
      </c>
      <c r="H115" s="117" t="n">
        <v>5</v>
      </c>
      <c r="I115" s="118" t="n">
        <v>43706</v>
      </c>
      <c r="J115" s="118" t="n">
        <v>43706</v>
      </c>
      <c r="K115" s="119" t="n">
        <v>9129</v>
      </c>
      <c r="L115" s="128" t="n">
        <f aca="false">K115-Q115+T115</f>
        <v>9129</v>
      </c>
      <c r="M115" s="117" t="s">
        <v>149</v>
      </c>
      <c r="N115" s="117" t="n">
        <v>9129</v>
      </c>
      <c r="O115" s="117" t="s">
        <v>149</v>
      </c>
      <c r="P115" s="117" t="n">
        <v>0</v>
      </c>
      <c r="Q115" s="117" t="n">
        <v>0</v>
      </c>
      <c r="R115" s="117" t="n">
        <v>9129</v>
      </c>
      <c r="S115" s="117" t="n">
        <v>0</v>
      </c>
      <c r="T115" s="117" t="n">
        <v>0</v>
      </c>
      <c r="U115" s="117" t="n">
        <v>312193</v>
      </c>
      <c r="V115" s="117" t="s">
        <v>1963</v>
      </c>
      <c r="X115" s="117" t="s">
        <v>2074</v>
      </c>
      <c r="Z115" s="117" t="n">
        <v>2316</v>
      </c>
      <c r="AB115" s="117" t="s">
        <v>1965</v>
      </c>
      <c r="AD115" s="117" t="n">
        <v>110000</v>
      </c>
      <c r="AE115" s="117" t="s">
        <v>1966</v>
      </c>
      <c r="AF115" s="117" t="n">
        <v>110000</v>
      </c>
      <c r="AG115" s="117" t="s">
        <v>1966</v>
      </c>
      <c r="AI115" s="117" t="n">
        <v>110000</v>
      </c>
      <c r="AJ115" s="117" t="s">
        <v>1966</v>
      </c>
      <c r="AK115" s="117" t="n">
        <v>0</v>
      </c>
      <c r="AL115" s="117" t="n">
        <v>4</v>
      </c>
      <c r="AM115" s="117" t="s">
        <v>161</v>
      </c>
      <c r="AP115" s="117" t="n">
        <v>100173563</v>
      </c>
      <c r="AQ115" s="118" t="n">
        <v>43799</v>
      </c>
      <c r="AR115" s="118" t="n">
        <v>43706</v>
      </c>
      <c r="AS115" s="117" t="n">
        <v>0.702835648148148</v>
      </c>
      <c r="AT115" s="117" t="n">
        <v>0</v>
      </c>
      <c r="AU115" s="117" t="n">
        <v>0</v>
      </c>
      <c r="AX115" s="117" t="n">
        <v>1</v>
      </c>
    </row>
    <row r="116" customFormat="false" ht="13.8" hidden="true" customHeight="false" outlineLevel="0" collapsed="false">
      <c r="A116" s="117" t="n">
        <v>1000</v>
      </c>
      <c r="B116" s="117" t="s">
        <v>1962</v>
      </c>
      <c r="C116" s="117" t="n">
        <v>100081965</v>
      </c>
      <c r="E116" s="117" t="s">
        <v>1921</v>
      </c>
      <c r="F116" s="117" t="n">
        <v>1109</v>
      </c>
      <c r="G116" s="117" t="n">
        <v>2019</v>
      </c>
      <c r="H116" s="117" t="n">
        <v>5</v>
      </c>
      <c r="I116" s="118" t="n">
        <v>43708</v>
      </c>
      <c r="J116" s="118" t="n">
        <v>43708</v>
      </c>
      <c r="K116" s="119" t="n">
        <v>-606400</v>
      </c>
      <c r="L116" s="128" t="n">
        <f aca="false">K116-Q116+T116</f>
        <v>-606400</v>
      </c>
      <c r="M116" s="117" t="s">
        <v>149</v>
      </c>
      <c r="N116" s="117" t="n">
        <v>-606400</v>
      </c>
      <c r="O116" s="117" t="s">
        <v>149</v>
      </c>
      <c r="P116" s="117" t="n">
        <v>0</v>
      </c>
      <c r="Q116" s="117" t="n">
        <v>0</v>
      </c>
      <c r="R116" s="117" t="n">
        <v>-606400</v>
      </c>
      <c r="S116" s="117" t="n">
        <v>0</v>
      </c>
      <c r="T116" s="117" t="n">
        <v>0</v>
      </c>
      <c r="U116" s="117" t="n">
        <v>304431</v>
      </c>
      <c r="V116" s="117" t="s">
        <v>2016</v>
      </c>
      <c r="Z116" s="117" t="n">
        <v>100081965</v>
      </c>
      <c r="AD116" s="117" t="n">
        <v>110000</v>
      </c>
      <c r="AE116" s="117" t="s">
        <v>1966</v>
      </c>
      <c r="AF116" s="117" t="n">
        <v>110000</v>
      </c>
      <c r="AG116" s="117" t="s">
        <v>1966</v>
      </c>
      <c r="AI116" s="117" t="n">
        <v>110000</v>
      </c>
      <c r="AJ116" s="117" t="s">
        <v>1966</v>
      </c>
      <c r="AK116" s="117" t="n">
        <v>0</v>
      </c>
      <c r="AL116" s="117" t="n">
        <v>17</v>
      </c>
      <c r="AM116" s="117" t="s">
        <v>225</v>
      </c>
      <c r="AP116" s="117" t="n">
        <v>100081965</v>
      </c>
      <c r="AQ116" s="118" t="n">
        <v>43708</v>
      </c>
      <c r="AR116" s="118" t="n">
        <v>43710</v>
      </c>
      <c r="AS116" s="117" t="n">
        <v>0.27255787037037</v>
      </c>
      <c r="AT116" s="117" t="n">
        <v>0</v>
      </c>
      <c r="AU116" s="117" t="n">
        <v>0</v>
      </c>
      <c r="AX116" s="117" t="n">
        <v>4</v>
      </c>
    </row>
    <row r="117" customFormat="false" ht="13.8" hidden="true" customHeight="false" outlineLevel="0" collapsed="false">
      <c r="A117" s="117" t="n">
        <v>1000</v>
      </c>
      <c r="B117" s="117" t="s">
        <v>1962</v>
      </c>
      <c r="C117" s="117" t="n">
        <v>100058463</v>
      </c>
      <c r="E117" s="117" t="s">
        <v>1921</v>
      </c>
      <c r="F117" s="117" t="n">
        <v>1109</v>
      </c>
      <c r="G117" s="117" t="n">
        <v>2019</v>
      </c>
      <c r="H117" s="117" t="n">
        <v>4</v>
      </c>
      <c r="I117" s="118" t="n">
        <v>43677</v>
      </c>
      <c r="J117" s="118" t="n">
        <v>43677</v>
      </c>
      <c r="K117" s="119" t="n">
        <v>5838.06</v>
      </c>
      <c r="L117" s="128" t="n">
        <f aca="false">K117-Q117+T117</f>
        <v>5838.06</v>
      </c>
      <c r="M117" s="117" t="s">
        <v>149</v>
      </c>
      <c r="N117" s="117" t="n">
        <v>5838.06</v>
      </c>
      <c r="O117" s="117" t="s">
        <v>149</v>
      </c>
      <c r="P117" s="117" t="n">
        <v>0</v>
      </c>
      <c r="Q117" s="117" t="n">
        <v>0</v>
      </c>
      <c r="R117" s="117" t="n">
        <v>5838.06</v>
      </c>
      <c r="S117" s="117" t="n">
        <v>0</v>
      </c>
      <c r="T117" s="117" t="n">
        <v>0</v>
      </c>
      <c r="U117" s="117" t="n">
        <v>312193</v>
      </c>
      <c r="V117" s="117" t="s">
        <v>1963</v>
      </c>
      <c r="X117" s="117" t="s">
        <v>2075</v>
      </c>
      <c r="Z117" s="117" t="n">
        <v>2316</v>
      </c>
      <c r="AB117" s="117" t="s">
        <v>1965</v>
      </c>
      <c r="AD117" s="117" t="n">
        <v>110000</v>
      </c>
      <c r="AE117" s="117" t="s">
        <v>1966</v>
      </c>
      <c r="AF117" s="117" t="n">
        <v>110000</v>
      </c>
      <c r="AG117" s="117" t="s">
        <v>1966</v>
      </c>
      <c r="AI117" s="117" t="n">
        <v>110000</v>
      </c>
      <c r="AJ117" s="117" t="s">
        <v>1966</v>
      </c>
      <c r="AK117" s="117" t="n">
        <v>0</v>
      </c>
      <c r="AL117" s="117" t="n">
        <v>4</v>
      </c>
      <c r="AM117" s="117" t="s">
        <v>161</v>
      </c>
      <c r="AP117" s="117" t="n">
        <v>100173563</v>
      </c>
      <c r="AQ117" s="118" t="n">
        <v>43799</v>
      </c>
      <c r="AR117" s="118" t="n">
        <v>43678</v>
      </c>
      <c r="AS117" s="117" t="n">
        <v>0.576759259259259</v>
      </c>
      <c r="AT117" s="117" t="n">
        <v>0</v>
      </c>
      <c r="AU117" s="117" t="n">
        <v>0</v>
      </c>
      <c r="AX117" s="117" t="n">
        <v>3</v>
      </c>
    </row>
    <row r="118" s="106" customFormat="true" ht="13.8" hidden="true" customHeight="false" outlineLevel="0" collapsed="false">
      <c r="A118" s="106" t="n">
        <v>1000</v>
      </c>
      <c r="B118" s="106" t="s">
        <v>1962</v>
      </c>
      <c r="C118" s="106" t="n">
        <v>102088</v>
      </c>
      <c r="D118" s="106" t="s">
        <v>1130</v>
      </c>
      <c r="E118" s="106" t="s">
        <v>1970</v>
      </c>
      <c r="F118" s="106" t="n">
        <v>1109</v>
      </c>
      <c r="G118" s="106" t="n">
        <v>2019</v>
      </c>
      <c r="H118" s="106" t="n">
        <v>2</v>
      </c>
      <c r="I118" s="129" t="n">
        <v>43609</v>
      </c>
      <c r="J118" s="129" t="n">
        <v>43609</v>
      </c>
      <c r="K118" s="107" t="n">
        <v>125936.2</v>
      </c>
      <c r="L118" s="130" t="n">
        <f aca="false">K118-Q118+T118</f>
        <v>106725.6</v>
      </c>
      <c r="M118" s="106" t="s">
        <v>149</v>
      </c>
      <c r="N118" s="106" t="n">
        <v>125936.2</v>
      </c>
      <c r="O118" s="106" t="s">
        <v>149</v>
      </c>
      <c r="P118" s="106" t="n">
        <v>0</v>
      </c>
      <c r="Q118" s="107" t="n">
        <v>19210.6</v>
      </c>
      <c r="R118" s="106" t="n">
        <v>106725.6</v>
      </c>
      <c r="S118" s="106" t="n">
        <v>0</v>
      </c>
      <c r="T118" s="106" t="n">
        <v>0</v>
      </c>
      <c r="U118" s="106" t="n">
        <v>307259</v>
      </c>
      <c r="V118" s="106" t="s">
        <v>143</v>
      </c>
      <c r="Z118" s="106" t="n">
        <v>58619</v>
      </c>
      <c r="AB118" s="106" t="s">
        <v>2076</v>
      </c>
      <c r="AD118" s="106" t="n">
        <v>110000</v>
      </c>
      <c r="AE118" s="106" t="s">
        <v>1966</v>
      </c>
      <c r="AF118" s="106" t="n">
        <v>501005</v>
      </c>
      <c r="AG118" s="106" t="s">
        <v>2033</v>
      </c>
      <c r="AI118" s="106" t="n">
        <v>501005</v>
      </c>
      <c r="AJ118" s="106" t="s">
        <v>2033</v>
      </c>
      <c r="AK118" s="106" t="n">
        <v>0</v>
      </c>
      <c r="AL118" s="106" t="n">
        <v>1</v>
      </c>
      <c r="AM118" s="106" t="s">
        <v>161</v>
      </c>
      <c r="AP118" s="106" t="n">
        <v>100020125</v>
      </c>
      <c r="AQ118" s="129" t="n">
        <v>43611</v>
      </c>
      <c r="AR118" s="129" t="n">
        <v>43609</v>
      </c>
      <c r="AS118" s="106" t="n">
        <v>0.764027777777778</v>
      </c>
      <c r="AT118" s="106" t="n">
        <v>0</v>
      </c>
      <c r="AU118" s="106" t="n">
        <v>0</v>
      </c>
      <c r="AX118" s="106" t="n">
        <v>1</v>
      </c>
      <c r="ALU118" s="0"/>
      <c r="ALV118" s="0"/>
      <c r="ALW118" s="0"/>
      <c r="ALX118" s="0"/>
      <c r="ALY118" s="0"/>
      <c r="ALZ118" s="0"/>
      <c r="AMA118" s="0"/>
      <c r="AMB118" s="0"/>
      <c r="AMC118" s="0"/>
      <c r="AMD118" s="0"/>
      <c r="AME118" s="0"/>
      <c r="AMF118" s="0"/>
      <c r="AMG118" s="0"/>
      <c r="AMH118" s="0"/>
      <c r="AMI118" s="0"/>
      <c r="AMJ118" s="0"/>
    </row>
    <row r="119" customFormat="false" ht="13.8" hidden="true" customHeight="false" outlineLevel="0" collapsed="false">
      <c r="A119" s="117" t="n">
        <v>1000</v>
      </c>
      <c r="B119" s="117" t="s">
        <v>1962</v>
      </c>
      <c r="C119" s="117" t="n">
        <v>100123262</v>
      </c>
      <c r="E119" s="117" t="s">
        <v>1921</v>
      </c>
      <c r="F119" s="117" t="n">
        <v>1109</v>
      </c>
      <c r="G119" s="117" t="n">
        <v>2019</v>
      </c>
      <c r="H119" s="117" t="n">
        <v>6</v>
      </c>
      <c r="I119" s="118" t="n">
        <v>43738</v>
      </c>
      <c r="J119" s="118" t="n">
        <v>43738</v>
      </c>
      <c r="K119" s="119" t="n">
        <v>394545.42</v>
      </c>
      <c r="L119" s="128" t="n">
        <f aca="false">K119-Q119+T119</f>
        <v>394545.42</v>
      </c>
      <c r="M119" s="117" t="s">
        <v>149</v>
      </c>
      <c r="N119" s="117" t="n">
        <v>394545.42</v>
      </c>
      <c r="O119" s="117" t="s">
        <v>149</v>
      </c>
      <c r="P119" s="117" t="n">
        <v>0</v>
      </c>
      <c r="Q119" s="117" t="n">
        <v>0</v>
      </c>
      <c r="R119" s="117" t="n">
        <v>394545.42</v>
      </c>
      <c r="S119" s="117" t="n">
        <v>0</v>
      </c>
      <c r="T119" s="117" t="n">
        <v>0</v>
      </c>
      <c r="U119" s="117" t="n">
        <v>315113</v>
      </c>
      <c r="V119" s="117" t="s">
        <v>143</v>
      </c>
      <c r="X119" s="117" t="s">
        <v>2077</v>
      </c>
      <c r="Z119" s="117" t="n">
        <v>60728</v>
      </c>
      <c r="AB119" s="117" t="s">
        <v>2078</v>
      </c>
      <c r="AD119" s="117" t="n">
        <v>110000</v>
      </c>
      <c r="AE119" s="117" t="s">
        <v>1966</v>
      </c>
      <c r="AF119" s="117" t="n">
        <v>110000</v>
      </c>
      <c r="AG119" s="117" t="s">
        <v>1966</v>
      </c>
      <c r="AI119" s="117" t="n">
        <v>110000</v>
      </c>
      <c r="AJ119" s="117" t="s">
        <v>1966</v>
      </c>
      <c r="AK119" s="117" t="n">
        <v>0</v>
      </c>
      <c r="AL119" s="117" t="n">
        <v>4</v>
      </c>
      <c r="AM119" s="117" t="s">
        <v>161</v>
      </c>
      <c r="AR119" s="118" t="n">
        <v>43739</v>
      </c>
      <c r="AS119" s="117" t="n">
        <v>0.493657407407407</v>
      </c>
      <c r="AT119" s="117" t="n">
        <v>0</v>
      </c>
      <c r="AU119" s="117" t="n">
        <v>0</v>
      </c>
      <c r="AX119" s="117" t="n">
        <v>1</v>
      </c>
    </row>
    <row r="120" customFormat="false" ht="13.8" hidden="true" customHeight="false" outlineLevel="0" collapsed="false">
      <c r="A120" s="117" t="n">
        <v>1000</v>
      </c>
      <c r="B120" s="117" t="s">
        <v>1962</v>
      </c>
      <c r="C120" s="117" t="n">
        <v>100058213</v>
      </c>
      <c r="E120" s="117" t="s">
        <v>1921</v>
      </c>
      <c r="F120" s="117" t="n">
        <v>1108</v>
      </c>
      <c r="G120" s="117" t="n">
        <v>2019</v>
      </c>
      <c r="H120" s="117" t="n">
        <v>4</v>
      </c>
      <c r="I120" s="118" t="n">
        <v>43677</v>
      </c>
      <c r="J120" s="118" t="n">
        <v>43677</v>
      </c>
      <c r="K120" s="119" t="n">
        <v>329886.08</v>
      </c>
      <c r="L120" s="128" t="n">
        <f aca="false">K120-Q120+T120</f>
        <v>329886.08</v>
      </c>
      <c r="M120" s="117" t="s">
        <v>149</v>
      </c>
      <c r="N120" s="117" t="n">
        <v>329886.08</v>
      </c>
      <c r="O120" s="117" t="s">
        <v>149</v>
      </c>
      <c r="P120" s="117" t="n">
        <v>0</v>
      </c>
      <c r="Q120" s="117" t="n">
        <v>0</v>
      </c>
      <c r="R120" s="117" t="n">
        <v>329886.08</v>
      </c>
      <c r="S120" s="117" t="n">
        <v>0</v>
      </c>
      <c r="T120" s="117" t="n">
        <v>0</v>
      </c>
      <c r="U120" s="117" t="n">
        <v>312948</v>
      </c>
      <c r="V120" s="117" t="s">
        <v>1984</v>
      </c>
      <c r="X120" s="117" t="s">
        <v>2079</v>
      </c>
      <c r="Z120" s="117" t="n">
        <v>58353</v>
      </c>
      <c r="AB120" s="117" t="s">
        <v>2080</v>
      </c>
      <c r="AD120" s="117" t="n">
        <v>110000</v>
      </c>
      <c r="AE120" s="117" t="s">
        <v>1966</v>
      </c>
      <c r="AF120" s="117" t="n">
        <v>110000</v>
      </c>
      <c r="AG120" s="117" t="s">
        <v>1966</v>
      </c>
      <c r="AI120" s="117" t="n">
        <v>110000</v>
      </c>
      <c r="AJ120" s="117" t="s">
        <v>1966</v>
      </c>
      <c r="AK120" s="117" t="n">
        <v>0</v>
      </c>
      <c r="AL120" s="117" t="n">
        <v>4</v>
      </c>
      <c r="AM120" s="117" t="s">
        <v>161</v>
      </c>
      <c r="AP120" s="117" t="n">
        <v>100081995</v>
      </c>
      <c r="AQ120" s="118" t="n">
        <v>43708</v>
      </c>
      <c r="AR120" s="118" t="n">
        <v>43678</v>
      </c>
      <c r="AS120" s="117" t="n">
        <v>0.202280092592593</v>
      </c>
      <c r="AT120" s="117" t="n">
        <v>0</v>
      </c>
      <c r="AU120" s="117" t="n">
        <v>0</v>
      </c>
      <c r="AX120" s="117" t="n">
        <v>1</v>
      </c>
    </row>
    <row r="121" customFormat="false" ht="13.8" hidden="true" customHeight="false" outlineLevel="0" collapsed="false">
      <c r="A121" s="117" t="n">
        <v>1000</v>
      </c>
      <c r="B121" s="117" t="s">
        <v>1962</v>
      </c>
      <c r="C121" s="117" t="n">
        <v>100116355</v>
      </c>
      <c r="E121" s="117" t="s">
        <v>1921</v>
      </c>
      <c r="F121" s="117" t="n">
        <v>1109</v>
      </c>
      <c r="G121" s="117" t="n">
        <v>2019</v>
      </c>
      <c r="H121" s="117" t="n">
        <v>6</v>
      </c>
      <c r="I121" s="118" t="n">
        <v>43738</v>
      </c>
      <c r="J121" s="118" t="n">
        <v>43738</v>
      </c>
      <c r="K121" s="119" t="n">
        <v>623571</v>
      </c>
      <c r="L121" s="128" t="n">
        <f aca="false">K121-Q121+T121</f>
        <v>623571</v>
      </c>
      <c r="M121" s="117" t="s">
        <v>149</v>
      </c>
      <c r="N121" s="117" t="n">
        <v>623571</v>
      </c>
      <c r="O121" s="117" t="s">
        <v>149</v>
      </c>
      <c r="P121" s="117" t="n">
        <v>0</v>
      </c>
      <c r="Q121" s="117" t="n">
        <v>0</v>
      </c>
      <c r="R121" s="117" t="n">
        <v>623571</v>
      </c>
      <c r="S121" s="117" t="n">
        <v>0</v>
      </c>
      <c r="T121" s="117" t="n">
        <v>0</v>
      </c>
      <c r="U121" s="117" t="n">
        <v>312193</v>
      </c>
      <c r="V121" s="117" t="s">
        <v>1963</v>
      </c>
      <c r="X121" s="117" t="s">
        <v>2081</v>
      </c>
      <c r="Z121" s="117" t="n">
        <v>2316</v>
      </c>
      <c r="AB121" s="117" t="s">
        <v>1965</v>
      </c>
      <c r="AD121" s="117" t="n">
        <v>110000</v>
      </c>
      <c r="AE121" s="117" t="s">
        <v>1966</v>
      </c>
      <c r="AF121" s="117" t="n">
        <v>110000</v>
      </c>
      <c r="AG121" s="117" t="s">
        <v>1966</v>
      </c>
      <c r="AI121" s="117" t="n">
        <v>110000</v>
      </c>
      <c r="AJ121" s="117" t="s">
        <v>1966</v>
      </c>
      <c r="AK121" s="117" t="n">
        <v>0</v>
      </c>
      <c r="AL121" s="117" t="n">
        <v>4</v>
      </c>
      <c r="AM121" s="117" t="s">
        <v>161</v>
      </c>
      <c r="AP121" s="117" t="n">
        <v>100123318</v>
      </c>
      <c r="AQ121" s="118" t="n">
        <v>43738</v>
      </c>
      <c r="AR121" s="118" t="n">
        <v>43738</v>
      </c>
      <c r="AS121" s="117" t="n">
        <v>0.224525462962963</v>
      </c>
      <c r="AT121" s="117" t="n">
        <v>0</v>
      </c>
      <c r="AU121" s="117" t="n">
        <v>0</v>
      </c>
      <c r="AX121" s="117" t="n">
        <v>1</v>
      </c>
    </row>
    <row r="122" customFormat="false" ht="13.8" hidden="true" customHeight="false" outlineLevel="0" collapsed="false">
      <c r="A122" s="117" t="n">
        <v>1000</v>
      </c>
      <c r="B122" s="117" t="s">
        <v>1962</v>
      </c>
      <c r="C122" s="117" t="n">
        <v>100074926</v>
      </c>
      <c r="E122" s="117" t="s">
        <v>1921</v>
      </c>
      <c r="F122" s="117" t="n">
        <v>1109</v>
      </c>
      <c r="G122" s="117" t="n">
        <v>2019</v>
      </c>
      <c r="H122" s="117" t="n">
        <v>5</v>
      </c>
      <c r="I122" s="118" t="n">
        <v>43701</v>
      </c>
      <c r="J122" s="118" t="n">
        <v>43701</v>
      </c>
      <c r="K122" s="119" t="n">
        <v>22656</v>
      </c>
      <c r="L122" s="128" t="n">
        <f aca="false">K122-Q122+T122</f>
        <v>22656</v>
      </c>
      <c r="M122" s="117" t="s">
        <v>149</v>
      </c>
      <c r="N122" s="117" t="n">
        <v>22656</v>
      </c>
      <c r="O122" s="117" t="s">
        <v>149</v>
      </c>
      <c r="P122" s="117" t="n">
        <v>0</v>
      </c>
      <c r="Q122" s="117" t="n">
        <v>0</v>
      </c>
      <c r="R122" s="117" t="n">
        <v>22656</v>
      </c>
      <c r="S122" s="117" t="n">
        <v>0</v>
      </c>
      <c r="T122" s="117" t="n">
        <v>0</v>
      </c>
      <c r="U122" s="117" t="n">
        <v>304431</v>
      </c>
      <c r="V122" s="117" t="s">
        <v>2016</v>
      </c>
      <c r="X122" s="117" t="s">
        <v>1337</v>
      </c>
      <c r="Z122" s="117" t="n">
        <v>2417</v>
      </c>
      <c r="AB122" s="117" t="s">
        <v>2082</v>
      </c>
      <c r="AD122" s="117" t="n">
        <v>110000</v>
      </c>
      <c r="AE122" s="117" t="s">
        <v>1966</v>
      </c>
      <c r="AF122" s="117" t="n">
        <v>110000</v>
      </c>
      <c r="AG122" s="117" t="s">
        <v>1966</v>
      </c>
      <c r="AI122" s="117" t="n">
        <v>110000</v>
      </c>
      <c r="AJ122" s="117" t="s">
        <v>1966</v>
      </c>
      <c r="AK122" s="117" t="n">
        <v>0</v>
      </c>
      <c r="AL122" s="117" t="n">
        <v>4</v>
      </c>
      <c r="AM122" s="117" t="s">
        <v>161</v>
      </c>
      <c r="AP122" s="117" t="n">
        <v>100123327</v>
      </c>
      <c r="AQ122" s="118" t="n">
        <v>43738</v>
      </c>
      <c r="AR122" s="118" t="n">
        <v>43701</v>
      </c>
      <c r="AS122" s="117" t="n">
        <v>0.557800925925926</v>
      </c>
      <c r="AT122" s="117" t="n">
        <v>0</v>
      </c>
      <c r="AU122" s="117" t="n">
        <v>0</v>
      </c>
      <c r="AX122" s="117" t="n">
        <v>1</v>
      </c>
    </row>
    <row r="123" s="106" customFormat="true" ht="13.8" hidden="true" customHeight="false" outlineLevel="0" collapsed="false">
      <c r="A123" s="106" t="n">
        <v>1000</v>
      </c>
      <c r="B123" s="106" t="s">
        <v>1962</v>
      </c>
      <c r="C123" s="106" t="n">
        <v>103151</v>
      </c>
      <c r="D123" s="106" t="s">
        <v>1220</v>
      </c>
      <c r="E123" s="106" t="s">
        <v>1970</v>
      </c>
      <c r="F123" s="106" t="n">
        <v>1109</v>
      </c>
      <c r="G123" s="106" t="n">
        <v>2019</v>
      </c>
      <c r="H123" s="106" t="n">
        <v>3</v>
      </c>
      <c r="I123" s="129" t="n">
        <v>43630</v>
      </c>
      <c r="J123" s="129" t="n">
        <v>43630</v>
      </c>
      <c r="K123" s="107" t="n">
        <v>774670</v>
      </c>
      <c r="L123" s="130" t="n">
        <f aca="false">K123-Q123+T123</f>
        <v>656500</v>
      </c>
      <c r="M123" s="106" t="s">
        <v>149</v>
      </c>
      <c r="N123" s="106" t="n">
        <v>774670</v>
      </c>
      <c r="O123" s="106" t="s">
        <v>149</v>
      </c>
      <c r="P123" s="106" t="n">
        <v>0</v>
      </c>
      <c r="Q123" s="107" t="n">
        <v>118170</v>
      </c>
      <c r="R123" s="106" t="n">
        <v>656500</v>
      </c>
      <c r="S123" s="106" t="n">
        <v>0</v>
      </c>
      <c r="T123" s="106" t="n">
        <v>0</v>
      </c>
      <c r="U123" s="106" t="n">
        <v>305576</v>
      </c>
      <c r="V123" s="106" t="s">
        <v>1973</v>
      </c>
      <c r="Z123" s="106" t="n">
        <v>58627</v>
      </c>
      <c r="AB123" s="106" t="s">
        <v>2083</v>
      </c>
      <c r="AD123" s="106" t="n">
        <v>110000</v>
      </c>
      <c r="AE123" s="106" t="s">
        <v>1966</v>
      </c>
      <c r="AF123" s="106" t="n">
        <v>501005</v>
      </c>
      <c r="AG123" s="106" t="s">
        <v>2033</v>
      </c>
      <c r="AI123" s="106" t="n">
        <v>501005</v>
      </c>
      <c r="AJ123" s="106" t="s">
        <v>2033</v>
      </c>
      <c r="AK123" s="106" t="n">
        <v>0</v>
      </c>
      <c r="AL123" s="106" t="n">
        <v>1</v>
      </c>
      <c r="AM123" s="106" t="s">
        <v>161</v>
      </c>
      <c r="AP123" s="106" t="n">
        <v>100039078</v>
      </c>
      <c r="AQ123" s="129" t="n">
        <v>43644</v>
      </c>
      <c r="AR123" s="129" t="n">
        <v>43630</v>
      </c>
      <c r="AS123" s="106" t="n">
        <v>0.631423611111111</v>
      </c>
      <c r="AT123" s="106" t="n">
        <v>0</v>
      </c>
      <c r="AU123" s="106" t="n">
        <v>0</v>
      </c>
      <c r="AX123" s="106" t="n">
        <v>1</v>
      </c>
      <c r="ALU123" s="0"/>
      <c r="ALV123" s="0"/>
      <c r="ALW123" s="0"/>
      <c r="ALX123" s="0"/>
      <c r="ALY123" s="0"/>
      <c r="ALZ123" s="0"/>
      <c r="AMA123" s="0"/>
      <c r="AMB123" s="0"/>
      <c r="AMC123" s="0"/>
      <c r="AMD123" s="0"/>
      <c r="AME123" s="0"/>
      <c r="AMF123" s="0"/>
      <c r="AMG123" s="0"/>
      <c r="AMH123" s="0"/>
      <c r="AMI123" s="0"/>
      <c r="AMJ123" s="0"/>
    </row>
    <row r="124" customFormat="false" ht="13.8" hidden="true" customHeight="false" outlineLevel="0" collapsed="false">
      <c r="A124" s="117" t="n">
        <v>1000</v>
      </c>
      <c r="B124" s="117" t="s">
        <v>1962</v>
      </c>
      <c r="C124" s="117" t="n">
        <v>100081967</v>
      </c>
      <c r="E124" s="117" t="s">
        <v>1921</v>
      </c>
      <c r="F124" s="117" t="n">
        <v>1109</v>
      </c>
      <c r="G124" s="117" t="n">
        <v>2019</v>
      </c>
      <c r="H124" s="117" t="n">
        <v>5</v>
      </c>
      <c r="I124" s="118" t="n">
        <v>43708</v>
      </c>
      <c r="J124" s="118" t="n">
        <v>43708</v>
      </c>
      <c r="K124" s="119" t="n">
        <v>-4249829</v>
      </c>
      <c r="L124" s="128" t="n">
        <f aca="false">K124-Q124+T124</f>
        <v>-4249829</v>
      </c>
      <c r="M124" s="117" t="s">
        <v>149</v>
      </c>
      <c r="N124" s="117" t="n">
        <v>-4249829</v>
      </c>
      <c r="O124" s="117" t="s">
        <v>149</v>
      </c>
      <c r="P124" s="117" t="n">
        <v>0</v>
      </c>
      <c r="Q124" s="117" t="n">
        <v>0</v>
      </c>
      <c r="R124" s="117" t="n">
        <v>-4249829</v>
      </c>
      <c r="S124" s="117" t="n">
        <v>0</v>
      </c>
      <c r="T124" s="117" t="n">
        <v>0</v>
      </c>
      <c r="U124" s="117" t="n">
        <v>305576</v>
      </c>
      <c r="V124" s="117" t="s">
        <v>1973</v>
      </c>
      <c r="Z124" s="117" t="n">
        <v>100081967</v>
      </c>
      <c r="AD124" s="117" t="n">
        <v>110000</v>
      </c>
      <c r="AE124" s="117" t="s">
        <v>1966</v>
      </c>
      <c r="AF124" s="117" t="n">
        <v>110000</v>
      </c>
      <c r="AG124" s="117" t="s">
        <v>1966</v>
      </c>
      <c r="AI124" s="117" t="n">
        <v>110000</v>
      </c>
      <c r="AJ124" s="117" t="s">
        <v>1966</v>
      </c>
      <c r="AK124" s="117" t="n">
        <v>0</v>
      </c>
      <c r="AL124" s="117" t="n">
        <v>17</v>
      </c>
      <c r="AM124" s="117" t="s">
        <v>225</v>
      </c>
      <c r="AP124" s="117" t="n">
        <v>100081967</v>
      </c>
      <c r="AQ124" s="118" t="n">
        <v>43708</v>
      </c>
      <c r="AR124" s="118" t="n">
        <v>43710</v>
      </c>
      <c r="AS124" s="117" t="n">
        <v>0.276030092592593</v>
      </c>
      <c r="AT124" s="117" t="n">
        <v>0</v>
      </c>
      <c r="AU124" s="117" t="n">
        <v>0</v>
      </c>
      <c r="AX124" s="117" t="n">
        <v>3</v>
      </c>
    </row>
    <row r="125" customFormat="false" ht="13.8" hidden="true" customHeight="false" outlineLevel="0" collapsed="false">
      <c r="A125" s="117" t="n">
        <v>1000</v>
      </c>
      <c r="B125" s="117" t="s">
        <v>1962</v>
      </c>
      <c r="C125" s="117" t="n">
        <v>100057890</v>
      </c>
      <c r="E125" s="117" t="s">
        <v>1921</v>
      </c>
      <c r="F125" s="117" t="n">
        <v>1108</v>
      </c>
      <c r="G125" s="117" t="n">
        <v>2019</v>
      </c>
      <c r="H125" s="117" t="n">
        <v>4</v>
      </c>
      <c r="I125" s="118" t="n">
        <v>43677</v>
      </c>
      <c r="J125" s="118" t="n">
        <v>43677</v>
      </c>
      <c r="K125" s="119" t="n">
        <v>-542372.84</v>
      </c>
      <c r="L125" s="128" t="n">
        <f aca="false">K125-Q125+T125</f>
        <v>-542372.84</v>
      </c>
      <c r="M125" s="117" t="s">
        <v>149</v>
      </c>
      <c r="N125" s="117" t="n">
        <v>-542372.84</v>
      </c>
      <c r="O125" s="117" t="s">
        <v>149</v>
      </c>
      <c r="P125" s="117" t="n">
        <v>0</v>
      </c>
      <c r="Q125" s="117" t="n">
        <v>0</v>
      </c>
      <c r="R125" s="117" t="n">
        <v>-542372.84</v>
      </c>
      <c r="S125" s="117" t="n">
        <v>0</v>
      </c>
      <c r="T125" s="117" t="n">
        <v>0</v>
      </c>
      <c r="U125" s="117" t="n">
        <v>312193</v>
      </c>
      <c r="V125" s="117" t="s">
        <v>1963</v>
      </c>
      <c r="Z125" s="117" t="n">
        <v>100057890</v>
      </c>
      <c r="AD125" s="117" t="n">
        <v>110000</v>
      </c>
      <c r="AE125" s="117" t="s">
        <v>1966</v>
      </c>
      <c r="AF125" s="117" t="n">
        <v>110000</v>
      </c>
      <c r="AG125" s="117" t="s">
        <v>1966</v>
      </c>
      <c r="AI125" s="117" t="n">
        <v>110000</v>
      </c>
      <c r="AJ125" s="117" t="s">
        <v>1966</v>
      </c>
      <c r="AK125" s="117" t="n">
        <v>0</v>
      </c>
      <c r="AL125" s="117" t="n">
        <v>17</v>
      </c>
      <c r="AM125" s="117" t="s">
        <v>225</v>
      </c>
      <c r="AP125" s="117" t="n">
        <v>100057890</v>
      </c>
      <c r="AQ125" s="118" t="n">
        <v>43677</v>
      </c>
      <c r="AR125" s="118" t="n">
        <v>43677</v>
      </c>
      <c r="AS125" s="117" t="n">
        <v>0.622083333333333</v>
      </c>
      <c r="AT125" s="117" t="n">
        <v>0</v>
      </c>
      <c r="AU125" s="117" t="n">
        <v>0</v>
      </c>
      <c r="AX125" s="117" t="n">
        <v>6</v>
      </c>
    </row>
    <row r="126" customFormat="false" ht="13.8" hidden="true" customHeight="false" outlineLevel="0" collapsed="false">
      <c r="A126" s="117" t="n">
        <v>1000</v>
      </c>
      <c r="B126" s="117" t="s">
        <v>1962</v>
      </c>
      <c r="C126" s="117" t="n">
        <v>100055942</v>
      </c>
      <c r="E126" s="117" t="s">
        <v>1921</v>
      </c>
      <c r="F126" s="117" t="n">
        <v>1109</v>
      </c>
      <c r="G126" s="117" t="n">
        <v>2019</v>
      </c>
      <c r="H126" s="117" t="n">
        <v>4</v>
      </c>
      <c r="I126" s="118" t="n">
        <v>43671</v>
      </c>
      <c r="J126" s="118" t="n">
        <v>43671</v>
      </c>
      <c r="K126" s="119" t="n">
        <v>-254204.56</v>
      </c>
      <c r="L126" s="128" t="n">
        <f aca="false">K126-Q126+T126</f>
        <v>-254204.56</v>
      </c>
      <c r="M126" s="117" t="s">
        <v>149</v>
      </c>
      <c r="N126" s="117" t="n">
        <v>-254204.56</v>
      </c>
      <c r="O126" s="117" t="s">
        <v>149</v>
      </c>
      <c r="P126" s="117" t="n">
        <v>0</v>
      </c>
      <c r="Q126" s="117" t="n">
        <v>0</v>
      </c>
      <c r="R126" s="117" t="n">
        <v>-254204.56</v>
      </c>
      <c r="S126" s="117" t="n">
        <v>0</v>
      </c>
      <c r="T126" s="117" t="n">
        <v>0</v>
      </c>
      <c r="U126" s="117" t="n">
        <v>307259</v>
      </c>
      <c r="V126" s="117" t="s">
        <v>143</v>
      </c>
      <c r="Z126" s="117" t="n">
        <v>100055942</v>
      </c>
      <c r="AD126" s="117" t="n">
        <v>110000</v>
      </c>
      <c r="AE126" s="117" t="s">
        <v>1966</v>
      </c>
      <c r="AF126" s="117" t="n">
        <v>110000</v>
      </c>
      <c r="AG126" s="117" t="s">
        <v>1966</v>
      </c>
      <c r="AI126" s="117" t="n">
        <v>110000</v>
      </c>
      <c r="AJ126" s="117" t="s">
        <v>1966</v>
      </c>
      <c r="AK126" s="117" t="n">
        <v>0</v>
      </c>
      <c r="AL126" s="117" t="n">
        <v>17</v>
      </c>
      <c r="AM126" s="117" t="s">
        <v>225</v>
      </c>
      <c r="AP126" s="117" t="n">
        <v>100055942</v>
      </c>
      <c r="AQ126" s="118" t="n">
        <v>43671</v>
      </c>
      <c r="AR126" s="118" t="n">
        <v>43671</v>
      </c>
      <c r="AS126" s="117" t="n">
        <v>0.640706018518519</v>
      </c>
      <c r="AT126" s="117" t="n">
        <v>0</v>
      </c>
      <c r="AU126" s="117" t="n">
        <v>0</v>
      </c>
      <c r="AX126" s="117" t="n">
        <v>2</v>
      </c>
    </row>
    <row r="127" customFormat="false" ht="13.8" hidden="true" customHeight="false" outlineLevel="0" collapsed="false">
      <c r="A127" s="117" t="n">
        <v>1000</v>
      </c>
      <c r="B127" s="117" t="s">
        <v>1962</v>
      </c>
      <c r="C127" s="117" t="n">
        <v>100058463</v>
      </c>
      <c r="E127" s="117" t="s">
        <v>1921</v>
      </c>
      <c r="F127" s="117" t="n">
        <v>1101</v>
      </c>
      <c r="G127" s="117" t="n">
        <v>2019</v>
      </c>
      <c r="H127" s="117" t="n">
        <v>4</v>
      </c>
      <c r="I127" s="118" t="n">
        <v>43677</v>
      </c>
      <c r="J127" s="118" t="n">
        <v>43677</v>
      </c>
      <c r="K127" s="119" t="n">
        <v>1618949.46</v>
      </c>
      <c r="L127" s="128" t="n">
        <f aca="false">K127-Q127+T127</f>
        <v>1618949.46</v>
      </c>
      <c r="M127" s="117" t="s">
        <v>149</v>
      </c>
      <c r="N127" s="117" t="n">
        <v>1618949.46</v>
      </c>
      <c r="O127" s="117" t="s">
        <v>149</v>
      </c>
      <c r="P127" s="117" t="n">
        <v>0</v>
      </c>
      <c r="Q127" s="117" t="n">
        <v>0</v>
      </c>
      <c r="R127" s="117" t="n">
        <v>1618949.46</v>
      </c>
      <c r="S127" s="117" t="n">
        <v>0</v>
      </c>
      <c r="T127" s="117" t="n">
        <v>0</v>
      </c>
      <c r="U127" s="117" t="n">
        <v>312193</v>
      </c>
      <c r="V127" s="117" t="s">
        <v>1963</v>
      </c>
      <c r="Z127" s="117" t="n">
        <v>100058463</v>
      </c>
      <c r="AD127" s="117" t="n">
        <v>310300</v>
      </c>
      <c r="AE127" s="117" t="s">
        <v>1969</v>
      </c>
      <c r="AF127" s="117" t="n">
        <v>110000</v>
      </c>
      <c r="AG127" s="117" t="s">
        <v>1966</v>
      </c>
      <c r="AI127" s="117" t="n">
        <v>110000</v>
      </c>
      <c r="AJ127" s="117" t="s">
        <v>1966</v>
      </c>
      <c r="AK127" s="117" t="n">
        <v>0</v>
      </c>
      <c r="AL127" s="117" t="n">
        <v>9</v>
      </c>
      <c r="AM127" s="117" t="s">
        <v>161</v>
      </c>
      <c r="AN127" s="117" t="s">
        <v>1978</v>
      </c>
      <c r="AP127" s="117" t="n">
        <v>100058463</v>
      </c>
      <c r="AQ127" s="118" t="n">
        <v>43677</v>
      </c>
      <c r="AR127" s="118" t="n">
        <v>43678</v>
      </c>
      <c r="AS127" s="117" t="n">
        <v>0.576759259259259</v>
      </c>
      <c r="AT127" s="117" t="n">
        <v>0</v>
      </c>
      <c r="AU127" s="117" t="n">
        <v>0</v>
      </c>
      <c r="AX127" s="117" t="n">
        <v>6</v>
      </c>
    </row>
    <row r="128" customFormat="false" ht="13.8" hidden="true" customHeight="false" outlineLevel="0" collapsed="false">
      <c r="A128" s="117" t="n">
        <v>1000</v>
      </c>
      <c r="B128" s="117" t="s">
        <v>1962</v>
      </c>
      <c r="C128" s="117" t="n">
        <v>100078765</v>
      </c>
      <c r="E128" s="117" t="s">
        <v>1921</v>
      </c>
      <c r="F128" s="117" t="n">
        <v>1109</v>
      </c>
      <c r="G128" s="117" t="n">
        <v>2019</v>
      </c>
      <c r="H128" s="117" t="n">
        <v>5</v>
      </c>
      <c r="I128" s="118" t="n">
        <v>43706</v>
      </c>
      <c r="J128" s="118" t="n">
        <v>43706</v>
      </c>
      <c r="K128" s="119" t="n">
        <v>7295</v>
      </c>
      <c r="L128" s="128" t="n">
        <f aca="false">K128-Q128+T128</f>
        <v>7295</v>
      </c>
      <c r="M128" s="117" t="s">
        <v>149</v>
      </c>
      <c r="N128" s="117" t="n">
        <v>7295</v>
      </c>
      <c r="O128" s="117" t="s">
        <v>149</v>
      </c>
      <c r="P128" s="117" t="n">
        <v>0</v>
      </c>
      <c r="Q128" s="117" t="n">
        <v>0</v>
      </c>
      <c r="R128" s="117" t="n">
        <v>7295</v>
      </c>
      <c r="S128" s="117" t="n">
        <v>0</v>
      </c>
      <c r="T128" s="117" t="n">
        <v>0</v>
      </c>
      <c r="U128" s="117" t="n">
        <v>312193</v>
      </c>
      <c r="V128" s="117" t="s">
        <v>1963</v>
      </c>
      <c r="X128" s="117" t="s">
        <v>2084</v>
      </c>
      <c r="Z128" s="117" t="n">
        <v>2316</v>
      </c>
      <c r="AB128" s="117" t="s">
        <v>1965</v>
      </c>
      <c r="AD128" s="117" t="n">
        <v>110000</v>
      </c>
      <c r="AE128" s="117" t="s">
        <v>1966</v>
      </c>
      <c r="AF128" s="117" t="n">
        <v>110000</v>
      </c>
      <c r="AG128" s="117" t="s">
        <v>1966</v>
      </c>
      <c r="AI128" s="117" t="n">
        <v>110000</v>
      </c>
      <c r="AJ128" s="117" t="s">
        <v>1966</v>
      </c>
      <c r="AK128" s="117" t="n">
        <v>0</v>
      </c>
      <c r="AL128" s="117" t="n">
        <v>4</v>
      </c>
      <c r="AM128" s="117" t="s">
        <v>161</v>
      </c>
      <c r="AP128" s="117" t="n">
        <v>100173563</v>
      </c>
      <c r="AQ128" s="118" t="n">
        <v>43799</v>
      </c>
      <c r="AR128" s="118" t="n">
        <v>43706</v>
      </c>
      <c r="AS128" s="117" t="n">
        <v>0.702835648148148</v>
      </c>
      <c r="AT128" s="117" t="n">
        <v>0</v>
      </c>
      <c r="AU128" s="117" t="n">
        <v>0</v>
      </c>
      <c r="AX128" s="117" t="n">
        <v>3</v>
      </c>
    </row>
    <row r="129" customFormat="false" ht="13.8" hidden="true" customHeight="false" outlineLevel="0" collapsed="false">
      <c r="A129" s="117" t="n">
        <v>1000</v>
      </c>
      <c r="B129" s="117" t="s">
        <v>1962</v>
      </c>
      <c r="C129" s="117" t="n">
        <v>100082045</v>
      </c>
      <c r="E129" s="117" t="s">
        <v>1921</v>
      </c>
      <c r="F129" s="117" t="n">
        <v>1101</v>
      </c>
      <c r="G129" s="117" t="n">
        <v>2019</v>
      </c>
      <c r="H129" s="117" t="n">
        <v>5</v>
      </c>
      <c r="I129" s="118" t="n">
        <v>43708</v>
      </c>
      <c r="J129" s="118" t="n">
        <v>43708</v>
      </c>
      <c r="K129" s="119" t="n">
        <v>25683</v>
      </c>
      <c r="L129" s="128" t="n">
        <f aca="false">K129-Q129+T129</f>
        <v>25683</v>
      </c>
      <c r="M129" s="117" t="s">
        <v>149</v>
      </c>
      <c r="N129" s="117" t="n">
        <v>25683</v>
      </c>
      <c r="O129" s="117" t="s">
        <v>149</v>
      </c>
      <c r="P129" s="117" t="n">
        <v>0</v>
      </c>
      <c r="Q129" s="117" t="n">
        <v>0</v>
      </c>
      <c r="R129" s="117" t="n">
        <v>25683</v>
      </c>
      <c r="S129" s="117" t="n">
        <v>0</v>
      </c>
      <c r="T129" s="117" t="n">
        <v>0</v>
      </c>
      <c r="U129" s="117" t="n">
        <v>318999</v>
      </c>
      <c r="V129" s="117" t="s">
        <v>143</v>
      </c>
      <c r="X129" s="117" t="s">
        <v>2085</v>
      </c>
      <c r="Z129" s="117" t="n">
        <v>2388</v>
      </c>
      <c r="AB129" s="117" t="s">
        <v>2019</v>
      </c>
      <c r="AD129" s="117" t="n">
        <v>110000</v>
      </c>
      <c r="AE129" s="117" t="s">
        <v>1966</v>
      </c>
      <c r="AF129" s="117" t="n">
        <v>110000</v>
      </c>
      <c r="AG129" s="117" t="s">
        <v>1966</v>
      </c>
      <c r="AI129" s="117" t="n">
        <v>110000</v>
      </c>
      <c r="AJ129" s="117" t="s">
        <v>1966</v>
      </c>
      <c r="AK129" s="117" t="n">
        <v>0</v>
      </c>
      <c r="AL129" s="117" t="n">
        <v>4</v>
      </c>
      <c r="AM129" s="117" t="s">
        <v>161</v>
      </c>
      <c r="AP129" s="117" t="n">
        <v>100173605</v>
      </c>
      <c r="AQ129" s="118" t="n">
        <v>43799</v>
      </c>
      <c r="AR129" s="118" t="n">
        <v>43710</v>
      </c>
      <c r="AS129" s="117" t="n">
        <v>0.352673611111111</v>
      </c>
      <c r="AT129" s="117" t="n">
        <v>0</v>
      </c>
      <c r="AU129" s="117" t="n">
        <v>0</v>
      </c>
      <c r="AX129" s="117" t="n">
        <v>2</v>
      </c>
    </row>
    <row r="130" customFormat="false" ht="13.8" hidden="true" customHeight="false" outlineLevel="0" collapsed="false">
      <c r="A130" s="117" t="n">
        <v>1000</v>
      </c>
      <c r="B130" s="117" t="s">
        <v>1962</v>
      </c>
      <c r="C130" s="117" t="n">
        <v>100057912</v>
      </c>
      <c r="E130" s="117" t="s">
        <v>1921</v>
      </c>
      <c r="F130" s="117" t="n">
        <v>1101</v>
      </c>
      <c r="G130" s="117" t="n">
        <v>2019</v>
      </c>
      <c r="H130" s="117" t="n">
        <v>4</v>
      </c>
      <c r="I130" s="118" t="n">
        <v>43677</v>
      </c>
      <c r="J130" s="118" t="n">
        <v>43677</v>
      </c>
      <c r="K130" s="119" t="n">
        <v>482495.01</v>
      </c>
      <c r="L130" s="128" t="n">
        <f aca="false">K130-Q130+T130</f>
        <v>482495.01</v>
      </c>
      <c r="M130" s="117" t="s">
        <v>149</v>
      </c>
      <c r="N130" s="117" t="n">
        <v>482495.01</v>
      </c>
      <c r="O130" s="117" t="s">
        <v>149</v>
      </c>
      <c r="P130" s="117" t="n">
        <v>0</v>
      </c>
      <c r="Q130" s="117" t="n">
        <v>0</v>
      </c>
      <c r="R130" s="117" t="n">
        <v>482495.01</v>
      </c>
      <c r="S130" s="117" t="n">
        <v>0</v>
      </c>
      <c r="T130" s="117" t="n">
        <v>0</v>
      </c>
      <c r="U130" s="117" t="n">
        <v>318999</v>
      </c>
      <c r="V130" s="117" t="s">
        <v>143</v>
      </c>
      <c r="X130" s="117" t="s">
        <v>2047</v>
      </c>
      <c r="Z130" s="117" t="n">
        <v>100057912</v>
      </c>
      <c r="AD130" s="117" t="n">
        <v>110000</v>
      </c>
      <c r="AE130" s="117" t="s">
        <v>1966</v>
      </c>
      <c r="AF130" s="117" t="n">
        <v>110000</v>
      </c>
      <c r="AG130" s="117" t="s">
        <v>1966</v>
      </c>
      <c r="AI130" s="117" t="n">
        <v>110000</v>
      </c>
      <c r="AJ130" s="117" t="s">
        <v>1966</v>
      </c>
      <c r="AK130" s="117" t="n">
        <v>0</v>
      </c>
      <c r="AL130" s="117" t="n">
        <v>4</v>
      </c>
      <c r="AM130" s="117" t="s">
        <v>161</v>
      </c>
      <c r="AP130" s="117" t="n">
        <v>100082045</v>
      </c>
      <c r="AQ130" s="118" t="n">
        <v>43708</v>
      </c>
      <c r="AR130" s="118" t="n">
        <v>43677</v>
      </c>
      <c r="AS130" s="117" t="n">
        <v>0.699490740740741</v>
      </c>
      <c r="AT130" s="117" t="n">
        <v>0</v>
      </c>
      <c r="AU130" s="117" t="n">
        <v>0</v>
      </c>
      <c r="AX130" s="117" t="n">
        <v>6</v>
      </c>
    </row>
    <row r="131" customFormat="false" ht="13.8" hidden="true" customHeight="false" outlineLevel="0" collapsed="false">
      <c r="A131" s="117" t="n">
        <v>1000</v>
      </c>
      <c r="B131" s="117" t="s">
        <v>1962</v>
      </c>
      <c r="C131" s="117" t="n">
        <v>100123318</v>
      </c>
      <c r="E131" s="117" t="s">
        <v>1921</v>
      </c>
      <c r="F131" s="117" t="n">
        <v>1109</v>
      </c>
      <c r="G131" s="117" t="n">
        <v>2019</v>
      </c>
      <c r="H131" s="117" t="n">
        <v>6</v>
      </c>
      <c r="I131" s="118" t="n">
        <v>43738</v>
      </c>
      <c r="J131" s="118" t="n">
        <v>43738</v>
      </c>
      <c r="K131" s="119" t="n">
        <v>5678</v>
      </c>
      <c r="L131" s="128" t="n">
        <f aca="false">K131-Q131+T131</f>
        <v>5678</v>
      </c>
      <c r="M131" s="117" t="s">
        <v>149</v>
      </c>
      <c r="N131" s="117" t="n">
        <v>5678</v>
      </c>
      <c r="O131" s="117" t="s">
        <v>149</v>
      </c>
      <c r="P131" s="117" t="n">
        <v>0</v>
      </c>
      <c r="Q131" s="117" t="n">
        <v>0</v>
      </c>
      <c r="R131" s="117" t="n">
        <v>5678</v>
      </c>
      <c r="S131" s="117" t="n">
        <v>0</v>
      </c>
      <c r="T131" s="117" t="n">
        <v>0</v>
      </c>
      <c r="U131" s="117" t="n">
        <v>312193</v>
      </c>
      <c r="V131" s="117" t="s">
        <v>1963</v>
      </c>
      <c r="X131" s="117" t="s">
        <v>2086</v>
      </c>
      <c r="Z131" s="117" t="n">
        <v>2316</v>
      </c>
      <c r="AB131" s="117" t="s">
        <v>1965</v>
      </c>
      <c r="AD131" s="117" t="n">
        <v>110000</v>
      </c>
      <c r="AE131" s="117" t="s">
        <v>1966</v>
      </c>
      <c r="AF131" s="117" t="n">
        <v>110000</v>
      </c>
      <c r="AG131" s="117" t="s">
        <v>1966</v>
      </c>
      <c r="AI131" s="117" t="n">
        <v>110000</v>
      </c>
      <c r="AJ131" s="117" t="s">
        <v>1966</v>
      </c>
      <c r="AK131" s="117" t="n">
        <v>0</v>
      </c>
      <c r="AL131" s="117" t="n">
        <v>4</v>
      </c>
      <c r="AM131" s="117" t="s">
        <v>161</v>
      </c>
      <c r="AR131" s="118" t="n">
        <v>43739</v>
      </c>
      <c r="AS131" s="117" t="n">
        <v>0.584733796296296</v>
      </c>
      <c r="AT131" s="117" t="n">
        <v>0</v>
      </c>
      <c r="AU131" s="117" t="n">
        <v>0</v>
      </c>
      <c r="AX131" s="117" t="n">
        <v>3</v>
      </c>
    </row>
    <row r="132" customFormat="false" ht="13.8" hidden="true" customHeight="false" outlineLevel="0" collapsed="false">
      <c r="A132" s="117" t="n">
        <v>1000</v>
      </c>
      <c r="B132" s="117" t="s">
        <v>1962</v>
      </c>
      <c r="C132" s="117" t="n">
        <v>1600000180</v>
      </c>
      <c r="D132" s="117" t="s">
        <v>1991</v>
      </c>
      <c r="E132" s="117" t="s">
        <v>1987</v>
      </c>
      <c r="F132" s="117" t="n">
        <v>1106</v>
      </c>
      <c r="G132" s="117" t="n">
        <v>2019</v>
      </c>
      <c r="H132" s="117" t="n">
        <v>5</v>
      </c>
      <c r="I132" s="118" t="n">
        <v>43706</v>
      </c>
      <c r="J132" s="118" t="n">
        <v>43706</v>
      </c>
      <c r="K132" s="119" t="n">
        <v>303810.6</v>
      </c>
      <c r="L132" s="128" t="n">
        <f aca="false">K132-Q132+T132</f>
        <v>303810.6</v>
      </c>
      <c r="M132" s="117" t="s">
        <v>149</v>
      </c>
      <c r="N132" s="117" t="n">
        <v>303810.6</v>
      </c>
      <c r="O132" s="117" t="s">
        <v>149</v>
      </c>
      <c r="P132" s="117" t="n">
        <v>303810.6</v>
      </c>
      <c r="Q132" s="117" t="n">
        <v>0</v>
      </c>
      <c r="R132" s="117" t="n">
        <v>303810.6</v>
      </c>
      <c r="S132" s="117" t="n">
        <v>0</v>
      </c>
      <c r="T132" s="117" t="n">
        <v>0</v>
      </c>
      <c r="U132" s="117" t="n">
        <v>309085</v>
      </c>
      <c r="V132" s="117" t="s">
        <v>2001</v>
      </c>
      <c r="X132" s="117" t="s">
        <v>2051</v>
      </c>
      <c r="Y132" s="117" t="s">
        <v>2000</v>
      </c>
      <c r="Z132" s="117" t="n">
        <v>1600000180</v>
      </c>
      <c r="AD132" s="117" t="n">
        <v>110000</v>
      </c>
      <c r="AE132" s="117" t="s">
        <v>1966</v>
      </c>
      <c r="AF132" s="117" t="n">
        <v>312193</v>
      </c>
      <c r="AG132" s="117" t="s">
        <v>1963</v>
      </c>
      <c r="AI132" s="117" t="n">
        <v>312193</v>
      </c>
      <c r="AJ132" s="131" t="s">
        <v>1963</v>
      </c>
      <c r="AK132" s="117" t="n">
        <v>0</v>
      </c>
      <c r="AL132" s="117" t="n">
        <v>4</v>
      </c>
      <c r="AM132" s="117" t="s">
        <v>161</v>
      </c>
      <c r="AP132" s="117" t="n">
        <v>100081978</v>
      </c>
      <c r="AQ132" s="118" t="n">
        <v>43708</v>
      </c>
      <c r="AR132" s="118" t="n">
        <v>43706</v>
      </c>
      <c r="AS132" s="117" t="n">
        <v>0.46318287037037</v>
      </c>
      <c r="AT132" s="117" t="n">
        <v>0</v>
      </c>
      <c r="AU132" s="117" t="n">
        <v>0</v>
      </c>
      <c r="AX132" s="117" t="n">
        <v>1</v>
      </c>
    </row>
    <row r="133" customFormat="false" ht="13.8" hidden="true" customHeight="false" outlineLevel="0" collapsed="false">
      <c r="A133" s="117" t="n">
        <v>1000</v>
      </c>
      <c r="B133" s="117" t="s">
        <v>1962</v>
      </c>
      <c r="C133" s="117" t="n">
        <v>100057905</v>
      </c>
      <c r="E133" s="117" t="s">
        <v>1921</v>
      </c>
      <c r="F133" s="117" t="n">
        <v>1109</v>
      </c>
      <c r="G133" s="117" t="n">
        <v>2019</v>
      </c>
      <c r="H133" s="117" t="n">
        <v>4</v>
      </c>
      <c r="I133" s="118" t="n">
        <v>43677</v>
      </c>
      <c r="J133" s="118" t="n">
        <v>43677</v>
      </c>
      <c r="K133" s="119" t="n">
        <v>-2819798.8</v>
      </c>
      <c r="L133" s="128" t="n">
        <f aca="false">K133-Q133+T133</f>
        <v>-2819798.8</v>
      </c>
      <c r="M133" s="117" t="s">
        <v>149</v>
      </c>
      <c r="N133" s="117" t="n">
        <v>-2819798.8</v>
      </c>
      <c r="O133" s="117" t="s">
        <v>149</v>
      </c>
      <c r="P133" s="117" t="n">
        <v>0</v>
      </c>
      <c r="Q133" s="117" t="n">
        <v>0</v>
      </c>
      <c r="R133" s="117" t="n">
        <v>-2819798.8</v>
      </c>
      <c r="S133" s="117" t="n">
        <v>0</v>
      </c>
      <c r="T133" s="117" t="n">
        <v>0</v>
      </c>
      <c r="U133" s="117" t="n">
        <v>305576</v>
      </c>
      <c r="V133" s="117" t="s">
        <v>1973</v>
      </c>
      <c r="Z133" s="117" t="n">
        <v>100057905</v>
      </c>
      <c r="AD133" s="117" t="n">
        <v>110000</v>
      </c>
      <c r="AE133" s="117" t="s">
        <v>1966</v>
      </c>
      <c r="AF133" s="117" t="n">
        <v>310300</v>
      </c>
      <c r="AG133" s="117" t="s">
        <v>1969</v>
      </c>
      <c r="AI133" s="117" t="n">
        <v>310300</v>
      </c>
      <c r="AJ133" s="117" t="s">
        <v>1969</v>
      </c>
      <c r="AK133" s="117" t="n">
        <v>0</v>
      </c>
      <c r="AL133" s="117" t="n">
        <v>17</v>
      </c>
      <c r="AM133" s="117" t="s">
        <v>225</v>
      </c>
      <c r="AP133" s="117" t="n">
        <v>100057905</v>
      </c>
      <c r="AQ133" s="118" t="n">
        <v>43677</v>
      </c>
      <c r="AR133" s="118" t="n">
        <v>43677</v>
      </c>
      <c r="AS133" s="117" t="n">
        <v>0.661875</v>
      </c>
      <c r="AT133" s="117" t="n">
        <v>0</v>
      </c>
      <c r="AU133" s="117" t="n">
        <v>0</v>
      </c>
      <c r="AX133" s="117" t="n">
        <v>2</v>
      </c>
    </row>
    <row r="134" customFormat="false" ht="13.8" hidden="true" customHeight="false" outlineLevel="0" collapsed="false">
      <c r="A134" s="117" t="n">
        <v>1000</v>
      </c>
      <c r="B134" s="117" t="s">
        <v>1962</v>
      </c>
      <c r="C134" s="117" t="n">
        <v>100122987</v>
      </c>
      <c r="E134" s="117" t="s">
        <v>1921</v>
      </c>
      <c r="F134" s="117" t="n">
        <v>1108</v>
      </c>
      <c r="G134" s="117" t="n">
        <v>2019</v>
      </c>
      <c r="H134" s="117" t="n">
        <v>6</v>
      </c>
      <c r="I134" s="118" t="n">
        <v>43738</v>
      </c>
      <c r="J134" s="118" t="n">
        <v>43738</v>
      </c>
      <c r="K134" s="119" t="n">
        <v>100717.43</v>
      </c>
      <c r="L134" s="128" t="n">
        <f aca="false">K134-Q134+T134</f>
        <v>100717.43</v>
      </c>
      <c r="M134" s="117" t="s">
        <v>149</v>
      </c>
      <c r="N134" s="117" t="n">
        <v>100717.43</v>
      </c>
      <c r="O134" s="117" t="s">
        <v>149</v>
      </c>
      <c r="P134" s="117" t="n">
        <v>0</v>
      </c>
      <c r="Q134" s="117" t="n">
        <v>0</v>
      </c>
      <c r="R134" s="117" t="n">
        <v>100717.43</v>
      </c>
      <c r="S134" s="117" t="n">
        <v>0</v>
      </c>
      <c r="T134" s="117" t="n">
        <v>0</v>
      </c>
      <c r="U134" s="117" t="n">
        <v>312193</v>
      </c>
      <c r="V134" s="117" t="s">
        <v>1963</v>
      </c>
      <c r="X134" s="117" t="s">
        <v>2087</v>
      </c>
      <c r="Z134" s="117" t="n">
        <v>2457</v>
      </c>
      <c r="AB134" s="117" t="s">
        <v>2088</v>
      </c>
      <c r="AD134" s="117" t="n">
        <v>110000</v>
      </c>
      <c r="AE134" s="117" t="s">
        <v>1966</v>
      </c>
      <c r="AF134" s="117" t="n">
        <v>110000</v>
      </c>
      <c r="AG134" s="117" t="s">
        <v>1966</v>
      </c>
      <c r="AI134" s="117" t="n">
        <v>110000</v>
      </c>
      <c r="AJ134" s="117" t="s">
        <v>1966</v>
      </c>
      <c r="AK134" s="117" t="n">
        <v>0</v>
      </c>
      <c r="AL134" s="117" t="n">
        <v>4</v>
      </c>
      <c r="AM134" s="117" t="s">
        <v>161</v>
      </c>
      <c r="AR134" s="118" t="n">
        <v>43739</v>
      </c>
      <c r="AS134" s="117" t="n">
        <v>0.481527777777778</v>
      </c>
      <c r="AT134" s="117" t="n">
        <v>0</v>
      </c>
      <c r="AU134" s="117" t="n">
        <v>0</v>
      </c>
      <c r="AX134" s="117" t="n">
        <v>1</v>
      </c>
    </row>
    <row r="135" customFormat="false" ht="13.8" hidden="true" customHeight="false" outlineLevel="0" collapsed="false">
      <c r="A135" s="117" t="n">
        <v>1000</v>
      </c>
      <c r="B135" s="117" t="s">
        <v>1962</v>
      </c>
      <c r="C135" s="117" t="n">
        <v>1400005135</v>
      </c>
      <c r="E135" s="117" t="s">
        <v>1972</v>
      </c>
      <c r="F135" s="117" t="n">
        <v>1106</v>
      </c>
      <c r="G135" s="117" t="n">
        <v>2019</v>
      </c>
      <c r="H135" s="117" t="n">
        <v>5</v>
      </c>
      <c r="I135" s="118" t="n">
        <v>43697</v>
      </c>
      <c r="J135" s="118" t="n">
        <v>43697</v>
      </c>
      <c r="K135" s="119" t="n">
        <v>-2601900</v>
      </c>
      <c r="L135" s="128" t="n">
        <f aca="false">K135-Q135+T135</f>
        <v>-2601900</v>
      </c>
      <c r="M135" s="117" t="s">
        <v>149</v>
      </c>
      <c r="N135" s="117" t="n">
        <v>-2601900</v>
      </c>
      <c r="O135" s="117" t="s">
        <v>149</v>
      </c>
      <c r="P135" s="117" t="n">
        <v>0</v>
      </c>
      <c r="Q135" s="117" t="n">
        <v>0</v>
      </c>
      <c r="R135" s="117" t="n">
        <v>-2601900</v>
      </c>
      <c r="S135" s="117" t="n">
        <v>0</v>
      </c>
      <c r="T135" s="117" t="n">
        <v>0</v>
      </c>
      <c r="U135" s="117" t="n">
        <v>309728</v>
      </c>
      <c r="V135" s="117" t="s">
        <v>1968</v>
      </c>
      <c r="X135" s="117" t="s">
        <v>2089</v>
      </c>
      <c r="Y135" s="117" t="s">
        <v>2090</v>
      </c>
      <c r="Z135" s="117" t="n">
        <v>1400005135</v>
      </c>
      <c r="AC135" s="117" t="s">
        <v>1976</v>
      </c>
      <c r="AD135" s="117" t="n">
        <v>310300</v>
      </c>
      <c r="AE135" s="117" t="s">
        <v>1969</v>
      </c>
      <c r="AF135" s="117" t="n">
        <v>101105</v>
      </c>
      <c r="AG135" s="117" t="s">
        <v>1977</v>
      </c>
      <c r="AI135" s="117" t="n">
        <v>101105</v>
      </c>
      <c r="AJ135" s="117" t="s">
        <v>1977</v>
      </c>
      <c r="AK135" s="117" t="n">
        <v>0</v>
      </c>
      <c r="AL135" s="117" t="n">
        <v>19</v>
      </c>
      <c r="AM135" s="117" t="s">
        <v>225</v>
      </c>
      <c r="AN135" s="117" t="s">
        <v>1978</v>
      </c>
      <c r="AP135" s="117" t="n">
        <v>100075998</v>
      </c>
      <c r="AQ135" s="118" t="n">
        <v>43703</v>
      </c>
      <c r="AR135" s="118" t="n">
        <v>43699</v>
      </c>
      <c r="AS135" s="117" t="n">
        <v>0.536458333333333</v>
      </c>
      <c r="AT135" s="117" t="n">
        <v>0</v>
      </c>
      <c r="AU135" s="117" t="n">
        <v>0</v>
      </c>
      <c r="AX135" s="117" t="n">
        <v>2</v>
      </c>
    </row>
    <row r="136" customFormat="false" ht="13.8" hidden="true" customHeight="false" outlineLevel="0" collapsed="false">
      <c r="A136" s="117" t="n">
        <v>1000</v>
      </c>
      <c r="B136" s="117" t="s">
        <v>1962</v>
      </c>
      <c r="C136" s="117" t="n">
        <v>1400004316</v>
      </c>
      <c r="E136" s="117" t="s">
        <v>1972</v>
      </c>
      <c r="F136" s="117" t="n">
        <v>1106</v>
      </c>
      <c r="G136" s="117" t="n">
        <v>2019</v>
      </c>
      <c r="H136" s="117" t="n">
        <v>4</v>
      </c>
      <c r="I136" s="118" t="n">
        <v>43671</v>
      </c>
      <c r="J136" s="118" t="n">
        <v>43671</v>
      </c>
      <c r="K136" s="119" t="n">
        <v>-6143227.65</v>
      </c>
      <c r="L136" s="128" t="n">
        <f aca="false">K136-Q136+T136</f>
        <v>-6143227.65</v>
      </c>
      <c r="M136" s="117" t="s">
        <v>149</v>
      </c>
      <c r="N136" s="117" t="n">
        <v>-6143227.65</v>
      </c>
      <c r="O136" s="117" t="s">
        <v>149</v>
      </c>
      <c r="P136" s="117" t="n">
        <v>0</v>
      </c>
      <c r="Q136" s="117" t="n">
        <v>0</v>
      </c>
      <c r="R136" s="117" t="n">
        <v>-6143227.65</v>
      </c>
      <c r="S136" s="117" t="n">
        <v>0</v>
      </c>
      <c r="T136" s="117" t="n">
        <v>0</v>
      </c>
      <c r="U136" s="117" t="n">
        <v>313029</v>
      </c>
      <c r="V136" s="117" t="s">
        <v>143</v>
      </c>
      <c r="X136" s="117" t="s">
        <v>2091</v>
      </c>
      <c r="Y136" s="117" t="s">
        <v>2092</v>
      </c>
      <c r="Z136" s="117" t="n">
        <v>1400004316</v>
      </c>
      <c r="AC136" s="117" t="s">
        <v>1976</v>
      </c>
      <c r="AD136" s="117" t="n">
        <v>310300</v>
      </c>
      <c r="AE136" s="117" t="s">
        <v>1969</v>
      </c>
      <c r="AF136" s="117" t="n">
        <v>101105</v>
      </c>
      <c r="AG136" s="117" t="s">
        <v>1977</v>
      </c>
      <c r="AI136" s="117" t="n">
        <v>101105</v>
      </c>
      <c r="AJ136" s="117" t="s">
        <v>1977</v>
      </c>
      <c r="AK136" s="117" t="n">
        <v>0</v>
      </c>
      <c r="AL136" s="117" t="n">
        <v>19</v>
      </c>
      <c r="AM136" s="117" t="s">
        <v>225</v>
      </c>
      <c r="AN136" s="117" t="s">
        <v>1978</v>
      </c>
      <c r="AP136" s="117" t="n">
        <v>100058214</v>
      </c>
      <c r="AQ136" s="118" t="n">
        <v>43677</v>
      </c>
      <c r="AR136" s="118" t="n">
        <v>43672</v>
      </c>
      <c r="AS136" s="117" t="n">
        <v>0.509826388888889</v>
      </c>
      <c r="AT136" s="117" t="n">
        <v>0</v>
      </c>
      <c r="AU136" s="117" t="n">
        <v>0</v>
      </c>
      <c r="AX136" s="117" t="n">
        <v>2</v>
      </c>
    </row>
    <row r="137" customFormat="false" ht="13.8" hidden="true" customHeight="false" outlineLevel="0" collapsed="false">
      <c r="A137" s="117" t="n">
        <v>1000</v>
      </c>
      <c r="B137" s="117" t="s">
        <v>1962</v>
      </c>
      <c r="C137" s="117" t="n">
        <v>1400005738</v>
      </c>
      <c r="E137" s="117" t="s">
        <v>1972</v>
      </c>
      <c r="F137" s="117" t="n">
        <v>1106</v>
      </c>
      <c r="G137" s="117" t="n">
        <v>2019</v>
      </c>
      <c r="H137" s="117" t="n">
        <v>6</v>
      </c>
      <c r="I137" s="118" t="n">
        <v>43717</v>
      </c>
      <c r="J137" s="118" t="n">
        <v>43717</v>
      </c>
      <c r="K137" s="119" t="n">
        <v>-3614555.84</v>
      </c>
      <c r="L137" s="128" t="n">
        <f aca="false">K137-Q137+T137</f>
        <v>-3614555.84</v>
      </c>
      <c r="M137" s="117" t="s">
        <v>149</v>
      </c>
      <c r="N137" s="117" t="n">
        <v>-3614555.84</v>
      </c>
      <c r="O137" s="117" t="s">
        <v>149</v>
      </c>
      <c r="P137" s="117" t="n">
        <v>0</v>
      </c>
      <c r="Q137" s="117" t="n">
        <v>0</v>
      </c>
      <c r="R137" s="117" t="n">
        <v>-3614555.84</v>
      </c>
      <c r="S137" s="117" t="n">
        <v>0</v>
      </c>
      <c r="T137" s="117" t="n">
        <v>0</v>
      </c>
      <c r="U137" s="117" t="n">
        <v>318179</v>
      </c>
      <c r="V137" s="117" t="s">
        <v>143</v>
      </c>
      <c r="X137" s="117" t="s">
        <v>2093</v>
      </c>
      <c r="Y137" s="117" t="s">
        <v>2094</v>
      </c>
      <c r="Z137" s="117" t="n">
        <v>1400005738</v>
      </c>
      <c r="AC137" s="117" t="s">
        <v>1976</v>
      </c>
      <c r="AD137" s="117" t="n">
        <v>310300</v>
      </c>
      <c r="AE137" s="117" t="s">
        <v>1969</v>
      </c>
      <c r="AF137" s="117" t="n">
        <v>101105</v>
      </c>
      <c r="AG137" s="117" t="s">
        <v>1977</v>
      </c>
      <c r="AI137" s="117" t="n">
        <v>101105</v>
      </c>
      <c r="AJ137" s="117" t="s">
        <v>1977</v>
      </c>
      <c r="AK137" s="117" t="n">
        <v>0</v>
      </c>
      <c r="AL137" s="117" t="n">
        <v>19</v>
      </c>
      <c r="AM137" s="117" t="s">
        <v>225</v>
      </c>
      <c r="AN137" s="117" t="s">
        <v>1978</v>
      </c>
      <c r="AP137" s="117" t="n">
        <v>100111526</v>
      </c>
      <c r="AQ137" s="118" t="n">
        <v>43732</v>
      </c>
      <c r="AR137" s="118" t="n">
        <v>43718</v>
      </c>
      <c r="AS137" s="117" t="n">
        <v>0.517256944444444</v>
      </c>
      <c r="AT137" s="117" t="n">
        <v>0</v>
      </c>
      <c r="AU137" s="117" t="n">
        <v>0</v>
      </c>
      <c r="AX137" s="117" t="n">
        <v>2</v>
      </c>
    </row>
    <row r="138" s="106" customFormat="true" ht="13.8" hidden="true" customHeight="false" outlineLevel="0" collapsed="false">
      <c r="A138" s="106" t="n">
        <v>1000</v>
      </c>
      <c r="B138" s="106" t="s">
        <v>1962</v>
      </c>
      <c r="C138" s="106" t="n">
        <v>104213</v>
      </c>
      <c r="D138" s="106" t="s">
        <v>1228</v>
      </c>
      <c r="E138" s="106" t="s">
        <v>1970</v>
      </c>
      <c r="F138" s="106" t="n">
        <v>1109</v>
      </c>
      <c r="G138" s="106" t="n">
        <v>2019</v>
      </c>
      <c r="H138" s="106" t="n">
        <v>4</v>
      </c>
      <c r="I138" s="129" t="n">
        <v>43650</v>
      </c>
      <c r="J138" s="129" t="n">
        <v>43650</v>
      </c>
      <c r="K138" s="107" t="n">
        <v>254204.56</v>
      </c>
      <c r="L138" s="130" t="n">
        <f aca="false">K138-Q138+T138</f>
        <v>215427.6</v>
      </c>
      <c r="M138" s="106" t="s">
        <v>149</v>
      </c>
      <c r="N138" s="106" t="n">
        <v>254204.56</v>
      </c>
      <c r="O138" s="106" t="s">
        <v>149</v>
      </c>
      <c r="P138" s="106" t="n">
        <v>0</v>
      </c>
      <c r="Q138" s="107" t="n">
        <v>38776.96</v>
      </c>
      <c r="R138" s="106" t="n">
        <v>215427.6</v>
      </c>
      <c r="S138" s="106" t="n">
        <v>0</v>
      </c>
      <c r="T138" s="106" t="n">
        <v>0</v>
      </c>
      <c r="U138" s="106" t="n">
        <v>307259</v>
      </c>
      <c r="V138" s="106" t="s">
        <v>143</v>
      </c>
      <c r="Z138" s="106" t="n">
        <v>59465</v>
      </c>
      <c r="AB138" s="106" t="s">
        <v>2095</v>
      </c>
      <c r="AD138" s="106" t="n">
        <v>110000</v>
      </c>
      <c r="AE138" s="106" t="s">
        <v>1966</v>
      </c>
      <c r="AF138" s="106" t="n">
        <v>501005</v>
      </c>
      <c r="AG138" s="106" t="s">
        <v>2033</v>
      </c>
      <c r="AI138" s="106" t="n">
        <v>501005</v>
      </c>
      <c r="AJ138" s="106" t="s">
        <v>2033</v>
      </c>
      <c r="AK138" s="106" t="n">
        <v>0</v>
      </c>
      <c r="AL138" s="106" t="n">
        <v>1</v>
      </c>
      <c r="AM138" s="106" t="s">
        <v>161</v>
      </c>
      <c r="AP138" s="106" t="n">
        <v>100055942</v>
      </c>
      <c r="AQ138" s="129" t="n">
        <v>43671</v>
      </c>
      <c r="AR138" s="129" t="n">
        <v>43650</v>
      </c>
      <c r="AS138" s="106" t="n">
        <v>0.674444444444444</v>
      </c>
      <c r="AT138" s="106" t="n">
        <v>0</v>
      </c>
      <c r="AU138" s="106" t="n">
        <v>0</v>
      </c>
      <c r="AX138" s="106" t="n">
        <v>1</v>
      </c>
      <c r="ALU138" s="0"/>
      <c r="ALV138" s="0"/>
      <c r="ALW138" s="0"/>
      <c r="ALX138" s="0"/>
      <c r="ALY138" s="0"/>
      <c r="ALZ138" s="0"/>
      <c r="AMA138" s="0"/>
      <c r="AMB138" s="0"/>
      <c r="AMC138" s="0"/>
      <c r="AMD138" s="0"/>
      <c r="AME138" s="0"/>
      <c r="AMF138" s="0"/>
      <c r="AMG138" s="0"/>
      <c r="AMH138" s="0"/>
      <c r="AMI138" s="0"/>
      <c r="AMJ138" s="0"/>
    </row>
    <row r="139" customFormat="false" ht="13.8" hidden="true" customHeight="false" outlineLevel="0" collapsed="false">
      <c r="A139" s="117" t="n">
        <v>1000</v>
      </c>
      <c r="B139" s="117" t="s">
        <v>1962</v>
      </c>
      <c r="C139" s="117" t="n">
        <v>100081981</v>
      </c>
      <c r="E139" s="117" t="s">
        <v>1921</v>
      </c>
      <c r="F139" s="117" t="n">
        <v>1106</v>
      </c>
      <c r="G139" s="117" t="n">
        <v>2019</v>
      </c>
      <c r="H139" s="117" t="n">
        <v>5</v>
      </c>
      <c r="I139" s="118" t="n">
        <v>43708</v>
      </c>
      <c r="J139" s="118" t="n">
        <v>43708</v>
      </c>
      <c r="K139" s="119" t="n">
        <v>2478000</v>
      </c>
      <c r="L139" s="128" t="n">
        <f aca="false">K139-Q139+T139</f>
        <v>2478000</v>
      </c>
      <c r="M139" s="117" t="s">
        <v>149</v>
      </c>
      <c r="N139" s="117" t="n">
        <v>2478000</v>
      </c>
      <c r="O139" s="117" t="s">
        <v>149</v>
      </c>
      <c r="P139" s="117" t="n">
        <v>0</v>
      </c>
      <c r="Q139" s="117" t="n">
        <v>0</v>
      </c>
      <c r="R139" s="117" t="n">
        <v>2478000</v>
      </c>
      <c r="S139" s="117" t="n">
        <v>0</v>
      </c>
      <c r="T139" s="117" t="n">
        <v>0</v>
      </c>
      <c r="U139" s="117" t="n">
        <v>309728</v>
      </c>
      <c r="V139" s="117" t="s">
        <v>1968</v>
      </c>
      <c r="Z139" s="117" t="n">
        <v>100081981</v>
      </c>
      <c r="AD139" s="117" t="n">
        <v>310300</v>
      </c>
      <c r="AE139" s="117" t="s">
        <v>1969</v>
      </c>
      <c r="AF139" s="117" t="n">
        <v>110000</v>
      </c>
      <c r="AG139" s="117" t="s">
        <v>1966</v>
      </c>
      <c r="AI139" s="117" t="n">
        <v>110000</v>
      </c>
      <c r="AJ139" s="117" t="s">
        <v>1966</v>
      </c>
      <c r="AK139" s="117" t="n">
        <v>0</v>
      </c>
      <c r="AL139" s="117" t="n">
        <v>9</v>
      </c>
      <c r="AM139" s="117" t="s">
        <v>161</v>
      </c>
      <c r="AN139" s="117" t="s">
        <v>1978</v>
      </c>
      <c r="AP139" s="117" t="n">
        <v>100081981</v>
      </c>
      <c r="AQ139" s="118" t="n">
        <v>43708</v>
      </c>
      <c r="AR139" s="118" t="n">
        <v>43710</v>
      </c>
      <c r="AS139" s="117" t="n">
        <v>0.289780092592593</v>
      </c>
      <c r="AT139" s="117" t="n">
        <v>0</v>
      </c>
      <c r="AU139" s="117" t="n">
        <v>0</v>
      </c>
      <c r="AX139" s="117" t="n">
        <v>2</v>
      </c>
    </row>
    <row r="140" customFormat="false" ht="13.8" hidden="true" customHeight="false" outlineLevel="0" collapsed="false">
      <c r="A140" s="117" t="n">
        <v>1000</v>
      </c>
      <c r="B140" s="117" t="s">
        <v>1962</v>
      </c>
      <c r="C140" s="117" t="n">
        <v>100057912</v>
      </c>
      <c r="E140" s="117" t="s">
        <v>1921</v>
      </c>
      <c r="F140" s="117" t="n">
        <v>1101</v>
      </c>
      <c r="G140" s="117" t="n">
        <v>2019</v>
      </c>
      <c r="H140" s="117" t="n">
        <v>4</v>
      </c>
      <c r="I140" s="118" t="n">
        <v>43677</v>
      </c>
      <c r="J140" s="118" t="n">
        <v>43677</v>
      </c>
      <c r="K140" s="119" t="n">
        <v>246.35</v>
      </c>
      <c r="L140" s="128" t="n">
        <f aca="false">K140-Q140+T140</f>
        <v>246.35</v>
      </c>
      <c r="M140" s="117" t="s">
        <v>149</v>
      </c>
      <c r="N140" s="117" t="n">
        <v>246.35</v>
      </c>
      <c r="O140" s="117" t="s">
        <v>149</v>
      </c>
      <c r="P140" s="117" t="n">
        <v>0</v>
      </c>
      <c r="Q140" s="117" t="n">
        <v>0</v>
      </c>
      <c r="R140" s="117" t="n">
        <v>246.35</v>
      </c>
      <c r="S140" s="117" t="n">
        <v>0</v>
      </c>
      <c r="T140" s="117" t="n">
        <v>0</v>
      </c>
      <c r="U140" s="117" t="n">
        <v>318999</v>
      </c>
      <c r="V140" s="117" t="s">
        <v>143</v>
      </c>
      <c r="Z140" s="117" t="n">
        <v>100057912</v>
      </c>
      <c r="AD140" s="117" t="n">
        <v>110000</v>
      </c>
      <c r="AE140" s="117" t="s">
        <v>1966</v>
      </c>
      <c r="AF140" s="117" t="n">
        <v>110000</v>
      </c>
      <c r="AG140" s="117" t="s">
        <v>1966</v>
      </c>
      <c r="AI140" s="117" t="n">
        <v>110000</v>
      </c>
      <c r="AJ140" s="117" t="s">
        <v>1966</v>
      </c>
      <c r="AK140" s="117" t="n">
        <v>0</v>
      </c>
      <c r="AL140" s="117" t="n">
        <v>4</v>
      </c>
      <c r="AM140" s="117" t="s">
        <v>161</v>
      </c>
      <c r="AP140" s="117" t="n">
        <v>100082045</v>
      </c>
      <c r="AQ140" s="118" t="n">
        <v>43708</v>
      </c>
      <c r="AR140" s="118" t="n">
        <v>43677</v>
      </c>
      <c r="AS140" s="117" t="n">
        <v>0.699490740740741</v>
      </c>
      <c r="AT140" s="117" t="n">
        <v>0</v>
      </c>
      <c r="AU140" s="117" t="n">
        <v>0</v>
      </c>
      <c r="AX140" s="117" t="n">
        <v>8</v>
      </c>
    </row>
    <row r="141" customFormat="false" ht="13.8" hidden="true" customHeight="false" outlineLevel="0" collapsed="false">
      <c r="A141" s="117" t="n">
        <v>1000</v>
      </c>
      <c r="B141" s="117" t="s">
        <v>1962</v>
      </c>
      <c r="C141" s="117" t="n">
        <v>100076146</v>
      </c>
      <c r="E141" s="117" t="s">
        <v>1921</v>
      </c>
      <c r="F141" s="117" t="n">
        <v>1101</v>
      </c>
      <c r="G141" s="117" t="n">
        <v>2019</v>
      </c>
      <c r="H141" s="117" t="n">
        <v>5</v>
      </c>
      <c r="I141" s="118" t="n">
        <v>43703</v>
      </c>
      <c r="J141" s="118" t="n">
        <v>43703</v>
      </c>
      <c r="K141" s="119" t="n">
        <v>30068</v>
      </c>
      <c r="L141" s="128" t="n">
        <f aca="false">K141-Q141+T141</f>
        <v>30068</v>
      </c>
      <c r="M141" s="117" t="s">
        <v>149</v>
      </c>
      <c r="N141" s="117" t="n">
        <v>30068</v>
      </c>
      <c r="O141" s="117" t="s">
        <v>149</v>
      </c>
      <c r="P141" s="117" t="n">
        <v>0</v>
      </c>
      <c r="Q141" s="117" t="n">
        <v>0</v>
      </c>
      <c r="R141" s="117" t="n">
        <v>30068</v>
      </c>
      <c r="S141" s="117" t="n">
        <v>0</v>
      </c>
      <c r="T141" s="117" t="n">
        <v>0</v>
      </c>
      <c r="U141" s="117" t="n">
        <v>318999</v>
      </c>
      <c r="V141" s="117" t="s">
        <v>143</v>
      </c>
      <c r="X141" s="117" t="s">
        <v>2096</v>
      </c>
      <c r="Z141" s="117" t="n">
        <v>2388</v>
      </c>
      <c r="AB141" s="117" t="s">
        <v>2019</v>
      </c>
      <c r="AD141" s="117" t="n">
        <v>110000</v>
      </c>
      <c r="AE141" s="117" t="s">
        <v>1966</v>
      </c>
      <c r="AF141" s="117" t="n">
        <v>110000</v>
      </c>
      <c r="AG141" s="117" t="s">
        <v>1966</v>
      </c>
      <c r="AI141" s="117" t="n">
        <v>110000</v>
      </c>
      <c r="AJ141" s="117" t="s">
        <v>1966</v>
      </c>
      <c r="AK141" s="117" t="n">
        <v>0</v>
      </c>
      <c r="AL141" s="117" t="n">
        <v>4</v>
      </c>
      <c r="AM141" s="117" t="s">
        <v>161</v>
      </c>
      <c r="AP141" s="117" t="n">
        <v>100173605</v>
      </c>
      <c r="AQ141" s="118" t="n">
        <v>43799</v>
      </c>
      <c r="AR141" s="118" t="n">
        <v>43703</v>
      </c>
      <c r="AS141" s="117" t="n">
        <v>0.799178240740741</v>
      </c>
      <c r="AT141" s="117" t="n">
        <v>0</v>
      </c>
      <c r="AU141" s="117" t="n">
        <v>0</v>
      </c>
      <c r="AX141" s="117" t="n">
        <v>1</v>
      </c>
    </row>
    <row r="142" customFormat="false" ht="13.8" hidden="true" customHeight="false" outlineLevel="0" collapsed="false">
      <c r="A142" s="117" t="n">
        <v>1000</v>
      </c>
      <c r="B142" s="117" t="s">
        <v>1962</v>
      </c>
      <c r="C142" s="117" t="n">
        <v>100057907</v>
      </c>
      <c r="E142" s="117" t="s">
        <v>1921</v>
      </c>
      <c r="F142" s="117" t="n">
        <v>1106</v>
      </c>
      <c r="G142" s="117" t="n">
        <v>2019</v>
      </c>
      <c r="H142" s="117" t="n">
        <v>4</v>
      </c>
      <c r="I142" s="118" t="n">
        <v>43677</v>
      </c>
      <c r="J142" s="118" t="n">
        <v>43677</v>
      </c>
      <c r="K142" s="119" t="n">
        <v>-380140.76</v>
      </c>
      <c r="L142" s="128" t="n">
        <f aca="false">K142-Q142+T142</f>
        <v>-380140.76</v>
      </c>
      <c r="M142" s="117" t="s">
        <v>149</v>
      </c>
      <c r="N142" s="117" t="n">
        <v>-380140.76</v>
      </c>
      <c r="O142" s="117" t="s">
        <v>149</v>
      </c>
      <c r="P142" s="117" t="n">
        <v>0</v>
      </c>
      <c r="Q142" s="117" t="n">
        <v>0</v>
      </c>
      <c r="R142" s="117" t="n">
        <v>-380140.76</v>
      </c>
      <c r="S142" s="117" t="n">
        <v>0</v>
      </c>
      <c r="T142" s="117" t="n">
        <v>0</v>
      </c>
      <c r="U142" s="117" t="n">
        <v>305576</v>
      </c>
      <c r="V142" s="117" t="s">
        <v>1973</v>
      </c>
      <c r="Z142" s="117" t="n">
        <v>100057907</v>
      </c>
      <c r="AD142" s="117" t="n">
        <v>110000</v>
      </c>
      <c r="AE142" s="117" t="s">
        <v>1966</v>
      </c>
      <c r="AF142" s="117" t="n">
        <v>310300</v>
      </c>
      <c r="AG142" s="117" t="s">
        <v>1969</v>
      </c>
      <c r="AI142" s="117" t="n">
        <v>310300</v>
      </c>
      <c r="AJ142" s="117" t="s">
        <v>1969</v>
      </c>
      <c r="AK142" s="117" t="n">
        <v>0</v>
      </c>
      <c r="AL142" s="117" t="n">
        <v>17</v>
      </c>
      <c r="AM142" s="117" t="s">
        <v>225</v>
      </c>
      <c r="AP142" s="117" t="n">
        <v>100057907</v>
      </c>
      <c r="AQ142" s="118" t="n">
        <v>43677</v>
      </c>
      <c r="AR142" s="118" t="n">
        <v>43677</v>
      </c>
      <c r="AS142" s="117" t="n">
        <v>0.664814814814815</v>
      </c>
      <c r="AT142" s="117" t="n">
        <v>0</v>
      </c>
      <c r="AU142" s="117" t="n">
        <v>0</v>
      </c>
      <c r="AX142" s="117" t="n">
        <v>1</v>
      </c>
    </row>
    <row r="143" customFormat="false" ht="13.8" hidden="true" customHeight="false" outlineLevel="0" collapsed="false">
      <c r="A143" s="117" t="n">
        <v>1000</v>
      </c>
      <c r="B143" s="117" t="s">
        <v>1962</v>
      </c>
      <c r="C143" s="117" t="n">
        <v>100057912</v>
      </c>
      <c r="E143" s="117" t="s">
        <v>1921</v>
      </c>
      <c r="F143" s="117" t="n">
        <v>1101</v>
      </c>
      <c r="G143" s="117" t="n">
        <v>2019</v>
      </c>
      <c r="H143" s="117" t="n">
        <v>4</v>
      </c>
      <c r="I143" s="118" t="n">
        <v>43677</v>
      </c>
      <c r="J143" s="118" t="n">
        <v>43677</v>
      </c>
      <c r="K143" s="119" t="n">
        <v>297545.62</v>
      </c>
      <c r="L143" s="128" t="n">
        <f aca="false">K143-Q143+T143</f>
        <v>297545.62</v>
      </c>
      <c r="M143" s="117" t="s">
        <v>149</v>
      </c>
      <c r="N143" s="117" t="n">
        <v>297545.62</v>
      </c>
      <c r="O143" s="117" t="s">
        <v>149</v>
      </c>
      <c r="P143" s="117" t="n">
        <v>0</v>
      </c>
      <c r="Q143" s="117" t="n">
        <v>0</v>
      </c>
      <c r="R143" s="117" t="n">
        <v>297545.62</v>
      </c>
      <c r="S143" s="117" t="n">
        <v>0</v>
      </c>
      <c r="T143" s="117" t="n">
        <v>0</v>
      </c>
      <c r="U143" s="117" t="n">
        <v>318999</v>
      </c>
      <c r="V143" s="117" t="s">
        <v>143</v>
      </c>
      <c r="X143" s="117" t="s">
        <v>2063</v>
      </c>
      <c r="Z143" s="117" t="n">
        <v>100057912</v>
      </c>
      <c r="AD143" s="117" t="n">
        <v>110000</v>
      </c>
      <c r="AE143" s="117" t="s">
        <v>1966</v>
      </c>
      <c r="AF143" s="117" t="n">
        <v>110000</v>
      </c>
      <c r="AG143" s="117" t="s">
        <v>1966</v>
      </c>
      <c r="AI143" s="117" t="n">
        <v>110000</v>
      </c>
      <c r="AJ143" s="117" t="s">
        <v>1966</v>
      </c>
      <c r="AK143" s="117" t="n">
        <v>0</v>
      </c>
      <c r="AL143" s="117" t="n">
        <v>4</v>
      </c>
      <c r="AM143" s="117" t="s">
        <v>161</v>
      </c>
      <c r="AP143" s="117" t="n">
        <v>100082045</v>
      </c>
      <c r="AQ143" s="118" t="n">
        <v>43708</v>
      </c>
      <c r="AR143" s="118" t="n">
        <v>43677</v>
      </c>
      <c r="AS143" s="117" t="n">
        <v>0.699490740740741</v>
      </c>
      <c r="AT143" s="117" t="n">
        <v>0</v>
      </c>
      <c r="AU143" s="117" t="n">
        <v>0</v>
      </c>
      <c r="AX143" s="117" t="n">
        <v>1</v>
      </c>
    </row>
    <row r="144" customFormat="false" ht="13.8" hidden="true" customHeight="false" outlineLevel="0" collapsed="false">
      <c r="A144" s="117" t="n">
        <v>1000</v>
      </c>
      <c r="B144" s="117" t="s">
        <v>1962</v>
      </c>
      <c r="C144" s="117" t="n">
        <v>100057912</v>
      </c>
      <c r="E144" s="117" t="s">
        <v>1921</v>
      </c>
      <c r="F144" s="117" t="n">
        <v>1101</v>
      </c>
      <c r="G144" s="117" t="n">
        <v>2019</v>
      </c>
      <c r="H144" s="117" t="n">
        <v>4</v>
      </c>
      <c r="I144" s="118" t="n">
        <v>43677</v>
      </c>
      <c r="J144" s="118" t="n">
        <v>43677</v>
      </c>
      <c r="K144" s="119" t="n">
        <v>-7055097.22</v>
      </c>
      <c r="L144" s="128" t="n">
        <f aca="false">K144-Q144+T144</f>
        <v>-7055097.22</v>
      </c>
      <c r="M144" s="117" t="s">
        <v>149</v>
      </c>
      <c r="N144" s="117" t="n">
        <v>-7055097.22</v>
      </c>
      <c r="O144" s="117" t="s">
        <v>149</v>
      </c>
      <c r="P144" s="117" t="n">
        <v>0</v>
      </c>
      <c r="Q144" s="117" t="n">
        <v>0</v>
      </c>
      <c r="R144" s="117" t="n">
        <v>-7055097.22</v>
      </c>
      <c r="S144" s="117" t="n">
        <v>0</v>
      </c>
      <c r="T144" s="117" t="n">
        <v>0</v>
      </c>
      <c r="U144" s="117" t="n">
        <v>318999</v>
      </c>
      <c r="V144" s="117" t="s">
        <v>143</v>
      </c>
      <c r="Z144" s="117" t="n">
        <v>100057912</v>
      </c>
      <c r="AD144" s="117" t="n">
        <v>111105</v>
      </c>
      <c r="AE144" s="117" t="s">
        <v>1994</v>
      </c>
      <c r="AF144" s="117" t="n">
        <v>110000</v>
      </c>
      <c r="AG144" s="117" t="s">
        <v>1966</v>
      </c>
      <c r="AI144" s="117" t="n">
        <v>110000</v>
      </c>
      <c r="AJ144" s="117" t="s">
        <v>1966</v>
      </c>
      <c r="AK144" s="117" t="n">
        <v>0</v>
      </c>
      <c r="AL144" s="117" t="n">
        <v>19</v>
      </c>
      <c r="AM144" s="117" t="s">
        <v>225</v>
      </c>
      <c r="AN144" s="117" t="s">
        <v>1995</v>
      </c>
      <c r="AP144" s="117" t="n">
        <v>100057912</v>
      </c>
      <c r="AQ144" s="118" t="n">
        <v>43677</v>
      </c>
      <c r="AR144" s="118" t="n">
        <v>43677</v>
      </c>
      <c r="AS144" s="117" t="n">
        <v>0.699490740740741</v>
      </c>
      <c r="AT144" s="117" t="n">
        <v>0</v>
      </c>
      <c r="AU144" s="117" t="n">
        <v>0</v>
      </c>
      <c r="AX144" s="117" t="n">
        <v>13</v>
      </c>
    </row>
    <row r="145" customFormat="false" ht="13.8" hidden="true" customHeight="false" outlineLevel="0" collapsed="false">
      <c r="A145" s="117" t="n">
        <v>1000</v>
      </c>
      <c r="B145" s="117" t="s">
        <v>1962</v>
      </c>
      <c r="C145" s="117" t="n">
        <v>100055939</v>
      </c>
      <c r="E145" s="117" t="s">
        <v>1921</v>
      </c>
      <c r="F145" s="117" t="n">
        <v>1101</v>
      </c>
      <c r="G145" s="117" t="n">
        <v>2019</v>
      </c>
      <c r="H145" s="117" t="n">
        <v>4</v>
      </c>
      <c r="I145" s="118" t="n">
        <v>43671</v>
      </c>
      <c r="J145" s="118" t="n">
        <v>43671</v>
      </c>
      <c r="K145" s="119" t="n">
        <v>2696044</v>
      </c>
      <c r="L145" s="128" t="n">
        <f aca="false">K145-Q145+T145</f>
        <v>2696044</v>
      </c>
      <c r="M145" s="117" t="s">
        <v>149</v>
      </c>
      <c r="N145" s="117" t="n">
        <v>2696044</v>
      </c>
      <c r="O145" s="117" t="s">
        <v>149</v>
      </c>
      <c r="P145" s="117" t="n">
        <v>0</v>
      </c>
      <c r="Q145" s="117" t="n">
        <v>0</v>
      </c>
      <c r="R145" s="117" t="n">
        <v>2696044</v>
      </c>
      <c r="S145" s="117" t="n">
        <v>0</v>
      </c>
      <c r="T145" s="117" t="n">
        <v>0</v>
      </c>
      <c r="U145" s="117" t="n">
        <v>306263</v>
      </c>
      <c r="V145" s="117" t="s">
        <v>2006</v>
      </c>
      <c r="Z145" s="117" t="n">
        <v>100055939</v>
      </c>
      <c r="AD145" s="117" t="n">
        <v>310300</v>
      </c>
      <c r="AE145" s="117" t="s">
        <v>1969</v>
      </c>
      <c r="AF145" s="117" t="n">
        <v>110000</v>
      </c>
      <c r="AG145" s="117" t="s">
        <v>1966</v>
      </c>
      <c r="AI145" s="117" t="n">
        <v>110000</v>
      </c>
      <c r="AJ145" s="117" t="s">
        <v>1966</v>
      </c>
      <c r="AK145" s="117" t="n">
        <v>0</v>
      </c>
      <c r="AL145" s="117" t="n">
        <v>9</v>
      </c>
      <c r="AM145" s="117" t="s">
        <v>161</v>
      </c>
      <c r="AN145" s="117" t="s">
        <v>1978</v>
      </c>
      <c r="AP145" s="117" t="n">
        <v>100055939</v>
      </c>
      <c r="AQ145" s="118" t="n">
        <v>43671</v>
      </c>
      <c r="AR145" s="118" t="n">
        <v>43671</v>
      </c>
      <c r="AS145" s="117" t="n">
        <v>0.638715277777778</v>
      </c>
      <c r="AT145" s="117" t="n">
        <v>0</v>
      </c>
      <c r="AU145" s="117" t="n">
        <v>0</v>
      </c>
      <c r="AX145" s="117" t="n">
        <v>2</v>
      </c>
    </row>
    <row r="146" customFormat="false" ht="13.8" hidden="true" customHeight="false" outlineLevel="0" collapsed="false">
      <c r="A146" s="117" t="n">
        <v>1000</v>
      </c>
      <c r="B146" s="117" t="s">
        <v>1962</v>
      </c>
      <c r="C146" s="117" t="n">
        <v>1600000229</v>
      </c>
      <c r="D146" s="117" t="s">
        <v>1991</v>
      </c>
      <c r="E146" s="117" t="s">
        <v>1987</v>
      </c>
      <c r="F146" s="117" t="n">
        <v>1106</v>
      </c>
      <c r="G146" s="117" t="n">
        <v>2019</v>
      </c>
      <c r="H146" s="117" t="n">
        <v>6</v>
      </c>
      <c r="I146" s="118" t="n">
        <v>43738</v>
      </c>
      <c r="J146" s="118" t="n">
        <v>43738</v>
      </c>
      <c r="K146" s="119" t="n">
        <v>-1246952.8</v>
      </c>
      <c r="L146" s="128" t="n">
        <f aca="false">K146-Q146+T146</f>
        <v>-1246952.8</v>
      </c>
      <c r="M146" s="117" t="s">
        <v>149</v>
      </c>
      <c r="N146" s="117" t="n">
        <v>-1246952.8</v>
      </c>
      <c r="O146" s="117" t="s">
        <v>149</v>
      </c>
      <c r="P146" s="117" t="n">
        <v>-1246952.8</v>
      </c>
      <c r="Q146" s="117" t="n">
        <v>0</v>
      </c>
      <c r="R146" s="117" t="n">
        <v>-1246952.8</v>
      </c>
      <c r="S146" s="117" t="n">
        <v>0</v>
      </c>
      <c r="T146" s="117" t="n">
        <v>0</v>
      </c>
      <c r="U146" s="117" t="n">
        <v>312193</v>
      </c>
      <c r="V146" s="117" t="s">
        <v>1963</v>
      </c>
      <c r="X146" s="117" t="s">
        <v>2097</v>
      </c>
      <c r="Y146" s="117" t="s">
        <v>2000</v>
      </c>
      <c r="Z146" s="117" t="n">
        <v>1600000229</v>
      </c>
      <c r="AD146" s="117" t="n">
        <v>310300</v>
      </c>
      <c r="AE146" s="117" t="s">
        <v>1969</v>
      </c>
      <c r="AF146" s="117" t="n">
        <v>305576</v>
      </c>
      <c r="AG146" s="117" t="s">
        <v>1973</v>
      </c>
      <c r="AI146" s="117" t="n">
        <v>305576</v>
      </c>
      <c r="AJ146" s="131" t="s">
        <v>1973</v>
      </c>
      <c r="AK146" s="117" t="n">
        <v>0</v>
      </c>
      <c r="AL146" s="117" t="n">
        <v>19</v>
      </c>
      <c r="AM146" s="117" t="s">
        <v>225</v>
      </c>
      <c r="AN146" s="117" t="s">
        <v>1978</v>
      </c>
      <c r="AP146" s="117" t="n">
        <v>100123318</v>
      </c>
      <c r="AQ146" s="118" t="n">
        <v>43738</v>
      </c>
      <c r="AR146" s="118" t="n">
        <v>43739</v>
      </c>
      <c r="AS146" s="117" t="n">
        <v>0.568877314814815</v>
      </c>
      <c r="AT146" s="117" t="n">
        <v>0</v>
      </c>
      <c r="AU146" s="117" t="n">
        <v>0</v>
      </c>
      <c r="AX146" s="117" t="n">
        <v>2</v>
      </c>
    </row>
    <row r="147" customFormat="false" ht="13.8" hidden="true" customHeight="false" outlineLevel="0" collapsed="false">
      <c r="A147" s="117" t="n">
        <v>1000</v>
      </c>
      <c r="B147" s="117" t="s">
        <v>1962</v>
      </c>
      <c r="C147" s="117" t="n">
        <v>100057533</v>
      </c>
      <c r="D147" s="117" t="s">
        <v>2024</v>
      </c>
      <c r="E147" s="117" t="s">
        <v>1903</v>
      </c>
      <c r="F147" s="117" t="n">
        <v>1101</v>
      </c>
      <c r="G147" s="117" t="n">
        <v>2019</v>
      </c>
      <c r="H147" s="117" t="n">
        <v>4</v>
      </c>
      <c r="I147" s="118" t="n">
        <v>43676</v>
      </c>
      <c r="J147" s="118" t="n">
        <v>43676</v>
      </c>
      <c r="K147" s="119" t="n">
        <v>-24753.6</v>
      </c>
      <c r="L147" s="128" t="n">
        <f aca="false">K147-Q147+T147</f>
        <v>-24753.6</v>
      </c>
      <c r="M147" s="117" t="s">
        <v>149</v>
      </c>
      <c r="N147" s="117" t="n">
        <v>-24753.6</v>
      </c>
      <c r="O147" s="117" t="s">
        <v>149</v>
      </c>
      <c r="P147" s="117" t="n">
        <v>0</v>
      </c>
      <c r="Q147" s="117" t="n">
        <v>0</v>
      </c>
      <c r="R147" s="117" t="n">
        <v>-24753.6</v>
      </c>
      <c r="S147" s="117" t="n">
        <v>0</v>
      </c>
      <c r="T147" s="117" t="n">
        <v>0</v>
      </c>
      <c r="U147" s="117" t="n">
        <v>315113</v>
      </c>
      <c r="V147" s="117" t="s">
        <v>143</v>
      </c>
      <c r="X147" s="117" t="s">
        <v>2025</v>
      </c>
      <c r="Y147" s="117" t="s">
        <v>2026</v>
      </c>
      <c r="Z147" s="117" t="n">
        <v>100057533</v>
      </c>
      <c r="AD147" s="117" t="n">
        <v>110000</v>
      </c>
      <c r="AE147" s="117" t="s">
        <v>1966</v>
      </c>
      <c r="AF147" s="117" t="s">
        <v>2027</v>
      </c>
      <c r="AG147" s="117" t="s">
        <v>2028</v>
      </c>
      <c r="AI147" s="117" t="s">
        <v>2027</v>
      </c>
      <c r="AJ147" s="117" t="s">
        <v>2028</v>
      </c>
      <c r="AK147" s="117" t="n">
        <v>0</v>
      </c>
      <c r="AL147" s="117" t="n">
        <v>14</v>
      </c>
      <c r="AM147" s="117" t="s">
        <v>225</v>
      </c>
      <c r="AO147" s="117" t="n">
        <v>100057535</v>
      </c>
      <c r="AP147" s="117" t="n">
        <v>100057535</v>
      </c>
      <c r="AQ147" s="118" t="n">
        <v>43676</v>
      </c>
      <c r="AR147" s="118" t="n">
        <v>43676</v>
      </c>
      <c r="AS147" s="117" t="n">
        <v>0.622523148148148</v>
      </c>
      <c r="AT147" s="117" t="n">
        <v>0</v>
      </c>
      <c r="AU147" s="117" t="n">
        <v>0</v>
      </c>
      <c r="AX147" s="117" t="n">
        <v>2</v>
      </c>
    </row>
    <row r="148" customFormat="false" ht="13.8" hidden="true" customHeight="false" outlineLevel="0" collapsed="false">
      <c r="A148" s="117" t="n">
        <v>1000</v>
      </c>
      <c r="B148" s="117" t="s">
        <v>1962</v>
      </c>
      <c r="C148" s="117" t="n">
        <v>100116355</v>
      </c>
      <c r="E148" s="117" t="s">
        <v>1921</v>
      </c>
      <c r="F148" s="117" t="n">
        <v>1109</v>
      </c>
      <c r="G148" s="117" t="n">
        <v>2019</v>
      </c>
      <c r="H148" s="117" t="n">
        <v>6</v>
      </c>
      <c r="I148" s="118" t="n">
        <v>43738</v>
      </c>
      <c r="J148" s="118" t="n">
        <v>43738</v>
      </c>
      <c r="K148" s="119" t="n">
        <v>336005</v>
      </c>
      <c r="L148" s="128" t="n">
        <f aca="false">K148-Q148+T148</f>
        <v>336005</v>
      </c>
      <c r="M148" s="117" t="s">
        <v>149</v>
      </c>
      <c r="N148" s="117" t="n">
        <v>336005</v>
      </c>
      <c r="O148" s="117" t="s">
        <v>149</v>
      </c>
      <c r="P148" s="117" t="n">
        <v>0</v>
      </c>
      <c r="Q148" s="117" t="n">
        <v>0</v>
      </c>
      <c r="R148" s="117" t="n">
        <v>336005</v>
      </c>
      <c r="S148" s="117" t="n">
        <v>0</v>
      </c>
      <c r="T148" s="117" t="n">
        <v>0</v>
      </c>
      <c r="U148" s="117" t="n">
        <v>312193</v>
      </c>
      <c r="V148" s="117" t="s">
        <v>1963</v>
      </c>
      <c r="X148" s="117" t="s">
        <v>2098</v>
      </c>
      <c r="Z148" s="117" t="n">
        <v>2316</v>
      </c>
      <c r="AB148" s="117" t="s">
        <v>1965</v>
      </c>
      <c r="AD148" s="117" t="n">
        <v>110000</v>
      </c>
      <c r="AE148" s="117" t="s">
        <v>1966</v>
      </c>
      <c r="AF148" s="117" t="n">
        <v>110000</v>
      </c>
      <c r="AG148" s="117" t="s">
        <v>1966</v>
      </c>
      <c r="AI148" s="117" t="n">
        <v>110000</v>
      </c>
      <c r="AJ148" s="117" t="s">
        <v>1966</v>
      </c>
      <c r="AK148" s="117" t="n">
        <v>0</v>
      </c>
      <c r="AL148" s="117" t="n">
        <v>4</v>
      </c>
      <c r="AM148" s="117" t="s">
        <v>161</v>
      </c>
      <c r="AP148" s="117" t="n">
        <v>100123318</v>
      </c>
      <c r="AQ148" s="118" t="n">
        <v>43738</v>
      </c>
      <c r="AR148" s="118" t="n">
        <v>43738</v>
      </c>
      <c r="AS148" s="117" t="n">
        <v>0.224525462962963</v>
      </c>
      <c r="AT148" s="117" t="n">
        <v>0</v>
      </c>
      <c r="AU148" s="117" t="n">
        <v>0</v>
      </c>
      <c r="AX148" s="117" t="n">
        <v>4</v>
      </c>
    </row>
    <row r="149" customFormat="false" ht="13.8" hidden="true" customHeight="false" outlineLevel="0" collapsed="false">
      <c r="A149" s="117" t="n">
        <v>1000</v>
      </c>
      <c r="B149" s="117" t="s">
        <v>1962</v>
      </c>
      <c r="C149" s="117" t="n">
        <v>100058214</v>
      </c>
      <c r="E149" s="117" t="s">
        <v>1921</v>
      </c>
      <c r="F149" s="117" t="n">
        <v>1109</v>
      </c>
      <c r="G149" s="117" t="n">
        <v>2019</v>
      </c>
      <c r="H149" s="117" t="n">
        <v>4</v>
      </c>
      <c r="I149" s="118" t="n">
        <v>43677</v>
      </c>
      <c r="J149" s="118" t="n">
        <v>43677</v>
      </c>
      <c r="K149" s="119" t="n">
        <v>-6143227.65</v>
      </c>
      <c r="L149" s="128" t="n">
        <f aca="false">K149-Q149+T149</f>
        <v>-6143227.65</v>
      </c>
      <c r="M149" s="117" t="s">
        <v>149</v>
      </c>
      <c r="N149" s="117" t="n">
        <v>-6143227.65</v>
      </c>
      <c r="O149" s="117" t="s">
        <v>149</v>
      </c>
      <c r="P149" s="117" t="n">
        <v>0</v>
      </c>
      <c r="Q149" s="117" t="n">
        <v>0</v>
      </c>
      <c r="R149" s="117" t="n">
        <v>-6143227.65</v>
      </c>
      <c r="S149" s="117" t="n">
        <v>0</v>
      </c>
      <c r="T149" s="117" t="n">
        <v>0</v>
      </c>
      <c r="U149" s="117" t="n">
        <v>313029</v>
      </c>
      <c r="V149" s="117" t="s">
        <v>143</v>
      </c>
      <c r="Z149" s="117" t="n">
        <v>100058214</v>
      </c>
      <c r="AD149" s="117" t="n">
        <v>110000</v>
      </c>
      <c r="AE149" s="117" t="s">
        <v>1966</v>
      </c>
      <c r="AF149" s="117" t="n">
        <v>310300</v>
      </c>
      <c r="AG149" s="117" t="s">
        <v>1969</v>
      </c>
      <c r="AI149" s="117" t="n">
        <v>310300</v>
      </c>
      <c r="AJ149" s="117" t="s">
        <v>1969</v>
      </c>
      <c r="AK149" s="117" t="n">
        <v>0</v>
      </c>
      <c r="AL149" s="117" t="n">
        <v>17</v>
      </c>
      <c r="AM149" s="117" t="s">
        <v>225</v>
      </c>
      <c r="AP149" s="117" t="n">
        <v>100058214</v>
      </c>
      <c r="AQ149" s="118" t="n">
        <v>43677</v>
      </c>
      <c r="AR149" s="118" t="n">
        <v>43678</v>
      </c>
      <c r="AS149" s="117" t="n">
        <v>0.202777777777778</v>
      </c>
      <c r="AT149" s="117" t="n">
        <v>0</v>
      </c>
      <c r="AU149" s="117" t="n">
        <v>0</v>
      </c>
      <c r="AX149" s="117" t="n">
        <v>1</v>
      </c>
    </row>
    <row r="150" s="106" customFormat="true" ht="13.8" hidden="true" customHeight="false" outlineLevel="0" collapsed="false">
      <c r="A150" s="106" t="n">
        <v>1000</v>
      </c>
      <c r="B150" s="106" t="s">
        <v>1962</v>
      </c>
      <c r="C150" s="106" t="n">
        <v>104880</v>
      </c>
      <c r="D150" s="106" t="s">
        <v>1193</v>
      </c>
      <c r="E150" s="106" t="s">
        <v>1970</v>
      </c>
      <c r="F150" s="106" t="n">
        <v>1109</v>
      </c>
      <c r="G150" s="106" t="n">
        <v>2019</v>
      </c>
      <c r="H150" s="106" t="n">
        <v>4</v>
      </c>
      <c r="I150" s="129" t="n">
        <v>43668</v>
      </c>
      <c r="J150" s="129" t="n">
        <v>43668</v>
      </c>
      <c r="K150" s="107" t="n">
        <v>3351327.71</v>
      </c>
      <c r="L150" s="130" t="n">
        <f aca="false">K150-Q150+T150</f>
        <v>2840108.23</v>
      </c>
      <c r="M150" s="106" t="s">
        <v>149</v>
      </c>
      <c r="N150" s="106" t="n">
        <v>3351327.71</v>
      </c>
      <c r="O150" s="106" t="s">
        <v>149</v>
      </c>
      <c r="P150" s="106" t="n">
        <v>0</v>
      </c>
      <c r="Q150" s="107" t="n">
        <v>511219.48</v>
      </c>
      <c r="R150" s="106" t="n">
        <v>2840108.23</v>
      </c>
      <c r="S150" s="106" t="n">
        <v>0</v>
      </c>
      <c r="T150" s="106" t="n">
        <v>0</v>
      </c>
      <c r="U150" s="106" t="n">
        <v>311155</v>
      </c>
      <c r="V150" s="106" t="s">
        <v>2022</v>
      </c>
      <c r="Z150" s="106" t="n">
        <v>59854</v>
      </c>
      <c r="AB150" s="106" t="s">
        <v>2029</v>
      </c>
      <c r="AD150" s="106" t="n">
        <v>110000</v>
      </c>
      <c r="AE150" s="106" t="s">
        <v>1966</v>
      </c>
      <c r="AF150" s="106" t="n">
        <v>501005</v>
      </c>
      <c r="AG150" s="106" t="s">
        <v>2033</v>
      </c>
      <c r="AI150" s="106" t="n">
        <v>501005</v>
      </c>
      <c r="AJ150" s="106" t="s">
        <v>2033</v>
      </c>
      <c r="AK150" s="106" t="n">
        <v>0</v>
      </c>
      <c r="AL150" s="106" t="n">
        <v>1</v>
      </c>
      <c r="AM150" s="106" t="s">
        <v>161</v>
      </c>
      <c r="AP150" s="106" t="n">
        <v>100057908</v>
      </c>
      <c r="AQ150" s="129" t="n">
        <v>43677</v>
      </c>
      <c r="AR150" s="129" t="n">
        <v>43668</v>
      </c>
      <c r="AS150" s="106" t="n">
        <v>0.709560185185185</v>
      </c>
      <c r="AT150" s="106" t="n">
        <v>0</v>
      </c>
      <c r="AU150" s="106" t="n">
        <v>0</v>
      </c>
      <c r="AX150" s="106" t="n">
        <v>1</v>
      </c>
      <c r="ALU150" s="0"/>
      <c r="ALV150" s="0"/>
      <c r="ALW150" s="0"/>
      <c r="ALX150" s="0"/>
      <c r="ALY150" s="0"/>
      <c r="ALZ150" s="0"/>
      <c r="AMA150" s="0"/>
      <c r="AMB150" s="0"/>
      <c r="AMC150" s="0"/>
      <c r="AMD150" s="0"/>
      <c r="AME150" s="0"/>
      <c r="AMF150" s="0"/>
      <c r="AMG150" s="0"/>
      <c r="AMH150" s="0"/>
      <c r="AMI150" s="0"/>
      <c r="AMJ150" s="0"/>
    </row>
    <row r="151" customFormat="false" ht="13.8" hidden="true" customHeight="false" outlineLevel="0" collapsed="false">
      <c r="A151" s="117" t="n">
        <v>1000</v>
      </c>
      <c r="B151" s="117" t="s">
        <v>1962</v>
      </c>
      <c r="C151" s="117" t="n">
        <v>100081995</v>
      </c>
      <c r="E151" s="117" t="s">
        <v>1921</v>
      </c>
      <c r="F151" s="117" t="n">
        <v>1108</v>
      </c>
      <c r="G151" s="117" t="n">
        <v>2019</v>
      </c>
      <c r="H151" s="117" t="n">
        <v>5</v>
      </c>
      <c r="I151" s="118" t="n">
        <v>43708</v>
      </c>
      <c r="J151" s="118" t="n">
        <v>43708</v>
      </c>
      <c r="K151" s="119" t="n">
        <v>38.33</v>
      </c>
      <c r="L151" s="128" t="n">
        <f aca="false">K151-Q151+T151</f>
        <v>38.33</v>
      </c>
      <c r="M151" s="117" t="s">
        <v>149</v>
      </c>
      <c r="N151" s="117" t="n">
        <v>38.33</v>
      </c>
      <c r="O151" s="117" t="s">
        <v>149</v>
      </c>
      <c r="P151" s="117" t="n">
        <v>0</v>
      </c>
      <c r="Q151" s="117" t="n">
        <v>0</v>
      </c>
      <c r="R151" s="117" t="n">
        <v>38.33</v>
      </c>
      <c r="S151" s="117" t="n">
        <v>0</v>
      </c>
      <c r="T151" s="117" t="n">
        <v>0</v>
      </c>
      <c r="U151" s="117" t="n">
        <v>312948</v>
      </c>
      <c r="V151" s="117" t="s">
        <v>1984</v>
      </c>
      <c r="Z151" s="117" t="n">
        <v>58874</v>
      </c>
      <c r="AB151" s="117" t="s">
        <v>2099</v>
      </c>
      <c r="AD151" s="117" t="n">
        <v>110000</v>
      </c>
      <c r="AE151" s="117" t="s">
        <v>1966</v>
      </c>
      <c r="AF151" s="117" t="n">
        <v>110000</v>
      </c>
      <c r="AG151" s="117" t="s">
        <v>1966</v>
      </c>
      <c r="AI151" s="117" t="n">
        <v>110000</v>
      </c>
      <c r="AJ151" s="117" t="s">
        <v>1966</v>
      </c>
      <c r="AK151" s="117" t="n">
        <v>0</v>
      </c>
      <c r="AL151" s="117" t="n">
        <v>4</v>
      </c>
      <c r="AM151" s="117" t="s">
        <v>161</v>
      </c>
      <c r="AR151" s="118" t="n">
        <v>43710</v>
      </c>
      <c r="AS151" s="117" t="n">
        <v>0.300902777777778</v>
      </c>
      <c r="AT151" s="117" t="n">
        <v>0</v>
      </c>
      <c r="AU151" s="117" t="n">
        <v>0</v>
      </c>
      <c r="AX151" s="117" t="n">
        <v>1</v>
      </c>
    </row>
    <row r="152" customFormat="false" ht="13.8" hidden="true" customHeight="false" outlineLevel="0" collapsed="false">
      <c r="A152" s="117" t="n">
        <v>1000</v>
      </c>
      <c r="B152" s="117" t="s">
        <v>1962</v>
      </c>
      <c r="C152" s="117" t="n">
        <v>100058209</v>
      </c>
      <c r="E152" s="117" t="s">
        <v>1921</v>
      </c>
      <c r="F152" s="117" t="n">
        <v>1109</v>
      </c>
      <c r="G152" s="117" t="n">
        <v>2019</v>
      </c>
      <c r="H152" s="117" t="n">
        <v>4</v>
      </c>
      <c r="I152" s="118" t="n">
        <v>43677</v>
      </c>
      <c r="J152" s="118" t="n">
        <v>43677</v>
      </c>
      <c r="K152" s="119" t="n">
        <v>450960.6</v>
      </c>
      <c r="L152" s="128" t="n">
        <f aca="false">K152-Q152+T152</f>
        <v>450960.6</v>
      </c>
      <c r="M152" s="117" t="s">
        <v>149</v>
      </c>
      <c r="N152" s="117" t="n">
        <v>450960.6</v>
      </c>
      <c r="O152" s="117" t="s">
        <v>149</v>
      </c>
      <c r="P152" s="117" t="n">
        <v>0</v>
      </c>
      <c r="Q152" s="117" t="n">
        <v>0</v>
      </c>
      <c r="R152" s="117" t="n">
        <v>450960.6</v>
      </c>
      <c r="S152" s="117" t="n">
        <v>0</v>
      </c>
      <c r="T152" s="117" t="n">
        <v>0</v>
      </c>
      <c r="U152" s="117" t="n">
        <v>312193</v>
      </c>
      <c r="V152" s="117" t="s">
        <v>1963</v>
      </c>
      <c r="X152" s="117" t="s">
        <v>2100</v>
      </c>
      <c r="Z152" s="117" t="n">
        <v>2316</v>
      </c>
      <c r="AB152" s="117" t="s">
        <v>1965</v>
      </c>
      <c r="AD152" s="117" t="n">
        <v>110000</v>
      </c>
      <c r="AE152" s="117" t="s">
        <v>1966</v>
      </c>
      <c r="AF152" s="117" t="n">
        <v>110000</v>
      </c>
      <c r="AG152" s="117" t="s">
        <v>1966</v>
      </c>
      <c r="AI152" s="117" t="n">
        <v>110000</v>
      </c>
      <c r="AJ152" s="117" t="s">
        <v>1966</v>
      </c>
      <c r="AK152" s="117" t="n">
        <v>0</v>
      </c>
      <c r="AL152" s="117" t="n">
        <v>4</v>
      </c>
      <c r="AM152" s="117" t="s">
        <v>161</v>
      </c>
      <c r="AP152" s="117" t="n">
        <v>100058463</v>
      </c>
      <c r="AQ152" s="118" t="n">
        <v>43677</v>
      </c>
      <c r="AR152" s="118" t="n">
        <v>43678</v>
      </c>
      <c r="AS152" s="117" t="n">
        <v>0.197037037037037</v>
      </c>
      <c r="AT152" s="117" t="n">
        <v>0</v>
      </c>
      <c r="AU152" s="117" t="n">
        <v>0</v>
      </c>
      <c r="AX152" s="117" t="n">
        <v>3</v>
      </c>
    </row>
    <row r="153" customFormat="false" ht="13.8" hidden="true" customHeight="false" outlineLevel="0" collapsed="false">
      <c r="A153" s="117" t="n">
        <v>1000</v>
      </c>
      <c r="B153" s="117" t="s">
        <v>1962</v>
      </c>
      <c r="C153" s="117" t="n">
        <v>100122462</v>
      </c>
      <c r="E153" s="117" t="s">
        <v>1921</v>
      </c>
      <c r="F153" s="117" t="n">
        <v>1109</v>
      </c>
      <c r="G153" s="117" t="n">
        <v>2019</v>
      </c>
      <c r="H153" s="117" t="n">
        <v>6</v>
      </c>
      <c r="I153" s="118" t="n">
        <v>43738</v>
      </c>
      <c r="J153" s="118" t="n">
        <v>43738</v>
      </c>
      <c r="K153" s="119" t="n">
        <v>-3319165.36</v>
      </c>
      <c r="L153" s="128" t="n">
        <f aca="false">K153-Q153+T153</f>
        <v>-3319165.36</v>
      </c>
      <c r="M153" s="117" t="s">
        <v>149</v>
      </c>
      <c r="N153" s="117" t="n">
        <v>-3319165.36</v>
      </c>
      <c r="O153" s="117" t="s">
        <v>149</v>
      </c>
      <c r="P153" s="117" t="n">
        <v>0</v>
      </c>
      <c r="Q153" s="117" t="n">
        <v>0</v>
      </c>
      <c r="R153" s="117" t="n">
        <v>-3319165.36</v>
      </c>
      <c r="S153" s="117" t="n">
        <v>0</v>
      </c>
      <c r="T153" s="117" t="n">
        <v>0</v>
      </c>
      <c r="U153" s="117" t="n">
        <v>311155</v>
      </c>
      <c r="V153" s="117" t="s">
        <v>2022</v>
      </c>
      <c r="Z153" s="117" t="n">
        <v>100122462</v>
      </c>
      <c r="AD153" s="117" t="n">
        <v>110000</v>
      </c>
      <c r="AE153" s="117" t="s">
        <v>1966</v>
      </c>
      <c r="AF153" s="117" t="n">
        <v>310300</v>
      </c>
      <c r="AG153" s="117" t="s">
        <v>1969</v>
      </c>
      <c r="AI153" s="117" t="n">
        <v>310300</v>
      </c>
      <c r="AJ153" s="117" t="s">
        <v>1969</v>
      </c>
      <c r="AK153" s="117" t="n">
        <v>0</v>
      </c>
      <c r="AL153" s="117" t="n">
        <v>17</v>
      </c>
      <c r="AM153" s="117" t="s">
        <v>225</v>
      </c>
      <c r="AP153" s="117" t="n">
        <v>100122462</v>
      </c>
      <c r="AQ153" s="118" t="n">
        <v>43738</v>
      </c>
      <c r="AR153" s="118" t="n">
        <v>43739</v>
      </c>
      <c r="AS153" s="117" t="n">
        <v>0.475555555555556</v>
      </c>
      <c r="AT153" s="117" t="n">
        <v>0</v>
      </c>
      <c r="AU153" s="117" t="n">
        <v>0</v>
      </c>
      <c r="AX153" s="117" t="n">
        <v>1</v>
      </c>
    </row>
    <row r="154" customFormat="false" ht="13.8" hidden="true" customHeight="false" outlineLevel="0" collapsed="false">
      <c r="A154" s="117" t="n">
        <v>1000</v>
      </c>
      <c r="B154" s="117" t="s">
        <v>1962</v>
      </c>
      <c r="C154" s="117" t="n">
        <v>100122444</v>
      </c>
      <c r="E154" s="117" t="s">
        <v>1921</v>
      </c>
      <c r="F154" s="117" t="n">
        <v>1109</v>
      </c>
      <c r="G154" s="117" t="n">
        <v>2019</v>
      </c>
      <c r="H154" s="117" t="n">
        <v>6</v>
      </c>
      <c r="I154" s="118" t="n">
        <v>43738</v>
      </c>
      <c r="J154" s="118" t="n">
        <v>43738</v>
      </c>
      <c r="K154" s="119" t="n">
        <v>-4249829</v>
      </c>
      <c r="L154" s="128" t="n">
        <f aca="false">K154-Q154+T154</f>
        <v>-4249829</v>
      </c>
      <c r="M154" s="117" t="s">
        <v>149</v>
      </c>
      <c r="N154" s="117" t="n">
        <v>-4249829</v>
      </c>
      <c r="O154" s="117" t="s">
        <v>149</v>
      </c>
      <c r="P154" s="117" t="n">
        <v>0</v>
      </c>
      <c r="Q154" s="117" t="n">
        <v>0</v>
      </c>
      <c r="R154" s="117" t="n">
        <v>-4249829</v>
      </c>
      <c r="S154" s="117" t="n">
        <v>0</v>
      </c>
      <c r="T154" s="117" t="n">
        <v>0</v>
      </c>
      <c r="U154" s="117" t="n">
        <v>305576</v>
      </c>
      <c r="V154" s="117" t="s">
        <v>1973</v>
      </c>
      <c r="Z154" s="117" t="n">
        <v>100122444</v>
      </c>
      <c r="AD154" s="117" t="n">
        <v>110000</v>
      </c>
      <c r="AE154" s="117" t="s">
        <v>1966</v>
      </c>
      <c r="AF154" s="117" t="n">
        <v>310300</v>
      </c>
      <c r="AG154" s="117" t="s">
        <v>1969</v>
      </c>
      <c r="AI154" s="117" t="n">
        <v>310300</v>
      </c>
      <c r="AJ154" s="117" t="s">
        <v>1969</v>
      </c>
      <c r="AK154" s="117" t="n">
        <v>0</v>
      </c>
      <c r="AL154" s="117" t="n">
        <v>17</v>
      </c>
      <c r="AM154" s="117" t="s">
        <v>225</v>
      </c>
      <c r="AP154" s="117" t="n">
        <v>100122444</v>
      </c>
      <c r="AQ154" s="118" t="n">
        <v>43738</v>
      </c>
      <c r="AR154" s="118" t="n">
        <v>43739</v>
      </c>
      <c r="AS154" s="117" t="n">
        <v>0.452604166666667</v>
      </c>
      <c r="AT154" s="117" t="n">
        <v>0</v>
      </c>
      <c r="AU154" s="117" t="n">
        <v>0</v>
      </c>
      <c r="AX154" s="117" t="n">
        <v>2</v>
      </c>
    </row>
    <row r="155" customFormat="false" ht="13.8" hidden="true" customHeight="false" outlineLevel="0" collapsed="false">
      <c r="A155" s="117" t="n">
        <v>1000</v>
      </c>
      <c r="B155" s="117" t="s">
        <v>1962</v>
      </c>
      <c r="C155" s="117" t="n">
        <v>100057905</v>
      </c>
      <c r="E155" s="117" t="s">
        <v>1921</v>
      </c>
      <c r="F155" s="117" t="n">
        <v>1106</v>
      </c>
      <c r="G155" s="117" t="n">
        <v>2019</v>
      </c>
      <c r="H155" s="117" t="n">
        <v>4</v>
      </c>
      <c r="I155" s="118" t="n">
        <v>43677</v>
      </c>
      <c r="J155" s="118" t="n">
        <v>43677</v>
      </c>
      <c r="K155" s="119" t="n">
        <v>-380140.76</v>
      </c>
      <c r="L155" s="128" t="n">
        <f aca="false">K155-Q155+T155</f>
        <v>-380140.76</v>
      </c>
      <c r="M155" s="117" t="s">
        <v>149</v>
      </c>
      <c r="N155" s="117" t="n">
        <v>-380140.76</v>
      </c>
      <c r="O155" s="117" t="s">
        <v>149</v>
      </c>
      <c r="P155" s="117" t="n">
        <v>-380140.76</v>
      </c>
      <c r="Q155" s="117" t="n">
        <v>0</v>
      </c>
      <c r="R155" s="117" t="n">
        <v>-380140.76</v>
      </c>
      <c r="S155" s="117" t="n">
        <v>0</v>
      </c>
      <c r="T155" s="117" t="n">
        <v>0</v>
      </c>
      <c r="U155" s="117" t="n">
        <v>305576</v>
      </c>
      <c r="V155" s="117" t="s">
        <v>1973</v>
      </c>
      <c r="X155" s="117" t="s">
        <v>2101</v>
      </c>
      <c r="Z155" s="117" t="n">
        <v>100057905</v>
      </c>
      <c r="AD155" s="117" t="n">
        <v>310300</v>
      </c>
      <c r="AE155" s="117" t="s">
        <v>1969</v>
      </c>
      <c r="AF155" s="117" t="n">
        <v>310300</v>
      </c>
      <c r="AG155" s="117" t="s">
        <v>1969</v>
      </c>
      <c r="AI155" s="117" t="n">
        <v>310300</v>
      </c>
      <c r="AJ155" s="117" t="s">
        <v>1969</v>
      </c>
      <c r="AK155" s="117" t="n">
        <v>0</v>
      </c>
      <c r="AL155" s="117" t="n">
        <v>19</v>
      </c>
      <c r="AM155" s="117" t="s">
        <v>225</v>
      </c>
      <c r="AN155" s="117" t="s">
        <v>1978</v>
      </c>
      <c r="AP155" s="117" t="n">
        <v>100057907</v>
      </c>
      <c r="AQ155" s="118" t="n">
        <v>43677</v>
      </c>
      <c r="AR155" s="118" t="n">
        <v>43677</v>
      </c>
      <c r="AS155" s="117" t="n">
        <v>0.661875</v>
      </c>
      <c r="AT155" s="117" t="n">
        <v>0</v>
      </c>
      <c r="AU155" s="117" t="n">
        <v>0</v>
      </c>
      <c r="AX155" s="117" t="n">
        <v>1</v>
      </c>
    </row>
    <row r="156" s="106" customFormat="true" ht="13.8" hidden="true" customHeight="false" outlineLevel="0" collapsed="false">
      <c r="A156" s="106" t="n">
        <v>1000</v>
      </c>
      <c r="B156" s="106" t="s">
        <v>1962</v>
      </c>
      <c r="C156" s="106" t="n">
        <v>105297</v>
      </c>
      <c r="D156" s="106" t="s">
        <v>1437</v>
      </c>
      <c r="E156" s="106" t="s">
        <v>1970</v>
      </c>
      <c r="F156" s="106" t="n">
        <v>1109</v>
      </c>
      <c r="G156" s="106" t="n">
        <v>2019</v>
      </c>
      <c r="H156" s="106" t="n">
        <v>4</v>
      </c>
      <c r="I156" s="129" t="n">
        <v>43677</v>
      </c>
      <c r="J156" s="129" t="n">
        <v>43677</v>
      </c>
      <c r="K156" s="107" t="n">
        <v>2839100.39</v>
      </c>
      <c r="L156" s="130" t="n">
        <f aca="false">K156-Q156+T156</f>
        <v>2406017.28</v>
      </c>
      <c r="M156" s="106" t="s">
        <v>149</v>
      </c>
      <c r="N156" s="106" t="n">
        <v>2839100.39</v>
      </c>
      <c r="O156" s="106" t="s">
        <v>149</v>
      </c>
      <c r="P156" s="106" t="n">
        <v>0</v>
      </c>
      <c r="Q156" s="107" t="n">
        <v>433083.11</v>
      </c>
      <c r="R156" s="106" t="n">
        <v>2406017.28</v>
      </c>
      <c r="S156" s="106" t="n">
        <v>0</v>
      </c>
      <c r="T156" s="106" t="n">
        <v>0</v>
      </c>
      <c r="U156" s="106" t="n">
        <v>318179</v>
      </c>
      <c r="V156" s="106" t="s">
        <v>143</v>
      </c>
      <c r="Z156" s="106" t="n">
        <v>60042</v>
      </c>
      <c r="AB156" s="106" t="n">
        <v>3700794717</v>
      </c>
      <c r="AD156" s="106" t="n">
        <v>110000</v>
      </c>
      <c r="AE156" s="106" t="s">
        <v>1966</v>
      </c>
      <c r="AF156" s="106" t="n">
        <v>501005</v>
      </c>
      <c r="AG156" s="106" t="s">
        <v>2033</v>
      </c>
      <c r="AI156" s="106" t="n">
        <v>501005</v>
      </c>
      <c r="AJ156" s="106" t="s">
        <v>2033</v>
      </c>
      <c r="AK156" s="106" t="n">
        <v>0</v>
      </c>
      <c r="AL156" s="106" t="n">
        <v>1</v>
      </c>
      <c r="AM156" s="106" t="s">
        <v>161</v>
      </c>
      <c r="AP156" s="106" t="n">
        <v>100058249</v>
      </c>
      <c r="AQ156" s="129" t="n">
        <v>43677</v>
      </c>
      <c r="AR156" s="129" t="n">
        <v>43677</v>
      </c>
      <c r="AS156" s="106" t="n">
        <v>0.506828703703704</v>
      </c>
      <c r="AT156" s="106" t="n">
        <v>0</v>
      </c>
      <c r="AU156" s="106" t="n">
        <v>0</v>
      </c>
      <c r="AX156" s="106" t="n">
        <v>1</v>
      </c>
      <c r="ALU156" s="0"/>
      <c r="ALV156" s="0"/>
      <c r="ALW156" s="0"/>
      <c r="ALX156" s="0"/>
      <c r="ALY156" s="0"/>
      <c r="ALZ156" s="0"/>
      <c r="AMA156" s="0"/>
      <c r="AMB156" s="0"/>
      <c r="AMC156" s="0"/>
      <c r="AMD156" s="0"/>
      <c r="AME156" s="0"/>
      <c r="AMF156" s="0"/>
      <c r="AMG156" s="0"/>
      <c r="AMH156" s="0"/>
      <c r="AMI156" s="0"/>
      <c r="AMJ156" s="0"/>
    </row>
    <row r="157" customFormat="false" ht="13.8" hidden="true" customHeight="false" outlineLevel="0" collapsed="false">
      <c r="A157" s="117" t="n">
        <v>1000</v>
      </c>
      <c r="B157" s="117" t="s">
        <v>1962</v>
      </c>
      <c r="C157" s="117" t="n">
        <v>100081987</v>
      </c>
      <c r="E157" s="117" t="s">
        <v>1921</v>
      </c>
      <c r="F157" s="117" t="n">
        <v>1109</v>
      </c>
      <c r="G157" s="117" t="n">
        <v>2019</v>
      </c>
      <c r="H157" s="117" t="n">
        <v>5</v>
      </c>
      <c r="I157" s="118" t="n">
        <v>43708</v>
      </c>
      <c r="J157" s="118" t="n">
        <v>43708</v>
      </c>
      <c r="K157" s="119" t="n">
        <v>-3942514.09</v>
      </c>
      <c r="L157" s="128" t="n">
        <f aca="false">K157-Q157+T157</f>
        <v>-3942514.09</v>
      </c>
      <c r="M157" s="117" t="s">
        <v>149</v>
      </c>
      <c r="N157" s="117" t="n">
        <v>-3942514.09</v>
      </c>
      <c r="O157" s="117" t="s">
        <v>149</v>
      </c>
      <c r="P157" s="117" t="n">
        <v>0</v>
      </c>
      <c r="Q157" s="117" t="n">
        <v>0</v>
      </c>
      <c r="R157" s="117" t="n">
        <v>-3942514.09</v>
      </c>
      <c r="S157" s="117" t="n">
        <v>0</v>
      </c>
      <c r="T157" s="117" t="n">
        <v>0</v>
      </c>
      <c r="U157" s="117" t="n">
        <v>311155</v>
      </c>
      <c r="V157" s="117" t="s">
        <v>2022</v>
      </c>
      <c r="Z157" s="117" t="n">
        <v>100081987</v>
      </c>
      <c r="AD157" s="117" t="n">
        <v>110000</v>
      </c>
      <c r="AE157" s="117" t="s">
        <v>1966</v>
      </c>
      <c r="AF157" s="117" t="n">
        <v>110000</v>
      </c>
      <c r="AG157" s="117" t="s">
        <v>1966</v>
      </c>
      <c r="AI157" s="117" t="n">
        <v>110000</v>
      </c>
      <c r="AJ157" s="117" t="s">
        <v>1966</v>
      </c>
      <c r="AK157" s="117" t="n">
        <v>0</v>
      </c>
      <c r="AL157" s="117" t="n">
        <v>17</v>
      </c>
      <c r="AM157" s="117" t="s">
        <v>225</v>
      </c>
      <c r="AP157" s="117" t="n">
        <v>100081987</v>
      </c>
      <c r="AQ157" s="118" t="n">
        <v>43708</v>
      </c>
      <c r="AR157" s="118" t="n">
        <v>43710</v>
      </c>
      <c r="AS157" s="117" t="n">
        <v>0.294097222222222</v>
      </c>
      <c r="AT157" s="117" t="n">
        <v>0</v>
      </c>
      <c r="AU157" s="117" t="n">
        <v>0</v>
      </c>
      <c r="AX157" s="117" t="n">
        <v>2</v>
      </c>
    </row>
    <row r="158" customFormat="false" ht="13.8" hidden="true" customHeight="false" outlineLevel="0" collapsed="false">
      <c r="A158" s="117" t="n">
        <v>1000</v>
      </c>
      <c r="B158" s="117" t="s">
        <v>1962</v>
      </c>
      <c r="C158" s="117" t="n">
        <v>100123327</v>
      </c>
      <c r="E158" s="117" t="s">
        <v>1921</v>
      </c>
      <c r="F158" s="117" t="n">
        <v>1109</v>
      </c>
      <c r="G158" s="117" t="n">
        <v>2019</v>
      </c>
      <c r="H158" s="117" t="n">
        <v>6</v>
      </c>
      <c r="I158" s="118" t="n">
        <v>43738</v>
      </c>
      <c r="J158" s="118" t="n">
        <v>43738</v>
      </c>
      <c r="K158" s="119" t="n">
        <v>384</v>
      </c>
      <c r="L158" s="128" t="n">
        <f aca="false">K158-Q158+T158</f>
        <v>384</v>
      </c>
      <c r="M158" s="117" t="s">
        <v>149</v>
      </c>
      <c r="N158" s="117" t="n">
        <v>384</v>
      </c>
      <c r="O158" s="117" t="s">
        <v>149</v>
      </c>
      <c r="P158" s="117" t="n">
        <v>0</v>
      </c>
      <c r="Q158" s="117" t="n">
        <v>0</v>
      </c>
      <c r="R158" s="117" t="n">
        <v>384</v>
      </c>
      <c r="S158" s="117" t="n">
        <v>0</v>
      </c>
      <c r="T158" s="117" t="n">
        <v>0</v>
      </c>
      <c r="U158" s="117" t="n">
        <v>304431</v>
      </c>
      <c r="V158" s="117" t="s">
        <v>2016</v>
      </c>
      <c r="X158" s="117" t="s">
        <v>2102</v>
      </c>
      <c r="Z158" s="117" t="n">
        <v>2247</v>
      </c>
      <c r="AB158" s="117" t="s">
        <v>2043</v>
      </c>
      <c r="AD158" s="117" t="n">
        <v>110000</v>
      </c>
      <c r="AE158" s="117" t="s">
        <v>1966</v>
      </c>
      <c r="AF158" s="117" t="n">
        <v>110000</v>
      </c>
      <c r="AG158" s="117" t="s">
        <v>1966</v>
      </c>
      <c r="AI158" s="117" t="n">
        <v>110000</v>
      </c>
      <c r="AJ158" s="117" t="s">
        <v>1966</v>
      </c>
      <c r="AK158" s="117" t="n">
        <v>0</v>
      </c>
      <c r="AL158" s="117" t="n">
        <v>4</v>
      </c>
      <c r="AM158" s="117" t="s">
        <v>161</v>
      </c>
      <c r="AP158" s="117" t="n">
        <v>100143915</v>
      </c>
      <c r="AQ158" s="118" t="n">
        <v>43769</v>
      </c>
      <c r="AR158" s="118" t="n">
        <v>43739</v>
      </c>
      <c r="AS158" s="117" t="n">
        <v>0.614930555555556</v>
      </c>
      <c r="AT158" s="117" t="n">
        <v>0</v>
      </c>
      <c r="AU158" s="117" t="n">
        <v>0</v>
      </c>
      <c r="AX158" s="117" t="n">
        <v>2</v>
      </c>
    </row>
    <row r="159" customFormat="false" ht="13.8" hidden="true" customHeight="false" outlineLevel="0" collapsed="false">
      <c r="A159" s="117" t="n">
        <v>1000</v>
      </c>
      <c r="B159" s="117" t="s">
        <v>1962</v>
      </c>
      <c r="C159" s="117" t="n">
        <v>100082045</v>
      </c>
      <c r="E159" s="117" t="s">
        <v>1921</v>
      </c>
      <c r="F159" s="117" t="n">
        <v>1101</v>
      </c>
      <c r="G159" s="117" t="n">
        <v>2019</v>
      </c>
      <c r="H159" s="117" t="n">
        <v>5</v>
      </c>
      <c r="I159" s="118" t="n">
        <v>43708</v>
      </c>
      <c r="J159" s="118" t="n">
        <v>43708</v>
      </c>
      <c r="K159" s="119" t="n">
        <v>-14911606.95</v>
      </c>
      <c r="L159" s="128" t="n">
        <f aca="false">K159-Q159+T159</f>
        <v>-14911606.95</v>
      </c>
      <c r="M159" s="117" t="s">
        <v>149</v>
      </c>
      <c r="N159" s="117" t="n">
        <v>-14911606.95</v>
      </c>
      <c r="O159" s="117" t="s">
        <v>149</v>
      </c>
      <c r="P159" s="117" t="n">
        <v>0</v>
      </c>
      <c r="Q159" s="117" t="n">
        <v>0</v>
      </c>
      <c r="R159" s="117" t="n">
        <v>-14911606.95</v>
      </c>
      <c r="S159" s="117" t="n">
        <v>0</v>
      </c>
      <c r="T159" s="117" t="n">
        <v>0</v>
      </c>
      <c r="U159" s="117" t="n">
        <v>318999</v>
      </c>
      <c r="V159" s="117" t="s">
        <v>143</v>
      </c>
      <c r="Z159" s="117" t="n">
        <v>100082045</v>
      </c>
      <c r="AD159" s="117" t="n">
        <v>110000</v>
      </c>
      <c r="AE159" s="117" t="s">
        <v>1966</v>
      </c>
      <c r="AF159" s="117" t="n">
        <v>110000</v>
      </c>
      <c r="AG159" s="117" t="s">
        <v>1966</v>
      </c>
      <c r="AI159" s="117" t="n">
        <v>110000</v>
      </c>
      <c r="AJ159" s="117" t="s">
        <v>1966</v>
      </c>
      <c r="AK159" s="117" t="n">
        <v>0</v>
      </c>
      <c r="AL159" s="117" t="n">
        <v>17</v>
      </c>
      <c r="AM159" s="117" t="s">
        <v>225</v>
      </c>
      <c r="AP159" s="117" t="n">
        <v>100082045</v>
      </c>
      <c r="AQ159" s="118" t="n">
        <v>43708</v>
      </c>
      <c r="AR159" s="118" t="n">
        <v>43710</v>
      </c>
      <c r="AS159" s="117" t="n">
        <v>0.352673611111111</v>
      </c>
      <c r="AT159" s="117" t="n">
        <v>0</v>
      </c>
      <c r="AU159" s="117" t="n">
        <v>0</v>
      </c>
      <c r="AX159" s="117" t="n">
        <v>4</v>
      </c>
    </row>
    <row r="160" s="106" customFormat="true" ht="13.8" hidden="true" customHeight="false" outlineLevel="0" collapsed="false">
      <c r="A160" s="106" t="n">
        <v>1000</v>
      </c>
      <c r="B160" s="106" t="s">
        <v>1962</v>
      </c>
      <c r="C160" s="106" t="n">
        <v>105299</v>
      </c>
      <c r="D160" s="106" t="s">
        <v>1422</v>
      </c>
      <c r="E160" s="106" t="s">
        <v>1970</v>
      </c>
      <c r="F160" s="106" t="n">
        <v>1109</v>
      </c>
      <c r="G160" s="106" t="n">
        <v>2019</v>
      </c>
      <c r="H160" s="106" t="n">
        <v>4</v>
      </c>
      <c r="I160" s="129" t="n">
        <v>43677</v>
      </c>
      <c r="J160" s="129" t="n">
        <v>43677</v>
      </c>
      <c r="K160" s="107" t="n">
        <v>775455.45</v>
      </c>
      <c r="L160" s="130" t="n">
        <f aca="false">K160-Q160+T160</f>
        <v>657165.64</v>
      </c>
      <c r="M160" s="106" t="s">
        <v>149</v>
      </c>
      <c r="N160" s="106" t="n">
        <v>775455.45</v>
      </c>
      <c r="O160" s="106" t="s">
        <v>149</v>
      </c>
      <c r="P160" s="106" t="n">
        <v>0</v>
      </c>
      <c r="Q160" s="107" t="n">
        <v>118289.81</v>
      </c>
      <c r="R160" s="106" t="n">
        <v>657165.64</v>
      </c>
      <c r="S160" s="106" t="n">
        <v>0</v>
      </c>
      <c r="T160" s="106" t="n">
        <v>0</v>
      </c>
      <c r="U160" s="106" t="n">
        <v>318179</v>
      </c>
      <c r="V160" s="106" t="s">
        <v>143</v>
      </c>
      <c r="Z160" s="106" t="n">
        <v>60043</v>
      </c>
      <c r="AB160" s="106" t="n">
        <v>3700794717</v>
      </c>
      <c r="AD160" s="106" t="n">
        <v>110000</v>
      </c>
      <c r="AE160" s="106" t="s">
        <v>1966</v>
      </c>
      <c r="AF160" s="106" t="n">
        <v>501005</v>
      </c>
      <c r="AG160" s="106" t="s">
        <v>2033</v>
      </c>
      <c r="AI160" s="106" t="n">
        <v>501005</v>
      </c>
      <c r="AJ160" s="106" t="s">
        <v>2033</v>
      </c>
      <c r="AK160" s="106" t="n">
        <v>0</v>
      </c>
      <c r="AL160" s="106" t="n">
        <v>1</v>
      </c>
      <c r="AM160" s="106" t="s">
        <v>161</v>
      </c>
      <c r="AP160" s="106" t="n">
        <v>100058249</v>
      </c>
      <c r="AQ160" s="129" t="n">
        <v>43677</v>
      </c>
      <c r="AR160" s="129" t="n">
        <v>43677</v>
      </c>
      <c r="AS160" s="106" t="n">
        <v>0.507638888888889</v>
      </c>
      <c r="AT160" s="106" t="n">
        <v>0</v>
      </c>
      <c r="AU160" s="106" t="n">
        <v>0</v>
      </c>
      <c r="AX160" s="106" t="n">
        <v>1</v>
      </c>
      <c r="ALU160" s="0"/>
      <c r="ALV160" s="0"/>
      <c r="ALW160" s="0"/>
      <c r="ALX160" s="0"/>
      <c r="ALY160" s="0"/>
      <c r="ALZ160" s="0"/>
      <c r="AMA160" s="0"/>
      <c r="AMB160" s="0"/>
      <c r="AMC160" s="0"/>
      <c r="AMD160" s="0"/>
      <c r="AME160" s="0"/>
      <c r="AMF160" s="0"/>
      <c r="AMG160" s="0"/>
      <c r="AMH160" s="0"/>
      <c r="AMI160" s="0"/>
      <c r="AMJ160" s="0"/>
    </row>
    <row r="161" customFormat="false" ht="13.8" hidden="true" customHeight="false" outlineLevel="0" collapsed="false">
      <c r="A161" s="117" t="n">
        <v>1000</v>
      </c>
      <c r="B161" s="117" t="s">
        <v>1962</v>
      </c>
      <c r="C161" s="117" t="n">
        <v>100082479</v>
      </c>
      <c r="E161" s="117" t="s">
        <v>1921</v>
      </c>
      <c r="F161" s="117" t="n">
        <v>1101</v>
      </c>
      <c r="G161" s="117" t="n">
        <v>2019</v>
      </c>
      <c r="H161" s="117" t="n">
        <v>5</v>
      </c>
      <c r="I161" s="118" t="n">
        <v>43708</v>
      </c>
      <c r="J161" s="118" t="n">
        <v>43708</v>
      </c>
      <c r="K161" s="119" t="n">
        <v>-1437239.38</v>
      </c>
      <c r="L161" s="128" t="n">
        <f aca="false">K161-Q161+T161</f>
        <v>-1437239.38</v>
      </c>
      <c r="M161" s="117" t="s">
        <v>149</v>
      </c>
      <c r="N161" s="117" t="n">
        <v>-1437239.38</v>
      </c>
      <c r="O161" s="117" t="s">
        <v>149</v>
      </c>
      <c r="P161" s="117" t="n">
        <v>0</v>
      </c>
      <c r="Q161" s="117" t="n">
        <v>0</v>
      </c>
      <c r="R161" s="117" t="n">
        <v>-1437239.38</v>
      </c>
      <c r="S161" s="117" t="n">
        <v>0</v>
      </c>
      <c r="T161" s="117" t="n">
        <v>0</v>
      </c>
      <c r="U161" s="117" t="n">
        <v>318999</v>
      </c>
      <c r="V161" s="117" t="s">
        <v>143</v>
      </c>
      <c r="Z161" s="117" t="n">
        <v>100082479</v>
      </c>
      <c r="AD161" s="117" t="n">
        <v>110000</v>
      </c>
      <c r="AE161" s="117" t="s">
        <v>1966</v>
      </c>
      <c r="AF161" s="117" t="n">
        <v>110000</v>
      </c>
      <c r="AG161" s="117" t="s">
        <v>1966</v>
      </c>
      <c r="AI161" s="117" t="n">
        <v>110000</v>
      </c>
      <c r="AJ161" s="117" t="s">
        <v>1966</v>
      </c>
      <c r="AK161" s="117" t="n">
        <v>0</v>
      </c>
      <c r="AL161" s="117" t="n">
        <v>17</v>
      </c>
      <c r="AM161" s="117" t="s">
        <v>225</v>
      </c>
      <c r="AP161" s="117" t="n">
        <v>100082479</v>
      </c>
      <c r="AQ161" s="118" t="n">
        <v>43708</v>
      </c>
      <c r="AR161" s="118" t="n">
        <v>43711</v>
      </c>
      <c r="AS161" s="117" t="n">
        <v>0.238310185185185</v>
      </c>
      <c r="AT161" s="117" t="n">
        <v>0</v>
      </c>
      <c r="AU161" s="117" t="n">
        <v>0</v>
      </c>
      <c r="AX161" s="117" t="n">
        <v>3</v>
      </c>
    </row>
    <row r="162" customFormat="false" ht="13.8" hidden="true" customHeight="false" outlineLevel="0" collapsed="false">
      <c r="A162" s="117" t="n">
        <v>1000</v>
      </c>
      <c r="B162" s="117" t="s">
        <v>1962</v>
      </c>
      <c r="C162" s="117" t="n">
        <v>100057890</v>
      </c>
      <c r="E162" s="117" t="s">
        <v>1921</v>
      </c>
      <c r="F162" s="117" t="n">
        <v>1101</v>
      </c>
      <c r="G162" s="117" t="n">
        <v>2019</v>
      </c>
      <c r="H162" s="117" t="n">
        <v>4</v>
      </c>
      <c r="I162" s="118" t="n">
        <v>43677</v>
      </c>
      <c r="J162" s="118" t="n">
        <v>43677</v>
      </c>
      <c r="K162" s="119" t="n">
        <v>2222150.64</v>
      </c>
      <c r="L162" s="128" t="n">
        <f aca="false">K162-Q162+T162</f>
        <v>2222150.64</v>
      </c>
      <c r="M162" s="117" t="s">
        <v>149</v>
      </c>
      <c r="N162" s="117" t="n">
        <v>2222150.64</v>
      </c>
      <c r="O162" s="117" t="s">
        <v>149</v>
      </c>
      <c r="P162" s="117" t="n">
        <v>0</v>
      </c>
      <c r="Q162" s="117" t="n">
        <v>0</v>
      </c>
      <c r="R162" s="117" t="n">
        <v>2222150.64</v>
      </c>
      <c r="S162" s="117" t="n">
        <v>0</v>
      </c>
      <c r="T162" s="117" t="n">
        <v>0</v>
      </c>
      <c r="U162" s="117" t="n">
        <v>312193</v>
      </c>
      <c r="V162" s="117" t="s">
        <v>1963</v>
      </c>
      <c r="Z162" s="117" t="n">
        <v>100057890</v>
      </c>
      <c r="AD162" s="117" t="n">
        <v>310300</v>
      </c>
      <c r="AE162" s="117" t="s">
        <v>1969</v>
      </c>
      <c r="AF162" s="117" t="n">
        <v>110000</v>
      </c>
      <c r="AG162" s="117" t="s">
        <v>1966</v>
      </c>
      <c r="AI162" s="117" t="n">
        <v>110000</v>
      </c>
      <c r="AJ162" s="117" t="s">
        <v>1966</v>
      </c>
      <c r="AK162" s="117" t="n">
        <v>0</v>
      </c>
      <c r="AL162" s="117" t="n">
        <v>9</v>
      </c>
      <c r="AM162" s="117" t="s">
        <v>161</v>
      </c>
      <c r="AN162" s="117" t="s">
        <v>1978</v>
      </c>
      <c r="AP162" s="117" t="n">
        <v>100057890</v>
      </c>
      <c r="AQ162" s="118" t="n">
        <v>43677</v>
      </c>
      <c r="AR162" s="118" t="n">
        <v>43677</v>
      </c>
      <c r="AS162" s="117" t="n">
        <v>0.622083333333333</v>
      </c>
      <c r="AT162" s="117" t="n">
        <v>0</v>
      </c>
      <c r="AU162" s="117" t="n">
        <v>0</v>
      </c>
      <c r="AX162" s="117" t="n">
        <v>8</v>
      </c>
    </row>
    <row r="163" customFormat="false" ht="13.8" hidden="true" customHeight="false" outlineLevel="0" collapsed="false">
      <c r="A163" s="117" t="n">
        <v>1000</v>
      </c>
      <c r="B163" s="117" t="s">
        <v>1962</v>
      </c>
      <c r="C163" s="117" t="n">
        <v>100058205</v>
      </c>
      <c r="E163" s="117" t="s">
        <v>1921</v>
      </c>
      <c r="F163" s="117" t="n">
        <v>1106</v>
      </c>
      <c r="G163" s="117" t="n">
        <v>2019</v>
      </c>
      <c r="H163" s="117" t="n">
        <v>4</v>
      </c>
      <c r="I163" s="118" t="n">
        <v>43677</v>
      </c>
      <c r="J163" s="118" t="n">
        <v>43677</v>
      </c>
      <c r="K163" s="119" t="n">
        <v>41713</v>
      </c>
      <c r="L163" s="128" t="n">
        <f aca="false">K163-Q163+T163</f>
        <v>41713</v>
      </c>
      <c r="M163" s="117" t="s">
        <v>149</v>
      </c>
      <c r="N163" s="117" t="n">
        <v>41713</v>
      </c>
      <c r="O163" s="117" t="s">
        <v>149</v>
      </c>
      <c r="P163" s="117" t="n">
        <v>0</v>
      </c>
      <c r="Q163" s="117" t="n">
        <v>0</v>
      </c>
      <c r="R163" s="117" t="n">
        <v>41713</v>
      </c>
      <c r="S163" s="117" t="n">
        <v>0</v>
      </c>
      <c r="T163" s="117" t="n">
        <v>0</v>
      </c>
      <c r="U163" s="117" t="n">
        <v>312193</v>
      </c>
      <c r="V163" s="117" t="s">
        <v>1963</v>
      </c>
      <c r="Z163" s="117" t="n">
        <v>100058205</v>
      </c>
      <c r="AD163" s="117" t="n">
        <v>310300</v>
      </c>
      <c r="AE163" s="117" t="s">
        <v>1969</v>
      </c>
      <c r="AF163" s="117" t="n">
        <v>110000</v>
      </c>
      <c r="AG163" s="117" t="s">
        <v>1966</v>
      </c>
      <c r="AI163" s="117" t="n">
        <v>110000</v>
      </c>
      <c r="AJ163" s="117" t="s">
        <v>1966</v>
      </c>
      <c r="AK163" s="117" t="n">
        <v>0</v>
      </c>
      <c r="AL163" s="117" t="n">
        <v>9</v>
      </c>
      <c r="AM163" s="117" t="s">
        <v>161</v>
      </c>
      <c r="AN163" s="117" t="s">
        <v>1978</v>
      </c>
      <c r="AP163" s="117" t="n">
        <v>100058205</v>
      </c>
      <c r="AQ163" s="118" t="n">
        <v>43677</v>
      </c>
      <c r="AR163" s="118" t="n">
        <v>43678</v>
      </c>
      <c r="AS163" s="117" t="n">
        <v>0.194618055555556</v>
      </c>
      <c r="AT163" s="117" t="n">
        <v>0</v>
      </c>
      <c r="AU163" s="117" t="n">
        <v>0</v>
      </c>
      <c r="AX163" s="117" t="n">
        <v>2</v>
      </c>
    </row>
    <row r="164" customFormat="false" ht="13.8" hidden="true" customHeight="false" outlineLevel="0" collapsed="false">
      <c r="A164" s="117" t="n">
        <v>1000</v>
      </c>
      <c r="B164" s="117" t="s">
        <v>1962</v>
      </c>
      <c r="C164" s="117" t="n">
        <v>100123327</v>
      </c>
      <c r="E164" s="117" t="s">
        <v>1921</v>
      </c>
      <c r="F164" s="117" t="n">
        <v>1109</v>
      </c>
      <c r="G164" s="117" t="n">
        <v>2019</v>
      </c>
      <c r="H164" s="117" t="n">
        <v>6</v>
      </c>
      <c r="I164" s="118" t="n">
        <v>43738</v>
      </c>
      <c r="J164" s="118" t="n">
        <v>43738</v>
      </c>
      <c r="K164" s="119" t="n">
        <v>6336</v>
      </c>
      <c r="L164" s="128" t="n">
        <f aca="false">K164-Q164+T164</f>
        <v>6336</v>
      </c>
      <c r="M164" s="117" t="s">
        <v>149</v>
      </c>
      <c r="N164" s="117" t="n">
        <v>6336</v>
      </c>
      <c r="O164" s="117" t="s">
        <v>149</v>
      </c>
      <c r="P164" s="117" t="n">
        <v>0</v>
      </c>
      <c r="Q164" s="117" t="n">
        <v>0</v>
      </c>
      <c r="R164" s="117" t="n">
        <v>6336</v>
      </c>
      <c r="S164" s="117" t="n">
        <v>0</v>
      </c>
      <c r="T164" s="117" t="n">
        <v>0</v>
      </c>
      <c r="U164" s="117" t="n">
        <v>304431</v>
      </c>
      <c r="V164" s="117" t="s">
        <v>2016</v>
      </c>
      <c r="X164" s="117" t="s">
        <v>2103</v>
      </c>
      <c r="Z164" s="117" t="n">
        <v>2417</v>
      </c>
      <c r="AB164" s="117" t="s">
        <v>2082</v>
      </c>
      <c r="AD164" s="117" t="n">
        <v>110000</v>
      </c>
      <c r="AE164" s="117" t="s">
        <v>1966</v>
      </c>
      <c r="AF164" s="117" t="n">
        <v>110000</v>
      </c>
      <c r="AG164" s="117" t="s">
        <v>1966</v>
      </c>
      <c r="AI164" s="117" t="n">
        <v>110000</v>
      </c>
      <c r="AJ164" s="117" t="s">
        <v>1966</v>
      </c>
      <c r="AK164" s="117" t="n">
        <v>0</v>
      </c>
      <c r="AL164" s="117" t="n">
        <v>4</v>
      </c>
      <c r="AM164" s="117" t="s">
        <v>161</v>
      </c>
      <c r="AP164" s="117" t="n">
        <v>100143915</v>
      </c>
      <c r="AQ164" s="118" t="n">
        <v>43769</v>
      </c>
      <c r="AR164" s="118" t="n">
        <v>43739</v>
      </c>
      <c r="AS164" s="117" t="n">
        <v>0.614930555555556</v>
      </c>
      <c r="AT164" s="117" t="n">
        <v>0</v>
      </c>
      <c r="AU164" s="117" t="n">
        <v>0</v>
      </c>
      <c r="AX164" s="117" t="n">
        <v>1</v>
      </c>
    </row>
    <row r="165" customFormat="false" ht="13.8" hidden="true" customHeight="false" outlineLevel="0" collapsed="false">
      <c r="A165" s="117" t="n">
        <v>1000</v>
      </c>
      <c r="B165" s="117" t="s">
        <v>1962</v>
      </c>
      <c r="C165" s="117" t="n">
        <v>100058463</v>
      </c>
      <c r="E165" s="117" t="s">
        <v>1921</v>
      </c>
      <c r="F165" s="117" t="n">
        <v>1109</v>
      </c>
      <c r="G165" s="117" t="n">
        <v>2019</v>
      </c>
      <c r="H165" s="117" t="n">
        <v>4</v>
      </c>
      <c r="I165" s="118" t="n">
        <v>43677</v>
      </c>
      <c r="J165" s="118" t="n">
        <v>43677</v>
      </c>
      <c r="K165" s="119" t="n">
        <v>-1646863.46</v>
      </c>
      <c r="L165" s="128" t="n">
        <f aca="false">K165-Q165+T165</f>
        <v>-1646863.46</v>
      </c>
      <c r="M165" s="117" t="s">
        <v>149</v>
      </c>
      <c r="N165" s="117" t="n">
        <v>-1646863.46</v>
      </c>
      <c r="O165" s="117" t="s">
        <v>149</v>
      </c>
      <c r="P165" s="117" t="n">
        <v>0</v>
      </c>
      <c r="Q165" s="117" t="n">
        <v>0</v>
      </c>
      <c r="R165" s="117" t="n">
        <v>-1646863.46</v>
      </c>
      <c r="S165" s="117" t="n">
        <v>0</v>
      </c>
      <c r="T165" s="117" t="n">
        <v>0</v>
      </c>
      <c r="U165" s="117" t="n">
        <v>312193</v>
      </c>
      <c r="V165" s="117" t="s">
        <v>1963</v>
      </c>
      <c r="Z165" s="117" t="n">
        <v>100058463</v>
      </c>
      <c r="AD165" s="117" t="n">
        <v>110000</v>
      </c>
      <c r="AE165" s="117" t="s">
        <v>1966</v>
      </c>
      <c r="AF165" s="117" t="n">
        <v>110000</v>
      </c>
      <c r="AG165" s="117" t="s">
        <v>1966</v>
      </c>
      <c r="AI165" s="117" t="n">
        <v>110000</v>
      </c>
      <c r="AJ165" s="117" t="s">
        <v>1966</v>
      </c>
      <c r="AK165" s="117" t="n">
        <v>0</v>
      </c>
      <c r="AL165" s="117" t="n">
        <v>17</v>
      </c>
      <c r="AM165" s="117" t="s">
        <v>225</v>
      </c>
      <c r="AP165" s="117" t="n">
        <v>100058463</v>
      </c>
      <c r="AQ165" s="118" t="n">
        <v>43677</v>
      </c>
      <c r="AR165" s="118" t="n">
        <v>43678</v>
      </c>
      <c r="AS165" s="117" t="n">
        <v>0.576759259259259</v>
      </c>
      <c r="AT165" s="117" t="n">
        <v>0</v>
      </c>
      <c r="AU165" s="117" t="n">
        <v>0</v>
      </c>
      <c r="AX165" s="117" t="n">
        <v>5</v>
      </c>
    </row>
    <row r="166" customFormat="false" ht="13.8" hidden="true" customHeight="false" outlineLevel="0" collapsed="false">
      <c r="A166" s="117" t="n">
        <v>1000</v>
      </c>
      <c r="B166" s="117" t="s">
        <v>1962</v>
      </c>
      <c r="C166" s="117" t="n">
        <v>1400005133</v>
      </c>
      <c r="E166" s="117" t="s">
        <v>1972</v>
      </c>
      <c r="F166" s="117" t="n">
        <v>1101</v>
      </c>
      <c r="G166" s="117" t="n">
        <v>2019</v>
      </c>
      <c r="H166" s="117" t="n">
        <v>5</v>
      </c>
      <c r="I166" s="118" t="n">
        <v>43683</v>
      </c>
      <c r="J166" s="118" t="n">
        <v>43683</v>
      </c>
      <c r="K166" s="119" t="n">
        <v>-992081</v>
      </c>
      <c r="L166" s="128" t="n">
        <f aca="false">K166-Q166+T166</f>
        <v>-992081</v>
      </c>
      <c r="M166" s="117" t="s">
        <v>149</v>
      </c>
      <c r="N166" s="117" t="n">
        <v>-992081</v>
      </c>
      <c r="O166" s="117" t="s">
        <v>149</v>
      </c>
      <c r="P166" s="117" t="n">
        <v>0</v>
      </c>
      <c r="Q166" s="117" t="n">
        <v>0</v>
      </c>
      <c r="R166" s="117" t="n">
        <v>-992081</v>
      </c>
      <c r="S166" s="117" t="n">
        <v>0</v>
      </c>
      <c r="T166" s="117" t="n">
        <v>0</v>
      </c>
      <c r="U166" s="117" t="n">
        <v>312193</v>
      </c>
      <c r="V166" s="117" t="s">
        <v>1963</v>
      </c>
      <c r="X166" s="117" t="s">
        <v>2104</v>
      </c>
      <c r="Y166" s="117" t="s">
        <v>2105</v>
      </c>
      <c r="Z166" s="117" t="n">
        <v>1400005133</v>
      </c>
      <c r="AC166" s="117" t="s">
        <v>1976</v>
      </c>
      <c r="AD166" s="117" t="n">
        <v>310300</v>
      </c>
      <c r="AE166" s="117" t="s">
        <v>1969</v>
      </c>
      <c r="AF166" s="117" t="n">
        <v>101105</v>
      </c>
      <c r="AG166" s="117" t="s">
        <v>1977</v>
      </c>
      <c r="AI166" s="117" t="n">
        <v>101105</v>
      </c>
      <c r="AJ166" s="117" t="s">
        <v>1977</v>
      </c>
      <c r="AK166" s="117" t="n">
        <v>0</v>
      </c>
      <c r="AL166" s="117" t="n">
        <v>19</v>
      </c>
      <c r="AM166" s="117" t="s">
        <v>225</v>
      </c>
      <c r="AN166" s="117" t="s">
        <v>1978</v>
      </c>
      <c r="AP166" s="117" t="n">
        <v>100078765</v>
      </c>
      <c r="AQ166" s="118" t="n">
        <v>43706</v>
      </c>
      <c r="AR166" s="118" t="n">
        <v>43699</v>
      </c>
      <c r="AS166" s="117" t="n">
        <v>0.536458333333333</v>
      </c>
      <c r="AT166" s="117" t="n">
        <v>0</v>
      </c>
      <c r="AU166" s="117" t="n">
        <v>0</v>
      </c>
      <c r="AX166" s="117" t="n">
        <v>2</v>
      </c>
    </row>
    <row r="167" s="106" customFormat="true" ht="13.8" hidden="true" customHeight="false" outlineLevel="0" collapsed="false">
      <c r="A167" s="106" t="n">
        <v>1000</v>
      </c>
      <c r="B167" s="106" t="s">
        <v>1962</v>
      </c>
      <c r="C167" s="106" t="n">
        <v>105511</v>
      </c>
      <c r="D167" s="106" t="s">
        <v>1384</v>
      </c>
      <c r="E167" s="106" t="s">
        <v>1970</v>
      </c>
      <c r="F167" s="106" t="n">
        <v>1109</v>
      </c>
      <c r="G167" s="106" t="n">
        <v>2019</v>
      </c>
      <c r="H167" s="106" t="n">
        <v>5</v>
      </c>
      <c r="I167" s="129" t="n">
        <v>43683</v>
      </c>
      <c r="J167" s="129" t="n">
        <v>43683</v>
      </c>
      <c r="K167" s="107" t="n">
        <v>2416168</v>
      </c>
      <c r="L167" s="130" t="n">
        <f aca="false">K167-Q167+T167</f>
        <v>2047600</v>
      </c>
      <c r="M167" s="106" t="s">
        <v>149</v>
      </c>
      <c r="N167" s="106" t="n">
        <v>2416168</v>
      </c>
      <c r="O167" s="106" t="s">
        <v>149</v>
      </c>
      <c r="P167" s="106" t="n">
        <v>0</v>
      </c>
      <c r="Q167" s="107" t="n">
        <v>368568</v>
      </c>
      <c r="R167" s="106" t="n">
        <v>2047600</v>
      </c>
      <c r="S167" s="106" t="n">
        <v>0</v>
      </c>
      <c r="T167" s="106" t="n">
        <v>0</v>
      </c>
      <c r="U167" s="106" t="n">
        <v>305576</v>
      </c>
      <c r="V167" s="106" t="s">
        <v>1973</v>
      </c>
      <c r="Z167" s="106" t="n">
        <v>60204</v>
      </c>
      <c r="AB167" s="106" t="s">
        <v>2018</v>
      </c>
      <c r="AD167" s="106" t="n">
        <v>110000</v>
      </c>
      <c r="AE167" s="106" t="s">
        <v>1966</v>
      </c>
      <c r="AF167" s="106" t="n">
        <v>501005</v>
      </c>
      <c r="AG167" s="106" t="s">
        <v>2033</v>
      </c>
      <c r="AI167" s="106" t="n">
        <v>501005</v>
      </c>
      <c r="AJ167" s="106" t="s">
        <v>2033</v>
      </c>
      <c r="AK167" s="106" t="n">
        <v>0</v>
      </c>
      <c r="AL167" s="106" t="n">
        <v>1</v>
      </c>
      <c r="AM167" s="106" t="s">
        <v>161</v>
      </c>
      <c r="AP167" s="106" t="n">
        <v>100081967</v>
      </c>
      <c r="AQ167" s="129" t="n">
        <v>43708</v>
      </c>
      <c r="AR167" s="129" t="n">
        <v>43683</v>
      </c>
      <c r="AS167" s="106" t="n">
        <v>0.696909722222222</v>
      </c>
      <c r="AT167" s="106" t="n">
        <v>0</v>
      </c>
      <c r="AU167" s="106" t="n">
        <v>0</v>
      </c>
      <c r="AX167" s="106" t="n">
        <v>1</v>
      </c>
      <c r="ALU167" s="0"/>
      <c r="ALV167" s="0"/>
      <c r="ALW167" s="0"/>
      <c r="ALX167" s="0"/>
      <c r="ALY167" s="0"/>
      <c r="ALZ167" s="0"/>
      <c r="AMA167" s="0"/>
      <c r="AMB167" s="0"/>
      <c r="AMC167" s="0"/>
      <c r="AMD167" s="0"/>
      <c r="AME167" s="0"/>
      <c r="AMF167" s="0"/>
      <c r="AMG167" s="0"/>
      <c r="AMH167" s="0"/>
      <c r="AMI167" s="0"/>
      <c r="AMJ167" s="0"/>
    </row>
    <row r="168" customFormat="false" ht="13.8" hidden="true" customHeight="false" outlineLevel="0" collapsed="false">
      <c r="A168" s="117" t="n">
        <v>1000</v>
      </c>
      <c r="B168" s="117" t="s">
        <v>1962</v>
      </c>
      <c r="C168" s="117" t="n">
        <v>100058209</v>
      </c>
      <c r="E168" s="117" t="s">
        <v>1921</v>
      </c>
      <c r="F168" s="117" t="n">
        <v>1108</v>
      </c>
      <c r="G168" s="117" t="n">
        <v>2019</v>
      </c>
      <c r="H168" s="117" t="n">
        <v>4</v>
      </c>
      <c r="I168" s="118" t="n">
        <v>43677</v>
      </c>
      <c r="J168" s="118" t="n">
        <v>43677</v>
      </c>
      <c r="K168" s="119" t="n">
        <v>-210068.32</v>
      </c>
      <c r="L168" s="128" t="n">
        <f aca="false">K168-Q168+T168</f>
        <v>-210068.32</v>
      </c>
      <c r="M168" s="117" t="s">
        <v>149</v>
      </c>
      <c r="N168" s="117" t="n">
        <v>-210068.32</v>
      </c>
      <c r="O168" s="117" t="s">
        <v>149</v>
      </c>
      <c r="P168" s="117" t="n">
        <v>0</v>
      </c>
      <c r="Q168" s="117" t="n">
        <v>0</v>
      </c>
      <c r="R168" s="117" t="n">
        <v>-210068.32</v>
      </c>
      <c r="S168" s="117" t="n">
        <v>0</v>
      </c>
      <c r="T168" s="117" t="n">
        <v>0</v>
      </c>
      <c r="U168" s="117" t="n">
        <v>312193</v>
      </c>
      <c r="V168" s="117" t="s">
        <v>1963</v>
      </c>
      <c r="Z168" s="117" t="n">
        <v>100058209</v>
      </c>
      <c r="AD168" s="117" t="n">
        <v>110000</v>
      </c>
      <c r="AE168" s="117" t="s">
        <v>1966</v>
      </c>
      <c r="AF168" s="117" t="n">
        <v>110000</v>
      </c>
      <c r="AG168" s="117" t="s">
        <v>1966</v>
      </c>
      <c r="AI168" s="117" t="n">
        <v>110000</v>
      </c>
      <c r="AJ168" s="117" t="s">
        <v>1966</v>
      </c>
      <c r="AK168" s="117" t="n">
        <v>0</v>
      </c>
      <c r="AL168" s="117" t="n">
        <v>17</v>
      </c>
      <c r="AM168" s="117" t="s">
        <v>225</v>
      </c>
      <c r="AP168" s="117" t="n">
        <v>100058209</v>
      </c>
      <c r="AQ168" s="118" t="n">
        <v>43677</v>
      </c>
      <c r="AR168" s="118" t="n">
        <v>43678</v>
      </c>
      <c r="AS168" s="117" t="n">
        <v>0.197037037037037</v>
      </c>
      <c r="AT168" s="117" t="n">
        <v>0</v>
      </c>
      <c r="AU168" s="117" t="n">
        <v>0</v>
      </c>
      <c r="AX168" s="117" t="n">
        <v>8</v>
      </c>
    </row>
    <row r="169" customFormat="false" ht="13.8" hidden="true" customHeight="false" outlineLevel="0" collapsed="false">
      <c r="A169" s="117" t="n">
        <v>1000</v>
      </c>
      <c r="B169" s="117" t="s">
        <v>1962</v>
      </c>
      <c r="C169" s="117" t="n">
        <v>100122987</v>
      </c>
      <c r="E169" s="117" t="s">
        <v>1921</v>
      </c>
      <c r="F169" s="117" t="n">
        <v>1108</v>
      </c>
      <c r="G169" s="117" t="n">
        <v>2019</v>
      </c>
      <c r="H169" s="117" t="n">
        <v>6</v>
      </c>
      <c r="I169" s="118" t="n">
        <v>43738</v>
      </c>
      <c r="J169" s="118" t="n">
        <v>43738</v>
      </c>
      <c r="K169" s="119" t="n">
        <v>-100717.43</v>
      </c>
      <c r="L169" s="128" t="n">
        <f aca="false">K169-Q169+T169</f>
        <v>-100717.43</v>
      </c>
      <c r="M169" s="117" t="s">
        <v>149</v>
      </c>
      <c r="N169" s="117" t="n">
        <v>-100717.43</v>
      </c>
      <c r="O169" s="117" t="s">
        <v>149</v>
      </c>
      <c r="P169" s="117" t="n">
        <v>0</v>
      </c>
      <c r="Q169" s="117" t="n">
        <v>0</v>
      </c>
      <c r="R169" s="117" t="n">
        <v>-100717.43</v>
      </c>
      <c r="S169" s="117" t="n">
        <v>0</v>
      </c>
      <c r="T169" s="117" t="n">
        <v>0</v>
      </c>
      <c r="U169" s="117" t="n">
        <v>312193</v>
      </c>
      <c r="V169" s="117" t="s">
        <v>1963</v>
      </c>
      <c r="Z169" s="117" t="n">
        <v>100122987</v>
      </c>
      <c r="AD169" s="117" t="n">
        <v>110000</v>
      </c>
      <c r="AE169" s="117" t="s">
        <v>1966</v>
      </c>
      <c r="AF169" s="117" t="n">
        <v>110000</v>
      </c>
      <c r="AG169" s="117" t="s">
        <v>1966</v>
      </c>
      <c r="AI169" s="117" t="n">
        <v>110000</v>
      </c>
      <c r="AJ169" s="117" t="s">
        <v>1966</v>
      </c>
      <c r="AK169" s="117" t="n">
        <v>0</v>
      </c>
      <c r="AL169" s="117" t="n">
        <v>17</v>
      </c>
      <c r="AM169" s="117" t="s">
        <v>225</v>
      </c>
      <c r="AP169" s="117" t="n">
        <v>100122987</v>
      </c>
      <c r="AQ169" s="118" t="n">
        <v>43738</v>
      </c>
      <c r="AR169" s="118" t="n">
        <v>43739</v>
      </c>
      <c r="AS169" s="117" t="n">
        <v>0.481527777777778</v>
      </c>
      <c r="AT169" s="117" t="n">
        <v>0</v>
      </c>
      <c r="AU169" s="117" t="n">
        <v>0</v>
      </c>
      <c r="AX169" s="117" t="n">
        <v>7</v>
      </c>
    </row>
    <row r="170" s="106" customFormat="true" ht="13.8" hidden="true" customHeight="false" outlineLevel="0" collapsed="false">
      <c r="A170" s="106" t="n">
        <v>1000</v>
      </c>
      <c r="B170" s="106" t="s">
        <v>1962</v>
      </c>
      <c r="C170" s="106" t="n">
        <v>107062</v>
      </c>
      <c r="D170" s="106" t="s">
        <v>1100</v>
      </c>
      <c r="E170" s="106" t="s">
        <v>1970</v>
      </c>
      <c r="F170" s="106" t="n">
        <v>1108</v>
      </c>
      <c r="G170" s="106" t="n">
        <v>2019</v>
      </c>
      <c r="H170" s="106" t="n">
        <v>6</v>
      </c>
      <c r="I170" s="129" t="n">
        <v>43732</v>
      </c>
      <c r="J170" s="129" t="n">
        <v>43732</v>
      </c>
      <c r="K170" s="107" t="n">
        <v>68986.16</v>
      </c>
      <c r="L170" s="130" t="n">
        <f aca="false">K170-Q170+T170</f>
        <v>58462.85</v>
      </c>
      <c r="M170" s="106" t="s">
        <v>149</v>
      </c>
      <c r="N170" s="106" t="n">
        <v>68986.16</v>
      </c>
      <c r="O170" s="106" t="s">
        <v>149</v>
      </c>
      <c r="P170" s="106" t="n">
        <v>0</v>
      </c>
      <c r="Q170" s="107" t="n">
        <v>10523.31</v>
      </c>
      <c r="R170" s="106" t="n">
        <v>58462.85</v>
      </c>
      <c r="S170" s="106" t="n">
        <v>0</v>
      </c>
      <c r="T170" s="106" t="n">
        <v>0</v>
      </c>
      <c r="U170" s="106" t="n">
        <v>312193</v>
      </c>
      <c r="V170" s="106" t="s">
        <v>1963</v>
      </c>
      <c r="Z170" s="106" t="n">
        <v>2346</v>
      </c>
      <c r="AB170" s="106" t="s">
        <v>2031</v>
      </c>
      <c r="AD170" s="106" t="n">
        <v>110000</v>
      </c>
      <c r="AE170" s="106" t="s">
        <v>1966</v>
      </c>
      <c r="AF170" s="106" t="n">
        <v>501020</v>
      </c>
      <c r="AG170" s="106" t="s">
        <v>1971</v>
      </c>
      <c r="AI170" s="106" t="n">
        <v>501020</v>
      </c>
      <c r="AJ170" s="106" t="s">
        <v>1971</v>
      </c>
      <c r="AK170" s="106" t="n">
        <v>0</v>
      </c>
      <c r="AL170" s="106" t="n">
        <v>1</v>
      </c>
      <c r="AM170" s="106" t="s">
        <v>161</v>
      </c>
      <c r="AP170" s="106" t="n">
        <v>100116355</v>
      </c>
      <c r="AQ170" s="129" t="n">
        <v>43738</v>
      </c>
      <c r="AR170" s="129" t="n">
        <v>43732</v>
      </c>
      <c r="AS170" s="106" t="n">
        <v>0.754444444444444</v>
      </c>
      <c r="AT170" s="106" t="n">
        <v>0</v>
      </c>
      <c r="AU170" s="106" t="n">
        <v>0</v>
      </c>
      <c r="AX170" s="106" t="n">
        <v>1</v>
      </c>
      <c r="ALU170" s="0"/>
      <c r="ALV170" s="0"/>
      <c r="ALW170" s="0"/>
      <c r="ALX170" s="0"/>
      <c r="ALY170" s="0"/>
      <c r="ALZ170" s="0"/>
      <c r="AMA170" s="0"/>
      <c r="AMB170" s="0"/>
      <c r="AMC170" s="0"/>
      <c r="AMD170" s="0"/>
      <c r="AME170" s="0"/>
      <c r="AMF170" s="0"/>
      <c r="AMG170" s="0"/>
      <c r="AMH170" s="0"/>
      <c r="AMI170" s="0"/>
      <c r="AMJ170" s="0"/>
    </row>
    <row r="171" customFormat="false" ht="13.8" hidden="true" customHeight="false" outlineLevel="0" collapsed="false">
      <c r="A171" s="117" t="n">
        <v>1000</v>
      </c>
      <c r="B171" s="117" t="s">
        <v>1962</v>
      </c>
      <c r="C171" s="117" t="n">
        <v>100078765</v>
      </c>
      <c r="E171" s="117" t="s">
        <v>1921</v>
      </c>
      <c r="F171" s="117" t="n">
        <v>1109</v>
      </c>
      <c r="G171" s="117" t="n">
        <v>2019</v>
      </c>
      <c r="H171" s="117" t="n">
        <v>5</v>
      </c>
      <c r="I171" s="118" t="n">
        <v>43706</v>
      </c>
      <c r="J171" s="118" t="n">
        <v>43706</v>
      </c>
      <c r="K171" s="119" t="n">
        <v>9702</v>
      </c>
      <c r="L171" s="128" t="n">
        <f aca="false">K171-Q171+T171</f>
        <v>9702</v>
      </c>
      <c r="M171" s="117" t="s">
        <v>149</v>
      </c>
      <c r="N171" s="117" t="n">
        <v>9702</v>
      </c>
      <c r="O171" s="117" t="s">
        <v>149</v>
      </c>
      <c r="P171" s="117" t="n">
        <v>0</v>
      </c>
      <c r="Q171" s="117" t="n">
        <v>0</v>
      </c>
      <c r="R171" s="117" t="n">
        <v>9702</v>
      </c>
      <c r="S171" s="117" t="n">
        <v>0</v>
      </c>
      <c r="T171" s="117" t="n">
        <v>0</v>
      </c>
      <c r="U171" s="117" t="n">
        <v>312193</v>
      </c>
      <c r="V171" s="117" t="s">
        <v>1963</v>
      </c>
      <c r="X171" s="117" t="s">
        <v>2106</v>
      </c>
      <c r="Z171" s="117" t="n">
        <v>2316</v>
      </c>
      <c r="AB171" s="117" t="s">
        <v>1965</v>
      </c>
      <c r="AD171" s="117" t="n">
        <v>110000</v>
      </c>
      <c r="AE171" s="117" t="s">
        <v>1966</v>
      </c>
      <c r="AF171" s="117" t="n">
        <v>110000</v>
      </c>
      <c r="AG171" s="117" t="s">
        <v>1966</v>
      </c>
      <c r="AI171" s="117" t="n">
        <v>110000</v>
      </c>
      <c r="AJ171" s="117" t="s">
        <v>1966</v>
      </c>
      <c r="AK171" s="117" t="n">
        <v>0</v>
      </c>
      <c r="AL171" s="117" t="n">
        <v>4</v>
      </c>
      <c r="AM171" s="117" t="s">
        <v>161</v>
      </c>
      <c r="AP171" s="117" t="n">
        <v>100173563</v>
      </c>
      <c r="AQ171" s="118" t="n">
        <v>43799</v>
      </c>
      <c r="AR171" s="118" t="n">
        <v>43706</v>
      </c>
      <c r="AS171" s="117" t="n">
        <v>0.702835648148148</v>
      </c>
      <c r="AT171" s="117" t="n">
        <v>0</v>
      </c>
      <c r="AU171" s="117" t="n">
        <v>0</v>
      </c>
      <c r="AX171" s="117" t="n">
        <v>2</v>
      </c>
    </row>
    <row r="172" s="106" customFormat="true" ht="13.8" hidden="true" customHeight="false" outlineLevel="0" collapsed="false">
      <c r="A172" s="106" t="n">
        <v>1000</v>
      </c>
      <c r="B172" s="106" t="s">
        <v>1962</v>
      </c>
      <c r="C172" s="106" t="n">
        <v>106329</v>
      </c>
      <c r="D172" s="106" t="s">
        <v>1753</v>
      </c>
      <c r="E172" s="106" t="s">
        <v>1970</v>
      </c>
      <c r="F172" s="106" t="n">
        <v>1108</v>
      </c>
      <c r="G172" s="106" t="n">
        <v>2019</v>
      </c>
      <c r="H172" s="106" t="n">
        <v>5</v>
      </c>
      <c r="I172" s="129" t="n">
        <v>43707</v>
      </c>
      <c r="J172" s="129" t="n">
        <v>43707</v>
      </c>
      <c r="K172" s="107" t="n">
        <v>296339.2</v>
      </c>
      <c r="L172" s="130" t="n">
        <f aca="false">K172-Q172+T172</f>
        <v>251134.92</v>
      </c>
      <c r="M172" s="106" t="s">
        <v>149</v>
      </c>
      <c r="N172" s="106" t="n">
        <v>296339.2</v>
      </c>
      <c r="O172" s="106" t="s">
        <v>149</v>
      </c>
      <c r="P172" s="106" t="n">
        <v>0</v>
      </c>
      <c r="Q172" s="107" t="n">
        <v>45204.28</v>
      </c>
      <c r="R172" s="106" t="n">
        <v>251134.92</v>
      </c>
      <c r="S172" s="106" t="n">
        <v>0</v>
      </c>
      <c r="T172" s="106" t="n">
        <v>0</v>
      </c>
      <c r="U172" s="106" t="n">
        <v>312948</v>
      </c>
      <c r="V172" s="106" t="s">
        <v>1984</v>
      </c>
      <c r="Z172" s="106" t="n">
        <v>60205</v>
      </c>
      <c r="AB172" s="106" t="s">
        <v>2107</v>
      </c>
      <c r="AD172" s="106" t="n">
        <v>110000</v>
      </c>
      <c r="AE172" s="106" t="s">
        <v>1966</v>
      </c>
      <c r="AF172" s="106" t="n">
        <v>501005</v>
      </c>
      <c r="AG172" s="106" t="s">
        <v>2033</v>
      </c>
      <c r="AI172" s="106" t="n">
        <v>501005</v>
      </c>
      <c r="AJ172" s="106" t="s">
        <v>2033</v>
      </c>
      <c r="AK172" s="106" t="n">
        <v>0</v>
      </c>
      <c r="AL172" s="106" t="n">
        <v>1</v>
      </c>
      <c r="AM172" s="106" t="s">
        <v>161</v>
      </c>
      <c r="AP172" s="106" t="n">
        <v>100081995</v>
      </c>
      <c r="AQ172" s="129" t="n">
        <v>43708</v>
      </c>
      <c r="AR172" s="129" t="n">
        <v>43707</v>
      </c>
      <c r="AS172" s="106" t="n">
        <v>0.632662037037037</v>
      </c>
      <c r="AT172" s="106" t="n">
        <v>0</v>
      </c>
      <c r="AU172" s="106" t="n">
        <v>0</v>
      </c>
      <c r="AX172" s="106" t="n">
        <v>1</v>
      </c>
      <c r="ALU172" s="0"/>
      <c r="ALV172" s="0"/>
      <c r="ALW172" s="0"/>
      <c r="ALX172" s="0"/>
      <c r="ALY172" s="0"/>
      <c r="ALZ172" s="0"/>
      <c r="AMA172" s="0"/>
      <c r="AMB172" s="0"/>
      <c r="AMC172" s="0"/>
      <c r="AMD172" s="0"/>
      <c r="AME172" s="0"/>
      <c r="AMF172" s="0"/>
      <c r="AMG172" s="0"/>
      <c r="AMH172" s="0"/>
      <c r="AMI172" s="0"/>
      <c r="AMJ172" s="0"/>
    </row>
    <row r="173" customFormat="false" ht="13.8" hidden="true" customHeight="false" outlineLevel="0" collapsed="false">
      <c r="A173" s="117" t="n">
        <v>1000</v>
      </c>
      <c r="B173" s="117" t="s">
        <v>1962</v>
      </c>
      <c r="C173" s="117" t="n">
        <v>100076082</v>
      </c>
      <c r="E173" s="117" t="s">
        <v>1921</v>
      </c>
      <c r="F173" s="117" t="n">
        <v>1109</v>
      </c>
      <c r="G173" s="117" t="n">
        <v>2019</v>
      </c>
      <c r="H173" s="117" t="n">
        <v>5</v>
      </c>
      <c r="I173" s="118" t="n">
        <v>43703</v>
      </c>
      <c r="J173" s="118" t="n">
        <v>43703</v>
      </c>
      <c r="K173" s="119" t="n">
        <v>-506582.87</v>
      </c>
      <c r="L173" s="128" t="n">
        <f aca="false">K173-Q173+T173</f>
        <v>-506582.87</v>
      </c>
      <c r="M173" s="117" t="s">
        <v>149</v>
      </c>
      <c r="N173" s="117" t="n">
        <v>-506582.87</v>
      </c>
      <c r="O173" s="117" t="s">
        <v>149</v>
      </c>
      <c r="P173" s="117" t="n">
        <v>0</v>
      </c>
      <c r="Q173" s="117" t="n">
        <v>0</v>
      </c>
      <c r="R173" s="117" t="n">
        <v>-506582.87</v>
      </c>
      <c r="S173" s="117" t="n">
        <v>0</v>
      </c>
      <c r="T173" s="117" t="n">
        <v>0</v>
      </c>
      <c r="U173" s="117" t="n">
        <v>313029</v>
      </c>
      <c r="V173" s="117" t="s">
        <v>143</v>
      </c>
      <c r="Z173" s="117" t="n">
        <v>100076082</v>
      </c>
      <c r="AD173" s="117" t="n">
        <v>110000</v>
      </c>
      <c r="AE173" s="117" t="s">
        <v>1966</v>
      </c>
      <c r="AF173" s="117" t="n">
        <v>110000</v>
      </c>
      <c r="AG173" s="117" t="s">
        <v>1966</v>
      </c>
      <c r="AI173" s="117" t="n">
        <v>110000</v>
      </c>
      <c r="AJ173" s="117" t="s">
        <v>1966</v>
      </c>
      <c r="AK173" s="117" t="n">
        <v>0</v>
      </c>
      <c r="AL173" s="117" t="n">
        <v>17</v>
      </c>
      <c r="AM173" s="117" t="s">
        <v>225</v>
      </c>
      <c r="AP173" s="117" t="n">
        <v>100076082</v>
      </c>
      <c r="AQ173" s="118" t="n">
        <v>43703</v>
      </c>
      <c r="AR173" s="118" t="n">
        <v>43703</v>
      </c>
      <c r="AS173" s="117" t="n">
        <v>0.762256944444444</v>
      </c>
      <c r="AT173" s="117" t="n">
        <v>0</v>
      </c>
      <c r="AU173" s="117" t="n">
        <v>0</v>
      </c>
      <c r="AX173" s="117" t="n">
        <v>2</v>
      </c>
    </row>
    <row r="174" s="106" customFormat="true" ht="13.8" hidden="true" customHeight="false" outlineLevel="0" collapsed="false">
      <c r="A174" s="106" t="n">
        <v>1000</v>
      </c>
      <c r="B174" s="106" t="s">
        <v>1962</v>
      </c>
      <c r="C174" s="106" t="n">
        <v>105936</v>
      </c>
      <c r="D174" s="106" t="s">
        <v>2064</v>
      </c>
      <c r="E174" s="106" t="s">
        <v>1970</v>
      </c>
      <c r="F174" s="106" t="n">
        <v>1109</v>
      </c>
      <c r="G174" s="106" t="n">
        <v>2019</v>
      </c>
      <c r="H174" s="106" t="n">
        <v>5</v>
      </c>
      <c r="I174" s="129" t="n">
        <v>43699</v>
      </c>
      <c r="J174" s="129" t="n">
        <v>43699</v>
      </c>
      <c r="K174" s="107" t="n">
        <v>506582.87</v>
      </c>
      <c r="L174" s="130" t="n">
        <f aca="false">K174-Q174+T174</f>
        <v>429307.52</v>
      </c>
      <c r="M174" s="106" t="s">
        <v>149</v>
      </c>
      <c r="N174" s="106" t="n">
        <v>506582.87</v>
      </c>
      <c r="O174" s="106" t="s">
        <v>149</v>
      </c>
      <c r="P174" s="106" t="n">
        <v>0</v>
      </c>
      <c r="Q174" s="107" t="n">
        <v>77275.35</v>
      </c>
      <c r="R174" s="106" t="n">
        <v>429307.52</v>
      </c>
      <c r="S174" s="106" t="n">
        <v>0</v>
      </c>
      <c r="T174" s="106" t="n">
        <v>0</v>
      </c>
      <c r="U174" s="106" t="n">
        <v>313029</v>
      </c>
      <c r="V174" s="106" t="s">
        <v>143</v>
      </c>
      <c r="Z174" s="106" t="n">
        <v>60384</v>
      </c>
      <c r="AB174" s="106" t="s">
        <v>2065</v>
      </c>
      <c r="AD174" s="106" t="n">
        <v>110000</v>
      </c>
      <c r="AE174" s="106" t="s">
        <v>1966</v>
      </c>
      <c r="AF174" s="106" t="n">
        <v>501005</v>
      </c>
      <c r="AG174" s="106" t="s">
        <v>2033</v>
      </c>
      <c r="AI174" s="106" t="n">
        <v>501005</v>
      </c>
      <c r="AJ174" s="106" t="s">
        <v>2033</v>
      </c>
      <c r="AK174" s="106" t="n">
        <v>0</v>
      </c>
      <c r="AL174" s="106" t="n">
        <v>1</v>
      </c>
      <c r="AM174" s="106" t="s">
        <v>161</v>
      </c>
      <c r="AP174" s="106" t="n">
        <v>100076082</v>
      </c>
      <c r="AQ174" s="129" t="n">
        <v>43703</v>
      </c>
      <c r="AR174" s="129" t="n">
        <v>43699</v>
      </c>
      <c r="AS174" s="106" t="n">
        <v>0.671041666666667</v>
      </c>
      <c r="AT174" s="106" t="n">
        <v>0</v>
      </c>
      <c r="AU174" s="106" t="n">
        <v>0</v>
      </c>
      <c r="AX174" s="106" t="n">
        <v>1</v>
      </c>
      <c r="ALU174" s="0"/>
      <c r="ALV174" s="0"/>
      <c r="ALW174" s="0"/>
      <c r="ALX174" s="0"/>
      <c r="ALY174" s="0"/>
      <c r="ALZ174" s="0"/>
      <c r="AMA174" s="0"/>
      <c r="AMB174" s="0"/>
      <c r="AMC174" s="0"/>
      <c r="AMD174" s="0"/>
      <c r="AME174" s="0"/>
      <c r="AMF174" s="0"/>
      <c r="AMG174" s="0"/>
      <c r="AMH174" s="0"/>
      <c r="AMI174" s="0"/>
      <c r="AMJ174" s="0"/>
    </row>
    <row r="175" s="106" customFormat="true" ht="13.8" hidden="true" customHeight="false" outlineLevel="0" collapsed="false">
      <c r="A175" s="106" t="n">
        <v>1000</v>
      </c>
      <c r="B175" s="106" t="s">
        <v>1962</v>
      </c>
      <c r="C175" s="106" t="n">
        <v>107243</v>
      </c>
      <c r="D175" s="106" t="s">
        <v>2108</v>
      </c>
      <c r="E175" s="106" t="s">
        <v>1970</v>
      </c>
      <c r="F175" s="106" t="n">
        <v>1108</v>
      </c>
      <c r="G175" s="106" t="n">
        <v>2019</v>
      </c>
      <c r="H175" s="106" t="n">
        <v>6</v>
      </c>
      <c r="I175" s="129" t="n">
        <v>43735</v>
      </c>
      <c r="J175" s="129" t="n">
        <v>43735</v>
      </c>
      <c r="K175" s="107" t="n">
        <v>1424635.36</v>
      </c>
      <c r="L175" s="130" t="n">
        <f aca="false">K175-Q175+T175</f>
        <v>1207318.09</v>
      </c>
      <c r="M175" s="106" t="s">
        <v>149</v>
      </c>
      <c r="N175" s="106" t="n">
        <v>1424635.36</v>
      </c>
      <c r="O175" s="106" t="s">
        <v>149</v>
      </c>
      <c r="P175" s="106" t="n">
        <v>0</v>
      </c>
      <c r="Q175" s="107" t="n">
        <v>217317.27</v>
      </c>
      <c r="R175" s="106" t="n">
        <v>1207318.09</v>
      </c>
      <c r="S175" s="106" t="n">
        <v>0</v>
      </c>
      <c r="T175" s="106" t="n">
        <v>0</v>
      </c>
      <c r="U175" s="106" t="n">
        <v>312193</v>
      </c>
      <c r="V175" s="106" t="s">
        <v>1963</v>
      </c>
      <c r="Z175" s="106" t="n">
        <v>61009</v>
      </c>
      <c r="AB175" s="106" t="s">
        <v>2109</v>
      </c>
      <c r="AD175" s="106" t="n">
        <v>110000</v>
      </c>
      <c r="AE175" s="106" t="s">
        <v>1966</v>
      </c>
      <c r="AF175" s="106" t="n">
        <v>501005</v>
      </c>
      <c r="AG175" s="106" t="s">
        <v>2033</v>
      </c>
      <c r="AI175" s="106" t="n">
        <v>501005</v>
      </c>
      <c r="AJ175" s="106" t="s">
        <v>2033</v>
      </c>
      <c r="AK175" s="106" t="n">
        <v>0</v>
      </c>
      <c r="AL175" s="106" t="n">
        <v>1</v>
      </c>
      <c r="AM175" s="106" t="s">
        <v>161</v>
      </c>
      <c r="AP175" s="106" t="n">
        <v>100123318</v>
      </c>
      <c r="AQ175" s="129" t="n">
        <v>43738</v>
      </c>
      <c r="AR175" s="129" t="n">
        <v>43735</v>
      </c>
      <c r="AS175" s="106" t="n">
        <v>0.7628125</v>
      </c>
      <c r="AT175" s="106" t="n">
        <v>0</v>
      </c>
      <c r="AU175" s="106" t="n">
        <v>0</v>
      </c>
      <c r="AX175" s="106" t="n">
        <v>1</v>
      </c>
      <c r="ALU175" s="0"/>
      <c r="ALV175" s="0"/>
      <c r="ALW175" s="0"/>
      <c r="ALX175" s="0"/>
      <c r="ALY175" s="0"/>
      <c r="ALZ175" s="0"/>
      <c r="AMA175" s="0"/>
      <c r="AMB175" s="0"/>
      <c r="AMC175" s="0"/>
      <c r="AMD175" s="0"/>
      <c r="AME175" s="0"/>
      <c r="AMF175" s="0"/>
      <c r="AMG175" s="0"/>
      <c r="AMH175" s="0"/>
      <c r="AMI175" s="0"/>
      <c r="AMJ175" s="0"/>
    </row>
    <row r="176" s="106" customFormat="true" ht="13.8" hidden="true" customHeight="false" outlineLevel="0" collapsed="false">
      <c r="A176" s="106" t="n">
        <v>1000</v>
      </c>
      <c r="B176" s="106" t="s">
        <v>1962</v>
      </c>
      <c r="C176" s="106" t="n">
        <v>106082</v>
      </c>
      <c r="D176" s="106" t="s">
        <v>1288</v>
      </c>
      <c r="E176" s="106" t="s">
        <v>1970</v>
      </c>
      <c r="F176" s="106" t="n">
        <v>1109</v>
      </c>
      <c r="G176" s="106" t="n">
        <v>2019</v>
      </c>
      <c r="H176" s="106" t="n">
        <v>5</v>
      </c>
      <c r="I176" s="129" t="n">
        <v>43703</v>
      </c>
      <c r="J176" s="129" t="n">
        <v>43703</v>
      </c>
      <c r="K176" s="107" t="n">
        <v>1833661</v>
      </c>
      <c r="L176" s="130" t="n">
        <f aca="false">K176-Q176+T176</f>
        <v>1553950</v>
      </c>
      <c r="M176" s="106" t="s">
        <v>149</v>
      </c>
      <c r="N176" s="106" t="n">
        <v>1833661</v>
      </c>
      <c r="O176" s="106" t="s">
        <v>149</v>
      </c>
      <c r="P176" s="106" t="n">
        <v>0</v>
      </c>
      <c r="Q176" s="107" t="n">
        <v>279711</v>
      </c>
      <c r="R176" s="106" t="n">
        <v>1553950</v>
      </c>
      <c r="S176" s="106" t="n">
        <v>0</v>
      </c>
      <c r="T176" s="106" t="n">
        <v>0</v>
      </c>
      <c r="U176" s="106" t="n">
        <v>305576</v>
      </c>
      <c r="V176" s="106" t="s">
        <v>1973</v>
      </c>
      <c r="Z176" s="106" t="n">
        <v>60427</v>
      </c>
      <c r="AB176" s="106" t="s">
        <v>2004</v>
      </c>
      <c r="AD176" s="106" t="n">
        <v>110000</v>
      </c>
      <c r="AE176" s="106" t="s">
        <v>1966</v>
      </c>
      <c r="AF176" s="106" t="n">
        <v>501005</v>
      </c>
      <c r="AG176" s="106" t="s">
        <v>2033</v>
      </c>
      <c r="AI176" s="106" t="n">
        <v>501005</v>
      </c>
      <c r="AJ176" s="106" t="s">
        <v>2033</v>
      </c>
      <c r="AK176" s="106" t="n">
        <v>0</v>
      </c>
      <c r="AL176" s="106" t="n">
        <v>1</v>
      </c>
      <c r="AM176" s="106" t="s">
        <v>161</v>
      </c>
      <c r="AP176" s="106" t="n">
        <v>100081967</v>
      </c>
      <c r="AQ176" s="129" t="n">
        <v>43708</v>
      </c>
      <c r="AR176" s="129" t="n">
        <v>43703</v>
      </c>
      <c r="AS176" s="106" t="n">
        <v>0.614178240740741</v>
      </c>
      <c r="AT176" s="106" t="n">
        <v>0</v>
      </c>
      <c r="AU176" s="106" t="n">
        <v>0</v>
      </c>
      <c r="AX176" s="106" t="n">
        <v>1</v>
      </c>
      <c r="ALU176" s="0"/>
      <c r="ALV176" s="0"/>
      <c r="ALW176" s="0"/>
      <c r="ALX176" s="0"/>
      <c r="ALY176" s="0"/>
      <c r="ALZ176" s="0"/>
      <c r="AMA176" s="0"/>
      <c r="AMB176" s="0"/>
      <c r="AMC176" s="0"/>
      <c r="AMD176" s="0"/>
      <c r="AME176" s="0"/>
      <c r="AMF176" s="0"/>
      <c r="AMG176" s="0"/>
      <c r="AMH176" s="0"/>
      <c r="AMI176" s="0"/>
      <c r="AMJ176" s="0"/>
    </row>
    <row r="177" customFormat="false" ht="13.8" hidden="true" customHeight="false" outlineLevel="0" collapsed="false">
      <c r="A177" s="117" t="n">
        <v>1000</v>
      </c>
      <c r="B177" s="117" t="s">
        <v>1962</v>
      </c>
      <c r="C177" s="117" t="n">
        <v>1400004092</v>
      </c>
      <c r="E177" s="117" t="s">
        <v>1972</v>
      </c>
      <c r="F177" s="117" t="n">
        <v>1106</v>
      </c>
      <c r="G177" s="117" t="n">
        <v>2019</v>
      </c>
      <c r="H177" s="117" t="n">
        <v>4</v>
      </c>
      <c r="I177" s="118" t="n">
        <v>43664</v>
      </c>
      <c r="J177" s="118" t="n">
        <v>43664</v>
      </c>
      <c r="K177" s="119" t="n">
        <v>-73056</v>
      </c>
      <c r="L177" s="128" t="n">
        <f aca="false">K177-Q177+T177</f>
        <v>-73056</v>
      </c>
      <c r="M177" s="117" t="s">
        <v>149</v>
      </c>
      <c r="N177" s="117" t="n">
        <v>-73056</v>
      </c>
      <c r="O177" s="117" t="s">
        <v>149</v>
      </c>
      <c r="P177" s="117" t="n">
        <v>0</v>
      </c>
      <c r="Q177" s="117" t="n">
        <v>0</v>
      </c>
      <c r="R177" s="117" t="n">
        <v>-73056</v>
      </c>
      <c r="S177" s="117" t="n">
        <v>0</v>
      </c>
      <c r="T177" s="117" t="n">
        <v>0</v>
      </c>
      <c r="U177" s="117" t="n">
        <v>306263</v>
      </c>
      <c r="V177" s="117" t="s">
        <v>2006</v>
      </c>
      <c r="X177" s="117" t="s">
        <v>2110</v>
      </c>
      <c r="Y177" s="117" t="s">
        <v>2111</v>
      </c>
      <c r="Z177" s="117" t="n">
        <v>1400004092</v>
      </c>
      <c r="AC177" s="117" t="s">
        <v>1976</v>
      </c>
      <c r="AD177" s="117" t="n">
        <v>310300</v>
      </c>
      <c r="AE177" s="117" t="s">
        <v>1969</v>
      </c>
      <c r="AF177" s="117" t="n">
        <v>101105</v>
      </c>
      <c r="AG177" s="117" t="s">
        <v>1977</v>
      </c>
      <c r="AI177" s="117" t="n">
        <v>101105</v>
      </c>
      <c r="AJ177" s="117" t="s">
        <v>1977</v>
      </c>
      <c r="AK177" s="117" t="n">
        <v>0</v>
      </c>
      <c r="AL177" s="117" t="n">
        <v>19</v>
      </c>
      <c r="AM177" s="117" t="s">
        <v>225</v>
      </c>
      <c r="AN177" s="117" t="s">
        <v>1978</v>
      </c>
      <c r="AP177" s="117" t="n">
        <v>100055939</v>
      </c>
      <c r="AQ177" s="118" t="n">
        <v>43671</v>
      </c>
      <c r="AR177" s="118" t="n">
        <v>43668</v>
      </c>
      <c r="AS177" s="117" t="n">
        <v>0.274710648148148</v>
      </c>
      <c r="AT177" s="117" t="n">
        <v>0</v>
      </c>
      <c r="AU177" s="117" t="n">
        <v>0</v>
      </c>
      <c r="AX177" s="117" t="n">
        <v>2</v>
      </c>
    </row>
    <row r="178" customFormat="false" ht="13.8" hidden="true" customHeight="false" outlineLevel="0" collapsed="false">
      <c r="A178" s="117" t="n">
        <v>1000</v>
      </c>
      <c r="B178" s="117" t="s">
        <v>1962</v>
      </c>
      <c r="C178" s="117" t="n">
        <v>100081970</v>
      </c>
      <c r="E178" s="117" t="s">
        <v>1921</v>
      </c>
      <c r="F178" s="117" t="n">
        <v>1106</v>
      </c>
      <c r="G178" s="117" t="n">
        <v>2019</v>
      </c>
      <c r="H178" s="117" t="n">
        <v>5</v>
      </c>
      <c r="I178" s="118" t="n">
        <v>43708</v>
      </c>
      <c r="J178" s="118" t="n">
        <v>43708</v>
      </c>
      <c r="K178" s="119" t="n">
        <v>254204.56</v>
      </c>
      <c r="L178" s="128" t="n">
        <f aca="false">K178-Q178+T178</f>
        <v>254204.56</v>
      </c>
      <c r="M178" s="117" t="s">
        <v>149</v>
      </c>
      <c r="N178" s="117" t="n">
        <v>254204.56</v>
      </c>
      <c r="O178" s="117" t="s">
        <v>149</v>
      </c>
      <c r="P178" s="117" t="n">
        <v>0</v>
      </c>
      <c r="Q178" s="117" t="n">
        <v>0</v>
      </c>
      <c r="R178" s="117" t="n">
        <v>254204.56</v>
      </c>
      <c r="S178" s="117" t="n">
        <v>0</v>
      </c>
      <c r="T178" s="117" t="n">
        <v>0</v>
      </c>
      <c r="U178" s="117" t="n">
        <v>307259</v>
      </c>
      <c r="V178" s="117" t="s">
        <v>143</v>
      </c>
      <c r="Z178" s="117" t="n">
        <v>100081970</v>
      </c>
      <c r="AD178" s="117" t="n">
        <v>310300</v>
      </c>
      <c r="AE178" s="117" t="s">
        <v>1969</v>
      </c>
      <c r="AF178" s="117" t="n">
        <v>110000</v>
      </c>
      <c r="AG178" s="117" t="s">
        <v>1966</v>
      </c>
      <c r="AI178" s="117" t="n">
        <v>110000</v>
      </c>
      <c r="AJ178" s="117" t="s">
        <v>1966</v>
      </c>
      <c r="AK178" s="117" t="n">
        <v>0</v>
      </c>
      <c r="AL178" s="117" t="n">
        <v>9</v>
      </c>
      <c r="AM178" s="117" t="s">
        <v>161</v>
      </c>
      <c r="AN178" s="117" t="s">
        <v>1978</v>
      </c>
      <c r="AP178" s="117" t="n">
        <v>100081970</v>
      </c>
      <c r="AQ178" s="118" t="n">
        <v>43708</v>
      </c>
      <c r="AR178" s="118" t="n">
        <v>43710</v>
      </c>
      <c r="AS178" s="117" t="n">
        <v>0.282395833333333</v>
      </c>
      <c r="AT178" s="117" t="n">
        <v>0</v>
      </c>
      <c r="AU178" s="117" t="n">
        <v>0</v>
      </c>
      <c r="AX178" s="117" t="n">
        <v>2</v>
      </c>
    </row>
    <row r="179" customFormat="false" ht="13.8" hidden="true" customHeight="false" outlineLevel="0" collapsed="false">
      <c r="A179" s="117" t="n">
        <v>1000</v>
      </c>
      <c r="B179" s="117" t="s">
        <v>1962</v>
      </c>
      <c r="C179" s="117" t="n">
        <v>100057890</v>
      </c>
      <c r="E179" s="117" t="s">
        <v>1921</v>
      </c>
      <c r="F179" s="117" t="n">
        <v>1109</v>
      </c>
      <c r="G179" s="117" t="n">
        <v>2019</v>
      </c>
      <c r="H179" s="117" t="n">
        <v>4</v>
      </c>
      <c r="I179" s="118" t="n">
        <v>43677</v>
      </c>
      <c r="J179" s="118" t="n">
        <v>43677</v>
      </c>
      <c r="K179" s="119" t="n">
        <v>7172</v>
      </c>
      <c r="L179" s="128" t="n">
        <f aca="false">K179-Q179+T179</f>
        <v>7172</v>
      </c>
      <c r="M179" s="117" t="s">
        <v>149</v>
      </c>
      <c r="N179" s="117" t="n">
        <v>7172</v>
      </c>
      <c r="O179" s="117" t="s">
        <v>149</v>
      </c>
      <c r="P179" s="117" t="n">
        <v>0</v>
      </c>
      <c r="Q179" s="117" t="n">
        <v>0</v>
      </c>
      <c r="R179" s="117" t="n">
        <v>7172</v>
      </c>
      <c r="S179" s="117" t="n">
        <v>0</v>
      </c>
      <c r="T179" s="117" t="n">
        <v>0</v>
      </c>
      <c r="U179" s="117" t="n">
        <v>312193</v>
      </c>
      <c r="V179" s="117" t="s">
        <v>1963</v>
      </c>
      <c r="X179" s="117" t="s">
        <v>2112</v>
      </c>
      <c r="Z179" s="117" t="n">
        <v>2316</v>
      </c>
      <c r="AB179" s="117" t="s">
        <v>1965</v>
      </c>
      <c r="AD179" s="117" t="n">
        <v>110000</v>
      </c>
      <c r="AE179" s="117" t="s">
        <v>1966</v>
      </c>
      <c r="AF179" s="117" t="n">
        <v>110000</v>
      </c>
      <c r="AG179" s="117" t="s">
        <v>1966</v>
      </c>
      <c r="AI179" s="117" t="n">
        <v>110000</v>
      </c>
      <c r="AJ179" s="117" t="s">
        <v>1966</v>
      </c>
      <c r="AK179" s="117" t="n">
        <v>0</v>
      </c>
      <c r="AL179" s="117" t="n">
        <v>4</v>
      </c>
      <c r="AM179" s="117" t="s">
        <v>161</v>
      </c>
      <c r="AP179" s="117" t="n">
        <v>100173563</v>
      </c>
      <c r="AQ179" s="118" t="n">
        <v>43799</v>
      </c>
      <c r="AR179" s="118" t="n">
        <v>43677</v>
      </c>
      <c r="AS179" s="117" t="n">
        <v>0.622083333333333</v>
      </c>
      <c r="AT179" s="117" t="n">
        <v>0</v>
      </c>
      <c r="AU179" s="117" t="n">
        <v>0</v>
      </c>
      <c r="AX179" s="117" t="n">
        <v>3</v>
      </c>
    </row>
    <row r="180" customFormat="false" ht="13.8" hidden="true" customHeight="false" outlineLevel="0" collapsed="false">
      <c r="A180" s="117" t="n">
        <v>1000</v>
      </c>
      <c r="B180" s="117" t="s">
        <v>1962</v>
      </c>
      <c r="C180" s="117" t="n">
        <v>1400006430</v>
      </c>
      <c r="D180" s="117" t="s">
        <v>2113</v>
      </c>
      <c r="E180" s="117" t="s">
        <v>1972</v>
      </c>
      <c r="F180" s="117" t="n">
        <v>1101</v>
      </c>
      <c r="G180" s="117" t="n">
        <v>2019</v>
      </c>
      <c r="H180" s="117" t="n">
        <v>6</v>
      </c>
      <c r="I180" s="118" t="n">
        <v>43738</v>
      </c>
      <c r="J180" s="118" t="n">
        <v>43738</v>
      </c>
      <c r="K180" s="119" t="n">
        <v>-389760</v>
      </c>
      <c r="L180" s="128" t="n">
        <f aca="false">K180-Q180+T180</f>
        <v>-389760</v>
      </c>
      <c r="M180" s="117" t="s">
        <v>149</v>
      </c>
      <c r="N180" s="117" t="n">
        <v>-389760</v>
      </c>
      <c r="O180" s="117" t="s">
        <v>149</v>
      </c>
      <c r="P180" s="117" t="n">
        <v>-389760</v>
      </c>
      <c r="Q180" s="117" t="n">
        <v>0</v>
      </c>
      <c r="R180" s="117" t="n">
        <v>-389760</v>
      </c>
      <c r="S180" s="117" t="n">
        <v>0</v>
      </c>
      <c r="T180" s="117" t="n">
        <v>0</v>
      </c>
      <c r="U180" s="117" t="n">
        <v>304431</v>
      </c>
      <c r="V180" s="117" t="s">
        <v>2016</v>
      </c>
      <c r="X180" s="117" t="s">
        <v>2114</v>
      </c>
      <c r="Y180" s="117" t="s">
        <v>2115</v>
      </c>
      <c r="Z180" s="117" t="n">
        <v>1400006430</v>
      </c>
      <c r="AC180" s="117" t="s">
        <v>1976</v>
      </c>
      <c r="AD180" s="117" t="n">
        <v>310300</v>
      </c>
      <c r="AE180" s="117" t="s">
        <v>1969</v>
      </c>
      <c r="AF180" s="117" t="n">
        <v>101105</v>
      </c>
      <c r="AG180" s="117" t="s">
        <v>1977</v>
      </c>
      <c r="AI180" s="117" t="n">
        <v>101105</v>
      </c>
      <c r="AJ180" s="117" t="s">
        <v>1977</v>
      </c>
      <c r="AK180" s="117" t="n">
        <v>0</v>
      </c>
      <c r="AL180" s="117" t="n">
        <v>19</v>
      </c>
      <c r="AM180" s="117" t="s">
        <v>225</v>
      </c>
      <c r="AN180" s="117" t="s">
        <v>1978</v>
      </c>
      <c r="AP180" s="117" t="n">
        <v>100123327</v>
      </c>
      <c r="AQ180" s="118" t="n">
        <v>43738</v>
      </c>
      <c r="AR180" s="118" t="n">
        <v>43739</v>
      </c>
      <c r="AS180" s="117" t="n">
        <v>0.612824074074074</v>
      </c>
      <c r="AT180" s="117" t="n">
        <v>0</v>
      </c>
      <c r="AU180" s="117" t="n">
        <v>0</v>
      </c>
      <c r="AX180" s="117" t="n">
        <v>2</v>
      </c>
    </row>
    <row r="181" customFormat="false" ht="13.8" hidden="true" customHeight="false" outlineLevel="0" collapsed="false">
      <c r="A181" s="117" t="n">
        <v>1000</v>
      </c>
      <c r="B181" s="117" t="s">
        <v>1962</v>
      </c>
      <c r="C181" s="117" t="n">
        <v>100076146</v>
      </c>
      <c r="E181" s="117" t="s">
        <v>1921</v>
      </c>
      <c r="F181" s="117" t="n">
        <v>1101</v>
      </c>
      <c r="G181" s="117" t="n">
        <v>2019</v>
      </c>
      <c r="H181" s="117" t="n">
        <v>5</v>
      </c>
      <c r="I181" s="118" t="n">
        <v>43703</v>
      </c>
      <c r="J181" s="118" t="n">
        <v>43703</v>
      </c>
      <c r="K181" s="119" t="n">
        <v>1743896.04</v>
      </c>
      <c r="L181" s="128" t="n">
        <f aca="false">K181-Q181+T181</f>
        <v>1743896.04</v>
      </c>
      <c r="M181" s="117" t="s">
        <v>149</v>
      </c>
      <c r="N181" s="117" t="n">
        <v>1743896.04</v>
      </c>
      <c r="O181" s="117" t="s">
        <v>149</v>
      </c>
      <c r="P181" s="117" t="n">
        <v>0</v>
      </c>
      <c r="Q181" s="117" t="n">
        <v>0</v>
      </c>
      <c r="R181" s="117" t="n">
        <v>1743896.04</v>
      </c>
      <c r="S181" s="117" t="n">
        <v>0</v>
      </c>
      <c r="T181" s="117" t="n">
        <v>0</v>
      </c>
      <c r="U181" s="117" t="n">
        <v>318999</v>
      </c>
      <c r="V181" s="117" t="s">
        <v>143</v>
      </c>
      <c r="Z181" s="117" t="n">
        <v>100076146</v>
      </c>
      <c r="AD181" s="117" t="n">
        <v>310300</v>
      </c>
      <c r="AE181" s="117" t="s">
        <v>1969</v>
      </c>
      <c r="AF181" s="117" t="n">
        <v>110000</v>
      </c>
      <c r="AG181" s="117" t="s">
        <v>1966</v>
      </c>
      <c r="AI181" s="117" t="n">
        <v>110000</v>
      </c>
      <c r="AJ181" s="117" t="s">
        <v>1966</v>
      </c>
      <c r="AK181" s="117" t="n">
        <v>0</v>
      </c>
      <c r="AL181" s="117" t="n">
        <v>9</v>
      </c>
      <c r="AM181" s="117" t="s">
        <v>161</v>
      </c>
      <c r="AN181" s="117" t="s">
        <v>1978</v>
      </c>
      <c r="AP181" s="117" t="n">
        <v>100076146</v>
      </c>
      <c r="AQ181" s="118" t="n">
        <v>43703</v>
      </c>
      <c r="AR181" s="118" t="n">
        <v>43703</v>
      </c>
      <c r="AS181" s="117" t="n">
        <v>0.799178240740741</v>
      </c>
      <c r="AT181" s="117" t="n">
        <v>0</v>
      </c>
      <c r="AU181" s="117" t="n">
        <v>0</v>
      </c>
      <c r="AX181" s="117" t="n">
        <v>3</v>
      </c>
    </row>
    <row r="182" customFormat="false" ht="13.8" hidden="true" customHeight="false" outlineLevel="0" collapsed="false">
      <c r="A182" s="117" t="n">
        <v>1000</v>
      </c>
      <c r="B182" s="117" t="s">
        <v>1962</v>
      </c>
      <c r="C182" s="117" t="n">
        <v>1400003709</v>
      </c>
      <c r="E182" s="117" t="s">
        <v>1972</v>
      </c>
      <c r="F182" s="117" t="n">
        <v>1106</v>
      </c>
      <c r="G182" s="117" t="n">
        <v>2019</v>
      </c>
      <c r="H182" s="117" t="n">
        <v>4</v>
      </c>
      <c r="I182" s="118" t="n">
        <v>43651</v>
      </c>
      <c r="J182" s="118" t="n">
        <v>43651</v>
      </c>
      <c r="K182" s="119" t="n">
        <v>-41713</v>
      </c>
      <c r="L182" s="128" t="n">
        <f aca="false">K182-Q182+T182</f>
        <v>-41713</v>
      </c>
      <c r="M182" s="117" t="s">
        <v>149</v>
      </c>
      <c r="N182" s="117" t="n">
        <v>-41713</v>
      </c>
      <c r="O182" s="117" t="s">
        <v>149</v>
      </c>
      <c r="P182" s="117" t="n">
        <v>0</v>
      </c>
      <c r="Q182" s="117" t="n">
        <v>0</v>
      </c>
      <c r="R182" s="117" t="n">
        <v>-41713</v>
      </c>
      <c r="S182" s="117" t="n">
        <v>0</v>
      </c>
      <c r="T182" s="117" t="n">
        <v>0</v>
      </c>
      <c r="U182" s="117" t="n">
        <v>312193</v>
      </c>
      <c r="V182" s="117" t="s">
        <v>1963</v>
      </c>
      <c r="X182" s="117" t="s">
        <v>2116</v>
      </c>
      <c r="Y182" s="117" t="s">
        <v>2117</v>
      </c>
      <c r="Z182" s="117" t="n">
        <v>1400003709</v>
      </c>
      <c r="AC182" s="117" t="s">
        <v>1976</v>
      </c>
      <c r="AD182" s="117" t="n">
        <v>310300</v>
      </c>
      <c r="AE182" s="117" t="s">
        <v>1969</v>
      </c>
      <c r="AF182" s="117" t="n">
        <v>101105</v>
      </c>
      <c r="AG182" s="117" t="s">
        <v>1977</v>
      </c>
      <c r="AI182" s="117" t="n">
        <v>101105</v>
      </c>
      <c r="AJ182" s="117" t="s">
        <v>1977</v>
      </c>
      <c r="AK182" s="117" t="n">
        <v>0</v>
      </c>
      <c r="AL182" s="117" t="n">
        <v>19</v>
      </c>
      <c r="AM182" s="117" t="s">
        <v>225</v>
      </c>
      <c r="AN182" s="117" t="s">
        <v>1978</v>
      </c>
      <c r="AP182" s="117" t="n">
        <v>100058205</v>
      </c>
      <c r="AQ182" s="118" t="n">
        <v>43677</v>
      </c>
      <c r="AR182" s="118" t="n">
        <v>43656</v>
      </c>
      <c r="AS182" s="117" t="n">
        <v>0.272615740740741</v>
      </c>
      <c r="AT182" s="117" t="n">
        <v>0</v>
      </c>
      <c r="AU182" s="117" t="n">
        <v>0</v>
      </c>
      <c r="AX182" s="117" t="n">
        <v>2</v>
      </c>
    </row>
    <row r="183" customFormat="false" ht="13.8" hidden="true" customHeight="false" outlineLevel="0" collapsed="false">
      <c r="A183" s="117" t="n">
        <v>1000</v>
      </c>
      <c r="B183" s="117" t="s">
        <v>1962</v>
      </c>
      <c r="C183" s="117" t="n">
        <v>100081995</v>
      </c>
      <c r="E183" s="117" t="s">
        <v>1921</v>
      </c>
      <c r="F183" s="117" t="n">
        <v>1108</v>
      </c>
      <c r="G183" s="117" t="n">
        <v>2019</v>
      </c>
      <c r="H183" s="117" t="n">
        <v>5</v>
      </c>
      <c r="I183" s="118" t="n">
        <v>43708</v>
      </c>
      <c r="J183" s="118" t="n">
        <v>43708</v>
      </c>
      <c r="K183" s="119" t="n">
        <v>230723.4</v>
      </c>
      <c r="L183" s="128" t="n">
        <f aca="false">K183-Q183+T183</f>
        <v>230723.4</v>
      </c>
      <c r="M183" s="117" t="s">
        <v>149</v>
      </c>
      <c r="N183" s="117" t="n">
        <v>230723.4</v>
      </c>
      <c r="O183" s="117" t="s">
        <v>149</v>
      </c>
      <c r="P183" s="117" t="n">
        <v>0</v>
      </c>
      <c r="Q183" s="117" t="n">
        <v>0</v>
      </c>
      <c r="R183" s="117" t="n">
        <v>230723.4</v>
      </c>
      <c r="S183" s="117" t="n">
        <v>0</v>
      </c>
      <c r="T183" s="117" t="n">
        <v>0</v>
      </c>
      <c r="U183" s="117" t="n">
        <v>312948</v>
      </c>
      <c r="V183" s="117" t="s">
        <v>1984</v>
      </c>
      <c r="X183" s="117" t="s">
        <v>1758</v>
      </c>
      <c r="Z183" s="117" t="n">
        <v>60206</v>
      </c>
      <c r="AB183" s="117" t="s">
        <v>2032</v>
      </c>
      <c r="AD183" s="117" t="n">
        <v>110000</v>
      </c>
      <c r="AE183" s="117" t="s">
        <v>1966</v>
      </c>
      <c r="AF183" s="117" t="n">
        <v>110000</v>
      </c>
      <c r="AG183" s="117" t="s">
        <v>1966</v>
      </c>
      <c r="AI183" s="117" t="n">
        <v>110000</v>
      </c>
      <c r="AJ183" s="117" t="s">
        <v>1966</v>
      </c>
      <c r="AK183" s="117" t="n">
        <v>0</v>
      </c>
      <c r="AL183" s="117" t="n">
        <v>4</v>
      </c>
      <c r="AM183" s="117" t="s">
        <v>161</v>
      </c>
      <c r="AR183" s="118" t="n">
        <v>43710</v>
      </c>
      <c r="AS183" s="117" t="n">
        <v>0.300902777777778</v>
      </c>
      <c r="AT183" s="117" t="n">
        <v>0</v>
      </c>
      <c r="AU183" s="117" t="n">
        <v>0</v>
      </c>
      <c r="AX183" s="117" t="n">
        <v>3</v>
      </c>
    </row>
    <row r="184" s="106" customFormat="true" ht="13.8" hidden="true" customHeight="false" outlineLevel="0" collapsed="false">
      <c r="A184" s="106" t="n">
        <v>1000</v>
      </c>
      <c r="B184" s="106" t="s">
        <v>1962</v>
      </c>
      <c r="C184" s="106" t="n">
        <v>107244</v>
      </c>
      <c r="D184" s="106" t="s">
        <v>2118</v>
      </c>
      <c r="E184" s="106" t="s">
        <v>1970</v>
      </c>
      <c r="F184" s="106" t="n">
        <v>1108</v>
      </c>
      <c r="G184" s="106" t="n">
        <v>2019</v>
      </c>
      <c r="H184" s="106" t="n">
        <v>6</v>
      </c>
      <c r="I184" s="129" t="n">
        <v>43735</v>
      </c>
      <c r="J184" s="129" t="n">
        <v>43735</v>
      </c>
      <c r="K184" s="107" t="n">
        <v>359577.86</v>
      </c>
      <c r="L184" s="130" t="n">
        <f aca="false">K184-Q184+T184</f>
        <v>304727</v>
      </c>
      <c r="M184" s="106" t="s">
        <v>149</v>
      </c>
      <c r="N184" s="106" t="n">
        <v>359577.86</v>
      </c>
      <c r="O184" s="106" t="s">
        <v>149</v>
      </c>
      <c r="P184" s="106" t="n">
        <v>0</v>
      </c>
      <c r="Q184" s="107" t="n">
        <v>54850.86</v>
      </c>
      <c r="R184" s="106" t="n">
        <v>304727</v>
      </c>
      <c r="S184" s="106" t="n">
        <v>0</v>
      </c>
      <c r="T184" s="106" t="n">
        <v>0</v>
      </c>
      <c r="U184" s="106" t="n">
        <v>312193</v>
      </c>
      <c r="V184" s="106" t="s">
        <v>1963</v>
      </c>
      <c r="Z184" s="106" t="n">
        <v>61044</v>
      </c>
      <c r="AB184" s="106" t="s">
        <v>2109</v>
      </c>
      <c r="AD184" s="106" t="n">
        <v>110000</v>
      </c>
      <c r="AE184" s="106" t="s">
        <v>1966</v>
      </c>
      <c r="AF184" s="106" t="n">
        <v>501005</v>
      </c>
      <c r="AG184" s="106" t="s">
        <v>2033</v>
      </c>
      <c r="AI184" s="106" t="n">
        <v>501005</v>
      </c>
      <c r="AJ184" s="106" t="s">
        <v>2033</v>
      </c>
      <c r="AK184" s="106" t="n">
        <v>0</v>
      </c>
      <c r="AL184" s="106" t="n">
        <v>1</v>
      </c>
      <c r="AM184" s="106" t="s">
        <v>161</v>
      </c>
      <c r="AP184" s="106" t="n">
        <v>100123318</v>
      </c>
      <c r="AQ184" s="129" t="n">
        <v>43738</v>
      </c>
      <c r="AR184" s="129" t="n">
        <v>43735</v>
      </c>
      <c r="AS184" s="106" t="n">
        <v>0.763356481481481</v>
      </c>
      <c r="AT184" s="106" t="n">
        <v>0</v>
      </c>
      <c r="AU184" s="106" t="n">
        <v>0</v>
      </c>
      <c r="AX184" s="106" t="n">
        <v>1</v>
      </c>
      <c r="ALU184" s="0"/>
      <c r="ALV184" s="0"/>
      <c r="ALW184" s="0"/>
      <c r="ALX184" s="0"/>
      <c r="ALY184" s="0"/>
      <c r="ALZ184" s="0"/>
      <c r="AMA184" s="0"/>
      <c r="AMB184" s="0"/>
      <c r="AMC184" s="0"/>
      <c r="AMD184" s="0"/>
      <c r="AME184" s="0"/>
      <c r="AMF184" s="0"/>
      <c r="AMG184" s="0"/>
      <c r="AMH184" s="0"/>
      <c r="AMI184" s="0"/>
      <c r="AMJ184" s="0"/>
    </row>
    <row r="185" s="106" customFormat="true" ht="13.8" hidden="true" customHeight="false" outlineLevel="0" collapsed="false">
      <c r="A185" s="106" t="n">
        <v>1000</v>
      </c>
      <c r="B185" s="106" t="s">
        <v>1962</v>
      </c>
      <c r="C185" s="106" t="n">
        <v>106187</v>
      </c>
      <c r="D185" s="106" t="s">
        <v>1370</v>
      </c>
      <c r="E185" s="106" t="s">
        <v>1970</v>
      </c>
      <c r="F185" s="106" t="n">
        <v>1109</v>
      </c>
      <c r="G185" s="106" t="n">
        <v>2019</v>
      </c>
      <c r="H185" s="106" t="n">
        <v>5</v>
      </c>
      <c r="I185" s="129" t="n">
        <v>43705</v>
      </c>
      <c r="J185" s="129" t="n">
        <v>43705</v>
      </c>
      <c r="K185" s="107" t="n">
        <v>3942514.09</v>
      </c>
      <c r="L185" s="130" t="n">
        <f aca="false">K185-Q185+T185</f>
        <v>3341113.63</v>
      </c>
      <c r="M185" s="106" t="s">
        <v>149</v>
      </c>
      <c r="N185" s="106" t="n">
        <v>3942514.09</v>
      </c>
      <c r="O185" s="106" t="s">
        <v>149</v>
      </c>
      <c r="P185" s="106" t="n">
        <v>0</v>
      </c>
      <c r="Q185" s="107" t="n">
        <v>601400.46</v>
      </c>
      <c r="R185" s="106" t="n">
        <v>3341113.63</v>
      </c>
      <c r="S185" s="106" t="n">
        <v>0</v>
      </c>
      <c r="T185" s="106" t="n">
        <v>0</v>
      </c>
      <c r="U185" s="106" t="n">
        <v>311155</v>
      </c>
      <c r="V185" s="106" t="s">
        <v>2022</v>
      </c>
      <c r="Z185" s="106" t="n">
        <v>60431</v>
      </c>
      <c r="AB185" s="106" t="s">
        <v>2023</v>
      </c>
      <c r="AD185" s="106" t="n">
        <v>110000</v>
      </c>
      <c r="AE185" s="106" t="s">
        <v>1966</v>
      </c>
      <c r="AF185" s="106" t="n">
        <v>501005</v>
      </c>
      <c r="AG185" s="106" t="s">
        <v>2033</v>
      </c>
      <c r="AI185" s="106" t="n">
        <v>501005</v>
      </c>
      <c r="AJ185" s="106" t="s">
        <v>2033</v>
      </c>
      <c r="AK185" s="106" t="n">
        <v>0</v>
      </c>
      <c r="AL185" s="106" t="n">
        <v>1</v>
      </c>
      <c r="AM185" s="106" t="s">
        <v>161</v>
      </c>
      <c r="AP185" s="106" t="n">
        <v>100081987</v>
      </c>
      <c r="AQ185" s="129" t="n">
        <v>43708</v>
      </c>
      <c r="AR185" s="129" t="n">
        <v>43705</v>
      </c>
      <c r="AS185" s="106" t="n">
        <v>0.692037037037037</v>
      </c>
      <c r="AT185" s="106" t="n">
        <v>0</v>
      </c>
      <c r="AU185" s="106" t="n">
        <v>0</v>
      </c>
      <c r="AX185" s="106" t="n">
        <v>1</v>
      </c>
      <c r="ALU185" s="0"/>
      <c r="ALV185" s="0"/>
      <c r="ALW185" s="0"/>
      <c r="ALX185" s="0"/>
      <c r="ALY185" s="0"/>
      <c r="ALZ185" s="0"/>
      <c r="AMA185" s="0"/>
      <c r="AMB185" s="0"/>
      <c r="AMC185" s="0"/>
      <c r="AMD185" s="0"/>
      <c r="AME185" s="0"/>
      <c r="AMF185" s="0"/>
      <c r="AMG185" s="0"/>
      <c r="AMH185" s="0"/>
      <c r="AMI185" s="0"/>
      <c r="AMJ185" s="0"/>
    </row>
    <row r="186" customFormat="false" ht="13.8" hidden="true" customHeight="false" outlineLevel="0" collapsed="false">
      <c r="A186" s="117" t="n">
        <v>1000</v>
      </c>
      <c r="B186" s="117" t="s">
        <v>1962</v>
      </c>
      <c r="C186" s="117" t="n">
        <v>1400004474</v>
      </c>
      <c r="E186" s="117" t="s">
        <v>1972</v>
      </c>
      <c r="F186" s="117" t="n">
        <v>1101</v>
      </c>
      <c r="G186" s="117" t="n">
        <v>2019</v>
      </c>
      <c r="H186" s="117" t="n">
        <v>4</v>
      </c>
      <c r="I186" s="118" t="n">
        <v>43675</v>
      </c>
      <c r="J186" s="118" t="n">
        <v>43675</v>
      </c>
      <c r="K186" s="119" t="n">
        <v>-3625191.9</v>
      </c>
      <c r="L186" s="128" t="n">
        <f aca="false">K186-Q186+T186</f>
        <v>-3625191.9</v>
      </c>
      <c r="M186" s="117" t="s">
        <v>149</v>
      </c>
      <c r="N186" s="117" t="n">
        <v>-3625191.9</v>
      </c>
      <c r="O186" s="117" t="s">
        <v>149</v>
      </c>
      <c r="P186" s="117" t="n">
        <v>0</v>
      </c>
      <c r="Q186" s="117" t="n">
        <v>0</v>
      </c>
      <c r="R186" s="117" t="n">
        <v>-3625191.9</v>
      </c>
      <c r="S186" s="117" t="n">
        <v>0</v>
      </c>
      <c r="T186" s="117" t="n">
        <v>0</v>
      </c>
      <c r="U186" s="117" t="n">
        <v>318999</v>
      </c>
      <c r="V186" s="117" t="s">
        <v>143</v>
      </c>
      <c r="X186" s="117" t="s">
        <v>2119</v>
      </c>
      <c r="Y186" s="117" t="s">
        <v>2120</v>
      </c>
      <c r="Z186" s="117" t="n">
        <v>1400004474</v>
      </c>
      <c r="AC186" s="117" t="s">
        <v>1976</v>
      </c>
      <c r="AD186" s="117" t="n">
        <v>310300</v>
      </c>
      <c r="AE186" s="117" t="s">
        <v>1969</v>
      </c>
      <c r="AF186" s="117" t="n">
        <v>101105</v>
      </c>
      <c r="AG186" s="117" t="s">
        <v>1977</v>
      </c>
      <c r="AI186" s="117" t="n">
        <v>101105</v>
      </c>
      <c r="AJ186" s="117" t="s">
        <v>1977</v>
      </c>
      <c r="AK186" s="117" t="n">
        <v>0</v>
      </c>
      <c r="AL186" s="117" t="n">
        <v>19</v>
      </c>
      <c r="AM186" s="117" t="s">
        <v>225</v>
      </c>
      <c r="AN186" s="117" t="s">
        <v>1978</v>
      </c>
      <c r="AP186" s="117" t="n">
        <v>100057912</v>
      </c>
      <c r="AQ186" s="118" t="n">
        <v>43677</v>
      </c>
      <c r="AR186" s="118" t="n">
        <v>43676</v>
      </c>
      <c r="AS186" s="117" t="n">
        <v>0.534398148148148</v>
      </c>
      <c r="AT186" s="117" t="n">
        <v>0</v>
      </c>
      <c r="AU186" s="117" t="n">
        <v>0</v>
      </c>
      <c r="AX186" s="117" t="n">
        <v>2</v>
      </c>
    </row>
    <row r="187" customFormat="false" ht="13.8" hidden="true" customHeight="false" outlineLevel="0" collapsed="false">
      <c r="A187" s="117" t="n">
        <v>1000</v>
      </c>
      <c r="B187" s="117" t="s">
        <v>1962</v>
      </c>
      <c r="C187" s="117" t="n">
        <v>100076146</v>
      </c>
      <c r="E187" s="117" t="s">
        <v>1921</v>
      </c>
      <c r="F187" s="117" t="n">
        <v>1101</v>
      </c>
      <c r="G187" s="117" t="n">
        <v>2019</v>
      </c>
      <c r="H187" s="117" t="n">
        <v>5</v>
      </c>
      <c r="I187" s="118" t="n">
        <v>43703</v>
      </c>
      <c r="J187" s="118" t="n">
        <v>43703</v>
      </c>
      <c r="K187" s="119" t="n">
        <v>-1773964.04</v>
      </c>
      <c r="L187" s="128" t="n">
        <f aca="false">K187-Q187+T187</f>
        <v>-1773964.04</v>
      </c>
      <c r="M187" s="117" t="s">
        <v>149</v>
      </c>
      <c r="N187" s="117" t="n">
        <v>-1773964.04</v>
      </c>
      <c r="O187" s="117" t="s">
        <v>149</v>
      </c>
      <c r="P187" s="117" t="n">
        <v>0</v>
      </c>
      <c r="Q187" s="117" t="n">
        <v>0</v>
      </c>
      <c r="R187" s="117" t="n">
        <v>-1773964.04</v>
      </c>
      <c r="S187" s="117" t="n">
        <v>0</v>
      </c>
      <c r="T187" s="117" t="n">
        <v>0</v>
      </c>
      <c r="U187" s="117" t="n">
        <v>318999</v>
      </c>
      <c r="V187" s="117" t="s">
        <v>143</v>
      </c>
      <c r="Z187" s="117" t="n">
        <v>100076146</v>
      </c>
      <c r="AD187" s="117" t="n">
        <v>110000</v>
      </c>
      <c r="AE187" s="117" t="s">
        <v>1966</v>
      </c>
      <c r="AF187" s="117" t="n">
        <v>110000</v>
      </c>
      <c r="AG187" s="117" t="s">
        <v>1966</v>
      </c>
      <c r="AI187" s="117" t="n">
        <v>110000</v>
      </c>
      <c r="AJ187" s="117" t="s">
        <v>1966</v>
      </c>
      <c r="AK187" s="117" t="n">
        <v>0</v>
      </c>
      <c r="AL187" s="117" t="n">
        <v>17</v>
      </c>
      <c r="AM187" s="117" t="s">
        <v>225</v>
      </c>
      <c r="AP187" s="117" t="n">
        <v>100076146</v>
      </c>
      <c r="AQ187" s="118" t="n">
        <v>43703</v>
      </c>
      <c r="AR187" s="118" t="n">
        <v>43703</v>
      </c>
      <c r="AS187" s="117" t="n">
        <v>0.799178240740741</v>
      </c>
      <c r="AT187" s="117" t="n">
        <v>0</v>
      </c>
      <c r="AU187" s="117" t="n">
        <v>0</v>
      </c>
      <c r="AX187" s="117" t="n">
        <v>2</v>
      </c>
    </row>
    <row r="188" customFormat="false" ht="13.8" hidden="true" customHeight="false" outlineLevel="0" collapsed="false">
      <c r="A188" s="117" t="n">
        <v>1000</v>
      </c>
      <c r="B188" s="117" t="s">
        <v>1962</v>
      </c>
      <c r="C188" s="117" t="n">
        <v>100081978</v>
      </c>
      <c r="E188" s="117" t="s">
        <v>1921</v>
      </c>
      <c r="F188" s="117" t="n">
        <v>1106</v>
      </c>
      <c r="G188" s="117" t="n">
        <v>2019</v>
      </c>
      <c r="H188" s="117" t="n">
        <v>5</v>
      </c>
      <c r="I188" s="118" t="n">
        <v>43708</v>
      </c>
      <c r="J188" s="118" t="n">
        <v>43708</v>
      </c>
      <c r="K188" s="119" t="n">
        <v>-303810.6</v>
      </c>
      <c r="L188" s="128" t="n">
        <f aca="false">K188-Q188+T188</f>
        <v>-303810.6</v>
      </c>
      <c r="M188" s="117" t="s">
        <v>149</v>
      </c>
      <c r="N188" s="117" t="n">
        <v>-303810.6</v>
      </c>
      <c r="O188" s="117" t="s">
        <v>149</v>
      </c>
      <c r="P188" s="117" t="n">
        <v>0</v>
      </c>
      <c r="Q188" s="117" t="n">
        <v>0</v>
      </c>
      <c r="R188" s="117" t="n">
        <v>-303810.6</v>
      </c>
      <c r="S188" s="117" t="n">
        <v>0</v>
      </c>
      <c r="T188" s="117" t="n">
        <v>0</v>
      </c>
      <c r="U188" s="117" t="n">
        <v>309085</v>
      </c>
      <c r="V188" s="117" t="s">
        <v>2001</v>
      </c>
      <c r="Z188" s="117" t="n">
        <v>100081978</v>
      </c>
      <c r="AD188" s="117" t="n">
        <v>110000</v>
      </c>
      <c r="AE188" s="117" t="s">
        <v>1966</v>
      </c>
      <c r="AF188" s="117" t="n">
        <v>310300</v>
      </c>
      <c r="AG188" s="117" t="s">
        <v>1969</v>
      </c>
      <c r="AI188" s="117" t="n">
        <v>310300</v>
      </c>
      <c r="AJ188" s="117" t="s">
        <v>1969</v>
      </c>
      <c r="AK188" s="117" t="n">
        <v>0</v>
      </c>
      <c r="AL188" s="117" t="n">
        <v>17</v>
      </c>
      <c r="AM188" s="117" t="s">
        <v>225</v>
      </c>
      <c r="AP188" s="117" t="n">
        <v>100081978</v>
      </c>
      <c r="AQ188" s="118" t="n">
        <v>43708</v>
      </c>
      <c r="AR188" s="118" t="n">
        <v>43710</v>
      </c>
      <c r="AS188" s="117" t="n">
        <v>0.28693287037037</v>
      </c>
      <c r="AT188" s="117" t="n">
        <v>0</v>
      </c>
      <c r="AU188" s="117" t="n">
        <v>0</v>
      </c>
      <c r="AX188" s="117" t="n">
        <v>2</v>
      </c>
    </row>
    <row r="189" s="106" customFormat="true" ht="13.8" hidden="true" customHeight="false" outlineLevel="0" collapsed="false">
      <c r="A189" s="106" t="n">
        <v>1000</v>
      </c>
      <c r="B189" s="106" t="s">
        <v>1962</v>
      </c>
      <c r="C189" s="106" t="n">
        <v>106816</v>
      </c>
      <c r="D189" s="106" t="s">
        <v>2121</v>
      </c>
      <c r="E189" s="106" t="s">
        <v>1970</v>
      </c>
      <c r="F189" s="106" t="n">
        <v>1108</v>
      </c>
      <c r="G189" s="106" t="n">
        <v>2019</v>
      </c>
      <c r="H189" s="106" t="n">
        <v>6</v>
      </c>
      <c r="I189" s="129" t="n">
        <v>43725</v>
      </c>
      <c r="J189" s="129" t="n">
        <v>43725</v>
      </c>
      <c r="K189" s="107" t="n">
        <v>666872.16</v>
      </c>
      <c r="L189" s="130" t="n">
        <f aca="false">K189-Q189+T189</f>
        <v>565145.9</v>
      </c>
      <c r="M189" s="106" t="s">
        <v>149</v>
      </c>
      <c r="N189" s="106" t="n">
        <v>666872.16</v>
      </c>
      <c r="O189" s="106" t="s">
        <v>149</v>
      </c>
      <c r="P189" s="106" t="n">
        <v>0</v>
      </c>
      <c r="Q189" s="107" t="n">
        <v>101726.26</v>
      </c>
      <c r="R189" s="106" t="n">
        <v>565145.9</v>
      </c>
      <c r="S189" s="106" t="n">
        <v>0</v>
      </c>
      <c r="T189" s="106" t="n">
        <v>0</v>
      </c>
      <c r="U189" s="106" t="n">
        <v>312193</v>
      </c>
      <c r="V189" s="106" t="s">
        <v>1963</v>
      </c>
      <c r="Z189" s="106" t="n">
        <v>2460</v>
      </c>
      <c r="AB189" s="106" t="s">
        <v>2122</v>
      </c>
      <c r="AD189" s="106" t="n">
        <v>110000</v>
      </c>
      <c r="AE189" s="106" t="s">
        <v>1966</v>
      </c>
      <c r="AF189" s="106" t="n">
        <v>501020</v>
      </c>
      <c r="AG189" s="106" t="s">
        <v>1971</v>
      </c>
      <c r="AI189" s="106" t="n">
        <v>501020</v>
      </c>
      <c r="AJ189" s="106" t="s">
        <v>1971</v>
      </c>
      <c r="AK189" s="106" t="n">
        <v>0</v>
      </c>
      <c r="AL189" s="106" t="n">
        <v>1</v>
      </c>
      <c r="AM189" s="106" t="s">
        <v>161</v>
      </c>
      <c r="AP189" s="106" t="n">
        <v>100116355</v>
      </c>
      <c r="AQ189" s="129" t="n">
        <v>43738</v>
      </c>
      <c r="AR189" s="129" t="n">
        <v>43725</v>
      </c>
      <c r="AS189" s="106" t="n">
        <v>0.577777777777778</v>
      </c>
      <c r="AT189" s="106" t="n">
        <v>0</v>
      </c>
      <c r="AU189" s="106" t="n">
        <v>0</v>
      </c>
      <c r="AX189" s="106" t="n">
        <v>1</v>
      </c>
      <c r="ALU189" s="0"/>
      <c r="ALV189" s="0"/>
      <c r="ALW189" s="0"/>
      <c r="ALX189" s="0"/>
      <c r="ALY189" s="0"/>
      <c r="ALZ189" s="0"/>
      <c r="AMA189" s="0"/>
      <c r="AMB189" s="0"/>
      <c r="AMC189" s="0"/>
      <c r="AMD189" s="0"/>
      <c r="AME189" s="0"/>
      <c r="AMF189" s="0"/>
      <c r="AMG189" s="0"/>
      <c r="AMH189" s="0"/>
      <c r="AMI189" s="0"/>
      <c r="AMJ189" s="0"/>
    </row>
    <row r="190" s="106" customFormat="true" ht="13.8" hidden="true" customHeight="false" outlineLevel="0" collapsed="false">
      <c r="A190" s="106" t="n">
        <v>1000</v>
      </c>
      <c r="B190" s="106" t="s">
        <v>1962</v>
      </c>
      <c r="C190" s="106" t="n">
        <v>107059</v>
      </c>
      <c r="D190" s="106" t="s">
        <v>2077</v>
      </c>
      <c r="E190" s="106" t="s">
        <v>1970</v>
      </c>
      <c r="F190" s="106" t="n">
        <v>1109</v>
      </c>
      <c r="G190" s="106" t="n">
        <v>2019</v>
      </c>
      <c r="H190" s="106" t="n">
        <v>6</v>
      </c>
      <c r="I190" s="129" t="n">
        <v>43732</v>
      </c>
      <c r="J190" s="129" t="n">
        <v>43732</v>
      </c>
      <c r="K190" s="107" t="n">
        <v>394545.42</v>
      </c>
      <c r="L190" s="130" t="n">
        <f aca="false">K190-Q190+T190</f>
        <v>334360.52</v>
      </c>
      <c r="M190" s="106" t="s">
        <v>149</v>
      </c>
      <c r="N190" s="106" t="n">
        <v>394545.42</v>
      </c>
      <c r="O190" s="106" t="s">
        <v>149</v>
      </c>
      <c r="P190" s="106" t="n">
        <v>0</v>
      </c>
      <c r="Q190" s="107" t="n">
        <v>60184.9</v>
      </c>
      <c r="R190" s="106" t="n">
        <v>334360.52</v>
      </c>
      <c r="S190" s="106" t="n">
        <v>0</v>
      </c>
      <c r="T190" s="106" t="n">
        <v>0</v>
      </c>
      <c r="U190" s="106" t="n">
        <v>315113</v>
      </c>
      <c r="V190" s="106" t="s">
        <v>143</v>
      </c>
      <c r="Z190" s="106" t="n">
        <v>60728</v>
      </c>
      <c r="AB190" s="106" t="s">
        <v>2078</v>
      </c>
      <c r="AD190" s="106" t="n">
        <v>110000</v>
      </c>
      <c r="AE190" s="106" t="s">
        <v>1966</v>
      </c>
      <c r="AF190" s="106" t="n">
        <v>501005</v>
      </c>
      <c r="AG190" s="106" t="s">
        <v>2033</v>
      </c>
      <c r="AI190" s="106" t="n">
        <v>501005</v>
      </c>
      <c r="AJ190" s="106" t="s">
        <v>2033</v>
      </c>
      <c r="AK190" s="106" t="n">
        <v>0</v>
      </c>
      <c r="AL190" s="106" t="n">
        <v>1</v>
      </c>
      <c r="AM190" s="106" t="s">
        <v>161</v>
      </c>
      <c r="AP190" s="106" t="n">
        <v>100123262</v>
      </c>
      <c r="AQ190" s="129" t="n">
        <v>43738</v>
      </c>
      <c r="AR190" s="129" t="n">
        <v>43732</v>
      </c>
      <c r="AS190" s="106" t="n">
        <v>0.737650462962963</v>
      </c>
      <c r="AT190" s="106" t="n">
        <v>0</v>
      </c>
      <c r="AU190" s="106" t="n">
        <v>0</v>
      </c>
      <c r="AX190" s="106" t="n">
        <v>1</v>
      </c>
      <c r="ALU190" s="0"/>
      <c r="ALV190" s="0"/>
      <c r="ALW190" s="0"/>
      <c r="ALX190" s="0"/>
      <c r="ALY190" s="0"/>
      <c r="ALZ190" s="0"/>
      <c r="AMA190" s="0"/>
      <c r="AMB190" s="0"/>
      <c r="AMC190" s="0"/>
      <c r="AMD190" s="0"/>
      <c r="AME190" s="0"/>
      <c r="AMF190" s="0"/>
      <c r="AMG190" s="0"/>
      <c r="AMH190" s="0"/>
      <c r="AMI190" s="0"/>
      <c r="AMJ190" s="0"/>
    </row>
    <row r="191" customFormat="false" ht="13.8" hidden="true" customHeight="false" outlineLevel="0" collapsed="false">
      <c r="A191" s="117" t="n">
        <v>1000</v>
      </c>
      <c r="B191" s="117" t="s">
        <v>1962</v>
      </c>
      <c r="C191" s="117" t="n">
        <v>100116355</v>
      </c>
      <c r="E191" s="117" t="s">
        <v>1921</v>
      </c>
      <c r="F191" s="117" t="n">
        <v>1108</v>
      </c>
      <c r="G191" s="117" t="n">
        <v>2019</v>
      </c>
      <c r="H191" s="117" t="n">
        <v>6</v>
      </c>
      <c r="I191" s="118" t="n">
        <v>43738</v>
      </c>
      <c r="J191" s="118" t="n">
        <v>43738</v>
      </c>
      <c r="K191" s="119" t="n">
        <v>68986.16</v>
      </c>
      <c r="L191" s="128" t="n">
        <f aca="false">K191-Q191+T191</f>
        <v>68986.16</v>
      </c>
      <c r="M191" s="117" t="s">
        <v>149</v>
      </c>
      <c r="N191" s="117" t="n">
        <v>68986.16</v>
      </c>
      <c r="O191" s="117" t="s">
        <v>149</v>
      </c>
      <c r="P191" s="117" t="n">
        <v>0</v>
      </c>
      <c r="Q191" s="117" t="n">
        <v>0</v>
      </c>
      <c r="R191" s="117" t="n">
        <v>68986.16</v>
      </c>
      <c r="S191" s="117" t="n">
        <v>0</v>
      </c>
      <c r="T191" s="117" t="n">
        <v>0</v>
      </c>
      <c r="U191" s="117" t="n">
        <v>312193</v>
      </c>
      <c r="V191" s="117" t="s">
        <v>1963</v>
      </c>
      <c r="X191" s="117" t="s">
        <v>1100</v>
      </c>
      <c r="Z191" s="117" t="n">
        <v>2346</v>
      </c>
      <c r="AB191" s="117" t="s">
        <v>2031</v>
      </c>
      <c r="AD191" s="117" t="n">
        <v>110000</v>
      </c>
      <c r="AE191" s="117" t="s">
        <v>1966</v>
      </c>
      <c r="AF191" s="117" t="n">
        <v>110000</v>
      </c>
      <c r="AG191" s="117" t="s">
        <v>1966</v>
      </c>
      <c r="AI191" s="117" t="n">
        <v>110000</v>
      </c>
      <c r="AJ191" s="117" t="s">
        <v>1966</v>
      </c>
      <c r="AK191" s="117" t="n">
        <v>0</v>
      </c>
      <c r="AL191" s="117" t="n">
        <v>4</v>
      </c>
      <c r="AM191" s="117" t="s">
        <v>161</v>
      </c>
      <c r="AP191" s="117" t="n">
        <v>100173530</v>
      </c>
      <c r="AQ191" s="118" t="n">
        <v>43799</v>
      </c>
      <c r="AR191" s="118" t="n">
        <v>43738</v>
      </c>
      <c r="AS191" s="117" t="n">
        <v>0.224525462962963</v>
      </c>
      <c r="AT191" s="117" t="n">
        <v>0</v>
      </c>
      <c r="AU191" s="117" t="n">
        <v>0</v>
      </c>
      <c r="AX191" s="117" t="n">
        <v>5</v>
      </c>
    </row>
    <row r="192" customFormat="false" ht="13.8" hidden="true" customHeight="false" outlineLevel="0" collapsed="false">
      <c r="A192" s="117" t="n">
        <v>1000</v>
      </c>
      <c r="B192" s="117" t="s">
        <v>1962</v>
      </c>
      <c r="C192" s="117" t="n">
        <v>100123318</v>
      </c>
      <c r="E192" s="117" t="s">
        <v>1921</v>
      </c>
      <c r="F192" s="117" t="n">
        <v>1108</v>
      </c>
      <c r="G192" s="117" t="n">
        <v>2019</v>
      </c>
      <c r="H192" s="117" t="n">
        <v>6</v>
      </c>
      <c r="I192" s="118" t="n">
        <v>43738</v>
      </c>
      <c r="J192" s="118" t="n">
        <v>43738</v>
      </c>
      <c r="K192" s="119" t="n">
        <v>1424635.36</v>
      </c>
      <c r="L192" s="128" t="n">
        <f aca="false">K192-Q192+T192</f>
        <v>1424635.36</v>
      </c>
      <c r="M192" s="117" t="s">
        <v>149</v>
      </c>
      <c r="N192" s="117" t="n">
        <v>1424635.36</v>
      </c>
      <c r="O192" s="117" t="s">
        <v>149</v>
      </c>
      <c r="P192" s="117" t="n">
        <v>0</v>
      </c>
      <c r="Q192" s="117" t="n">
        <v>0</v>
      </c>
      <c r="R192" s="117" t="n">
        <v>1424635.36</v>
      </c>
      <c r="S192" s="117" t="n">
        <v>0</v>
      </c>
      <c r="T192" s="117" t="n">
        <v>0</v>
      </c>
      <c r="U192" s="117" t="n">
        <v>312193</v>
      </c>
      <c r="V192" s="117" t="s">
        <v>1963</v>
      </c>
      <c r="X192" s="117" t="s">
        <v>2108</v>
      </c>
      <c r="Z192" s="117" t="n">
        <v>61009</v>
      </c>
      <c r="AB192" s="117" t="s">
        <v>2109</v>
      </c>
      <c r="AD192" s="117" t="n">
        <v>110000</v>
      </c>
      <c r="AE192" s="117" t="s">
        <v>1966</v>
      </c>
      <c r="AF192" s="117" t="n">
        <v>110000</v>
      </c>
      <c r="AG192" s="117" t="s">
        <v>1966</v>
      </c>
      <c r="AI192" s="117" t="n">
        <v>110000</v>
      </c>
      <c r="AJ192" s="117" t="s">
        <v>1966</v>
      </c>
      <c r="AK192" s="117" t="n">
        <v>0</v>
      </c>
      <c r="AL192" s="117" t="n">
        <v>4</v>
      </c>
      <c r="AM192" s="117" t="s">
        <v>161</v>
      </c>
      <c r="AR192" s="118" t="n">
        <v>43739</v>
      </c>
      <c r="AS192" s="117" t="n">
        <v>0.584733796296296</v>
      </c>
      <c r="AT192" s="117" t="n">
        <v>0</v>
      </c>
      <c r="AU192" s="117" t="n">
        <v>0</v>
      </c>
      <c r="AX192" s="117" t="n">
        <v>4</v>
      </c>
    </row>
    <row r="193" customFormat="false" ht="13.8" hidden="true" customHeight="false" outlineLevel="0" collapsed="false">
      <c r="A193" s="117" t="n">
        <v>1000</v>
      </c>
      <c r="B193" s="117" t="s">
        <v>1962</v>
      </c>
      <c r="C193" s="117" t="n">
        <v>100058214</v>
      </c>
      <c r="E193" s="117" t="s">
        <v>1921</v>
      </c>
      <c r="F193" s="117" t="n">
        <v>1106</v>
      </c>
      <c r="G193" s="117" t="n">
        <v>2019</v>
      </c>
      <c r="H193" s="117" t="n">
        <v>4</v>
      </c>
      <c r="I193" s="118" t="n">
        <v>43677</v>
      </c>
      <c r="J193" s="118" t="n">
        <v>43677</v>
      </c>
      <c r="K193" s="119" t="n">
        <v>6143227.65</v>
      </c>
      <c r="L193" s="128" t="n">
        <f aca="false">K193-Q193+T193</f>
        <v>6143227.65</v>
      </c>
      <c r="M193" s="117" t="s">
        <v>149</v>
      </c>
      <c r="N193" s="117" t="n">
        <v>6143227.65</v>
      </c>
      <c r="O193" s="117" t="s">
        <v>149</v>
      </c>
      <c r="P193" s="117" t="n">
        <v>0</v>
      </c>
      <c r="Q193" s="117" t="n">
        <v>0</v>
      </c>
      <c r="R193" s="117" t="n">
        <v>6143227.65</v>
      </c>
      <c r="S193" s="117" t="n">
        <v>0</v>
      </c>
      <c r="T193" s="117" t="n">
        <v>0</v>
      </c>
      <c r="U193" s="117" t="n">
        <v>313029</v>
      </c>
      <c r="V193" s="117" t="s">
        <v>143</v>
      </c>
      <c r="Z193" s="117" t="n">
        <v>100058214</v>
      </c>
      <c r="AD193" s="117" t="n">
        <v>310300</v>
      </c>
      <c r="AE193" s="117" t="s">
        <v>1969</v>
      </c>
      <c r="AF193" s="117" t="n">
        <v>110000</v>
      </c>
      <c r="AG193" s="117" t="s">
        <v>1966</v>
      </c>
      <c r="AI193" s="117" t="n">
        <v>110000</v>
      </c>
      <c r="AJ193" s="117" t="s">
        <v>1966</v>
      </c>
      <c r="AK193" s="117" t="n">
        <v>0</v>
      </c>
      <c r="AL193" s="117" t="n">
        <v>9</v>
      </c>
      <c r="AM193" s="117" t="s">
        <v>161</v>
      </c>
      <c r="AN193" s="117" t="s">
        <v>1978</v>
      </c>
      <c r="AP193" s="117" t="n">
        <v>100058214</v>
      </c>
      <c r="AQ193" s="118" t="n">
        <v>43677</v>
      </c>
      <c r="AR193" s="118" t="n">
        <v>43678</v>
      </c>
      <c r="AS193" s="117" t="n">
        <v>0.202777777777778</v>
      </c>
      <c r="AT193" s="117" t="n">
        <v>0</v>
      </c>
      <c r="AU193" s="117" t="n">
        <v>0</v>
      </c>
      <c r="AX193" s="117" t="n">
        <v>2</v>
      </c>
    </row>
    <row r="194" customFormat="false" ht="13.8" hidden="true" customHeight="false" outlineLevel="0" collapsed="false">
      <c r="A194" s="117" t="n">
        <v>1000</v>
      </c>
      <c r="B194" s="117" t="s">
        <v>1962</v>
      </c>
      <c r="C194" s="117" t="n">
        <v>1600000147</v>
      </c>
      <c r="D194" s="117" t="s">
        <v>1991</v>
      </c>
      <c r="E194" s="117" t="s">
        <v>1987</v>
      </c>
      <c r="F194" s="117" t="n">
        <v>1106</v>
      </c>
      <c r="G194" s="117" t="n">
        <v>2019</v>
      </c>
      <c r="H194" s="117" t="n">
        <v>4</v>
      </c>
      <c r="I194" s="118" t="n">
        <v>43677</v>
      </c>
      <c r="J194" s="118" t="n">
        <v>43677</v>
      </c>
      <c r="K194" s="119" t="n">
        <v>-380140.76</v>
      </c>
      <c r="L194" s="128" t="n">
        <f aca="false">K194-Q194+T194</f>
        <v>-380140.76</v>
      </c>
      <c r="M194" s="117" t="s">
        <v>149</v>
      </c>
      <c r="N194" s="117" t="n">
        <v>-380140.76</v>
      </c>
      <c r="O194" s="117" t="s">
        <v>149</v>
      </c>
      <c r="P194" s="117" t="n">
        <v>-380140.76</v>
      </c>
      <c r="Q194" s="117" t="n">
        <v>0</v>
      </c>
      <c r="R194" s="117" t="n">
        <v>-380140.76</v>
      </c>
      <c r="S194" s="117" t="n">
        <v>0</v>
      </c>
      <c r="T194" s="117" t="n">
        <v>0</v>
      </c>
      <c r="U194" s="117" t="n">
        <v>307259</v>
      </c>
      <c r="V194" s="117" t="s">
        <v>143</v>
      </c>
      <c r="X194" s="117" t="s">
        <v>2123</v>
      </c>
      <c r="Y194" s="117" t="s">
        <v>1993</v>
      </c>
      <c r="Z194" s="117" t="n">
        <v>1600000147</v>
      </c>
      <c r="AD194" s="117" t="n">
        <v>310300</v>
      </c>
      <c r="AE194" s="117" t="s">
        <v>1969</v>
      </c>
      <c r="AF194" s="117" t="n">
        <v>305576</v>
      </c>
      <c r="AG194" s="117" t="s">
        <v>1973</v>
      </c>
      <c r="AI194" s="117" t="n">
        <v>305576</v>
      </c>
      <c r="AJ194" s="131" t="s">
        <v>1973</v>
      </c>
      <c r="AK194" s="117" t="n">
        <v>0</v>
      </c>
      <c r="AL194" s="117" t="n">
        <v>19</v>
      </c>
      <c r="AM194" s="117" t="s">
        <v>225</v>
      </c>
      <c r="AN194" s="117" t="s">
        <v>1978</v>
      </c>
      <c r="AP194" s="117" t="n">
        <v>100057906</v>
      </c>
      <c r="AQ194" s="118" t="n">
        <v>43677</v>
      </c>
      <c r="AR194" s="118" t="n">
        <v>43677</v>
      </c>
      <c r="AS194" s="117" t="n">
        <v>0.664016203703704</v>
      </c>
      <c r="AT194" s="117" t="n">
        <v>0</v>
      </c>
      <c r="AU194" s="117" t="n">
        <v>0</v>
      </c>
      <c r="AX194" s="117" t="n">
        <v>2</v>
      </c>
    </row>
    <row r="195" customFormat="false" ht="13.8" hidden="true" customHeight="false" outlineLevel="0" collapsed="false">
      <c r="A195" s="117" t="n">
        <v>1000</v>
      </c>
      <c r="B195" s="117" t="s">
        <v>1962</v>
      </c>
      <c r="C195" s="117" t="n">
        <v>100058249</v>
      </c>
      <c r="E195" s="117" t="s">
        <v>1921</v>
      </c>
      <c r="F195" s="117" t="n">
        <v>1109</v>
      </c>
      <c r="G195" s="117" t="n">
        <v>2019</v>
      </c>
      <c r="H195" s="117" t="n">
        <v>4</v>
      </c>
      <c r="I195" s="118" t="n">
        <v>43677</v>
      </c>
      <c r="J195" s="118" t="n">
        <v>43677</v>
      </c>
      <c r="K195" s="119" t="n">
        <v>2839100.39</v>
      </c>
      <c r="L195" s="128" t="n">
        <f aca="false">K195-Q195+T195</f>
        <v>2839100.39</v>
      </c>
      <c r="M195" s="117" t="s">
        <v>149</v>
      </c>
      <c r="N195" s="117" t="n">
        <v>2839100.39</v>
      </c>
      <c r="O195" s="117" t="s">
        <v>149</v>
      </c>
      <c r="P195" s="117" t="n">
        <v>0</v>
      </c>
      <c r="Q195" s="117" t="n">
        <v>0</v>
      </c>
      <c r="R195" s="117" t="n">
        <v>2839100.39</v>
      </c>
      <c r="S195" s="117" t="n">
        <v>0</v>
      </c>
      <c r="T195" s="117" t="n">
        <v>0</v>
      </c>
      <c r="U195" s="117" t="n">
        <v>318179</v>
      </c>
      <c r="V195" s="117" t="s">
        <v>143</v>
      </c>
      <c r="X195" s="117" t="s">
        <v>1437</v>
      </c>
      <c r="Z195" s="117" t="n">
        <v>60042</v>
      </c>
      <c r="AB195" s="117" t="n">
        <v>3700794717</v>
      </c>
      <c r="AD195" s="117" t="n">
        <v>110000</v>
      </c>
      <c r="AE195" s="117" t="s">
        <v>1966</v>
      </c>
      <c r="AF195" s="117" t="n">
        <v>110000</v>
      </c>
      <c r="AG195" s="117" t="s">
        <v>1966</v>
      </c>
      <c r="AI195" s="117" t="n">
        <v>110000</v>
      </c>
      <c r="AJ195" s="117" t="s">
        <v>1966</v>
      </c>
      <c r="AK195" s="117" t="n">
        <v>0</v>
      </c>
      <c r="AL195" s="117" t="n">
        <v>4</v>
      </c>
      <c r="AM195" s="117" t="s">
        <v>161</v>
      </c>
      <c r="AP195" s="117" t="n">
        <v>100111526</v>
      </c>
      <c r="AQ195" s="118" t="n">
        <v>43732</v>
      </c>
      <c r="AR195" s="118" t="n">
        <v>43678</v>
      </c>
      <c r="AS195" s="117" t="n">
        <v>0.222881944444444</v>
      </c>
      <c r="AT195" s="117" t="n">
        <v>0</v>
      </c>
      <c r="AU195" s="117" t="n">
        <v>0</v>
      </c>
      <c r="AX195" s="117" t="n">
        <v>1</v>
      </c>
    </row>
    <row r="196" s="106" customFormat="true" ht="13.8" hidden="true" customHeight="false" outlineLevel="0" collapsed="false">
      <c r="A196" s="106" t="n">
        <v>1000</v>
      </c>
      <c r="B196" s="106" t="s">
        <v>1962</v>
      </c>
      <c r="C196" s="106" t="n">
        <v>107660</v>
      </c>
      <c r="D196" s="106" t="s">
        <v>1869</v>
      </c>
      <c r="E196" s="106" t="s">
        <v>1970</v>
      </c>
      <c r="F196" s="106" t="n">
        <v>1109</v>
      </c>
      <c r="G196" s="106" t="n">
        <v>2019</v>
      </c>
      <c r="H196" s="106" t="n">
        <v>7</v>
      </c>
      <c r="I196" s="129" t="n">
        <v>43748</v>
      </c>
      <c r="J196" s="129" t="n">
        <v>43748</v>
      </c>
      <c r="K196" s="107" t="n">
        <v>218064</v>
      </c>
      <c r="L196" s="130" t="n">
        <f aca="false">K196-Q196+T196</f>
        <v>184800</v>
      </c>
      <c r="M196" s="106" t="s">
        <v>149</v>
      </c>
      <c r="N196" s="106" t="n">
        <v>218064</v>
      </c>
      <c r="O196" s="106" t="s">
        <v>149</v>
      </c>
      <c r="P196" s="106" t="n">
        <v>0</v>
      </c>
      <c r="Q196" s="107" t="n">
        <v>33264</v>
      </c>
      <c r="R196" s="106" t="n">
        <v>184800</v>
      </c>
      <c r="S196" s="106" t="n">
        <v>0</v>
      </c>
      <c r="T196" s="106" t="n">
        <v>0</v>
      </c>
      <c r="U196" s="106" t="n">
        <v>312193</v>
      </c>
      <c r="V196" s="106" t="s">
        <v>1963</v>
      </c>
      <c r="Z196" s="106" t="n">
        <v>60942</v>
      </c>
      <c r="AB196" s="106" t="s">
        <v>2124</v>
      </c>
      <c r="AD196" s="106" t="n">
        <v>110000</v>
      </c>
      <c r="AE196" s="106" t="s">
        <v>1966</v>
      </c>
      <c r="AF196" s="106" t="n">
        <v>501005</v>
      </c>
      <c r="AG196" s="106" t="s">
        <v>2033</v>
      </c>
      <c r="AI196" s="106" t="n">
        <v>501005</v>
      </c>
      <c r="AJ196" s="106" t="s">
        <v>2033</v>
      </c>
      <c r="AK196" s="106" t="n">
        <v>0</v>
      </c>
      <c r="AL196" s="106" t="n">
        <v>1</v>
      </c>
      <c r="AM196" s="106" t="s">
        <v>161</v>
      </c>
      <c r="AP196" s="106" t="n">
        <v>100141449</v>
      </c>
      <c r="AQ196" s="129" t="n">
        <v>43766</v>
      </c>
      <c r="AR196" s="129" t="n">
        <v>43748</v>
      </c>
      <c r="AS196" s="106" t="n">
        <v>0.482997685185185</v>
      </c>
      <c r="AT196" s="106" t="n">
        <v>0</v>
      </c>
      <c r="AU196" s="106" t="n">
        <v>0</v>
      </c>
      <c r="AX196" s="106" t="n">
        <v>1</v>
      </c>
      <c r="ALU196" s="0"/>
      <c r="ALV196" s="0"/>
      <c r="ALW196" s="0"/>
      <c r="ALX196" s="0"/>
      <c r="ALY196" s="0"/>
      <c r="ALZ196" s="0"/>
      <c r="AMA196" s="0"/>
      <c r="AMB196" s="0"/>
      <c r="AMC196" s="0"/>
      <c r="AMD196" s="0"/>
      <c r="AME196" s="0"/>
      <c r="AMF196" s="0"/>
      <c r="AMG196" s="0"/>
      <c r="AMH196" s="0"/>
      <c r="AMI196" s="0"/>
      <c r="AMJ196" s="0"/>
    </row>
    <row r="197" customFormat="false" ht="13.8" hidden="true" customHeight="false" outlineLevel="0" collapsed="false">
      <c r="A197" s="117" t="n">
        <v>1000</v>
      </c>
      <c r="B197" s="117" t="s">
        <v>1962</v>
      </c>
      <c r="C197" s="117" t="n">
        <v>1400005223</v>
      </c>
      <c r="E197" s="117" t="s">
        <v>1972</v>
      </c>
      <c r="F197" s="117" t="n">
        <v>1101</v>
      </c>
      <c r="G197" s="117" t="n">
        <v>2019</v>
      </c>
      <c r="H197" s="117" t="n">
        <v>5</v>
      </c>
      <c r="I197" s="118" t="n">
        <v>43700</v>
      </c>
      <c r="J197" s="118" t="n">
        <v>43700</v>
      </c>
      <c r="K197" s="119" t="n">
        <v>-312778.66</v>
      </c>
      <c r="L197" s="128" t="n">
        <f aca="false">K197-Q197+T197</f>
        <v>-312778.66</v>
      </c>
      <c r="M197" s="117" t="s">
        <v>149</v>
      </c>
      <c r="N197" s="117" t="n">
        <v>-312778.66</v>
      </c>
      <c r="O197" s="117" t="s">
        <v>149</v>
      </c>
      <c r="P197" s="117" t="n">
        <v>0</v>
      </c>
      <c r="Q197" s="117" t="n">
        <v>0</v>
      </c>
      <c r="R197" s="117" t="n">
        <v>-312778.66</v>
      </c>
      <c r="S197" s="117" t="n">
        <v>0</v>
      </c>
      <c r="T197" s="117" t="n">
        <v>0</v>
      </c>
      <c r="U197" s="117" t="n">
        <v>304431</v>
      </c>
      <c r="V197" s="117" t="s">
        <v>2016</v>
      </c>
      <c r="X197" s="117" t="s">
        <v>2125</v>
      </c>
      <c r="Y197" s="117" t="s">
        <v>2126</v>
      </c>
      <c r="Z197" s="117" t="n">
        <v>1400005223</v>
      </c>
      <c r="AC197" s="117" t="s">
        <v>1976</v>
      </c>
      <c r="AD197" s="117" t="n">
        <v>310300</v>
      </c>
      <c r="AE197" s="117" t="s">
        <v>1969</v>
      </c>
      <c r="AF197" s="117" t="n">
        <v>101105</v>
      </c>
      <c r="AG197" s="117" t="s">
        <v>1977</v>
      </c>
      <c r="AI197" s="117" t="n">
        <v>101105</v>
      </c>
      <c r="AJ197" s="117" t="s">
        <v>1977</v>
      </c>
      <c r="AK197" s="117" t="n">
        <v>0</v>
      </c>
      <c r="AL197" s="117" t="n">
        <v>19</v>
      </c>
      <c r="AM197" s="117" t="s">
        <v>225</v>
      </c>
      <c r="AN197" s="117" t="s">
        <v>1978</v>
      </c>
      <c r="AP197" s="117" t="n">
        <v>100081965</v>
      </c>
      <c r="AQ197" s="118" t="n">
        <v>43708</v>
      </c>
      <c r="AR197" s="118" t="n">
        <v>43703</v>
      </c>
      <c r="AS197" s="117" t="n">
        <v>0.697777777777778</v>
      </c>
      <c r="AT197" s="117" t="n">
        <v>0</v>
      </c>
      <c r="AU197" s="117" t="n">
        <v>0</v>
      </c>
      <c r="AX197" s="117" t="n">
        <v>2</v>
      </c>
    </row>
    <row r="198" customFormat="false" ht="13.8" hidden="true" customHeight="false" outlineLevel="0" collapsed="false">
      <c r="A198" s="117" t="n">
        <v>1000</v>
      </c>
      <c r="B198" s="117" t="s">
        <v>1962</v>
      </c>
      <c r="C198" s="117" t="n">
        <v>100057912</v>
      </c>
      <c r="E198" s="117" t="s">
        <v>1921</v>
      </c>
      <c r="F198" s="117" t="n">
        <v>1101</v>
      </c>
      <c r="G198" s="117" t="n">
        <v>2019</v>
      </c>
      <c r="H198" s="117" t="n">
        <v>4</v>
      </c>
      <c r="I198" s="118" t="n">
        <v>43677</v>
      </c>
      <c r="J198" s="118" t="n">
        <v>43677</v>
      </c>
      <c r="K198" s="119" t="n">
        <v>-10012472.61</v>
      </c>
      <c r="L198" s="128" t="n">
        <f aca="false">K198-Q198+T198</f>
        <v>-10012472.61</v>
      </c>
      <c r="M198" s="117" t="s">
        <v>149</v>
      </c>
      <c r="N198" s="117" t="n">
        <v>-10012472.61</v>
      </c>
      <c r="O198" s="117" t="s">
        <v>149</v>
      </c>
      <c r="P198" s="117" t="n">
        <v>0</v>
      </c>
      <c r="Q198" s="117" t="n">
        <v>0</v>
      </c>
      <c r="R198" s="117" t="n">
        <v>-10012472.61</v>
      </c>
      <c r="S198" s="117" t="n">
        <v>0</v>
      </c>
      <c r="T198" s="117" t="n">
        <v>0</v>
      </c>
      <c r="U198" s="117" t="n">
        <v>318999</v>
      </c>
      <c r="V198" s="117" t="s">
        <v>143</v>
      </c>
      <c r="Z198" s="117" t="n">
        <v>100057912</v>
      </c>
      <c r="AD198" s="117" t="n">
        <v>110000</v>
      </c>
      <c r="AE198" s="117" t="s">
        <v>1966</v>
      </c>
      <c r="AF198" s="117" t="n">
        <v>110000</v>
      </c>
      <c r="AG198" s="117" t="s">
        <v>1966</v>
      </c>
      <c r="AI198" s="117" t="n">
        <v>110000</v>
      </c>
      <c r="AJ198" s="117" t="s">
        <v>1966</v>
      </c>
      <c r="AK198" s="117" t="n">
        <v>0</v>
      </c>
      <c r="AL198" s="117" t="n">
        <v>17</v>
      </c>
      <c r="AM198" s="117" t="s">
        <v>225</v>
      </c>
      <c r="AP198" s="117" t="n">
        <v>100057912</v>
      </c>
      <c r="AQ198" s="118" t="n">
        <v>43677</v>
      </c>
      <c r="AR198" s="118" t="n">
        <v>43677</v>
      </c>
      <c r="AS198" s="117" t="n">
        <v>0.699490740740741</v>
      </c>
      <c r="AT198" s="117" t="n">
        <v>0</v>
      </c>
      <c r="AU198" s="117" t="n">
        <v>0</v>
      </c>
      <c r="AX198" s="117" t="n">
        <v>11</v>
      </c>
    </row>
    <row r="199" customFormat="false" ht="13.8" hidden="true" customHeight="false" outlineLevel="0" collapsed="false">
      <c r="A199" s="117" t="n">
        <v>1000</v>
      </c>
      <c r="B199" s="117" t="s">
        <v>1962</v>
      </c>
      <c r="C199" s="117" t="n">
        <v>100081978</v>
      </c>
      <c r="E199" s="117" t="s">
        <v>1921</v>
      </c>
      <c r="F199" s="117" t="n">
        <v>1106</v>
      </c>
      <c r="G199" s="117" t="n">
        <v>2019</v>
      </c>
      <c r="H199" s="117" t="n">
        <v>5</v>
      </c>
      <c r="I199" s="118" t="n">
        <v>43708</v>
      </c>
      <c r="J199" s="118" t="n">
        <v>43708</v>
      </c>
      <c r="K199" s="119" t="n">
        <v>416206.24</v>
      </c>
      <c r="L199" s="128" t="n">
        <f aca="false">K199-Q199+T199</f>
        <v>416206.24</v>
      </c>
      <c r="M199" s="117" t="s">
        <v>149</v>
      </c>
      <c r="N199" s="117" t="n">
        <v>416206.24</v>
      </c>
      <c r="O199" s="117" t="s">
        <v>149</v>
      </c>
      <c r="P199" s="117" t="n">
        <v>0</v>
      </c>
      <c r="Q199" s="117" t="n">
        <v>0</v>
      </c>
      <c r="R199" s="117" t="n">
        <v>416206.24</v>
      </c>
      <c r="S199" s="117" t="n">
        <v>0</v>
      </c>
      <c r="T199" s="117" t="n">
        <v>0</v>
      </c>
      <c r="U199" s="117" t="n">
        <v>309085</v>
      </c>
      <c r="V199" s="117" t="s">
        <v>2001</v>
      </c>
      <c r="Z199" s="117" t="n">
        <v>100081978</v>
      </c>
      <c r="AD199" s="117" t="n">
        <v>310300</v>
      </c>
      <c r="AE199" s="117" t="s">
        <v>1969</v>
      </c>
      <c r="AF199" s="117" t="n">
        <v>310300</v>
      </c>
      <c r="AG199" s="117" t="s">
        <v>1969</v>
      </c>
      <c r="AI199" s="117" t="n">
        <v>310300</v>
      </c>
      <c r="AJ199" s="117" t="s">
        <v>1969</v>
      </c>
      <c r="AK199" s="117" t="n">
        <v>0</v>
      </c>
      <c r="AL199" s="117" t="n">
        <v>9</v>
      </c>
      <c r="AM199" s="117" t="s">
        <v>161</v>
      </c>
      <c r="AN199" s="117" t="s">
        <v>1978</v>
      </c>
      <c r="AP199" s="117" t="n">
        <v>100081978</v>
      </c>
      <c r="AQ199" s="118" t="n">
        <v>43708</v>
      </c>
      <c r="AR199" s="118" t="n">
        <v>43710</v>
      </c>
      <c r="AS199" s="117" t="n">
        <v>0.28693287037037</v>
      </c>
      <c r="AT199" s="117" t="n">
        <v>0</v>
      </c>
      <c r="AU199" s="117" t="n">
        <v>0</v>
      </c>
      <c r="AX199" s="117" t="n">
        <v>3</v>
      </c>
    </row>
    <row r="200" customFormat="false" ht="13.8" hidden="true" customHeight="false" outlineLevel="0" collapsed="false">
      <c r="A200" s="117" t="n">
        <v>1000</v>
      </c>
      <c r="B200" s="117" t="s">
        <v>1962</v>
      </c>
      <c r="C200" s="117" t="n">
        <v>100058213</v>
      </c>
      <c r="E200" s="117" t="s">
        <v>1921</v>
      </c>
      <c r="F200" s="117" t="n">
        <v>1108</v>
      </c>
      <c r="G200" s="117" t="n">
        <v>2019</v>
      </c>
      <c r="H200" s="117" t="n">
        <v>4</v>
      </c>
      <c r="I200" s="118" t="n">
        <v>43677</v>
      </c>
      <c r="J200" s="118" t="n">
        <v>43677</v>
      </c>
      <c r="K200" s="119" t="n">
        <v>-329886.08</v>
      </c>
      <c r="L200" s="128" t="n">
        <f aca="false">K200-Q200+T200</f>
        <v>-329886.08</v>
      </c>
      <c r="M200" s="117" t="s">
        <v>149</v>
      </c>
      <c r="N200" s="117" t="n">
        <v>-329886.08</v>
      </c>
      <c r="O200" s="117" t="s">
        <v>149</v>
      </c>
      <c r="P200" s="117" t="n">
        <v>0</v>
      </c>
      <c r="Q200" s="117" t="n">
        <v>0</v>
      </c>
      <c r="R200" s="117" t="n">
        <v>-329886.08</v>
      </c>
      <c r="S200" s="117" t="n">
        <v>0</v>
      </c>
      <c r="T200" s="117" t="n">
        <v>0</v>
      </c>
      <c r="U200" s="117" t="n">
        <v>312948</v>
      </c>
      <c r="V200" s="117" t="s">
        <v>1984</v>
      </c>
      <c r="Z200" s="117" t="n">
        <v>100058213</v>
      </c>
      <c r="AD200" s="117" t="n">
        <v>110000</v>
      </c>
      <c r="AE200" s="117" t="s">
        <v>1966</v>
      </c>
      <c r="AF200" s="117" t="n">
        <v>110000</v>
      </c>
      <c r="AG200" s="117" t="s">
        <v>1966</v>
      </c>
      <c r="AI200" s="117" t="n">
        <v>110000</v>
      </c>
      <c r="AJ200" s="117" t="s">
        <v>1966</v>
      </c>
      <c r="AK200" s="117" t="n">
        <v>0</v>
      </c>
      <c r="AL200" s="117" t="n">
        <v>17</v>
      </c>
      <c r="AM200" s="117" t="s">
        <v>225</v>
      </c>
      <c r="AP200" s="117" t="n">
        <v>100058213</v>
      </c>
      <c r="AQ200" s="118" t="n">
        <v>43677</v>
      </c>
      <c r="AR200" s="118" t="n">
        <v>43678</v>
      </c>
      <c r="AS200" s="117" t="n">
        <v>0.202280092592593</v>
      </c>
      <c r="AT200" s="117" t="n">
        <v>0</v>
      </c>
      <c r="AU200" s="117" t="n">
        <v>0</v>
      </c>
      <c r="AX200" s="117" t="n">
        <v>2</v>
      </c>
    </row>
    <row r="201" customFormat="false" ht="13.8" hidden="true" customHeight="false" outlineLevel="0" collapsed="false">
      <c r="A201" s="117" t="n">
        <v>1000</v>
      </c>
      <c r="B201" s="117" t="s">
        <v>1962</v>
      </c>
      <c r="C201" s="117" t="n">
        <v>100078765</v>
      </c>
      <c r="E201" s="117" t="s">
        <v>1921</v>
      </c>
      <c r="F201" s="117" t="n">
        <v>1109</v>
      </c>
      <c r="G201" s="117" t="n">
        <v>2019</v>
      </c>
      <c r="H201" s="117" t="n">
        <v>5</v>
      </c>
      <c r="I201" s="118" t="n">
        <v>43706</v>
      </c>
      <c r="J201" s="118" t="n">
        <v>43706</v>
      </c>
      <c r="K201" s="119" t="n">
        <v>-2340416.72</v>
      </c>
      <c r="L201" s="128" t="n">
        <f aca="false">K201-Q201+T201</f>
        <v>-2340416.72</v>
      </c>
      <c r="M201" s="117" t="s">
        <v>149</v>
      </c>
      <c r="N201" s="117" t="n">
        <v>-2340416.72</v>
      </c>
      <c r="O201" s="117" t="s">
        <v>149</v>
      </c>
      <c r="P201" s="117" t="n">
        <v>0</v>
      </c>
      <c r="Q201" s="117" t="n">
        <v>0</v>
      </c>
      <c r="R201" s="117" t="n">
        <v>-2340416.72</v>
      </c>
      <c r="S201" s="117" t="n">
        <v>0</v>
      </c>
      <c r="T201" s="117" t="n">
        <v>0</v>
      </c>
      <c r="U201" s="117" t="n">
        <v>312193</v>
      </c>
      <c r="V201" s="117" t="s">
        <v>1963</v>
      </c>
      <c r="Z201" s="117" t="n">
        <v>100078765</v>
      </c>
      <c r="AD201" s="117" t="n">
        <v>110000</v>
      </c>
      <c r="AE201" s="117" t="s">
        <v>1966</v>
      </c>
      <c r="AF201" s="117" t="n">
        <v>110000</v>
      </c>
      <c r="AG201" s="117" t="s">
        <v>1966</v>
      </c>
      <c r="AI201" s="117" t="n">
        <v>110000</v>
      </c>
      <c r="AJ201" s="117" t="s">
        <v>1966</v>
      </c>
      <c r="AK201" s="117" t="n">
        <v>0</v>
      </c>
      <c r="AL201" s="117" t="n">
        <v>17</v>
      </c>
      <c r="AM201" s="117" t="s">
        <v>225</v>
      </c>
      <c r="AP201" s="117" t="n">
        <v>100078765</v>
      </c>
      <c r="AQ201" s="118" t="n">
        <v>43706</v>
      </c>
      <c r="AR201" s="118" t="n">
        <v>43706</v>
      </c>
      <c r="AS201" s="117" t="n">
        <v>0.702835648148148</v>
      </c>
      <c r="AT201" s="117" t="n">
        <v>0</v>
      </c>
      <c r="AU201" s="117" t="n">
        <v>0</v>
      </c>
      <c r="AX201" s="117" t="n">
        <v>9</v>
      </c>
    </row>
    <row r="202" customFormat="false" ht="13.8" hidden="true" customHeight="false" outlineLevel="0" collapsed="false">
      <c r="A202" s="117" t="n">
        <v>1000</v>
      </c>
      <c r="B202" s="117" t="s">
        <v>1962</v>
      </c>
      <c r="C202" s="117" t="n">
        <v>1400005353</v>
      </c>
      <c r="E202" s="117" t="s">
        <v>1972</v>
      </c>
      <c r="F202" s="117" t="n">
        <v>1101</v>
      </c>
      <c r="G202" s="117" t="n">
        <v>2019</v>
      </c>
      <c r="H202" s="117" t="n">
        <v>5</v>
      </c>
      <c r="I202" s="118" t="n">
        <v>43705</v>
      </c>
      <c r="J202" s="118" t="n">
        <v>43705</v>
      </c>
      <c r="K202" s="119" t="n">
        <v>-18773844.95</v>
      </c>
      <c r="L202" s="128" t="n">
        <f aca="false">K202-Q202+T202</f>
        <v>-18773844.95</v>
      </c>
      <c r="M202" s="117" t="s">
        <v>149</v>
      </c>
      <c r="N202" s="117" t="n">
        <v>-18773844.95</v>
      </c>
      <c r="O202" s="117" t="s">
        <v>149</v>
      </c>
      <c r="P202" s="117" t="n">
        <v>0</v>
      </c>
      <c r="Q202" s="117" t="n">
        <v>0</v>
      </c>
      <c r="R202" s="117" t="n">
        <v>-18773844.95</v>
      </c>
      <c r="S202" s="117" t="n">
        <v>0</v>
      </c>
      <c r="T202" s="117" t="n">
        <v>0</v>
      </c>
      <c r="U202" s="117" t="n">
        <v>318999</v>
      </c>
      <c r="V202" s="117" t="s">
        <v>143</v>
      </c>
      <c r="X202" s="117" t="s">
        <v>2127</v>
      </c>
      <c r="Y202" s="117" t="s">
        <v>2128</v>
      </c>
      <c r="Z202" s="117" t="n">
        <v>1400005353</v>
      </c>
      <c r="AC202" s="117" t="s">
        <v>1976</v>
      </c>
      <c r="AD202" s="117" t="n">
        <v>310300</v>
      </c>
      <c r="AE202" s="117" t="s">
        <v>1969</v>
      </c>
      <c r="AF202" s="117" t="n">
        <v>101105</v>
      </c>
      <c r="AG202" s="117" t="s">
        <v>1977</v>
      </c>
      <c r="AI202" s="117" t="n">
        <v>101105</v>
      </c>
      <c r="AJ202" s="117" t="s">
        <v>1977</v>
      </c>
      <c r="AK202" s="117" t="n">
        <v>0</v>
      </c>
      <c r="AL202" s="117" t="n">
        <v>19</v>
      </c>
      <c r="AM202" s="117" t="s">
        <v>225</v>
      </c>
      <c r="AN202" s="117" t="s">
        <v>1978</v>
      </c>
      <c r="AP202" s="117" t="n">
        <v>100082045</v>
      </c>
      <c r="AQ202" s="118" t="n">
        <v>43708</v>
      </c>
      <c r="AR202" s="118" t="n">
        <v>43706</v>
      </c>
      <c r="AS202" s="117" t="n">
        <v>0.50244212962963</v>
      </c>
      <c r="AT202" s="117" t="n">
        <v>0</v>
      </c>
      <c r="AU202" s="117" t="n">
        <v>0</v>
      </c>
      <c r="AX202" s="117" t="n">
        <v>2</v>
      </c>
    </row>
    <row r="203" customFormat="false" ht="13.8" hidden="true" customHeight="false" outlineLevel="0" collapsed="false">
      <c r="A203" s="117" t="n">
        <v>1000</v>
      </c>
      <c r="B203" s="117" t="s">
        <v>1962</v>
      </c>
      <c r="C203" s="117" t="n">
        <v>100081995</v>
      </c>
      <c r="E203" s="117" t="s">
        <v>1921</v>
      </c>
      <c r="F203" s="117" t="n">
        <v>1108</v>
      </c>
      <c r="G203" s="117" t="n">
        <v>2019</v>
      </c>
      <c r="H203" s="117" t="n">
        <v>5</v>
      </c>
      <c r="I203" s="118" t="n">
        <v>43708</v>
      </c>
      <c r="J203" s="118" t="n">
        <v>43708</v>
      </c>
      <c r="K203" s="119" t="n">
        <v>296339.2</v>
      </c>
      <c r="L203" s="128" t="n">
        <f aca="false">K203-Q203+T203</f>
        <v>296339.2</v>
      </c>
      <c r="M203" s="117" t="s">
        <v>149</v>
      </c>
      <c r="N203" s="117" t="n">
        <v>296339.2</v>
      </c>
      <c r="O203" s="117" t="s">
        <v>149</v>
      </c>
      <c r="P203" s="117" t="n">
        <v>0</v>
      </c>
      <c r="Q203" s="117" t="n">
        <v>0</v>
      </c>
      <c r="R203" s="117" t="n">
        <v>296339.2</v>
      </c>
      <c r="S203" s="117" t="n">
        <v>0</v>
      </c>
      <c r="T203" s="117" t="n">
        <v>0</v>
      </c>
      <c r="U203" s="117" t="n">
        <v>312948</v>
      </c>
      <c r="V203" s="117" t="s">
        <v>1984</v>
      </c>
      <c r="X203" s="117" t="s">
        <v>1753</v>
      </c>
      <c r="Z203" s="117" t="n">
        <v>60205</v>
      </c>
      <c r="AB203" s="117" t="s">
        <v>2107</v>
      </c>
      <c r="AD203" s="117" t="n">
        <v>110000</v>
      </c>
      <c r="AE203" s="117" t="s">
        <v>1966</v>
      </c>
      <c r="AF203" s="117" t="n">
        <v>110000</v>
      </c>
      <c r="AG203" s="117" t="s">
        <v>1966</v>
      </c>
      <c r="AI203" s="117" t="n">
        <v>110000</v>
      </c>
      <c r="AJ203" s="117" t="s">
        <v>1966</v>
      </c>
      <c r="AK203" s="117" t="n">
        <v>0</v>
      </c>
      <c r="AL203" s="117" t="n">
        <v>4</v>
      </c>
      <c r="AM203" s="117" t="s">
        <v>161</v>
      </c>
      <c r="AR203" s="118" t="n">
        <v>43710</v>
      </c>
      <c r="AS203" s="117" t="n">
        <v>0.300902777777778</v>
      </c>
      <c r="AT203" s="117" t="n">
        <v>0</v>
      </c>
      <c r="AU203" s="117" t="n">
        <v>0</v>
      </c>
      <c r="AX203" s="117" t="n">
        <v>2</v>
      </c>
    </row>
    <row r="204" customFormat="false" ht="13.8" hidden="true" customHeight="false" outlineLevel="0" collapsed="false">
      <c r="A204" s="117" t="n">
        <v>1000</v>
      </c>
      <c r="B204" s="117" t="s">
        <v>1962</v>
      </c>
      <c r="C204" s="117" t="n">
        <v>100057912</v>
      </c>
      <c r="E204" s="117" t="s">
        <v>1921</v>
      </c>
      <c r="F204" s="117" t="n">
        <v>1101</v>
      </c>
      <c r="G204" s="117" t="n">
        <v>2019</v>
      </c>
      <c r="H204" s="117" t="n">
        <v>4</v>
      </c>
      <c r="I204" s="118" t="n">
        <v>43677</v>
      </c>
      <c r="J204" s="118" t="n">
        <v>43677</v>
      </c>
      <c r="K204" s="119" t="n">
        <v>7229557.63</v>
      </c>
      <c r="L204" s="128" t="n">
        <f aca="false">K204-Q204+T204</f>
        <v>7229557.63</v>
      </c>
      <c r="M204" s="117" t="s">
        <v>149</v>
      </c>
      <c r="N204" s="117" t="n">
        <v>7229557.63</v>
      </c>
      <c r="O204" s="117" t="s">
        <v>149</v>
      </c>
      <c r="P204" s="117" t="n">
        <v>7229557.63</v>
      </c>
      <c r="Q204" s="117" t="n">
        <v>0</v>
      </c>
      <c r="R204" s="117" t="n">
        <v>7229557.63</v>
      </c>
      <c r="S204" s="117" t="n">
        <v>0</v>
      </c>
      <c r="T204" s="117" t="n">
        <v>0</v>
      </c>
      <c r="U204" s="117" t="n">
        <v>318999</v>
      </c>
      <c r="V204" s="117" t="s">
        <v>143</v>
      </c>
      <c r="X204" s="117" t="s">
        <v>2129</v>
      </c>
      <c r="Z204" s="117" t="n">
        <v>100057912</v>
      </c>
      <c r="AD204" s="117" t="n">
        <v>111105</v>
      </c>
      <c r="AE204" s="117" t="s">
        <v>1994</v>
      </c>
      <c r="AF204" s="117" t="n">
        <v>110000</v>
      </c>
      <c r="AG204" s="117" t="s">
        <v>1966</v>
      </c>
      <c r="AI204" s="117" t="n">
        <v>110000</v>
      </c>
      <c r="AJ204" s="117" t="s">
        <v>1966</v>
      </c>
      <c r="AK204" s="117" t="n">
        <v>0</v>
      </c>
      <c r="AL204" s="117" t="n">
        <v>9</v>
      </c>
      <c r="AM204" s="117" t="s">
        <v>161</v>
      </c>
      <c r="AN204" s="117" t="s">
        <v>1995</v>
      </c>
      <c r="AP204" s="117" t="n">
        <v>100144356</v>
      </c>
      <c r="AQ204" s="118" t="n">
        <v>43769</v>
      </c>
      <c r="AR204" s="118" t="n">
        <v>43677</v>
      </c>
      <c r="AS204" s="117" t="n">
        <v>0.699490740740741</v>
      </c>
      <c r="AT204" s="117" t="n">
        <v>0</v>
      </c>
      <c r="AU204" s="117" t="n">
        <v>0</v>
      </c>
      <c r="AX204" s="117" t="n">
        <v>9</v>
      </c>
    </row>
    <row r="205" customFormat="false" ht="13.8" hidden="true" customHeight="false" outlineLevel="0" collapsed="false">
      <c r="A205" s="117" t="n">
        <v>1000</v>
      </c>
      <c r="B205" s="117" t="s">
        <v>1962</v>
      </c>
      <c r="C205" s="117" t="n">
        <v>1400005222</v>
      </c>
      <c r="E205" s="117" t="s">
        <v>1972</v>
      </c>
      <c r="F205" s="117" t="n">
        <v>1101</v>
      </c>
      <c r="G205" s="117" t="n">
        <v>2019</v>
      </c>
      <c r="H205" s="117" t="n">
        <v>5</v>
      </c>
      <c r="I205" s="118" t="n">
        <v>43700</v>
      </c>
      <c r="J205" s="118" t="n">
        <v>43700</v>
      </c>
      <c r="K205" s="119" t="n">
        <v>-329886.08</v>
      </c>
      <c r="L205" s="128" t="n">
        <f aca="false">K205-Q205+T205</f>
        <v>-329886.08</v>
      </c>
      <c r="M205" s="117" t="s">
        <v>149</v>
      </c>
      <c r="N205" s="117" t="n">
        <v>-329886.08</v>
      </c>
      <c r="O205" s="117" t="s">
        <v>149</v>
      </c>
      <c r="P205" s="117" t="n">
        <v>0</v>
      </c>
      <c r="Q205" s="117" t="n">
        <v>0</v>
      </c>
      <c r="R205" s="117" t="n">
        <v>-329886.08</v>
      </c>
      <c r="S205" s="117" t="n">
        <v>0</v>
      </c>
      <c r="T205" s="117" t="n">
        <v>0</v>
      </c>
      <c r="U205" s="117" t="n">
        <v>312948</v>
      </c>
      <c r="V205" s="117" t="s">
        <v>1984</v>
      </c>
      <c r="X205" s="117" t="s">
        <v>2130</v>
      </c>
      <c r="Y205" s="117" t="s">
        <v>2131</v>
      </c>
      <c r="Z205" s="117" t="n">
        <v>1400005222</v>
      </c>
      <c r="AC205" s="117" t="s">
        <v>1976</v>
      </c>
      <c r="AD205" s="117" t="n">
        <v>310300</v>
      </c>
      <c r="AE205" s="117" t="s">
        <v>1969</v>
      </c>
      <c r="AF205" s="117" t="n">
        <v>101105</v>
      </c>
      <c r="AG205" s="117" t="s">
        <v>1977</v>
      </c>
      <c r="AI205" s="117" t="n">
        <v>101105</v>
      </c>
      <c r="AJ205" s="117" t="s">
        <v>1977</v>
      </c>
      <c r="AK205" s="117" t="n">
        <v>0</v>
      </c>
      <c r="AL205" s="117" t="n">
        <v>19</v>
      </c>
      <c r="AM205" s="117" t="s">
        <v>225</v>
      </c>
      <c r="AN205" s="117" t="s">
        <v>1978</v>
      </c>
      <c r="AP205" s="117" t="n">
        <v>100081995</v>
      </c>
      <c r="AQ205" s="118" t="n">
        <v>43708</v>
      </c>
      <c r="AR205" s="118" t="n">
        <v>43703</v>
      </c>
      <c r="AS205" s="117" t="n">
        <v>0.697777777777778</v>
      </c>
      <c r="AT205" s="117" t="n">
        <v>0</v>
      </c>
      <c r="AU205" s="117" t="n">
        <v>0</v>
      </c>
      <c r="AX205" s="117" t="n">
        <v>2</v>
      </c>
    </row>
    <row r="206" customFormat="false" ht="13.8" hidden="true" customHeight="false" outlineLevel="0" collapsed="false">
      <c r="A206" s="117" t="n">
        <v>1000</v>
      </c>
      <c r="B206" s="117" t="s">
        <v>1962</v>
      </c>
      <c r="C206" s="117" t="n">
        <v>100123318</v>
      </c>
      <c r="E206" s="117" t="s">
        <v>1921</v>
      </c>
      <c r="F206" s="117" t="n">
        <v>1109</v>
      </c>
      <c r="G206" s="117" t="n">
        <v>2019</v>
      </c>
      <c r="H206" s="117" t="n">
        <v>6</v>
      </c>
      <c r="I206" s="118" t="n">
        <v>43738</v>
      </c>
      <c r="J206" s="118" t="n">
        <v>43738</v>
      </c>
      <c r="K206" s="119" t="n">
        <v>10569</v>
      </c>
      <c r="L206" s="128" t="n">
        <f aca="false">K206-Q206+T206</f>
        <v>10569</v>
      </c>
      <c r="M206" s="117" t="s">
        <v>149</v>
      </c>
      <c r="N206" s="117" t="n">
        <v>10569</v>
      </c>
      <c r="O206" s="117" t="s">
        <v>149</v>
      </c>
      <c r="P206" s="117" t="n">
        <v>0</v>
      </c>
      <c r="Q206" s="117" t="n">
        <v>0</v>
      </c>
      <c r="R206" s="117" t="n">
        <v>10569</v>
      </c>
      <c r="S206" s="117" t="n">
        <v>0</v>
      </c>
      <c r="T206" s="117" t="n">
        <v>0</v>
      </c>
      <c r="U206" s="117" t="n">
        <v>312193</v>
      </c>
      <c r="V206" s="117" t="s">
        <v>1963</v>
      </c>
      <c r="X206" s="117" t="s">
        <v>2132</v>
      </c>
      <c r="Z206" s="117" t="n">
        <v>2316</v>
      </c>
      <c r="AB206" s="117" t="s">
        <v>1965</v>
      </c>
      <c r="AD206" s="117" t="n">
        <v>110000</v>
      </c>
      <c r="AE206" s="117" t="s">
        <v>1966</v>
      </c>
      <c r="AF206" s="117" t="n">
        <v>110000</v>
      </c>
      <c r="AG206" s="117" t="s">
        <v>1966</v>
      </c>
      <c r="AI206" s="117" t="n">
        <v>110000</v>
      </c>
      <c r="AJ206" s="117" t="s">
        <v>1966</v>
      </c>
      <c r="AK206" s="117" t="n">
        <v>0</v>
      </c>
      <c r="AL206" s="117" t="n">
        <v>4</v>
      </c>
      <c r="AM206" s="117" t="s">
        <v>161</v>
      </c>
      <c r="AP206" s="117" t="n">
        <v>100173563</v>
      </c>
      <c r="AQ206" s="118" t="n">
        <v>43799</v>
      </c>
      <c r="AR206" s="118" t="n">
        <v>43739</v>
      </c>
      <c r="AS206" s="117" t="n">
        <v>0.584733796296296</v>
      </c>
      <c r="AT206" s="117" t="n">
        <v>0</v>
      </c>
      <c r="AU206" s="117" t="n">
        <v>0</v>
      </c>
      <c r="AX206" s="117" t="n">
        <v>1</v>
      </c>
    </row>
    <row r="207" s="106" customFormat="true" ht="13.8" hidden="true" customHeight="false" outlineLevel="0" collapsed="false">
      <c r="A207" s="106" t="n">
        <v>1000</v>
      </c>
      <c r="B207" s="106" t="s">
        <v>1962</v>
      </c>
      <c r="C207" s="106" t="n">
        <v>107661</v>
      </c>
      <c r="D207" s="106" t="s">
        <v>1851</v>
      </c>
      <c r="E207" s="106" t="s">
        <v>1970</v>
      </c>
      <c r="F207" s="106" t="n">
        <v>1109</v>
      </c>
      <c r="G207" s="106" t="n">
        <v>2019</v>
      </c>
      <c r="H207" s="106" t="n">
        <v>7</v>
      </c>
      <c r="I207" s="129" t="n">
        <v>43748</v>
      </c>
      <c r="J207" s="129" t="n">
        <v>43748</v>
      </c>
      <c r="K207" s="107" t="n">
        <v>2406925.11</v>
      </c>
      <c r="L207" s="130" t="n">
        <f aca="false">K207-Q207+T207</f>
        <v>2039767.04</v>
      </c>
      <c r="M207" s="106" t="s">
        <v>149</v>
      </c>
      <c r="N207" s="106" t="n">
        <v>2406925.11</v>
      </c>
      <c r="O207" s="106" t="s">
        <v>149</v>
      </c>
      <c r="P207" s="106" t="n">
        <v>0</v>
      </c>
      <c r="Q207" s="107" t="n">
        <v>367158.07</v>
      </c>
      <c r="R207" s="106" t="n">
        <v>2039767.04</v>
      </c>
      <c r="S207" s="106" t="n">
        <v>0</v>
      </c>
      <c r="T207" s="106" t="n">
        <v>0</v>
      </c>
      <c r="U207" s="106" t="n">
        <v>312193</v>
      </c>
      <c r="V207" s="106" t="s">
        <v>1963</v>
      </c>
      <c r="Z207" s="106" t="n">
        <v>60942</v>
      </c>
      <c r="AB207" s="106" t="s">
        <v>2124</v>
      </c>
      <c r="AD207" s="106" t="n">
        <v>110000</v>
      </c>
      <c r="AE207" s="106" t="s">
        <v>1966</v>
      </c>
      <c r="AF207" s="106" t="n">
        <v>501005</v>
      </c>
      <c r="AG207" s="106" t="s">
        <v>2033</v>
      </c>
      <c r="AI207" s="106" t="n">
        <v>501005</v>
      </c>
      <c r="AJ207" s="106" t="s">
        <v>2033</v>
      </c>
      <c r="AK207" s="106" t="n">
        <v>0</v>
      </c>
      <c r="AL207" s="106" t="n">
        <v>1</v>
      </c>
      <c r="AM207" s="106" t="s">
        <v>161</v>
      </c>
      <c r="AP207" s="106" t="n">
        <v>100141449</v>
      </c>
      <c r="AQ207" s="129" t="n">
        <v>43766</v>
      </c>
      <c r="AR207" s="129" t="n">
        <v>43748</v>
      </c>
      <c r="AS207" s="106" t="n">
        <v>0.496550925925926</v>
      </c>
      <c r="AT207" s="106" t="n">
        <v>0</v>
      </c>
      <c r="AU207" s="106" t="n">
        <v>0</v>
      </c>
      <c r="AX207" s="106" t="n">
        <v>1</v>
      </c>
      <c r="ALU207" s="0"/>
      <c r="ALV207" s="0"/>
      <c r="ALW207" s="0"/>
      <c r="ALX207" s="0"/>
      <c r="ALY207" s="0"/>
      <c r="ALZ207" s="0"/>
      <c r="AMA207" s="0"/>
      <c r="AMB207" s="0"/>
      <c r="AMC207" s="0"/>
      <c r="AMD207" s="0"/>
      <c r="AME207" s="0"/>
      <c r="AMF207" s="0"/>
      <c r="AMG207" s="0"/>
      <c r="AMH207" s="0"/>
      <c r="AMI207" s="0"/>
      <c r="AMJ207" s="0"/>
    </row>
    <row r="208" customFormat="false" ht="13.8" hidden="true" customHeight="false" outlineLevel="0" collapsed="false">
      <c r="A208" s="117" t="n">
        <v>1000</v>
      </c>
      <c r="B208" s="117" t="s">
        <v>1962</v>
      </c>
      <c r="C208" s="117" t="n">
        <v>100123327</v>
      </c>
      <c r="E208" s="117" t="s">
        <v>1921</v>
      </c>
      <c r="F208" s="117" t="n">
        <v>1101</v>
      </c>
      <c r="G208" s="117" t="n">
        <v>2019</v>
      </c>
      <c r="H208" s="117" t="n">
        <v>6</v>
      </c>
      <c r="I208" s="118" t="n">
        <v>43738</v>
      </c>
      <c r="J208" s="118" t="n">
        <v>43738</v>
      </c>
      <c r="K208" s="119" t="n">
        <v>389760</v>
      </c>
      <c r="L208" s="128" t="n">
        <f aca="false">K208-Q208+T208</f>
        <v>389760</v>
      </c>
      <c r="M208" s="117" t="s">
        <v>149</v>
      </c>
      <c r="N208" s="117" t="n">
        <v>389760</v>
      </c>
      <c r="O208" s="117" t="s">
        <v>149</v>
      </c>
      <c r="P208" s="117" t="n">
        <v>0</v>
      </c>
      <c r="Q208" s="117" t="n">
        <v>0</v>
      </c>
      <c r="R208" s="117" t="n">
        <v>389760</v>
      </c>
      <c r="S208" s="117" t="n">
        <v>0</v>
      </c>
      <c r="T208" s="117" t="n">
        <v>0</v>
      </c>
      <c r="U208" s="117" t="n">
        <v>304431</v>
      </c>
      <c r="V208" s="117" t="s">
        <v>2016</v>
      </c>
      <c r="Z208" s="117" t="n">
        <v>100123327</v>
      </c>
      <c r="AD208" s="117" t="n">
        <v>310300</v>
      </c>
      <c r="AE208" s="117" t="s">
        <v>1969</v>
      </c>
      <c r="AF208" s="117" t="n">
        <v>110000</v>
      </c>
      <c r="AG208" s="117" t="s">
        <v>1966</v>
      </c>
      <c r="AI208" s="117" t="n">
        <v>110000</v>
      </c>
      <c r="AJ208" s="117" t="s">
        <v>1966</v>
      </c>
      <c r="AK208" s="117" t="n">
        <v>0</v>
      </c>
      <c r="AL208" s="117" t="n">
        <v>9</v>
      </c>
      <c r="AM208" s="117" t="s">
        <v>161</v>
      </c>
      <c r="AN208" s="117" t="s">
        <v>1978</v>
      </c>
      <c r="AP208" s="117" t="n">
        <v>100123327</v>
      </c>
      <c r="AQ208" s="118" t="n">
        <v>43738</v>
      </c>
      <c r="AR208" s="118" t="n">
        <v>43739</v>
      </c>
      <c r="AS208" s="117" t="n">
        <v>0.614930555555556</v>
      </c>
      <c r="AT208" s="117" t="n">
        <v>0</v>
      </c>
      <c r="AU208" s="117" t="n">
        <v>0</v>
      </c>
      <c r="AX208" s="117" t="n">
        <v>4</v>
      </c>
    </row>
    <row r="209" s="106" customFormat="true" ht="13.8" hidden="true" customHeight="false" outlineLevel="0" collapsed="false">
      <c r="A209" s="106" t="n">
        <v>1000</v>
      </c>
      <c r="B209" s="106" t="s">
        <v>1962</v>
      </c>
      <c r="C209" s="106" t="n">
        <v>107662</v>
      </c>
      <c r="D209" s="106" t="s">
        <v>1854</v>
      </c>
      <c r="E209" s="106" t="s">
        <v>1970</v>
      </c>
      <c r="F209" s="106" t="n">
        <v>1109</v>
      </c>
      <c r="G209" s="106" t="n">
        <v>2019</v>
      </c>
      <c r="H209" s="106" t="n">
        <v>7</v>
      </c>
      <c r="I209" s="129" t="n">
        <v>43748</v>
      </c>
      <c r="J209" s="129" t="n">
        <v>43748</v>
      </c>
      <c r="K209" s="107" t="n">
        <v>8496</v>
      </c>
      <c r="L209" s="130" t="n">
        <f aca="false">K209-Q209+T209</f>
        <v>7200</v>
      </c>
      <c r="M209" s="106" t="s">
        <v>149</v>
      </c>
      <c r="N209" s="106" t="n">
        <v>8496</v>
      </c>
      <c r="O209" s="106" t="s">
        <v>149</v>
      </c>
      <c r="P209" s="106" t="n">
        <v>0</v>
      </c>
      <c r="Q209" s="107" t="n">
        <v>1296</v>
      </c>
      <c r="R209" s="106" t="n">
        <v>7200</v>
      </c>
      <c r="S209" s="106" t="n">
        <v>0</v>
      </c>
      <c r="T209" s="106" t="n">
        <v>0</v>
      </c>
      <c r="U209" s="106" t="n">
        <v>312193</v>
      </c>
      <c r="V209" s="106" t="s">
        <v>1963</v>
      </c>
      <c r="Z209" s="106" t="n">
        <v>60958</v>
      </c>
      <c r="AB209" s="106" t="s">
        <v>2124</v>
      </c>
      <c r="AD209" s="106" t="n">
        <v>110000</v>
      </c>
      <c r="AE209" s="106" t="s">
        <v>1966</v>
      </c>
      <c r="AF209" s="106" t="n">
        <v>501005</v>
      </c>
      <c r="AG209" s="106" t="s">
        <v>2033</v>
      </c>
      <c r="AI209" s="106" t="n">
        <v>501005</v>
      </c>
      <c r="AJ209" s="106" t="s">
        <v>2033</v>
      </c>
      <c r="AK209" s="106" t="n">
        <v>0</v>
      </c>
      <c r="AL209" s="106" t="n">
        <v>1</v>
      </c>
      <c r="AM209" s="106" t="s">
        <v>161</v>
      </c>
      <c r="AP209" s="106" t="n">
        <v>100141449</v>
      </c>
      <c r="AQ209" s="129" t="n">
        <v>43766</v>
      </c>
      <c r="AR209" s="129" t="n">
        <v>43748</v>
      </c>
      <c r="AS209" s="106" t="n">
        <v>0.497592592592593</v>
      </c>
      <c r="AT209" s="106" t="n">
        <v>0</v>
      </c>
      <c r="AU209" s="106" t="n">
        <v>0</v>
      </c>
      <c r="AX209" s="106" t="n">
        <v>1</v>
      </c>
      <c r="ALU209" s="0"/>
      <c r="ALV209" s="0"/>
      <c r="ALW209" s="0"/>
      <c r="ALX209" s="0"/>
      <c r="ALY209" s="0"/>
      <c r="ALZ209" s="0"/>
      <c r="AMA209" s="0"/>
      <c r="AMB209" s="0"/>
      <c r="AMC209" s="0"/>
      <c r="AMD209" s="0"/>
      <c r="AME209" s="0"/>
      <c r="AMF209" s="0"/>
      <c r="AMG209" s="0"/>
      <c r="AMH209" s="0"/>
      <c r="AMI209" s="0"/>
      <c r="AMJ209" s="0"/>
    </row>
    <row r="210" s="106" customFormat="true" ht="13.8" hidden="true" customHeight="false" outlineLevel="0" collapsed="false">
      <c r="A210" s="106" t="n">
        <v>1000</v>
      </c>
      <c r="B210" s="106" t="s">
        <v>1962</v>
      </c>
      <c r="C210" s="106" t="n">
        <v>104337</v>
      </c>
      <c r="D210" s="106" t="s">
        <v>2133</v>
      </c>
      <c r="E210" s="106" t="s">
        <v>1970</v>
      </c>
      <c r="F210" s="106" t="n">
        <v>1101</v>
      </c>
      <c r="G210" s="106" t="n">
        <v>2019</v>
      </c>
      <c r="H210" s="106" t="n">
        <v>4</v>
      </c>
      <c r="I210" s="129" t="n">
        <v>43655</v>
      </c>
      <c r="J210" s="129" t="n">
        <v>43655</v>
      </c>
      <c r="K210" s="107" t="n">
        <v>280295.71</v>
      </c>
      <c r="L210" s="130" t="n">
        <f aca="false">K210-Q210+T210</f>
        <v>237538.71</v>
      </c>
      <c r="M210" s="106" t="s">
        <v>149</v>
      </c>
      <c r="N210" s="106" t="n">
        <v>280295.71</v>
      </c>
      <c r="O210" s="106" t="s">
        <v>149</v>
      </c>
      <c r="P210" s="106" t="n">
        <v>0</v>
      </c>
      <c r="Q210" s="107" t="n">
        <v>42757</v>
      </c>
      <c r="R210" s="106" t="n">
        <v>237538.71</v>
      </c>
      <c r="S210" s="106" t="n">
        <v>0</v>
      </c>
      <c r="T210" s="106" t="n">
        <v>0</v>
      </c>
      <c r="U210" s="106" t="n">
        <v>318999</v>
      </c>
      <c r="V210" s="106" t="s">
        <v>143</v>
      </c>
      <c r="Z210" s="106" t="n">
        <v>104337</v>
      </c>
      <c r="AD210" s="106" t="n">
        <v>110000</v>
      </c>
      <c r="AE210" s="106" t="s">
        <v>1966</v>
      </c>
      <c r="AF210" s="106" t="n">
        <v>501040</v>
      </c>
      <c r="AG210" s="106" t="s">
        <v>2036</v>
      </c>
      <c r="AI210" s="106" t="n">
        <v>501040</v>
      </c>
      <c r="AJ210" s="106" t="s">
        <v>2036</v>
      </c>
      <c r="AK210" s="106" t="n">
        <v>0</v>
      </c>
      <c r="AL210" s="106" t="n">
        <v>1</v>
      </c>
      <c r="AM210" s="106" t="s">
        <v>161</v>
      </c>
      <c r="AP210" s="106" t="n">
        <v>100057912</v>
      </c>
      <c r="AQ210" s="129" t="n">
        <v>43677</v>
      </c>
      <c r="AR210" s="129" t="n">
        <v>43655</v>
      </c>
      <c r="AS210" s="106" t="n">
        <v>0.701064814814815</v>
      </c>
      <c r="AT210" s="106" t="n">
        <v>0</v>
      </c>
      <c r="AU210" s="106" t="n">
        <v>0</v>
      </c>
      <c r="AX210" s="106" t="n">
        <v>1</v>
      </c>
      <c r="ALU210" s="0"/>
      <c r="ALV210" s="0"/>
      <c r="ALW210" s="0"/>
      <c r="ALX210" s="0"/>
      <c r="ALY210" s="0"/>
      <c r="ALZ210" s="0"/>
      <c r="AMA210" s="0"/>
      <c r="AMB210" s="0"/>
      <c r="AMC210" s="0"/>
      <c r="AMD210" s="0"/>
      <c r="AME210" s="0"/>
      <c r="AMF210" s="0"/>
      <c r="AMG210" s="0"/>
      <c r="AMH210" s="0"/>
      <c r="AMI210" s="0"/>
      <c r="AMJ210" s="0"/>
    </row>
    <row r="211" customFormat="false" ht="13.8" hidden="true" customHeight="false" outlineLevel="0" collapsed="false">
      <c r="A211" s="117" t="n">
        <v>1000</v>
      </c>
      <c r="B211" s="117" t="s">
        <v>1962</v>
      </c>
      <c r="C211" s="117" t="n">
        <v>100057912</v>
      </c>
      <c r="E211" s="117" t="s">
        <v>1921</v>
      </c>
      <c r="F211" s="117" t="n">
        <v>1101</v>
      </c>
      <c r="G211" s="117" t="n">
        <v>2019</v>
      </c>
      <c r="H211" s="117" t="n">
        <v>4</v>
      </c>
      <c r="I211" s="118" t="n">
        <v>43677</v>
      </c>
      <c r="J211" s="118" t="n">
        <v>43677</v>
      </c>
      <c r="K211" s="119" t="n">
        <v>238251.35</v>
      </c>
      <c r="L211" s="128" t="n">
        <f aca="false">K211-Q211+T211</f>
        <v>238251.35</v>
      </c>
      <c r="M211" s="117" t="s">
        <v>149</v>
      </c>
      <c r="N211" s="117" t="n">
        <v>238251.35</v>
      </c>
      <c r="O211" s="117" t="s">
        <v>149</v>
      </c>
      <c r="P211" s="117" t="n">
        <v>0</v>
      </c>
      <c r="Q211" s="117" t="n">
        <v>0</v>
      </c>
      <c r="R211" s="117" t="n">
        <v>238251.35</v>
      </c>
      <c r="S211" s="117" t="n">
        <v>0</v>
      </c>
      <c r="T211" s="117" t="n">
        <v>0</v>
      </c>
      <c r="U211" s="117" t="n">
        <v>318999</v>
      </c>
      <c r="V211" s="117" t="s">
        <v>143</v>
      </c>
      <c r="X211" s="117" t="s">
        <v>2133</v>
      </c>
      <c r="Z211" s="117" t="n">
        <v>100057912</v>
      </c>
      <c r="AD211" s="117" t="n">
        <v>110000</v>
      </c>
      <c r="AE211" s="117" t="s">
        <v>1966</v>
      </c>
      <c r="AF211" s="117" t="n">
        <v>110000</v>
      </c>
      <c r="AG211" s="117" t="s">
        <v>1966</v>
      </c>
      <c r="AI211" s="117" t="n">
        <v>110000</v>
      </c>
      <c r="AJ211" s="117" t="s">
        <v>1966</v>
      </c>
      <c r="AK211" s="117" t="n">
        <v>0</v>
      </c>
      <c r="AL211" s="117" t="n">
        <v>4</v>
      </c>
      <c r="AM211" s="117" t="s">
        <v>161</v>
      </c>
      <c r="AP211" s="117" t="n">
        <v>100082045</v>
      </c>
      <c r="AQ211" s="118" t="n">
        <v>43708</v>
      </c>
      <c r="AR211" s="118" t="n">
        <v>43677</v>
      </c>
      <c r="AS211" s="117" t="n">
        <v>0.699490740740741</v>
      </c>
      <c r="AT211" s="117" t="n">
        <v>0</v>
      </c>
      <c r="AU211" s="117" t="n">
        <v>0</v>
      </c>
      <c r="AX211" s="117" t="n">
        <v>5</v>
      </c>
    </row>
    <row r="212" customFormat="false" ht="13.8" hidden="true" customHeight="false" outlineLevel="0" collapsed="false">
      <c r="A212" s="117" t="n">
        <v>1000</v>
      </c>
      <c r="B212" s="117" t="s">
        <v>1962</v>
      </c>
      <c r="C212" s="117" t="n">
        <v>100078765</v>
      </c>
      <c r="E212" s="117" t="s">
        <v>1921</v>
      </c>
      <c r="F212" s="117" t="n">
        <v>1101</v>
      </c>
      <c r="G212" s="117" t="n">
        <v>2019</v>
      </c>
      <c r="H212" s="117" t="n">
        <v>5</v>
      </c>
      <c r="I212" s="118" t="n">
        <v>43706</v>
      </c>
      <c r="J212" s="118" t="n">
        <v>43706</v>
      </c>
      <c r="K212" s="119" t="n">
        <v>-303810.6</v>
      </c>
      <c r="L212" s="128" t="n">
        <f aca="false">K212-Q212+T212</f>
        <v>-303810.6</v>
      </c>
      <c r="M212" s="117" t="s">
        <v>149</v>
      </c>
      <c r="N212" s="117" t="n">
        <v>-303810.6</v>
      </c>
      <c r="O212" s="117" t="s">
        <v>149</v>
      </c>
      <c r="P212" s="117" t="n">
        <v>0</v>
      </c>
      <c r="Q212" s="117" t="n">
        <v>0</v>
      </c>
      <c r="R212" s="117" t="n">
        <v>-303810.6</v>
      </c>
      <c r="S212" s="117" t="n">
        <v>0</v>
      </c>
      <c r="T212" s="117" t="n">
        <v>0</v>
      </c>
      <c r="U212" s="117" t="n">
        <v>312193</v>
      </c>
      <c r="V212" s="117" t="s">
        <v>1963</v>
      </c>
      <c r="Z212" s="117" t="n">
        <v>100078765</v>
      </c>
      <c r="AD212" s="117" t="n">
        <v>110000</v>
      </c>
      <c r="AE212" s="117" t="s">
        <v>1966</v>
      </c>
      <c r="AF212" s="117" t="n">
        <v>110000</v>
      </c>
      <c r="AG212" s="117" t="s">
        <v>1966</v>
      </c>
      <c r="AI212" s="117" t="n">
        <v>110000</v>
      </c>
      <c r="AJ212" s="117" t="s">
        <v>1966</v>
      </c>
      <c r="AK212" s="117" t="n">
        <v>0</v>
      </c>
      <c r="AL212" s="117" t="n">
        <v>17</v>
      </c>
      <c r="AM212" s="117" t="s">
        <v>225</v>
      </c>
      <c r="AP212" s="117" t="n">
        <v>100078765</v>
      </c>
      <c r="AQ212" s="118" t="n">
        <v>43706</v>
      </c>
      <c r="AR212" s="118" t="n">
        <v>43706</v>
      </c>
      <c r="AS212" s="117" t="n">
        <v>0.702835648148148</v>
      </c>
      <c r="AT212" s="117" t="n">
        <v>0</v>
      </c>
      <c r="AU212" s="117" t="n">
        <v>0</v>
      </c>
      <c r="AX212" s="117" t="n">
        <v>7</v>
      </c>
    </row>
    <row r="213" customFormat="false" ht="13.8" hidden="true" customHeight="false" outlineLevel="0" collapsed="false">
      <c r="A213" s="117" t="n">
        <v>1000</v>
      </c>
      <c r="B213" s="117" t="s">
        <v>1962</v>
      </c>
      <c r="C213" s="117" t="n">
        <v>100057906</v>
      </c>
      <c r="E213" s="117" t="s">
        <v>1921</v>
      </c>
      <c r="F213" s="117" t="n">
        <v>1106</v>
      </c>
      <c r="G213" s="117" t="n">
        <v>2019</v>
      </c>
      <c r="H213" s="117" t="n">
        <v>4</v>
      </c>
      <c r="I213" s="118" t="n">
        <v>43677</v>
      </c>
      <c r="J213" s="118" t="n">
        <v>43677</v>
      </c>
      <c r="K213" s="119" t="n">
        <v>380140.76</v>
      </c>
      <c r="L213" s="128" t="n">
        <f aca="false">K213-Q213+T213</f>
        <v>380140.76</v>
      </c>
      <c r="M213" s="117" t="s">
        <v>149</v>
      </c>
      <c r="N213" s="117" t="n">
        <v>380140.76</v>
      </c>
      <c r="O213" s="117" t="s">
        <v>149</v>
      </c>
      <c r="P213" s="117" t="n">
        <v>0</v>
      </c>
      <c r="Q213" s="117" t="n">
        <v>0</v>
      </c>
      <c r="R213" s="117" t="n">
        <v>380140.76</v>
      </c>
      <c r="S213" s="117" t="n">
        <v>0</v>
      </c>
      <c r="T213" s="117" t="n">
        <v>0</v>
      </c>
      <c r="U213" s="117" t="n">
        <v>307259</v>
      </c>
      <c r="V213" s="117" t="s">
        <v>143</v>
      </c>
      <c r="Z213" s="117" t="n">
        <v>100057906</v>
      </c>
      <c r="AD213" s="117" t="n">
        <v>310300</v>
      </c>
      <c r="AE213" s="117" t="s">
        <v>1969</v>
      </c>
      <c r="AF213" s="117" t="n">
        <v>110000</v>
      </c>
      <c r="AG213" s="117" t="s">
        <v>1966</v>
      </c>
      <c r="AI213" s="117" t="n">
        <v>110000</v>
      </c>
      <c r="AJ213" s="117" t="s">
        <v>1966</v>
      </c>
      <c r="AK213" s="117" t="n">
        <v>0</v>
      </c>
      <c r="AL213" s="117" t="n">
        <v>9</v>
      </c>
      <c r="AM213" s="117" t="s">
        <v>161</v>
      </c>
      <c r="AN213" s="117" t="s">
        <v>1978</v>
      </c>
      <c r="AP213" s="117" t="n">
        <v>100057906</v>
      </c>
      <c r="AQ213" s="118" t="n">
        <v>43677</v>
      </c>
      <c r="AR213" s="118" t="n">
        <v>43677</v>
      </c>
      <c r="AS213" s="117" t="n">
        <v>0.664548611111111</v>
      </c>
      <c r="AT213" s="117" t="n">
        <v>0</v>
      </c>
      <c r="AU213" s="117" t="n">
        <v>0</v>
      </c>
      <c r="AX213" s="117" t="n">
        <v>2</v>
      </c>
    </row>
    <row r="214" customFormat="false" ht="13.8" hidden="true" customHeight="false" outlineLevel="0" collapsed="false">
      <c r="A214" s="117" t="n">
        <v>1000</v>
      </c>
      <c r="B214" s="117" t="s">
        <v>1962</v>
      </c>
      <c r="C214" s="117" t="n">
        <v>100122444</v>
      </c>
      <c r="E214" s="117" t="s">
        <v>1921</v>
      </c>
      <c r="F214" s="117" t="n">
        <v>1106</v>
      </c>
      <c r="G214" s="117" t="n">
        <v>2019</v>
      </c>
      <c r="H214" s="117" t="n">
        <v>6</v>
      </c>
      <c r="I214" s="118" t="n">
        <v>43738</v>
      </c>
      <c r="J214" s="118" t="n">
        <v>43738</v>
      </c>
      <c r="K214" s="119" t="n">
        <v>-1246952.8</v>
      </c>
      <c r="L214" s="128" t="n">
        <f aca="false">K214-Q214+T214</f>
        <v>-1246952.8</v>
      </c>
      <c r="M214" s="117" t="s">
        <v>149</v>
      </c>
      <c r="N214" s="117" t="n">
        <v>-1246952.8</v>
      </c>
      <c r="O214" s="117" t="s">
        <v>149</v>
      </c>
      <c r="P214" s="117" t="n">
        <v>-1246952.8</v>
      </c>
      <c r="Q214" s="117" t="n">
        <v>0</v>
      </c>
      <c r="R214" s="117" t="n">
        <v>-1246952.8</v>
      </c>
      <c r="S214" s="117" t="n">
        <v>0</v>
      </c>
      <c r="T214" s="117" t="n">
        <v>0</v>
      </c>
      <c r="U214" s="117" t="n">
        <v>305576</v>
      </c>
      <c r="V214" s="117" t="s">
        <v>1973</v>
      </c>
      <c r="X214" s="117" t="s">
        <v>2134</v>
      </c>
      <c r="Z214" s="117" t="n">
        <v>100122444</v>
      </c>
      <c r="AD214" s="117" t="n">
        <v>310300</v>
      </c>
      <c r="AE214" s="117" t="s">
        <v>1969</v>
      </c>
      <c r="AF214" s="117" t="n">
        <v>310300</v>
      </c>
      <c r="AG214" s="117" t="s">
        <v>1969</v>
      </c>
      <c r="AI214" s="117" t="n">
        <v>310300</v>
      </c>
      <c r="AJ214" s="117" t="s">
        <v>1969</v>
      </c>
      <c r="AK214" s="117" t="n">
        <v>0</v>
      </c>
      <c r="AL214" s="117" t="n">
        <v>19</v>
      </c>
      <c r="AM214" s="117" t="s">
        <v>225</v>
      </c>
      <c r="AN214" s="117" t="s">
        <v>1978</v>
      </c>
      <c r="AP214" s="117" t="n">
        <v>100123319</v>
      </c>
      <c r="AQ214" s="118" t="n">
        <v>43738</v>
      </c>
      <c r="AR214" s="118" t="n">
        <v>43739</v>
      </c>
      <c r="AS214" s="117" t="n">
        <v>0.452604166666667</v>
      </c>
      <c r="AT214" s="117" t="n">
        <v>0</v>
      </c>
      <c r="AU214" s="117" t="n">
        <v>0</v>
      </c>
      <c r="AX214" s="117" t="n">
        <v>1</v>
      </c>
    </row>
    <row r="215" customFormat="false" ht="13.8" hidden="true" customHeight="false" outlineLevel="0" collapsed="false">
      <c r="A215" s="117" t="n">
        <v>1000</v>
      </c>
      <c r="B215" s="117" t="s">
        <v>1962</v>
      </c>
      <c r="C215" s="117" t="n">
        <v>1400004530</v>
      </c>
      <c r="E215" s="117" t="s">
        <v>1972</v>
      </c>
      <c r="F215" s="117" t="n">
        <v>1101</v>
      </c>
      <c r="G215" s="117" t="n">
        <v>2019</v>
      </c>
      <c r="H215" s="117" t="n">
        <v>4</v>
      </c>
      <c r="I215" s="118" t="n">
        <v>43657</v>
      </c>
      <c r="J215" s="118" t="n">
        <v>43657</v>
      </c>
      <c r="K215" s="119" t="n">
        <v>-941711</v>
      </c>
      <c r="L215" s="128" t="n">
        <f aca="false">K215-Q215+T215</f>
        <v>-941711</v>
      </c>
      <c r="M215" s="117" t="s">
        <v>149</v>
      </c>
      <c r="N215" s="117" t="n">
        <v>-941711</v>
      </c>
      <c r="O215" s="117" t="s">
        <v>149</v>
      </c>
      <c r="P215" s="117" t="n">
        <v>0</v>
      </c>
      <c r="Q215" s="117" t="n">
        <v>0</v>
      </c>
      <c r="R215" s="117" t="n">
        <v>-941711</v>
      </c>
      <c r="S215" s="117" t="n">
        <v>0</v>
      </c>
      <c r="T215" s="117" t="n">
        <v>0</v>
      </c>
      <c r="U215" s="117" t="n">
        <v>306263</v>
      </c>
      <c r="V215" s="117" t="s">
        <v>2006</v>
      </c>
      <c r="X215" s="117" t="s">
        <v>2135</v>
      </c>
      <c r="Y215" s="117" t="s">
        <v>2136</v>
      </c>
      <c r="Z215" s="117" t="n">
        <v>1400004530</v>
      </c>
      <c r="AC215" s="117" t="s">
        <v>1976</v>
      </c>
      <c r="AD215" s="117" t="n">
        <v>310300</v>
      </c>
      <c r="AE215" s="117" t="s">
        <v>1969</v>
      </c>
      <c r="AF215" s="117" t="n">
        <v>101105</v>
      </c>
      <c r="AG215" s="117" t="s">
        <v>1977</v>
      </c>
      <c r="AI215" s="117" t="n">
        <v>101105</v>
      </c>
      <c r="AJ215" s="117" t="s">
        <v>1977</v>
      </c>
      <c r="AK215" s="117" t="n">
        <v>0</v>
      </c>
      <c r="AL215" s="117" t="n">
        <v>19</v>
      </c>
      <c r="AM215" s="117" t="s">
        <v>225</v>
      </c>
      <c r="AN215" s="117" t="s">
        <v>1978</v>
      </c>
      <c r="AP215" s="117" t="n">
        <v>100058186</v>
      </c>
      <c r="AQ215" s="118" t="n">
        <v>43677</v>
      </c>
      <c r="AR215" s="118" t="n">
        <v>43677</v>
      </c>
      <c r="AS215" s="117" t="n">
        <v>0.497361111111111</v>
      </c>
      <c r="AT215" s="117" t="n">
        <v>0</v>
      </c>
      <c r="AU215" s="117" t="n">
        <v>0</v>
      </c>
      <c r="AX215" s="117" t="n">
        <v>2</v>
      </c>
    </row>
    <row r="216" customFormat="false" ht="13.8" hidden="true" customHeight="false" outlineLevel="0" collapsed="false">
      <c r="A216" s="117" t="n">
        <v>1000</v>
      </c>
      <c r="B216" s="117" t="s">
        <v>1962</v>
      </c>
      <c r="C216" s="117" t="n">
        <v>100123318</v>
      </c>
      <c r="E216" s="117" t="s">
        <v>1921</v>
      </c>
      <c r="F216" s="117" t="n">
        <v>1108</v>
      </c>
      <c r="G216" s="117" t="n">
        <v>2019</v>
      </c>
      <c r="H216" s="117" t="n">
        <v>6</v>
      </c>
      <c r="I216" s="118" t="n">
        <v>43738</v>
      </c>
      <c r="J216" s="118" t="n">
        <v>43738</v>
      </c>
      <c r="K216" s="119" t="n">
        <v>-1784213.22</v>
      </c>
      <c r="L216" s="128" t="n">
        <f aca="false">K216-Q216+T216</f>
        <v>-1784213.22</v>
      </c>
      <c r="M216" s="117" t="s">
        <v>149</v>
      </c>
      <c r="N216" s="117" t="n">
        <v>-1784213.22</v>
      </c>
      <c r="O216" s="117" t="s">
        <v>149</v>
      </c>
      <c r="P216" s="117" t="n">
        <v>0</v>
      </c>
      <c r="Q216" s="117" t="n">
        <v>0</v>
      </c>
      <c r="R216" s="117" t="n">
        <v>-1784213.22</v>
      </c>
      <c r="S216" s="117" t="n">
        <v>0</v>
      </c>
      <c r="T216" s="117" t="n">
        <v>0</v>
      </c>
      <c r="U216" s="117" t="n">
        <v>312193</v>
      </c>
      <c r="V216" s="117" t="s">
        <v>1963</v>
      </c>
      <c r="Z216" s="117" t="n">
        <v>100123318</v>
      </c>
      <c r="AD216" s="117" t="n">
        <v>110000</v>
      </c>
      <c r="AE216" s="117" t="s">
        <v>1966</v>
      </c>
      <c r="AF216" s="117" t="n">
        <v>110000</v>
      </c>
      <c r="AG216" s="117" t="s">
        <v>1966</v>
      </c>
      <c r="AI216" s="117" t="n">
        <v>110000</v>
      </c>
      <c r="AJ216" s="117" t="s">
        <v>1966</v>
      </c>
      <c r="AK216" s="117" t="n">
        <v>0</v>
      </c>
      <c r="AL216" s="117" t="n">
        <v>17</v>
      </c>
      <c r="AM216" s="117" t="s">
        <v>225</v>
      </c>
      <c r="AP216" s="117" t="n">
        <v>100123318</v>
      </c>
      <c r="AQ216" s="118" t="n">
        <v>43738</v>
      </c>
      <c r="AR216" s="118" t="n">
        <v>43739</v>
      </c>
      <c r="AS216" s="117" t="n">
        <v>0.584733796296296</v>
      </c>
      <c r="AT216" s="117" t="n">
        <v>0</v>
      </c>
      <c r="AU216" s="117" t="n">
        <v>0</v>
      </c>
      <c r="AX216" s="117" t="n">
        <v>6</v>
      </c>
    </row>
    <row r="217" customFormat="false" ht="13.8" hidden="true" customHeight="false" outlineLevel="0" collapsed="false">
      <c r="A217" s="117" t="n">
        <v>1000</v>
      </c>
      <c r="B217" s="117" t="s">
        <v>1962</v>
      </c>
      <c r="C217" s="117" t="n">
        <v>100058228</v>
      </c>
      <c r="E217" s="117" t="s">
        <v>1921</v>
      </c>
      <c r="F217" s="117" t="n">
        <v>1106</v>
      </c>
      <c r="G217" s="117" t="n">
        <v>2019</v>
      </c>
      <c r="H217" s="117" t="n">
        <v>4</v>
      </c>
      <c r="I217" s="118" t="n">
        <v>43677</v>
      </c>
      <c r="J217" s="118" t="n">
        <v>43677</v>
      </c>
      <c r="K217" s="119" t="n">
        <v>24754.04</v>
      </c>
      <c r="L217" s="128" t="n">
        <f aca="false">K217-Q217+T217</f>
        <v>24754.04</v>
      </c>
      <c r="M217" s="117" t="s">
        <v>149</v>
      </c>
      <c r="N217" s="117" t="n">
        <v>24754.04</v>
      </c>
      <c r="O217" s="117" t="s">
        <v>149</v>
      </c>
      <c r="P217" s="117" t="n">
        <v>0</v>
      </c>
      <c r="Q217" s="117" t="n">
        <v>0</v>
      </c>
      <c r="R217" s="117" t="n">
        <v>24754.04</v>
      </c>
      <c r="S217" s="117" t="n">
        <v>0</v>
      </c>
      <c r="T217" s="117" t="n">
        <v>0</v>
      </c>
      <c r="U217" s="117" t="n">
        <v>315113</v>
      </c>
      <c r="V217" s="117" t="s">
        <v>143</v>
      </c>
      <c r="Z217" s="117" t="n">
        <v>100058228</v>
      </c>
      <c r="AD217" s="117" t="n">
        <v>310300</v>
      </c>
      <c r="AE217" s="117" t="s">
        <v>1969</v>
      </c>
      <c r="AF217" s="117" t="n">
        <v>110000</v>
      </c>
      <c r="AG217" s="117" t="s">
        <v>1966</v>
      </c>
      <c r="AI217" s="117" t="n">
        <v>110000</v>
      </c>
      <c r="AJ217" s="117" t="s">
        <v>1966</v>
      </c>
      <c r="AK217" s="117" t="n">
        <v>0</v>
      </c>
      <c r="AL217" s="117" t="n">
        <v>9</v>
      </c>
      <c r="AM217" s="117" t="s">
        <v>161</v>
      </c>
      <c r="AN217" s="117" t="s">
        <v>1978</v>
      </c>
      <c r="AP217" s="117" t="n">
        <v>100058228</v>
      </c>
      <c r="AQ217" s="118" t="n">
        <v>43677</v>
      </c>
      <c r="AR217" s="118" t="n">
        <v>43678</v>
      </c>
      <c r="AS217" s="117" t="n">
        <v>0.209675925925926</v>
      </c>
      <c r="AT217" s="117" t="n">
        <v>0</v>
      </c>
      <c r="AU217" s="117" t="n">
        <v>0</v>
      </c>
      <c r="AX217" s="117" t="n">
        <v>2</v>
      </c>
    </row>
    <row r="218" s="106" customFormat="true" ht="13.8" hidden="true" customHeight="false" outlineLevel="0" collapsed="false">
      <c r="A218" s="106" t="n">
        <v>1000</v>
      </c>
      <c r="B218" s="106" t="s">
        <v>1962</v>
      </c>
      <c r="C218" s="106" t="n">
        <v>107663</v>
      </c>
      <c r="D218" s="106" t="s">
        <v>1857</v>
      </c>
      <c r="E218" s="106" t="s">
        <v>1970</v>
      </c>
      <c r="F218" s="106" t="n">
        <v>1109</v>
      </c>
      <c r="G218" s="106" t="n">
        <v>2019</v>
      </c>
      <c r="H218" s="106" t="n">
        <v>7</v>
      </c>
      <c r="I218" s="129" t="n">
        <v>43748</v>
      </c>
      <c r="J218" s="129" t="n">
        <v>43748</v>
      </c>
      <c r="K218" s="107" t="n">
        <v>208812.8</v>
      </c>
      <c r="L218" s="130" t="n">
        <f aca="false">K218-Q218+T218</f>
        <v>176960</v>
      </c>
      <c r="M218" s="106" t="s">
        <v>149</v>
      </c>
      <c r="N218" s="106" t="n">
        <v>208812.8</v>
      </c>
      <c r="O218" s="106" t="s">
        <v>149</v>
      </c>
      <c r="P218" s="106" t="n">
        <v>0</v>
      </c>
      <c r="Q218" s="107" t="n">
        <v>31852.8</v>
      </c>
      <c r="R218" s="106" t="n">
        <v>176960</v>
      </c>
      <c r="S218" s="106" t="n">
        <v>0</v>
      </c>
      <c r="T218" s="106" t="n">
        <v>0</v>
      </c>
      <c r="U218" s="106" t="n">
        <v>312193</v>
      </c>
      <c r="V218" s="106" t="s">
        <v>1963</v>
      </c>
      <c r="Z218" s="106" t="n">
        <v>60958</v>
      </c>
      <c r="AB218" s="106" t="s">
        <v>2124</v>
      </c>
      <c r="AD218" s="106" t="n">
        <v>110000</v>
      </c>
      <c r="AE218" s="106" t="s">
        <v>1966</v>
      </c>
      <c r="AF218" s="106" t="n">
        <v>501005</v>
      </c>
      <c r="AG218" s="106" t="s">
        <v>2033</v>
      </c>
      <c r="AI218" s="106" t="n">
        <v>501005</v>
      </c>
      <c r="AJ218" s="106" t="s">
        <v>2033</v>
      </c>
      <c r="AK218" s="106" t="n">
        <v>0</v>
      </c>
      <c r="AL218" s="106" t="n">
        <v>1</v>
      </c>
      <c r="AM218" s="106" t="s">
        <v>161</v>
      </c>
      <c r="AP218" s="106" t="n">
        <v>100141449</v>
      </c>
      <c r="AQ218" s="129" t="n">
        <v>43766</v>
      </c>
      <c r="AR218" s="129" t="n">
        <v>43748</v>
      </c>
      <c r="AS218" s="106" t="n">
        <v>0.498402777777778</v>
      </c>
      <c r="AT218" s="106" t="n">
        <v>0</v>
      </c>
      <c r="AU218" s="106" t="n">
        <v>0</v>
      </c>
      <c r="AX218" s="106" t="n">
        <v>1</v>
      </c>
      <c r="ALU218" s="0"/>
      <c r="ALV218" s="0"/>
      <c r="ALW218" s="0"/>
      <c r="ALX218" s="0"/>
      <c r="ALY218" s="0"/>
      <c r="ALZ218" s="0"/>
      <c r="AMA218" s="0"/>
      <c r="AMB218" s="0"/>
      <c r="AMC218" s="0"/>
      <c r="AMD218" s="0"/>
      <c r="AME218" s="0"/>
      <c r="AMF218" s="0"/>
      <c r="AMG218" s="0"/>
      <c r="AMH218" s="0"/>
      <c r="AMI218" s="0"/>
      <c r="AMJ218" s="0"/>
    </row>
    <row r="219" customFormat="false" ht="13.8" hidden="true" customHeight="false" outlineLevel="0" collapsed="false">
      <c r="A219" s="117" t="n">
        <v>1000</v>
      </c>
      <c r="B219" s="117" t="s">
        <v>1962</v>
      </c>
      <c r="C219" s="117" t="n">
        <v>100057912</v>
      </c>
      <c r="E219" s="117" t="s">
        <v>1921</v>
      </c>
      <c r="F219" s="117" t="n">
        <v>1101</v>
      </c>
      <c r="G219" s="117" t="n">
        <v>2019</v>
      </c>
      <c r="H219" s="117" t="n">
        <v>4</v>
      </c>
      <c r="I219" s="118" t="n">
        <v>43677</v>
      </c>
      <c r="J219" s="118" t="n">
        <v>43677</v>
      </c>
      <c r="K219" s="119" t="n">
        <v>244419.92</v>
      </c>
      <c r="L219" s="128" t="n">
        <f aca="false">K219-Q219+T219</f>
        <v>244419.92</v>
      </c>
      <c r="M219" s="117" t="s">
        <v>149</v>
      </c>
      <c r="N219" s="117" t="n">
        <v>244419.92</v>
      </c>
      <c r="O219" s="117" t="s">
        <v>149</v>
      </c>
      <c r="P219" s="117" t="n">
        <v>0</v>
      </c>
      <c r="Q219" s="117" t="n">
        <v>0</v>
      </c>
      <c r="R219" s="117" t="n">
        <v>244419.92</v>
      </c>
      <c r="S219" s="117" t="n">
        <v>0</v>
      </c>
      <c r="T219" s="117" t="n">
        <v>0</v>
      </c>
      <c r="U219" s="117" t="n">
        <v>318999</v>
      </c>
      <c r="V219" s="117" t="s">
        <v>143</v>
      </c>
      <c r="X219" s="117" t="s">
        <v>2050</v>
      </c>
      <c r="Z219" s="117" t="n">
        <v>100057912</v>
      </c>
      <c r="AD219" s="117" t="n">
        <v>110000</v>
      </c>
      <c r="AE219" s="117" t="s">
        <v>1966</v>
      </c>
      <c r="AF219" s="117" t="n">
        <v>110000</v>
      </c>
      <c r="AG219" s="117" t="s">
        <v>1966</v>
      </c>
      <c r="AI219" s="117" t="n">
        <v>110000</v>
      </c>
      <c r="AJ219" s="117" t="s">
        <v>1966</v>
      </c>
      <c r="AK219" s="117" t="n">
        <v>0</v>
      </c>
      <c r="AL219" s="117" t="n">
        <v>4</v>
      </c>
      <c r="AM219" s="117" t="s">
        <v>161</v>
      </c>
      <c r="AP219" s="117" t="n">
        <v>100082045</v>
      </c>
      <c r="AQ219" s="118" t="n">
        <v>43708</v>
      </c>
      <c r="AR219" s="118" t="n">
        <v>43677</v>
      </c>
      <c r="AS219" s="117" t="n">
        <v>0.699490740740741</v>
      </c>
      <c r="AT219" s="117" t="n">
        <v>0</v>
      </c>
      <c r="AU219" s="117" t="n">
        <v>0</v>
      </c>
      <c r="AX219" s="117" t="n">
        <v>2</v>
      </c>
    </row>
    <row r="220" customFormat="false" ht="13.8" hidden="true" customHeight="false" outlineLevel="0" collapsed="false">
      <c r="A220" s="117" t="n">
        <v>1000</v>
      </c>
      <c r="B220" s="117" t="s">
        <v>1962</v>
      </c>
      <c r="C220" s="117" t="n">
        <v>100057912</v>
      </c>
      <c r="E220" s="117" t="s">
        <v>1921</v>
      </c>
      <c r="F220" s="117" t="n">
        <v>1101</v>
      </c>
      <c r="G220" s="117" t="n">
        <v>2019</v>
      </c>
      <c r="H220" s="117" t="n">
        <v>4</v>
      </c>
      <c r="I220" s="118" t="n">
        <v>43677</v>
      </c>
      <c r="J220" s="118" t="n">
        <v>43677</v>
      </c>
      <c r="K220" s="119" t="n">
        <v>315518.37</v>
      </c>
      <c r="L220" s="128" t="n">
        <f aca="false">K220-Q220+T220</f>
        <v>315518.37</v>
      </c>
      <c r="M220" s="117" t="s">
        <v>149</v>
      </c>
      <c r="N220" s="117" t="n">
        <v>315518.37</v>
      </c>
      <c r="O220" s="117" t="s">
        <v>149</v>
      </c>
      <c r="P220" s="117" t="n">
        <v>0</v>
      </c>
      <c r="Q220" s="117" t="n">
        <v>0</v>
      </c>
      <c r="R220" s="117" t="n">
        <v>315518.37</v>
      </c>
      <c r="S220" s="117" t="n">
        <v>0</v>
      </c>
      <c r="T220" s="117" t="n">
        <v>0</v>
      </c>
      <c r="U220" s="117" t="n">
        <v>318999</v>
      </c>
      <c r="V220" s="117" t="s">
        <v>143</v>
      </c>
      <c r="X220" s="117" t="s">
        <v>2035</v>
      </c>
      <c r="Z220" s="117" t="n">
        <v>100057912</v>
      </c>
      <c r="AD220" s="117" t="n">
        <v>110000</v>
      </c>
      <c r="AE220" s="117" t="s">
        <v>1966</v>
      </c>
      <c r="AF220" s="117" t="n">
        <v>110000</v>
      </c>
      <c r="AG220" s="117" t="s">
        <v>1966</v>
      </c>
      <c r="AI220" s="117" t="n">
        <v>110000</v>
      </c>
      <c r="AJ220" s="117" t="s">
        <v>1966</v>
      </c>
      <c r="AK220" s="117" t="n">
        <v>0</v>
      </c>
      <c r="AL220" s="117" t="n">
        <v>4</v>
      </c>
      <c r="AM220" s="117" t="s">
        <v>161</v>
      </c>
      <c r="AP220" s="117" t="n">
        <v>100082045</v>
      </c>
      <c r="AQ220" s="118" t="n">
        <v>43708</v>
      </c>
      <c r="AR220" s="118" t="n">
        <v>43677</v>
      </c>
      <c r="AS220" s="117" t="n">
        <v>0.699490740740741</v>
      </c>
      <c r="AT220" s="117" t="n">
        <v>0</v>
      </c>
      <c r="AU220" s="117" t="n">
        <v>0</v>
      </c>
      <c r="AX220" s="117" t="n">
        <v>3</v>
      </c>
    </row>
    <row r="221" customFormat="false" ht="13.8" hidden="true" customHeight="false" outlineLevel="0" collapsed="false">
      <c r="A221" s="117" t="n">
        <v>1000</v>
      </c>
      <c r="B221" s="117" t="s">
        <v>1962</v>
      </c>
      <c r="C221" s="117" t="n">
        <v>100123318</v>
      </c>
      <c r="E221" s="117" t="s">
        <v>1921</v>
      </c>
      <c r="F221" s="117" t="n">
        <v>1109</v>
      </c>
      <c r="G221" s="117" t="n">
        <v>2019</v>
      </c>
      <c r="H221" s="117" t="n">
        <v>6</v>
      </c>
      <c r="I221" s="118" t="n">
        <v>43738</v>
      </c>
      <c r="J221" s="118" t="n">
        <v>43738</v>
      </c>
      <c r="K221" s="119" t="n">
        <v>5253</v>
      </c>
      <c r="L221" s="128" t="n">
        <f aca="false">K221-Q221+T221</f>
        <v>5253</v>
      </c>
      <c r="M221" s="117" t="s">
        <v>149</v>
      </c>
      <c r="N221" s="117" t="n">
        <v>5253</v>
      </c>
      <c r="O221" s="117" t="s">
        <v>149</v>
      </c>
      <c r="P221" s="117" t="n">
        <v>0</v>
      </c>
      <c r="Q221" s="117" t="n">
        <v>0</v>
      </c>
      <c r="R221" s="117" t="n">
        <v>5253</v>
      </c>
      <c r="S221" s="117" t="n">
        <v>0</v>
      </c>
      <c r="T221" s="117" t="n">
        <v>0</v>
      </c>
      <c r="U221" s="117" t="n">
        <v>312193</v>
      </c>
      <c r="V221" s="117" t="s">
        <v>1963</v>
      </c>
      <c r="X221" s="117" t="s">
        <v>2137</v>
      </c>
      <c r="Z221" s="117" t="n">
        <v>2316</v>
      </c>
      <c r="AB221" s="117" t="s">
        <v>1965</v>
      </c>
      <c r="AD221" s="117" t="n">
        <v>110000</v>
      </c>
      <c r="AE221" s="117" t="s">
        <v>1966</v>
      </c>
      <c r="AF221" s="117" t="n">
        <v>110000</v>
      </c>
      <c r="AG221" s="117" t="s">
        <v>1966</v>
      </c>
      <c r="AI221" s="117" t="n">
        <v>110000</v>
      </c>
      <c r="AJ221" s="117" t="s">
        <v>1966</v>
      </c>
      <c r="AK221" s="117" t="n">
        <v>0</v>
      </c>
      <c r="AL221" s="117" t="n">
        <v>4</v>
      </c>
      <c r="AM221" s="117" t="s">
        <v>161</v>
      </c>
      <c r="AR221" s="118" t="n">
        <v>43739</v>
      </c>
      <c r="AS221" s="117" t="n">
        <v>0.584733796296296</v>
      </c>
      <c r="AT221" s="117" t="n">
        <v>0</v>
      </c>
      <c r="AU221" s="117" t="n">
        <v>0</v>
      </c>
      <c r="AX221" s="117" t="n">
        <v>2</v>
      </c>
    </row>
    <row r="222" customFormat="false" ht="13.8" hidden="true" customHeight="false" outlineLevel="0" collapsed="false">
      <c r="A222" s="117" t="n">
        <v>1000</v>
      </c>
      <c r="B222" s="117" t="s">
        <v>1962</v>
      </c>
      <c r="C222" s="117" t="n">
        <v>100058186</v>
      </c>
      <c r="E222" s="117" t="s">
        <v>1921</v>
      </c>
      <c r="F222" s="117" t="n">
        <v>1108</v>
      </c>
      <c r="G222" s="117" t="n">
        <v>2019</v>
      </c>
      <c r="H222" s="117" t="n">
        <v>4</v>
      </c>
      <c r="I222" s="118" t="n">
        <v>43677</v>
      </c>
      <c r="J222" s="118" t="n">
        <v>43677</v>
      </c>
      <c r="K222" s="119" t="n">
        <v>-941711.43</v>
      </c>
      <c r="L222" s="128" t="n">
        <f aca="false">K222-Q222+T222</f>
        <v>-941711.43</v>
      </c>
      <c r="M222" s="117" t="s">
        <v>149</v>
      </c>
      <c r="N222" s="117" t="n">
        <v>-941711.43</v>
      </c>
      <c r="O222" s="117" t="s">
        <v>149</v>
      </c>
      <c r="P222" s="117" t="n">
        <v>0</v>
      </c>
      <c r="Q222" s="117" t="n">
        <v>0</v>
      </c>
      <c r="R222" s="117" t="n">
        <v>-941711.43</v>
      </c>
      <c r="S222" s="117" t="n">
        <v>0</v>
      </c>
      <c r="T222" s="117" t="n">
        <v>0</v>
      </c>
      <c r="U222" s="117" t="n">
        <v>306263</v>
      </c>
      <c r="V222" s="117" t="s">
        <v>2006</v>
      </c>
      <c r="Z222" s="117" t="n">
        <v>100058186</v>
      </c>
      <c r="AD222" s="117" t="n">
        <v>110000</v>
      </c>
      <c r="AE222" s="117" t="s">
        <v>1966</v>
      </c>
      <c r="AF222" s="117" t="n">
        <v>110000</v>
      </c>
      <c r="AG222" s="117" t="s">
        <v>1966</v>
      </c>
      <c r="AI222" s="117" t="n">
        <v>110000</v>
      </c>
      <c r="AJ222" s="117" t="s">
        <v>1966</v>
      </c>
      <c r="AK222" s="117" t="n">
        <v>0</v>
      </c>
      <c r="AL222" s="117" t="n">
        <v>17</v>
      </c>
      <c r="AM222" s="117" t="s">
        <v>225</v>
      </c>
      <c r="AP222" s="117" t="n">
        <v>100058186</v>
      </c>
      <c r="AQ222" s="118" t="n">
        <v>43677</v>
      </c>
      <c r="AR222" s="118" t="n">
        <v>43678</v>
      </c>
      <c r="AS222" s="117" t="n">
        <v>0.174375</v>
      </c>
      <c r="AT222" s="117" t="n">
        <v>0</v>
      </c>
      <c r="AU222" s="117" t="n">
        <v>0</v>
      </c>
      <c r="AX222" s="117" t="n">
        <v>2</v>
      </c>
    </row>
    <row r="223" customFormat="false" ht="13.8" hidden="true" customHeight="false" outlineLevel="0" collapsed="false">
      <c r="A223" s="117" t="n">
        <v>1000</v>
      </c>
      <c r="B223" s="117" t="s">
        <v>1962</v>
      </c>
      <c r="C223" s="117" t="n">
        <v>100111526</v>
      </c>
      <c r="E223" s="117" t="s">
        <v>1921</v>
      </c>
      <c r="F223" s="117" t="n">
        <v>1106</v>
      </c>
      <c r="G223" s="117" t="n">
        <v>2019</v>
      </c>
      <c r="H223" s="117" t="n">
        <v>6</v>
      </c>
      <c r="I223" s="118" t="n">
        <v>43732</v>
      </c>
      <c r="J223" s="118" t="n">
        <v>43732</v>
      </c>
      <c r="K223" s="119" t="n">
        <v>3614555.84</v>
      </c>
      <c r="L223" s="128" t="n">
        <f aca="false">K223-Q223+T223</f>
        <v>3614555.84</v>
      </c>
      <c r="M223" s="117" t="s">
        <v>149</v>
      </c>
      <c r="N223" s="117" t="n">
        <v>3614555.84</v>
      </c>
      <c r="O223" s="117" t="s">
        <v>149</v>
      </c>
      <c r="P223" s="117" t="n">
        <v>0</v>
      </c>
      <c r="Q223" s="117" t="n">
        <v>0</v>
      </c>
      <c r="R223" s="117" t="n">
        <v>3614555.84</v>
      </c>
      <c r="S223" s="117" t="n">
        <v>0</v>
      </c>
      <c r="T223" s="117" t="n">
        <v>0</v>
      </c>
      <c r="U223" s="117" t="n">
        <v>318179</v>
      </c>
      <c r="V223" s="117" t="s">
        <v>143</v>
      </c>
      <c r="Z223" s="117" t="n">
        <v>100111526</v>
      </c>
      <c r="AD223" s="117" t="n">
        <v>310300</v>
      </c>
      <c r="AE223" s="117" t="s">
        <v>1969</v>
      </c>
      <c r="AF223" s="117" t="n">
        <v>110000</v>
      </c>
      <c r="AG223" s="117" t="s">
        <v>1966</v>
      </c>
      <c r="AI223" s="117" t="n">
        <v>110000</v>
      </c>
      <c r="AJ223" s="117" t="s">
        <v>1966</v>
      </c>
      <c r="AK223" s="117" t="n">
        <v>0</v>
      </c>
      <c r="AL223" s="117" t="n">
        <v>9</v>
      </c>
      <c r="AM223" s="117" t="s">
        <v>161</v>
      </c>
      <c r="AN223" s="117" t="s">
        <v>1978</v>
      </c>
      <c r="AP223" s="117" t="n">
        <v>100111526</v>
      </c>
      <c r="AQ223" s="118" t="n">
        <v>43732</v>
      </c>
      <c r="AR223" s="118" t="n">
        <v>43732</v>
      </c>
      <c r="AS223" s="117" t="n">
        <v>0.506099537037037</v>
      </c>
      <c r="AT223" s="117" t="n">
        <v>0</v>
      </c>
      <c r="AU223" s="117" t="n">
        <v>0</v>
      </c>
      <c r="AX223" s="117" t="n">
        <v>2</v>
      </c>
    </row>
    <row r="224" s="106" customFormat="true" ht="13.8" hidden="true" customHeight="false" outlineLevel="0" collapsed="false">
      <c r="A224" s="106" t="n">
        <v>1000</v>
      </c>
      <c r="B224" s="106" t="s">
        <v>1962</v>
      </c>
      <c r="C224" s="106" t="n">
        <v>104848</v>
      </c>
      <c r="D224" s="106" t="s">
        <v>1304</v>
      </c>
      <c r="E224" s="106" t="s">
        <v>1970</v>
      </c>
      <c r="F224" s="106" t="n">
        <v>1101</v>
      </c>
      <c r="G224" s="106" t="n">
        <v>2019</v>
      </c>
      <c r="H224" s="106" t="n">
        <v>4</v>
      </c>
      <c r="I224" s="129" t="n">
        <v>43668</v>
      </c>
      <c r="J224" s="129" t="n">
        <v>43668</v>
      </c>
      <c r="K224" s="107" t="n">
        <v>1683623.29</v>
      </c>
      <c r="L224" s="130" t="n">
        <f aca="false">K224-Q224+T224</f>
        <v>1426799.39</v>
      </c>
      <c r="M224" s="106" t="s">
        <v>149</v>
      </c>
      <c r="N224" s="106" t="n">
        <v>1683623.29</v>
      </c>
      <c r="O224" s="106" t="s">
        <v>149</v>
      </c>
      <c r="P224" s="106" t="n">
        <v>0</v>
      </c>
      <c r="Q224" s="107" t="n">
        <v>256823.9</v>
      </c>
      <c r="R224" s="106" t="n">
        <v>1426799.39</v>
      </c>
      <c r="S224" s="106" t="n">
        <v>0</v>
      </c>
      <c r="T224" s="106" t="n">
        <v>0</v>
      </c>
      <c r="U224" s="106" t="n">
        <v>318999</v>
      </c>
      <c r="V224" s="106" t="s">
        <v>143</v>
      </c>
      <c r="Z224" s="106" t="n">
        <v>2388</v>
      </c>
      <c r="AB224" s="106" t="s">
        <v>2019</v>
      </c>
      <c r="AD224" s="106" t="n">
        <v>110000</v>
      </c>
      <c r="AE224" s="106" t="s">
        <v>1966</v>
      </c>
      <c r="AF224" s="106" t="n">
        <v>501020</v>
      </c>
      <c r="AG224" s="106" t="s">
        <v>1971</v>
      </c>
      <c r="AI224" s="106" t="n">
        <v>501020</v>
      </c>
      <c r="AJ224" s="106" t="s">
        <v>1971</v>
      </c>
      <c r="AK224" s="106" t="n">
        <v>0</v>
      </c>
      <c r="AL224" s="106" t="n">
        <v>1</v>
      </c>
      <c r="AM224" s="106" t="s">
        <v>161</v>
      </c>
      <c r="AP224" s="106" t="n">
        <v>100057912</v>
      </c>
      <c r="AQ224" s="129" t="n">
        <v>43677</v>
      </c>
      <c r="AR224" s="129" t="n">
        <v>43668</v>
      </c>
      <c r="AS224" s="106" t="n">
        <v>0.449456018518519</v>
      </c>
      <c r="AT224" s="106" t="n">
        <v>0</v>
      </c>
      <c r="AU224" s="106" t="n">
        <v>0</v>
      </c>
      <c r="AX224" s="106" t="n">
        <v>1</v>
      </c>
      <c r="ALU224" s="0"/>
      <c r="ALV224" s="0"/>
      <c r="ALW224" s="0"/>
      <c r="ALX224" s="0"/>
      <c r="ALY224" s="0"/>
      <c r="ALZ224" s="0"/>
      <c r="AMA224" s="0"/>
      <c r="AMB224" s="0"/>
      <c r="AMC224" s="0"/>
      <c r="AMD224" s="0"/>
      <c r="AME224" s="0"/>
      <c r="AMF224" s="0"/>
      <c r="AMG224" s="0"/>
      <c r="AMH224" s="0"/>
      <c r="AMI224" s="0"/>
      <c r="AMJ224" s="0"/>
    </row>
    <row r="225" customFormat="false" ht="13.8" hidden="true" customHeight="false" outlineLevel="0" collapsed="false">
      <c r="A225" s="117" t="n">
        <v>1000</v>
      </c>
      <c r="B225" s="117" t="s">
        <v>1962</v>
      </c>
      <c r="C225" s="117" t="n">
        <v>100122462</v>
      </c>
      <c r="E225" s="117" t="s">
        <v>1921</v>
      </c>
      <c r="F225" s="117" t="n">
        <v>1106</v>
      </c>
      <c r="G225" s="117" t="n">
        <v>2019</v>
      </c>
      <c r="H225" s="117" t="n">
        <v>6</v>
      </c>
      <c r="I225" s="118" t="n">
        <v>43738</v>
      </c>
      <c r="J225" s="118" t="n">
        <v>43738</v>
      </c>
      <c r="K225" s="119" t="n">
        <v>3319165.36</v>
      </c>
      <c r="L225" s="128" t="n">
        <f aca="false">K225-Q225+T225</f>
        <v>3319165.36</v>
      </c>
      <c r="M225" s="117" t="s">
        <v>149</v>
      </c>
      <c r="N225" s="117" t="n">
        <v>3319165.36</v>
      </c>
      <c r="O225" s="117" t="s">
        <v>149</v>
      </c>
      <c r="P225" s="117" t="n">
        <v>0</v>
      </c>
      <c r="Q225" s="117" t="n">
        <v>0</v>
      </c>
      <c r="R225" s="117" t="n">
        <v>3319165.36</v>
      </c>
      <c r="S225" s="117" t="n">
        <v>0</v>
      </c>
      <c r="T225" s="117" t="n">
        <v>0</v>
      </c>
      <c r="U225" s="117" t="n">
        <v>311155</v>
      </c>
      <c r="V225" s="117" t="s">
        <v>2022</v>
      </c>
      <c r="Z225" s="117" t="n">
        <v>100122462</v>
      </c>
      <c r="AD225" s="117" t="n">
        <v>310300</v>
      </c>
      <c r="AE225" s="117" t="s">
        <v>1969</v>
      </c>
      <c r="AF225" s="117" t="n">
        <v>110000</v>
      </c>
      <c r="AG225" s="117" t="s">
        <v>1966</v>
      </c>
      <c r="AI225" s="117" t="n">
        <v>110000</v>
      </c>
      <c r="AJ225" s="117" t="s">
        <v>1966</v>
      </c>
      <c r="AK225" s="117" t="n">
        <v>0</v>
      </c>
      <c r="AL225" s="117" t="n">
        <v>9</v>
      </c>
      <c r="AM225" s="117" t="s">
        <v>161</v>
      </c>
      <c r="AN225" s="117" t="s">
        <v>1978</v>
      </c>
      <c r="AP225" s="117" t="n">
        <v>100122462</v>
      </c>
      <c r="AQ225" s="118" t="n">
        <v>43738</v>
      </c>
      <c r="AR225" s="118" t="n">
        <v>43739</v>
      </c>
      <c r="AS225" s="117" t="n">
        <v>0.475555555555556</v>
      </c>
      <c r="AT225" s="117" t="n">
        <v>0</v>
      </c>
      <c r="AU225" s="117" t="n">
        <v>0</v>
      </c>
      <c r="AX225" s="117" t="n">
        <v>2</v>
      </c>
    </row>
    <row r="226" customFormat="false" ht="13.8" hidden="true" customHeight="false" outlineLevel="0" collapsed="false">
      <c r="A226" s="117" t="n">
        <v>1000</v>
      </c>
      <c r="B226" s="117" t="s">
        <v>1962</v>
      </c>
      <c r="C226" s="117" t="n">
        <v>100111526</v>
      </c>
      <c r="E226" s="117" t="s">
        <v>1921</v>
      </c>
      <c r="F226" s="117" t="n">
        <v>1109</v>
      </c>
      <c r="G226" s="117" t="n">
        <v>2019</v>
      </c>
      <c r="H226" s="117" t="n">
        <v>6</v>
      </c>
      <c r="I226" s="118" t="n">
        <v>43732</v>
      </c>
      <c r="J226" s="118" t="n">
        <v>43732</v>
      </c>
      <c r="K226" s="119" t="n">
        <v>-3614555.84</v>
      </c>
      <c r="L226" s="128" t="n">
        <f aca="false">K226-Q226+T226</f>
        <v>-3614555.84</v>
      </c>
      <c r="M226" s="117" t="s">
        <v>149</v>
      </c>
      <c r="N226" s="117" t="n">
        <v>-3614555.84</v>
      </c>
      <c r="O226" s="117" t="s">
        <v>149</v>
      </c>
      <c r="P226" s="117" t="n">
        <v>0</v>
      </c>
      <c r="Q226" s="117" t="n">
        <v>0</v>
      </c>
      <c r="R226" s="117" t="n">
        <v>-3614555.84</v>
      </c>
      <c r="S226" s="117" t="n">
        <v>0</v>
      </c>
      <c r="T226" s="117" t="n">
        <v>0</v>
      </c>
      <c r="U226" s="117" t="n">
        <v>318179</v>
      </c>
      <c r="V226" s="117" t="s">
        <v>143</v>
      </c>
      <c r="Z226" s="117" t="n">
        <v>100111526</v>
      </c>
      <c r="AD226" s="117" t="n">
        <v>110000</v>
      </c>
      <c r="AE226" s="117" t="s">
        <v>1966</v>
      </c>
      <c r="AF226" s="117" t="n">
        <v>310300</v>
      </c>
      <c r="AG226" s="117" t="s">
        <v>1969</v>
      </c>
      <c r="AI226" s="117" t="n">
        <v>310300</v>
      </c>
      <c r="AJ226" s="117" t="s">
        <v>1969</v>
      </c>
      <c r="AK226" s="117" t="n">
        <v>0</v>
      </c>
      <c r="AL226" s="117" t="n">
        <v>17</v>
      </c>
      <c r="AM226" s="117" t="s">
        <v>225</v>
      </c>
      <c r="AP226" s="117" t="n">
        <v>100111526</v>
      </c>
      <c r="AQ226" s="118" t="n">
        <v>43732</v>
      </c>
      <c r="AR226" s="118" t="n">
        <v>43732</v>
      </c>
      <c r="AS226" s="117" t="n">
        <v>0.506099537037037</v>
      </c>
      <c r="AT226" s="117" t="n">
        <v>0</v>
      </c>
      <c r="AU226" s="117" t="n">
        <v>0</v>
      </c>
      <c r="AX226" s="117" t="n">
        <v>1</v>
      </c>
    </row>
    <row r="227" customFormat="false" ht="13.8" hidden="true" customHeight="false" outlineLevel="0" collapsed="false">
      <c r="A227" s="117" t="n">
        <v>1000</v>
      </c>
      <c r="B227" s="117" t="s">
        <v>1962</v>
      </c>
      <c r="C227" s="117" t="n">
        <v>100057908</v>
      </c>
      <c r="E227" s="117" t="s">
        <v>1921</v>
      </c>
      <c r="F227" s="117" t="n">
        <v>1109</v>
      </c>
      <c r="G227" s="117" t="n">
        <v>2019</v>
      </c>
      <c r="H227" s="117" t="n">
        <v>4</v>
      </c>
      <c r="I227" s="118" t="n">
        <v>43677</v>
      </c>
      <c r="J227" s="118" t="n">
        <v>43677</v>
      </c>
      <c r="K227" s="119" t="n">
        <v>-3351327.71</v>
      </c>
      <c r="L227" s="128" t="n">
        <f aca="false">K227-Q227+T227</f>
        <v>-3351327.71</v>
      </c>
      <c r="M227" s="117" t="s">
        <v>149</v>
      </c>
      <c r="N227" s="117" t="n">
        <v>-3351327.71</v>
      </c>
      <c r="O227" s="117" t="s">
        <v>149</v>
      </c>
      <c r="P227" s="117" t="n">
        <v>0</v>
      </c>
      <c r="Q227" s="117" t="n">
        <v>0</v>
      </c>
      <c r="R227" s="117" t="n">
        <v>-3351327.71</v>
      </c>
      <c r="S227" s="117" t="n">
        <v>0</v>
      </c>
      <c r="T227" s="117" t="n">
        <v>0</v>
      </c>
      <c r="U227" s="117" t="n">
        <v>311155</v>
      </c>
      <c r="V227" s="117" t="s">
        <v>2022</v>
      </c>
      <c r="Z227" s="117" t="n">
        <v>100057908</v>
      </c>
      <c r="AD227" s="117" t="n">
        <v>110000</v>
      </c>
      <c r="AE227" s="117" t="s">
        <v>1966</v>
      </c>
      <c r="AF227" s="117" t="n">
        <v>110000</v>
      </c>
      <c r="AG227" s="117" t="s">
        <v>1966</v>
      </c>
      <c r="AI227" s="117" t="n">
        <v>110000</v>
      </c>
      <c r="AJ227" s="117" t="s">
        <v>1966</v>
      </c>
      <c r="AK227" s="117" t="n">
        <v>0</v>
      </c>
      <c r="AL227" s="117" t="n">
        <v>17</v>
      </c>
      <c r="AM227" s="117" t="s">
        <v>225</v>
      </c>
      <c r="AP227" s="117" t="n">
        <v>100057908</v>
      </c>
      <c r="AQ227" s="118" t="n">
        <v>43677</v>
      </c>
      <c r="AR227" s="118" t="n">
        <v>43677</v>
      </c>
      <c r="AS227" s="117" t="n">
        <v>0.687395833333333</v>
      </c>
      <c r="AT227" s="117" t="n">
        <v>0</v>
      </c>
      <c r="AU227" s="117" t="n">
        <v>0</v>
      </c>
      <c r="AX227" s="117" t="n">
        <v>2</v>
      </c>
    </row>
    <row r="228" customFormat="false" ht="13.8" hidden="true" customHeight="false" outlineLevel="0" collapsed="false">
      <c r="A228" s="117" t="n">
        <v>1000</v>
      </c>
      <c r="B228" s="117" t="s">
        <v>1962</v>
      </c>
      <c r="C228" s="117" t="n">
        <v>100058249</v>
      </c>
      <c r="E228" s="117" t="s">
        <v>1921</v>
      </c>
      <c r="F228" s="117" t="n">
        <v>1109</v>
      </c>
      <c r="G228" s="117" t="n">
        <v>2019</v>
      </c>
      <c r="H228" s="117" t="n">
        <v>4</v>
      </c>
      <c r="I228" s="118" t="n">
        <v>43677</v>
      </c>
      <c r="J228" s="118" t="n">
        <v>43677</v>
      </c>
      <c r="K228" s="119" t="n">
        <v>775455.45</v>
      </c>
      <c r="L228" s="128" t="n">
        <f aca="false">K228-Q228+T228</f>
        <v>775455.45</v>
      </c>
      <c r="M228" s="117" t="s">
        <v>149</v>
      </c>
      <c r="N228" s="117" t="n">
        <v>775455.45</v>
      </c>
      <c r="O228" s="117" t="s">
        <v>149</v>
      </c>
      <c r="P228" s="117" t="n">
        <v>0</v>
      </c>
      <c r="Q228" s="117" t="n">
        <v>0</v>
      </c>
      <c r="R228" s="117" t="n">
        <v>775455.45</v>
      </c>
      <c r="S228" s="117" t="n">
        <v>0</v>
      </c>
      <c r="T228" s="117" t="n">
        <v>0</v>
      </c>
      <c r="U228" s="117" t="n">
        <v>318179</v>
      </c>
      <c r="V228" s="117" t="s">
        <v>143</v>
      </c>
      <c r="X228" s="117" t="s">
        <v>1422</v>
      </c>
      <c r="Z228" s="117" t="n">
        <v>60043</v>
      </c>
      <c r="AB228" s="117" t="n">
        <v>3700794717</v>
      </c>
      <c r="AD228" s="117" t="n">
        <v>110000</v>
      </c>
      <c r="AE228" s="117" t="s">
        <v>1966</v>
      </c>
      <c r="AF228" s="117" t="n">
        <v>110000</v>
      </c>
      <c r="AG228" s="117" t="s">
        <v>1966</v>
      </c>
      <c r="AI228" s="117" t="n">
        <v>110000</v>
      </c>
      <c r="AJ228" s="117" t="s">
        <v>1966</v>
      </c>
      <c r="AK228" s="117" t="n">
        <v>0</v>
      </c>
      <c r="AL228" s="117" t="n">
        <v>4</v>
      </c>
      <c r="AM228" s="117" t="s">
        <v>161</v>
      </c>
      <c r="AP228" s="117" t="n">
        <v>100111526</v>
      </c>
      <c r="AQ228" s="118" t="n">
        <v>43732</v>
      </c>
      <c r="AR228" s="118" t="n">
        <v>43678</v>
      </c>
      <c r="AS228" s="117" t="n">
        <v>0.222881944444444</v>
      </c>
      <c r="AT228" s="117" t="n">
        <v>0</v>
      </c>
      <c r="AU228" s="117" t="n">
        <v>0</v>
      </c>
      <c r="AX228" s="117" t="n">
        <v>2</v>
      </c>
    </row>
    <row r="229" s="106" customFormat="true" ht="13.8" hidden="true" customHeight="false" outlineLevel="0" collapsed="false">
      <c r="A229" s="106" t="n">
        <v>1000</v>
      </c>
      <c r="B229" s="106" t="s">
        <v>1962</v>
      </c>
      <c r="C229" s="106" t="n">
        <v>107664</v>
      </c>
      <c r="D229" s="106" t="s">
        <v>1860</v>
      </c>
      <c r="E229" s="106" t="s">
        <v>1970</v>
      </c>
      <c r="F229" s="106" t="n">
        <v>1109</v>
      </c>
      <c r="G229" s="106" t="n">
        <v>2019</v>
      </c>
      <c r="H229" s="106" t="n">
        <v>7</v>
      </c>
      <c r="I229" s="129" t="n">
        <v>43748</v>
      </c>
      <c r="J229" s="129" t="n">
        <v>43748</v>
      </c>
      <c r="K229" s="107" t="n">
        <v>467237.02</v>
      </c>
      <c r="L229" s="130" t="n">
        <f aca="false">K229-Q229+T229</f>
        <v>395963.57</v>
      </c>
      <c r="M229" s="106" t="s">
        <v>149</v>
      </c>
      <c r="N229" s="106" t="n">
        <v>467237.02</v>
      </c>
      <c r="O229" s="106" t="s">
        <v>149</v>
      </c>
      <c r="P229" s="106" t="n">
        <v>0</v>
      </c>
      <c r="Q229" s="107" t="n">
        <v>71273.45</v>
      </c>
      <c r="R229" s="106" t="n">
        <v>395963.57</v>
      </c>
      <c r="S229" s="106" t="n">
        <v>0</v>
      </c>
      <c r="T229" s="106" t="n">
        <v>0</v>
      </c>
      <c r="U229" s="106" t="n">
        <v>312193</v>
      </c>
      <c r="V229" s="106" t="s">
        <v>1963</v>
      </c>
      <c r="Z229" s="106" t="n">
        <v>60958</v>
      </c>
      <c r="AB229" s="106" t="s">
        <v>2124</v>
      </c>
      <c r="AD229" s="106" t="n">
        <v>110000</v>
      </c>
      <c r="AE229" s="106" t="s">
        <v>1966</v>
      </c>
      <c r="AF229" s="106" t="n">
        <v>501005</v>
      </c>
      <c r="AG229" s="106" t="s">
        <v>2033</v>
      </c>
      <c r="AI229" s="106" t="n">
        <v>501005</v>
      </c>
      <c r="AJ229" s="106" t="s">
        <v>2033</v>
      </c>
      <c r="AK229" s="106" t="n">
        <v>0</v>
      </c>
      <c r="AL229" s="106" t="n">
        <v>1</v>
      </c>
      <c r="AM229" s="106" t="s">
        <v>161</v>
      </c>
      <c r="AP229" s="106" t="n">
        <v>100141449</v>
      </c>
      <c r="AQ229" s="129" t="n">
        <v>43766</v>
      </c>
      <c r="AR229" s="129" t="n">
        <v>43748</v>
      </c>
      <c r="AS229" s="106" t="n">
        <v>0.499293981481482</v>
      </c>
      <c r="AT229" s="106" t="n">
        <v>0</v>
      </c>
      <c r="AU229" s="106" t="n">
        <v>0</v>
      </c>
      <c r="AX229" s="106" t="n">
        <v>1</v>
      </c>
      <c r="ALU229" s="0"/>
      <c r="ALV229" s="0"/>
      <c r="ALW229" s="0"/>
      <c r="ALX229" s="0"/>
      <c r="ALY229" s="0"/>
      <c r="ALZ229" s="0"/>
      <c r="AMA229" s="0"/>
      <c r="AMB229" s="0"/>
      <c r="AMC229" s="0"/>
      <c r="AMD229" s="0"/>
      <c r="AME229" s="0"/>
      <c r="AMF229" s="0"/>
      <c r="AMG229" s="0"/>
      <c r="AMH229" s="0"/>
      <c r="AMI229" s="0"/>
      <c r="AMJ229" s="0"/>
    </row>
    <row r="230" s="106" customFormat="true" ht="13.8" hidden="true" customHeight="false" outlineLevel="0" collapsed="false">
      <c r="A230" s="106" t="n">
        <v>1000</v>
      </c>
      <c r="B230" s="106" t="s">
        <v>1962</v>
      </c>
      <c r="C230" s="106" t="n">
        <v>107665</v>
      </c>
      <c r="D230" s="106" t="s">
        <v>1863</v>
      </c>
      <c r="E230" s="106" t="s">
        <v>1970</v>
      </c>
      <c r="F230" s="106" t="n">
        <v>1109</v>
      </c>
      <c r="G230" s="106" t="n">
        <v>2019</v>
      </c>
      <c r="H230" s="106" t="n">
        <v>7</v>
      </c>
      <c r="I230" s="129" t="n">
        <v>43748</v>
      </c>
      <c r="J230" s="129" t="n">
        <v>43748</v>
      </c>
      <c r="K230" s="107" t="n">
        <v>4248</v>
      </c>
      <c r="L230" s="130" t="n">
        <f aca="false">K230-Q230+T230</f>
        <v>3600</v>
      </c>
      <c r="M230" s="106" t="s">
        <v>149</v>
      </c>
      <c r="N230" s="106" t="n">
        <v>4248</v>
      </c>
      <c r="O230" s="106" t="s">
        <v>149</v>
      </c>
      <c r="P230" s="106" t="n">
        <v>0</v>
      </c>
      <c r="Q230" s="107" t="n">
        <v>648</v>
      </c>
      <c r="R230" s="106" t="n">
        <v>3600</v>
      </c>
      <c r="S230" s="106" t="n">
        <v>0</v>
      </c>
      <c r="T230" s="106" t="n">
        <v>0</v>
      </c>
      <c r="U230" s="106" t="n">
        <v>312193</v>
      </c>
      <c r="V230" s="106" t="s">
        <v>1963</v>
      </c>
      <c r="Z230" s="106" t="n">
        <v>60963</v>
      </c>
      <c r="AB230" s="106" t="s">
        <v>2124</v>
      </c>
      <c r="AD230" s="106" t="n">
        <v>110000</v>
      </c>
      <c r="AE230" s="106" t="s">
        <v>1966</v>
      </c>
      <c r="AF230" s="106" t="n">
        <v>501005</v>
      </c>
      <c r="AG230" s="106" t="s">
        <v>2033</v>
      </c>
      <c r="AI230" s="106" t="n">
        <v>501005</v>
      </c>
      <c r="AJ230" s="106" t="s">
        <v>2033</v>
      </c>
      <c r="AK230" s="106" t="n">
        <v>0</v>
      </c>
      <c r="AL230" s="106" t="n">
        <v>1</v>
      </c>
      <c r="AM230" s="106" t="s">
        <v>161</v>
      </c>
      <c r="AP230" s="106" t="n">
        <v>100141449</v>
      </c>
      <c r="AQ230" s="129" t="n">
        <v>43766</v>
      </c>
      <c r="AR230" s="129" t="n">
        <v>43748</v>
      </c>
      <c r="AS230" s="106" t="n">
        <v>0.500590277777778</v>
      </c>
      <c r="AT230" s="106" t="n">
        <v>0</v>
      </c>
      <c r="AU230" s="106" t="n">
        <v>0</v>
      </c>
      <c r="AX230" s="106" t="n">
        <v>1</v>
      </c>
      <c r="ALU230" s="0"/>
      <c r="ALV230" s="0"/>
      <c r="ALW230" s="0"/>
      <c r="ALX230" s="0"/>
      <c r="ALY230" s="0"/>
      <c r="ALZ230" s="0"/>
      <c r="AMA230" s="0"/>
      <c r="AMB230" s="0"/>
      <c r="AMC230" s="0"/>
      <c r="AMD230" s="0"/>
      <c r="AME230" s="0"/>
      <c r="AMF230" s="0"/>
      <c r="AMG230" s="0"/>
      <c r="AMH230" s="0"/>
      <c r="AMI230" s="0"/>
      <c r="AMJ230" s="0"/>
    </row>
    <row r="231" customFormat="false" ht="13.8" hidden="true" customHeight="false" outlineLevel="0" collapsed="false">
      <c r="A231" s="117" t="n">
        <v>1000</v>
      </c>
      <c r="B231" s="117" t="s">
        <v>1962</v>
      </c>
      <c r="C231" s="117" t="n">
        <v>100058205</v>
      </c>
      <c r="E231" s="117" t="s">
        <v>1921</v>
      </c>
      <c r="F231" s="117" t="n">
        <v>1109</v>
      </c>
      <c r="G231" s="117" t="n">
        <v>2019</v>
      </c>
      <c r="H231" s="117" t="n">
        <v>4</v>
      </c>
      <c r="I231" s="118" t="n">
        <v>43677</v>
      </c>
      <c r="J231" s="118" t="n">
        <v>43677</v>
      </c>
      <c r="K231" s="119" t="n">
        <v>-41713</v>
      </c>
      <c r="L231" s="128" t="n">
        <f aca="false">K231-Q231+T231</f>
        <v>-41713</v>
      </c>
      <c r="M231" s="117" t="s">
        <v>149</v>
      </c>
      <c r="N231" s="117" t="n">
        <v>-41713</v>
      </c>
      <c r="O231" s="117" t="s">
        <v>149</v>
      </c>
      <c r="P231" s="117" t="n">
        <v>0</v>
      </c>
      <c r="Q231" s="117" t="n">
        <v>0</v>
      </c>
      <c r="R231" s="117" t="n">
        <v>-41713</v>
      </c>
      <c r="S231" s="117" t="n">
        <v>0</v>
      </c>
      <c r="T231" s="117" t="n">
        <v>0</v>
      </c>
      <c r="U231" s="117" t="n">
        <v>312193</v>
      </c>
      <c r="V231" s="117" t="s">
        <v>1963</v>
      </c>
      <c r="Z231" s="117" t="n">
        <v>100058205</v>
      </c>
      <c r="AD231" s="117" t="n">
        <v>110000</v>
      </c>
      <c r="AE231" s="117" t="s">
        <v>1966</v>
      </c>
      <c r="AF231" s="117" t="n">
        <v>310300</v>
      </c>
      <c r="AG231" s="117" t="s">
        <v>1969</v>
      </c>
      <c r="AI231" s="117" t="n">
        <v>310300</v>
      </c>
      <c r="AJ231" s="117" t="s">
        <v>1969</v>
      </c>
      <c r="AK231" s="117" t="n">
        <v>0</v>
      </c>
      <c r="AL231" s="117" t="n">
        <v>17</v>
      </c>
      <c r="AM231" s="117" t="s">
        <v>225</v>
      </c>
      <c r="AP231" s="117" t="n">
        <v>100058205</v>
      </c>
      <c r="AQ231" s="118" t="n">
        <v>43677</v>
      </c>
      <c r="AR231" s="118" t="n">
        <v>43678</v>
      </c>
      <c r="AS231" s="117" t="n">
        <v>0.194618055555556</v>
      </c>
      <c r="AT231" s="117" t="n">
        <v>0</v>
      </c>
      <c r="AU231" s="117" t="n">
        <v>0</v>
      </c>
      <c r="AX231" s="117" t="n">
        <v>1</v>
      </c>
    </row>
    <row r="232" customFormat="false" ht="13.8" hidden="true" customHeight="false" outlineLevel="0" collapsed="false">
      <c r="A232" s="117" t="n">
        <v>1000</v>
      </c>
      <c r="B232" s="117" t="s">
        <v>1962</v>
      </c>
      <c r="C232" s="117" t="n">
        <v>100058185</v>
      </c>
      <c r="E232" s="117" t="s">
        <v>1921</v>
      </c>
      <c r="F232" s="117" t="n">
        <v>1109</v>
      </c>
      <c r="G232" s="117" t="n">
        <v>2019</v>
      </c>
      <c r="H232" s="117" t="n">
        <v>4</v>
      </c>
      <c r="I232" s="118" t="n">
        <v>43677</v>
      </c>
      <c r="J232" s="118" t="n">
        <v>43677</v>
      </c>
      <c r="K232" s="119" t="n">
        <v>-774670</v>
      </c>
      <c r="L232" s="128" t="n">
        <f aca="false">K232-Q232+T232</f>
        <v>-774670</v>
      </c>
      <c r="M232" s="117" t="s">
        <v>149</v>
      </c>
      <c r="N232" s="117" t="n">
        <v>-774670</v>
      </c>
      <c r="O232" s="117" t="s">
        <v>149</v>
      </c>
      <c r="P232" s="117" t="n">
        <v>0</v>
      </c>
      <c r="Q232" s="117" t="n">
        <v>0</v>
      </c>
      <c r="R232" s="117" t="n">
        <v>-774670</v>
      </c>
      <c r="S232" s="117" t="n">
        <v>0</v>
      </c>
      <c r="T232" s="117" t="n">
        <v>0</v>
      </c>
      <c r="U232" s="117" t="n">
        <v>305576</v>
      </c>
      <c r="V232" s="117" t="s">
        <v>1973</v>
      </c>
      <c r="Z232" s="117" t="n">
        <v>100058185</v>
      </c>
      <c r="AD232" s="117" t="n">
        <v>110000</v>
      </c>
      <c r="AE232" s="117" t="s">
        <v>1966</v>
      </c>
      <c r="AF232" s="117" t="n">
        <v>310300</v>
      </c>
      <c r="AG232" s="117" t="s">
        <v>1969</v>
      </c>
      <c r="AI232" s="117" t="n">
        <v>310300</v>
      </c>
      <c r="AJ232" s="117" t="s">
        <v>1969</v>
      </c>
      <c r="AK232" s="117" t="n">
        <v>0</v>
      </c>
      <c r="AL232" s="117" t="n">
        <v>17</v>
      </c>
      <c r="AM232" s="117" t="s">
        <v>225</v>
      </c>
      <c r="AP232" s="117" t="n">
        <v>100058185</v>
      </c>
      <c r="AQ232" s="118" t="n">
        <v>43677</v>
      </c>
      <c r="AR232" s="118" t="n">
        <v>43678</v>
      </c>
      <c r="AS232" s="117" t="n">
        <v>0.173715277777778</v>
      </c>
      <c r="AT232" s="117" t="n">
        <v>0</v>
      </c>
      <c r="AU232" s="117" t="n">
        <v>0</v>
      </c>
      <c r="AX232" s="117" t="n">
        <v>1</v>
      </c>
    </row>
    <row r="233" customFormat="false" ht="13.8" hidden="true" customHeight="false" outlineLevel="0" collapsed="false">
      <c r="A233" s="117" t="n">
        <v>1000</v>
      </c>
      <c r="B233" s="117" t="s">
        <v>1962</v>
      </c>
      <c r="C233" s="117" t="n">
        <v>100057912</v>
      </c>
      <c r="E233" s="117" t="s">
        <v>1921</v>
      </c>
      <c r="F233" s="117" t="n">
        <v>1101</v>
      </c>
      <c r="G233" s="117" t="n">
        <v>2019</v>
      </c>
      <c r="H233" s="117" t="n">
        <v>4</v>
      </c>
      <c r="I233" s="118" t="n">
        <v>43677</v>
      </c>
      <c r="J233" s="118" t="n">
        <v>43677</v>
      </c>
      <c r="K233" s="119" t="n">
        <v>365469.45</v>
      </c>
      <c r="L233" s="128" t="n">
        <f aca="false">K233-Q233+T233</f>
        <v>365469.45</v>
      </c>
      <c r="M233" s="117" t="s">
        <v>149</v>
      </c>
      <c r="N233" s="117" t="n">
        <v>365469.45</v>
      </c>
      <c r="O233" s="117" t="s">
        <v>149</v>
      </c>
      <c r="P233" s="117" t="n">
        <v>365469.45</v>
      </c>
      <c r="Q233" s="117" t="n">
        <v>0</v>
      </c>
      <c r="R233" s="117" t="n">
        <v>365469.45</v>
      </c>
      <c r="S233" s="117" t="n">
        <v>0</v>
      </c>
      <c r="T233" s="117" t="n">
        <v>0</v>
      </c>
      <c r="U233" s="117" t="n">
        <v>318999</v>
      </c>
      <c r="V233" s="117" t="s">
        <v>143</v>
      </c>
      <c r="X233" s="117" t="s">
        <v>2138</v>
      </c>
      <c r="Z233" s="117" t="n">
        <v>100057912</v>
      </c>
      <c r="AD233" s="117" t="n">
        <v>111105</v>
      </c>
      <c r="AE233" s="117" t="s">
        <v>1994</v>
      </c>
      <c r="AF233" s="117" t="n">
        <v>110000</v>
      </c>
      <c r="AG233" s="117" t="s">
        <v>1966</v>
      </c>
      <c r="AI233" s="117" t="n">
        <v>110000</v>
      </c>
      <c r="AJ233" s="117" t="s">
        <v>1966</v>
      </c>
      <c r="AK233" s="117" t="n">
        <v>0</v>
      </c>
      <c r="AL233" s="117" t="n">
        <v>9</v>
      </c>
      <c r="AM233" s="117" t="s">
        <v>161</v>
      </c>
      <c r="AN233" s="117" t="s">
        <v>1995</v>
      </c>
      <c r="AP233" s="117" t="n">
        <v>100082479</v>
      </c>
      <c r="AQ233" s="118" t="n">
        <v>43708</v>
      </c>
      <c r="AR233" s="118" t="n">
        <v>43677</v>
      </c>
      <c r="AS233" s="117" t="n">
        <v>0.699490740740741</v>
      </c>
      <c r="AT233" s="117" t="n">
        <v>0</v>
      </c>
      <c r="AU233" s="117" t="n">
        <v>0</v>
      </c>
      <c r="AX233" s="117" t="n">
        <v>10</v>
      </c>
    </row>
    <row r="234" customFormat="false" ht="13.8" hidden="true" customHeight="false" outlineLevel="0" collapsed="false">
      <c r="A234" s="117" t="n">
        <v>1000</v>
      </c>
      <c r="B234" s="117" t="s">
        <v>1962</v>
      </c>
      <c r="C234" s="117" t="n">
        <v>100082045</v>
      </c>
      <c r="E234" s="117" t="s">
        <v>1921</v>
      </c>
      <c r="F234" s="117" t="n">
        <v>1108</v>
      </c>
      <c r="G234" s="117" t="n">
        <v>2019</v>
      </c>
      <c r="H234" s="117" t="n">
        <v>5</v>
      </c>
      <c r="I234" s="118" t="n">
        <v>43708</v>
      </c>
      <c r="J234" s="118" t="n">
        <v>43708</v>
      </c>
      <c r="K234" s="119" t="n">
        <v>-5399211.38</v>
      </c>
      <c r="L234" s="128" t="n">
        <f aca="false">K234-Q234+T234</f>
        <v>-5399211.38</v>
      </c>
      <c r="M234" s="117" t="s">
        <v>149</v>
      </c>
      <c r="N234" s="117" t="n">
        <v>-5399211.38</v>
      </c>
      <c r="O234" s="117" t="s">
        <v>149</v>
      </c>
      <c r="P234" s="117" t="n">
        <v>0</v>
      </c>
      <c r="Q234" s="117" t="n">
        <v>0</v>
      </c>
      <c r="R234" s="117" t="n">
        <v>-5399211.38</v>
      </c>
      <c r="S234" s="117" t="n">
        <v>0</v>
      </c>
      <c r="T234" s="117" t="n">
        <v>0</v>
      </c>
      <c r="U234" s="117" t="n">
        <v>318999</v>
      </c>
      <c r="V234" s="117" t="s">
        <v>143</v>
      </c>
      <c r="Z234" s="117" t="n">
        <v>100082045</v>
      </c>
      <c r="AD234" s="117" t="n">
        <v>110000</v>
      </c>
      <c r="AE234" s="117" t="s">
        <v>1966</v>
      </c>
      <c r="AF234" s="117" t="n">
        <v>110000</v>
      </c>
      <c r="AG234" s="117" t="s">
        <v>1966</v>
      </c>
      <c r="AI234" s="117" t="n">
        <v>110000</v>
      </c>
      <c r="AJ234" s="117" t="s">
        <v>1966</v>
      </c>
      <c r="AK234" s="117" t="n">
        <v>0</v>
      </c>
      <c r="AL234" s="117" t="n">
        <v>17</v>
      </c>
      <c r="AM234" s="117" t="s">
        <v>225</v>
      </c>
      <c r="AP234" s="117" t="n">
        <v>100082045</v>
      </c>
      <c r="AQ234" s="118" t="n">
        <v>43708</v>
      </c>
      <c r="AR234" s="118" t="n">
        <v>43710</v>
      </c>
      <c r="AS234" s="117" t="n">
        <v>0.352673611111111</v>
      </c>
      <c r="AT234" s="117" t="n">
        <v>0</v>
      </c>
      <c r="AU234" s="117" t="n">
        <v>0</v>
      </c>
      <c r="AX234" s="117" t="n">
        <v>5</v>
      </c>
    </row>
    <row r="235" customFormat="false" ht="13.8" hidden="true" customHeight="false" outlineLevel="0" collapsed="false">
      <c r="A235" s="117" t="n">
        <v>1000</v>
      </c>
      <c r="B235" s="117" t="s">
        <v>1962</v>
      </c>
      <c r="C235" s="117" t="n">
        <v>1400004603</v>
      </c>
      <c r="E235" s="117" t="s">
        <v>1972</v>
      </c>
      <c r="F235" s="117" t="n">
        <v>1101</v>
      </c>
      <c r="G235" s="117" t="n">
        <v>2019</v>
      </c>
      <c r="H235" s="117" t="n">
        <v>4</v>
      </c>
      <c r="I235" s="118" t="n">
        <v>43677</v>
      </c>
      <c r="J235" s="118" t="n">
        <v>43677</v>
      </c>
      <c r="K235" s="119" t="n">
        <v>-1618949.46</v>
      </c>
      <c r="L235" s="128" t="n">
        <f aca="false">K235-Q235+T235</f>
        <v>-1618949.46</v>
      </c>
      <c r="M235" s="117" t="s">
        <v>149</v>
      </c>
      <c r="N235" s="117" t="n">
        <v>-1618949.46</v>
      </c>
      <c r="O235" s="117" t="s">
        <v>149</v>
      </c>
      <c r="P235" s="117" t="n">
        <v>0</v>
      </c>
      <c r="Q235" s="117" t="n">
        <v>0</v>
      </c>
      <c r="R235" s="117" t="n">
        <v>-1618949.46</v>
      </c>
      <c r="S235" s="117" t="n">
        <v>0</v>
      </c>
      <c r="T235" s="117" t="n">
        <v>0</v>
      </c>
      <c r="U235" s="117" t="n">
        <v>312193</v>
      </c>
      <c r="V235" s="117" t="s">
        <v>1963</v>
      </c>
      <c r="X235" s="117" t="s">
        <v>2139</v>
      </c>
      <c r="Y235" s="117" t="s">
        <v>2140</v>
      </c>
      <c r="Z235" s="117" t="n">
        <v>1400004603</v>
      </c>
      <c r="AC235" s="117" t="s">
        <v>1976</v>
      </c>
      <c r="AD235" s="117" t="n">
        <v>310300</v>
      </c>
      <c r="AE235" s="117" t="s">
        <v>1969</v>
      </c>
      <c r="AF235" s="117" t="n">
        <v>101105</v>
      </c>
      <c r="AG235" s="117" t="s">
        <v>1977</v>
      </c>
      <c r="AI235" s="117" t="n">
        <v>101105</v>
      </c>
      <c r="AJ235" s="117" t="s">
        <v>1977</v>
      </c>
      <c r="AK235" s="117" t="n">
        <v>0</v>
      </c>
      <c r="AL235" s="117" t="n">
        <v>19</v>
      </c>
      <c r="AM235" s="117" t="s">
        <v>225</v>
      </c>
      <c r="AN235" s="117" t="s">
        <v>1978</v>
      </c>
      <c r="AP235" s="117" t="n">
        <v>100058463</v>
      </c>
      <c r="AQ235" s="118" t="n">
        <v>43677</v>
      </c>
      <c r="AR235" s="118" t="n">
        <v>43678</v>
      </c>
      <c r="AS235" s="117" t="n">
        <v>0.500347222222222</v>
      </c>
      <c r="AT235" s="117" t="n">
        <v>0</v>
      </c>
      <c r="AU235" s="117" t="n">
        <v>0</v>
      </c>
      <c r="AX235" s="117" t="n">
        <v>2</v>
      </c>
    </row>
    <row r="236" customFormat="false" ht="13.8" hidden="true" customHeight="false" outlineLevel="0" collapsed="false">
      <c r="A236" s="117" t="n">
        <v>1000</v>
      </c>
      <c r="B236" s="117" t="s">
        <v>1962</v>
      </c>
      <c r="C236" s="117" t="n">
        <v>1400003708</v>
      </c>
      <c r="E236" s="117" t="s">
        <v>1972</v>
      </c>
      <c r="F236" s="117" t="n">
        <v>1101</v>
      </c>
      <c r="G236" s="117" t="n">
        <v>2019</v>
      </c>
      <c r="H236" s="117" t="n">
        <v>4</v>
      </c>
      <c r="I236" s="118" t="n">
        <v>43647</v>
      </c>
      <c r="J236" s="118" t="n">
        <v>43647</v>
      </c>
      <c r="K236" s="119" t="n">
        <v>-4009802.73</v>
      </c>
      <c r="L236" s="128" t="n">
        <f aca="false">K236-Q236+T236</f>
        <v>-4009802.73</v>
      </c>
      <c r="M236" s="117" t="s">
        <v>149</v>
      </c>
      <c r="N236" s="117" t="n">
        <v>-4009802.73</v>
      </c>
      <c r="O236" s="117" t="s">
        <v>149</v>
      </c>
      <c r="P236" s="117" t="n">
        <v>0</v>
      </c>
      <c r="Q236" s="117" t="n">
        <v>0</v>
      </c>
      <c r="R236" s="117" t="n">
        <v>-4009802.73</v>
      </c>
      <c r="S236" s="117" t="n">
        <v>0</v>
      </c>
      <c r="T236" s="117" t="n">
        <v>0</v>
      </c>
      <c r="U236" s="117" t="n">
        <v>318999</v>
      </c>
      <c r="V236" s="117" t="s">
        <v>143</v>
      </c>
      <c r="X236" s="117" t="s">
        <v>2141</v>
      </c>
      <c r="Y236" s="117" t="s">
        <v>2142</v>
      </c>
      <c r="Z236" s="117" t="n">
        <v>1400003708</v>
      </c>
      <c r="AC236" s="117" t="s">
        <v>1976</v>
      </c>
      <c r="AD236" s="117" t="n">
        <v>310300</v>
      </c>
      <c r="AE236" s="117" t="s">
        <v>1969</v>
      </c>
      <c r="AF236" s="117" t="n">
        <v>101105</v>
      </c>
      <c r="AG236" s="117" t="s">
        <v>1977</v>
      </c>
      <c r="AI236" s="117" t="n">
        <v>101105</v>
      </c>
      <c r="AJ236" s="117" t="s">
        <v>1977</v>
      </c>
      <c r="AK236" s="117" t="n">
        <v>0</v>
      </c>
      <c r="AL236" s="117" t="n">
        <v>19</v>
      </c>
      <c r="AM236" s="117" t="s">
        <v>225</v>
      </c>
      <c r="AN236" s="117" t="s">
        <v>1978</v>
      </c>
      <c r="AP236" s="117" t="n">
        <v>100057912</v>
      </c>
      <c r="AQ236" s="118" t="n">
        <v>43677</v>
      </c>
      <c r="AR236" s="118" t="n">
        <v>43656</v>
      </c>
      <c r="AS236" s="117" t="n">
        <v>0.272604166666667</v>
      </c>
      <c r="AT236" s="117" t="n">
        <v>0</v>
      </c>
      <c r="AU236" s="117" t="n">
        <v>0</v>
      </c>
      <c r="AX236" s="117" t="n">
        <v>2</v>
      </c>
    </row>
    <row r="237" customFormat="false" ht="13.8" hidden="true" customHeight="false" outlineLevel="0" collapsed="false">
      <c r="A237" s="117" t="n">
        <v>1000</v>
      </c>
      <c r="B237" s="117" t="s">
        <v>1962</v>
      </c>
      <c r="C237" s="117" t="n">
        <v>100074926</v>
      </c>
      <c r="E237" s="117" t="s">
        <v>1921</v>
      </c>
      <c r="F237" s="117" t="n">
        <v>1109</v>
      </c>
      <c r="G237" s="117" t="n">
        <v>2019</v>
      </c>
      <c r="H237" s="117" t="n">
        <v>5</v>
      </c>
      <c r="I237" s="118" t="n">
        <v>43701</v>
      </c>
      <c r="J237" s="118" t="n">
        <v>43701</v>
      </c>
      <c r="K237" s="119" t="n">
        <v>373824</v>
      </c>
      <c r="L237" s="128" t="n">
        <f aca="false">K237-Q237+T237</f>
        <v>373824</v>
      </c>
      <c r="M237" s="117" t="s">
        <v>149</v>
      </c>
      <c r="N237" s="117" t="n">
        <v>373824</v>
      </c>
      <c r="O237" s="117" t="s">
        <v>149</v>
      </c>
      <c r="P237" s="117" t="n">
        <v>0</v>
      </c>
      <c r="Q237" s="117" t="n">
        <v>0</v>
      </c>
      <c r="R237" s="117" t="n">
        <v>373824</v>
      </c>
      <c r="S237" s="117" t="n">
        <v>0</v>
      </c>
      <c r="T237" s="117" t="n">
        <v>0</v>
      </c>
      <c r="U237" s="117" t="n">
        <v>304431</v>
      </c>
      <c r="V237" s="117" t="s">
        <v>2016</v>
      </c>
      <c r="X237" s="117" t="s">
        <v>1332</v>
      </c>
      <c r="Z237" s="117" t="n">
        <v>2247</v>
      </c>
      <c r="AB237" s="117" t="s">
        <v>2043</v>
      </c>
      <c r="AD237" s="117" t="n">
        <v>110000</v>
      </c>
      <c r="AE237" s="117" t="s">
        <v>1966</v>
      </c>
      <c r="AF237" s="117" t="n">
        <v>110000</v>
      </c>
      <c r="AG237" s="117" t="s">
        <v>1966</v>
      </c>
      <c r="AI237" s="117" t="n">
        <v>110000</v>
      </c>
      <c r="AJ237" s="117" t="s">
        <v>1966</v>
      </c>
      <c r="AK237" s="117" t="n">
        <v>0</v>
      </c>
      <c r="AL237" s="117" t="n">
        <v>4</v>
      </c>
      <c r="AM237" s="117" t="s">
        <v>161</v>
      </c>
      <c r="AP237" s="117" t="n">
        <v>100123327</v>
      </c>
      <c r="AQ237" s="118" t="n">
        <v>43738</v>
      </c>
      <c r="AR237" s="118" t="n">
        <v>43701</v>
      </c>
      <c r="AS237" s="117" t="n">
        <v>0.557800925925926</v>
      </c>
      <c r="AT237" s="117" t="n">
        <v>0</v>
      </c>
      <c r="AU237" s="117" t="n">
        <v>0</v>
      </c>
      <c r="AX237" s="117" t="n">
        <v>2</v>
      </c>
    </row>
    <row r="238" customFormat="false" ht="13.8" hidden="true" customHeight="false" outlineLevel="0" collapsed="false">
      <c r="A238" s="117" t="n">
        <v>1000</v>
      </c>
      <c r="B238" s="117" t="s">
        <v>1962</v>
      </c>
      <c r="C238" s="117" t="n">
        <v>100078765</v>
      </c>
      <c r="E238" s="117" t="s">
        <v>1921</v>
      </c>
      <c r="F238" s="117" t="n">
        <v>1109</v>
      </c>
      <c r="G238" s="117" t="n">
        <v>2019</v>
      </c>
      <c r="H238" s="117" t="n">
        <v>5</v>
      </c>
      <c r="I238" s="118" t="n">
        <v>43706</v>
      </c>
      <c r="J238" s="118" t="n">
        <v>43706</v>
      </c>
      <c r="K238" s="119" t="n">
        <v>6137.24</v>
      </c>
      <c r="L238" s="128" t="n">
        <f aca="false">K238-Q238+T238</f>
        <v>6137.24</v>
      </c>
      <c r="M238" s="117" t="s">
        <v>149</v>
      </c>
      <c r="N238" s="117" t="n">
        <v>6137.24</v>
      </c>
      <c r="O238" s="117" t="s">
        <v>149</v>
      </c>
      <c r="P238" s="117" t="n">
        <v>0</v>
      </c>
      <c r="Q238" s="117" t="n">
        <v>0</v>
      </c>
      <c r="R238" s="117" t="n">
        <v>6137.24</v>
      </c>
      <c r="S238" s="117" t="n">
        <v>0</v>
      </c>
      <c r="T238" s="117" t="n">
        <v>0</v>
      </c>
      <c r="U238" s="117" t="n">
        <v>312193</v>
      </c>
      <c r="V238" s="117" t="s">
        <v>1963</v>
      </c>
      <c r="X238" s="117" t="s">
        <v>2143</v>
      </c>
      <c r="Z238" s="117" t="n">
        <v>2316</v>
      </c>
      <c r="AB238" s="117" t="s">
        <v>1965</v>
      </c>
      <c r="AD238" s="117" t="n">
        <v>110000</v>
      </c>
      <c r="AE238" s="117" t="s">
        <v>1966</v>
      </c>
      <c r="AF238" s="117" t="n">
        <v>110000</v>
      </c>
      <c r="AG238" s="117" t="s">
        <v>1966</v>
      </c>
      <c r="AI238" s="117" t="n">
        <v>110000</v>
      </c>
      <c r="AJ238" s="117" t="s">
        <v>1966</v>
      </c>
      <c r="AK238" s="117" t="n">
        <v>0</v>
      </c>
      <c r="AL238" s="117" t="n">
        <v>4</v>
      </c>
      <c r="AM238" s="117" t="s">
        <v>161</v>
      </c>
      <c r="AP238" s="117" t="n">
        <v>100173563</v>
      </c>
      <c r="AQ238" s="118" t="n">
        <v>43799</v>
      </c>
      <c r="AR238" s="118" t="n">
        <v>43706</v>
      </c>
      <c r="AS238" s="117" t="n">
        <v>0.702835648148148</v>
      </c>
      <c r="AT238" s="117" t="n">
        <v>0</v>
      </c>
      <c r="AU238" s="117" t="n">
        <v>0</v>
      </c>
      <c r="AX238" s="117" t="n">
        <v>6</v>
      </c>
    </row>
    <row r="239" s="106" customFormat="true" ht="13.8" hidden="true" customHeight="false" outlineLevel="0" collapsed="false">
      <c r="A239" s="106" t="n">
        <v>1000</v>
      </c>
      <c r="B239" s="106" t="s">
        <v>1962</v>
      </c>
      <c r="C239" s="106" t="n">
        <v>104969</v>
      </c>
      <c r="D239" s="106" t="s">
        <v>2030</v>
      </c>
      <c r="E239" s="106" t="s">
        <v>1970</v>
      </c>
      <c r="F239" s="106" t="n">
        <v>1108</v>
      </c>
      <c r="G239" s="106" t="n">
        <v>2019</v>
      </c>
      <c r="H239" s="106" t="n">
        <v>4</v>
      </c>
      <c r="I239" s="129" t="n">
        <v>43670</v>
      </c>
      <c r="J239" s="129" t="n">
        <v>43670</v>
      </c>
      <c r="K239" s="107" t="n">
        <v>210068.32</v>
      </c>
      <c r="L239" s="130" t="n">
        <f aca="false">K239-Q239+T239</f>
        <v>178024</v>
      </c>
      <c r="M239" s="106" t="s">
        <v>149</v>
      </c>
      <c r="N239" s="106" t="n">
        <v>210068.32</v>
      </c>
      <c r="O239" s="106" t="s">
        <v>149</v>
      </c>
      <c r="P239" s="106" t="n">
        <v>0</v>
      </c>
      <c r="Q239" s="107" t="n">
        <v>32044.32</v>
      </c>
      <c r="R239" s="106" t="n">
        <v>178024</v>
      </c>
      <c r="S239" s="106" t="n">
        <v>0</v>
      </c>
      <c r="T239" s="106" t="n">
        <v>0</v>
      </c>
      <c r="U239" s="106" t="n">
        <v>312193</v>
      </c>
      <c r="V239" s="106" t="s">
        <v>1963</v>
      </c>
      <c r="Z239" s="106" t="n">
        <v>2346</v>
      </c>
      <c r="AB239" s="106" t="s">
        <v>2031</v>
      </c>
      <c r="AD239" s="106" t="n">
        <v>110000</v>
      </c>
      <c r="AE239" s="106" t="s">
        <v>1966</v>
      </c>
      <c r="AF239" s="106" t="n">
        <v>501020</v>
      </c>
      <c r="AG239" s="106" t="s">
        <v>1971</v>
      </c>
      <c r="AI239" s="106" t="n">
        <v>501020</v>
      </c>
      <c r="AJ239" s="106" t="s">
        <v>1971</v>
      </c>
      <c r="AK239" s="106" t="n">
        <v>0</v>
      </c>
      <c r="AL239" s="106" t="n">
        <v>1</v>
      </c>
      <c r="AM239" s="106" t="s">
        <v>161</v>
      </c>
      <c r="AP239" s="106" t="n">
        <v>100058209</v>
      </c>
      <c r="AQ239" s="129" t="n">
        <v>43677</v>
      </c>
      <c r="AR239" s="129" t="n">
        <v>43670</v>
      </c>
      <c r="AS239" s="106" t="n">
        <v>0.681168981481482</v>
      </c>
      <c r="AT239" s="106" t="n">
        <v>0</v>
      </c>
      <c r="AU239" s="106" t="n">
        <v>0</v>
      </c>
      <c r="AX239" s="106" t="n">
        <v>1</v>
      </c>
      <c r="ALU239" s="0"/>
      <c r="ALV239" s="0"/>
      <c r="ALW239" s="0"/>
      <c r="ALX239" s="0"/>
      <c r="ALY239" s="0"/>
      <c r="ALZ239" s="0"/>
      <c r="AMA239" s="0"/>
      <c r="AMB239" s="0"/>
      <c r="AMC239" s="0"/>
      <c r="AMD239" s="0"/>
      <c r="AME239" s="0"/>
      <c r="AMF239" s="0"/>
      <c r="AMG239" s="0"/>
      <c r="AMH239" s="0"/>
      <c r="AMI239" s="0"/>
      <c r="AMJ239" s="0"/>
    </row>
    <row r="240" customFormat="false" ht="13.8" hidden="true" customHeight="false" outlineLevel="0" collapsed="false">
      <c r="A240" s="117" t="n">
        <v>1000</v>
      </c>
      <c r="B240" s="117" t="s">
        <v>1962</v>
      </c>
      <c r="C240" s="117" t="n">
        <v>100081995</v>
      </c>
      <c r="E240" s="117" t="s">
        <v>1921</v>
      </c>
      <c r="F240" s="117" t="n">
        <v>1101</v>
      </c>
      <c r="G240" s="117" t="n">
        <v>2019</v>
      </c>
      <c r="H240" s="117" t="n">
        <v>5</v>
      </c>
      <c r="I240" s="118" t="n">
        <v>43708</v>
      </c>
      <c r="J240" s="118" t="n">
        <v>43708</v>
      </c>
      <c r="K240" s="119" t="n">
        <v>3761599.47</v>
      </c>
      <c r="L240" s="128" t="n">
        <f aca="false">K240-Q240+T240</f>
        <v>3761599.47</v>
      </c>
      <c r="M240" s="117" t="s">
        <v>149</v>
      </c>
      <c r="N240" s="117" t="n">
        <v>3761599.47</v>
      </c>
      <c r="O240" s="117" t="s">
        <v>149</v>
      </c>
      <c r="P240" s="117" t="n">
        <v>0</v>
      </c>
      <c r="Q240" s="117" t="n">
        <v>0</v>
      </c>
      <c r="R240" s="117" t="n">
        <v>3761599.47</v>
      </c>
      <c r="S240" s="117" t="n">
        <v>0</v>
      </c>
      <c r="T240" s="117" t="n">
        <v>0</v>
      </c>
      <c r="U240" s="117" t="n">
        <v>312948</v>
      </c>
      <c r="V240" s="117" t="s">
        <v>1984</v>
      </c>
      <c r="Z240" s="117" t="n">
        <v>100081995</v>
      </c>
      <c r="AD240" s="117" t="n">
        <v>310300</v>
      </c>
      <c r="AE240" s="117" t="s">
        <v>1969</v>
      </c>
      <c r="AF240" s="117" t="n">
        <v>110000</v>
      </c>
      <c r="AG240" s="117" t="s">
        <v>1966</v>
      </c>
      <c r="AI240" s="117" t="n">
        <v>110000</v>
      </c>
      <c r="AJ240" s="117" t="s">
        <v>1966</v>
      </c>
      <c r="AK240" s="117" t="n">
        <v>0</v>
      </c>
      <c r="AL240" s="117" t="n">
        <v>9</v>
      </c>
      <c r="AM240" s="117" t="s">
        <v>161</v>
      </c>
      <c r="AN240" s="117" t="s">
        <v>1978</v>
      </c>
      <c r="AP240" s="117" t="n">
        <v>100081995</v>
      </c>
      <c r="AQ240" s="118" t="n">
        <v>43708</v>
      </c>
      <c r="AR240" s="118" t="n">
        <v>43710</v>
      </c>
      <c r="AS240" s="117" t="n">
        <v>0.300902777777778</v>
      </c>
      <c r="AT240" s="117" t="n">
        <v>0</v>
      </c>
      <c r="AU240" s="117" t="n">
        <v>0</v>
      </c>
      <c r="AX240" s="117" t="n">
        <v>5</v>
      </c>
    </row>
    <row r="241" customFormat="false" ht="13.8" hidden="true" customHeight="false" outlineLevel="0" collapsed="false">
      <c r="A241" s="117" t="n">
        <v>1000</v>
      </c>
      <c r="B241" s="117" t="s">
        <v>1962</v>
      </c>
      <c r="C241" s="117" t="n">
        <v>100123318</v>
      </c>
      <c r="E241" s="117" t="s">
        <v>1921</v>
      </c>
      <c r="F241" s="117" t="n">
        <v>1108</v>
      </c>
      <c r="G241" s="117" t="n">
        <v>2019</v>
      </c>
      <c r="H241" s="117" t="n">
        <v>6</v>
      </c>
      <c r="I241" s="118" t="n">
        <v>43738</v>
      </c>
      <c r="J241" s="118" t="n">
        <v>43738</v>
      </c>
      <c r="K241" s="119" t="n">
        <v>359577.86</v>
      </c>
      <c r="L241" s="128" t="n">
        <f aca="false">K241-Q241+T241</f>
        <v>359577.86</v>
      </c>
      <c r="M241" s="117" t="s">
        <v>149</v>
      </c>
      <c r="N241" s="117" t="n">
        <v>359577.86</v>
      </c>
      <c r="O241" s="117" t="s">
        <v>149</v>
      </c>
      <c r="P241" s="117" t="n">
        <v>0</v>
      </c>
      <c r="Q241" s="117" t="n">
        <v>0</v>
      </c>
      <c r="R241" s="117" t="n">
        <v>359577.86</v>
      </c>
      <c r="S241" s="117" t="n">
        <v>0</v>
      </c>
      <c r="T241" s="117" t="n">
        <v>0</v>
      </c>
      <c r="U241" s="117" t="n">
        <v>312193</v>
      </c>
      <c r="V241" s="117" t="s">
        <v>1963</v>
      </c>
      <c r="X241" s="117" t="s">
        <v>2118</v>
      </c>
      <c r="Z241" s="117" t="n">
        <v>61044</v>
      </c>
      <c r="AB241" s="117" t="s">
        <v>2109</v>
      </c>
      <c r="AD241" s="117" t="n">
        <v>110000</v>
      </c>
      <c r="AE241" s="117" t="s">
        <v>1966</v>
      </c>
      <c r="AF241" s="117" t="n">
        <v>110000</v>
      </c>
      <c r="AG241" s="117" t="s">
        <v>1966</v>
      </c>
      <c r="AI241" s="117" t="n">
        <v>110000</v>
      </c>
      <c r="AJ241" s="117" t="s">
        <v>1966</v>
      </c>
      <c r="AK241" s="117" t="n">
        <v>0</v>
      </c>
      <c r="AL241" s="117" t="n">
        <v>4</v>
      </c>
      <c r="AM241" s="117" t="s">
        <v>161</v>
      </c>
      <c r="AR241" s="118" t="n">
        <v>43739</v>
      </c>
      <c r="AS241" s="117" t="n">
        <v>0.584733796296296</v>
      </c>
      <c r="AT241" s="117" t="n">
        <v>0</v>
      </c>
      <c r="AU241" s="117" t="n">
        <v>0</v>
      </c>
      <c r="AX241" s="117" t="n">
        <v>5</v>
      </c>
    </row>
    <row r="242" customFormat="false" ht="13.8" hidden="true" customHeight="false" outlineLevel="0" collapsed="false">
      <c r="A242" s="117" t="n">
        <v>1000</v>
      </c>
      <c r="B242" s="117" t="s">
        <v>1962</v>
      </c>
      <c r="C242" s="117" t="n">
        <v>100116355</v>
      </c>
      <c r="E242" s="117" t="s">
        <v>1921</v>
      </c>
      <c r="F242" s="117" t="n">
        <v>1108</v>
      </c>
      <c r="G242" s="117" t="n">
        <v>2019</v>
      </c>
      <c r="H242" s="117" t="n">
        <v>6</v>
      </c>
      <c r="I242" s="118" t="n">
        <v>43738</v>
      </c>
      <c r="J242" s="118" t="n">
        <v>43738</v>
      </c>
      <c r="K242" s="119" t="n">
        <v>666872.16</v>
      </c>
      <c r="L242" s="128" t="n">
        <f aca="false">K242-Q242+T242</f>
        <v>666872.16</v>
      </c>
      <c r="M242" s="117" t="s">
        <v>149</v>
      </c>
      <c r="N242" s="117" t="n">
        <v>666872.16</v>
      </c>
      <c r="O242" s="117" t="s">
        <v>149</v>
      </c>
      <c r="P242" s="117" t="n">
        <v>0</v>
      </c>
      <c r="Q242" s="117" t="n">
        <v>0</v>
      </c>
      <c r="R242" s="117" t="n">
        <v>666872.16</v>
      </c>
      <c r="S242" s="117" t="n">
        <v>0</v>
      </c>
      <c r="T242" s="117" t="n">
        <v>0</v>
      </c>
      <c r="U242" s="117" t="n">
        <v>312193</v>
      </c>
      <c r="V242" s="117" t="s">
        <v>1963</v>
      </c>
      <c r="X242" s="117" t="s">
        <v>2121</v>
      </c>
      <c r="Z242" s="117" t="n">
        <v>2460</v>
      </c>
      <c r="AB242" s="117" t="s">
        <v>2122</v>
      </c>
      <c r="AD242" s="117" t="n">
        <v>110000</v>
      </c>
      <c r="AE242" s="117" t="s">
        <v>1966</v>
      </c>
      <c r="AF242" s="117" t="n">
        <v>110000</v>
      </c>
      <c r="AG242" s="117" t="s">
        <v>1966</v>
      </c>
      <c r="AI242" s="117" t="n">
        <v>110000</v>
      </c>
      <c r="AJ242" s="117" t="s">
        <v>1966</v>
      </c>
      <c r="AK242" s="117" t="n">
        <v>0</v>
      </c>
      <c r="AL242" s="117" t="n">
        <v>4</v>
      </c>
      <c r="AM242" s="117" t="s">
        <v>161</v>
      </c>
      <c r="AR242" s="118" t="n">
        <v>43738</v>
      </c>
      <c r="AS242" s="117" t="n">
        <v>0.224525462962963</v>
      </c>
      <c r="AT242" s="117" t="n">
        <v>0</v>
      </c>
      <c r="AU242" s="117" t="n">
        <v>0</v>
      </c>
      <c r="AX242" s="117" t="n">
        <v>3</v>
      </c>
    </row>
    <row r="243" customFormat="false" ht="13.8" hidden="true" customHeight="false" outlineLevel="0" collapsed="false">
      <c r="A243" s="117" t="n">
        <v>1000</v>
      </c>
      <c r="B243" s="117" t="s">
        <v>1962</v>
      </c>
      <c r="C243" s="117" t="n">
        <v>100123262</v>
      </c>
      <c r="E243" s="117" t="s">
        <v>1921</v>
      </c>
      <c r="F243" s="117" t="n">
        <v>1109</v>
      </c>
      <c r="G243" s="117" t="n">
        <v>2019</v>
      </c>
      <c r="H243" s="117" t="n">
        <v>6</v>
      </c>
      <c r="I243" s="118" t="n">
        <v>43738</v>
      </c>
      <c r="J243" s="118" t="n">
        <v>43738</v>
      </c>
      <c r="K243" s="119" t="n">
        <v>-394545.42</v>
      </c>
      <c r="L243" s="128" t="n">
        <f aca="false">K243-Q243+T243</f>
        <v>-394545.42</v>
      </c>
      <c r="M243" s="117" t="s">
        <v>149</v>
      </c>
      <c r="N243" s="117" t="n">
        <v>-394545.42</v>
      </c>
      <c r="O243" s="117" t="s">
        <v>149</v>
      </c>
      <c r="P243" s="117" t="n">
        <v>0</v>
      </c>
      <c r="Q243" s="117" t="n">
        <v>0</v>
      </c>
      <c r="R243" s="117" t="n">
        <v>-394545.42</v>
      </c>
      <c r="S243" s="117" t="n">
        <v>0</v>
      </c>
      <c r="T243" s="117" t="n">
        <v>0</v>
      </c>
      <c r="U243" s="117" t="n">
        <v>315113</v>
      </c>
      <c r="V243" s="117" t="s">
        <v>143</v>
      </c>
      <c r="Z243" s="117" t="n">
        <v>100123262</v>
      </c>
      <c r="AD243" s="117" t="n">
        <v>110000</v>
      </c>
      <c r="AE243" s="117" t="s">
        <v>1966</v>
      </c>
      <c r="AF243" s="117" t="n">
        <v>110000</v>
      </c>
      <c r="AG243" s="117" t="s">
        <v>1966</v>
      </c>
      <c r="AI243" s="117" t="n">
        <v>110000</v>
      </c>
      <c r="AJ243" s="117" t="s">
        <v>1966</v>
      </c>
      <c r="AK243" s="117" t="n">
        <v>0</v>
      </c>
      <c r="AL243" s="117" t="n">
        <v>17</v>
      </c>
      <c r="AM243" s="117" t="s">
        <v>225</v>
      </c>
      <c r="AP243" s="117" t="n">
        <v>100123262</v>
      </c>
      <c r="AQ243" s="118" t="n">
        <v>43738</v>
      </c>
      <c r="AR243" s="118" t="n">
        <v>43739</v>
      </c>
      <c r="AS243" s="117" t="n">
        <v>0.493657407407407</v>
      </c>
      <c r="AT243" s="117" t="n">
        <v>0</v>
      </c>
      <c r="AU243" s="117" t="n">
        <v>0</v>
      </c>
      <c r="AX243" s="117" t="n">
        <v>2</v>
      </c>
    </row>
    <row r="244" customFormat="false" ht="13.8" hidden="true" customHeight="false" outlineLevel="0" collapsed="false">
      <c r="A244" s="117" t="n">
        <v>1000</v>
      </c>
      <c r="B244" s="117" t="s">
        <v>1962</v>
      </c>
      <c r="C244" s="117" t="n">
        <v>1400005592</v>
      </c>
      <c r="E244" s="117" t="s">
        <v>1972</v>
      </c>
      <c r="F244" s="117" t="n">
        <v>1106</v>
      </c>
      <c r="G244" s="117" t="n">
        <v>2019</v>
      </c>
      <c r="H244" s="117" t="n">
        <v>6</v>
      </c>
      <c r="I244" s="118" t="n">
        <v>43710</v>
      </c>
      <c r="J244" s="118" t="n">
        <v>43710</v>
      </c>
      <c r="K244" s="119" t="n">
        <v>-3319165.36</v>
      </c>
      <c r="L244" s="128" t="n">
        <f aca="false">K244-Q244+T244</f>
        <v>-3319165.36</v>
      </c>
      <c r="M244" s="117" t="s">
        <v>149</v>
      </c>
      <c r="N244" s="117" t="n">
        <v>-3319165.36</v>
      </c>
      <c r="O244" s="117" t="s">
        <v>149</v>
      </c>
      <c r="P244" s="117" t="n">
        <v>0</v>
      </c>
      <c r="Q244" s="117" t="n">
        <v>0</v>
      </c>
      <c r="R244" s="117" t="n">
        <v>-3319165.36</v>
      </c>
      <c r="S244" s="117" t="n">
        <v>0</v>
      </c>
      <c r="T244" s="117" t="n">
        <v>0</v>
      </c>
      <c r="U244" s="117" t="n">
        <v>311155</v>
      </c>
      <c r="V244" s="117" t="s">
        <v>2022</v>
      </c>
      <c r="X244" s="117" t="s">
        <v>2144</v>
      </c>
      <c r="Y244" s="117" t="s">
        <v>2145</v>
      </c>
      <c r="Z244" s="117" t="n">
        <v>1400005592</v>
      </c>
      <c r="AC244" s="117" t="s">
        <v>1976</v>
      </c>
      <c r="AD244" s="117" t="n">
        <v>310300</v>
      </c>
      <c r="AE244" s="117" t="s">
        <v>1969</v>
      </c>
      <c r="AF244" s="117" t="n">
        <v>101105</v>
      </c>
      <c r="AG244" s="117" t="s">
        <v>1977</v>
      </c>
      <c r="AI244" s="117" t="n">
        <v>101105</v>
      </c>
      <c r="AJ244" s="117" t="s">
        <v>1977</v>
      </c>
      <c r="AK244" s="117" t="n">
        <v>0</v>
      </c>
      <c r="AL244" s="117" t="n">
        <v>19</v>
      </c>
      <c r="AM244" s="117" t="s">
        <v>225</v>
      </c>
      <c r="AN244" s="117" t="s">
        <v>1978</v>
      </c>
      <c r="AP244" s="117" t="n">
        <v>100122462</v>
      </c>
      <c r="AQ244" s="118" t="n">
        <v>43738</v>
      </c>
      <c r="AR244" s="118" t="n">
        <v>43712</v>
      </c>
      <c r="AS244" s="117" t="n">
        <v>0.54087962962963</v>
      </c>
      <c r="AT244" s="117" t="n">
        <v>0</v>
      </c>
      <c r="AU244" s="117" t="n">
        <v>0</v>
      </c>
      <c r="AX244" s="117" t="n">
        <v>2</v>
      </c>
    </row>
    <row r="245" customFormat="false" ht="13.8" hidden="true" customHeight="false" outlineLevel="0" collapsed="false">
      <c r="A245" s="117" t="n">
        <v>1000</v>
      </c>
      <c r="B245" s="117" t="s">
        <v>1962</v>
      </c>
      <c r="C245" s="117" t="n">
        <v>100058209</v>
      </c>
      <c r="E245" s="117" t="s">
        <v>1921</v>
      </c>
      <c r="F245" s="117" t="n">
        <v>1109</v>
      </c>
      <c r="G245" s="117" t="n">
        <v>2019</v>
      </c>
      <c r="H245" s="117" t="n">
        <v>4</v>
      </c>
      <c r="I245" s="118" t="n">
        <v>43677</v>
      </c>
      <c r="J245" s="118" t="n">
        <v>43677</v>
      </c>
      <c r="K245" s="119" t="n">
        <v>437024.8</v>
      </c>
      <c r="L245" s="128" t="n">
        <f aca="false">K245-Q245+T245</f>
        <v>437024.8</v>
      </c>
      <c r="M245" s="117" t="s">
        <v>149</v>
      </c>
      <c r="N245" s="117" t="n">
        <v>437024.8</v>
      </c>
      <c r="O245" s="117" t="s">
        <v>149</v>
      </c>
      <c r="P245" s="117" t="n">
        <v>0</v>
      </c>
      <c r="Q245" s="117" t="n">
        <v>0</v>
      </c>
      <c r="R245" s="117" t="n">
        <v>437024.8</v>
      </c>
      <c r="S245" s="117" t="n">
        <v>0</v>
      </c>
      <c r="T245" s="117" t="n">
        <v>0</v>
      </c>
      <c r="U245" s="117" t="n">
        <v>312193</v>
      </c>
      <c r="V245" s="117" t="s">
        <v>1963</v>
      </c>
      <c r="X245" s="117" t="s">
        <v>2146</v>
      </c>
      <c r="Z245" s="117" t="n">
        <v>2316</v>
      </c>
      <c r="AB245" s="117" t="s">
        <v>1965</v>
      </c>
      <c r="AD245" s="117" t="n">
        <v>110000</v>
      </c>
      <c r="AE245" s="117" t="s">
        <v>1966</v>
      </c>
      <c r="AF245" s="117" t="n">
        <v>110000</v>
      </c>
      <c r="AG245" s="117" t="s">
        <v>1966</v>
      </c>
      <c r="AI245" s="117" t="n">
        <v>110000</v>
      </c>
      <c r="AJ245" s="117" t="s">
        <v>1966</v>
      </c>
      <c r="AK245" s="117" t="n">
        <v>0</v>
      </c>
      <c r="AL245" s="117" t="n">
        <v>4</v>
      </c>
      <c r="AM245" s="117" t="s">
        <v>161</v>
      </c>
      <c r="AP245" s="117" t="n">
        <v>100078765</v>
      </c>
      <c r="AQ245" s="118" t="n">
        <v>43706</v>
      </c>
      <c r="AR245" s="118" t="n">
        <v>43678</v>
      </c>
      <c r="AS245" s="117" t="n">
        <v>0.197037037037037</v>
      </c>
      <c r="AT245" s="117" t="n">
        <v>0</v>
      </c>
      <c r="AU245" s="117" t="n">
        <v>0</v>
      </c>
      <c r="AX245" s="117" t="n">
        <v>6</v>
      </c>
    </row>
    <row r="246" s="106" customFormat="true" ht="13.8" hidden="true" customHeight="false" outlineLevel="0" collapsed="false">
      <c r="A246" s="106" t="n">
        <v>1000</v>
      </c>
      <c r="B246" s="106" t="s">
        <v>1962</v>
      </c>
      <c r="C246" s="106" t="n">
        <v>107666</v>
      </c>
      <c r="D246" s="106" t="s">
        <v>1866</v>
      </c>
      <c r="E246" s="106" t="s">
        <v>1970</v>
      </c>
      <c r="F246" s="106" t="n">
        <v>1109</v>
      </c>
      <c r="G246" s="106" t="n">
        <v>2019</v>
      </c>
      <c r="H246" s="106" t="n">
        <v>7</v>
      </c>
      <c r="I246" s="129" t="n">
        <v>43748</v>
      </c>
      <c r="J246" s="129" t="n">
        <v>43748</v>
      </c>
      <c r="K246" s="107" t="n">
        <v>162556.8</v>
      </c>
      <c r="L246" s="130" t="n">
        <f aca="false">K246-Q246+T246</f>
        <v>137760</v>
      </c>
      <c r="M246" s="106" t="s">
        <v>149</v>
      </c>
      <c r="N246" s="106" t="n">
        <v>162556.8</v>
      </c>
      <c r="O246" s="106" t="s">
        <v>149</v>
      </c>
      <c r="P246" s="106" t="n">
        <v>0</v>
      </c>
      <c r="Q246" s="107" t="n">
        <v>24796.8</v>
      </c>
      <c r="R246" s="106" t="n">
        <v>137760</v>
      </c>
      <c r="S246" s="106" t="n">
        <v>0</v>
      </c>
      <c r="T246" s="106" t="n">
        <v>0</v>
      </c>
      <c r="U246" s="106" t="n">
        <v>312193</v>
      </c>
      <c r="V246" s="106" t="s">
        <v>1963</v>
      </c>
      <c r="Z246" s="106" t="n">
        <v>60963</v>
      </c>
      <c r="AB246" s="106" t="s">
        <v>2124</v>
      </c>
      <c r="AD246" s="106" t="n">
        <v>110000</v>
      </c>
      <c r="AE246" s="106" t="s">
        <v>1966</v>
      </c>
      <c r="AF246" s="106" t="n">
        <v>501005</v>
      </c>
      <c r="AG246" s="106" t="s">
        <v>2033</v>
      </c>
      <c r="AI246" s="106" t="n">
        <v>501005</v>
      </c>
      <c r="AJ246" s="106" t="s">
        <v>2033</v>
      </c>
      <c r="AK246" s="106" t="n">
        <v>0</v>
      </c>
      <c r="AL246" s="106" t="n">
        <v>1</v>
      </c>
      <c r="AM246" s="106" t="s">
        <v>161</v>
      </c>
      <c r="AP246" s="106" t="n">
        <v>100141449</v>
      </c>
      <c r="AQ246" s="129" t="n">
        <v>43766</v>
      </c>
      <c r="AR246" s="129" t="n">
        <v>43748</v>
      </c>
      <c r="AS246" s="106" t="n">
        <v>0.501296296296296</v>
      </c>
      <c r="AT246" s="106" t="n">
        <v>0</v>
      </c>
      <c r="AU246" s="106" t="n">
        <v>0</v>
      </c>
      <c r="AX246" s="106" t="n">
        <v>1</v>
      </c>
      <c r="ALU246" s="0"/>
      <c r="ALV246" s="0"/>
      <c r="ALW246" s="0"/>
      <c r="ALX246" s="0"/>
      <c r="ALY246" s="0"/>
      <c r="ALZ246" s="0"/>
      <c r="AMA246" s="0"/>
      <c r="AMB246" s="0"/>
      <c r="AMC246" s="0"/>
      <c r="AMD246" s="0"/>
      <c r="AME246" s="0"/>
      <c r="AMF246" s="0"/>
      <c r="AMG246" s="0"/>
      <c r="AMH246" s="0"/>
      <c r="AMI246" s="0"/>
      <c r="AMJ246" s="0"/>
    </row>
    <row r="247" customFormat="false" ht="13.8" hidden="true" customHeight="false" outlineLevel="0" collapsed="false">
      <c r="A247" s="117" t="n">
        <v>1000</v>
      </c>
      <c r="B247" s="117" t="s">
        <v>1962</v>
      </c>
      <c r="C247" s="117" t="n">
        <v>100055956</v>
      </c>
      <c r="E247" s="117" t="s">
        <v>1921</v>
      </c>
      <c r="F247" s="117" t="n">
        <v>1106</v>
      </c>
      <c r="G247" s="117" t="n">
        <v>2019</v>
      </c>
      <c r="H247" s="117" t="n">
        <v>4</v>
      </c>
      <c r="I247" s="118" t="n">
        <v>43671</v>
      </c>
      <c r="J247" s="118" t="n">
        <v>43671</v>
      </c>
      <c r="K247" s="119" t="n">
        <v>672600</v>
      </c>
      <c r="L247" s="128" t="n">
        <f aca="false">K247-Q247+T247</f>
        <v>672600</v>
      </c>
      <c r="M247" s="117" t="s">
        <v>149</v>
      </c>
      <c r="N247" s="117" t="n">
        <v>672600</v>
      </c>
      <c r="O247" s="117" t="s">
        <v>149</v>
      </c>
      <c r="P247" s="117" t="n">
        <v>0</v>
      </c>
      <c r="Q247" s="117" t="n">
        <v>0</v>
      </c>
      <c r="R247" s="117" t="n">
        <v>672600</v>
      </c>
      <c r="S247" s="117" t="n">
        <v>0</v>
      </c>
      <c r="T247" s="117" t="n">
        <v>0</v>
      </c>
      <c r="U247" s="117" t="n">
        <v>313029</v>
      </c>
      <c r="V247" s="117" t="s">
        <v>143</v>
      </c>
      <c r="Z247" s="117" t="n">
        <v>100055956</v>
      </c>
      <c r="AD247" s="117" t="n">
        <v>310300</v>
      </c>
      <c r="AE247" s="117" t="s">
        <v>1969</v>
      </c>
      <c r="AF247" s="117" t="n">
        <v>110000</v>
      </c>
      <c r="AG247" s="117" t="s">
        <v>1966</v>
      </c>
      <c r="AI247" s="117" t="n">
        <v>110000</v>
      </c>
      <c r="AJ247" s="117" t="s">
        <v>1966</v>
      </c>
      <c r="AK247" s="117" t="n">
        <v>0</v>
      </c>
      <c r="AL247" s="117" t="n">
        <v>9</v>
      </c>
      <c r="AM247" s="117" t="s">
        <v>161</v>
      </c>
      <c r="AN247" s="117" t="s">
        <v>1978</v>
      </c>
      <c r="AP247" s="117" t="n">
        <v>100055956</v>
      </c>
      <c r="AQ247" s="118" t="n">
        <v>43671</v>
      </c>
      <c r="AR247" s="118" t="n">
        <v>43671</v>
      </c>
      <c r="AS247" s="117" t="n">
        <v>0.656712962962963</v>
      </c>
      <c r="AT247" s="117" t="n">
        <v>0</v>
      </c>
      <c r="AU247" s="117" t="n">
        <v>0</v>
      </c>
      <c r="AX247" s="117" t="n">
        <v>2</v>
      </c>
    </row>
    <row r="248" customFormat="false" ht="13.8" hidden="true" customHeight="false" outlineLevel="0" collapsed="false">
      <c r="A248" s="117" t="n">
        <v>1000</v>
      </c>
      <c r="B248" s="117" t="s">
        <v>1962</v>
      </c>
      <c r="C248" s="117" t="n">
        <v>1400005137</v>
      </c>
      <c r="E248" s="117" t="s">
        <v>1972</v>
      </c>
      <c r="F248" s="117" t="n">
        <v>1106</v>
      </c>
      <c r="G248" s="117" t="n">
        <v>2019</v>
      </c>
      <c r="H248" s="117" t="n">
        <v>5</v>
      </c>
      <c r="I248" s="118" t="n">
        <v>43698</v>
      </c>
      <c r="J248" s="118" t="n">
        <v>43698</v>
      </c>
      <c r="K248" s="119" t="n">
        <v>-3658000</v>
      </c>
      <c r="L248" s="128" t="n">
        <f aca="false">K248-Q248+T248</f>
        <v>-3658000</v>
      </c>
      <c r="M248" s="117" t="s">
        <v>149</v>
      </c>
      <c r="N248" s="117" t="n">
        <v>-3658000</v>
      </c>
      <c r="O248" s="117" t="s">
        <v>149</v>
      </c>
      <c r="P248" s="117" t="n">
        <v>0</v>
      </c>
      <c r="Q248" s="117" t="n">
        <v>0</v>
      </c>
      <c r="R248" s="117" t="n">
        <v>-3658000</v>
      </c>
      <c r="S248" s="117" t="n">
        <v>0</v>
      </c>
      <c r="T248" s="117" t="n">
        <v>0</v>
      </c>
      <c r="U248" s="117" t="n">
        <v>309728</v>
      </c>
      <c r="V248" s="117" t="s">
        <v>1968</v>
      </c>
      <c r="X248" s="117" t="s">
        <v>2147</v>
      </c>
      <c r="Y248" s="117" t="s">
        <v>2148</v>
      </c>
      <c r="Z248" s="117" t="n">
        <v>1400005137</v>
      </c>
      <c r="AC248" s="117" t="s">
        <v>1976</v>
      </c>
      <c r="AD248" s="117" t="n">
        <v>310300</v>
      </c>
      <c r="AE248" s="117" t="s">
        <v>1969</v>
      </c>
      <c r="AF248" s="117" t="n">
        <v>101105</v>
      </c>
      <c r="AG248" s="117" t="s">
        <v>1977</v>
      </c>
      <c r="AI248" s="117" t="n">
        <v>101105</v>
      </c>
      <c r="AJ248" s="117" t="s">
        <v>1977</v>
      </c>
      <c r="AK248" s="117" t="n">
        <v>0</v>
      </c>
      <c r="AL248" s="117" t="n">
        <v>19</v>
      </c>
      <c r="AM248" s="117" t="s">
        <v>225</v>
      </c>
      <c r="AN248" s="117" t="s">
        <v>1978</v>
      </c>
      <c r="AP248" s="117" t="n">
        <v>100075998</v>
      </c>
      <c r="AQ248" s="118" t="n">
        <v>43703</v>
      </c>
      <c r="AR248" s="118" t="n">
        <v>43699</v>
      </c>
      <c r="AS248" s="117" t="n">
        <v>0.536469907407407</v>
      </c>
      <c r="AT248" s="117" t="n">
        <v>0</v>
      </c>
      <c r="AU248" s="117" t="n">
        <v>0</v>
      </c>
      <c r="AX248" s="117" t="n">
        <v>2</v>
      </c>
    </row>
    <row r="249" customFormat="false" ht="13.8" hidden="true" customHeight="false" outlineLevel="0" collapsed="false">
      <c r="A249" s="117" t="n">
        <v>1000</v>
      </c>
      <c r="B249" s="117" t="s">
        <v>1962</v>
      </c>
      <c r="C249" s="117" t="n">
        <v>100055942</v>
      </c>
      <c r="E249" s="117" t="s">
        <v>1921</v>
      </c>
      <c r="F249" s="117" t="n">
        <v>1109</v>
      </c>
      <c r="G249" s="117" t="n">
        <v>2019</v>
      </c>
      <c r="H249" s="117" t="n">
        <v>4</v>
      </c>
      <c r="I249" s="118" t="n">
        <v>43671</v>
      </c>
      <c r="J249" s="118" t="n">
        <v>43671</v>
      </c>
      <c r="K249" s="119" t="n">
        <v>254204.56</v>
      </c>
      <c r="L249" s="128" t="n">
        <f aca="false">K249-Q249+T249</f>
        <v>254204.56</v>
      </c>
      <c r="M249" s="117" t="s">
        <v>149</v>
      </c>
      <c r="N249" s="117" t="n">
        <v>254204.56</v>
      </c>
      <c r="O249" s="117" t="s">
        <v>149</v>
      </c>
      <c r="P249" s="117" t="n">
        <v>0</v>
      </c>
      <c r="Q249" s="117" t="n">
        <v>0</v>
      </c>
      <c r="R249" s="117" t="n">
        <v>254204.56</v>
      </c>
      <c r="S249" s="117" t="n">
        <v>0</v>
      </c>
      <c r="T249" s="117" t="n">
        <v>0</v>
      </c>
      <c r="U249" s="117" t="n">
        <v>307259</v>
      </c>
      <c r="V249" s="117" t="s">
        <v>143</v>
      </c>
      <c r="X249" s="117" t="s">
        <v>1228</v>
      </c>
      <c r="Z249" s="117" t="n">
        <v>59465</v>
      </c>
      <c r="AB249" s="117" t="s">
        <v>2095</v>
      </c>
      <c r="AD249" s="117" t="n">
        <v>110000</v>
      </c>
      <c r="AE249" s="117" t="s">
        <v>1966</v>
      </c>
      <c r="AF249" s="117" t="n">
        <v>110000</v>
      </c>
      <c r="AG249" s="117" t="s">
        <v>1966</v>
      </c>
      <c r="AI249" s="117" t="n">
        <v>110000</v>
      </c>
      <c r="AJ249" s="117" t="s">
        <v>1966</v>
      </c>
      <c r="AK249" s="117" t="n">
        <v>0</v>
      </c>
      <c r="AL249" s="117" t="n">
        <v>4</v>
      </c>
      <c r="AM249" s="117" t="s">
        <v>161</v>
      </c>
      <c r="AP249" s="117" t="n">
        <v>100081970</v>
      </c>
      <c r="AQ249" s="118" t="n">
        <v>43708</v>
      </c>
      <c r="AR249" s="118" t="n">
        <v>43671</v>
      </c>
      <c r="AS249" s="117" t="n">
        <v>0.640706018518519</v>
      </c>
      <c r="AT249" s="117" t="n">
        <v>0</v>
      </c>
      <c r="AU249" s="117" t="n">
        <v>0</v>
      </c>
      <c r="AX249" s="117" t="n">
        <v>1</v>
      </c>
    </row>
    <row r="250" customFormat="false" ht="13.8" hidden="true" customHeight="false" outlineLevel="0" collapsed="false">
      <c r="A250" s="117" t="n">
        <v>1000</v>
      </c>
      <c r="B250" s="117" t="s">
        <v>1962</v>
      </c>
      <c r="C250" s="117" t="n">
        <v>100078765</v>
      </c>
      <c r="E250" s="117" t="s">
        <v>1921</v>
      </c>
      <c r="F250" s="117" t="n">
        <v>1106</v>
      </c>
      <c r="G250" s="117" t="n">
        <v>2019</v>
      </c>
      <c r="H250" s="117" t="n">
        <v>5</v>
      </c>
      <c r="I250" s="118" t="n">
        <v>43706</v>
      </c>
      <c r="J250" s="118" t="n">
        <v>43706</v>
      </c>
      <c r="K250" s="119" t="n">
        <v>1818983.72</v>
      </c>
      <c r="L250" s="128" t="n">
        <f aca="false">K250-Q250+T250</f>
        <v>1818983.72</v>
      </c>
      <c r="M250" s="117" t="s">
        <v>149</v>
      </c>
      <c r="N250" s="117" t="n">
        <v>1818983.72</v>
      </c>
      <c r="O250" s="117" t="s">
        <v>149</v>
      </c>
      <c r="P250" s="117" t="n">
        <v>0</v>
      </c>
      <c r="Q250" s="117" t="n">
        <v>0</v>
      </c>
      <c r="R250" s="117" t="n">
        <v>1818983.72</v>
      </c>
      <c r="S250" s="117" t="n">
        <v>0</v>
      </c>
      <c r="T250" s="117" t="n">
        <v>0</v>
      </c>
      <c r="U250" s="117" t="n">
        <v>312193</v>
      </c>
      <c r="V250" s="117" t="s">
        <v>1963</v>
      </c>
      <c r="Z250" s="117" t="n">
        <v>100078765</v>
      </c>
      <c r="AD250" s="117" t="n">
        <v>310300</v>
      </c>
      <c r="AE250" s="117" t="s">
        <v>1969</v>
      </c>
      <c r="AF250" s="117" t="n">
        <v>110000</v>
      </c>
      <c r="AG250" s="117" t="s">
        <v>1966</v>
      </c>
      <c r="AI250" s="117" t="n">
        <v>110000</v>
      </c>
      <c r="AJ250" s="117" t="s">
        <v>1966</v>
      </c>
      <c r="AK250" s="117" t="n">
        <v>0</v>
      </c>
      <c r="AL250" s="117" t="n">
        <v>9</v>
      </c>
      <c r="AM250" s="117" t="s">
        <v>161</v>
      </c>
      <c r="AN250" s="117" t="s">
        <v>1978</v>
      </c>
      <c r="AP250" s="117" t="n">
        <v>100078765</v>
      </c>
      <c r="AQ250" s="118" t="n">
        <v>43706</v>
      </c>
      <c r="AR250" s="118" t="n">
        <v>43706</v>
      </c>
      <c r="AS250" s="117" t="n">
        <v>0.702835648148148</v>
      </c>
      <c r="AT250" s="117" t="n">
        <v>0</v>
      </c>
      <c r="AU250" s="117" t="n">
        <v>0</v>
      </c>
      <c r="AX250" s="117" t="n">
        <v>11</v>
      </c>
    </row>
    <row r="251" customFormat="false" ht="13.8" hidden="true" customHeight="false" outlineLevel="0" collapsed="false">
      <c r="A251" s="117" t="n">
        <v>1000</v>
      </c>
      <c r="B251" s="117" t="s">
        <v>1962</v>
      </c>
      <c r="C251" s="117" t="n">
        <v>100078340</v>
      </c>
      <c r="D251" s="117" t="s">
        <v>2053</v>
      </c>
      <c r="E251" s="117" t="s">
        <v>1903</v>
      </c>
      <c r="F251" s="117" t="n">
        <v>1106</v>
      </c>
      <c r="G251" s="117" t="n">
        <v>2019</v>
      </c>
      <c r="H251" s="117" t="n">
        <v>5</v>
      </c>
      <c r="I251" s="118" t="n">
        <v>43699</v>
      </c>
      <c r="J251" s="118" t="n">
        <v>43699</v>
      </c>
      <c r="K251" s="119" t="n">
        <v>-254204.56</v>
      </c>
      <c r="L251" s="128" t="n">
        <f aca="false">K251-Q251+T251</f>
        <v>-254204.56</v>
      </c>
      <c r="M251" s="117" t="s">
        <v>149</v>
      </c>
      <c r="N251" s="117" t="n">
        <v>-254204.56</v>
      </c>
      <c r="O251" s="117" t="s">
        <v>149</v>
      </c>
      <c r="P251" s="117" t="n">
        <v>-254204.56</v>
      </c>
      <c r="Q251" s="117" t="n">
        <v>0</v>
      </c>
      <c r="R251" s="117" t="n">
        <v>-254204.56</v>
      </c>
      <c r="S251" s="117" t="n">
        <v>0</v>
      </c>
      <c r="T251" s="117" t="n">
        <v>0</v>
      </c>
      <c r="U251" s="117" t="n">
        <v>307259</v>
      </c>
      <c r="V251" s="117" t="s">
        <v>143</v>
      </c>
      <c r="X251" s="117" t="s">
        <v>2054</v>
      </c>
      <c r="Y251" s="117" t="s">
        <v>2055</v>
      </c>
      <c r="Z251" s="117" t="n">
        <v>100078340</v>
      </c>
      <c r="AD251" s="117" t="n">
        <v>310300</v>
      </c>
      <c r="AE251" s="117" t="s">
        <v>1969</v>
      </c>
      <c r="AF251" s="117" t="n">
        <v>101105</v>
      </c>
      <c r="AG251" s="117" t="s">
        <v>1977</v>
      </c>
      <c r="AI251" s="117" t="n">
        <v>101105</v>
      </c>
      <c r="AJ251" s="117" t="s">
        <v>1977</v>
      </c>
      <c r="AK251" s="117" t="n">
        <v>0</v>
      </c>
      <c r="AL251" s="117" t="n">
        <v>19</v>
      </c>
      <c r="AM251" s="117" t="s">
        <v>225</v>
      </c>
      <c r="AN251" s="117" t="s">
        <v>1978</v>
      </c>
      <c r="AP251" s="117" t="n">
        <v>100081970</v>
      </c>
      <c r="AQ251" s="118" t="n">
        <v>43708</v>
      </c>
      <c r="AR251" s="118" t="n">
        <v>43706</v>
      </c>
      <c r="AS251" s="117" t="n">
        <v>0.433449074074074</v>
      </c>
      <c r="AT251" s="117" t="n">
        <v>0</v>
      </c>
      <c r="AU251" s="117" t="n">
        <v>0</v>
      </c>
      <c r="AX251" s="117" t="n">
        <v>2</v>
      </c>
    </row>
    <row r="252" s="106" customFormat="true" ht="13.8" hidden="true" customHeight="false" outlineLevel="0" collapsed="false">
      <c r="A252" s="106" t="n">
        <v>1000</v>
      </c>
      <c r="B252" s="106" t="s">
        <v>1962</v>
      </c>
      <c r="C252" s="106" t="n">
        <v>107717</v>
      </c>
      <c r="D252" s="106" t="s">
        <v>1808</v>
      </c>
      <c r="E252" s="106" t="s">
        <v>1970</v>
      </c>
      <c r="F252" s="106" t="n">
        <v>1109</v>
      </c>
      <c r="G252" s="106" t="n">
        <v>2019</v>
      </c>
      <c r="H252" s="106" t="n">
        <v>7</v>
      </c>
      <c r="I252" s="129" t="n">
        <v>43749</v>
      </c>
      <c r="J252" s="129" t="n">
        <v>43749</v>
      </c>
      <c r="K252" s="107" t="n">
        <v>974445.11</v>
      </c>
      <c r="L252" s="130" t="n">
        <f aca="false">K252-Q252+T252</f>
        <v>825800.94</v>
      </c>
      <c r="M252" s="106" t="s">
        <v>149</v>
      </c>
      <c r="N252" s="106" t="n">
        <v>974445.11</v>
      </c>
      <c r="O252" s="106" t="s">
        <v>149</v>
      </c>
      <c r="P252" s="106" t="n">
        <v>0</v>
      </c>
      <c r="Q252" s="107" t="n">
        <v>148644.17</v>
      </c>
      <c r="R252" s="106" t="n">
        <v>825800.94</v>
      </c>
      <c r="S252" s="106" t="n">
        <v>0</v>
      </c>
      <c r="T252" s="106" t="n">
        <v>0</v>
      </c>
      <c r="U252" s="106" t="n">
        <v>312193</v>
      </c>
      <c r="V252" s="106" t="s">
        <v>1963</v>
      </c>
      <c r="Z252" s="106" t="n">
        <v>60958</v>
      </c>
      <c r="AB252" s="106" t="s">
        <v>2124</v>
      </c>
      <c r="AD252" s="106" t="n">
        <v>110000</v>
      </c>
      <c r="AE252" s="106" t="s">
        <v>1966</v>
      </c>
      <c r="AF252" s="106" t="n">
        <v>501005</v>
      </c>
      <c r="AG252" s="106" t="s">
        <v>2033</v>
      </c>
      <c r="AI252" s="106" t="n">
        <v>501005</v>
      </c>
      <c r="AJ252" s="106" t="s">
        <v>2033</v>
      </c>
      <c r="AK252" s="106" t="n">
        <v>0</v>
      </c>
      <c r="AL252" s="106" t="n">
        <v>1</v>
      </c>
      <c r="AM252" s="106" t="s">
        <v>161</v>
      </c>
      <c r="AP252" s="106" t="n">
        <v>100141449</v>
      </c>
      <c r="AQ252" s="129" t="n">
        <v>43766</v>
      </c>
      <c r="AR252" s="129" t="n">
        <v>43749</v>
      </c>
      <c r="AS252" s="106" t="n">
        <v>0.50994212962963</v>
      </c>
      <c r="AT252" s="106" t="n">
        <v>0</v>
      </c>
      <c r="AU252" s="106" t="n">
        <v>0</v>
      </c>
      <c r="AX252" s="106" t="n">
        <v>1</v>
      </c>
      <c r="ALU252" s="0"/>
      <c r="ALV252" s="0"/>
      <c r="ALW252" s="0"/>
      <c r="ALX252" s="0"/>
      <c r="ALY252" s="0"/>
      <c r="ALZ252" s="0"/>
      <c r="AMA252" s="0"/>
      <c r="AMB252" s="0"/>
      <c r="AMC252" s="0"/>
      <c r="AMD252" s="0"/>
      <c r="AME252" s="0"/>
      <c r="AMF252" s="0"/>
      <c r="AMG252" s="0"/>
      <c r="AMH252" s="0"/>
      <c r="AMI252" s="0"/>
      <c r="AMJ252" s="0"/>
    </row>
    <row r="253" s="106" customFormat="true" ht="13.8" hidden="true" customHeight="false" outlineLevel="0" collapsed="false">
      <c r="A253" s="106" t="n">
        <v>1000</v>
      </c>
      <c r="B253" s="106" t="s">
        <v>1962</v>
      </c>
      <c r="C253" s="106" t="n">
        <v>107718</v>
      </c>
      <c r="D253" s="106" t="s">
        <v>1816</v>
      </c>
      <c r="E253" s="106" t="s">
        <v>1970</v>
      </c>
      <c r="F253" s="106" t="n">
        <v>1109</v>
      </c>
      <c r="G253" s="106" t="n">
        <v>2019</v>
      </c>
      <c r="H253" s="106" t="n">
        <v>7</v>
      </c>
      <c r="I253" s="129" t="n">
        <v>43749</v>
      </c>
      <c r="J253" s="129" t="n">
        <v>43749</v>
      </c>
      <c r="K253" s="107" t="n">
        <v>227105.86</v>
      </c>
      <c r="L253" s="130" t="n">
        <f aca="false">K253-Q253+T253</f>
        <v>192462.59</v>
      </c>
      <c r="M253" s="106" t="s">
        <v>149</v>
      </c>
      <c r="N253" s="106" t="n">
        <v>227105.86</v>
      </c>
      <c r="O253" s="106" t="s">
        <v>149</v>
      </c>
      <c r="P253" s="106" t="n">
        <v>0</v>
      </c>
      <c r="Q253" s="107" t="n">
        <v>34643.27</v>
      </c>
      <c r="R253" s="106" t="n">
        <v>192462.59</v>
      </c>
      <c r="S253" s="106" t="n">
        <v>0</v>
      </c>
      <c r="T253" s="106" t="n">
        <v>0</v>
      </c>
      <c r="U253" s="106" t="n">
        <v>312193</v>
      </c>
      <c r="V253" s="106" t="s">
        <v>1963</v>
      </c>
      <c r="Z253" s="106" t="n">
        <v>60958</v>
      </c>
      <c r="AB253" s="106" t="s">
        <v>2124</v>
      </c>
      <c r="AD253" s="106" t="n">
        <v>110000</v>
      </c>
      <c r="AE253" s="106" t="s">
        <v>1966</v>
      </c>
      <c r="AF253" s="106" t="n">
        <v>501005</v>
      </c>
      <c r="AG253" s="106" t="s">
        <v>2033</v>
      </c>
      <c r="AI253" s="106" t="n">
        <v>501005</v>
      </c>
      <c r="AJ253" s="106" t="s">
        <v>2033</v>
      </c>
      <c r="AK253" s="106" t="n">
        <v>0</v>
      </c>
      <c r="AL253" s="106" t="n">
        <v>1</v>
      </c>
      <c r="AM253" s="106" t="s">
        <v>161</v>
      </c>
      <c r="AP253" s="106" t="n">
        <v>100141449</v>
      </c>
      <c r="AQ253" s="129" t="n">
        <v>43766</v>
      </c>
      <c r="AR253" s="129" t="n">
        <v>43749</v>
      </c>
      <c r="AS253" s="106" t="n">
        <v>0.511875</v>
      </c>
      <c r="AT253" s="106" t="n">
        <v>0</v>
      </c>
      <c r="AU253" s="106" t="n">
        <v>0</v>
      </c>
      <c r="AX253" s="106" t="n">
        <v>1</v>
      </c>
      <c r="ALU253" s="0"/>
      <c r="ALV253" s="0"/>
      <c r="ALW253" s="0"/>
      <c r="ALX253" s="0"/>
      <c r="ALY253" s="0"/>
      <c r="ALZ253" s="0"/>
      <c r="AMA253" s="0"/>
      <c r="AMB253" s="0"/>
      <c r="AMC253" s="0"/>
      <c r="AMD253" s="0"/>
      <c r="AME253" s="0"/>
      <c r="AMF253" s="0"/>
      <c r="AMG253" s="0"/>
      <c r="AMH253" s="0"/>
      <c r="AMI253" s="0"/>
      <c r="AMJ253" s="0"/>
    </row>
    <row r="254" customFormat="false" ht="13.8" hidden="true" customHeight="false" outlineLevel="0" collapsed="false">
      <c r="A254" s="117" t="n">
        <v>1000</v>
      </c>
      <c r="B254" s="117" t="s">
        <v>1962</v>
      </c>
      <c r="C254" s="117" t="n">
        <v>1400003786</v>
      </c>
      <c r="E254" s="117" t="s">
        <v>1972</v>
      </c>
      <c r="F254" s="117" t="n">
        <v>1101</v>
      </c>
      <c r="G254" s="117" t="n">
        <v>2019</v>
      </c>
      <c r="H254" s="117" t="n">
        <v>4</v>
      </c>
      <c r="I254" s="118" t="n">
        <v>43651</v>
      </c>
      <c r="J254" s="118" t="n">
        <v>43651</v>
      </c>
      <c r="K254" s="119" t="n">
        <v>-2696044</v>
      </c>
      <c r="L254" s="128" t="n">
        <f aca="false">K254-Q254+T254</f>
        <v>-2696044</v>
      </c>
      <c r="M254" s="117" t="s">
        <v>149</v>
      </c>
      <c r="N254" s="117" t="n">
        <v>-2696044</v>
      </c>
      <c r="O254" s="117" t="s">
        <v>149</v>
      </c>
      <c r="P254" s="117" t="n">
        <v>0</v>
      </c>
      <c r="Q254" s="117" t="n">
        <v>0</v>
      </c>
      <c r="R254" s="117" t="n">
        <v>-2696044</v>
      </c>
      <c r="S254" s="117" t="n">
        <v>0</v>
      </c>
      <c r="T254" s="117" t="n">
        <v>0</v>
      </c>
      <c r="U254" s="117" t="n">
        <v>306263</v>
      </c>
      <c r="V254" s="117" t="s">
        <v>2006</v>
      </c>
      <c r="X254" s="117" t="s">
        <v>2149</v>
      </c>
      <c r="Y254" s="117" t="s">
        <v>2150</v>
      </c>
      <c r="Z254" s="117" t="n">
        <v>1400003786</v>
      </c>
      <c r="AC254" s="117" t="s">
        <v>1976</v>
      </c>
      <c r="AD254" s="117" t="n">
        <v>310300</v>
      </c>
      <c r="AE254" s="117" t="s">
        <v>1969</v>
      </c>
      <c r="AF254" s="117" t="n">
        <v>101105</v>
      </c>
      <c r="AG254" s="117" t="s">
        <v>1977</v>
      </c>
      <c r="AI254" s="117" t="n">
        <v>101105</v>
      </c>
      <c r="AJ254" s="117" t="s">
        <v>1977</v>
      </c>
      <c r="AK254" s="117" t="n">
        <v>0</v>
      </c>
      <c r="AL254" s="117" t="n">
        <v>19</v>
      </c>
      <c r="AM254" s="117" t="s">
        <v>225</v>
      </c>
      <c r="AN254" s="117" t="s">
        <v>1978</v>
      </c>
      <c r="AP254" s="117" t="n">
        <v>100055939</v>
      </c>
      <c r="AQ254" s="118" t="n">
        <v>43671</v>
      </c>
      <c r="AR254" s="118" t="n">
        <v>43657</v>
      </c>
      <c r="AS254" s="117" t="n">
        <v>0.718113425925926</v>
      </c>
      <c r="AT254" s="117" t="n">
        <v>0</v>
      </c>
      <c r="AU254" s="117" t="n">
        <v>0</v>
      </c>
      <c r="AX254" s="117" t="n">
        <v>2</v>
      </c>
    </row>
    <row r="255" customFormat="false" ht="13.8" hidden="true" customHeight="false" outlineLevel="0" collapsed="false">
      <c r="A255" s="117" t="n">
        <v>1000</v>
      </c>
      <c r="B255" s="117" t="s">
        <v>1962</v>
      </c>
      <c r="C255" s="117" t="n">
        <v>100005107</v>
      </c>
      <c r="E255" s="117" t="s">
        <v>1921</v>
      </c>
      <c r="F255" s="117" t="n">
        <v>1109</v>
      </c>
      <c r="G255" s="117" t="n">
        <v>2019</v>
      </c>
      <c r="H255" s="117" t="n">
        <v>1</v>
      </c>
      <c r="I255" s="118" t="n">
        <v>43585</v>
      </c>
      <c r="J255" s="118" t="n">
        <v>43585</v>
      </c>
      <c r="K255" s="119" t="n">
        <v>422145</v>
      </c>
      <c r="L255" s="128" t="n">
        <f aca="false">K255-Q255+T255</f>
        <v>422145</v>
      </c>
      <c r="M255" s="117" t="s">
        <v>149</v>
      </c>
      <c r="N255" s="117" t="n">
        <v>422145</v>
      </c>
      <c r="O255" s="117" t="s">
        <v>149</v>
      </c>
      <c r="P255" s="117" t="n">
        <v>0</v>
      </c>
      <c r="Q255" s="117" t="n">
        <v>0</v>
      </c>
      <c r="R255" s="117" t="n">
        <v>422145</v>
      </c>
      <c r="S255" s="117" t="n">
        <v>0</v>
      </c>
      <c r="T255" s="117" t="n">
        <v>0</v>
      </c>
      <c r="U255" s="117" t="n">
        <v>312193</v>
      </c>
      <c r="V255" s="117" t="s">
        <v>1963</v>
      </c>
      <c r="X255" s="117" t="s">
        <v>2060</v>
      </c>
      <c r="Z255" s="117" t="n">
        <v>2316</v>
      </c>
      <c r="AB255" s="117" t="s">
        <v>1965</v>
      </c>
      <c r="AD255" s="117" t="n">
        <v>110000</v>
      </c>
      <c r="AE255" s="117" t="s">
        <v>1966</v>
      </c>
      <c r="AF255" s="117" t="n">
        <v>110000</v>
      </c>
      <c r="AG255" s="117" t="s">
        <v>1966</v>
      </c>
      <c r="AI255" s="117" t="n">
        <v>110000</v>
      </c>
      <c r="AJ255" s="117" t="s">
        <v>1966</v>
      </c>
      <c r="AK255" s="117" t="n">
        <v>0</v>
      </c>
      <c r="AL255" s="117" t="n">
        <v>4</v>
      </c>
      <c r="AM255" s="117" t="s">
        <v>161</v>
      </c>
      <c r="AP255" s="117" t="n">
        <v>100022447</v>
      </c>
      <c r="AQ255" s="118" t="n">
        <v>43616</v>
      </c>
      <c r="AR255" s="118" t="n">
        <v>43586</v>
      </c>
      <c r="AS255" s="117" t="n">
        <v>0.427592592592593</v>
      </c>
      <c r="AT255" s="117" t="n">
        <v>0</v>
      </c>
      <c r="AU255" s="117" t="n">
        <v>0</v>
      </c>
      <c r="AX255" s="117" t="n">
        <v>4</v>
      </c>
    </row>
    <row r="256" customFormat="false" ht="13.8" hidden="true" customHeight="false" outlineLevel="0" collapsed="false">
      <c r="A256" s="117" t="n">
        <v>1000</v>
      </c>
      <c r="B256" s="117" t="s">
        <v>1962</v>
      </c>
      <c r="C256" s="117" t="n">
        <v>100022449</v>
      </c>
      <c r="E256" s="117" t="s">
        <v>1921</v>
      </c>
      <c r="F256" s="117" t="n">
        <v>1101</v>
      </c>
      <c r="G256" s="117" t="n">
        <v>2019</v>
      </c>
      <c r="H256" s="117" t="n">
        <v>2</v>
      </c>
      <c r="I256" s="118" t="n">
        <v>43616</v>
      </c>
      <c r="J256" s="118" t="n">
        <v>43616</v>
      </c>
      <c r="K256" s="119" t="n">
        <v>5851979.36</v>
      </c>
      <c r="L256" s="128" t="n">
        <f aca="false">K256-Q256+T256</f>
        <v>5851979.36</v>
      </c>
      <c r="M256" s="117" t="s">
        <v>149</v>
      </c>
      <c r="N256" s="117" t="n">
        <v>5851979.36</v>
      </c>
      <c r="O256" s="117" t="s">
        <v>149</v>
      </c>
      <c r="P256" s="117" t="n">
        <v>0</v>
      </c>
      <c r="Q256" s="117" t="n">
        <v>0</v>
      </c>
      <c r="R256" s="117" t="n">
        <v>5851979.36</v>
      </c>
      <c r="S256" s="117" t="n">
        <v>0</v>
      </c>
      <c r="T256" s="117" t="n">
        <v>0</v>
      </c>
      <c r="U256" s="117" t="n">
        <v>312193</v>
      </c>
      <c r="V256" s="117" t="s">
        <v>1963</v>
      </c>
      <c r="X256" s="117" t="s">
        <v>2151</v>
      </c>
      <c r="Z256" s="117" t="n">
        <v>1414</v>
      </c>
      <c r="AB256" s="117" t="s">
        <v>2152</v>
      </c>
      <c r="AD256" s="117" t="n">
        <v>110000</v>
      </c>
      <c r="AE256" s="117" t="s">
        <v>1966</v>
      </c>
      <c r="AF256" s="117" t="n">
        <v>110000</v>
      </c>
      <c r="AG256" s="117" t="s">
        <v>1966</v>
      </c>
      <c r="AI256" s="117" t="n">
        <v>110000</v>
      </c>
      <c r="AJ256" s="117" t="s">
        <v>1966</v>
      </c>
      <c r="AK256" s="117" t="n">
        <v>0</v>
      </c>
      <c r="AL256" s="117" t="n">
        <v>4</v>
      </c>
      <c r="AM256" s="117" t="s">
        <v>161</v>
      </c>
      <c r="AR256" s="118" t="n">
        <v>43617</v>
      </c>
      <c r="AS256" s="117" t="n">
        <v>0.594490740740741</v>
      </c>
      <c r="AT256" s="117" t="n">
        <v>0</v>
      </c>
      <c r="AU256" s="117" t="n">
        <v>0</v>
      </c>
      <c r="AX256" s="117" t="n">
        <v>1</v>
      </c>
    </row>
    <row r="257" customFormat="false" ht="13.8" hidden="true" customHeight="false" outlineLevel="0" collapsed="false">
      <c r="A257" s="117" t="n">
        <v>1000</v>
      </c>
      <c r="B257" s="117" t="s">
        <v>1962</v>
      </c>
      <c r="C257" s="117" t="n">
        <v>100039075</v>
      </c>
      <c r="E257" s="117" t="s">
        <v>1921</v>
      </c>
      <c r="F257" s="117" t="n">
        <v>1109</v>
      </c>
      <c r="G257" s="117" t="n">
        <v>2019</v>
      </c>
      <c r="H257" s="117" t="n">
        <v>3</v>
      </c>
      <c r="I257" s="118" t="n">
        <v>43644</v>
      </c>
      <c r="J257" s="118" t="n">
        <v>43644</v>
      </c>
      <c r="K257" s="119" t="n">
        <v>318171.66</v>
      </c>
      <c r="L257" s="128" t="n">
        <f aca="false">K257-Q257+T257</f>
        <v>318171.66</v>
      </c>
      <c r="M257" s="117" t="s">
        <v>149</v>
      </c>
      <c r="N257" s="117" t="n">
        <v>318171.66</v>
      </c>
      <c r="O257" s="117" t="s">
        <v>149</v>
      </c>
      <c r="P257" s="117" t="n">
        <v>0</v>
      </c>
      <c r="Q257" s="117" t="n">
        <v>0</v>
      </c>
      <c r="R257" s="117" t="n">
        <v>318171.66</v>
      </c>
      <c r="S257" s="117" t="n">
        <v>0</v>
      </c>
      <c r="T257" s="117" t="n">
        <v>0</v>
      </c>
      <c r="U257" s="117" t="n">
        <v>304431</v>
      </c>
      <c r="V257" s="117" t="s">
        <v>2016</v>
      </c>
      <c r="X257" s="117" t="s">
        <v>1417</v>
      </c>
      <c r="Z257" s="117" t="n">
        <v>2247</v>
      </c>
      <c r="AB257" s="117" t="s">
        <v>2043</v>
      </c>
      <c r="AD257" s="117" t="n">
        <v>110000</v>
      </c>
      <c r="AE257" s="117" t="s">
        <v>1966</v>
      </c>
      <c r="AF257" s="117" t="n">
        <v>110000</v>
      </c>
      <c r="AG257" s="117" t="s">
        <v>1966</v>
      </c>
      <c r="AI257" s="117" t="n">
        <v>110000</v>
      </c>
      <c r="AJ257" s="117" t="s">
        <v>1966</v>
      </c>
      <c r="AK257" s="117" t="n">
        <v>0</v>
      </c>
      <c r="AL257" s="117" t="n">
        <v>4</v>
      </c>
      <c r="AM257" s="117" t="s">
        <v>161</v>
      </c>
      <c r="AP257" s="117" t="n">
        <v>100081965</v>
      </c>
      <c r="AQ257" s="118" t="n">
        <v>43708</v>
      </c>
      <c r="AR257" s="118" t="n">
        <v>43644</v>
      </c>
      <c r="AS257" s="117" t="n">
        <v>0.170960648148148</v>
      </c>
      <c r="AT257" s="117" t="n">
        <v>0</v>
      </c>
      <c r="AU257" s="117" t="n">
        <v>0</v>
      </c>
      <c r="AX257" s="117" t="n">
        <v>1</v>
      </c>
    </row>
    <row r="258" customFormat="false" ht="13.8" hidden="true" customHeight="false" outlineLevel="0" collapsed="false">
      <c r="A258" s="117" t="n">
        <v>1000</v>
      </c>
      <c r="B258" s="117" t="s">
        <v>1962</v>
      </c>
      <c r="C258" s="117" t="n">
        <v>100022980</v>
      </c>
      <c r="E258" s="117" t="s">
        <v>1921</v>
      </c>
      <c r="F258" s="117" t="n">
        <v>1101</v>
      </c>
      <c r="G258" s="117" t="n">
        <v>2019</v>
      </c>
      <c r="H258" s="117" t="n">
        <v>2</v>
      </c>
      <c r="I258" s="118" t="n">
        <v>43616</v>
      </c>
      <c r="J258" s="118" t="n">
        <v>43616</v>
      </c>
      <c r="K258" s="119" t="n">
        <v>1099785.94</v>
      </c>
      <c r="L258" s="128" t="n">
        <f aca="false">K258-Q258+T258</f>
        <v>1099785.94</v>
      </c>
      <c r="M258" s="117" t="s">
        <v>149</v>
      </c>
      <c r="N258" s="117" t="n">
        <v>1099785.94</v>
      </c>
      <c r="O258" s="117" t="s">
        <v>149</v>
      </c>
      <c r="P258" s="117" t="n">
        <v>0</v>
      </c>
      <c r="Q258" s="117" t="n">
        <v>0</v>
      </c>
      <c r="R258" s="117" t="n">
        <v>1099785.94</v>
      </c>
      <c r="S258" s="117" t="n">
        <v>0</v>
      </c>
      <c r="T258" s="117" t="n">
        <v>0</v>
      </c>
      <c r="U258" s="117" t="n">
        <v>318999</v>
      </c>
      <c r="V258" s="117" t="s">
        <v>143</v>
      </c>
      <c r="X258" s="117" t="s">
        <v>1259</v>
      </c>
      <c r="Z258" s="117" t="n">
        <v>100022980</v>
      </c>
      <c r="AD258" s="117" t="n">
        <v>110000</v>
      </c>
      <c r="AE258" s="117" t="s">
        <v>1966</v>
      </c>
      <c r="AF258" s="117" t="n">
        <v>110000</v>
      </c>
      <c r="AG258" s="117" t="s">
        <v>1966</v>
      </c>
      <c r="AI258" s="117" t="n">
        <v>110000</v>
      </c>
      <c r="AJ258" s="117" t="s">
        <v>1966</v>
      </c>
      <c r="AK258" s="117" t="n">
        <v>0</v>
      </c>
      <c r="AL258" s="117" t="n">
        <v>4</v>
      </c>
      <c r="AM258" s="117" t="s">
        <v>161</v>
      </c>
      <c r="AP258" s="117" t="n">
        <v>100049039</v>
      </c>
      <c r="AQ258" s="118" t="n">
        <v>43646</v>
      </c>
      <c r="AR258" s="118" t="n">
        <v>43618</v>
      </c>
      <c r="AS258" s="117" t="n">
        <v>0.614305555555556</v>
      </c>
      <c r="AT258" s="117" t="n">
        <v>0</v>
      </c>
      <c r="AU258" s="117" t="n">
        <v>0</v>
      </c>
      <c r="AX258" s="117" t="n">
        <v>16</v>
      </c>
    </row>
    <row r="259" customFormat="false" ht="13.8" hidden="true" customHeight="false" outlineLevel="0" collapsed="false">
      <c r="A259" s="117" t="n">
        <v>1000</v>
      </c>
      <c r="B259" s="117" t="s">
        <v>1962</v>
      </c>
      <c r="C259" s="117" t="n">
        <v>100004403</v>
      </c>
      <c r="E259" s="117" t="s">
        <v>1921</v>
      </c>
      <c r="F259" s="117" t="n">
        <v>1109</v>
      </c>
      <c r="G259" s="117" t="n">
        <v>2019</v>
      </c>
      <c r="H259" s="117" t="n">
        <v>1</v>
      </c>
      <c r="I259" s="118" t="n">
        <v>43583</v>
      </c>
      <c r="J259" s="118" t="n">
        <v>43583</v>
      </c>
      <c r="K259" s="119" t="n">
        <v>-187065.11</v>
      </c>
      <c r="L259" s="128" t="n">
        <f aca="false">K259-Q259+T259</f>
        <v>-187065.11</v>
      </c>
      <c r="M259" s="117" t="s">
        <v>149</v>
      </c>
      <c r="N259" s="117" t="n">
        <v>-187065.11</v>
      </c>
      <c r="O259" s="117" t="s">
        <v>149</v>
      </c>
      <c r="P259" s="117" t="n">
        <v>0</v>
      </c>
      <c r="Q259" s="117" t="n">
        <v>0</v>
      </c>
      <c r="R259" s="117" t="n">
        <v>-187065.11</v>
      </c>
      <c r="S259" s="117" t="n">
        <v>0</v>
      </c>
      <c r="T259" s="117" t="n">
        <v>0</v>
      </c>
      <c r="U259" s="117" t="n">
        <v>318420</v>
      </c>
      <c r="V259" s="117" t="s">
        <v>2153</v>
      </c>
      <c r="Z259" s="117" t="n">
        <v>100004403</v>
      </c>
      <c r="AD259" s="117" t="n">
        <v>110000</v>
      </c>
      <c r="AE259" s="117" t="s">
        <v>1966</v>
      </c>
      <c r="AF259" s="117" t="n">
        <v>110000</v>
      </c>
      <c r="AG259" s="117" t="s">
        <v>1966</v>
      </c>
      <c r="AI259" s="117" t="n">
        <v>110000</v>
      </c>
      <c r="AJ259" s="117" t="s">
        <v>1966</v>
      </c>
      <c r="AK259" s="117" t="n">
        <v>0</v>
      </c>
      <c r="AL259" s="117" t="n">
        <v>17</v>
      </c>
      <c r="AM259" s="117" t="s">
        <v>225</v>
      </c>
      <c r="AP259" s="117" t="n">
        <v>100004403</v>
      </c>
      <c r="AQ259" s="118" t="n">
        <v>43583</v>
      </c>
      <c r="AR259" s="118" t="n">
        <v>43583</v>
      </c>
      <c r="AS259" s="117" t="n">
        <v>0.662384259259259</v>
      </c>
      <c r="AT259" s="117" t="n">
        <v>0</v>
      </c>
      <c r="AU259" s="117" t="n">
        <v>0</v>
      </c>
      <c r="AX259" s="117" t="n">
        <v>2</v>
      </c>
    </row>
    <row r="260" customFormat="false" ht="13.8" hidden="true" customHeight="false" outlineLevel="0" collapsed="false">
      <c r="A260" s="117" t="n">
        <v>1000</v>
      </c>
      <c r="B260" s="117" t="s">
        <v>1962</v>
      </c>
      <c r="C260" s="117" t="n">
        <v>1400002767</v>
      </c>
      <c r="E260" s="117" t="s">
        <v>1972</v>
      </c>
      <c r="F260" s="117" t="n">
        <v>1102</v>
      </c>
      <c r="G260" s="117" t="n">
        <v>2019</v>
      </c>
      <c r="H260" s="117" t="n">
        <v>3</v>
      </c>
      <c r="I260" s="118" t="n">
        <v>43626</v>
      </c>
      <c r="J260" s="118" t="n">
        <v>43626</v>
      </c>
      <c r="K260" s="119" t="n">
        <v>-4867263</v>
      </c>
      <c r="L260" s="128" t="n">
        <f aca="false">K260-Q260+T260</f>
        <v>-4867263</v>
      </c>
      <c r="M260" s="117" t="s">
        <v>149</v>
      </c>
      <c r="N260" s="117" t="n">
        <v>-4867263</v>
      </c>
      <c r="O260" s="117" t="s">
        <v>149</v>
      </c>
      <c r="P260" s="117" t="n">
        <v>0</v>
      </c>
      <c r="Q260" s="117" t="n">
        <v>0</v>
      </c>
      <c r="R260" s="117" t="n">
        <v>-4867263</v>
      </c>
      <c r="S260" s="117" t="n">
        <v>0</v>
      </c>
      <c r="T260" s="117" t="n">
        <v>0</v>
      </c>
      <c r="U260" s="117" t="n">
        <v>306263</v>
      </c>
      <c r="V260" s="117" t="s">
        <v>2006</v>
      </c>
      <c r="X260" s="117" t="s">
        <v>2154</v>
      </c>
      <c r="Y260" s="117" t="s">
        <v>2155</v>
      </c>
      <c r="Z260" s="117" t="n">
        <v>1400002767</v>
      </c>
      <c r="AC260" s="117" t="s">
        <v>1976</v>
      </c>
      <c r="AD260" s="117" t="n">
        <v>310300</v>
      </c>
      <c r="AE260" s="117" t="s">
        <v>1969</v>
      </c>
      <c r="AF260" s="117" t="n">
        <v>101105</v>
      </c>
      <c r="AG260" s="117" t="s">
        <v>1977</v>
      </c>
      <c r="AI260" s="117" t="n">
        <v>101105</v>
      </c>
      <c r="AJ260" s="117" t="s">
        <v>1977</v>
      </c>
      <c r="AK260" s="117" t="n">
        <v>0</v>
      </c>
      <c r="AL260" s="117" t="n">
        <v>19</v>
      </c>
      <c r="AM260" s="117" t="s">
        <v>225</v>
      </c>
      <c r="AN260" s="117" t="s">
        <v>1978</v>
      </c>
      <c r="AP260" s="117" t="n">
        <v>100039079</v>
      </c>
      <c r="AQ260" s="118" t="n">
        <v>43644</v>
      </c>
      <c r="AR260" s="118" t="n">
        <v>43630</v>
      </c>
      <c r="AS260" s="117" t="n">
        <v>0.61275462962963</v>
      </c>
      <c r="AT260" s="117" t="n">
        <v>0</v>
      </c>
      <c r="AU260" s="117" t="n">
        <v>0</v>
      </c>
      <c r="AX260" s="117" t="n">
        <v>2</v>
      </c>
    </row>
    <row r="261" customFormat="false" ht="13.8" hidden="true" customHeight="false" outlineLevel="0" collapsed="false">
      <c r="A261" s="117" t="n">
        <v>1000</v>
      </c>
      <c r="B261" s="117" t="s">
        <v>1962</v>
      </c>
      <c r="C261" s="117" t="n">
        <v>100022446</v>
      </c>
      <c r="E261" s="117" t="s">
        <v>1921</v>
      </c>
      <c r="F261" s="117" t="n">
        <v>1101</v>
      </c>
      <c r="G261" s="117" t="n">
        <v>2019</v>
      </c>
      <c r="H261" s="117" t="n">
        <v>2</v>
      </c>
      <c r="I261" s="118" t="n">
        <v>43616</v>
      </c>
      <c r="J261" s="118" t="n">
        <v>43616</v>
      </c>
      <c r="K261" s="119" t="n">
        <v>1763206.32</v>
      </c>
      <c r="L261" s="128" t="n">
        <f aca="false">K261-Q261+T261</f>
        <v>1763206.32</v>
      </c>
      <c r="M261" s="117" t="s">
        <v>149</v>
      </c>
      <c r="N261" s="117" t="n">
        <v>1763206.32</v>
      </c>
      <c r="O261" s="117" t="s">
        <v>149</v>
      </c>
      <c r="P261" s="117" t="n">
        <v>0</v>
      </c>
      <c r="Q261" s="117" t="n">
        <v>0</v>
      </c>
      <c r="R261" s="117" t="n">
        <v>1763206.32</v>
      </c>
      <c r="S261" s="117" t="n">
        <v>0</v>
      </c>
      <c r="T261" s="117" t="n">
        <v>0</v>
      </c>
      <c r="U261" s="117" t="n">
        <v>312193</v>
      </c>
      <c r="V261" s="117" t="s">
        <v>1963</v>
      </c>
      <c r="Z261" s="117" t="n">
        <v>100022446</v>
      </c>
      <c r="AD261" s="117" t="n">
        <v>310300</v>
      </c>
      <c r="AE261" s="117" t="s">
        <v>1969</v>
      </c>
      <c r="AF261" s="117" t="n">
        <v>110000</v>
      </c>
      <c r="AG261" s="117" t="s">
        <v>1966</v>
      </c>
      <c r="AI261" s="117" t="n">
        <v>110000</v>
      </c>
      <c r="AJ261" s="117" t="s">
        <v>1966</v>
      </c>
      <c r="AK261" s="117" t="n">
        <v>0</v>
      </c>
      <c r="AL261" s="117" t="n">
        <v>9</v>
      </c>
      <c r="AM261" s="117" t="s">
        <v>161</v>
      </c>
      <c r="AN261" s="117" t="s">
        <v>1978</v>
      </c>
      <c r="AP261" s="117" t="n">
        <v>100022446</v>
      </c>
      <c r="AQ261" s="118" t="n">
        <v>43616</v>
      </c>
      <c r="AR261" s="118" t="n">
        <v>43617</v>
      </c>
      <c r="AS261" s="117" t="n">
        <v>0.587256944444444</v>
      </c>
      <c r="AT261" s="117" t="n">
        <v>0</v>
      </c>
      <c r="AU261" s="117" t="n">
        <v>0</v>
      </c>
      <c r="AX261" s="117" t="n">
        <v>9</v>
      </c>
    </row>
    <row r="262" customFormat="false" ht="13.8" hidden="true" customHeight="false" outlineLevel="0" collapsed="false">
      <c r="A262" s="117" t="n">
        <v>1000</v>
      </c>
      <c r="B262" s="117" t="s">
        <v>1962</v>
      </c>
      <c r="C262" s="117" t="n">
        <v>100022980</v>
      </c>
      <c r="E262" s="117" t="s">
        <v>1921</v>
      </c>
      <c r="F262" s="117" t="n">
        <v>1108</v>
      </c>
      <c r="G262" s="117" t="n">
        <v>2019</v>
      </c>
      <c r="H262" s="117" t="n">
        <v>2</v>
      </c>
      <c r="I262" s="118" t="n">
        <v>43616</v>
      </c>
      <c r="J262" s="118" t="n">
        <v>43616</v>
      </c>
      <c r="K262" s="119" t="n">
        <v>1783508.37</v>
      </c>
      <c r="L262" s="128" t="n">
        <f aca="false">K262-Q262+T262</f>
        <v>1783508.37</v>
      </c>
      <c r="M262" s="117" t="s">
        <v>149</v>
      </c>
      <c r="N262" s="117" t="n">
        <v>1783508.37</v>
      </c>
      <c r="O262" s="117" t="s">
        <v>149</v>
      </c>
      <c r="P262" s="117" t="n">
        <v>0</v>
      </c>
      <c r="Q262" s="117" t="n">
        <v>0</v>
      </c>
      <c r="R262" s="117" t="n">
        <v>1783508.37</v>
      </c>
      <c r="S262" s="117" t="n">
        <v>0</v>
      </c>
      <c r="T262" s="117" t="n">
        <v>0</v>
      </c>
      <c r="U262" s="117" t="n">
        <v>318999</v>
      </c>
      <c r="V262" s="117" t="s">
        <v>143</v>
      </c>
      <c r="X262" s="117" t="s">
        <v>1358</v>
      </c>
      <c r="Z262" s="117" t="n">
        <v>100022980</v>
      </c>
      <c r="AD262" s="117" t="n">
        <v>110000</v>
      </c>
      <c r="AE262" s="117" t="s">
        <v>1966</v>
      </c>
      <c r="AF262" s="117" t="n">
        <v>110000</v>
      </c>
      <c r="AG262" s="117" t="s">
        <v>1966</v>
      </c>
      <c r="AI262" s="117" t="n">
        <v>110000</v>
      </c>
      <c r="AJ262" s="117" t="s">
        <v>1966</v>
      </c>
      <c r="AK262" s="117" t="n">
        <v>0</v>
      </c>
      <c r="AL262" s="117" t="n">
        <v>4</v>
      </c>
      <c r="AM262" s="117" t="s">
        <v>161</v>
      </c>
      <c r="AP262" s="117" t="n">
        <v>100057912</v>
      </c>
      <c r="AQ262" s="118" t="n">
        <v>43677</v>
      </c>
      <c r="AR262" s="118" t="n">
        <v>43618</v>
      </c>
      <c r="AS262" s="117" t="n">
        <v>0.614305555555556</v>
      </c>
      <c r="AT262" s="117" t="n">
        <v>0</v>
      </c>
      <c r="AU262" s="117" t="n">
        <v>0</v>
      </c>
      <c r="AX262" s="117" t="n">
        <v>15</v>
      </c>
    </row>
    <row r="263" customFormat="false" ht="13.8" hidden="true" customHeight="false" outlineLevel="0" collapsed="false">
      <c r="A263" s="117" t="n">
        <v>1000</v>
      </c>
      <c r="B263" s="117" t="s">
        <v>1962</v>
      </c>
      <c r="C263" s="117" t="n">
        <v>100048555</v>
      </c>
      <c r="E263" s="117" t="s">
        <v>1921</v>
      </c>
      <c r="F263" s="117" t="n">
        <v>1101</v>
      </c>
      <c r="G263" s="117" t="n">
        <v>2019</v>
      </c>
      <c r="H263" s="117" t="n">
        <v>3</v>
      </c>
      <c r="I263" s="118" t="n">
        <v>43646</v>
      </c>
      <c r="J263" s="118" t="n">
        <v>43646</v>
      </c>
      <c r="K263" s="119" t="n">
        <v>-70</v>
      </c>
      <c r="L263" s="128" t="n">
        <f aca="false">K263-Q263+T263</f>
        <v>-70</v>
      </c>
      <c r="M263" s="117" t="s">
        <v>149</v>
      </c>
      <c r="N263" s="117" t="n">
        <v>-70</v>
      </c>
      <c r="O263" s="117" t="s">
        <v>149</v>
      </c>
      <c r="P263" s="117" t="n">
        <v>-70</v>
      </c>
      <c r="Q263" s="117" t="n">
        <v>0</v>
      </c>
      <c r="R263" s="117" t="n">
        <v>-70</v>
      </c>
      <c r="S263" s="117" t="n">
        <v>0</v>
      </c>
      <c r="T263" s="117" t="n">
        <v>0</v>
      </c>
      <c r="U263" s="117" t="n">
        <v>312351</v>
      </c>
      <c r="V263" s="117" t="s">
        <v>2156</v>
      </c>
      <c r="X263" s="117" t="s">
        <v>2157</v>
      </c>
      <c r="Z263" s="117" t="n">
        <v>100048555</v>
      </c>
      <c r="AD263" s="117" t="n">
        <v>110000</v>
      </c>
      <c r="AE263" s="117" t="s">
        <v>1966</v>
      </c>
      <c r="AF263" s="117" t="n">
        <v>110000</v>
      </c>
      <c r="AG263" s="117" t="s">
        <v>1966</v>
      </c>
      <c r="AI263" s="117" t="n">
        <v>110000</v>
      </c>
      <c r="AJ263" s="117" t="s">
        <v>1966</v>
      </c>
      <c r="AK263" s="117" t="n">
        <v>0</v>
      </c>
      <c r="AL263" s="117" t="n">
        <v>14</v>
      </c>
      <c r="AM263" s="117" t="s">
        <v>225</v>
      </c>
      <c r="AP263" s="117" t="n">
        <v>100050988</v>
      </c>
      <c r="AQ263" s="118" t="n">
        <v>43646</v>
      </c>
      <c r="AR263" s="118" t="n">
        <v>43647</v>
      </c>
      <c r="AS263" s="117" t="n">
        <v>0.183784722222222</v>
      </c>
      <c r="AT263" s="117" t="n">
        <v>0</v>
      </c>
      <c r="AU263" s="117" t="n">
        <v>0</v>
      </c>
      <c r="AX263" s="117" t="n">
        <v>1</v>
      </c>
    </row>
    <row r="264" customFormat="false" ht="13.8" hidden="true" customHeight="false" outlineLevel="0" collapsed="false">
      <c r="A264" s="117" t="n">
        <v>1000</v>
      </c>
      <c r="B264" s="117" t="s">
        <v>1962</v>
      </c>
      <c r="C264" s="117" t="n">
        <v>100031503</v>
      </c>
      <c r="E264" s="117" t="s">
        <v>1921</v>
      </c>
      <c r="F264" s="117" t="n">
        <v>1106</v>
      </c>
      <c r="G264" s="117" t="n">
        <v>2019</v>
      </c>
      <c r="H264" s="117" t="n">
        <v>2</v>
      </c>
      <c r="I264" s="118" t="n">
        <v>43616</v>
      </c>
      <c r="J264" s="118" t="n">
        <v>43616</v>
      </c>
      <c r="K264" s="119" t="n">
        <v>180</v>
      </c>
      <c r="L264" s="128" t="n">
        <f aca="false">K264-Q264+T264</f>
        <v>180</v>
      </c>
      <c r="M264" s="117" t="s">
        <v>149</v>
      </c>
      <c r="N264" s="117" t="n">
        <v>180</v>
      </c>
      <c r="O264" s="117" t="s">
        <v>149</v>
      </c>
      <c r="P264" s="117" t="n">
        <v>0</v>
      </c>
      <c r="Q264" s="117" t="n">
        <v>0</v>
      </c>
      <c r="R264" s="117" t="n">
        <v>180</v>
      </c>
      <c r="S264" s="117" t="n">
        <v>0</v>
      </c>
      <c r="T264" s="117" t="n">
        <v>0</v>
      </c>
      <c r="U264" s="117" t="n">
        <v>318169</v>
      </c>
      <c r="V264" s="117" t="s">
        <v>2158</v>
      </c>
      <c r="Z264" s="117" t="n">
        <v>100031503</v>
      </c>
      <c r="AD264" s="117" t="n">
        <v>310300</v>
      </c>
      <c r="AE264" s="117" t="s">
        <v>1969</v>
      </c>
      <c r="AF264" s="117" t="n">
        <v>110000</v>
      </c>
      <c r="AG264" s="117" t="s">
        <v>1966</v>
      </c>
      <c r="AI264" s="117" t="n">
        <v>110000</v>
      </c>
      <c r="AJ264" s="117" t="s">
        <v>1966</v>
      </c>
      <c r="AK264" s="117" t="n">
        <v>0</v>
      </c>
      <c r="AL264" s="117" t="n">
        <v>9</v>
      </c>
      <c r="AM264" s="117" t="s">
        <v>161</v>
      </c>
      <c r="AN264" s="117" t="s">
        <v>1978</v>
      </c>
      <c r="AP264" s="117" t="n">
        <v>100031503</v>
      </c>
      <c r="AQ264" s="118" t="n">
        <v>43616</v>
      </c>
      <c r="AR264" s="118" t="n">
        <v>43619</v>
      </c>
      <c r="AS264" s="117" t="n">
        <v>0.444490740740741</v>
      </c>
      <c r="AT264" s="117" t="n">
        <v>0</v>
      </c>
      <c r="AU264" s="117" t="n">
        <v>0</v>
      </c>
      <c r="AX264" s="117" t="n">
        <v>3</v>
      </c>
    </row>
    <row r="265" s="106" customFormat="true" ht="13.8" hidden="true" customHeight="false" outlineLevel="0" collapsed="false">
      <c r="A265" s="106" t="n">
        <v>1000</v>
      </c>
      <c r="B265" s="106" t="s">
        <v>1962</v>
      </c>
      <c r="C265" s="106" t="n">
        <v>107720</v>
      </c>
      <c r="D265" s="106" t="s">
        <v>1845</v>
      </c>
      <c r="E265" s="106" t="s">
        <v>1970</v>
      </c>
      <c r="F265" s="106" t="n">
        <v>1109</v>
      </c>
      <c r="G265" s="106" t="n">
        <v>2019</v>
      </c>
      <c r="H265" s="106" t="n">
        <v>7</v>
      </c>
      <c r="I265" s="129" t="n">
        <v>43749</v>
      </c>
      <c r="J265" s="129" t="n">
        <v>43749</v>
      </c>
      <c r="K265" s="107" t="n">
        <v>1545361.16</v>
      </c>
      <c r="L265" s="130" t="n">
        <f aca="false">K265-Q265+T265</f>
        <v>1309628.1</v>
      </c>
      <c r="M265" s="106" t="s">
        <v>149</v>
      </c>
      <c r="N265" s="106" t="n">
        <v>1545361.16</v>
      </c>
      <c r="O265" s="106" t="s">
        <v>149</v>
      </c>
      <c r="P265" s="106" t="n">
        <v>0</v>
      </c>
      <c r="Q265" s="107" t="n">
        <v>235733.06</v>
      </c>
      <c r="R265" s="106" t="n">
        <v>1309628.1</v>
      </c>
      <c r="S265" s="106" t="n">
        <v>0</v>
      </c>
      <c r="T265" s="106" t="n">
        <v>0</v>
      </c>
      <c r="U265" s="106" t="n">
        <v>312193</v>
      </c>
      <c r="V265" s="106" t="s">
        <v>1963</v>
      </c>
      <c r="Z265" s="106" t="n">
        <v>60959</v>
      </c>
      <c r="AB265" s="106" t="s">
        <v>2124</v>
      </c>
      <c r="AD265" s="106" t="n">
        <v>110000</v>
      </c>
      <c r="AE265" s="106" t="s">
        <v>1966</v>
      </c>
      <c r="AF265" s="106" t="n">
        <v>501005</v>
      </c>
      <c r="AG265" s="106" t="s">
        <v>2033</v>
      </c>
      <c r="AI265" s="106" t="n">
        <v>501005</v>
      </c>
      <c r="AJ265" s="106" t="s">
        <v>2033</v>
      </c>
      <c r="AK265" s="106" t="n">
        <v>0</v>
      </c>
      <c r="AL265" s="106" t="n">
        <v>1</v>
      </c>
      <c r="AM265" s="106" t="s">
        <v>161</v>
      </c>
      <c r="AP265" s="106" t="n">
        <v>100141449</v>
      </c>
      <c r="AQ265" s="129" t="n">
        <v>43766</v>
      </c>
      <c r="AR265" s="129" t="n">
        <v>43749</v>
      </c>
      <c r="AS265" s="106" t="n">
        <v>0.514039351851852</v>
      </c>
      <c r="AT265" s="106" t="n">
        <v>0</v>
      </c>
      <c r="AU265" s="106" t="n">
        <v>0</v>
      </c>
      <c r="AX265" s="106" t="n">
        <v>1</v>
      </c>
      <c r="ALU265" s="0"/>
      <c r="ALV265" s="0"/>
      <c r="ALW265" s="0"/>
      <c r="ALX265" s="0"/>
      <c r="ALY265" s="0"/>
      <c r="ALZ265" s="0"/>
      <c r="AMA265" s="0"/>
      <c r="AMB265" s="0"/>
      <c r="AMC265" s="0"/>
      <c r="AMD265" s="0"/>
      <c r="AME265" s="0"/>
      <c r="AMF265" s="0"/>
      <c r="AMG265" s="0"/>
      <c r="AMH265" s="0"/>
      <c r="AMI265" s="0"/>
      <c r="AMJ265" s="0"/>
    </row>
    <row r="266" customFormat="false" ht="13.8" hidden="true" customHeight="false" outlineLevel="0" collapsed="false">
      <c r="A266" s="117" t="n">
        <v>1000</v>
      </c>
      <c r="B266" s="117" t="s">
        <v>1962</v>
      </c>
      <c r="C266" s="117" t="n">
        <v>1400000030</v>
      </c>
      <c r="E266" s="117" t="s">
        <v>1972</v>
      </c>
      <c r="F266" s="117" t="n">
        <v>1106</v>
      </c>
      <c r="G266" s="117" t="n">
        <v>2019</v>
      </c>
      <c r="H266" s="117" t="n">
        <v>1</v>
      </c>
      <c r="I266" s="118" t="n">
        <v>43557</v>
      </c>
      <c r="J266" s="118" t="n">
        <v>43557</v>
      </c>
      <c r="K266" s="119" t="n">
        <v>-1996973</v>
      </c>
      <c r="L266" s="128" t="n">
        <f aca="false">K266-Q266+T266</f>
        <v>-1996973</v>
      </c>
      <c r="M266" s="117" t="s">
        <v>149</v>
      </c>
      <c r="N266" s="117" t="n">
        <v>-1996973</v>
      </c>
      <c r="O266" s="117" t="s">
        <v>149</v>
      </c>
      <c r="P266" s="117" t="n">
        <v>0</v>
      </c>
      <c r="Q266" s="117" t="n">
        <v>0</v>
      </c>
      <c r="R266" s="117" t="n">
        <v>-1996973</v>
      </c>
      <c r="S266" s="117" t="n">
        <v>0</v>
      </c>
      <c r="T266" s="117" t="n">
        <v>0</v>
      </c>
      <c r="U266" s="117" t="n">
        <v>305576</v>
      </c>
      <c r="V266" s="117" t="s">
        <v>1973</v>
      </c>
      <c r="X266" s="117" t="s">
        <v>2159</v>
      </c>
      <c r="Y266" s="117" t="s">
        <v>2160</v>
      </c>
      <c r="Z266" s="117" t="n">
        <v>1400000030</v>
      </c>
      <c r="AC266" s="117" t="s">
        <v>1976</v>
      </c>
      <c r="AD266" s="117" t="n">
        <v>310300</v>
      </c>
      <c r="AE266" s="117" t="s">
        <v>1969</v>
      </c>
      <c r="AF266" s="117" t="n">
        <v>101105</v>
      </c>
      <c r="AG266" s="117" t="s">
        <v>1977</v>
      </c>
      <c r="AI266" s="117" t="n">
        <v>101105</v>
      </c>
      <c r="AJ266" s="117" t="s">
        <v>1977</v>
      </c>
      <c r="AK266" s="117" t="n">
        <v>0</v>
      </c>
      <c r="AL266" s="117" t="n">
        <v>19</v>
      </c>
      <c r="AM266" s="117" t="s">
        <v>225</v>
      </c>
      <c r="AN266" s="117" t="s">
        <v>1978</v>
      </c>
      <c r="AP266" s="117" t="n">
        <v>100004317</v>
      </c>
      <c r="AQ266" s="118" t="n">
        <v>43583</v>
      </c>
      <c r="AR266" s="118" t="n">
        <v>43558</v>
      </c>
      <c r="AS266" s="117" t="n">
        <v>0.696990740740741</v>
      </c>
      <c r="AT266" s="117" t="n">
        <v>0</v>
      </c>
      <c r="AU266" s="117" t="n">
        <v>0</v>
      </c>
      <c r="AX266" s="117" t="n">
        <v>2</v>
      </c>
    </row>
    <row r="267" s="106" customFormat="true" ht="13.8" hidden="true" customHeight="false" outlineLevel="0" collapsed="false">
      <c r="A267" s="106" t="n">
        <v>1000</v>
      </c>
      <c r="B267" s="106" t="s">
        <v>1962</v>
      </c>
      <c r="C267" s="106" t="n">
        <v>103704</v>
      </c>
      <c r="D267" s="106" t="s">
        <v>2161</v>
      </c>
      <c r="E267" s="106" t="s">
        <v>1970</v>
      </c>
      <c r="F267" s="106" t="n">
        <v>1101</v>
      </c>
      <c r="G267" s="106" t="n">
        <v>2019</v>
      </c>
      <c r="H267" s="106" t="n">
        <v>3</v>
      </c>
      <c r="I267" s="129" t="n">
        <v>43641</v>
      </c>
      <c r="J267" s="129" t="n">
        <v>43641</v>
      </c>
      <c r="K267" s="107" t="n">
        <v>157168.41</v>
      </c>
      <c r="L267" s="130" t="n">
        <f aca="false">K267-Q267+T267</f>
        <v>133193.57</v>
      </c>
      <c r="M267" s="106" t="s">
        <v>149</v>
      </c>
      <c r="N267" s="106" t="n">
        <v>157168.41</v>
      </c>
      <c r="O267" s="106" t="s">
        <v>149</v>
      </c>
      <c r="P267" s="106" t="n">
        <v>0</v>
      </c>
      <c r="Q267" s="107" t="n">
        <v>23974.84</v>
      </c>
      <c r="R267" s="106" t="n">
        <v>133193.57</v>
      </c>
      <c r="S267" s="106" t="n">
        <v>0</v>
      </c>
      <c r="T267" s="106" t="n">
        <v>0</v>
      </c>
      <c r="U267" s="106" t="n">
        <v>318999</v>
      </c>
      <c r="V267" s="106" t="s">
        <v>143</v>
      </c>
      <c r="Z267" s="106" t="n">
        <v>103704</v>
      </c>
      <c r="AD267" s="106" t="n">
        <v>110000</v>
      </c>
      <c r="AE267" s="106" t="s">
        <v>1966</v>
      </c>
      <c r="AF267" s="106" t="n">
        <v>501040</v>
      </c>
      <c r="AG267" s="106" t="s">
        <v>2036</v>
      </c>
      <c r="AI267" s="106" t="n">
        <v>501040</v>
      </c>
      <c r="AJ267" s="106" t="s">
        <v>2036</v>
      </c>
      <c r="AK267" s="106" t="n">
        <v>0</v>
      </c>
      <c r="AL267" s="106" t="n">
        <v>1</v>
      </c>
      <c r="AM267" s="106" t="s">
        <v>161</v>
      </c>
      <c r="AP267" s="106" t="n">
        <v>100039983</v>
      </c>
      <c r="AQ267" s="129" t="n">
        <v>43645</v>
      </c>
      <c r="AR267" s="129" t="n">
        <v>43641</v>
      </c>
      <c r="AS267" s="106" t="n">
        <v>0.521585648148148</v>
      </c>
      <c r="AT267" s="106" t="n">
        <v>0</v>
      </c>
      <c r="AU267" s="106" t="n">
        <v>0</v>
      </c>
      <c r="AX267" s="106" t="n">
        <v>1</v>
      </c>
      <c r="ALU267" s="0"/>
      <c r="ALV267" s="0"/>
      <c r="ALW267" s="0"/>
      <c r="ALX267" s="0"/>
      <c r="ALY267" s="0"/>
      <c r="ALZ267" s="0"/>
      <c r="AMA267" s="0"/>
      <c r="AMB267" s="0"/>
      <c r="AMC267" s="0"/>
      <c r="AMD267" s="0"/>
      <c r="AME267" s="0"/>
      <c r="AMF267" s="0"/>
      <c r="AMG267" s="0"/>
      <c r="AMH267" s="0"/>
      <c r="AMI267" s="0"/>
      <c r="AMJ267" s="0"/>
    </row>
    <row r="268" customFormat="false" ht="13.8" hidden="true" customHeight="false" outlineLevel="0" collapsed="false">
      <c r="A268" s="117" t="n">
        <v>1000</v>
      </c>
      <c r="B268" s="117" t="s">
        <v>1962</v>
      </c>
      <c r="C268" s="117" t="n">
        <v>100039983</v>
      </c>
      <c r="E268" s="117" t="s">
        <v>1921</v>
      </c>
      <c r="F268" s="117" t="n">
        <v>1101</v>
      </c>
      <c r="G268" s="117" t="n">
        <v>2019</v>
      </c>
      <c r="H268" s="117" t="n">
        <v>3</v>
      </c>
      <c r="I268" s="118" t="n">
        <v>43645</v>
      </c>
      <c r="J268" s="118" t="n">
        <v>43645</v>
      </c>
      <c r="K268" s="119" t="n">
        <v>133593.15</v>
      </c>
      <c r="L268" s="128" t="n">
        <f aca="false">K268-Q268+T268</f>
        <v>133593.15</v>
      </c>
      <c r="M268" s="117" t="s">
        <v>149</v>
      </c>
      <c r="N268" s="117" t="n">
        <v>133593.15</v>
      </c>
      <c r="O268" s="117" t="s">
        <v>149</v>
      </c>
      <c r="P268" s="117" t="n">
        <v>0</v>
      </c>
      <c r="Q268" s="117" t="n">
        <v>0</v>
      </c>
      <c r="R268" s="117" t="n">
        <v>133593.15</v>
      </c>
      <c r="S268" s="117" t="n">
        <v>0</v>
      </c>
      <c r="T268" s="117" t="n">
        <v>0</v>
      </c>
      <c r="U268" s="117" t="n">
        <v>318999</v>
      </c>
      <c r="V268" s="117" t="s">
        <v>143</v>
      </c>
      <c r="X268" s="117" t="s">
        <v>2161</v>
      </c>
      <c r="Z268" s="117" t="n">
        <v>100039983</v>
      </c>
      <c r="AD268" s="117" t="n">
        <v>110000</v>
      </c>
      <c r="AE268" s="117" t="s">
        <v>1966</v>
      </c>
      <c r="AF268" s="117" t="n">
        <v>110000</v>
      </c>
      <c r="AG268" s="117" t="s">
        <v>1966</v>
      </c>
      <c r="AI268" s="117" t="n">
        <v>110000</v>
      </c>
      <c r="AJ268" s="117" t="s">
        <v>1966</v>
      </c>
      <c r="AK268" s="117" t="n">
        <v>0</v>
      </c>
      <c r="AL268" s="117" t="n">
        <v>4</v>
      </c>
      <c r="AM268" s="117" t="s">
        <v>161</v>
      </c>
      <c r="AP268" s="117" t="n">
        <v>100082045</v>
      </c>
      <c r="AQ268" s="118" t="n">
        <v>43708</v>
      </c>
      <c r="AR268" s="118" t="n">
        <v>43646</v>
      </c>
      <c r="AS268" s="117" t="n">
        <v>0.430601851851852</v>
      </c>
      <c r="AT268" s="117" t="n">
        <v>0</v>
      </c>
      <c r="AU268" s="117" t="n">
        <v>0</v>
      </c>
      <c r="AX268" s="117" t="n">
        <v>11</v>
      </c>
    </row>
    <row r="269" customFormat="false" ht="13.8" hidden="true" customHeight="false" outlineLevel="0" collapsed="false">
      <c r="A269" s="117" t="n">
        <v>1000</v>
      </c>
      <c r="B269" s="117" t="s">
        <v>1962</v>
      </c>
      <c r="C269" s="117" t="n">
        <v>100005104</v>
      </c>
      <c r="E269" s="117" t="s">
        <v>1921</v>
      </c>
      <c r="F269" s="117" t="n">
        <v>1109</v>
      </c>
      <c r="G269" s="117" t="n">
        <v>2019</v>
      </c>
      <c r="H269" s="117" t="n">
        <v>1</v>
      </c>
      <c r="I269" s="118" t="n">
        <v>43585</v>
      </c>
      <c r="J269" s="118" t="n">
        <v>43585</v>
      </c>
      <c r="K269" s="119" t="n">
        <v>8806</v>
      </c>
      <c r="L269" s="128" t="n">
        <f aca="false">K269-Q269+T269</f>
        <v>8806</v>
      </c>
      <c r="M269" s="117" t="s">
        <v>149</v>
      </c>
      <c r="N269" s="117" t="n">
        <v>8806</v>
      </c>
      <c r="O269" s="117" t="s">
        <v>149</v>
      </c>
      <c r="P269" s="117" t="n">
        <v>0</v>
      </c>
      <c r="Q269" s="117" t="n">
        <v>0</v>
      </c>
      <c r="R269" s="117" t="n">
        <v>8806</v>
      </c>
      <c r="S269" s="117" t="n">
        <v>0</v>
      </c>
      <c r="T269" s="117" t="n">
        <v>0</v>
      </c>
      <c r="U269" s="117" t="n">
        <v>312193</v>
      </c>
      <c r="V269" s="117" t="s">
        <v>1963</v>
      </c>
      <c r="X269" s="117" t="s">
        <v>2162</v>
      </c>
      <c r="Z269" s="117" t="n">
        <v>2316</v>
      </c>
      <c r="AB269" s="117" t="s">
        <v>1965</v>
      </c>
      <c r="AD269" s="117" t="n">
        <v>110000</v>
      </c>
      <c r="AE269" s="117" t="s">
        <v>1966</v>
      </c>
      <c r="AF269" s="117" t="n">
        <v>110000</v>
      </c>
      <c r="AG269" s="117" t="s">
        <v>1966</v>
      </c>
      <c r="AI269" s="117" t="n">
        <v>110000</v>
      </c>
      <c r="AJ269" s="117" t="s">
        <v>1966</v>
      </c>
      <c r="AK269" s="117" t="n">
        <v>0</v>
      </c>
      <c r="AL269" s="117" t="n">
        <v>4</v>
      </c>
      <c r="AM269" s="117" t="s">
        <v>161</v>
      </c>
      <c r="AP269" s="117" t="n">
        <v>100173563</v>
      </c>
      <c r="AQ269" s="118" t="n">
        <v>43799</v>
      </c>
      <c r="AR269" s="118" t="n">
        <v>43586</v>
      </c>
      <c r="AS269" s="117" t="n">
        <v>0.418055555555556</v>
      </c>
      <c r="AT269" s="117" t="n">
        <v>0</v>
      </c>
      <c r="AU269" s="117" t="n">
        <v>0</v>
      </c>
      <c r="AX269" s="117" t="n">
        <v>3</v>
      </c>
    </row>
    <row r="270" customFormat="false" ht="13.8" hidden="true" customHeight="false" outlineLevel="0" collapsed="false">
      <c r="A270" s="117" t="n">
        <v>1000</v>
      </c>
      <c r="B270" s="117" t="s">
        <v>1962</v>
      </c>
      <c r="C270" s="117" t="n">
        <v>1600000096</v>
      </c>
      <c r="E270" s="117" t="s">
        <v>1987</v>
      </c>
      <c r="F270" s="117" t="n">
        <v>1101</v>
      </c>
      <c r="G270" s="117" t="n">
        <v>2019</v>
      </c>
      <c r="H270" s="117" t="n">
        <v>3</v>
      </c>
      <c r="I270" s="118" t="n">
        <v>43645</v>
      </c>
      <c r="J270" s="118" t="n">
        <v>43645</v>
      </c>
      <c r="K270" s="119" t="n">
        <v>-2249</v>
      </c>
      <c r="L270" s="128" t="n">
        <f aca="false">K270-Q270+T270</f>
        <v>-2249</v>
      </c>
      <c r="M270" s="117" t="s">
        <v>149</v>
      </c>
      <c r="N270" s="117" t="n">
        <v>-2249</v>
      </c>
      <c r="O270" s="117" t="s">
        <v>149</v>
      </c>
      <c r="P270" s="117" t="n">
        <v>-2249</v>
      </c>
      <c r="Q270" s="117" t="n">
        <v>0</v>
      </c>
      <c r="R270" s="117" t="n">
        <v>-2249</v>
      </c>
      <c r="S270" s="117" t="n">
        <v>0</v>
      </c>
      <c r="T270" s="117" t="n">
        <v>0</v>
      </c>
      <c r="U270" s="117" t="n">
        <v>304431</v>
      </c>
      <c r="V270" s="117" t="s">
        <v>2016</v>
      </c>
      <c r="X270" s="117" t="s">
        <v>2163</v>
      </c>
      <c r="Y270" s="117" t="s">
        <v>2164</v>
      </c>
      <c r="Z270" s="117" t="n">
        <v>1600000096</v>
      </c>
      <c r="AD270" s="117" t="n">
        <v>110000</v>
      </c>
      <c r="AE270" s="117" t="s">
        <v>1966</v>
      </c>
      <c r="AF270" s="117" t="n">
        <v>111201</v>
      </c>
      <c r="AG270" s="117" t="s">
        <v>2165</v>
      </c>
      <c r="AI270" s="117" t="n">
        <v>111201</v>
      </c>
      <c r="AJ270" s="117" t="s">
        <v>2165</v>
      </c>
      <c r="AK270" s="117" t="n">
        <v>0</v>
      </c>
      <c r="AL270" s="117" t="n">
        <v>14</v>
      </c>
      <c r="AM270" s="117" t="s">
        <v>225</v>
      </c>
      <c r="AP270" s="117" t="n">
        <v>100048476</v>
      </c>
      <c r="AQ270" s="118" t="n">
        <v>43646</v>
      </c>
      <c r="AR270" s="118" t="n">
        <v>43645</v>
      </c>
      <c r="AS270" s="117" t="n">
        <v>0.743657407407408</v>
      </c>
      <c r="AT270" s="117" t="n">
        <v>0</v>
      </c>
      <c r="AU270" s="117" t="n">
        <v>0</v>
      </c>
      <c r="AX270" s="117" t="n">
        <v>12</v>
      </c>
    </row>
    <row r="271" customFormat="false" ht="13.8" hidden="true" customHeight="false" outlineLevel="0" collapsed="false">
      <c r="A271" s="117" t="n">
        <v>1000</v>
      </c>
      <c r="B271" s="117" t="s">
        <v>1962</v>
      </c>
      <c r="C271" s="117" t="n">
        <v>100050530</v>
      </c>
      <c r="E271" s="117" t="s">
        <v>1921</v>
      </c>
      <c r="F271" s="117" t="n">
        <v>1109</v>
      </c>
      <c r="G271" s="117" t="n">
        <v>2019</v>
      </c>
      <c r="H271" s="117" t="n">
        <v>3</v>
      </c>
      <c r="I271" s="118" t="n">
        <v>43646</v>
      </c>
      <c r="J271" s="118" t="n">
        <v>43646</v>
      </c>
      <c r="K271" s="119" t="n">
        <v>-800728.83</v>
      </c>
      <c r="L271" s="128" t="n">
        <f aca="false">K271-Q271+T271</f>
        <v>-800728.83</v>
      </c>
      <c r="M271" s="117" t="s">
        <v>149</v>
      </c>
      <c r="N271" s="117" t="n">
        <v>-800728.83</v>
      </c>
      <c r="O271" s="117" t="s">
        <v>149</v>
      </c>
      <c r="P271" s="117" t="n">
        <v>0</v>
      </c>
      <c r="Q271" s="117" t="n">
        <v>0</v>
      </c>
      <c r="R271" s="117" t="n">
        <v>-800728.83</v>
      </c>
      <c r="S271" s="117" t="n">
        <v>0</v>
      </c>
      <c r="T271" s="117" t="n">
        <v>0</v>
      </c>
      <c r="U271" s="117" t="n">
        <v>312193</v>
      </c>
      <c r="V271" s="117" t="s">
        <v>1963</v>
      </c>
      <c r="Z271" s="117" t="n">
        <v>100050530</v>
      </c>
      <c r="AD271" s="117" t="n">
        <v>110000</v>
      </c>
      <c r="AE271" s="117" t="s">
        <v>1966</v>
      </c>
      <c r="AF271" s="117" t="n">
        <v>110000</v>
      </c>
      <c r="AG271" s="117" t="s">
        <v>1966</v>
      </c>
      <c r="AI271" s="117" t="n">
        <v>110000</v>
      </c>
      <c r="AJ271" s="117" t="s">
        <v>1966</v>
      </c>
      <c r="AK271" s="117" t="n">
        <v>0</v>
      </c>
      <c r="AL271" s="117" t="n">
        <v>17</v>
      </c>
      <c r="AM271" s="117" t="s">
        <v>225</v>
      </c>
      <c r="AP271" s="117" t="n">
        <v>100050530</v>
      </c>
      <c r="AQ271" s="118" t="n">
        <v>43646</v>
      </c>
      <c r="AR271" s="118" t="n">
        <v>43647</v>
      </c>
      <c r="AS271" s="117" t="n">
        <v>0.639074074074074</v>
      </c>
      <c r="AT271" s="117" t="n">
        <v>0</v>
      </c>
      <c r="AU271" s="117" t="n">
        <v>0</v>
      </c>
      <c r="AX271" s="117" t="n">
        <v>2</v>
      </c>
    </row>
    <row r="272" customFormat="false" ht="13.8" hidden="true" customHeight="false" outlineLevel="0" collapsed="false">
      <c r="A272" s="117" t="n">
        <v>1000</v>
      </c>
      <c r="B272" s="117" t="s">
        <v>1962</v>
      </c>
      <c r="C272" s="117" t="n">
        <v>1600000126</v>
      </c>
      <c r="D272" s="117" t="s">
        <v>2166</v>
      </c>
      <c r="E272" s="117" t="s">
        <v>1987</v>
      </c>
      <c r="F272" s="117" t="n">
        <v>1106</v>
      </c>
      <c r="G272" s="117" t="n">
        <v>2019</v>
      </c>
      <c r="H272" s="117" t="n">
        <v>3</v>
      </c>
      <c r="I272" s="118" t="n">
        <v>43646</v>
      </c>
      <c r="J272" s="118" t="n">
        <v>43646</v>
      </c>
      <c r="K272" s="119" t="n">
        <v>70</v>
      </c>
      <c r="L272" s="128" t="n">
        <f aca="false">K272-Q272+T272</f>
        <v>70</v>
      </c>
      <c r="M272" s="117" t="s">
        <v>149</v>
      </c>
      <c r="N272" s="117" t="n">
        <v>70</v>
      </c>
      <c r="O272" s="117" t="s">
        <v>149</v>
      </c>
      <c r="P272" s="117" t="n">
        <v>70</v>
      </c>
      <c r="Q272" s="117" t="n">
        <v>0</v>
      </c>
      <c r="R272" s="117" t="n">
        <v>70</v>
      </c>
      <c r="S272" s="117" t="n">
        <v>0</v>
      </c>
      <c r="T272" s="117" t="n">
        <v>0</v>
      </c>
      <c r="U272" s="117" t="n">
        <v>312351</v>
      </c>
      <c r="V272" s="117" t="s">
        <v>2156</v>
      </c>
      <c r="X272" s="117" t="s">
        <v>2157</v>
      </c>
      <c r="Y272" s="117" t="s">
        <v>2167</v>
      </c>
      <c r="Z272" s="117" t="n">
        <v>1600000126</v>
      </c>
      <c r="AD272" s="117" t="n">
        <v>110000</v>
      </c>
      <c r="AE272" s="117" t="s">
        <v>1966</v>
      </c>
      <c r="AF272" s="117" t="n">
        <v>312351</v>
      </c>
      <c r="AG272" s="117" t="s">
        <v>2156</v>
      </c>
      <c r="AI272" s="117" t="n">
        <v>312351</v>
      </c>
      <c r="AJ272" s="131" t="s">
        <v>2156</v>
      </c>
      <c r="AK272" s="117" t="n">
        <v>0</v>
      </c>
      <c r="AL272" s="117" t="n">
        <v>4</v>
      </c>
      <c r="AM272" s="117" t="s">
        <v>161</v>
      </c>
      <c r="AP272" s="117" t="n">
        <v>100050988</v>
      </c>
      <c r="AQ272" s="118" t="n">
        <v>43646</v>
      </c>
      <c r="AR272" s="118" t="n">
        <v>43647</v>
      </c>
      <c r="AS272" s="117" t="n">
        <v>0.756342592592593</v>
      </c>
      <c r="AT272" s="117" t="n">
        <v>0</v>
      </c>
      <c r="AU272" s="117" t="n">
        <v>0</v>
      </c>
      <c r="AX272" s="117" t="n">
        <v>1</v>
      </c>
    </row>
    <row r="273" customFormat="false" ht="13.8" hidden="true" customHeight="false" outlineLevel="0" collapsed="false">
      <c r="A273" s="117" t="n">
        <v>1000</v>
      </c>
      <c r="B273" s="117" t="s">
        <v>1962</v>
      </c>
      <c r="C273" s="117" t="n">
        <v>100048609</v>
      </c>
      <c r="E273" s="117" t="s">
        <v>1921</v>
      </c>
      <c r="F273" s="117" t="n">
        <v>1101</v>
      </c>
      <c r="G273" s="117" t="n">
        <v>2019</v>
      </c>
      <c r="H273" s="117" t="n">
        <v>3</v>
      </c>
      <c r="I273" s="118" t="n">
        <v>43646</v>
      </c>
      <c r="J273" s="118" t="n">
        <v>43646</v>
      </c>
      <c r="K273" s="119" t="n">
        <v>9353.26</v>
      </c>
      <c r="L273" s="128" t="n">
        <f aca="false">K273-Q273+T273</f>
        <v>9353.26</v>
      </c>
      <c r="M273" s="117" t="s">
        <v>149</v>
      </c>
      <c r="N273" s="117" t="n">
        <v>9353.26</v>
      </c>
      <c r="O273" s="117" t="s">
        <v>149</v>
      </c>
      <c r="P273" s="117" t="n">
        <v>0</v>
      </c>
      <c r="Q273" s="117" t="n">
        <v>0</v>
      </c>
      <c r="R273" s="117" t="n">
        <v>9353.26</v>
      </c>
      <c r="S273" s="117" t="n">
        <v>0</v>
      </c>
      <c r="T273" s="117" t="n">
        <v>0</v>
      </c>
      <c r="U273" s="117" t="n">
        <v>318420</v>
      </c>
      <c r="V273" s="117" t="s">
        <v>2153</v>
      </c>
      <c r="Z273" s="117" t="n">
        <v>100048609</v>
      </c>
      <c r="AD273" s="117" t="n">
        <v>110000</v>
      </c>
      <c r="AE273" s="117" t="s">
        <v>1966</v>
      </c>
      <c r="AF273" s="117" t="n">
        <v>110000</v>
      </c>
      <c r="AG273" s="117" t="s">
        <v>1966</v>
      </c>
      <c r="AI273" s="117" t="n">
        <v>110000</v>
      </c>
      <c r="AJ273" s="117" t="s">
        <v>1966</v>
      </c>
      <c r="AK273" s="117" t="n">
        <v>0</v>
      </c>
      <c r="AL273" s="117" t="n">
        <v>7</v>
      </c>
      <c r="AM273" s="117" t="s">
        <v>161</v>
      </c>
      <c r="AP273" s="117" t="n">
        <v>100048609</v>
      </c>
      <c r="AQ273" s="118" t="n">
        <v>43646</v>
      </c>
      <c r="AR273" s="118" t="n">
        <v>43647</v>
      </c>
      <c r="AS273" s="117" t="n">
        <v>0.208842592592593</v>
      </c>
      <c r="AT273" s="117" t="n">
        <v>0</v>
      </c>
      <c r="AU273" s="117" t="n">
        <v>0</v>
      </c>
      <c r="AX273" s="117" t="n">
        <v>2</v>
      </c>
    </row>
    <row r="274" customFormat="false" ht="13.8" hidden="true" customHeight="false" outlineLevel="0" collapsed="false">
      <c r="A274" s="117" t="n">
        <v>1000</v>
      </c>
      <c r="B274" s="117" t="s">
        <v>1962</v>
      </c>
      <c r="C274" s="117" t="n">
        <v>100004318</v>
      </c>
      <c r="E274" s="117" t="s">
        <v>1921</v>
      </c>
      <c r="F274" s="117" t="n">
        <v>1108</v>
      </c>
      <c r="G274" s="117" t="n">
        <v>2019</v>
      </c>
      <c r="H274" s="117" t="n">
        <v>1</v>
      </c>
      <c r="I274" s="118" t="n">
        <v>43583</v>
      </c>
      <c r="J274" s="118" t="n">
        <v>43583</v>
      </c>
      <c r="K274" s="119" t="n">
        <v>-4868539.72</v>
      </c>
      <c r="L274" s="128" t="n">
        <f aca="false">K274-Q274+T274</f>
        <v>-4868539.72</v>
      </c>
      <c r="M274" s="117" t="s">
        <v>149</v>
      </c>
      <c r="N274" s="117" t="n">
        <v>-4868539.72</v>
      </c>
      <c r="O274" s="117" t="s">
        <v>149</v>
      </c>
      <c r="P274" s="117" t="n">
        <v>0</v>
      </c>
      <c r="Q274" s="117" t="n">
        <v>0</v>
      </c>
      <c r="R274" s="117" t="n">
        <v>-4868539.72</v>
      </c>
      <c r="S274" s="117" t="n">
        <v>0</v>
      </c>
      <c r="T274" s="117" t="n">
        <v>0</v>
      </c>
      <c r="U274" s="117" t="n">
        <v>306263</v>
      </c>
      <c r="V274" s="117" t="s">
        <v>2006</v>
      </c>
      <c r="Z274" s="117" t="n">
        <v>100004318</v>
      </c>
      <c r="AD274" s="117" t="n">
        <v>110000</v>
      </c>
      <c r="AE274" s="117" t="s">
        <v>1966</v>
      </c>
      <c r="AF274" s="117" t="n">
        <v>110000</v>
      </c>
      <c r="AG274" s="117" t="s">
        <v>1966</v>
      </c>
      <c r="AI274" s="117" t="n">
        <v>110000</v>
      </c>
      <c r="AJ274" s="117" t="s">
        <v>1966</v>
      </c>
      <c r="AK274" s="117" t="n">
        <v>0</v>
      </c>
      <c r="AL274" s="117" t="n">
        <v>17</v>
      </c>
      <c r="AM274" s="117" t="s">
        <v>225</v>
      </c>
      <c r="AP274" s="117" t="n">
        <v>100004318</v>
      </c>
      <c r="AQ274" s="118" t="n">
        <v>43583</v>
      </c>
      <c r="AR274" s="118" t="n">
        <v>43583</v>
      </c>
      <c r="AS274" s="117" t="n">
        <v>0.490381944444444</v>
      </c>
      <c r="AT274" s="117" t="n">
        <v>0</v>
      </c>
      <c r="AU274" s="117" t="n">
        <v>0</v>
      </c>
      <c r="AX274" s="117" t="n">
        <v>3</v>
      </c>
    </row>
    <row r="275" customFormat="false" ht="13.8" hidden="true" customHeight="false" outlineLevel="0" collapsed="false">
      <c r="A275" s="117" t="n">
        <v>1000</v>
      </c>
      <c r="B275" s="117" t="s">
        <v>1962</v>
      </c>
      <c r="C275" s="117" t="n">
        <v>100020125</v>
      </c>
      <c r="E275" s="117" t="s">
        <v>1921</v>
      </c>
      <c r="F275" s="117" t="n">
        <v>1109</v>
      </c>
      <c r="G275" s="117" t="n">
        <v>2019</v>
      </c>
      <c r="H275" s="117" t="n">
        <v>2</v>
      </c>
      <c r="I275" s="118" t="n">
        <v>43611</v>
      </c>
      <c r="J275" s="118" t="n">
        <v>43611</v>
      </c>
      <c r="K275" s="119" t="n">
        <v>-380140.76</v>
      </c>
      <c r="L275" s="128" t="n">
        <f aca="false">K275-Q275+T275</f>
        <v>-380140.76</v>
      </c>
      <c r="M275" s="117" t="s">
        <v>149</v>
      </c>
      <c r="N275" s="117" t="n">
        <v>-380140.76</v>
      </c>
      <c r="O275" s="117" t="s">
        <v>149</v>
      </c>
      <c r="P275" s="117" t="n">
        <v>0</v>
      </c>
      <c r="Q275" s="117" t="n">
        <v>0</v>
      </c>
      <c r="R275" s="117" t="n">
        <v>-380140.76</v>
      </c>
      <c r="S275" s="117" t="n">
        <v>0</v>
      </c>
      <c r="T275" s="117" t="n">
        <v>0</v>
      </c>
      <c r="U275" s="117" t="n">
        <v>307259</v>
      </c>
      <c r="V275" s="117" t="s">
        <v>143</v>
      </c>
      <c r="Z275" s="117" t="n">
        <v>100020125</v>
      </c>
      <c r="AD275" s="117" t="n">
        <v>110000</v>
      </c>
      <c r="AE275" s="117" t="s">
        <v>1966</v>
      </c>
      <c r="AF275" s="117" t="n">
        <v>110000</v>
      </c>
      <c r="AG275" s="117" t="s">
        <v>1966</v>
      </c>
      <c r="AI275" s="117" t="n">
        <v>110000</v>
      </c>
      <c r="AJ275" s="117" t="s">
        <v>1966</v>
      </c>
      <c r="AK275" s="117" t="n">
        <v>0</v>
      </c>
      <c r="AL275" s="117" t="n">
        <v>17</v>
      </c>
      <c r="AM275" s="117" t="s">
        <v>225</v>
      </c>
      <c r="AP275" s="117" t="n">
        <v>100020125</v>
      </c>
      <c r="AQ275" s="118" t="n">
        <v>43611</v>
      </c>
      <c r="AR275" s="118" t="n">
        <v>43611</v>
      </c>
      <c r="AS275" s="117" t="n">
        <v>0.719733796296296</v>
      </c>
      <c r="AT275" s="117" t="n">
        <v>0</v>
      </c>
      <c r="AU275" s="117" t="n">
        <v>0</v>
      </c>
      <c r="AX275" s="117" t="n">
        <v>3</v>
      </c>
    </row>
    <row r="276" customFormat="false" ht="13.8" hidden="true" customHeight="false" outlineLevel="0" collapsed="false">
      <c r="A276" s="117" t="n">
        <v>1000</v>
      </c>
      <c r="B276" s="117" t="s">
        <v>1962</v>
      </c>
      <c r="C276" s="117" t="n">
        <v>100022435</v>
      </c>
      <c r="E276" s="117" t="s">
        <v>1921</v>
      </c>
      <c r="F276" s="117" t="n">
        <v>1108</v>
      </c>
      <c r="G276" s="117" t="n">
        <v>2019</v>
      </c>
      <c r="H276" s="117" t="n">
        <v>2</v>
      </c>
      <c r="I276" s="118" t="n">
        <v>43616</v>
      </c>
      <c r="J276" s="118" t="n">
        <v>43616</v>
      </c>
      <c r="K276" s="119" t="n">
        <v>6556.41</v>
      </c>
      <c r="L276" s="128" t="n">
        <f aca="false">K276-Q276+T276</f>
        <v>6556.41</v>
      </c>
      <c r="M276" s="117" t="s">
        <v>149</v>
      </c>
      <c r="N276" s="117" t="n">
        <v>6556.41</v>
      </c>
      <c r="O276" s="117" t="s">
        <v>149</v>
      </c>
      <c r="P276" s="117" t="n">
        <v>0</v>
      </c>
      <c r="Q276" s="117" t="n">
        <v>0</v>
      </c>
      <c r="R276" s="117" t="n">
        <v>6556.41</v>
      </c>
      <c r="S276" s="117" t="n">
        <v>0</v>
      </c>
      <c r="T276" s="117" t="n">
        <v>0</v>
      </c>
      <c r="U276" s="117" t="n">
        <v>312193</v>
      </c>
      <c r="V276" s="117" t="s">
        <v>1963</v>
      </c>
      <c r="X276" s="117" t="s">
        <v>2168</v>
      </c>
      <c r="Z276" s="117" t="n">
        <v>2346</v>
      </c>
      <c r="AB276" s="117" t="s">
        <v>2031</v>
      </c>
      <c r="AD276" s="117" t="n">
        <v>110000</v>
      </c>
      <c r="AE276" s="117" t="s">
        <v>1966</v>
      </c>
      <c r="AF276" s="117" t="n">
        <v>110000</v>
      </c>
      <c r="AG276" s="117" t="s">
        <v>1966</v>
      </c>
      <c r="AI276" s="117" t="n">
        <v>110000</v>
      </c>
      <c r="AJ276" s="117" t="s">
        <v>1966</v>
      </c>
      <c r="AK276" s="117" t="n">
        <v>0</v>
      </c>
      <c r="AL276" s="117" t="n">
        <v>4</v>
      </c>
      <c r="AM276" s="117" t="s">
        <v>161</v>
      </c>
      <c r="AR276" s="118" t="n">
        <v>43617</v>
      </c>
      <c r="AS276" s="117" t="n">
        <v>0.582719907407407</v>
      </c>
      <c r="AT276" s="117" t="n">
        <v>0</v>
      </c>
      <c r="AU276" s="117" t="n">
        <v>0</v>
      </c>
      <c r="AX276" s="117" t="n">
        <v>1</v>
      </c>
    </row>
    <row r="277" customFormat="false" ht="13.8" hidden="true" customHeight="false" outlineLevel="0" collapsed="false">
      <c r="A277" s="117" t="n">
        <v>1000</v>
      </c>
      <c r="B277" s="117" t="s">
        <v>1962</v>
      </c>
      <c r="C277" s="117" t="n">
        <v>100013850</v>
      </c>
      <c r="E277" s="117" t="s">
        <v>1921</v>
      </c>
      <c r="F277" s="117" t="n">
        <v>1109</v>
      </c>
      <c r="G277" s="117" t="n">
        <v>2019</v>
      </c>
      <c r="H277" s="117" t="n">
        <v>1</v>
      </c>
      <c r="I277" s="118" t="n">
        <v>43585</v>
      </c>
      <c r="J277" s="118" t="n">
        <v>43585</v>
      </c>
      <c r="K277" s="119" t="n">
        <v>1449</v>
      </c>
      <c r="L277" s="128" t="n">
        <f aca="false">K277-Q277+T277</f>
        <v>1449</v>
      </c>
      <c r="M277" s="117" t="s">
        <v>149</v>
      </c>
      <c r="N277" s="117" t="n">
        <v>1449</v>
      </c>
      <c r="O277" s="117" t="s">
        <v>149</v>
      </c>
      <c r="P277" s="117" t="n">
        <v>0</v>
      </c>
      <c r="Q277" s="117" t="n">
        <v>0</v>
      </c>
      <c r="R277" s="117" t="n">
        <v>1449</v>
      </c>
      <c r="S277" s="117" t="n">
        <v>0</v>
      </c>
      <c r="T277" s="117" t="n">
        <v>0</v>
      </c>
      <c r="U277" s="117" t="n">
        <v>304431</v>
      </c>
      <c r="V277" s="117" t="s">
        <v>2016</v>
      </c>
      <c r="X277" s="117" t="s">
        <v>2169</v>
      </c>
      <c r="Z277" s="117" t="n">
        <v>2247</v>
      </c>
      <c r="AB277" s="117" t="s">
        <v>2043</v>
      </c>
      <c r="AD277" s="117" t="n">
        <v>110000</v>
      </c>
      <c r="AE277" s="117" t="s">
        <v>1966</v>
      </c>
      <c r="AF277" s="117" t="n">
        <v>110000</v>
      </c>
      <c r="AG277" s="117" t="s">
        <v>1966</v>
      </c>
      <c r="AI277" s="117" t="n">
        <v>110000</v>
      </c>
      <c r="AJ277" s="117" t="s">
        <v>1966</v>
      </c>
      <c r="AK277" s="117" t="n">
        <v>0</v>
      </c>
      <c r="AL277" s="117" t="n">
        <v>4</v>
      </c>
      <c r="AM277" s="117" t="s">
        <v>161</v>
      </c>
      <c r="AP277" s="117" t="n">
        <v>100048476</v>
      </c>
      <c r="AQ277" s="118" t="n">
        <v>43646</v>
      </c>
      <c r="AR277" s="118" t="n">
        <v>43587</v>
      </c>
      <c r="AS277" s="117" t="n">
        <v>0.651875</v>
      </c>
      <c r="AT277" s="117" t="n">
        <v>0</v>
      </c>
      <c r="AU277" s="117" t="n">
        <v>0</v>
      </c>
      <c r="AX277" s="117" t="n">
        <v>1</v>
      </c>
    </row>
    <row r="278" customFormat="false" ht="13.8" hidden="true" customHeight="false" outlineLevel="0" collapsed="false">
      <c r="A278" s="117" t="n">
        <v>1000</v>
      </c>
      <c r="B278" s="117" t="s">
        <v>1962</v>
      </c>
      <c r="C278" s="117" t="n">
        <v>100020143</v>
      </c>
      <c r="E278" s="117" t="s">
        <v>1921</v>
      </c>
      <c r="F278" s="117" t="n">
        <v>1106</v>
      </c>
      <c r="G278" s="117" t="n">
        <v>2019</v>
      </c>
      <c r="H278" s="117" t="n">
        <v>2</v>
      </c>
      <c r="I278" s="118" t="n">
        <v>43611</v>
      </c>
      <c r="J278" s="118" t="n">
        <v>43611</v>
      </c>
      <c r="K278" s="119" t="n">
        <v>22125.41</v>
      </c>
      <c r="L278" s="128" t="n">
        <f aca="false">K278-Q278+T278</f>
        <v>22125.41</v>
      </c>
      <c r="M278" s="117" t="s">
        <v>149</v>
      </c>
      <c r="N278" s="117" t="n">
        <v>22125.41</v>
      </c>
      <c r="O278" s="117" t="s">
        <v>149</v>
      </c>
      <c r="P278" s="117" t="n">
        <v>0</v>
      </c>
      <c r="Q278" s="117" t="n">
        <v>0</v>
      </c>
      <c r="R278" s="117" t="n">
        <v>22125.41</v>
      </c>
      <c r="S278" s="117" t="n">
        <v>0</v>
      </c>
      <c r="T278" s="117" t="n">
        <v>0</v>
      </c>
      <c r="U278" s="117" t="n">
        <v>312193</v>
      </c>
      <c r="V278" s="117" t="s">
        <v>1963</v>
      </c>
      <c r="Z278" s="117" t="n">
        <v>100020143</v>
      </c>
      <c r="AD278" s="117" t="n">
        <v>310300</v>
      </c>
      <c r="AE278" s="117" t="s">
        <v>1969</v>
      </c>
      <c r="AF278" s="117" t="n">
        <v>110000</v>
      </c>
      <c r="AG278" s="117" t="s">
        <v>1966</v>
      </c>
      <c r="AI278" s="117" t="n">
        <v>110000</v>
      </c>
      <c r="AJ278" s="117" t="s">
        <v>1966</v>
      </c>
      <c r="AK278" s="117" t="n">
        <v>0</v>
      </c>
      <c r="AL278" s="117" t="n">
        <v>9</v>
      </c>
      <c r="AM278" s="117" t="s">
        <v>161</v>
      </c>
      <c r="AN278" s="117" t="s">
        <v>1978</v>
      </c>
      <c r="AP278" s="117" t="n">
        <v>100020143</v>
      </c>
      <c r="AQ278" s="118" t="n">
        <v>43611</v>
      </c>
      <c r="AR278" s="118" t="n">
        <v>43611</v>
      </c>
      <c r="AS278" s="117" t="n">
        <v>0.749513888888889</v>
      </c>
      <c r="AT278" s="117" t="n">
        <v>0</v>
      </c>
      <c r="AU278" s="117" t="n">
        <v>0</v>
      </c>
      <c r="AX278" s="117" t="n">
        <v>3</v>
      </c>
    </row>
    <row r="279" s="106" customFormat="true" ht="13.8" hidden="true" customHeight="false" outlineLevel="0" collapsed="false">
      <c r="A279" s="106" t="n">
        <v>1000</v>
      </c>
      <c r="B279" s="106" t="s">
        <v>1962</v>
      </c>
      <c r="C279" s="106" t="n">
        <v>103104</v>
      </c>
      <c r="D279" s="106" t="s">
        <v>1502</v>
      </c>
      <c r="E279" s="106" t="s">
        <v>1970</v>
      </c>
      <c r="F279" s="106" t="n">
        <v>1101</v>
      </c>
      <c r="G279" s="106" t="n">
        <v>2019</v>
      </c>
      <c r="H279" s="106" t="n">
        <v>3</v>
      </c>
      <c r="I279" s="129" t="n">
        <v>43629</v>
      </c>
      <c r="J279" s="129" t="n">
        <v>43629</v>
      </c>
      <c r="K279" s="107" t="n">
        <v>826000</v>
      </c>
      <c r="L279" s="130" t="n">
        <f aca="false">K279-Q279+T279</f>
        <v>700000</v>
      </c>
      <c r="M279" s="106" t="s">
        <v>149</v>
      </c>
      <c r="N279" s="106" t="n">
        <v>826000</v>
      </c>
      <c r="O279" s="106" t="s">
        <v>149</v>
      </c>
      <c r="P279" s="106" t="n">
        <v>0</v>
      </c>
      <c r="Q279" s="107" t="n">
        <v>126000</v>
      </c>
      <c r="R279" s="106" t="n">
        <v>700000</v>
      </c>
      <c r="S279" s="106" t="n">
        <v>0</v>
      </c>
      <c r="T279" s="106" t="n">
        <v>0</v>
      </c>
      <c r="U279" s="106" t="n">
        <v>309728</v>
      </c>
      <c r="V279" s="106" t="s">
        <v>1968</v>
      </c>
      <c r="Z279" s="106" t="n">
        <v>59184</v>
      </c>
      <c r="AB279" s="106" t="n">
        <v>2300049939</v>
      </c>
      <c r="AD279" s="106" t="n">
        <v>110000</v>
      </c>
      <c r="AE279" s="106" t="s">
        <v>1966</v>
      </c>
      <c r="AF279" s="106" t="n">
        <v>501000</v>
      </c>
      <c r="AG279" s="106" t="s">
        <v>2170</v>
      </c>
      <c r="AI279" s="106" t="n">
        <v>501000</v>
      </c>
      <c r="AJ279" s="106" t="s">
        <v>2170</v>
      </c>
      <c r="AK279" s="106" t="n">
        <v>0</v>
      </c>
      <c r="AL279" s="106" t="n">
        <v>1</v>
      </c>
      <c r="AM279" s="106" t="s">
        <v>161</v>
      </c>
      <c r="AP279" s="106" t="n">
        <v>100039091</v>
      </c>
      <c r="AQ279" s="129" t="n">
        <v>43644</v>
      </c>
      <c r="AR279" s="129" t="n">
        <v>43629</v>
      </c>
      <c r="AS279" s="106" t="n">
        <v>0.747650462962963</v>
      </c>
      <c r="AT279" s="106" t="n">
        <v>0</v>
      </c>
      <c r="AU279" s="106" t="n">
        <v>0</v>
      </c>
      <c r="AX279" s="106" t="n">
        <v>1</v>
      </c>
      <c r="ALU279" s="0"/>
      <c r="ALV279" s="0"/>
      <c r="ALW279" s="0"/>
      <c r="ALX279" s="0"/>
      <c r="ALY279" s="0"/>
      <c r="ALZ279" s="0"/>
      <c r="AMA279" s="0"/>
      <c r="AMB279" s="0"/>
      <c r="AMC279" s="0"/>
      <c r="AMD279" s="0"/>
      <c r="AME279" s="0"/>
      <c r="AMF279" s="0"/>
      <c r="AMG279" s="0"/>
      <c r="AMH279" s="0"/>
      <c r="AMI279" s="0"/>
      <c r="AMJ279" s="0"/>
    </row>
    <row r="280" customFormat="false" ht="13.8" hidden="true" customHeight="false" outlineLevel="0" collapsed="false">
      <c r="A280" s="117" t="n">
        <v>1000</v>
      </c>
      <c r="B280" s="117" t="s">
        <v>1962</v>
      </c>
      <c r="C280" s="117" t="n">
        <v>1600000096</v>
      </c>
      <c r="E280" s="117" t="s">
        <v>1987</v>
      </c>
      <c r="F280" s="117" t="n">
        <v>1101</v>
      </c>
      <c r="G280" s="117" t="n">
        <v>2019</v>
      </c>
      <c r="H280" s="117" t="n">
        <v>3</v>
      </c>
      <c r="I280" s="118" t="n">
        <v>43645</v>
      </c>
      <c r="J280" s="118" t="n">
        <v>43645</v>
      </c>
      <c r="K280" s="119" t="n">
        <v>-1449</v>
      </c>
      <c r="L280" s="128" t="n">
        <f aca="false">K280-Q280+T280</f>
        <v>-1449</v>
      </c>
      <c r="M280" s="117" t="s">
        <v>149</v>
      </c>
      <c r="N280" s="117" t="n">
        <v>-1449</v>
      </c>
      <c r="O280" s="117" t="s">
        <v>149</v>
      </c>
      <c r="P280" s="117" t="n">
        <v>-1449</v>
      </c>
      <c r="Q280" s="117" t="n">
        <v>0</v>
      </c>
      <c r="R280" s="117" t="n">
        <v>-1449</v>
      </c>
      <c r="S280" s="117" t="n">
        <v>0</v>
      </c>
      <c r="T280" s="117" t="n">
        <v>0</v>
      </c>
      <c r="U280" s="117" t="n">
        <v>304431</v>
      </c>
      <c r="V280" s="117" t="s">
        <v>2016</v>
      </c>
      <c r="X280" s="117" t="s">
        <v>2171</v>
      </c>
      <c r="Y280" s="117" t="s">
        <v>2164</v>
      </c>
      <c r="Z280" s="117" t="n">
        <v>1600000096</v>
      </c>
      <c r="AD280" s="117" t="n">
        <v>110000</v>
      </c>
      <c r="AE280" s="117" t="s">
        <v>1966</v>
      </c>
      <c r="AF280" s="117" t="n">
        <v>111201</v>
      </c>
      <c r="AG280" s="117" t="s">
        <v>2165</v>
      </c>
      <c r="AI280" s="117" t="n">
        <v>111201</v>
      </c>
      <c r="AJ280" s="117" t="s">
        <v>2165</v>
      </c>
      <c r="AK280" s="117" t="n">
        <v>0</v>
      </c>
      <c r="AL280" s="117" t="n">
        <v>14</v>
      </c>
      <c r="AM280" s="117" t="s">
        <v>225</v>
      </c>
      <c r="AP280" s="117" t="n">
        <v>100048476</v>
      </c>
      <c r="AQ280" s="118" t="n">
        <v>43646</v>
      </c>
      <c r="AR280" s="118" t="n">
        <v>43645</v>
      </c>
      <c r="AS280" s="117" t="n">
        <v>0.743657407407408</v>
      </c>
      <c r="AT280" s="117" t="n">
        <v>0</v>
      </c>
      <c r="AU280" s="117" t="n">
        <v>0</v>
      </c>
      <c r="AX280" s="117" t="n">
        <v>10</v>
      </c>
    </row>
    <row r="281" customFormat="false" ht="13.8" hidden="true" customHeight="false" outlineLevel="0" collapsed="false">
      <c r="A281" s="117" t="n">
        <v>1000</v>
      </c>
      <c r="B281" s="117" t="s">
        <v>1962</v>
      </c>
      <c r="C281" s="117" t="n">
        <v>100020141</v>
      </c>
      <c r="E281" s="117" t="s">
        <v>1921</v>
      </c>
      <c r="F281" s="117" t="n">
        <v>1106</v>
      </c>
      <c r="G281" s="117" t="n">
        <v>2019</v>
      </c>
      <c r="H281" s="117" t="n">
        <v>2</v>
      </c>
      <c r="I281" s="118" t="n">
        <v>43611</v>
      </c>
      <c r="J281" s="118" t="n">
        <v>43611</v>
      </c>
      <c r="K281" s="119" t="n">
        <v>8123903.05</v>
      </c>
      <c r="L281" s="128" t="n">
        <f aca="false">K281-Q281+T281</f>
        <v>8123903.05</v>
      </c>
      <c r="M281" s="117" t="s">
        <v>149</v>
      </c>
      <c r="N281" s="117" t="n">
        <v>8123903.05</v>
      </c>
      <c r="O281" s="117" t="s">
        <v>149</v>
      </c>
      <c r="P281" s="117" t="n">
        <v>0</v>
      </c>
      <c r="Q281" s="117" t="n">
        <v>0</v>
      </c>
      <c r="R281" s="117" t="n">
        <v>8123903.05</v>
      </c>
      <c r="S281" s="117" t="n">
        <v>0</v>
      </c>
      <c r="T281" s="117" t="n">
        <v>0</v>
      </c>
      <c r="U281" s="117" t="n">
        <v>312193</v>
      </c>
      <c r="V281" s="117" t="s">
        <v>1963</v>
      </c>
      <c r="Z281" s="117" t="n">
        <v>100020141</v>
      </c>
      <c r="AD281" s="117" t="n">
        <v>310300</v>
      </c>
      <c r="AE281" s="117" t="s">
        <v>1969</v>
      </c>
      <c r="AF281" s="117" t="n">
        <v>310300</v>
      </c>
      <c r="AG281" s="117" t="s">
        <v>1969</v>
      </c>
      <c r="AI281" s="117" t="n">
        <v>310300</v>
      </c>
      <c r="AJ281" s="117" t="s">
        <v>1969</v>
      </c>
      <c r="AK281" s="117" t="n">
        <v>0</v>
      </c>
      <c r="AL281" s="117" t="n">
        <v>9</v>
      </c>
      <c r="AM281" s="117" t="s">
        <v>161</v>
      </c>
      <c r="AN281" s="117" t="s">
        <v>1978</v>
      </c>
      <c r="AP281" s="117" t="n">
        <v>100020141</v>
      </c>
      <c r="AQ281" s="118" t="n">
        <v>43611</v>
      </c>
      <c r="AR281" s="118" t="n">
        <v>43611</v>
      </c>
      <c r="AS281" s="117" t="n">
        <v>0.746296296296296</v>
      </c>
      <c r="AT281" s="117" t="n">
        <v>0</v>
      </c>
      <c r="AU281" s="117" t="n">
        <v>0</v>
      </c>
      <c r="AX281" s="117" t="n">
        <v>3</v>
      </c>
    </row>
    <row r="282" customFormat="false" ht="13.8" hidden="true" customHeight="false" outlineLevel="0" collapsed="false">
      <c r="A282" s="117" t="n">
        <v>1000</v>
      </c>
      <c r="B282" s="117" t="s">
        <v>1962</v>
      </c>
      <c r="C282" s="117" t="n">
        <v>1600000066</v>
      </c>
      <c r="D282" s="117" t="s">
        <v>2172</v>
      </c>
      <c r="E282" s="117" t="s">
        <v>1987</v>
      </c>
      <c r="F282" s="117" t="n">
        <v>1112</v>
      </c>
      <c r="G282" s="117" t="n">
        <v>2019</v>
      </c>
      <c r="H282" s="117" t="n">
        <v>2</v>
      </c>
      <c r="I282" s="118" t="n">
        <v>43616</v>
      </c>
      <c r="J282" s="118" t="n">
        <v>43616</v>
      </c>
      <c r="K282" s="119" t="n">
        <v>65457.11</v>
      </c>
      <c r="L282" s="128" t="n">
        <f aca="false">K282-Q282+T282</f>
        <v>65457.11</v>
      </c>
      <c r="M282" s="117" t="s">
        <v>149</v>
      </c>
      <c r="N282" s="117" t="n">
        <v>65457.11</v>
      </c>
      <c r="O282" s="117" t="s">
        <v>149</v>
      </c>
      <c r="P282" s="117" t="n">
        <v>65457.11</v>
      </c>
      <c r="Q282" s="117" t="n">
        <v>0</v>
      </c>
      <c r="R282" s="117" t="n">
        <v>65457.11</v>
      </c>
      <c r="S282" s="117" t="n">
        <v>0</v>
      </c>
      <c r="T282" s="117" t="n">
        <v>0</v>
      </c>
      <c r="U282" s="117" t="n">
        <v>318169</v>
      </c>
      <c r="V282" s="117" t="s">
        <v>2158</v>
      </c>
      <c r="X282" s="117" t="s">
        <v>2173</v>
      </c>
      <c r="Y282" s="117" t="s">
        <v>2174</v>
      </c>
      <c r="Z282" s="117" t="n">
        <v>1600000066</v>
      </c>
      <c r="AD282" s="117" t="n">
        <v>111105</v>
      </c>
      <c r="AE282" s="117" t="s">
        <v>1994</v>
      </c>
      <c r="AF282" s="117" t="n">
        <v>318169</v>
      </c>
      <c r="AG282" s="117" t="s">
        <v>2158</v>
      </c>
      <c r="AI282" s="117" t="n">
        <v>318169</v>
      </c>
      <c r="AJ282" s="131" t="s">
        <v>2158</v>
      </c>
      <c r="AK282" s="117" t="n">
        <v>0</v>
      </c>
      <c r="AL282" s="117" t="n">
        <v>9</v>
      </c>
      <c r="AM282" s="117" t="s">
        <v>161</v>
      </c>
      <c r="AN282" s="117" t="s">
        <v>1995</v>
      </c>
      <c r="AR282" s="118" t="n">
        <v>43619</v>
      </c>
      <c r="AS282" s="117" t="n">
        <v>0.443287037037037</v>
      </c>
      <c r="AT282" s="117" t="n">
        <v>0</v>
      </c>
      <c r="AU282" s="117" t="n">
        <v>0</v>
      </c>
      <c r="AX282" s="117" t="n">
        <v>1</v>
      </c>
    </row>
    <row r="283" customFormat="false" ht="13.8" hidden="true" customHeight="false" outlineLevel="0" collapsed="false">
      <c r="A283" s="117" t="n">
        <v>1000</v>
      </c>
      <c r="B283" s="117" t="s">
        <v>1962</v>
      </c>
      <c r="C283" s="117" t="n">
        <v>1600000016</v>
      </c>
      <c r="D283" s="117" t="s">
        <v>2175</v>
      </c>
      <c r="E283" s="117" t="s">
        <v>1987</v>
      </c>
      <c r="F283" s="117" t="n">
        <v>1106</v>
      </c>
      <c r="G283" s="117" t="n">
        <v>2019</v>
      </c>
      <c r="H283" s="117" t="n">
        <v>1</v>
      </c>
      <c r="I283" s="118" t="n">
        <v>43560</v>
      </c>
      <c r="J283" s="118" t="n">
        <v>43560</v>
      </c>
      <c r="K283" s="119" t="n">
        <v>-19639.46</v>
      </c>
      <c r="L283" s="128" t="n">
        <f aca="false">K283-Q283+T283</f>
        <v>-19639.46</v>
      </c>
      <c r="M283" s="117" t="s">
        <v>149</v>
      </c>
      <c r="N283" s="117" t="n">
        <v>-19639.46</v>
      </c>
      <c r="O283" s="117" t="s">
        <v>149</v>
      </c>
      <c r="P283" s="117" t="n">
        <v>-19639.46</v>
      </c>
      <c r="Q283" s="117" t="n">
        <v>0</v>
      </c>
      <c r="R283" s="117" t="n">
        <v>-19639.46</v>
      </c>
      <c r="S283" s="117" t="n">
        <v>0</v>
      </c>
      <c r="T283" s="117" t="n">
        <v>0</v>
      </c>
      <c r="U283" s="117" t="n">
        <v>318169</v>
      </c>
      <c r="V283" s="117" t="s">
        <v>2158</v>
      </c>
      <c r="X283" s="117" t="s">
        <v>2176</v>
      </c>
      <c r="Y283" s="117" t="s">
        <v>2176</v>
      </c>
      <c r="Z283" s="117" t="n">
        <v>1600000016</v>
      </c>
      <c r="AD283" s="117" t="n">
        <v>110000</v>
      </c>
      <c r="AE283" s="117" t="s">
        <v>1966</v>
      </c>
      <c r="AF283" s="117" t="n">
        <v>318169</v>
      </c>
      <c r="AG283" s="117" t="s">
        <v>2158</v>
      </c>
      <c r="AI283" s="117" t="n">
        <v>318169</v>
      </c>
      <c r="AJ283" s="131" t="s">
        <v>2158</v>
      </c>
      <c r="AK283" s="117" t="n">
        <v>0</v>
      </c>
      <c r="AL283" s="117" t="n">
        <v>14</v>
      </c>
      <c r="AM283" s="117" t="s">
        <v>225</v>
      </c>
      <c r="AP283" s="117" t="n">
        <v>100004393</v>
      </c>
      <c r="AQ283" s="118" t="n">
        <v>43583</v>
      </c>
      <c r="AR283" s="118" t="n">
        <v>43583</v>
      </c>
      <c r="AS283" s="117" t="n">
        <v>0.622164351851852</v>
      </c>
      <c r="AT283" s="117" t="n">
        <v>0</v>
      </c>
      <c r="AU283" s="117" t="n">
        <v>0</v>
      </c>
      <c r="AX283" s="117" t="n">
        <v>2</v>
      </c>
    </row>
    <row r="284" customFormat="false" ht="13.8" hidden="true" customHeight="false" outlineLevel="0" collapsed="false">
      <c r="A284" s="117" t="n">
        <v>1000</v>
      </c>
      <c r="B284" s="117" t="s">
        <v>1962</v>
      </c>
      <c r="C284" s="117" t="n">
        <v>100022980</v>
      </c>
      <c r="E284" s="117" t="s">
        <v>1921</v>
      </c>
      <c r="F284" s="117" t="n">
        <v>1101</v>
      </c>
      <c r="G284" s="117" t="n">
        <v>2019</v>
      </c>
      <c r="H284" s="117" t="n">
        <v>2</v>
      </c>
      <c r="I284" s="118" t="n">
        <v>43616</v>
      </c>
      <c r="J284" s="118" t="n">
        <v>43616</v>
      </c>
      <c r="K284" s="119" t="n">
        <v>1307691.54</v>
      </c>
      <c r="L284" s="128" t="n">
        <f aca="false">K284-Q284+T284</f>
        <v>1307691.54</v>
      </c>
      <c r="M284" s="117" t="s">
        <v>149</v>
      </c>
      <c r="N284" s="117" t="n">
        <v>1307691.54</v>
      </c>
      <c r="O284" s="117" t="s">
        <v>149</v>
      </c>
      <c r="P284" s="117" t="n">
        <v>0</v>
      </c>
      <c r="Q284" s="117" t="n">
        <v>0</v>
      </c>
      <c r="R284" s="117" t="n">
        <v>1307691.54</v>
      </c>
      <c r="S284" s="117" t="n">
        <v>0</v>
      </c>
      <c r="T284" s="117" t="n">
        <v>0</v>
      </c>
      <c r="U284" s="117" t="n">
        <v>318999</v>
      </c>
      <c r="V284" s="117" t="s">
        <v>143</v>
      </c>
      <c r="X284" s="117" t="s">
        <v>1355</v>
      </c>
      <c r="Z284" s="117" t="n">
        <v>100022980</v>
      </c>
      <c r="AD284" s="117" t="n">
        <v>110000</v>
      </c>
      <c r="AE284" s="117" t="s">
        <v>1966</v>
      </c>
      <c r="AF284" s="117" t="n">
        <v>110000</v>
      </c>
      <c r="AG284" s="117" t="s">
        <v>1966</v>
      </c>
      <c r="AI284" s="117" t="n">
        <v>110000</v>
      </c>
      <c r="AJ284" s="117" t="s">
        <v>1966</v>
      </c>
      <c r="AK284" s="117" t="n">
        <v>0</v>
      </c>
      <c r="AL284" s="117" t="n">
        <v>4</v>
      </c>
      <c r="AM284" s="117" t="s">
        <v>161</v>
      </c>
      <c r="AP284" s="117" t="n">
        <v>100039982</v>
      </c>
      <c r="AQ284" s="118" t="n">
        <v>43645</v>
      </c>
      <c r="AR284" s="118" t="n">
        <v>43618</v>
      </c>
      <c r="AS284" s="117" t="n">
        <v>0.614305555555556</v>
      </c>
      <c r="AT284" s="117" t="n">
        <v>0</v>
      </c>
      <c r="AU284" s="117" t="n">
        <v>0</v>
      </c>
      <c r="AX284" s="117" t="n">
        <v>2</v>
      </c>
    </row>
    <row r="285" customFormat="false" ht="13.8" hidden="true" customHeight="false" outlineLevel="0" collapsed="false">
      <c r="A285" s="117" t="n">
        <v>1000</v>
      </c>
      <c r="B285" s="117" t="s">
        <v>1962</v>
      </c>
      <c r="C285" s="117" t="n">
        <v>100020154</v>
      </c>
      <c r="E285" s="117" t="s">
        <v>1921</v>
      </c>
      <c r="F285" s="117" t="n">
        <v>1109</v>
      </c>
      <c r="G285" s="117" t="n">
        <v>2019</v>
      </c>
      <c r="H285" s="117" t="n">
        <v>2</v>
      </c>
      <c r="I285" s="118" t="n">
        <v>43611</v>
      </c>
      <c r="J285" s="118" t="n">
        <v>43611</v>
      </c>
      <c r="K285" s="119" t="n">
        <v>3178667.39</v>
      </c>
      <c r="L285" s="128" t="n">
        <f aca="false">K285-Q285+T285</f>
        <v>3178667.39</v>
      </c>
      <c r="M285" s="117" t="s">
        <v>149</v>
      </c>
      <c r="N285" s="117" t="n">
        <v>3178667.39</v>
      </c>
      <c r="O285" s="117" t="s">
        <v>149</v>
      </c>
      <c r="P285" s="117" t="n">
        <v>0</v>
      </c>
      <c r="Q285" s="117" t="n">
        <v>0</v>
      </c>
      <c r="R285" s="117" t="n">
        <v>3178667.39</v>
      </c>
      <c r="S285" s="117" t="n">
        <v>0</v>
      </c>
      <c r="T285" s="117" t="n">
        <v>0</v>
      </c>
      <c r="U285" s="117" t="n">
        <v>313029</v>
      </c>
      <c r="V285" s="117" t="s">
        <v>143</v>
      </c>
      <c r="X285" s="117" t="s">
        <v>2067</v>
      </c>
      <c r="Z285" s="117" t="n">
        <v>58552</v>
      </c>
      <c r="AB285" s="117" t="s">
        <v>2062</v>
      </c>
      <c r="AD285" s="117" t="n">
        <v>110000</v>
      </c>
      <c r="AE285" s="117" t="s">
        <v>1966</v>
      </c>
      <c r="AF285" s="117" t="n">
        <v>110000</v>
      </c>
      <c r="AG285" s="117" t="s">
        <v>1966</v>
      </c>
      <c r="AI285" s="117" t="n">
        <v>110000</v>
      </c>
      <c r="AJ285" s="117" t="s">
        <v>1966</v>
      </c>
      <c r="AK285" s="117" t="n">
        <v>0</v>
      </c>
      <c r="AL285" s="117" t="n">
        <v>4</v>
      </c>
      <c r="AM285" s="117" t="s">
        <v>161</v>
      </c>
      <c r="AP285" s="117" t="n">
        <v>100058214</v>
      </c>
      <c r="AQ285" s="118" t="n">
        <v>43677</v>
      </c>
      <c r="AR285" s="118" t="n">
        <v>43611</v>
      </c>
      <c r="AS285" s="117" t="n">
        <v>0.772175925925926</v>
      </c>
      <c r="AT285" s="117" t="n">
        <v>0</v>
      </c>
      <c r="AU285" s="117" t="n">
        <v>0</v>
      </c>
      <c r="AX285" s="117" t="n">
        <v>3</v>
      </c>
    </row>
    <row r="286" s="106" customFormat="true" ht="13.8" hidden="true" customHeight="false" outlineLevel="0" collapsed="false">
      <c r="A286" s="106" t="n">
        <v>1000</v>
      </c>
      <c r="B286" s="106" t="s">
        <v>1962</v>
      </c>
      <c r="C286" s="106" t="n">
        <v>107721</v>
      </c>
      <c r="D286" s="106" t="s">
        <v>1813</v>
      </c>
      <c r="E286" s="106" t="s">
        <v>1970</v>
      </c>
      <c r="F286" s="106" t="n">
        <v>1109</v>
      </c>
      <c r="G286" s="106" t="n">
        <v>2019</v>
      </c>
      <c r="H286" s="106" t="n">
        <v>7</v>
      </c>
      <c r="I286" s="129" t="n">
        <v>43749</v>
      </c>
      <c r="J286" s="129" t="n">
        <v>43749</v>
      </c>
      <c r="K286" s="107" t="n">
        <v>4248</v>
      </c>
      <c r="L286" s="130" t="n">
        <f aca="false">K286-Q286+T286</f>
        <v>3600</v>
      </c>
      <c r="M286" s="106" t="s">
        <v>149</v>
      </c>
      <c r="N286" s="106" t="n">
        <v>4248</v>
      </c>
      <c r="O286" s="106" t="s">
        <v>149</v>
      </c>
      <c r="P286" s="106" t="n">
        <v>0</v>
      </c>
      <c r="Q286" s="107" t="n">
        <v>648</v>
      </c>
      <c r="R286" s="106" t="n">
        <v>3600</v>
      </c>
      <c r="S286" s="106" t="n">
        <v>0</v>
      </c>
      <c r="T286" s="106" t="n">
        <v>0</v>
      </c>
      <c r="U286" s="106" t="n">
        <v>312193</v>
      </c>
      <c r="V286" s="106" t="s">
        <v>1963</v>
      </c>
      <c r="Z286" s="106" t="n">
        <v>60959</v>
      </c>
      <c r="AB286" s="106" t="s">
        <v>2124</v>
      </c>
      <c r="AD286" s="106" t="n">
        <v>110000</v>
      </c>
      <c r="AE286" s="106" t="s">
        <v>1966</v>
      </c>
      <c r="AF286" s="106" t="n">
        <v>501005</v>
      </c>
      <c r="AG286" s="106" t="s">
        <v>2033</v>
      </c>
      <c r="AI286" s="106" t="n">
        <v>501005</v>
      </c>
      <c r="AJ286" s="106" t="s">
        <v>2033</v>
      </c>
      <c r="AK286" s="106" t="n">
        <v>0</v>
      </c>
      <c r="AL286" s="106" t="n">
        <v>1</v>
      </c>
      <c r="AM286" s="106" t="s">
        <v>161</v>
      </c>
      <c r="AP286" s="106" t="n">
        <v>100141449</v>
      </c>
      <c r="AQ286" s="129" t="n">
        <v>43766</v>
      </c>
      <c r="AR286" s="129" t="n">
        <v>43749</v>
      </c>
      <c r="AS286" s="106" t="n">
        <v>0.516064814814815</v>
      </c>
      <c r="AT286" s="106" t="n">
        <v>0</v>
      </c>
      <c r="AU286" s="106" t="n">
        <v>0</v>
      </c>
      <c r="AX286" s="106" t="n">
        <v>1</v>
      </c>
      <c r="ALU286" s="0"/>
      <c r="ALV286" s="0"/>
      <c r="ALW286" s="0"/>
      <c r="ALX286" s="0"/>
      <c r="ALY286" s="0"/>
      <c r="ALZ286" s="0"/>
      <c r="AMA286" s="0"/>
      <c r="AMB286" s="0"/>
      <c r="AMC286" s="0"/>
      <c r="AMD286" s="0"/>
      <c r="AME286" s="0"/>
      <c r="AMF286" s="0"/>
      <c r="AMG286" s="0"/>
      <c r="AMH286" s="0"/>
      <c r="AMI286" s="0"/>
      <c r="AMJ286" s="0"/>
    </row>
    <row r="287" customFormat="false" ht="13.8" hidden="true" customHeight="false" outlineLevel="0" collapsed="false">
      <c r="A287" s="117" t="n">
        <v>1000</v>
      </c>
      <c r="B287" s="117" t="s">
        <v>1962</v>
      </c>
      <c r="C287" s="117" t="n">
        <v>100039081</v>
      </c>
      <c r="E287" s="117" t="s">
        <v>1921</v>
      </c>
      <c r="F287" s="117" t="n">
        <v>1109</v>
      </c>
      <c r="G287" s="117" t="n">
        <v>2019</v>
      </c>
      <c r="H287" s="117" t="n">
        <v>3</v>
      </c>
      <c r="I287" s="118" t="n">
        <v>43644</v>
      </c>
      <c r="J287" s="118" t="n">
        <v>43644</v>
      </c>
      <c r="K287" s="119" t="n">
        <v>-2467760.44</v>
      </c>
      <c r="L287" s="128" t="n">
        <f aca="false">K287-Q287+T287</f>
        <v>-2467760.44</v>
      </c>
      <c r="M287" s="117" t="s">
        <v>149</v>
      </c>
      <c r="N287" s="117" t="n">
        <v>-2467760.44</v>
      </c>
      <c r="O287" s="117" t="s">
        <v>149</v>
      </c>
      <c r="P287" s="117" t="n">
        <v>0</v>
      </c>
      <c r="Q287" s="117" t="n">
        <v>0</v>
      </c>
      <c r="R287" s="117" t="n">
        <v>-2467760.44</v>
      </c>
      <c r="S287" s="117" t="n">
        <v>0</v>
      </c>
      <c r="T287" s="117" t="n">
        <v>0</v>
      </c>
      <c r="U287" s="117" t="n">
        <v>306546</v>
      </c>
      <c r="V287" s="117" t="s">
        <v>2177</v>
      </c>
      <c r="Z287" s="117" t="n">
        <v>100039081</v>
      </c>
      <c r="AD287" s="117" t="n">
        <v>110000</v>
      </c>
      <c r="AE287" s="117" t="s">
        <v>1966</v>
      </c>
      <c r="AF287" s="117" t="n">
        <v>110000</v>
      </c>
      <c r="AG287" s="117" t="s">
        <v>1966</v>
      </c>
      <c r="AI287" s="117" t="n">
        <v>110000</v>
      </c>
      <c r="AJ287" s="117" t="s">
        <v>1966</v>
      </c>
      <c r="AK287" s="117" t="n">
        <v>0</v>
      </c>
      <c r="AL287" s="117" t="n">
        <v>17</v>
      </c>
      <c r="AM287" s="117" t="s">
        <v>225</v>
      </c>
      <c r="AP287" s="117" t="n">
        <v>100039081</v>
      </c>
      <c r="AQ287" s="118" t="n">
        <v>43644</v>
      </c>
      <c r="AR287" s="118" t="n">
        <v>43644</v>
      </c>
      <c r="AS287" s="117" t="n">
        <v>0.178263888888889</v>
      </c>
      <c r="AT287" s="117" t="n">
        <v>0</v>
      </c>
      <c r="AU287" s="117" t="n">
        <v>0</v>
      </c>
      <c r="AX287" s="117" t="n">
        <v>2</v>
      </c>
    </row>
    <row r="288" s="106" customFormat="true" ht="13.8" hidden="true" customHeight="false" outlineLevel="0" collapsed="false">
      <c r="A288" s="106" t="n">
        <v>1000</v>
      </c>
      <c r="B288" s="106" t="s">
        <v>1962</v>
      </c>
      <c r="C288" s="106" t="n">
        <v>103118</v>
      </c>
      <c r="D288" s="106" t="s">
        <v>1511</v>
      </c>
      <c r="E288" s="106" t="s">
        <v>1970</v>
      </c>
      <c r="F288" s="106" t="n">
        <v>1101</v>
      </c>
      <c r="G288" s="106" t="n">
        <v>2019</v>
      </c>
      <c r="H288" s="106" t="n">
        <v>3</v>
      </c>
      <c r="I288" s="129" t="n">
        <v>43629</v>
      </c>
      <c r="J288" s="129" t="n">
        <v>43629</v>
      </c>
      <c r="K288" s="107" t="n">
        <v>826000</v>
      </c>
      <c r="L288" s="130" t="n">
        <f aca="false">K288-Q288+T288</f>
        <v>700000</v>
      </c>
      <c r="M288" s="106" t="s">
        <v>149</v>
      </c>
      <c r="N288" s="106" t="n">
        <v>826000</v>
      </c>
      <c r="O288" s="106" t="s">
        <v>149</v>
      </c>
      <c r="P288" s="106" t="n">
        <v>0</v>
      </c>
      <c r="Q288" s="107" t="n">
        <v>126000</v>
      </c>
      <c r="R288" s="106" t="n">
        <v>700000</v>
      </c>
      <c r="S288" s="106" t="n">
        <v>0</v>
      </c>
      <c r="T288" s="106" t="n">
        <v>0</v>
      </c>
      <c r="U288" s="106" t="n">
        <v>309728</v>
      </c>
      <c r="V288" s="106" t="s">
        <v>1968</v>
      </c>
      <c r="Z288" s="106" t="n">
        <v>59184</v>
      </c>
      <c r="AB288" s="106" t="n">
        <v>2300049939</v>
      </c>
      <c r="AD288" s="106" t="n">
        <v>110000</v>
      </c>
      <c r="AE288" s="106" t="s">
        <v>1966</v>
      </c>
      <c r="AF288" s="106" t="n">
        <v>501000</v>
      </c>
      <c r="AG288" s="106" t="s">
        <v>2170</v>
      </c>
      <c r="AI288" s="106" t="n">
        <v>501000</v>
      </c>
      <c r="AJ288" s="106" t="s">
        <v>2170</v>
      </c>
      <c r="AK288" s="106" t="n">
        <v>0</v>
      </c>
      <c r="AL288" s="106" t="n">
        <v>1</v>
      </c>
      <c r="AM288" s="106" t="s">
        <v>161</v>
      </c>
      <c r="AP288" s="106" t="n">
        <v>100039091</v>
      </c>
      <c r="AQ288" s="129" t="n">
        <v>43644</v>
      </c>
      <c r="AR288" s="129" t="n">
        <v>43629</v>
      </c>
      <c r="AS288" s="106" t="n">
        <v>0.789351851851852</v>
      </c>
      <c r="AT288" s="106" t="n">
        <v>0</v>
      </c>
      <c r="AU288" s="106" t="n">
        <v>0</v>
      </c>
      <c r="AX288" s="106" t="n">
        <v>1</v>
      </c>
      <c r="ALU288" s="0"/>
      <c r="ALV288" s="0"/>
      <c r="ALW288" s="0"/>
      <c r="ALX288" s="0"/>
      <c r="ALY288" s="0"/>
      <c r="ALZ288" s="0"/>
      <c r="AMA288" s="0"/>
      <c r="AMB288" s="0"/>
      <c r="AMC288" s="0"/>
      <c r="AMD288" s="0"/>
      <c r="AME288" s="0"/>
      <c r="AMF288" s="0"/>
      <c r="AMG288" s="0"/>
      <c r="AMH288" s="0"/>
      <c r="AMI288" s="0"/>
      <c r="AMJ288" s="0"/>
    </row>
    <row r="289" customFormat="false" ht="13.8" hidden="true" customHeight="false" outlineLevel="0" collapsed="false">
      <c r="A289" s="117" t="n">
        <v>1000</v>
      </c>
      <c r="B289" s="117" t="s">
        <v>1962</v>
      </c>
      <c r="C289" s="117" t="n">
        <v>100050530</v>
      </c>
      <c r="E289" s="117" t="s">
        <v>1921</v>
      </c>
      <c r="F289" s="117" t="n">
        <v>1106</v>
      </c>
      <c r="G289" s="117" t="n">
        <v>2019</v>
      </c>
      <c r="H289" s="117" t="n">
        <v>3</v>
      </c>
      <c r="I289" s="118" t="n">
        <v>43646</v>
      </c>
      <c r="J289" s="118" t="n">
        <v>43646</v>
      </c>
      <c r="K289" s="119" t="n">
        <v>800354.83</v>
      </c>
      <c r="L289" s="128" t="n">
        <f aca="false">K289-Q289+T289</f>
        <v>800354.83</v>
      </c>
      <c r="M289" s="117" t="s">
        <v>149</v>
      </c>
      <c r="N289" s="117" t="n">
        <v>800354.83</v>
      </c>
      <c r="O289" s="117" t="s">
        <v>149</v>
      </c>
      <c r="P289" s="117" t="n">
        <v>0</v>
      </c>
      <c r="Q289" s="117" t="n">
        <v>0</v>
      </c>
      <c r="R289" s="117" t="n">
        <v>800354.83</v>
      </c>
      <c r="S289" s="117" t="n">
        <v>0</v>
      </c>
      <c r="T289" s="117" t="n">
        <v>0</v>
      </c>
      <c r="U289" s="117" t="n">
        <v>312193</v>
      </c>
      <c r="V289" s="117" t="s">
        <v>1963</v>
      </c>
      <c r="Z289" s="117" t="n">
        <v>100050530</v>
      </c>
      <c r="AD289" s="117" t="n">
        <v>310300</v>
      </c>
      <c r="AE289" s="117" t="s">
        <v>1969</v>
      </c>
      <c r="AF289" s="117" t="n">
        <v>110000</v>
      </c>
      <c r="AG289" s="117" t="s">
        <v>1966</v>
      </c>
      <c r="AI289" s="117" t="n">
        <v>110000</v>
      </c>
      <c r="AJ289" s="117" t="s">
        <v>1966</v>
      </c>
      <c r="AK289" s="117" t="n">
        <v>0</v>
      </c>
      <c r="AL289" s="117" t="n">
        <v>9</v>
      </c>
      <c r="AM289" s="117" t="s">
        <v>161</v>
      </c>
      <c r="AN289" s="117" t="s">
        <v>1978</v>
      </c>
      <c r="AP289" s="117" t="n">
        <v>100050530</v>
      </c>
      <c r="AQ289" s="118" t="n">
        <v>43646</v>
      </c>
      <c r="AR289" s="118" t="n">
        <v>43647</v>
      </c>
      <c r="AS289" s="117" t="n">
        <v>0.639074074074074</v>
      </c>
      <c r="AT289" s="117" t="n">
        <v>0</v>
      </c>
      <c r="AU289" s="117" t="n">
        <v>0</v>
      </c>
      <c r="AX289" s="117" t="n">
        <v>3</v>
      </c>
    </row>
    <row r="290" s="106" customFormat="true" ht="13.8" hidden="true" customHeight="false" outlineLevel="0" collapsed="false">
      <c r="A290" s="106" t="n">
        <v>1000</v>
      </c>
      <c r="B290" s="106" t="s">
        <v>1962</v>
      </c>
      <c r="C290" s="106" t="n">
        <v>101283</v>
      </c>
      <c r="D290" s="106" t="s">
        <v>1349</v>
      </c>
      <c r="E290" s="106" t="s">
        <v>1970</v>
      </c>
      <c r="F290" s="106" t="n">
        <v>1101</v>
      </c>
      <c r="G290" s="106" t="n">
        <v>2019</v>
      </c>
      <c r="H290" s="106" t="n">
        <v>2</v>
      </c>
      <c r="I290" s="129" t="n">
        <v>43589</v>
      </c>
      <c r="J290" s="129" t="n">
        <v>43589</v>
      </c>
      <c r="K290" s="107" t="n">
        <v>1296079.47</v>
      </c>
      <c r="L290" s="130" t="n">
        <f aca="false">K290-Q290+T290</f>
        <v>1098372.43</v>
      </c>
      <c r="M290" s="106" t="s">
        <v>149</v>
      </c>
      <c r="N290" s="106" t="n">
        <v>1296079.47</v>
      </c>
      <c r="O290" s="106" t="s">
        <v>149</v>
      </c>
      <c r="P290" s="106" t="n">
        <v>0</v>
      </c>
      <c r="Q290" s="107" t="n">
        <v>197707.04</v>
      </c>
      <c r="R290" s="106" t="n">
        <v>1098372.43</v>
      </c>
      <c r="S290" s="106" t="n">
        <v>0</v>
      </c>
      <c r="T290" s="106" t="n">
        <v>0</v>
      </c>
      <c r="U290" s="106" t="n">
        <v>318999</v>
      </c>
      <c r="V290" s="106" t="s">
        <v>143</v>
      </c>
      <c r="Z290" s="106" t="n">
        <v>101283</v>
      </c>
      <c r="AD290" s="106" t="n">
        <v>110000</v>
      </c>
      <c r="AE290" s="106" t="s">
        <v>1966</v>
      </c>
      <c r="AF290" s="106" t="n">
        <v>501040</v>
      </c>
      <c r="AG290" s="106" t="s">
        <v>2036</v>
      </c>
      <c r="AI290" s="106" t="n">
        <v>501040</v>
      </c>
      <c r="AJ290" s="106" t="s">
        <v>2036</v>
      </c>
      <c r="AK290" s="106" t="n">
        <v>0</v>
      </c>
      <c r="AL290" s="106" t="n">
        <v>1</v>
      </c>
      <c r="AM290" s="106" t="s">
        <v>161</v>
      </c>
      <c r="AP290" s="106" t="n">
        <v>100022980</v>
      </c>
      <c r="AQ290" s="129" t="n">
        <v>43616</v>
      </c>
      <c r="AR290" s="129" t="n">
        <v>43589</v>
      </c>
      <c r="AS290" s="106" t="n">
        <v>0.567870370370371</v>
      </c>
      <c r="AT290" s="106" t="n">
        <v>0</v>
      </c>
      <c r="AU290" s="106" t="n">
        <v>0</v>
      </c>
      <c r="AX290" s="106" t="n">
        <v>1</v>
      </c>
      <c r="ALU290" s="0"/>
      <c r="ALV290" s="0"/>
      <c r="ALW290" s="0"/>
      <c r="ALX290" s="0"/>
      <c r="ALY290" s="0"/>
      <c r="ALZ290" s="0"/>
      <c r="AMA290" s="0"/>
      <c r="AMB290" s="0"/>
      <c r="AMC290" s="0"/>
      <c r="AMD290" s="0"/>
      <c r="AME290" s="0"/>
      <c r="AMF290" s="0"/>
      <c r="AMG290" s="0"/>
      <c r="AMH290" s="0"/>
      <c r="AMI290" s="0"/>
      <c r="AMJ290" s="0"/>
    </row>
    <row r="291" customFormat="false" ht="13.8" hidden="true" customHeight="false" outlineLevel="0" collapsed="false">
      <c r="A291" s="117" t="n">
        <v>1000</v>
      </c>
      <c r="B291" s="117" t="s">
        <v>1962</v>
      </c>
      <c r="C291" s="117" t="n">
        <v>100005116</v>
      </c>
      <c r="E291" s="117" t="s">
        <v>1921</v>
      </c>
      <c r="F291" s="117" t="n">
        <v>1101</v>
      </c>
      <c r="G291" s="117" t="n">
        <v>2019</v>
      </c>
      <c r="H291" s="117" t="n">
        <v>1</v>
      </c>
      <c r="I291" s="118" t="n">
        <v>43585</v>
      </c>
      <c r="J291" s="118" t="n">
        <v>43585</v>
      </c>
      <c r="K291" s="119" t="n">
        <v>214335.34</v>
      </c>
      <c r="L291" s="128" t="n">
        <f aca="false">K291-Q291+T291</f>
        <v>214335.34</v>
      </c>
      <c r="M291" s="117" t="s">
        <v>149</v>
      </c>
      <c r="N291" s="117" t="n">
        <v>214335.34</v>
      </c>
      <c r="O291" s="117" t="s">
        <v>149</v>
      </c>
      <c r="P291" s="117" t="n">
        <v>0</v>
      </c>
      <c r="Q291" s="117" t="n">
        <v>0</v>
      </c>
      <c r="R291" s="117" t="n">
        <v>214335.34</v>
      </c>
      <c r="S291" s="117" t="n">
        <v>0</v>
      </c>
      <c r="T291" s="117" t="n">
        <v>0</v>
      </c>
      <c r="U291" s="117" t="n">
        <v>314258</v>
      </c>
      <c r="V291" s="117" t="s">
        <v>143</v>
      </c>
      <c r="Z291" s="117" t="n">
        <v>100005116</v>
      </c>
      <c r="AD291" s="117" t="n">
        <v>310300</v>
      </c>
      <c r="AE291" s="117" t="s">
        <v>1969</v>
      </c>
      <c r="AF291" s="117" t="n">
        <v>110000</v>
      </c>
      <c r="AG291" s="117" t="s">
        <v>1966</v>
      </c>
      <c r="AI291" s="117" t="n">
        <v>110000</v>
      </c>
      <c r="AJ291" s="117" t="s">
        <v>1966</v>
      </c>
      <c r="AK291" s="117" t="n">
        <v>0</v>
      </c>
      <c r="AL291" s="117" t="n">
        <v>9</v>
      </c>
      <c r="AM291" s="117" t="s">
        <v>161</v>
      </c>
      <c r="AN291" s="117" t="s">
        <v>1978</v>
      </c>
      <c r="AP291" s="117" t="n">
        <v>100005116</v>
      </c>
      <c r="AQ291" s="118" t="n">
        <v>43585</v>
      </c>
      <c r="AR291" s="118" t="n">
        <v>43586</v>
      </c>
      <c r="AS291" s="117" t="n">
        <v>0.498969907407407</v>
      </c>
      <c r="AT291" s="117" t="n">
        <v>0</v>
      </c>
      <c r="AU291" s="117" t="n">
        <v>0</v>
      </c>
      <c r="AX291" s="117" t="n">
        <v>4</v>
      </c>
    </row>
    <row r="292" customFormat="false" ht="13.8" hidden="true" customHeight="false" outlineLevel="0" collapsed="false">
      <c r="A292" s="117" t="n">
        <v>1000</v>
      </c>
      <c r="B292" s="117" t="s">
        <v>1962</v>
      </c>
      <c r="C292" s="117" t="n">
        <v>100048609</v>
      </c>
      <c r="E292" s="117" t="s">
        <v>1921</v>
      </c>
      <c r="F292" s="117" t="n">
        <v>1101</v>
      </c>
      <c r="G292" s="117" t="n">
        <v>2019</v>
      </c>
      <c r="H292" s="117" t="n">
        <v>3</v>
      </c>
      <c r="I292" s="118" t="n">
        <v>43646</v>
      </c>
      <c r="J292" s="118" t="n">
        <v>43646</v>
      </c>
      <c r="K292" s="119" t="n">
        <v>174698.85</v>
      </c>
      <c r="L292" s="128" t="n">
        <f aca="false">K292-Q292+T292</f>
        <v>174698.85</v>
      </c>
      <c r="M292" s="117" t="s">
        <v>149</v>
      </c>
      <c r="N292" s="117" t="n">
        <v>174698.85</v>
      </c>
      <c r="O292" s="117" t="s">
        <v>149</v>
      </c>
      <c r="P292" s="117" t="n">
        <v>0</v>
      </c>
      <c r="Q292" s="117" t="n">
        <v>0</v>
      </c>
      <c r="R292" s="117" t="n">
        <v>174698.85</v>
      </c>
      <c r="S292" s="117" t="n">
        <v>0</v>
      </c>
      <c r="T292" s="117" t="n">
        <v>0</v>
      </c>
      <c r="U292" s="117" t="n">
        <v>318420</v>
      </c>
      <c r="V292" s="117" t="s">
        <v>2153</v>
      </c>
      <c r="Z292" s="117" t="n">
        <v>100048609</v>
      </c>
      <c r="AD292" s="117" t="n">
        <v>310300</v>
      </c>
      <c r="AE292" s="117" t="s">
        <v>1969</v>
      </c>
      <c r="AF292" s="117" t="n">
        <v>110000</v>
      </c>
      <c r="AG292" s="117" t="s">
        <v>1966</v>
      </c>
      <c r="AI292" s="117" t="n">
        <v>110000</v>
      </c>
      <c r="AJ292" s="117" t="s">
        <v>1966</v>
      </c>
      <c r="AK292" s="117" t="n">
        <v>0</v>
      </c>
      <c r="AL292" s="117" t="n">
        <v>9</v>
      </c>
      <c r="AM292" s="117" t="s">
        <v>161</v>
      </c>
      <c r="AN292" s="117" t="s">
        <v>1978</v>
      </c>
      <c r="AP292" s="117" t="n">
        <v>100048609</v>
      </c>
      <c r="AQ292" s="118" t="n">
        <v>43646</v>
      </c>
      <c r="AR292" s="118" t="n">
        <v>43647</v>
      </c>
      <c r="AS292" s="117" t="n">
        <v>0.208842592592593</v>
      </c>
      <c r="AT292" s="117" t="n">
        <v>0</v>
      </c>
      <c r="AU292" s="117" t="n">
        <v>0</v>
      </c>
      <c r="AX292" s="117" t="n">
        <v>4</v>
      </c>
    </row>
    <row r="293" s="106" customFormat="true" ht="13.8" hidden="true" customHeight="false" outlineLevel="0" collapsed="false">
      <c r="A293" s="106" t="n">
        <v>1000</v>
      </c>
      <c r="B293" s="106" t="s">
        <v>1962</v>
      </c>
      <c r="C293" s="106" t="n">
        <v>103113</v>
      </c>
      <c r="D293" s="106" t="s">
        <v>1508</v>
      </c>
      <c r="E293" s="106" t="s">
        <v>1970</v>
      </c>
      <c r="F293" s="106" t="n">
        <v>1101</v>
      </c>
      <c r="G293" s="106" t="n">
        <v>2019</v>
      </c>
      <c r="H293" s="106" t="n">
        <v>3</v>
      </c>
      <c r="I293" s="129" t="n">
        <v>43629</v>
      </c>
      <c r="J293" s="129" t="n">
        <v>43629</v>
      </c>
      <c r="K293" s="107" t="n">
        <v>649000</v>
      </c>
      <c r="L293" s="130" t="n">
        <f aca="false">K293-Q293+T293</f>
        <v>550000</v>
      </c>
      <c r="M293" s="106" t="s">
        <v>149</v>
      </c>
      <c r="N293" s="106" t="n">
        <v>649000</v>
      </c>
      <c r="O293" s="106" t="s">
        <v>149</v>
      </c>
      <c r="P293" s="106" t="n">
        <v>0</v>
      </c>
      <c r="Q293" s="107" t="n">
        <v>99000</v>
      </c>
      <c r="R293" s="106" t="n">
        <v>550000</v>
      </c>
      <c r="S293" s="106" t="n">
        <v>0</v>
      </c>
      <c r="T293" s="106" t="n">
        <v>0</v>
      </c>
      <c r="U293" s="106" t="n">
        <v>309728</v>
      </c>
      <c r="V293" s="106" t="s">
        <v>1968</v>
      </c>
      <c r="Z293" s="106" t="n">
        <v>59184</v>
      </c>
      <c r="AB293" s="106" t="n">
        <v>2300049939</v>
      </c>
      <c r="AD293" s="106" t="n">
        <v>110000</v>
      </c>
      <c r="AE293" s="106" t="s">
        <v>1966</v>
      </c>
      <c r="AF293" s="106" t="n">
        <v>501000</v>
      </c>
      <c r="AG293" s="106" t="s">
        <v>2170</v>
      </c>
      <c r="AI293" s="106" t="n">
        <v>501000</v>
      </c>
      <c r="AJ293" s="106" t="s">
        <v>2170</v>
      </c>
      <c r="AK293" s="106" t="n">
        <v>0</v>
      </c>
      <c r="AL293" s="106" t="n">
        <v>1</v>
      </c>
      <c r="AM293" s="106" t="s">
        <v>161</v>
      </c>
      <c r="AP293" s="106" t="n">
        <v>100039091</v>
      </c>
      <c r="AQ293" s="129" t="n">
        <v>43644</v>
      </c>
      <c r="AR293" s="129" t="n">
        <v>43629</v>
      </c>
      <c r="AS293" s="106" t="n">
        <v>0.773923611111111</v>
      </c>
      <c r="AT293" s="106" t="n">
        <v>0</v>
      </c>
      <c r="AU293" s="106" t="n">
        <v>0</v>
      </c>
      <c r="AX293" s="106" t="n">
        <v>1</v>
      </c>
      <c r="ALU293" s="0"/>
      <c r="ALV293" s="0"/>
      <c r="ALW293" s="0"/>
      <c r="ALX293" s="0"/>
      <c r="ALY293" s="0"/>
      <c r="ALZ293" s="0"/>
      <c r="AMA293" s="0"/>
      <c r="AMB293" s="0"/>
      <c r="AMC293" s="0"/>
      <c r="AMD293" s="0"/>
      <c r="AME293" s="0"/>
      <c r="AMF293" s="0"/>
      <c r="AMG293" s="0"/>
      <c r="AMH293" s="0"/>
      <c r="AMI293" s="0"/>
      <c r="AMJ293" s="0"/>
    </row>
    <row r="294" customFormat="false" ht="13.8" hidden="true" customHeight="false" outlineLevel="0" collapsed="false">
      <c r="A294" s="117" t="n">
        <v>1000</v>
      </c>
      <c r="B294" s="117" t="s">
        <v>1962</v>
      </c>
      <c r="C294" s="117" t="n">
        <v>100022447</v>
      </c>
      <c r="E294" s="117" t="s">
        <v>1921</v>
      </c>
      <c r="F294" s="117" t="n">
        <v>1109</v>
      </c>
      <c r="G294" s="117" t="n">
        <v>2019</v>
      </c>
      <c r="H294" s="117" t="n">
        <v>2</v>
      </c>
      <c r="I294" s="118" t="n">
        <v>43616</v>
      </c>
      <c r="J294" s="118" t="n">
        <v>43616</v>
      </c>
      <c r="K294" s="119" t="n">
        <v>11045</v>
      </c>
      <c r="L294" s="128" t="n">
        <f aca="false">K294-Q294+T294</f>
        <v>11045</v>
      </c>
      <c r="M294" s="117" t="s">
        <v>149</v>
      </c>
      <c r="N294" s="117" t="n">
        <v>11045</v>
      </c>
      <c r="O294" s="117" t="s">
        <v>149</v>
      </c>
      <c r="P294" s="117" t="n">
        <v>0</v>
      </c>
      <c r="Q294" s="117" t="n">
        <v>0</v>
      </c>
      <c r="R294" s="117" t="n">
        <v>11045</v>
      </c>
      <c r="S294" s="117" t="n">
        <v>0</v>
      </c>
      <c r="T294" s="117" t="n">
        <v>0</v>
      </c>
      <c r="U294" s="117" t="n">
        <v>312193</v>
      </c>
      <c r="V294" s="117" t="s">
        <v>1963</v>
      </c>
      <c r="X294" s="117" t="s">
        <v>2178</v>
      </c>
      <c r="Z294" s="117" t="n">
        <v>2316</v>
      </c>
      <c r="AB294" s="117" t="s">
        <v>1965</v>
      </c>
      <c r="AD294" s="117" t="n">
        <v>110000</v>
      </c>
      <c r="AE294" s="117" t="s">
        <v>1966</v>
      </c>
      <c r="AF294" s="117" t="n">
        <v>110000</v>
      </c>
      <c r="AG294" s="117" t="s">
        <v>1966</v>
      </c>
      <c r="AI294" s="117" t="n">
        <v>110000</v>
      </c>
      <c r="AJ294" s="117" t="s">
        <v>1966</v>
      </c>
      <c r="AK294" s="117" t="n">
        <v>0</v>
      </c>
      <c r="AL294" s="117" t="n">
        <v>4</v>
      </c>
      <c r="AM294" s="117" t="s">
        <v>161</v>
      </c>
      <c r="AR294" s="118" t="n">
        <v>43617</v>
      </c>
      <c r="AS294" s="117" t="n">
        <v>0.592361111111111</v>
      </c>
      <c r="AT294" s="117" t="n">
        <v>0</v>
      </c>
      <c r="AU294" s="117" t="n">
        <v>0</v>
      </c>
      <c r="AX294" s="117" t="n">
        <v>1</v>
      </c>
    </row>
    <row r="295" customFormat="false" ht="13.8" hidden="true" customHeight="false" outlineLevel="0" collapsed="false">
      <c r="A295" s="117" t="n">
        <v>1000</v>
      </c>
      <c r="B295" s="117" t="s">
        <v>1962</v>
      </c>
      <c r="C295" s="117" t="n">
        <v>100031503</v>
      </c>
      <c r="E295" s="117" t="s">
        <v>1921</v>
      </c>
      <c r="F295" s="117" t="n">
        <v>1109</v>
      </c>
      <c r="G295" s="117" t="n">
        <v>2019</v>
      </c>
      <c r="H295" s="117" t="n">
        <v>2</v>
      </c>
      <c r="I295" s="118" t="n">
        <v>43616</v>
      </c>
      <c r="J295" s="118" t="n">
        <v>43616</v>
      </c>
      <c r="K295" s="119" t="n">
        <v>-65637.11</v>
      </c>
      <c r="L295" s="128" t="n">
        <f aca="false">K295-Q295+T295</f>
        <v>-65637.11</v>
      </c>
      <c r="M295" s="117" t="s">
        <v>149</v>
      </c>
      <c r="N295" s="117" t="n">
        <v>-65637.11</v>
      </c>
      <c r="O295" s="117" t="s">
        <v>149</v>
      </c>
      <c r="P295" s="117" t="n">
        <v>0</v>
      </c>
      <c r="Q295" s="117" t="n">
        <v>0</v>
      </c>
      <c r="R295" s="117" t="n">
        <v>-65637.11</v>
      </c>
      <c r="S295" s="117" t="n">
        <v>0</v>
      </c>
      <c r="T295" s="117" t="n">
        <v>0</v>
      </c>
      <c r="U295" s="117" t="n">
        <v>318169</v>
      </c>
      <c r="V295" s="117" t="s">
        <v>2158</v>
      </c>
      <c r="Z295" s="117" t="n">
        <v>100031503</v>
      </c>
      <c r="AD295" s="117" t="n">
        <v>110000</v>
      </c>
      <c r="AE295" s="117" t="s">
        <v>1966</v>
      </c>
      <c r="AF295" s="117" t="n">
        <v>110000</v>
      </c>
      <c r="AG295" s="117" t="s">
        <v>1966</v>
      </c>
      <c r="AI295" s="117" t="n">
        <v>110000</v>
      </c>
      <c r="AJ295" s="117" t="s">
        <v>1966</v>
      </c>
      <c r="AK295" s="117" t="n">
        <v>0</v>
      </c>
      <c r="AL295" s="117" t="n">
        <v>17</v>
      </c>
      <c r="AM295" s="117" t="s">
        <v>225</v>
      </c>
      <c r="AP295" s="117" t="n">
        <v>100031503</v>
      </c>
      <c r="AQ295" s="118" t="n">
        <v>43616</v>
      </c>
      <c r="AR295" s="118" t="n">
        <v>43619</v>
      </c>
      <c r="AS295" s="117" t="n">
        <v>0.444490740740741</v>
      </c>
      <c r="AT295" s="117" t="n">
        <v>0</v>
      </c>
      <c r="AU295" s="117" t="n">
        <v>0</v>
      </c>
      <c r="AX295" s="117" t="n">
        <v>2</v>
      </c>
    </row>
    <row r="296" customFormat="false" ht="13.8" hidden="true" customHeight="false" outlineLevel="0" collapsed="false">
      <c r="A296" s="117" t="n">
        <v>1000</v>
      </c>
      <c r="B296" s="117" t="s">
        <v>1962</v>
      </c>
      <c r="C296" s="117" t="n">
        <v>100005105</v>
      </c>
      <c r="E296" s="117" t="s">
        <v>1921</v>
      </c>
      <c r="F296" s="117" t="n">
        <v>1101</v>
      </c>
      <c r="G296" s="117" t="n">
        <v>2019</v>
      </c>
      <c r="H296" s="117" t="n">
        <v>1</v>
      </c>
      <c r="I296" s="118" t="n">
        <v>43585</v>
      </c>
      <c r="J296" s="118" t="n">
        <v>43585</v>
      </c>
      <c r="K296" s="119" t="n">
        <v>-1136930</v>
      </c>
      <c r="L296" s="128" t="n">
        <f aca="false">K296-Q296+T296</f>
        <v>-1136930</v>
      </c>
      <c r="M296" s="117" t="s">
        <v>149</v>
      </c>
      <c r="N296" s="117" t="n">
        <v>-1136930</v>
      </c>
      <c r="O296" s="117" t="s">
        <v>149</v>
      </c>
      <c r="P296" s="117" t="n">
        <v>0</v>
      </c>
      <c r="Q296" s="117" t="n">
        <v>0</v>
      </c>
      <c r="R296" s="117" t="n">
        <v>-1136930</v>
      </c>
      <c r="S296" s="117" t="n">
        <v>0</v>
      </c>
      <c r="T296" s="117" t="n">
        <v>0</v>
      </c>
      <c r="U296" s="117" t="n">
        <v>312193</v>
      </c>
      <c r="V296" s="117" t="s">
        <v>1963</v>
      </c>
      <c r="Z296" s="117" t="n">
        <v>100005105</v>
      </c>
      <c r="AD296" s="117" t="n">
        <v>110000</v>
      </c>
      <c r="AE296" s="117" t="s">
        <v>1966</v>
      </c>
      <c r="AF296" s="117" t="n">
        <v>110000</v>
      </c>
      <c r="AG296" s="117" t="s">
        <v>1966</v>
      </c>
      <c r="AI296" s="117" t="n">
        <v>110000</v>
      </c>
      <c r="AJ296" s="117" t="s">
        <v>1966</v>
      </c>
      <c r="AK296" s="117" t="n">
        <v>0</v>
      </c>
      <c r="AL296" s="117" t="n">
        <v>17</v>
      </c>
      <c r="AM296" s="117" t="s">
        <v>225</v>
      </c>
      <c r="AP296" s="117" t="n">
        <v>100005105</v>
      </c>
      <c r="AQ296" s="118" t="n">
        <v>43585</v>
      </c>
      <c r="AR296" s="118" t="n">
        <v>43586</v>
      </c>
      <c r="AS296" s="117" t="n">
        <v>0.424085648148148</v>
      </c>
      <c r="AT296" s="117" t="n">
        <v>0</v>
      </c>
      <c r="AU296" s="117" t="n">
        <v>0</v>
      </c>
      <c r="AX296" s="117" t="n">
        <v>3</v>
      </c>
    </row>
    <row r="297" customFormat="false" ht="13.8" hidden="true" customHeight="false" outlineLevel="0" collapsed="false">
      <c r="A297" s="117" t="n">
        <v>1000</v>
      </c>
      <c r="B297" s="117" t="s">
        <v>1962</v>
      </c>
      <c r="C297" s="117" t="n">
        <v>1600000046</v>
      </c>
      <c r="D297" s="117" t="s">
        <v>1991</v>
      </c>
      <c r="E297" s="117" t="s">
        <v>1987</v>
      </c>
      <c r="F297" s="117" t="n">
        <v>1106</v>
      </c>
      <c r="G297" s="117" t="n">
        <v>2019</v>
      </c>
      <c r="H297" s="117" t="n">
        <v>2</v>
      </c>
      <c r="I297" s="118" t="n">
        <v>43607</v>
      </c>
      <c r="J297" s="118" t="n">
        <v>43607</v>
      </c>
      <c r="K297" s="119" t="n">
        <v>1505680</v>
      </c>
      <c r="L297" s="128" t="n">
        <f aca="false">K297-Q297+T297</f>
        <v>1505680</v>
      </c>
      <c r="M297" s="117" t="s">
        <v>149</v>
      </c>
      <c r="N297" s="117" t="n">
        <v>1505680</v>
      </c>
      <c r="O297" s="117" t="s">
        <v>149</v>
      </c>
      <c r="P297" s="117" t="n">
        <v>1505680</v>
      </c>
      <c r="Q297" s="117" t="n">
        <v>0</v>
      </c>
      <c r="R297" s="117" t="n">
        <v>1505680</v>
      </c>
      <c r="S297" s="117" t="n">
        <v>0</v>
      </c>
      <c r="T297" s="117" t="n">
        <v>0</v>
      </c>
      <c r="U297" s="117" t="n">
        <v>312193</v>
      </c>
      <c r="V297" s="117" t="s">
        <v>1963</v>
      </c>
      <c r="X297" s="117" t="s">
        <v>2179</v>
      </c>
      <c r="Y297" s="117" t="s">
        <v>1993</v>
      </c>
      <c r="Z297" s="117" t="n">
        <v>1600000046</v>
      </c>
      <c r="AD297" s="117" t="n">
        <v>110000</v>
      </c>
      <c r="AE297" s="117" t="s">
        <v>1966</v>
      </c>
      <c r="AF297" s="117" t="n">
        <v>309728</v>
      </c>
      <c r="AG297" s="117" t="s">
        <v>1968</v>
      </c>
      <c r="AI297" s="117" t="n">
        <v>309728</v>
      </c>
      <c r="AJ297" s="131" t="s">
        <v>1968</v>
      </c>
      <c r="AK297" s="117" t="n">
        <v>0</v>
      </c>
      <c r="AL297" s="117" t="n">
        <v>4</v>
      </c>
      <c r="AM297" s="117" t="s">
        <v>161</v>
      </c>
      <c r="AP297" s="117" t="n">
        <v>100020145</v>
      </c>
      <c r="AQ297" s="118" t="n">
        <v>43611</v>
      </c>
      <c r="AR297" s="118" t="n">
        <v>43611</v>
      </c>
      <c r="AS297" s="117" t="n">
        <v>0.754085648148148</v>
      </c>
      <c r="AT297" s="117" t="n">
        <v>0</v>
      </c>
      <c r="AU297" s="117" t="n">
        <v>0</v>
      </c>
      <c r="AX297" s="117" t="n">
        <v>1</v>
      </c>
    </row>
    <row r="298" s="106" customFormat="true" ht="13.8" hidden="true" customHeight="false" outlineLevel="0" collapsed="false">
      <c r="A298" s="106" t="n">
        <v>1000</v>
      </c>
      <c r="B298" s="106" t="s">
        <v>1962</v>
      </c>
      <c r="C298" s="106" t="n">
        <v>101311</v>
      </c>
      <c r="D298" s="106" t="s">
        <v>1316</v>
      </c>
      <c r="E298" s="106" t="s">
        <v>1970</v>
      </c>
      <c r="F298" s="106" t="n">
        <v>1101</v>
      </c>
      <c r="G298" s="106" t="n">
        <v>2019</v>
      </c>
      <c r="H298" s="106" t="n">
        <v>2</v>
      </c>
      <c r="I298" s="129" t="n">
        <v>43592</v>
      </c>
      <c r="J298" s="129" t="n">
        <v>43592</v>
      </c>
      <c r="K298" s="107" t="n">
        <v>979423.5</v>
      </c>
      <c r="L298" s="130" t="n">
        <f aca="false">K298-Q298+T298</f>
        <v>830019.92</v>
      </c>
      <c r="M298" s="106" t="s">
        <v>149</v>
      </c>
      <c r="N298" s="106" t="n">
        <v>979423.5</v>
      </c>
      <c r="O298" s="106" t="s">
        <v>149</v>
      </c>
      <c r="P298" s="106" t="n">
        <v>0</v>
      </c>
      <c r="Q298" s="107" t="n">
        <v>149403.58</v>
      </c>
      <c r="R298" s="106" t="n">
        <v>830019.92</v>
      </c>
      <c r="S298" s="106" t="n">
        <v>0</v>
      </c>
      <c r="T298" s="106" t="n">
        <v>0</v>
      </c>
      <c r="U298" s="106" t="n">
        <v>318999</v>
      </c>
      <c r="V298" s="106" t="s">
        <v>143</v>
      </c>
      <c r="Z298" s="106" t="n">
        <v>101311</v>
      </c>
      <c r="AD298" s="106" t="n">
        <v>110000</v>
      </c>
      <c r="AE298" s="106" t="s">
        <v>1966</v>
      </c>
      <c r="AF298" s="106" t="n">
        <v>501040</v>
      </c>
      <c r="AG298" s="106" t="s">
        <v>2036</v>
      </c>
      <c r="AI298" s="106" t="n">
        <v>501040</v>
      </c>
      <c r="AJ298" s="106" t="s">
        <v>2036</v>
      </c>
      <c r="AK298" s="106" t="n">
        <v>0</v>
      </c>
      <c r="AL298" s="106" t="n">
        <v>1</v>
      </c>
      <c r="AM298" s="106" t="s">
        <v>161</v>
      </c>
      <c r="AP298" s="106" t="n">
        <v>100022980</v>
      </c>
      <c r="AQ298" s="129" t="n">
        <v>43616</v>
      </c>
      <c r="AR298" s="129" t="n">
        <v>43592</v>
      </c>
      <c r="AS298" s="106" t="n">
        <v>0.478622685185185</v>
      </c>
      <c r="AT298" s="106" t="n">
        <v>0</v>
      </c>
      <c r="AU298" s="106" t="n">
        <v>0</v>
      </c>
      <c r="AX298" s="106" t="n">
        <v>1</v>
      </c>
      <c r="ALU298" s="0"/>
      <c r="ALV298" s="0"/>
      <c r="ALW298" s="0"/>
      <c r="ALX298" s="0"/>
      <c r="ALY298" s="0"/>
      <c r="ALZ298" s="0"/>
      <c r="AMA298" s="0"/>
      <c r="AMB298" s="0"/>
      <c r="AMC298" s="0"/>
      <c r="AMD298" s="0"/>
      <c r="AME298" s="0"/>
      <c r="AMF298" s="0"/>
      <c r="AMG298" s="0"/>
      <c r="AMH298" s="0"/>
      <c r="AMI298" s="0"/>
      <c r="AMJ298" s="0"/>
    </row>
    <row r="299" s="106" customFormat="true" ht="13.8" hidden="true" customHeight="false" outlineLevel="0" collapsed="false">
      <c r="A299" s="106" t="n">
        <v>1000</v>
      </c>
      <c r="B299" s="106" t="s">
        <v>1962</v>
      </c>
      <c r="C299" s="106" t="n">
        <v>101689</v>
      </c>
      <c r="D299" s="106" t="s">
        <v>1358</v>
      </c>
      <c r="E299" s="106" t="s">
        <v>1970</v>
      </c>
      <c r="F299" s="106" t="n">
        <v>1108</v>
      </c>
      <c r="G299" s="106" t="n">
        <v>2019</v>
      </c>
      <c r="H299" s="106" t="n">
        <v>2</v>
      </c>
      <c r="I299" s="129" t="n">
        <v>43600</v>
      </c>
      <c r="J299" s="129" t="n">
        <v>43600</v>
      </c>
      <c r="K299" s="107" t="n">
        <v>2098245.14</v>
      </c>
      <c r="L299" s="130" t="n">
        <f aca="false">K299-Q299+T299</f>
        <v>1778173.84</v>
      </c>
      <c r="M299" s="106" t="s">
        <v>149</v>
      </c>
      <c r="N299" s="106" t="n">
        <v>2098245.14</v>
      </c>
      <c r="O299" s="106" t="s">
        <v>149</v>
      </c>
      <c r="P299" s="106" t="n">
        <v>0</v>
      </c>
      <c r="Q299" s="107" t="n">
        <v>320071.3</v>
      </c>
      <c r="R299" s="106" t="n">
        <v>1778173.84</v>
      </c>
      <c r="S299" s="106" t="n">
        <v>0</v>
      </c>
      <c r="T299" s="106" t="n">
        <v>0</v>
      </c>
      <c r="U299" s="106" t="n">
        <v>318999</v>
      </c>
      <c r="V299" s="106" t="s">
        <v>143</v>
      </c>
      <c r="Z299" s="106" t="n">
        <v>101689</v>
      </c>
      <c r="AD299" s="106" t="n">
        <v>110000</v>
      </c>
      <c r="AE299" s="106" t="s">
        <v>1966</v>
      </c>
      <c r="AF299" s="106" t="n">
        <v>501040</v>
      </c>
      <c r="AG299" s="106" t="s">
        <v>2036</v>
      </c>
      <c r="AI299" s="106" t="n">
        <v>501040</v>
      </c>
      <c r="AJ299" s="106" t="s">
        <v>2036</v>
      </c>
      <c r="AK299" s="106" t="n">
        <v>0</v>
      </c>
      <c r="AL299" s="106" t="n">
        <v>1</v>
      </c>
      <c r="AM299" s="106" t="s">
        <v>161</v>
      </c>
      <c r="AP299" s="106" t="n">
        <v>100022980</v>
      </c>
      <c r="AQ299" s="129" t="n">
        <v>43616</v>
      </c>
      <c r="AR299" s="129" t="n">
        <v>43600</v>
      </c>
      <c r="AS299" s="106" t="n">
        <v>0.833136574074074</v>
      </c>
      <c r="AT299" s="106" t="n">
        <v>0</v>
      </c>
      <c r="AU299" s="106" t="n">
        <v>0</v>
      </c>
      <c r="AX299" s="106" t="n">
        <v>1</v>
      </c>
      <c r="ALU299" s="0"/>
      <c r="ALV299" s="0"/>
      <c r="ALW299" s="0"/>
      <c r="ALX299" s="0"/>
      <c r="ALY299" s="0"/>
      <c r="ALZ299" s="0"/>
      <c r="AMA299" s="0"/>
      <c r="AMB299" s="0"/>
      <c r="AMC299" s="0"/>
      <c r="AMD299" s="0"/>
      <c r="AME299" s="0"/>
      <c r="AMF299" s="0"/>
      <c r="AMG299" s="0"/>
      <c r="AMH299" s="0"/>
      <c r="AMI299" s="0"/>
      <c r="AMJ299" s="0"/>
    </row>
    <row r="300" customFormat="false" ht="13.8" hidden="true" customHeight="false" outlineLevel="0" collapsed="false">
      <c r="A300" s="117" t="n">
        <v>1000</v>
      </c>
      <c r="B300" s="117" t="s">
        <v>1962</v>
      </c>
      <c r="C300" s="117" t="n">
        <v>100048886</v>
      </c>
      <c r="E300" s="117" t="s">
        <v>1921</v>
      </c>
      <c r="F300" s="117" t="n">
        <v>1108</v>
      </c>
      <c r="G300" s="117" t="n">
        <v>2019</v>
      </c>
      <c r="H300" s="117" t="n">
        <v>3</v>
      </c>
      <c r="I300" s="118" t="n">
        <v>43646</v>
      </c>
      <c r="J300" s="118" t="n">
        <v>43646</v>
      </c>
      <c r="K300" s="119" t="n">
        <v>-195.62</v>
      </c>
      <c r="L300" s="128" t="n">
        <f aca="false">K300-Q300+T300</f>
        <v>-195.62</v>
      </c>
      <c r="M300" s="117" t="s">
        <v>149</v>
      </c>
      <c r="N300" s="117" t="n">
        <v>-195.62</v>
      </c>
      <c r="O300" s="117" t="s">
        <v>149</v>
      </c>
      <c r="P300" s="117" t="n">
        <v>0</v>
      </c>
      <c r="Q300" s="117" t="n">
        <v>0</v>
      </c>
      <c r="R300" s="117" t="n">
        <v>-195.62</v>
      </c>
      <c r="S300" s="117" t="n">
        <v>0</v>
      </c>
      <c r="T300" s="117" t="n">
        <v>0</v>
      </c>
      <c r="U300" s="117" t="n">
        <v>306263</v>
      </c>
      <c r="V300" s="117" t="s">
        <v>2006</v>
      </c>
      <c r="Z300" s="117" t="n">
        <v>100048886</v>
      </c>
      <c r="AD300" s="117" t="n">
        <v>110000</v>
      </c>
      <c r="AE300" s="117" t="s">
        <v>1966</v>
      </c>
      <c r="AF300" s="117" t="n">
        <v>110000</v>
      </c>
      <c r="AG300" s="117" t="s">
        <v>1966</v>
      </c>
      <c r="AI300" s="117" t="n">
        <v>110000</v>
      </c>
      <c r="AJ300" s="117" t="s">
        <v>1966</v>
      </c>
      <c r="AK300" s="117" t="n">
        <v>0</v>
      </c>
      <c r="AL300" s="117" t="n">
        <v>17</v>
      </c>
      <c r="AM300" s="117" t="s">
        <v>225</v>
      </c>
      <c r="AP300" s="117" t="n">
        <v>100048886</v>
      </c>
      <c r="AQ300" s="118" t="n">
        <v>43646</v>
      </c>
      <c r="AR300" s="118" t="n">
        <v>43647</v>
      </c>
      <c r="AS300" s="117" t="n">
        <v>0.262511574074074</v>
      </c>
      <c r="AT300" s="117" t="n">
        <v>0</v>
      </c>
      <c r="AU300" s="117" t="n">
        <v>0</v>
      </c>
      <c r="AX300" s="117" t="n">
        <v>2</v>
      </c>
    </row>
    <row r="301" customFormat="false" ht="13.8" hidden="true" customHeight="false" outlineLevel="0" collapsed="false">
      <c r="A301" s="117" t="n">
        <v>1000</v>
      </c>
      <c r="B301" s="117" t="s">
        <v>1962</v>
      </c>
      <c r="C301" s="117" t="n">
        <v>1600000101</v>
      </c>
      <c r="D301" s="117" t="s">
        <v>2175</v>
      </c>
      <c r="E301" s="117" t="s">
        <v>1987</v>
      </c>
      <c r="F301" s="117" t="n">
        <v>1101</v>
      </c>
      <c r="G301" s="117" t="n">
        <v>2019</v>
      </c>
      <c r="H301" s="117" t="n">
        <v>3</v>
      </c>
      <c r="I301" s="118" t="n">
        <v>43646</v>
      </c>
      <c r="J301" s="118" t="n">
        <v>43646</v>
      </c>
      <c r="K301" s="119" t="n">
        <v>9353.26</v>
      </c>
      <c r="L301" s="128" t="n">
        <f aca="false">K301-Q301+T301</f>
        <v>9353.26</v>
      </c>
      <c r="M301" s="117" t="s">
        <v>149</v>
      </c>
      <c r="N301" s="117" t="n">
        <v>9353.26</v>
      </c>
      <c r="O301" s="117" t="s">
        <v>149</v>
      </c>
      <c r="P301" s="117" t="n">
        <v>9353.26</v>
      </c>
      <c r="Q301" s="117" t="n">
        <v>0</v>
      </c>
      <c r="R301" s="117" t="n">
        <v>9353.26</v>
      </c>
      <c r="S301" s="117" t="n">
        <v>0</v>
      </c>
      <c r="T301" s="117" t="n">
        <v>0</v>
      </c>
      <c r="U301" s="117" t="n">
        <v>318420</v>
      </c>
      <c r="V301" s="117" t="s">
        <v>2153</v>
      </c>
      <c r="X301" s="117" t="s">
        <v>2180</v>
      </c>
      <c r="Y301" s="117" t="s">
        <v>2176</v>
      </c>
      <c r="Z301" s="117" t="n">
        <v>1600000101</v>
      </c>
      <c r="AD301" s="117" t="n">
        <v>111105</v>
      </c>
      <c r="AE301" s="117" t="s">
        <v>1994</v>
      </c>
      <c r="AF301" s="117" t="n">
        <v>318420</v>
      </c>
      <c r="AG301" s="117" t="s">
        <v>2153</v>
      </c>
      <c r="AI301" s="117" t="n">
        <v>318420</v>
      </c>
      <c r="AJ301" s="131" t="s">
        <v>2153</v>
      </c>
      <c r="AK301" s="117" t="n">
        <v>0</v>
      </c>
      <c r="AL301" s="117" t="n">
        <v>9</v>
      </c>
      <c r="AM301" s="117" t="s">
        <v>161</v>
      </c>
      <c r="AN301" s="117" t="s">
        <v>1995</v>
      </c>
      <c r="AR301" s="118" t="n">
        <v>43647</v>
      </c>
      <c r="AS301" s="117" t="n">
        <v>0.206956018518518</v>
      </c>
      <c r="AT301" s="117" t="n">
        <v>0</v>
      </c>
      <c r="AU301" s="117" t="n">
        <v>0</v>
      </c>
      <c r="AX301" s="117" t="n">
        <v>1</v>
      </c>
    </row>
    <row r="302" customFormat="false" ht="13.8" hidden="true" customHeight="false" outlineLevel="0" collapsed="false">
      <c r="A302" s="117" t="n">
        <v>1000</v>
      </c>
      <c r="B302" s="117" t="s">
        <v>1962</v>
      </c>
      <c r="C302" s="117" t="n">
        <v>100039091</v>
      </c>
      <c r="E302" s="117" t="s">
        <v>1921</v>
      </c>
      <c r="F302" s="117" t="n">
        <v>1101</v>
      </c>
      <c r="G302" s="117" t="n">
        <v>2019</v>
      </c>
      <c r="H302" s="117" t="n">
        <v>3</v>
      </c>
      <c r="I302" s="118" t="n">
        <v>43644</v>
      </c>
      <c r="J302" s="118" t="n">
        <v>43644</v>
      </c>
      <c r="K302" s="119" t="n">
        <v>477900</v>
      </c>
      <c r="L302" s="128" t="n">
        <f aca="false">K302-Q302+T302</f>
        <v>477900</v>
      </c>
      <c r="M302" s="117" t="s">
        <v>149</v>
      </c>
      <c r="N302" s="117" t="n">
        <v>477900</v>
      </c>
      <c r="O302" s="117" t="s">
        <v>149</v>
      </c>
      <c r="P302" s="117" t="n">
        <v>0</v>
      </c>
      <c r="Q302" s="117" t="n">
        <v>0</v>
      </c>
      <c r="R302" s="117" t="n">
        <v>477900</v>
      </c>
      <c r="S302" s="117" t="n">
        <v>0</v>
      </c>
      <c r="T302" s="117" t="n">
        <v>0</v>
      </c>
      <c r="U302" s="117" t="n">
        <v>309728</v>
      </c>
      <c r="V302" s="117" t="s">
        <v>1968</v>
      </c>
      <c r="X302" s="117" t="s">
        <v>1489</v>
      </c>
      <c r="Z302" s="117" t="n">
        <v>57072</v>
      </c>
      <c r="AB302" s="117" t="n">
        <v>2300049939</v>
      </c>
      <c r="AD302" s="117" t="n">
        <v>110000</v>
      </c>
      <c r="AE302" s="117" t="s">
        <v>1966</v>
      </c>
      <c r="AF302" s="117" t="n">
        <v>110000</v>
      </c>
      <c r="AG302" s="117" t="s">
        <v>1966</v>
      </c>
      <c r="AI302" s="117" t="n">
        <v>110000</v>
      </c>
      <c r="AJ302" s="117" t="s">
        <v>1966</v>
      </c>
      <c r="AK302" s="117" t="n">
        <v>0</v>
      </c>
      <c r="AL302" s="117" t="n">
        <v>4</v>
      </c>
      <c r="AM302" s="117" t="s">
        <v>161</v>
      </c>
      <c r="AP302" s="117" t="n">
        <v>100075998</v>
      </c>
      <c r="AQ302" s="118" t="n">
        <v>43703</v>
      </c>
      <c r="AR302" s="118" t="n">
        <v>43644</v>
      </c>
      <c r="AS302" s="117" t="n">
        <v>0.190081018518518</v>
      </c>
      <c r="AT302" s="117" t="n">
        <v>0</v>
      </c>
      <c r="AU302" s="117" t="n">
        <v>0</v>
      </c>
      <c r="AX302" s="117" t="n">
        <v>1</v>
      </c>
    </row>
    <row r="303" s="106" customFormat="true" ht="13.8" hidden="true" customHeight="false" outlineLevel="0" collapsed="false">
      <c r="A303" s="106" t="n">
        <v>1000</v>
      </c>
      <c r="B303" s="106" t="s">
        <v>1962</v>
      </c>
      <c r="C303" s="106" t="n">
        <v>102684</v>
      </c>
      <c r="D303" s="106" t="s">
        <v>2181</v>
      </c>
      <c r="E303" s="106" t="s">
        <v>1970</v>
      </c>
      <c r="F303" s="106" t="n">
        <v>1108</v>
      </c>
      <c r="G303" s="106" t="n">
        <v>2019</v>
      </c>
      <c r="H303" s="106" t="n">
        <v>3</v>
      </c>
      <c r="I303" s="129" t="n">
        <v>43621</v>
      </c>
      <c r="J303" s="129" t="n">
        <v>43621</v>
      </c>
      <c r="K303" s="107" t="n">
        <v>-1081.1</v>
      </c>
      <c r="L303" s="130" t="n">
        <f aca="false">K303-Q303+T303</f>
        <v>-916.18</v>
      </c>
      <c r="M303" s="106" t="s">
        <v>149</v>
      </c>
      <c r="N303" s="106" t="n">
        <v>-1081.1</v>
      </c>
      <c r="O303" s="106" t="s">
        <v>149</v>
      </c>
      <c r="P303" s="106" t="n">
        <v>0</v>
      </c>
      <c r="Q303" s="107" t="n">
        <v>-164.92</v>
      </c>
      <c r="R303" s="107" t="n">
        <v>-916.18</v>
      </c>
      <c r="S303" s="106" t="n">
        <v>0</v>
      </c>
      <c r="T303" s="106" t="n">
        <v>0</v>
      </c>
      <c r="U303" s="106" t="n">
        <v>306263</v>
      </c>
      <c r="V303" s="106" t="s">
        <v>2006</v>
      </c>
      <c r="Z303" s="106" t="n">
        <v>60002384</v>
      </c>
      <c r="AD303" s="106" t="n">
        <v>110000</v>
      </c>
      <c r="AE303" s="106" t="s">
        <v>1966</v>
      </c>
      <c r="AF303" s="106" t="n">
        <v>501005</v>
      </c>
      <c r="AG303" s="106" t="s">
        <v>2033</v>
      </c>
      <c r="AI303" s="106" t="n">
        <v>501005</v>
      </c>
      <c r="AJ303" s="106" t="s">
        <v>2033</v>
      </c>
      <c r="AK303" s="106" t="n">
        <v>0</v>
      </c>
      <c r="AL303" s="106" t="n">
        <v>11</v>
      </c>
      <c r="AM303" s="106" t="s">
        <v>225</v>
      </c>
      <c r="AP303" s="106" t="n">
        <v>100039079</v>
      </c>
      <c r="AQ303" s="129" t="n">
        <v>43644</v>
      </c>
      <c r="AR303" s="129" t="n">
        <v>43621</v>
      </c>
      <c r="AS303" s="106" t="n">
        <v>0.620266203703704</v>
      </c>
      <c r="AT303" s="106" t="n">
        <v>0</v>
      </c>
      <c r="AU303" s="106" t="n">
        <v>0</v>
      </c>
      <c r="AX303" s="106" t="n">
        <v>1</v>
      </c>
      <c r="ALU303" s="0"/>
      <c r="ALV303" s="0"/>
      <c r="ALW303" s="0"/>
      <c r="ALX303" s="0"/>
      <c r="ALY303" s="0"/>
      <c r="ALZ303" s="0"/>
      <c r="AMA303" s="0"/>
      <c r="AMB303" s="0"/>
      <c r="AMC303" s="0"/>
      <c r="AMD303" s="0"/>
      <c r="AME303" s="0"/>
      <c r="AMF303" s="0"/>
      <c r="AMG303" s="0"/>
      <c r="AMH303" s="0"/>
      <c r="AMI303" s="0"/>
      <c r="AMJ303" s="0"/>
    </row>
    <row r="304" customFormat="false" ht="13.8" hidden="true" customHeight="false" outlineLevel="0" collapsed="false">
      <c r="A304" s="117" t="n">
        <v>1000</v>
      </c>
      <c r="B304" s="117" t="s">
        <v>1962</v>
      </c>
      <c r="C304" s="117" t="n">
        <v>100039983</v>
      </c>
      <c r="E304" s="117" t="s">
        <v>1921</v>
      </c>
      <c r="F304" s="117" t="n">
        <v>1101</v>
      </c>
      <c r="G304" s="117" t="n">
        <v>2019</v>
      </c>
      <c r="H304" s="117" t="n">
        <v>3</v>
      </c>
      <c r="I304" s="118" t="n">
        <v>43645</v>
      </c>
      <c r="J304" s="118" t="n">
        <v>43645</v>
      </c>
      <c r="K304" s="119" t="n">
        <v>67266.74</v>
      </c>
      <c r="L304" s="128" t="n">
        <f aca="false">K304-Q304+T304</f>
        <v>67266.74</v>
      </c>
      <c r="M304" s="117" t="s">
        <v>149</v>
      </c>
      <c r="N304" s="117" t="n">
        <v>67266.74</v>
      </c>
      <c r="O304" s="117" t="s">
        <v>149</v>
      </c>
      <c r="P304" s="117" t="n">
        <v>0</v>
      </c>
      <c r="Q304" s="117" t="n">
        <v>0</v>
      </c>
      <c r="R304" s="117" t="n">
        <v>67266.74</v>
      </c>
      <c r="S304" s="117" t="n">
        <v>0</v>
      </c>
      <c r="T304" s="117" t="n">
        <v>0</v>
      </c>
      <c r="U304" s="117" t="n">
        <v>318999</v>
      </c>
      <c r="V304" s="117" t="s">
        <v>143</v>
      </c>
      <c r="X304" s="117" t="s">
        <v>1413</v>
      </c>
      <c r="Z304" s="117" t="n">
        <v>100039983</v>
      </c>
      <c r="AD304" s="117" t="n">
        <v>110000</v>
      </c>
      <c r="AE304" s="117" t="s">
        <v>1966</v>
      </c>
      <c r="AF304" s="117" t="n">
        <v>110000</v>
      </c>
      <c r="AG304" s="117" t="s">
        <v>1966</v>
      </c>
      <c r="AI304" s="117" t="n">
        <v>110000</v>
      </c>
      <c r="AJ304" s="117" t="s">
        <v>1966</v>
      </c>
      <c r="AK304" s="117" t="n">
        <v>0</v>
      </c>
      <c r="AL304" s="117" t="n">
        <v>4</v>
      </c>
      <c r="AM304" s="117" t="s">
        <v>161</v>
      </c>
      <c r="AP304" s="117" t="n">
        <v>100057912</v>
      </c>
      <c r="AQ304" s="118" t="n">
        <v>43677</v>
      </c>
      <c r="AR304" s="118" t="n">
        <v>43646</v>
      </c>
      <c r="AS304" s="117" t="n">
        <v>0.430601851851852</v>
      </c>
      <c r="AT304" s="117" t="n">
        <v>0</v>
      </c>
      <c r="AU304" s="117" t="n">
        <v>0</v>
      </c>
      <c r="AX304" s="117" t="n">
        <v>9</v>
      </c>
    </row>
    <row r="305" customFormat="false" ht="13.8" hidden="true" customHeight="false" outlineLevel="0" collapsed="false">
      <c r="A305" s="117" t="n">
        <v>1000</v>
      </c>
      <c r="B305" s="117" t="s">
        <v>1962</v>
      </c>
      <c r="C305" s="117" t="n">
        <v>100005107</v>
      </c>
      <c r="E305" s="117" t="s">
        <v>1921</v>
      </c>
      <c r="F305" s="117" t="n">
        <v>1108</v>
      </c>
      <c r="G305" s="117" t="n">
        <v>2019</v>
      </c>
      <c r="H305" s="117" t="n">
        <v>1</v>
      </c>
      <c r="I305" s="118" t="n">
        <v>43585</v>
      </c>
      <c r="J305" s="118" t="n">
        <v>43585</v>
      </c>
      <c r="K305" s="119" t="n">
        <v>305436.16</v>
      </c>
      <c r="L305" s="128" t="n">
        <f aca="false">K305-Q305+T305</f>
        <v>305436.16</v>
      </c>
      <c r="M305" s="117" t="s">
        <v>149</v>
      </c>
      <c r="N305" s="117" t="n">
        <v>305436.16</v>
      </c>
      <c r="O305" s="117" t="s">
        <v>149</v>
      </c>
      <c r="P305" s="117" t="n">
        <v>0</v>
      </c>
      <c r="Q305" s="117" t="n">
        <v>0</v>
      </c>
      <c r="R305" s="117" t="n">
        <v>305436.16</v>
      </c>
      <c r="S305" s="117" t="n">
        <v>0</v>
      </c>
      <c r="T305" s="117" t="n">
        <v>0</v>
      </c>
      <c r="U305" s="117" t="n">
        <v>312193</v>
      </c>
      <c r="V305" s="117" t="s">
        <v>1963</v>
      </c>
      <c r="X305" s="117" t="s">
        <v>2182</v>
      </c>
      <c r="Z305" s="117" t="n">
        <v>2346</v>
      </c>
      <c r="AB305" s="117" t="s">
        <v>2031</v>
      </c>
      <c r="AD305" s="117" t="n">
        <v>110000</v>
      </c>
      <c r="AE305" s="117" t="s">
        <v>1966</v>
      </c>
      <c r="AF305" s="117" t="n">
        <v>110000</v>
      </c>
      <c r="AG305" s="117" t="s">
        <v>1966</v>
      </c>
      <c r="AI305" s="117" t="n">
        <v>110000</v>
      </c>
      <c r="AJ305" s="117" t="s">
        <v>1966</v>
      </c>
      <c r="AK305" s="117" t="n">
        <v>0</v>
      </c>
      <c r="AL305" s="117" t="n">
        <v>4</v>
      </c>
      <c r="AM305" s="117" t="s">
        <v>161</v>
      </c>
      <c r="AP305" s="117" t="n">
        <v>100022446</v>
      </c>
      <c r="AQ305" s="118" t="n">
        <v>43616</v>
      </c>
      <c r="AR305" s="118" t="n">
        <v>43586</v>
      </c>
      <c r="AS305" s="117" t="n">
        <v>0.427592592592593</v>
      </c>
      <c r="AT305" s="117" t="n">
        <v>0</v>
      </c>
      <c r="AU305" s="117" t="n">
        <v>0</v>
      </c>
      <c r="AX305" s="117" t="n">
        <v>8</v>
      </c>
    </row>
    <row r="306" s="106" customFormat="true" ht="13.8" hidden="true" customHeight="false" outlineLevel="0" collapsed="false">
      <c r="A306" s="106" t="n">
        <v>1000</v>
      </c>
      <c r="B306" s="106" t="s">
        <v>1962</v>
      </c>
      <c r="C306" s="106" t="n">
        <v>107722</v>
      </c>
      <c r="D306" s="106" t="s">
        <v>1819</v>
      </c>
      <c r="E306" s="106" t="s">
        <v>1970</v>
      </c>
      <c r="F306" s="106" t="n">
        <v>1109</v>
      </c>
      <c r="G306" s="106" t="n">
        <v>2019</v>
      </c>
      <c r="H306" s="106" t="n">
        <v>7</v>
      </c>
      <c r="I306" s="129" t="n">
        <v>43749</v>
      </c>
      <c r="J306" s="129" t="n">
        <v>43749</v>
      </c>
      <c r="K306" s="107" t="n">
        <v>83260.8</v>
      </c>
      <c r="L306" s="130" t="n">
        <f aca="false">K306-Q306+T306</f>
        <v>70560</v>
      </c>
      <c r="M306" s="106" t="s">
        <v>149</v>
      </c>
      <c r="N306" s="106" t="n">
        <v>83260.8</v>
      </c>
      <c r="O306" s="106" t="s">
        <v>149</v>
      </c>
      <c r="P306" s="106" t="n">
        <v>0</v>
      </c>
      <c r="Q306" s="107" t="n">
        <v>12700.8</v>
      </c>
      <c r="R306" s="106" t="n">
        <v>70560</v>
      </c>
      <c r="S306" s="106" t="n">
        <v>0</v>
      </c>
      <c r="T306" s="106" t="n">
        <v>0</v>
      </c>
      <c r="U306" s="106" t="n">
        <v>312193</v>
      </c>
      <c r="V306" s="106" t="s">
        <v>1963</v>
      </c>
      <c r="Z306" s="106" t="n">
        <v>60959</v>
      </c>
      <c r="AB306" s="106" t="s">
        <v>2124</v>
      </c>
      <c r="AD306" s="106" t="n">
        <v>110000</v>
      </c>
      <c r="AE306" s="106" t="s">
        <v>1966</v>
      </c>
      <c r="AF306" s="106" t="n">
        <v>501005</v>
      </c>
      <c r="AG306" s="106" t="s">
        <v>2033</v>
      </c>
      <c r="AI306" s="106" t="n">
        <v>501005</v>
      </c>
      <c r="AJ306" s="106" t="s">
        <v>2033</v>
      </c>
      <c r="AK306" s="106" t="n">
        <v>0</v>
      </c>
      <c r="AL306" s="106" t="n">
        <v>1</v>
      </c>
      <c r="AM306" s="106" t="s">
        <v>161</v>
      </c>
      <c r="AP306" s="106" t="n">
        <v>100141449</v>
      </c>
      <c r="AQ306" s="129" t="n">
        <v>43766</v>
      </c>
      <c r="AR306" s="129" t="n">
        <v>43749</v>
      </c>
      <c r="AS306" s="106" t="n">
        <v>0.517175925925926</v>
      </c>
      <c r="AT306" s="106" t="n">
        <v>0</v>
      </c>
      <c r="AU306" s="106" t="n">
        <v>0</v>
      </c>
      <c r="AX306" s="106" t="n">
        <v>1</v>
      </c>
      <c r="ALU306" s="0"/>
      <c r="ALV306" s="0"/>
      <c r="ALW306" s="0"/>
      <c r="ALX306" s="0"/>
      <c r="ALY306" s="0"/>
      <c r="ALZ306" s="0"/>
      <c r="AMA306" s="0"/>
      <c r="AMB306" s="0"/>
      <c r="AMC306" s="0"/>
      <c r="AMD306" s="0"/>
      <c r="AME306" s="0"/>
      <c r="AMF306" s="0"/>
      <c r="AMG306" s="0"/>
      <c r="AMH306" s="0"/>
      <c r="AMI306" s="0"/>
      <c r="AMJ306" s="0"/>
    </row>
    <row r="307" customFormat="false" ht="13.8" hidden="true" customHeight="false" outlineLevel="0" collapsed="false">
      <c r="A307" s="117" t="n">
        <v>1000</v>
      </c>
      <c r="B307" s="117" t="s">
        <v>1962</v>
      </c>
      <c r="C307" s="117" t="n">
        <v>1400000533</v>
      </c>
      <c r="E307" s="117" t="s">
        <v>1972</v>
      </c>
      <c r="F307" s="117" t="n">
        <v>1106</v>
      </c>
      <c r="G307" s="117" t="n">
        <v>2019</v>
      </c>
      <c r="H307" s="117" t="n">
        <v>1</v>
      </c>
      <c r="I307" s="118" t="n">
        <v>43573</v>
      </c>
      <c r="J307" s="118" t="n">
        <v>43573</v>
      </c>
      <c r="K307" s="119" t="n">
        <v>-17967.86</v>
      </c>
      <c r="L307" s="128" t="n">
        <f aca="false">K307-Q307+T307</f>
        <v>-17967.86</v>
      </c>
      <c r="M307" s="117" t="s">
        <v>149</v>
      </c>
      <c r="N307" s="117" t="n">
        <v>-17967.86</v>
      </c>
      <c r="O307" s="117" t="s">
        <v>149</v>
      </c>
      <c r="P307" s="117" t="n">
        <v>0</v>
      </c>
      <c r="Q307" s="117" t="n">
        <v>0</v>
      </c>
      <c r="R307" s="117" t="n">
        <v>-17967.86</v>
      </c>
      <c r="S307" s="117" t="n">
        <v>0</v>
      </c>
      <c r="T307" s="117" t="n">
        <v>0</v>
      </c>
      <c r="U307" s="117" t="n">
        <v>312193</v>
      </c>
      <c r="V307" s="117" t="s">
        <v>1963</v>
      </c>
      <c r="X307" s="117" t="s">
        <v>2183</v>
      </c>
      <c r="Y307" s="117" t="s">
        <v>2184</v>
      </c>
      <c r="Z307" s="117" t="n">
        <v>1400000533</v>
      </c>
      <c r="AC307" s="117" t="s">
        <v>1976</v>
      </c>
      <c r="AD307" s="117" t="n">
        <v>310300</v>
      </c>
      <c r="AE307" s="117" t="s">
        <v>1969</v>
      </c>
      <c r="AF307" s="117" t="n">
        <v>101105</v>
      </c>
      <c r="AG307" s="117" t="s">
        <v>1977</v>
      </c>
      <c r="AI307" s="117" t="n">
        <v>101105</v>
      </c>
      <c r="AJ307" s="117" t="s">
        <v>1977</v>
      </c>
      <c r="AK307" s="117" t="n">
        <v>0</v>
      </c>
      <c r="AL307" s="117" t="n">
        <v>19</v>
      </c>
      <c r="AM307" s="117" t="s">
        <v>225</v>
      </c>
      <c r="AN307" s="117" t="s">
        <v>1978</v>
      </c>
      <c r="AP307" s="117" t="n">
        <v>100005105</v>
      </c>
      <c r="AQ307" s="118" t="n">
        <v>43585</v>
      </c>
      <c r="AR307" s="118" t="n">
        <v>43574</v>
      </c>
      <c r="AS307" s="117" t="n">
        <v>0.650590277777778</v>
      </c>
      <c r="AT307" s="117" t="n">
        <v>0</v>
      </c>
      <c r="AU307" s="117" t="n">
        <v>0</v>
      </c>
      <c r="AX307" s="117" t="n">
        <v>2</v>
      </c>
    </row>
    <row r="308" customFormat="false" ht="13.8" hidden="true" customHeight="false" outlineLevel="0" collapsed="false">
      <c r="A308" s="117" t="n">
        <v>1000</v>
      </c>
      <c r="B308" s="117" t="s">
        <v>1962</v>
      </c>
      <c r="C308" s="117" t="n">
        <v>100048479</v>
      </c>
      <c r="E308" s="117" t="s">
        <v>1921</v>
      </c>
      <c r="F308" s="117" t="n">
        <v>1108</v>
      </c>
      <c r="G308" s="117" t="n">
        <v>2019</v>
      </c>
      <c r="H308" s="117" t="n">
        <v>3</v>
      </c>
      <c r="I308" s="118" t="n">
        <v>43646</v>
      </c>
      <c r="J308" s="118" t="n">
        <v>43646</v>
      </c>
      <c r="K308" s="119" t="n">
        <v>941711.43</v>
      </c>
      <c r="L308" s="128" t="n">
        <f aca="false">K308-Q308+T308</f>
        <v>941711.43</v>
      </c>
      <c r="M308" s="117" t="s">
        <v>149</v>
      </c>
      <c r="N308" s="117" t="n">
        <v>941711.43</v>
      </c>
      <c r="O308" s="117" t="s">
        <v>149</v>
      </c>
      <c r="P308" s="117" t="n">
        <v>0</v>
      </c>
      <c r="Q308" s="117" t="n">
        <v>0</v>
      </c>
      <c r="R308" s="117" t="n">
        <v>941711.43</v>
      </c>
      <c r="S308" s="117" t="n">
        <v>0</v>
      </c>
      <c r="T308" s="117" t="n">
        <v>0</v>
      </c>
      <c r="U308" s="117" t="n">
        <v>306263</v>
      </c>
      <c r="V308" s="117" t="s">
        <v>2006</v>
      </c>
      <c r="X308" s="117" t="s">
        <v>1150</v>
      </c>
      <c r="Z308" s="117" t="n">
        <v>58912</v>
      </c>
      <c r="AB308" s="117" t="s">
        <v>2070</v>
      </c>
      <c r="AD308" s="117" t="n">
        <v>110000</v>
      </c>
      <c r="AE308" s="117" t="s">
        <v>1966</v>
      </c>
      <c r="AF308" s="117" t="n">
        <v>110000</v>
      </c>
      <c r="AG308" s="117" t="s">
        <v>1966</v>
      </c>
      <c r="AI308" s="117" t="n">
        <v>110000</v>
      </c>
      <c r="AJ308" s="117" t="s">
        <v>1966</v>
      </c>
      <c r="AK308" s="117" t="n">
        <v>0</v>
      </c>
      <c r="AL308" s="117" t="n">
        <v>4</v>
      </c>
      <c r="AM308" s="117" t="s">
        <v>161</v>
      </c>
      <c r="AP308" s="117" t="n">
        <v>100058186</v>
      </c>
      <c r="AQ308" s="118" t="n">
        <v>43677</v>
      </c>
      <c r="AR308" s="118" t="n">
        <v>43647</v>
      </c>
      <c r="AS308" s="117" t="n">
        <v>0.169166666666667</v>
      </c>
      <c r="AT308" s="117" t="n">
        <v>0</v>
      </c>
      <c r="AU308" s="117" t="n">
        <v>0</v>
      </c>
      <c r="AX308" s="117" t="n">
        <v>1</v>
      </c>
    </row>
    <row r="309" customFormat="false" ht="13.8" hidden="true" customHeight="false" outlineLevel="0" collapsed="false">
      <c r="A309" s="117" t="n">
        <v>1000</v>
      </c>
      <c r="B309" s="117" t="s">
        <v>1962</v>
      </c>
      <c r="C309" s="117" t="n">
        <v>100022449</v>
      </c>
      <c r="E309" s="117" t="s">
        <v>1921</v>
      </c>
      <c r="F309" s="117" t="n">
        <v>1108</v>
      </c>
      <c r="G309" s="117" t="n">
        <v>2019</v>
      </c>
      <c r="H309" s="117" t="n">
        <v>2</v>
      </c>
      <c r="I309" s="118" t="n">
        <v>43616</v>
      </c>
      <c r="J309" s="118" t="n">
        <v>43616</v>
      </c>
      <c r="K309" s="119" t="n">
        <v>-542372.84</v>
      </c>
      <c r="L309" s="128" t="n">
        <f aca="false">K309-Q309+T309</f>
        <v>-542372.84</v>
      </c>
      <c r="M309" s="117" t="s">
        <v>149</v>
      </c>
      <c r="N309" s="117" t="n">
        <v>-542372.84</v>
      </c>
      <c r="O309" s="117" t="s">
        <v>149</v>
      </c>
      <c r="P309" s="117" t="n">
        <v>0</v>
      </c>
      <c r="Q309" s="117" t="n">
        <v>0</v>
      </c>
      <c r="R309" s="117" t="n">
        <v>-542372.84</v>
      </c>
      <c r="S309" s="117" t="n">
        <v>0</v>
      </c>
      <c r="T309" s="117" t="n">
        <v>0</v>
      </c>
      <c r="U309" s="117" t="n">
        <v>312193</v>
      </c>
      <c r="V309" s="117" t="s">
        <v>1963</v>
      </c>
      <c r="Z309" s="117" t="n">
        <v>100022449</v>
      </c>
      <c r="AD309" s="117" t="n">
        <v>110000</v>
      </c>
      <c r="AE309" s="117" t="s">
        <v>1966</v>
      </c>
      <c r="AF309" s="117" t="n">
        <v>110000</v>
      </c>
      <c r="AG309" s="117" t="s">
        <v>1966</v>
      </c>
      <c r="AI309" s="117" t="n">
        <v>110000</v>
      </c>
      <c r="AJ309" s="117" t="s">
        <v>1966</v>
      </c>
      <c r="AK309" s="117" t="n">
        <v>0</v>
      </c>
      <c r="AL309" s="117" t="n">
        <v>17</v>
      </c>
      <c r="AM309" s="117" t="s">
        <v>225</v>
      </c>
      <c r="AP309" s="117" t="n">
        <v>100022449</v>
      </c>
      <c r="AQ309" s="118" t="n">
        <v>43616</v>
      </c>
      <c r="AR309" s="118" t="n">
        <v>43617</v>
      </c>
      <c r="AS309" s="117" t="n">
        <v>0.594490740740741</v>
      </c>
      <c r="AT309" s="117" t="n">
        <v>0</v>
      </c>
      <c r="AU309" s="117" t="n">
        <v>0</v>
      </c>
      <c r="AX309" s="117" t="n">
        <v>6</v>
      </c>
    </row>
    <row r="310" customFormat="false" ht="13.8" hidden="true" customHeight="false" outlineLevel="0" collapsed="false">
      <c r="A310" s="117" t="n">
        <v>1000</v>
      </c>
      <c r="B310" s="117" t="s">
        <v>1962</v>
      </c>
      <c r="C310" s="117" t="n">
        <v>100048476</v>
      </c>
      <c r="E310" s="117" t="s">
        <v>1921</v>
      </c>
      <c r="F310" s="117" t="n">
        <v>1109</v>
      </c>
      <c r="G310" s="117" t="n">
        <v>2019</v>
      </c>
      <c r="H310" s="117" t="n">
        <v>3</v>
      </c>
      <c r="I310" s="118" t="n">
        <v>43646</v>
      </c>
      <c r="J310" s="118" t="n">
        <v>43646</v>
      </c>
      <c r="K310" s="119" t="n">
        <v>-47525.07</v>
      </c>
      <c r="L310" s="128" t="n">
        <f aca="false">K310-Q310+T310</f>
        <v>-47525.07</v>
      </c>
      <c r="M310" s="117" t="s">
        <v>149</v>
      </c>
      <c r="N310" s="117" t="n">
        <v>-47525.07</v>
      </c>
      <c r="O310" s="117" t="s">
        <v>149</v>
      </c>
      <c r="P310" s="117" t="n">
        <v>0</v>
      </c>
      <c r="Q310" s="117" t="n">
        <v>0</v>
      </c>
      <c r="R310" s="117" t="n">
        <v>-47525.07</v>
      </c>
      <c r="S310" s="117" t="n">
        <v>0</v>
      </c>
      <c r="T310" s="117" t="n">
        <v>0</v>
      </c>
      <c r="U310" s="117" t="n">
        <v>304431</v>
      </c>
      <c r="V310" s="117" t="s">
        <v>2016</v>
      </c>
      <c r="Z310" s="117" t="n">
        <v>100048476</v>
      </c>
      <c r="AD310" s="117" t="n">
        <v>110000</v>
      </c>
      <c r="AE310" s="117" t="s">
        <v>1966</v>
      </c>
      <c r="AF310" s="117" t="n">
        <v>110000</v>
      </c>
      <c r="AG310" s="117" t="s">
        <v>1966</v>
      </c>
      <c r="AI310" s="117" t="n">
        <v>110000</v>
      </c>
      <c r="AJ310" s="117" t="s">
        <v>1966</v>
      </c>
      <c r="AK310" s="117" t="n">
        <v>0</v>
      </c>
      <c r="AL310" s="117" t="n">
        <v>17</v>
      </c>
      <c r="AM310" s="117" t="s">
        <v>225</v>
      </c>
      <c r="AP310" s="117" t="n">
        <v>100048476</v>
      </c>
      <c r="AQ310" s="118" t="n">
        <v>43646</v>
      </c>
      <c r="AR310" s="118" t="n">
        <v>43647</v>
      </c>
      <c r="AS310" s="117" t="n">
        <v>0.165833333333333</v>
      </c>
      <c r="AT310" s="117" t="n">
        <v>0</v>
      </c>
      <c r="AU310" s="117" t="n">
        <v>0</v>
      </c>
      <c r="AX310" s="117" t="n">
        <v>3</v>
      </c>
    </row>
    <row r="311" customFormat="false" ht="13.8" hidden="true" customHeight="false" outlineLevel="0" collapsed="false">
      <c r="A311" s="117" t="n">
        <v>1000</v>
      </c>
      <c r="B311" s="117" t="s">
        <v>1962</v>
      </c>
      <c r="C311" s="117" t="n">
        <v>100005104</v>
      </c>
      <c r="E311" s="117" t="s">
        <v>1921</v>
      </c>
      <c r="F311" s="117" t="n">
        <v>1109</v>
      </c>
      <c r="G311" s="117" t="n">
        <v>2019</v>
      </c>
      <c r="H311" s="117" t="n">
        <v>1</v>
      </c>
      <c r="I311" s="118" t="n">
        <v>43585</v>
      </c>
      <c r="J311" s="118" t="n">
        <v>43585</v>
      </c>
      <c r="K311" s="119" t="n">
        <v>-2200107.64</v>
      </c>
      <c r="L311" s="128" t="n">
        <f aca="false">K311-Q311+T311</f>
        <v>-2200107.64</v>
      </c>
      <c r="M311" s="117" t="s">
        <v>149</v>
      </c>
      <c r="N311" s="117" t="n">
        <v>-2200107.64</v>
      </c>
      <c r="O311" s="117" t="s">
        <v>149</v>
      </c>
      <c r="P311" s="117" t="n">
        <v>0</v>
      </c>
      <c r="Q311" s="117" t="n">
        <v>0</v>
      </c>
      <c r="R311" s="117" t="n">
        <v>-2200107.64</v>
      </c>
      <c r="S311" s="117" t="n">
        <v>0</v>
      </c>
      <c r="T311" s="117" t="n">
        <v>0</v>
      </c>
      <c r="U311" s="117" t="n">
        <v>312193</v>
      </c>
      <c r="V311" s="117" t="s">
        <v>1963</v>
      </c>
      <c r="Z311" s="117" t="n">
        <v>100005104</v>
      </c>
      <c r="AD311" s="117" t="n">
        <v>110000</v>
      </c>
      <c r="AE311" s="117" t="s">
        <v>1966</v>
      </c>
      <c r="AF311" s="117" t="n">
        <v>110000</v>
      </c>
      <c r="AG311" s="117" t="s">
        <v>1966</v>
      </c>
      <c r="AI311" s="117" t="n">
        <v>110000</v>
      </c>
      <c r="AJ311" s="117" t="s">
        <v>1966</v>
      </c>
      <c r="AK311" s="117" t="n">
        <v>0</v>
      </c>
      <c r="AL311" s="117" t="n">
        <v>17</v>
      </c>
      <c r="AM311" s="117" t="s">
        <v>225</v>
      </c>
      <c r="AP311" s="117" t="n">
        <v>100005104</v>
      </c>
      <c r="AQ311" s="118" t="n">
        <v>43585</v>
      </c>
      <c r="AR311" s="118" t="n">
        <v>43586</v>
      </c>
      <c r="AS311" s="117" t="n">
        <v>0.418055555555556</v>
      </c>
      <c r="AT311" s="117" t="n">
        <v>0</v>
      </c>
      <c r="AU311" s="117" t="n">
        <v>0</v>
      </c>
      <c r="AX311" s="117" t="n">
        <v>9</v>
      </c>
    </row>
    <row r="312" customFormat="false" ht="13.8" hidden="true" customHeight="false" outlineLevel="0" collapsed="false">
      <c r="A312" s="117" t="n">
        <v>1000</v>
      </c>
      <c r="B312" s="117" t="s">
        <v>1962</v>
      </c>
      <c r="C312" s="117" t="n">
        <v>100039983</v>
      </c>
      <c r="E312" s="117" t="s">
        <v>1921</v>
      </c>
      <c r="F312" s="117" t="n">
        <v>1101</v>
      </c>
      <c r="G312" s="117" t="n">
        <v>2019</v>
      </c>
      <c r="H312" s="117" t="n">
        <v>3</v>
      </c>
      <c r="I312" s="118" t="n">
        <v>43645</v>
      </c>
      <c r="J312" s="118" t="n">
        <v>43645</v>
      </c>
      <c r="K312" s="119" t="n">
        <v>675439.33</v>
      </c>
      <c r="L312" s="128" t="n">
        <f aca="false">K312-Q312+T312</f>
        <v>675439.33</v>
      </c>
      <c r="M312" s="117" t="s">
        <v>149</v>
      </c>
      <c r="N312" s="117" t="n">
        <v>675439.33</v>
      </c>
      <c r="O312" s="117" t="s">
        <v>149</v>
      </c>
      <c r="P312" s="117" t="n">
        <v>0</v>
      </c>
      <c r="Q312" s="117" t="n">
        <v>0</v>
      </c>
      <c r="R312" s="117" t="n">
        <v>675439.33</v>
      </c>
      <c r="S312" s="117" t="n">
        <v>0</v>
      </c>
      <c r="T312" s="117" t="n">
        <v>0</v>
      </c>
      <c r="U312" s="117" t="n">
        <v>318999</v>
      </c>
      <c r="V312" s="117" t="s">
        <v>143</v>
      </c>
      <c r="X312" s="117" t="s">
        <v>2185</v>
      </c>
      <c r="Z312" s="117" t="n">
        <v>100039983</v>
      </c>
      <c r="AD312" s="117" t="n">
        <v>110000</v>
      </c>
      <c r="AE312" s="117" t="s">
        <v>1966</v>
      </c>
      <c r="AF312" s="117" t="n">
        <v>110000</v>
      </c>
      <c r="AG312" s="117" t="s">
        <v>1966</v>
      </c>
      <c r="AI312" s="117" t="n">
        <v>110000</v>
      </c>
      <c r="AJ312" s="117" t="s">
        <v>1966</v>
      </c>
      <c r="AK312" s="117" t="n">
        <v>0</v>
      </c>
      <c r="AL312" s="117" t="n">
        <v>4</v>
      </c>
      <c r="AM312" s="117" t="s">
        <v>161</v>
      </c>
      <c r="AP312" s="117" t="n">
        <v>100082045</v>
      </c>
      <c r="AQ312" s="118" t="n">
        <v>43708</v>
      </c>
      <c r="AR312" s="118" t="n">
        <v>43646</v>
      </c>
      <c r="AS312" s="117" t="n">
        <v>0.430601851851852</v>
      </c>
      <c r="AT312" s="117" t="n">
        <v>0</v>
      </c>
      <c r="AU312" s="117" t="n">
        <v>0</v>
      </c>
      <c r="AX312" s="117" t="n">
        <v>10</v>
      </c>
    </row>
    <row r="313" customFormat="false" ht="13.8" hidden="true" customHeight="false" outlineLevel="0" collapsed="false">
      <c r="A313" s="117" t="n">
        <v>1000</v>
      </c>
      <c r="B313" s="117" t="s">
        <v>1962</v>
      </c>
      <c r="C313" s="117" t="n">
        <v>100048554</v>
      </c>
      <c r="E313" s="117" t="s">
        <v>1921</v>
      </c>
      <c r="F313" s="117" t="n">
        <v>1109</v>
      </c>
      <c r="G313" s="117" t="n">
        <v>2019</v>
      </c>
      <c r="H313" s="117" t="n">
        <v>3</v>
      </c>
      <c r="I313" s="118" t="n">
        <v>43646</v>
      </c>
      <c r="J313" s="118" t="n">
        <v>43646</v>
      </c>
      <c r="K313" s="119" t="n">
        <v>-432824</v>
      </c>
      <c r="L313" s="128" t="n">
        <f aca="false">K313-Q313+T313</f>
        <v>-432824</v>
      </c>
      <c r="M313" s="117" t="s">
        <v>149</v>
      </c>
      <c r="N313" s="117" t="n">
        <v>-432824</v>
      </c>
      <c r="O313" s="117" t="s">
        <v>149</v>
      </c>
      <c r="P313" s="117" t="n">
        <v>0</v>
      </c>
      <c r="Q313" s="117" t="n">
        <v>0</v>
      </c>
      <c r="R313" s="117" t="n">
        <v>-432824</v>
      </c>
      <c r="S313" s="117" t="n">
        <v>0</v>
      </c>
      <c r="T313" s="117" t="n">
        <v>0</v>
      </c>
      <c r="U313" s="117" t="n">
        <v>312193</v>
      </c>
      <c r="V313" s="117" t="s">
        <v>1963</v>
      </c>
      <c r="Z313" s="117" t="n">
        <v>100048554</v>
      </c>
      <c r="AD313" s="117" t="n">
        <v>110000</v>
      </c>
      <c r="AE313" s="117" t="s">
        <v>1966</v>
      </c>
      <c r="AF313" s="117" t="n">
        <v>110000</v>
      </c>
      <c r="AG313" s="117" t="s">
        <v>1966</v>
      </c>
      <c r="AI313" s="117" t="n">
        <v>110000</v>
      </c>
      <c r="AJ313" s="117" t="s">
        <v>1966</v>
      </c>
      <c r="AK313" s="117" t="n">
        <v>0</v>
      </c>
      <c r="AL313" s="117" t="n">
        <v>17</v>
      </c>
      <c r="AM313" s="117" t="s">
        <v>225</v>
      </c>
      <c r="AP313" s="117" t="n">
        <v>100048554</v>
      </c>
      <c r="AQ313" s="118" t="n">
        <v>43646</v>
      </c>
      <c r="AR313" s="118" t="n">
        <v>43647</v>
      </c>
      <c r="AS313" s="117" t="n">
        <v>0.181689814814815</v>
      </c>
      <c r="AT313" s="117" t="n">
        <v>0</v>
      </c>
      <c r="AU313" s="117" t="n">
        <v>0</v>
      </c>
      <c r="AX313" s="117" t="n">
        <v>4</v>
      </c>
    </row>
    <row r="314" customFormat="false" ht="13.8" hidden="true" customHeight="false" outlineLevel="0" collapsed="false">
      <c r="A314" s="117" t="n">
        <v>1000</v>
      </c>
      <c r="B314" s="117" t="s">
        <v>1962</v>
      </c>
      <c r="C314" s="117" t="n">
        <v>1600000046</v>
      </c>
      <c r="D314" s="117" t="s">
        <v>1991</v>
      </c>
      <c r="E314" s="117" t="s">
        <v>1987</v>
      </c>
      <c r="F314" s="117" t="n">
        <v>1106</v>
      </c>
      <c r="G314" s="117" t="n">
        <v>2019</v>
      </c>
      <c r="H314" s="117" t="n">
        <v>2</v>
      </c>
      <c r="I314" s="118" t="n">
        <v>43607</v>
      </c>
      <c r="J314" s="118" t="n">
        <v>43607</v>
      </c>
      <c r="K314" s="119" t="n">
        <v>-1505680</v>
      </c>
      <c r="L314" s="128" t="n">
        <f aca="false">K314-Q314+T314</f>
        <v>-1505680</v>
      </c>
      <c r="M314" s="117" t="s">
        <v>149</v>
      </c>
      <c r="N314" s="117" t="n">
        <v>-1505680</v>
      </c>
      <c r="O314" s="117" t="s">
        <v>149</v>
      </c>
      <c r="P314" s="117" t="n">
        <v>-1505680</v>
      </c>
      <c r="Q314" s="117" t="n">
        <v>0</v>
      </c>
      <c r="R314" s="117" t="n">
        <v>-1505680</v>
      </c>
      <c r="S314" s="117" t="n">
        <v>0</v>
      </c>
      <c r="T314" s="117" t="n">
        <v>0</v>
      </c>
      <c r="U314" s="117" t="n">
        <v>309728</v>
      </c>
      <c r="V314" s="117" t="s">
        <v>1968</v>
      </c>
      <c r="X314" s="117" t="s">
        <v>2186</v>
      </c>
      <c r="Y314" s="117" t="s">
        <v>1993</v>
      </c>
      <c r="Z314" s="117" t="n">
        <v>1600000046</v>
      </c>
      <c r="AD314" s="117" t="n">
        <v>310300</v>
      </c>
      <c r="AE314" s="117" t="s">
        <v>1969</v>
      </c>
      <c r="AF314" s="117" t="n">
        <v>312193</v>
      </c>
      <c r="AG314" s="117" t="s">
        <v>1963</v>
      </c>
      <c r="AI314" s="117" t="n">
        <v>312193</v>
      </c>
      <c r="AJ314" s="131" t="s">
        <v>1963</v>
      </c>
      <c r="AK314" s="117" t="n">
        <v>0</v>
      </c>
      <c r="AL314" s="117" t="n">
        <v>19</v>
      </c>
      <c r="AM314" s="117" t="s">
        <v>225</v>
      </c>
      <c r="AN314" s="117" t="s">
        <v>1978</v>
      </c>
      <c r="AP314" s="117" t="n">
        <v>100020146</v>
      </c>
      <c r="AQ314" s="118" t="n">
        <v>43611</v>
      </c>
      <c r="AR314" s="118" t="n">
        <v>43611</v>
      </c>
      <c r="AS314" s="117" t="n">
        <v>0.754085648148148</v>
      </c>
      <c r="AT314" s="117" t="n">
        <v>0</v>
      </c>
      <c r="AU314" s="117" t="n">
        <v>0</v>
      </c>
      <c r="AX314" s="117" t="n">
        <v>2</v>
      </c>
    </row>
    <row r="315" customFormat="false" ht="13.8" hidden="true" customHeight="false" outlineLevel="0" collapsed="false">
      <c r="A315" s="117" t="n">
        <v>1000</v>
      </c>
      <c r="B315" s="117" t="s">
        <v>1962</v>
      </c>
      <c r="C315" s="117" t="n">
        <v>100004347</v>
      </c>
      <c r="E315" s="117" t="s">
        <v>1921</v>
      </c>
      <c r="F315" s="117" t="n">
        <v>1109</v>
      </c>
      <c r="G315" s="117" t="n">
        <v>2019</v>
      </c>
      <c r="H315" s="117" t="n">
        <v>1</v>
      </c>
      <c r="I315" s="118" t="n">
        <v>43583</v>
      </c>
      <c r="J315" s="118" t="n">
        <v>43583</v>
      </c>
      <c r="K315" s="119" t="n">
        <v>-5121003.34</v>
      </c>
      <c r="L315" s="128" t="n">
        <f aca="false">K315-Q315+T315</f>
        <v>-5121003.34</v>
      </c>
      <c r="M315" s="117" t="s">
        <v>149</v>
      </c>
      <c r="N315" s="117" t="n">
        <v>-5121003.34</v>
      </c>
      <c r="O315" s="117" t="s">
        <v>149</v>
      </c>
      <c r="P315" s="117" t="n">
        <v>0</v>
      </c>
      <c r="Q315" s="117" t="n">
        <v>0</v>
      </c>
      <c r="R315" s="117" t="n">
        <v>-5121003.34</v>
      </c>
      <c r="S315" s="117" t="n">
        <v>0</v>
      </c>
      <c r="T315" s="117" t="n">
        <v>0</v>
      </c>
      <c r="U315" s="117" t="n">
        <v>313029</v>
      </c>
      <c r="V315" s="117" t="s">
        <v>143</v>
      </c>
      <c r="Z315" s="117" t="n">
        <v>100004347</v>
      </c>
      <c r="AD315" s="117" t="n">
        <v>110000</v>
      </c>
      <c r="AE315" s="117" t="s">
        <v>1966</v>
      </c>
      <c r="AF315" s="117" t="n">
        <v>310300</v>
      </c>
      <c r="AG315" s="117" t="s">
        <v>1969</v>
      </c>
      <c r="AI315" s="117" t="n">
        <v>310300</v>
      </c>
      <c r="AJ315" s="117" t="s">
        <v>1969</v>
      </c>
      <c r="AK315" s="117" t="n">
        <v>0</v>
      </c>
      <c r="AL315" s="117" t="n">
        <v>17</v>
      </c>
      <c r="AM315" s="117" t="s">
        <v>225</v>
      </c>
      <c r="AP315" s="117" t="n">
        <v>100004347</v>
      </c>
      <c r="AQ315" s="118" t="n">
        <v>43583</v>
      </c>
      <c r="AR315" s="118" t="n">
        <v>43583</v>
      </c>
      <c r="AS315" s="117" t="n">
        <v>0.577916666666667</v>
      </c>
      <c r="AT315" s="117" t="n">
        <v>0</v>
      </c>
      <c r="AU315" s="117" t="n">
        <v>0</v>
      </c>
      <c r="AX315" s="117" t="n">
        <v>1</v>
      </c>
    </row>
    <row r="316" customFormat="false" ht="13.8" hidden="true" customHeight="false" outlineLevel="0" collapsed="false">
      <c r="A316" s="117" t="n">
        <v>1000</v>
      </c>
      <c r="B316" s="117" t="s">
        <v>1962</v>
      </c>
      <c r="C316" s="117" t="n">
        <v>100015899</v>
      </c>
      <c r="E316" s="117" t="s">
        <v>1921</v>
      </c>
      <c r="F316" s="117" t="n">
        <v>1106</v>
      </c>
      <c r="G316" s="117" t="n">
        <v>2019</v>
      </c>
      <c r="H316" s="117" t="n">
        <v>1</v>
      </c>
      <c r="I316" s="118" t="n">
        <v>43585</v>
      </c>
      <c r="J316" s="118" t="n">
        <v>43585</v>
      </c>
      <c r="K316" s="119" t="n">
        <v>258.94</v>
      </c>
      <c r="L316" s="128" t="n">
        <f aca="false">K316-Q316+T316</f>
        <v>258.94</v>
      </c>
      <c r="M316" s="117" t="s">
        <v>149</v>
      </c>
      <c r="N316" s="117" t="n">
        <v>258.94</v>
      </c>
      <c r="O316" s="117" t="s">
        <v>149</v>
      </c>
      <c r="P316" s="117" t="n">
        <v>0</v>
      </c>
      <c r="Q316" s="117" t="n">
        <v>0</v>
      </c>
      <c r="R316" s="117" t="n">
        <v>258.94</v>
      </c>
      <c r="S316" s="117" t="n">
        <v>0</v>
      </c>
      <c r="T316" s="117" t="n">
        <v>0</v>
      </c>
      <c r="U316" s="117" t="n">
        <v>306546</v>
      </c>
      <c r="V316" s="117" t="s">
        <v>2177</v>
      </c>
      <c r="Z316" s="117" t="n">
        <v>100015899</v>
      </c>
      <c r="AD316" s="117" t="n">
        <v>110000</v>
      </c>
      <c r="AE316" s="117" t="s">
        <v>1966</v>
      </c>
      <c r="AF316" s="117" t="n">
        <v>110000</v>
      </c>
      <c r="AG316" s="117" t="s">
        <v>1966</v>
      </c>
      <c r="AI316" s="117" t="n">
        <v>110000</v>
      </c>
      <c r="AJ316" s="117" t="s">
        <v>1966</v>
      </c>
      <c r="AK316" s="117" t="n">
        <v>0</v>
      </c>
      <c r="AL316" s="117" t="n">
        <v>7</v>
      </c>
      <c r="AM316" s="117" t="s">
        <v>161</v>
      </c>
      <c r="AP316" s="117" t="n">
        <v>100015899</v>
      </c>
      <c r="AQ316" s="118" t="n">
        <v>43585</v>
      </c>
      <c r="AR316" s="118" t="n">
        <v>43587</v>
      </c>
      <c r="AS316" s="117" t="n">
        <v>0.765115740740741</v>
      </c>
      <c r="AT316" s="117" t="n">
        <v>0</v>
      </c>
      <c r="AU316" s="117" t="n">
        <v>0</v>
      </c>
      <c r="AX316" s="117" t="n">
        <v>1</v>
      </c>
    </row>
    <row r="317" s="106" customFormat="true" ht="13.8" hidden="true" customHeight="false" outlineLevel="0" collapsed="false">
      <c r="A317" s="106" t="n">
        <v>1000</v>
      </c>
      <c r="B317" s="106" t="s">
        <v>1962</v>
      </c>
      <c r="C317" s="106" t="n">
        <v>107723</v>
      </c>
      <c r="D317" s="106" t="s">
        <v>1825</v>
      </c>
      <c r="E317" s="106" t="s">
        <v>1970</v>
      </c>
      <c r="F317" s="106" t="n">
        <v>1109</v>
      </c>
      <c r="G317" s="106" t="n">
        <v>2019</v>
      </c>
      <c r="H317" s="106" t="n">
        <v>7</v>
      </c>
      <c r="I317" s="129" t="n">
        <v>43749</v>
      </c>
      <c r="J317" s="129" t="n">
        <v>43749</v>
      </c>
      <c r="K317" s="107" t="n">
        <v>955748.36</v>
      </c>
      <c r="L317" s="130" t="n">
        <f aca="false">K317-Q317+T317</f>
        <v>809956.24</v>
      </c>
      <c r="M317" s="106" t="s">
        <v>149</v>
      </c>
      <c r="N317" s="106" t="n">
        <v>955748.36</v>
      </c>
      <c r="O317" s="106" t="s">
        <v>149</v>
      </c>
      <c r="P317" s="106" t="n">
        <v>0</v>
      </c>
      <c r="Q317" s="107" t="n">
        <v>145792.12</v>
      </c>
      <c r="R317" s="106" t="n">
        <v>809956.24</v>
      </c>
      <c r="S317" s="106" t="n">
        <v>0</v>
      </c>
      <c r="T317" s="106" t="n">
        <v>0</v>
      </c>
      <c r="U317" s="106" t="n">
        <v>312193</v>
      </c>
      <c r="V317" s="106" t="s">
        <v>1963</v>
      </c>
      <c r="Z317" s="106" t="n">
        <v>60959</v>
      </c>
      <c r="AB317" s="106" t="s">
        <v>2124</v>
      </c>
      <c r="AD317" s="106" t="n">
        <v>110000</v>
      </c>
      <c r="AE317" s="106" t="s">
        <v>1966</v>
      </c>
      <c r="AF317" s="106" t="n">
        <v>501005</v>
      </c>
      <c r="AG317" s="106" t="s">
        <v>2033</v>
      </c>
      <c r="AI317" s="106" t="n">
        <v>501005</v>
      </c>
      <c r="AJ317" s="106" t="s">
        <v>2033</v>
      </c>
      <c r="AK317" s="106" t="n">
        <v>0</v>
      </c>
      <c r="AL317" s="106" t="n">
        <v>1</v>
      </c>
      <c r="AM317" s="106" t="s">
        <v>161</v>
      </c>
      <c r="AP317" s="106" t="n">
        <v>100141449</v>
      </c>
      <c r="AQ317" s="129" t="n">
        <v>43766</v>
      </c>
      <c r="AR317" s="129" t="n">
        <v>43749</v>
      </c>
      <c r="AS317" s="106" t="n">
        <v>0.518032407407407</v>
      </c>
      <c r="AT317" s="106" t="n">
        <v>0</v>
      </c>
      <c r="AU317" s="106" t="n">
        <v>0</v>
      </c>
      <c r="AX317" s="106" t="n">
        <v>1</v>
      </c>
      <c r="ALU317" s="0"/>
      <c r="ALV317" s="0"/>
      <c r="ALW317" s="0"/>
      <c r="ALX317" s="0"/>
      <c r="ALY317" s="0"/>
      <c r="ALZ317" s="0"/>
      <c r="AMA317" s="0"/>
      <c r="AMB317" s="0"/>
      <c r="AMC317" s="0"/>
      <c r="AMD317" s="0"/>
      <c r="AME317" s="0"/>
      <c r="AMF317" s="0"/>
      <c r="AMG317" s="0"/>
      <c r="AMH317" s="0"/>
      <c r="AMI317" s="0"/>
      <c r="AMJ317" s="0"/>
    </row>
    <row r="318" customFormat="false" ht="13.8" hidden="true" customHeight="false" outlineLevel="0" collapsed="false">
      <c r="A318" s="117" t="n">
        <v>1000</v>
      </c>
      <c r="B318" s="117" t="s">
        <v>1962</v>
      </c>
      <c r="C318" s="117" t="n">
        <v>100022980</v>
      </c>
      <c r="E318" s="117" t="s">
        <v>1921</v>
      </c>
      <c r="F318" s="117" t="n">
        <v>1101</v>
      </c>
      <c r="G318" s="117" t="n">
        <v>2019</v>
      </c>
      <c r="H318" s="117" t="n">
        <v>2</v>
      </c>
      <c r="I318" s="118" t="n">
        <v>43616</v>
      </c>
      <c r="J318" s="118" t="n">
        <v>43616</v>
      </c>
      <c r="K318" s="119" t="n">
        <v>1243215.48</v>
      </c>
      <c r="L318" s="128" t="n">
        <f aca="false">K318-Q318+T318</f>
        <v>1243215.48</v>
      </c>
      <c r="M318" s="117" t="s">
        <v>149</v>
      </c>
      <c r="N318" s="117" t="n">
        <v>1243215.48</v>
      </c>
      <c r="O318" s="117" t="s">
        <v>149</v>
      </c>
      <c r="P318" s="117" t="n">
        <v>0</v>
      </c>
      <c r="Q318" s="117" t="n">
        <v>0</v>
      </c>
      <c r="R318" s="117" t="n">
        <v>1243215.48</v>
      </c>
      <c r="S318" s="117" t="n">
        <v>0</v>
      </c>
      <c r="T318" s="117" t="n">
        <v>0</v>
      </c>
      <c r="U318" s="117" t="n">
        <v>318999</v>
      </c>
      <c r="V318" s="117" t="s">
        <v>143</v>
      </c>
      <c r="X318" s="117" t="s">
        <v>1217</v>
      </c>
      <c r="Z318" s="117" t="n">
        <v>100022980</v>
      </c>
      <c r="AD318" s="117" t="n">
        <v>110000</v>
      </c>
      <c r="AE318" s="117" t="s">
        <v>1966</v>
      </c>
      <c r="AF318" s="117" t="n">
        <v>110000</v>
      </c>
      <c r="AG318" s="117" t="s">
        <v>1966</v>
      </c>
      <c r="AI318" s="117" t="n">
        <v>110000</v>
      </c>
      <c r="AJ318" s="117" t="s">
        <v>1966</v>
      </c>
      <c r="AK318" s="117" t="n">
        <v>0</v>
      </c>
      <c r="AL318" s="117" t="n">
        <v>4</v>
      </c>
      <c r="AM318" s="117" t="s">
        <v>161</v>
      </c>
      <c r="AP318" s="117" t="n">
        <v>100039982</v>
      </c>
      <c r="AQ318" s="118" t="n">
        <v>43645</v>
      </c>
      <c r="AR318" s="118" t="n">
        <v>43618</v>
      </c>
      <c r="AS318" s="117" t="n">
        <v>0.614305555555556</v>
      </c>
      <c r="AT318" s="117" t="n">
        <v>0</v>
      </c>
      <c r="AU318" s="117" t="n">
        <v>0</v>
      </c>
      <c r="AX318" s="117" t="n">
        <v>12</v>
      </c>
    </row>
    <row r="319" customFormat="false" ht="13.8" hidden="true" customHeight="false" outlineLevel="0" collapsed="false">
      <c r="A319" s="117" t="n">
        <v>1000</v>
      </c>
      <c r="B319" s="117" t="s">
        <v>1962</v>
      </c>
      <c r="C319" s="117" t="n">
        <v>100039078</v>
      </c>
      <c r="E319" s="117" t="s">
        <v>1921</v>
      </c>
      <c r="F319" s="117" t="n">
        <v>1109</v>
      </c>
      <c r="G319" s="117" t="n">
        <v>2019</v>
      </c>
      <c r="H319" s="117" t="n">
        <v>3</v>
      </c>
      <c r="I319" s="118" t="n">
        <v>43644</v>
      </c>
      <c r="J319" s="118" t="n">
        <v>43644</v>
      </c>
      <c r="K319" s="119" t="n">
        <v>774670</v>
      </c>
      <c r="L319" s="128" t="n">
        <f aca="false">K319-Q319+T319</f>
        <v>774670</v>
      </c>
      <c r="M319" s="117" t="s">
        <v>149</v>
      </c>
      <c r="N319" s="117" t="n">
        <v>774670</v>
      </c>
      <c r="O319" s="117" t="s">
        <v>149</v>
      </c>
      <c r="P319" s="117" t="n">
        <v>0</v>
      </c>
      <c r="Q319" s="117" t="n">
        <v>0</v>
      </c>
      <c r="R319" s="117" t="n">
        <v>774670</v>
      </c>
      <c r="S319" s="117" t="n">
        <v>0</v>
      </c>
      <c r="T319" s="117" t="n">
        <v>0</v>
      </c>
      <c r="U319" s="117" t="n">
        <v>305576</v>
      </c>
      <c r="V319" s="117" t="s">
        <v>1973</v>
      </c>
      <c r="X319" s="117" t="s">
        <v>1220</v>
      </c>
      <c r="Z319" s="117" t="n">
        <v>58627</v>
      </c>
      <c r="AB319" s="117" t="s">
        <v>2083</v>
      </c>
      <c r="AD319" s="117" t="n">
        <v>110000</v>
      </c>
      <c r="AE319" s="117" t="s">
        <v>1966</v>
      </c>
      <c r="AF319" s="117" t="n">
        <v>110000</v>
      </c>
      <c r="AG319" s="117" t="s">
        <v>1966</v>
      </c>
      <c r="AI319" s="117" t="n">
        <v>110000</v>
      </c>
      <c r="AJ319" s="117" t="s">
        <v>1966</v>
      </c>
      <c r="AK319" s="117" t="n">
        <v>0</v>
      </c>
      <c r="AL319" s="117" t="n">
        <v>4</v>
      </c>
      <c r="AM319" s="117" t="s">
        <v>161</v>
      </c>
      <c r="AP319" s="117" t="n">
        <v>100058185</v>
      </c>
      <c r="AQ319" s="118" t="n">
        <v>43677</v>
      </c>
      <c r="AR319" s="118" t="n">
        <v>43644</v>
      </c>
      <c r="AS319" s="117" t="n">
        <v>0.176180555555556</v>
      </c>
      <c r="AT319" s="117" t="n">
        <v>0</v>
      </c>
      <c r="AU319" s="117" t="n">
        <v>0</v>
      </c>
      <c r="AX319" s="117" t="n">
        <v>1</v>
      </c>
    </row>
    <row r="320" s="106" customFormat="true" ht="13.8" hidden="true" customHeight="false" outlineLevel="0" collapsed="false">
      <c r="A320" s="106" t="n">
        <v>1000</v>
      </c>
      <c r="B320" s="106" t="s">
        <v>1962</v>
      </c>
      <c r="C320" s="106" t="n">
        <v>102765</v>
      </c>
      <c r="D320" s="106" t="s">
        <v>2187</v>
      </c>
      <c r="E320" s="106" t="s">
        <v>1970</v>
      </c>
      <c r="F320" s="106" t="n">
        <v>1101</v>
      </c>
      <c r="G320" s="106" t="n">
        <v>2019</v>
      </c>
      <c r="H320" s="106" t="n">
        <v>3</v>
      </c>
      <c r="I320" s="129" t="n">
        <v>43623</v>
      </c>
      <c r="J320" s="129" t="n">
        <v>43623</v>
      </c>
      <c r="K320" s="107" t="n">
        <v>1127613.23</v>
      </c>
      <c r="L320" s="130" t="n">
        <f aca="false">K320-Q320+T320</f>
        <v>955604.45</v>
      </c>
      <c r="M320" s="106" t="s">
        <v>149</v>
      </c>
      <c r="N320" s="106" t="n">
        <v>1127613.23</v>
      </c>
      <c r="O320" s="106" t="s">
        <v>149</v>
      </c>
      <c r="P320" s="106" t="n">
        <v>0</v>
      </c>
      <c r="Q320" s="107" t="n">
        <v>172008.78</v>
      </c>
      <c r="R320" s="106" t="n">
        <v>955604.45</v>
      </c>
      <c r="S320" s="106" t="n">
        <v>0</v>
      </c>
      <c r="T320" s="106" t="n">
        <v>0</v>
      </c>
      <c r="U320" s="106" t="n">
        <v>318999</v>
      </c>
      <c r="V320" s="106" t="s">
        <v>143</v>
      </c>
      <c r="Z320" s="106" t="n">
        <v>102765</v>
      </c>
      <c r="AD320" s="106" t="n">
        <v>110000</v>
      </c>
      <c r="AE320" s="106" t="s">
        <v>1966</v>
      </c>
      <c r="AF320" s="106" t="n">
        <v>501040</v>
      </c>
      <c r="AG320" s="106" t="s">
        <v>2036</v>
      </c>
      <c r="AI320" s="106" t="n">
        <v>501040</v>
      </c>
      <c r="AJ320" s="106" t="s">
        <v>2036</v>
      </c>
      <c r="AK320" s="106" t="n">
        <v>0</v>
      </c>
      <c r="AL320" s="106" t="n">
        <v>1</v>
      </c>
      <c r="AM320" s="106" t="s">
        <v>161</v>
      </c>
      <c r="AP320" s="106" t="n">
        <v>100039983</v>
      </c>
      <c r="AQ320" s="129" t="n">
        <v>43645</v>
      </c>
      <c r="AR320" s="129" t="n">
        <v>43623</v>
      </c>
      <c r="AS320" s="106" t="n">
        <v>0.625324074074074</v>
      </c>
      <c r="AT320" s="106" t="n">
        <v>0</v>
      </c>
      <c r="AU320" s="106" t="n">
        <v>0</v>
      </c>
      <c r="AX320" s="106" t="n">
        <v>1</v>
      </c>
      <c r="ALU320" s="0"/>
      <c r="ALV320" s="0"/>
      <c r="ALW320" s="0"/>
      <c r="ALX320" s="0"/>
      <c r="ALY320" s="0"/>
      <c r="ALZ320" s="0"/>
      <c r="AMA320" s="0"/>
      <c r="AMB320" s="0"/>
      <c r="AMC320" s="0"/>
      <c r="AMD320" s="0"/>
      <c r="AME320" s="0"/>
      <c r="AMF320" s="0"/>
      <c r="AMG320" s="0"/>
      <c r="AMH320" s="0"/>
      <c r="AMI320" s="0"/>
      <c r="AMJ320" s="0"/>
    </row>
    <row r="321" customFormat="false" ht="13.8" hidden="true" customHeight="false" outlineLevel="0" collapsed="false">
      <c r="A321" s="117" t="n">
        <v>1000</v>
      </c>
      <c r="B321" s="117" t="s">
        <v>1962</v>
      </c>
      <c r="C321" s="117" t="n">
        <v>100048554</v>
      </c>
      <c r="E321" s="117" t="s">
        <v>1921</v>
      </c>
      <c r="F321" s="117" t="n">
        <v>1301</v>
      </c>
      <c r="G321" s="117" t="n">
        <v>2019</v>
      </c>
      <c r="H321" s="117" t="n">
        <v>3</v>
      </c>
      <c r="I321" s="118" t="n">
        <v>43646</v>
      </c>
      <c r="J321" s="118" t="n">
        <v>43646</v>
      </c>
      <c r="K321" s="119" t="n">
        <v>19718</v>
      </c>
      <c r="L321" s="128" t="n">
        <f aca="false">K321-Q321+T321</f>
        <v>19718</v>
      </c>
      <c r="M321" s="117" t="s">
        <v>149</v>
      </c>
      <c r="N321" s="117" t="n">
        <v>19718</v>
      </c>
      <c r="O321" s="117" t="s">
        <v>149</v>
      </c>
      <c r="P321" s="117" t="n">
        <v>0</v>
      </c>
      <c r="Q321" s="117" t="n">
        <v>0</v>
      </c>
      <c r="R321" s="117" t="n">
        <v>19718</v>
      </c>
      <c r="S321" s="117" t="n">
        <v>0</v>
      </c>
      <c r="T321" s="117" t="n">
        <v>0</v>
      </c>
      <c r="U321" s="117" t="n">
        <v>312193</v>
      </c>
      <c r="V321" s="117" t="s">
        <v>1963</v>
      </c>
      <c r="Z321" s="117" t="n">
        <v>100048554</v>
      </c>
      <c r="AD321" s="117" t="n">
        <v>110000</v>
      </c>
      <c r="AE321" s="117" t="s">
        <v>1966</v>
      </c>
      <c r="AF321" s="117" t="n">
        <v>110000</v>
      </c>
      <c r="AG321" s="117" t="s">
        <v>1966</v>
      </c>
      <c r="AI321" s="117" t="n">
        <v>110000</v>
      </c>
      <c r="AJ321" s="117" t="s">
        <v>1966</v>
      </c>
      <c r="AK321" s="117" t="n">
        <v>0</v>
      </c>
      <c r="AL321" s="117" t="n">
        <v>7</v>
      </c>
      <c r="AM321" s="117" t="s">
        <v>161</v>
      </c>
      <c r="AP321" s="117" t="n">
        <v>100048554</v>
      </c>
      <c r="AQ321" s="118" t="n">
        <v>43646</v>
      </c>
      <c r="AR321" s="118" t="n">
        <v>43647</v>
      </c>
      <c r="AS321" s="117" t="n">
        <v>0.181689814814815</v>
      </c>
      <c r="AT321" s="117" t="n">
        <v>0</v>
      </c>
      <c r="AU321" s="117" t="n">
        <v>0</v>
      </c>
      <c r="AX321" s="117" t="n">
        <v>5</v>
      </c>
    </row>
    <row r="322" s="106" customFormat="true" ht="13.8" hidden="true" customHeight="false" outlineLevel="0" collapsed="false">
      <c r="A322" s="106" t="n">
        <v>1000</v>
      </c>
      <c r="B322" s="106" t="s">
        <v>1962</v>
      </c>
      <c r="C322" s="106" t="n">
        <v>101482</v>
      </c>
      <c r="D322" s="106" t="s">
        <v>1256</v>
      </c>
      <c r="E322" s="106" t="s">
        <v>1970</v>
      </c>
      <c r="F322" s="106" t="n">
        <v>1101</v>
      </c>
      <c r="G322" s="106" t="n">
        <v>2019</v>
      </c>
      <c r="H322" s="106" t="n">
        <v>2</v>
      </c>
      <c r="I322" s="129" t="n">
        <v>43596</v>
      </c>
      <c r="J322" s="129" t="n">
        <v>43596</v>
      </c>
      <c r="K322" s="107" t="n">
        <v>306656.07</v>
      </c>
      <c r="L322" s="130" t="n">
        <f aca="false">K322-Q322+T322</f>
        <v>259878.07</v>
      </c>
      <c r="M322" s="106" t="s">
        <v>149</v>
      </c>
      <c r="N322" s="106" t="n">
        <v>306656.07</v>
      </c>
      <c r="O322" s="106" t="s">
        <v>149</v>
      </c>
      <c r="P322" s="106" t="n">
        <v>0</v>
      </c>
      <c r="Q322" s="107" t="n">
        <v>46778</v>
      </c>
      <c r="R322" s="106" t="n">
        <v>259878.07</v>
      </c>
      <c r="S322" s="106" t="n">
        <v>0</v>
      </c>
      <c r="T322" s="106" t="n">
        <v>0</v>
      </c>
      <c r="U322" s="106" t="n">
        <v>318999</v>
      </c>
      <c r="V322" s="106" t="s">
        <v>143</v>
      </c>
      <c r="Z322" s="106" t="n">
        <v>101482</v>
      </c>
      <c r="AD322" s="106" t="n">
        <v>110000</v>
      </c>
      <c r="AE322" s="106" t="s">
        <v>1966</v>
      </c>
      <c r="AF322" s="106" t="n">
        <v>501040</v>
      </c>
      <c r="AG322" s="106" t="s">
        <v>2036</v>
      </c>
      <c r="AI322" s="106" t="n">
        <v>501040</v>
      </c>
      <c r="AJ322" s="106" t="s">
        <v>2036</v>
      </c>
      <c r="AK322" s="106" t="n">
        <v>0</v>
      </c>
      <c r="AL322" s="106" t="n">
        <v>1</v>
      </c>
      <c r="AM322" s="106" t="s">
        <v>161</v>
      </c>
      <c r="AP322" s="106" t="n">
        <v>100022980</v>
      </c>
      <c r="AQ322" s="129" t="n">
        <v>43616</v>
      </c>
      <c r="AR322" s="129" t="n">
        <v>43596</v>
      </c>
      <c r="AS322" s="106" t="n">
        <v>0.648171296296296</v>
      </c>
      <c r="AT322" s="106" t="n">
        <v>0</v>
      </c>
      <c r="AU322" s="106" t="n">
        <v>0</v>
      </c>
      <c r="AX322" s="106" t="n">
        <v>1</v>
      </c>
      <c r="ALU322" s="0"/>
      <c r="ALV322" s="0"/>
      <c r="ALW322" s="0"/>
      <c r="ALX322" s="0"/>
      <c r="ALY322" s="0"/>
      <c r="ALZ322" s="0"/>
      <c r="AMA322" s="0"/>
      <c r="AMB322" s="0"/>
      <c r="AMC322" s="0"/>
      <c r="AMD322" s="0"/>
      <c r="AME322" s="0"/>
      <c r="AMF322" s="0"/>
      <c r="AMG322" s="0"/>
      <c r="AMH322" s="0"/>
      <c r="AMI322" s="0"/>
      <c r="AMJ322" s="0"/>
    </row>
    <row r="323" customFormat="false" ht="13.8" hidden="true" customHeight="false" outlineLevel="0" collapsed="false">
      <c r="A323" s="117" t="n">
        <v>1000</v>
      </c>
      <c r="B323" s="117" t="s">
        <v>1962</v>
      </c>
      <c r="C323" s="117" t="n">
        <v>100022435</v>
      </c>
      <c r="E323" s="117" t="s">
        <v>1921</v>
      </c>
      <c r="F323" s="117" t="n">
        <v>1106</v>
      </c>
      <c r="G323" s="117" t="n">
        <v>2019</v>
      </c>
      <c r="H323" s="117" t="n">
        <v>2</v>
      </c>
      <c r="I323" s="118" t="n">
        <v>43616</v>
      </c>
      <c r="J323" s="118" t="n">
        <v>43616</v>
      </c>
      <c r="K323" s="119" t="n">
        <v>4109350</v>
      </c>
      <c r="L323" s="128" t="n">
        <f aca="false">K323-Q323+T323</f>
        <v>4109350</v>
      </c>
      <c r="M323" s="117" t="s">
        <v>149</v>
      </c>
      <c r="N323" s="117" t="n">
        <v>4109350</v>
      </c>
      <c r="O323" s="117" t="s">
        <v>149</v>
      </c>
      <c r="P323" s="117" t="n">
        <v>0</v>
      </c>
      <c r="Q323" s="117" t="n">
        <v>0</v>
      </c>
      <c r="R323" s="117" t="n">
        <v>4109350</v>
      </c>
      <c r="S323" s="117" t="n">
        <v>0</v>
      </c>
      <c r="T323" s="117" t="n">
        <v>0</v>
      </c>
      <c r="U323" s="117" t="n">
        <v>312193</v>
      </c>
      <c r="V323" s="117" t="s">
        <v>1963</v>
      </c>
      <c r="Z323" s="117" t="n">
        <v>100022435</v>
      </c>
      <c r="AD323" s="117" t="n">
        <v>310300</v>
      </c>
      <c r="AE323" s="117" t="s">
        <v>1969</v>
      </c>
      <c r="AF323" s="117" t="n">
        <v>110000</v>
      </c>
      <c r="AG323" s="117" t="s">
        <v>1966</v>
      </c>
      <c r="AI323" s="117" t="n">
        <v>110000</v>
      </c>
      <c r="AJ323" s="117" t="s">
        <v>1966</v>
      </c>
      <c r="AK323" s="117" t="n">
        <v>0</v>
      </c>
      <c r="AL323" s="117" t="n">
        <v>9</v>
      </c>
      <c r="AM323" s="117" t="s">
        <v>161</v>
      </c>
      <c r="AN323" s="117" t="s">
        <v>1978</v>
      </c>
      <c r="AP323" s="117" t="n">
        <v>100022435</v>
      </c>
      <c r="AQ323" s="118" t="n">
        <v>43616</v>
      </c>
      <c r="AR323" s="118" t="n">
        <v>43617</v>
      </c>
      <c r="AS323" s="117" t="n">
        <v>0.582719907407407</v>
      </c>
      <c r="AT323" s="117" t="n">
        <v>0</v>
      </c>
      <c r="AU323" s="117" t="n">
        <v>0</v>
      </c>
      <c r="AX323" s="117" t="n">
        <v>5</v>
      </c>
    </row>
    <row r="324" s="106" customFormat="true" ht="13.8" hidden="true" customHeight="false" outlineLevel="0" collapsed="false">
      <c r="A324" s="106" t="n">
        <v>1000</v>
      </c>
      <c r="B324" s="106" t="s">
        <v>1962</v>
      </c>
      <c r="C324" s="106" t="n">
        <v>102047</v>
      </c>
      <c r="D324" s="106" t="s">
        <v>2188</v>
      </c>
      <c r="E324" s="106" t="s">
        <v>1970</v>
      </c>
      <c r="F324" s="106" t="n">
        <v>1101</v>
      </c>
      <c r="G324" s="106" t="n">
        <v>2019</v>
      </c>
      <c r="H324" s="106" t="n">
        <v>2</v>
      </c>
      <c r="I324" s="129" t="n">
        <v>43609</v>
      </c>
      <c r="J324" s="129" t="n">
        <v>43609</v>
      </c>
      <c r="K324" s="107" t="n">
        <v>1398976.7</v>
      </c>
      <c r="L324" s="130" t="n">
        <f aca="false">K324-Q324+T324</f>
        <v>1185573.48</v>
      </c>
      <c r="M324" s="106" t="s">
        <v>149</v>
      </c>
      <c r="N324" s="106" t="n">
        <v>1398976.7</v>
      </c>
      <c r="O324" s="106" t="s">
        <v>149</v>
      </c>
      <c r="P324" s="106" t="n">
        <v>0</v>
      </c>
      <c r="Q324" s="107" t="n">
        <v>213403.22</v>
      </c>
      <c r="R324" s="106" t="n">
        <v>1185573.48</v>
      </c>
      <c r="S324" s="106" t="n">
        <v>0</v>
      </c>
      <c r="T324" s="106" t="n">
        <v>0</v>
      </c>
      <c r="U324" s="106" t="n">
        <v>318999</v>
      </c>
      <c r="V324" s="106" t="s">
        <v>143</v>
      </c>
      <c r="Z324" s="106" t="n">
        <v>102047</v>
      </c>
      <c r="AD324" s="106" t="n">
        <v>110000</v>
      </c>
      <c r="AE324" s="106" t="s">
        <v>1966</v>
      </c>
      <c r="AF324" s="106" t="n">
        <v>501040</v>
      </c>
      <c r="AG324" s="106" t="s">
        <v>2036</v>
      </c>
      <c r="AI324" s="106" t="n">
        <v>501040</v>
      </c>
      <c r="AJ324" s="106" t="s">
        <v>2036</v>
      </c>
      <c r="AK324" s="106" t="n">
        <v>0</v>
      </c>
      <c r="AL324" s="106" t="n">
        <v>1</v>
      </c>
      <c r="AM324" s="106" t="s">
        <v>161</v>
      </c>
      <c r="AP324" s="106" t="n">
        <v>100022980</v>
      </c>
      <c r="AQ324" s="129" t="n">
        <v>43616</v>
      </c>
      <c r="AR324" s="129" t="n">
        <v>43609</v>
      </c>
      <c r="AS324" s="106" t="n">
        <v>0.592222222222222</v>
      </c>
      <c r="AT324" s="106" t="n">
        <v>0</v>
      </c>
      <c r="AU324" s="106" t="n">
        <v>0</v>
      </c>
      <c r="AX324" s="106" t="n">
        <v>1</v>
      </c>
      <c r="ALU324" s="0"/>
      <c r="ALV324" s="0"/>
      <c r="ALW324" s="0"/>
      <c r="ALX324" s="0"/>
      <c r="ALY324" s="0"/>
      <c r="ALZ324" s="0"/>
      <c r="AMA324" s="0"/>
      <c r="AMB324" s="0"/>
      <c r="AMC324" s="0"/>
      <c r="AMD324" s="0"/>
      <c r="AME324" s="0"/>
      <c r="AMF324" s="0"/>
      <c r="AMG324" s="0"/>
      <c r="AMH324" s="0"/>
      <c r="AMI324" s="0"/>
      <c r="AMJ324" s="0"/>
    </row>
    <row r="325" customFormat="false" ht="13.8" hidden="true" customHeight="false" outlineLevel="0" collapsed="false">
      <c r="A325" s="117" t="n">
        <v>1000</v>
      </c>
      <c r="B325" s="117" t="s">
        <v>1962</v>
      </c>
      <c r="C325" s="117" t="n">
        <v>100050529</v>
      </c>
      <c r="E325" s="117" t="s">
        <v>1921</v>
      </c>
      <c r="F325" s="117" t="n">
        <v>1101</v>
      </c>
      <c r="G325" s="117" t="n">
        <v>2019</v>
      </c>
      <c r="H325" s="117" t="n">
        <v>3</v>
      </c>
      <c r="I325" s="118" t="n">
        <v>43646</v>
      </c>
      <c r="J325" s="118" t="n">
        <v>43646</v>
      </c>
      <c r="K325" s="119" t="n">
        <v>1253642</v>
      </c>
      <c r="L325" s="128" t="n">
        <f aca="false">K325-Q325+T325</f>
        <v>1253642</v>
      </c>
      <c r="M325" s="117" t="s">
        <v>149</v>
      </c>
      <c r="N325" s="117" t="n">
        <v>1253642</v>
      </c>
      <c r="O325" s="117" t="s">
        <v>149</v>
      </c>
      <c r="P325" s="117" t="n">
        <v>0</v>
      </c>
      <c r="Q325" s="117" t="n">
        <v>0</v>
      </c>
      <c r="R325" s="117" t="n">
        <v>1253642</v>
      </c>
      <c r="S325" s="117" t="n">
        <v>0</v>
      </c>
      <c r="T325" s="117" t="n">
        <v>0</v>
      </c>
      <c r="U325" s="117" t="n">
        <v>306263</v>
      </c>
      <c r="V325" s="117" t="s">
        <v>2006</v>
      </c>
      <c r="Z325" s="117" t="n">
        <v>100050529</v>
      </c>
      <c r="AD325" s="117" t="n">
        <v>310300</v>
      </c>
      <c r="AE325" s="117" t="s">
        <v>1969</v>
      </c>
      <c r="AF325" s="117" t="n">
        <v>110000</v>
      </c>
      <c r="AG325" s="117" t="s">
        <v>1966</v>
      </c>
      <c r="AI325" s="117" t="n">
        <v>110000</v>
      </c>
      <c r="AJ325" s="117" t="s">
        <v>1966</v>
      </c>
      <c r="AK325" s="117" t="n">
        <v>0</v>
      </c>
      <c r="AL325" s="117" t="n">
        <v>9</v>
      </c>
      <c r="AM325" s="117" t="s">
        <v>161</v>
      </c>
      <c r="AN325" s="117" t="s">
        <v>1978</v>
      </c>
      <c r="AP325" s="117" t="n">
        <v>100050529</v>
      </c>
      <c r="AQ325" s="118" t="n">
        <v>43646</v>
      </c>
      <c r="AR325" s="118" t="n">
        <v>43647</v>
      </c>
      <c r="AS325" s="117" t="n">
        <v>0.632777777777778</v>
      </c>
      <c r="AT325" s="117" t="n">
        <v>0</v>
      </c>
      <c r="AU325" s="117" t="n">
        <v>0</v>
      </c>
      <c r="AX325" s="117" t="n">
        <v>3</v>
      </c>
    </row>
    <row r="326" customFormat="false" ht="13.8" hidden="true" customHeight="false" outlineLevel="0" collapsed="false">
      <c r="A326" s="117" t="n">
        <v>1000</v>
      </c>
      <c r="B326" s="117" t="s">
        <v>1962</v>
      </c>
      <c r="C326" s="117" t="n">
        <v>100004315</v>
      </c>
      <c r="E326" s="117" t="s">
        <v>1921</v>
      </c>
      <c r="F326" s="117" t="n">
        <v>1109</v>
      </c>
      <c r="G326" s="117" t="n">
        <v>2019</v>
      </c>
      <c r="H326" s="117" t="n">
        <v>1</v>
      </c>
      <c r="I326" s="118" t="n">
        <v>43583</v>
      </c>
      <c r="J326" s="118" t="n">
        <v>43583</v>
      </c>
      <c r="K326" s="119" t="n">
        <v>2249</v>
      </c>
      <c r="L326" s="128" t="n">
        <f aca="false">K326-Q326+T326</f>
        <v>2249</v>
      </c>
      <c r="M326" s="117" t="s">
        <v>149</v>
      </c>
      <c r="N326" s="117" t="n">
        <v>2249</v>
      </c>
      <c r="O326" s="117" t="s">
        <v>149</v>
      </c>
      <c r="P326" s="117" t="n">
        <v>0</v>
      </c>
      <c r="Q326" s="117" t="n">
        <v>0</v>
      </c>
      <c r="R326" s="117" t="n">
        <v>2249</v>
      </c>
      <c r="S326" s="117" t="n">
        <v>0</v>
      </c>
      <c r="T326" s="117" t="n">
        <v>0</v>
      </c>
      <c r="U326" s="117" t="n">
        <v>304431</v>
      </c>
      <c r="V326" s="117" t="s">
        <v>2016</v>
      </c>
      <c r="X326" s="117" t="s">
        <v>2189</v>
      </c>
      <c r="Z326" s="117" t="n">
        <v>2247</v>
      </c>
      <c r="AB326" s="117" t="s">
        <v>2043</v>
      </c>
      <c r="AD326" s="117" t="n">
        <v>110000</v>
      </c>
      <c r="AE326" s="117" t="s">
        <v>1966</v>
      </c>
      <c r="AF326" s="117" t="n">
        <v>110000</v>
      </c>
      <c r="AG326" s="117" t="s">
        <v>1966</v>
      </c>
      <c r="AI326" s="117" t="n">
        <v>110000</v>
      </c>
      <c r="AJ326" s="117" t="s">
        <v>1966</v>
      </c>
      <c r="AK326" s="117" t="n">
        <v>0</v>
      </c>
      <c r="AL326" s="117" t="n">
        <v>4</v>
      </c>
      <c r="AM326" s="117" t="s">
        <v>161</v>
      </c>
      <c r="AP326" s="117" t="n">
        <v>100048476</v>
      </c>
      <c r="AQ326" s="118" t="n">
        <v>43646</v>
      </c>
      <c r="AR326" s="118" t="n">
        <v>43583</v>
      </c>
      <c r="AS326" s="117" t="n">
        <v>0.487314814814815</v>
      </c>
      <c r="AT326" s="117" t="n">
        <v>0</v>
      </c>
      <c r="AU326" s="117" t="n">
        <v>0</v>
      </c>
      <c r="AX326" s="117" t="n">
        <v>1</v>
      </c>
    </row>
    <row r="327" customFormat="false" ht="13.8" hidden="true" customHeight="false" outlineLevel="0" collapsed="false">
      <c r="A327" s="117" t="n">
        <v>1000</v>
      </c>
      <c r="B327" s="117" t="s">
        <v>1962</v>
      </c>
      <c r="C327" s="117" t="n">
        <v>100005107</v>
      </c>
      <c r="E327" s="117" t="s">
        <v>1921</v>
      </c>
      <c r="F327" s="117" t="n">
        <v>1109</v>
      </c>
      <c r="G327" s="117" t="n">
        <v>2019</v>
      </c>
      <c r="H327" s="117" t="n">
        <v>1</v>
      </c>
      <c r="I327" s="118" t="n">
        <v>43585</v>
      </c>
      <c r="J327" s="118" t="n">
        <v>43585</v>
      </c>
      <c r="K327" s="119" t="n">
        <v>651626.68</v>
      </c>
      <c r="L327" s="128" t="n">
        <f aca="false">K327-Q327+T327</f>
        <v>651626.68</v>
      </c>
      <c r="M327" s="117" t="s">
        <v>149</v>
      </c>
      <c r="N327" s="117" t="n">
        <v>651626.68</v>
      </c>
      <c r="O327" s="117" t="s">
        <v>149</v>
      </c>
      <c r="P327" s="117" t="n">
        <v>0</v>
      </c>
      <c r="Q327" s="117" t="n">
        <v>0</v>
      </c>
      <c r="R327" s="117" t="n">
        <v>651626.68</v>
      </c>
      <c r="S327" s="117" t="n">
        <v>0</v>
      </c>
      <c r="T327" s="117" t="n">
        <v>0</v>
      </c>
      <c r="U327" s="117" t="n">
        <v>312193</v>
      </c>
      <c r="V327" s="117" t="s">
        <v>1963</v>
      </c>
      <c r="X327" s="117" t="s">
        <v>1979</v>
      </c>
      <c r="Z327" s="117" t="n">
        <v>2316</v>
      </c>
      <c r="AB327" s="117" t="s">
        <v>1965</v>
      </c>
      <c r="AD327" s="117" t="n">
        <v>110000</v>
      </c>
      <c r="AE327" s="117" t="s">
        <v>1966</v>
      </c>
      <c r="AF327" s="117" t="n">
        <v>110000</v>
      </c>
      <c r="AG327" s="117" t="s">
        <v>1966</v>
      </c>
      <c r="AI327" s="117" t="n">
        <v>110000</v>
      </c>
      <c r="AJ327" s="117" t="s">
        <v>1966</v>
      </c>
      <c r="AK327" s="117" t="n">
        <v>0</v>
      </c>
      <c r="AL327" s="117" t="n">
        <v>4</v>
      </c>
      <c r="AM327" s="117" t="s">
        <v>161</v>
      </c>
      <c r="AP327" s="117" t="n">
        <v>100022447</v>
      </c>
      <c r="AQ327" s="118" t="n">
        <v>43616</v>
      </c>
      <c r="AR327" s="118" t="n">
        <v>43586</v>
      </c>
      <c r="AS327" s="117" t="n">
        <v>0.427592592592593</v>
      </c>
      <c r="AT327" s="117" t="n">
        <v>0</v>
      </c>
      <c r="AU327" s="117" t="n">
        <v>0</v>
      </c>
      <c r="AX327" s="117" t="n">
        <v>1</v>
      </c>
    </row>
    <row r="328" customFormat="false" ht="13.8" hidden="true" customHeight="false" outlineLevel="0" collapsed="false">
      <c r="A328" s="117" t="n">
        <v>1000</v>
      </c>
      <c r="B328" s="117" t="s">
        <v>1962</v>
      </c>
      <c r="C328" s="117" t="n">
        <v>100022980</v>
      </c>
      <c r="E328" s="117" t="s">
        <v>1921</v>
      </c>
      <c r="F328" s="117" t="n">
        <v>1101</v>
      </c>
      <c r="G328" s="117" t="n">
        <v>2019</v>
      </c>
      <c r="H328" s="117" t="n">
        <v>2</v>
      </c>
      <c r="I328" s="118" t="n">
        <v>43616</v>
      </c>
      <c r="J328" s="118" t="n">
        <v>43616</v>
      </c>
      <c r="K328" s="119" t="n">
        <v>-24969747.65</v>
      </c>
      <c r="L328" s="128" t="n">
        <f aca="false">K328-Q328+T328</f>
        <v>-24969747.65</v>
      </c>
      <c r="M328" s="117" t="s">
        <v>149</v>
      </c>
      <c r="N328" s="117" t="n">
        <v>-24969747.65</v>
      </c>
      <c r="O328" s="117" t="s">
        <v>149</v>
      </c>
      <c r="P328" s="117" t="n">
        <v>0</v>
      </c>
      <c r="Q328" s="117" t="n">
        <v>0</v>
      </c>
      <c r="R328" s="117" t="n">
        <v>-24969747.65</v>
      </c>
      <c r="S328" s="117" t="n">
        <v>0</v>
      </c>
      <c r="T328" s="117" t="n">
        <v>0</v>
      </c>
      <c r="U328" s="117" t="n">
        <v>318999</v>
      </c>
      <c r="V328" s="117" t="s">
        <v>143</v>
      </c>
      <c r="Z328" s="117" t="n">
        <v>100022980</v>
      </c>
      <c r="AD328" s="117" t="n">
        <v>110000</v>
      </c>
      <c r="AE328" s="117" t="s">
        <v>1966</v>
      </c>
      <c r="AF328" s="117" t="n">
        <v>110000</v>
      </c>
      <c r="AG328" s="117" t="s">
        <v>1966</v>
      </c>
      <c r="AI328" s="117" t="n">
        <v>110000</v>
      </c>
      <c r="AJ328" s="117" t="s">
        <v>1966</v>
      </c>
      <c r="AK328" s="117" t="n">
        <v>0</v>
      </c>
      <c r="AL328" s="117" t="n">
        <v>17</v>
      </c>
      <c r="AM328" s="117" t="s">
        <v>225</v>
      </c>
      <c r="AP328" s="117" t="n">
        <v>100022980</v>
      </c>
      <c r="AQ328" s="118" t="n">
        <v>43616</v>
      </c>
      <c r="AR328" s="118" t="n">
        <v>43618</v>
      </c>
      <c r="AS328" s="117" t="n">
        <v>0.614305555555556</v>
      </c>
      <c r="AT328" s="117" t="n">
        <v>0</v>
      </c>
      <c r="AU328" s="117" t="n">
        <v>0</v>
      </c>
      <c r="AX328" s="117" t="n">
        <v>21</v>
      </c>
    </row>
    <row r="329" s="106" customFormat="true" ht="13.8" hidden="true" customHeight="false" outlineLevel="0" collapsed="false">
      <c r="A329" s="106" t="n">
        <v>1000</v>
      </c>
      <c r="B329" s="106" t="s">
        <v>1962</v>
      </c>
      <c r="C329" s="106" t="n">
        <v>107724</v>
      </c>
      <c r="D329" s="106" t="s">
        <v>1822</v>
      </c>
      <c r="E329" s="106" t="s">
        <v>1970</v>
      </c>
      <c r="F329" s="106" t="n">
        <v>1109</v>
      </c>
      <c r="G329" s="106" t="n">
        <v>2019</v>
      </c>
      <c r="H329" s="106" t="n">
        <v>7</v>
      </c>
      <c r="I329" s="129" t="n">
        <v>43749</v>
      </c>
      <c r="J329" s="129" t="n">
        <v>43749</v>
      </c>
      <c r="K329" s="107" t="n">
        <v>142649.54</v>
      </c>
      <c r="L329" s="130" t="n">
        <f aca="false">K329-Q329+T329</f>
        <v>120889.44</v>
      </c>
      <c r="M329" s="106" t="s">
        <v>149</v>
      </c>
      <c r="N329" s="106" t="n">
        <v>142649.54</v>
      </c>
      <c r="O329" s="106" t="s">
        <v>149</v>
      </c>
      <c r="P329" s="106" t="n">
        <v>0</v>
      </c>
      <c r="Q329" s="107" t="n">
        <v>21760.1</v>
      </c>
      <c r="R329" s="106" t="n">
        <v>120889.44</v>
      </c>
      <c r="S329" s="106" t="n">
        <v>0</v>
      </c>
      <c r="T329" s="106" t="n">
        <v>0</v>
      </c>
      <c r="U329" s="106" t="n">
        <v>312193</v>
      </c>
      <c r="V329" s="106" t="s">
        <v>1963</v>
      </c>
      <c r="Z329" s="106" t="n">
        <v>60960</v>
      </c>
      <c r="AB329" s="106" t="s">
        <v>2124</v>
      </c>
      <c r="AD329" s="106" t="n">
        <v>110000</v>
      </c>
      <c r="AE329" s="106" t="s">
        <v>1966</v>
      </c>
      <c r="AF329" s="106" t="n">
        <v>501005</v>
      </c>
      <c r="AG329" s="106" t="s">
        <v>2033</v>
      </c>
      <c r="AI329" s="106" t="n">
        <v>501005</v>
      </c>
      <c r="AJ329" s="106" t="s">
        <v>2033</v>
      </c>
      <c r="AK329" s="106" t="n">
        <v>0</v>
      </c>
      <c r="AL329" s="106" t="n">
        <v>1</v>
      </c>
      <c r="AM329" s="106" t="s">
        <v>161</v>
      </c>
      <c r="AP329" s="106" t="n">
        <v>100141449</v>
      </c>
      <c r="AQ329" s="129" t="n">
        <v>43766</v>
      </c>
      <c r="AR329" s="129" t="n">
        <v>43749</v>
      </c>
      <c r="AS329" s="106" t="n">
        <v>0.518888888888889</v>
      </c>
      <c r="AT329" s="106" t="n">
        <v>0</v>
      </c>
      <c r="AU329" s="106" t="n">
        <v>0</v>
      </c>
      <c r="AX329" s="106" t="n">
        <v>1</v>
      </c>
      <c r="ALU329" s="0"/>
      <c r="ALV329" s="0"/>
      <c r="ALW329" s="0"/>
      <c r="ALX329" s="0"/>
      <c r="ALY329" s="0"/>
      <c r="ALZ329" s="0"/>
      <c r="AMA329" s="0"/>
      <c r="AMB329" s="0"/>
      <c r="AMC329" s="0"/>
      <c r="AMD329" s="0"/>
      <c r="AME329" s="0"/>
      <c r="AMF329" s="0"/>
      <c r="AMG329" s="0"/>
      <c r="AMH329" s="0"/>
      <c r="AMI329" s="0"/>
      <c r="AMJ329" s="0"/>
    </row>
    <row r="330" customFormat="false" ht="13.8" hidden="true" customHeight="false" outlineLevel="0" collapsed="false">
      <c r="A330" s="117" t="n">
        <v>1000</v>
      </c>
      <c r="B330" s="117" t="s">
        <v>1962</v>
      </c>
      <c r="C330" s="117" t="n">
        <v>100022447</v>
      </c>
      <c r="E330" s="117" t="s">
        <v>1921</v>
      </c>
      <c r="F330" s="117" t="n">
        <v>1109</v>
      </c>
      <c r="G330" s="117" t="n">
        <v>2019</v>
      </c>
      <c r="H330" s="117" t="n">
        <v>2</v>
      </c>
      <c r="I330" s="118" t="n">
        <v>43616</v>
      </c>
      <c r="J330" s="118" t="n">
        <v>43616</v>
      </c>
      <c r="K330" s="119" t="n">
        <v>7155</v>
      </c>
      <c r="L330" s="128" t="n">
        <f aca="false">K330-Q330+T330</f>
        <v>7155</v>
      </c>
      <c r="M330" s="117" t="s">
        <v>149</v>
      </c>
      <c r="N330" s="117" t="n">
        <v>7155</v>
      </c>
      <c r="O330" s="117" t="s">
        <v>149</v>
      </c>
      <c r="P330" s="117" t="n">
        <v>0</v>
      </c>
      <c r="Q330" s="117" t="n">
        <v>0</v>
      </c>
      <c r="R330" s="117" t="n">
        <v>7155</v>
      </c>
      <c r="S330" s="117" t="n">
        <v>0</v>
      </c>
      <c r="T330" s="117" t="n">
        <v>0</v>
      </c>
      <c r="U330" s="117" t="n">
        <v>312193</v>
      </c>
      <c r="V330" s="117" t="s">
        <v>1963</v>
      </c>
      <c r="X330" s="117" t="s">
        <v>2190</v>
      </c>
      <c r="Z330" s="117" t="n">
        <v>2316</v>
      </c>
      <c r="AB330" s="117" t="s">
        <v>1965</v>
      </c>
      <c r="AD330" s="117" t="n">
        <v>110000</v>
      </c>
      <c r="AE330" s="117" t="s">
        <v>1966</v>
      </c>
      <c r="AF330" s="117" t="n">
        <v>110000</v>
      </c>
      <c r="AG330" s="117" t="s">
        <v>1966</v>
      </c>
      <c r="AI330" s="117" t="n">
        <v>110000</v>
      </c>
      <c r="AJ330" s="117" t="s">
        <v>1966</v>
      </c>
      <c r="AK330" s="117" t="n">
        <v>0</v>
      </c>
      <c r="AL330" s="117" t="n">
        <v>4</v>
      </c>
      <c r="AM330" s="117" t="s">
        <v>161</v>
      </c>
      <c r="AP330" s="117" t="n">
        <v>100173563</v>
      </c>
      <c r="AQ330" s="118" t="n">
        <v>43799</v>
      </c>
      <c r="AR330" s="118" t="n">
        <v>43617</v>
      </c>
      <c r="AS330" s="117" t="n">
        <v>0.592361111111111</v>
      </c>
      <c r="AT330" s="117" t="n">
        <v>0</v>
      </c>
      <c r="AU330" s="117" t="n">
        <v>0</v>
      </c>
      <c r="AX330" s="117" t="n">
        <v>4</v>
      </c>
    </row>
    <row r="331" s="106" customFormat="true" ht="13.8" hidden="true" customHeight="false" outlineLevel="0" collapsed="false">
      <c r="A331" s="106" t="n">
        <v>1000</v>
      </c>
      <c r="B331" s="106" t="s">
        <v>1962</v>
      </c>
      <c r="C331" s="106" t="n">
        <v>103107</v>
      </c>
      <c r="D331" s="106" t="s">
        <v>1505</v>
      </c>
      <c r="E331" s="106" t="s">
        <v>1970</v>
      </c>
      <c r="F331" s="106" t="n">
        <v>1101</v>
      </c>
      <c r="G331" s="106" t="n">
        <v>2019</v>
      </c>
      <c r="H331" s="106" t="n">
        <v>3</v>
      </c>
      <c r="I331" s="129" t="n">
        <v>43629</v>
      </c>
      <c r="J331" s="129" t="n">
        <v>43629</v>
      </c>
      <c r="K331" s="107" t="n">
        <v>649000</v>
      </c>
      <c r="L331" s="130" t="n">
        <f aca="false">K331-Q331+T331</f>
        <v>550000</v>
      </c>
      <c r="M331" s="106" t="s">
        <v>149</v>
      </c>
      <c r="N331" s="106" t="n">
        <v>649000</v>
      </c>
      <c r="O331" s="106" t="s">
        <v>149</v>
      </c>
      <c r="P331" s="106" t="n">
        <v>0</v>
      </c>
      <c r="Q331" s="107" t="n">
        <v>99000</v>
      </c>
      <c r="R331" s="106" t="n">
        <v>550000</v>
      </c>
      <c r="S331" s="106" t="n">
        <v>0</v>
      </c>
      <c r="T331" s="106" t="n">
        <v>0</v>
      </c>
      <c r="U331" s="106" t="n">
        <v>309728</v>
      </c>
      <c r="V331" s="106" t="s">
        <v>1968</v>
      </c>
      <c r="Z331" s="106" t="n">
        <v>59184</v>
      </c>
      <c r="AB331" s="106" t="n">
        <v>2300049939</v>
      </c>
      <c r="AD331" s="106" t="n">
        <v>110000</v>
      </c>
      <c r="AE331" s="106" t="s">
        <v>1966</v>
      </c>
      <c r="AF331" s="106" t="n">
        <v>501000</v>
      </c>
      <c r="AG331" s="106" t="s">
        <v>2170</v>
      </c>
      <c r="AI331" s="106" t="n">
        <v>501000</v>
      </c>
      <c r="AJ331" s="106" t="s">
        <v>2170</v>
      </c>
      <c r="AK331" s="106" t="n">
        <v>0</v>
      </c>
      <c r="AL331" s="106" t="n">
        <v>1</v>
      </c>
      <c r="AM331" s="106" t="s">
        <v>161</v>
      </c>
      <c r="AP331" s="106" t="n">
        <v>100039091</v>
      </c>
      <c r="AQ331" s="129" t="n">
        <v>43644</v>
      </c>
      <c r="AR331" s="129" t="n">
        <v>43629</v>
      </c>
      <c r="AS331" s="106" t="n">
        <v>0.762083333333333</v>
      </c>
      <c r="AT331" s="106" t="n">
        <v>0</v>
      </c>
      <c r="AU331" s="106" t="n">
        <v>0</v>
      </c>
      <c r="AX331" s="106" t="n">
        <v>1</v>
      </c>
      <c r="ALU331" s="0"/>
      <c r="ALV331" s="0"/>
      <c r="ALW331" s="0"/>
      <c r="ALX331" s="0"/>
      <c r="ALY331" s="0"/>
      <c r="ALZ331" s="0"/>
      <c r="AMA331" s="0"/>
      <c r="AMB331" s="0"/>
      <c r="AMC331" s="0"/>
      <c r="AMD331" s="0"/>
      <c r="AME331" s="0"/>
      <c r="AMF331" s="0"/>
      <c r="AMG331" s="0"/>
      <c r="AMH331" s="0"/>
      <c r="AMI331" s="0"/>
      <c r="AMJ331" s="0"/>
    </row>
    <row r="332" customFormat="false" ht="13.8" hidden="true" customHeight="false" outlineLevel="0" collapsed="false">
      <c r="A332" s="117" t="n">
        <v>1000</v>
      </c>
      <c r="B332" s="117" t="s">
        <v>1962</v>
      </c>
      <c r="C332" s="117" t="n">
        <v>1600000096</v>
      </c>
      <c r="E332" s="117" t="s">
        <v>1987</v>
      </c>
      <c r="F332" s="117" t="n">
        <v>1101</v>
      </c>
      <c r="G332" s="117" t="n">
        <v>2019</v>
      </c>
      <c r="H332" s="117" t="n">
        <v>3</v>
      </c>
      <c r="I332" s="118" t="n">
        <v>43645</v>
      </c>
      <c r="J332" s="118" t="n">
        <v>43645</v>
      </c>
      <c r="K332" s="119" t="n">
        <v>-14415</v>
      </c>
      <c r="L332" s="128" t="n">
        <f aca="false">K332-Q332+T332</f>
        <v>-14415</v>
      </c>
      <c r="M332" s="117" t="s">
        <v>149</v>
      </c>
      <c r="N332" s="117" t="n">
        <v>-14415</v>
      </c>
      <c r="O332" s="117" t="s">
        <v>149</v>
      </c>
      <c r="P332" s="117" t="n">
        <v>-14415</v>
      </c>
      <c r="Q332" s="117" t="n">
        <v>0</v>
      </c>
      <c r="R332" s="117" t="n">
        <v>-14415</v>
      </c>
      <c r="S332" s="117" t="n">
        <v>0</v>
      </c>
      <c r="T332" s="117" t="n">
        <v>0</v>
      </c>
      <c r="U332" s="117" t="n">
        <v>304431</v>
      </c>
      <c r="V332" s="117" t="s">
        <v>2016</v>
      </c>
      <c r="X332" s="117" t="s">
        <v>2191</v>
      </c>
      <c r="Y332" s="117" t="s">
        <v>2164</v>
      </c>
      <c r="Z332" s="117" t="n">
        <v>1600000096</v>
      </c>
      <c r="AD332" s="117" t="n">
        <v>110000</v>
      </c>
      <c r="AE332" s="117" t="s">
        <v>1966</v>
      </c>
      <c r="AF332" s="117" t="n">
        <v>111201</v>
      </c>
      <c r="AG332" s="117" t="s">
        <v>2165</v>
      </c>
      <c r="AI332" s="117" t="n">
        <v>111201</v>
      </c>
      <c r="AJ332" s="117" t="s">
        <v>2165</v>
      </c>
      <c r="AK332" s="117" t="n">
        <v>0</v>
      </c>
      <c r="AL332" s="117" t="n">
        <v>14</v>
      </c>
      <c r="AM332" s="117" t="s">
        <v>225</v>
      </c>
      <c r="AP332" s="117" t="n">
        <v>100048476</v>
      </c>
      <c r="AQ332" s="118" t="n">
        <v>43646</v>
      </c>
      <c r="AR332" s="118" t="n">
        <v>43645</v>
      </c>
      <c r="AS332" s="117" t="n">
        <v>0.743657407407408</v>
      </c>
      <c r="AT332" s="117" t="n">
        <v>0</v>
      </c>
      <c r="AU332" s="117" t="n">
        <v>0</v>
      </c>
      <c r="AX332" s="117" t="n">
        <v>11</v>
      </c>
    </row>
    <row r="333" customFormat="false" ht="13.8" hidden="true" customHeight="false" outlineLevel="0" collapsed="false">
      <c r="A333" s="117" t="n">
        <v>1000</v>
      </c>
      <c r="B333" s="117" t="s">
        <v>1962</v>
      </c>
      <c r="C333" s="117" t="n">
        <v>100039983</v>
      </c>
      <c r="E333" s="117" t="s">
        <v>1921</v>
      </c>
      <c r="F333" s="117" t="n">
        <v>1101</v>
      </c>
      <c r="G333" s="117" t="n">
        <v>2019</v>
      </c>
      <c r="H333" s="117" t="n">
        <v>3</v>
      </c>
      <c r="I333" s="118" t="n">
        <v>43645</v>
      </c>
      <c r="J333" s="118" t="n">
        <v>43645</v>
      </c>
      <c r="K333" s="119" t="n">
        <v>554617.97</v>
      </c>
      <c r="L333" s="128" t="n">
        <f aca="false">K333-Q333+T333</f>
        <v>554617.97</v>
      </c>
      <c r="M333" s="117" t="s">
        <v>149</v>
      </c>
      <c r="N333" s="117" t="n">
        <v>554617.97</v>
      </c>
      <c r="O333" s="117" t="s">
        <v>149</v>
      </c>
      <c r="P333" s="117" t="n">
        <v>0</v>
      </c>
      <c r="Q333" s="117" t="n">
        <v>0</v>
      </c>
      <c r="R333" s="117" t="n">
        <v>554617.97</v>
      </c>
      <c r="S333" s="117" t="n">
        <v>0</v>
      </c>
      <c r="T333" s="117" t="n">
        <v>0</v>
      </c>
      <c r="U333" s="117" t="n">
        <v>318999</v>
      </c>
      <c r="V333" s="117" t="s">
        <v>143</v>
      </c>
      <c r="X333" s="117" t="s">
        <v>2192</v>
      </c>
      <c r="Z333" s="117" t="n">
        <v>100039983</v>
      </c>
      <c r="AD333" s="117" t="n">
        <v>110000</v>
      </c>
      <c r="AE333" s="117" t="s">
        <v>1966</v>
      </c>
      <c r="AF333" s="117" t="n">
        <v>110000</v>
      </c>
      <c r="AG333" s="117" t="s">
        <v>1966</v>
      </c>
      <c r="AI333" s="117" t="n">
        <v>110000</v>
      </c>
      <c r="AJ333" s="117" t="s">
        <v>1966</v>
      </c>
      <c r="AK333" s="117" t="n">
        <v>0</v>
      </c>
      <c r="AL333" s="117" t="n">
        <v>4</v>
      </c>
      <c r="AM333" s="117" t="s">
        <v>161</v>
      </c>
      <c r="AP333" s="117" t="n">
        <v>100082045</v>
      </c>
      <c r="AQ333" s="118" t="n">
        <v>43708</v>
      </c>
      <c r="AR333" s="118" t="n">
        <v>43646</v>
      </c>
      <c r="AS333" s="117" t="n">
        <v>0.430601851851852</v>
      </c>
      <c r="AT333" s="117" t="n">
        <v>0</v>
      </c>
      <c r="AU333" s="117" t="n">
        <v>0</v>
      </c>
      <c r="AX333" s="117" t="n">
        <v>15</v>
      </c>
    </row>
    <row r="334" customFormat="false" ht="13.8" hidden="true" customHeight="false" outlineLevel="0" collapsed="false">
      <c r="A334" s="117" t="n">
        <v>1000</v>
      </c>
      <c r="B334" s="117" t="s">
        <v>1962</v>
      </c>
      <c r="C334" s="117" t="n">
        <v>1400000268</v>
      </c>
      <c r="E334" s="117" t="s">
        <v>1972</v>
      </c>
      <c r="F334" s="117" t="n">
        <v>1106</v>
      </c>
      <c r="G334" s="117" t="n">
        <v>2019</v>
      </c>
      <c r="H334" s="117" t="n">
        <v>1</v>
      </c>
      <c r="I334" s="118" t="n">
        <v>43565</v>
      </c>
      <c r="J334" s="118" t="n">
        <v>43565</v>
      </c>
      <c r="K334" s="119" t="n">
        <v>-5121003.34</v>
      </c>
      <c r="L334" s="128" t="n">
        <f aca="false">K334-Q334+T334</f>
        <v>-5121003.34</v>
      </c>
      <c r="M334" s="117" t="s">
        <v>149</v>
      </c>
      <c r="N334" s="117" t="n">
        <v>-5121003.34</v>
      </c>
      <c r="O334" s="117" t="s">
        <v>149</v>
      </c>
      <c r="P334" s="117" t="n">
        <v>0</v>
      </c>
      <c r="Q334" s="117" t="n">
        <v>0</v>
      </c>
      <c r="R334" s="117" t="n">
        <v>-5121003.34</v>
      </c>
      <c r="S334" s="117" t="n">
        <v>0</v>
      </c>
      <c r="T334" s="117" t="n">
        <v>0</v>
      </c>
      <c r="U334" s="117" t="n">
        <v>313029</v>
      </c>
      <c r="V334" s="117" t="s">
        <v>143</v>
      </c>
      <c r="X334" s="117" t="s">
        <v>2193</v>
      </c>
      <c r="Y334" s="117" t="s">
        <v>2194</v>
      </c>
      <c r="Z334" s="117" t="n">
        <v>1400000268</v>
      </c>
      <c r="AC334" s="117" t="s">
        <v>1976</v>
      </c>
      <c r="AD334" s="117" t="n">
        <v>310300</v>
      </c>
      <c r="AE334" s="117" t="s">
        <v>1969</v>
      </c>
      <c r="AF334" s="117" t="n">
        <v>101105</v>
      </c>
      <c r="AG334" s="117" t="s">
        <v>1977</v>
      </c>
      <c r="AI334" s="117" t="n">
        <v>101105</v>
      </c>
      <c r="AJ334" s="117" t="s">
        <v>1977</v>
      </c>
      <c r="AK334" s="117" t="n">
        <v>0</v>
      </c>
      <c r="AL334" s="117" t="n">
        <v>19</v>
      </c>
      <c r="AM334" s="117" t="s">
        <v>225</v>
      </c>
      <c r="AN334" s="117" t="s">
        <v>1978</v>
      </c>
      <c r="AP334" s="117" t="n">
        <v>100004347</v>
      </c>
      <c r="AQ334" s="118" t="n">
        <v>43583</v>
      </c>
      <c r="AR334" s="118" t="n">
        <v>43566</v>
      </c>
      <c r="AS334" s="117" t="n">
        <v>0.54837962962963</v>
      </c>
      <c r="AT334" s="117" t="n">
        <v>0</v>
      </c>
      <c r="AU334" s="117" t="n">
        <v>0</v>
      </c>
      <c r="AX334" s="117" t="n">
        <v>2</v>
      </c>
    </row>
    <row r="335" s="106" customFormat="true" ht="13.8" hidden="true" customHeight="false" outlineLevel="0" collapsed="false">
      <c r="A335" s="106" t="n">
        <v>1000</v>
      </c>
      <c r="B335" s="106" t="s">
        <v>1962</v>
      </c>
      <c r="C335" s="106" t="n">
        <v>101288</v>
      </c>
      <c r="D335" s="106" t="s">
        <v>1352</v>
      </c>
      <c r="E335" s="106" t="s">
        <v>1970</v>
      </c>
      <c r="F335" s="106" t="n">
        <v>1101</v>
      </c>
      <c r="G335" s="106" t="n">
        <v>2019</v>
      </c>
      <c r="H335" s="106" t="n">
        <v>2</v>
      </c>
      <c r="I335" s="129" t="n">
        <v>43589</v>
      </c>
      <c r="J335" s="129" t="n">
        <v>43589</v>
      </c>
      <c r="K335" s="107" t="n">
        <v>1842131.5</v>
      </c>
      <c r="L335" s="130" t="n">
        <f aca="false">K335-Q335+T335</f>
        <v>1561128.4</v>
      </c>
      <c r="M335" s="106" t="s">
        <v>149</v>
      </c>
      <c r="N335" s="106" t="n">
        <v>1842131.5</v>
      </c>
      <c r="O335" s="106" t="s">
        <v>149</v>
      </c>
      <c r="P335" s="106" t="n">
        <v>0</v>
      </c>
      <c r="Q335" s="107" t="n">
        <v>281003.1</v>
      </c>
      <c r="R335" s="106" t="n">
        <v>1561128.4</v>
      </c>
      <c r="S335" s="106" t="n">
        <v>0</v>
      </c>
      <c r="T335" s="106" t="n">
        <v>0</v>
      </c>
      <c r="U335" s="106" t="n">
        <v>318999</v>
      </c>
      <c r="V335" s="106" t="s">
        <v>143</v>
      </c>
      <c r="Z335" s="106" t="n">
        <v>101288</v>
      </c>
      <c r="AD335" s="106" t="n">
        <v>110000</v>
      </c>
      <c r="AE335" s="106" t="s">
        <v>1966</v>
      </c>
      <c r="AF335" s="106" t="n">
        <v>501040</v>
      </c>
      <c r="AG335" s="106" t="s">
        <v>2036</v>
      </c>
      <c r="AI335" s="106" t="n">
        <v>501040</v>
      </c>
      <c r="AJ335" s="106" t="s">
        <v>2036</v>
      </c>
      <c r="AK335" s="106" t="n">
        <v>0</v>
      </c>
      <c r="AL335" s="106" t="n">
        <v>1</v>
      </c>
      <c r="AM335" s="106" t="s">
        <v>161</v>
      </c>
      <c r="AP335" s="106" t="n">
        <v>100022980</v>
      </c>
      <c r="AQ335" s="129" t="n">
        <v>43616</v>
      </c>
      <c r="AR335" s="129" t="n">
        <v>43589</v>
      </c>
      <c r="AS335" s="106" t="n">
        <v>0.708148148148148</v>
      </c>
      <c r="AT335" s="106" t="n">
        <v>0</v>
      </c>
      <c r="AU335" s="106" t="n">
        <v>0</v>
      </c>
      <c r="AX335" s="106" t="n">
        <v>1</v>
      </c>
      <c r="ALU335" s="0"/>
      <c r="ALV335" s="0"/>
      <c r="ALW335" s="0"/>
      <c r="ALX335" s="0"/>
      <c r="ALY335" s="0"/>
      <c r="ALZ335" s="0"/>
      <c r="AMA335" s="0"/>
      <c r="AMB335" s="0"/>
      <c r="AMC335" s="0"/>
      <c r="AMD335" s="0"/>
      <c r="AME335" s="0"/>
      <c r="AMF335" s="0"/>
      <c r="AMG335" s="0"/>
      <c r="AMH335" s="0"/>
      <c r="AMI335" s="0"/>
      <c r="AMJ335" s="0"/>
    </row>
    <row r="336" customFormat="false" ht="13.8" hidden="true" customHeight="false" outlineLevel="0" collapsed="false">
      <c r="A336" s="117" t="n">
        <v>1000</v>
      </c>
      <c r="B336" s="117" t="s">
        <v>1962</v>
      </c>
      <c r="C336" s="117" t="n">
        <v>100015899</v>
      </c>
      <c r="E336" s="117" t="s">
        <v>1921</v>
      </c>
      <c r="F336" s="117" t="n">
        <v>1109</v>
      </c>
      <c r="G336" s="117" t="n">
        <v>2019</v>
      </c>
      <c r="H336" s="117" t="n">
        <v>1</v>
      </c>
      <c r="I336" s="118" t="n">
        <v>43585</v>
      </c>
      <c r="J336" s="118" t="n">
        <v>43585</v>
      </c>
      <c r="K336" s="119" t="n">
        <v>-258.94</v>
      </c>
      <c r="L336" s="128" t="n">
        <f aca="false">K336-Q336+T336</f>
        <v>-258.94</v>
      </c>
      <c r="M336" s="117" t="s">
        <v>149</v>
      </c>
      <c r="N336" s="117" t="n">
        <v>-258.94</v>
      </c>
      <c r="O336" s="117" t="s">
        <v>149</v>
      </c>
      <c r="P336" s="117" t="n">
        <v>0</v>
      </c>
      <c r="Q336" s="117" t="n">
        <v>0</v>
      </c>
      <c r="R336" s="117" t="n">
        <v>-258.94</v>
      </c>
      <c r="S336" s="117" t="n">
        <v>0</v>
      </c>
      <c r="T336" s="117" t="n">
        <v>0</v>
      </c>
      <c r="U336" s="117" t="n">
        <v>306546</v>
      </c>
      <c r="V336" s="117" t="s">
        <v>2177</v>
      </c>
      <c r="Z336" s="117" t="n">
        <v>100015899</v>
      </c>
      <c r="AD336" s="117" t="n">
        <v>110000</v>
      </c>
      <c r="AE336" s="117" t="s">
        <v>1966</v>
      </c>
      <c r="AF336" s="117" t="n">
        <v>110000</v>
      </c>
      <c r="AG336" s="117" t="s">
        <v>1966</v>
      </c>
      <c r="AI336" s="117" t="n">
        <v>110000</v>
      </c>
      <c r="AJ336" s="117" t="s">
        <v>1966</v>
      </c>
      <c r="AK336" s="117" t="n">
        <v>0</v>
      </c>
      <c r="AL336" s="117" t="n">
        <v>17</v>
      </c>
      <c r="AM336" s="117" t="s">
        <v>225</v>
      </c>
      <c r="AP336" s="117" t="n">
        <v>100015899</v>
      </c>
      <c r="AQ336" s="118" t="n">
        <v>43585</v>
      </c>
      <c r="AR336" s="118" t="n">
        <v>43587</v>
      </c>
      <c r="AS336" s="117" t="n">
        <v>0.765115740740741</v>
      </c>
      <c r="AT336" s="117" t="n">
        <v>0</v>
      </c>
      <c r="AU336" s="117" t="n">
        <v>0</v>
      </c>
      <c r="AX336" s="117" t="n">
        <v>2</v>
      </c>
    </row>
    <row r="337" customFormat="false" ht="13.8" hidden="true" customHeight="false" outlineLevel="0" collapsed="false">
      <c r="A337" s="117" t="n">
        <v>1000</v>
      </c>
      <c r="B337" s="117" t="s">
        <v>1962</v>
      </c>
      <c r="C337" s="117" t="n">
        <v>100048555</v>
      </c>
      <c r="E337" s="117" t="s">
        <v>1921</v>
      </c>
      <c r="F337" s="117" t="n">
        <v>1101</v>
      </c>
      <c r="G337" s="117" t="n">
        <v>2019</v>
      </c>
      <c r="H337" s="117" t="n">
        <v>3</v>
      </c>
      <c r="I337" s="118" t="n">
        <v>43646</v>
      </c>
      <c r="J337" s="118" t="n">
        <v>43646</v>
      </c>
      <c r="K337" s="119" t="n">
        <v>1373</v>
      </c>
      <c r="L337" s="128" t="n">
        <f aca="false">K337-Q337+T337</f>
        <v>1373</v>
      </c>
      <c r="M337" s="117" t="s">
        <v>149</v>
      </c>
      <c r="N337" s="117" t="n">
        <v>1373</v>
      </c>
      <c r="O337" s="117" t="s">
        <v>149</v>
      </c>
      <c r="P337" s="117" t="n">
        <v>0</v>
      </c>
      <c r="Q337" s="117" t="n">
        <v>0</v>
      </c>
      <c r="R337" s="117" t="n">
        <v>1373</v>
      </c>
      <c r="S337" s="117" t="n">
        <v>0</v>
      </c>
      <c r="T337" s="117" t="n">
        <v>0</v>
      </c>
      <c r="U337" s="117" t="n">
        <v>312351</v>
      </c>
      <c r="V337" s="117" t="s">
        <v>2156</v>
      </c>
      <c r="Z337" s="117" t="n">
        <v>100048555</v>
      </c>
      <c r="AD337" s="117" t="n">
        <v>110000</v>
      </c>
      <c r="AE337" s="117" t="s">
        <v>1966</v>
      </c>
      <c r="AF337" s="117" t="n">
        <v>110000</v>
      </c>
      <c r="AG337" s="117" t="s">
        <v>1966</v>
      </c>
      <c r="AI337" s="117" t="n">
        <v>110000</v>
      </c>
      <c r="AJ337" s="117" t="s">
        <v>1966</v>
      </c>
      <c r="AK337" s="117" t="n">
        <v>0</v>
      </c>
      <c r="AL337" s="117" t="n">
        <v>7</v>
      </c>
      <c r="AM337" s="117" t="s">
        <v>161</v>
      </c>
      <c r="AP337" s="117" t="n">
        <v>100048555</v>
      </c>
      <c r="AQ337" s="118" t="n">
        <v>43646</v>
      </c>
      <c r="AR337" s="118" t="n">
        <v>43647</v>
      </c>
      <c r="AS337" s="117" t="n">
        <v>0.183784722222222</v>
      </c>
      <c r="AT337" s="117" t="n">
        <v>0</v>
      </c>
      <c r="AU337" s="117" t="n">
        <v>0</v>
      </c>
      <c r="AX337" s="117" t="n">
        <v>3</v>
      </c>
    </row>
    <row r="338" customFormat="false" ht="13.8" hidden="true" customHeight="false" outlineLevel="0" collapsed="false">
      <c r="A338" s="117" t="n">
        <v>1000</v>
      </c>
      <c r="B338" s="117" t="s">
        <v>1962</v>
      </c>
      <c r="C338" s="117" t="n">
        <v>100022320</v>
      </c>
      <c r="E338" s="117" t="s">
        <v>1921</v>
      </c>
      <c r="F338" s="117" t="n">
        <v>1108</v>
      </c>
      <c r="G338" s="117" t="n">
        <v>2019</v>
      </c>
      <c r="H338" s="117" t="n">
        <v>2</v>
      </c>
      <c r="I338" s="118" t="n">
        <v>43616</v>
      </c>
      <c r="J338" s="118" t="n">
        <v>43616</v>
      </c>
      <c r="K338" s="119" t="n">
        <v>-2696043.92</v>
      </c>
      <c r="L338" s="128" t="n">
        <f aca="false">K338-Q338+T338</f>
        <v>-2696043.92</v>
      </c>
      <c r="M338" s="117" t="s">
        <v>149</v>
      </c>
      <c r="N338" s="117" t="n">
        <v>-2696043.92</v>
      </c>
      <c r="O338" s="117" t="s">
        <v>149</v>
      </c>
      <c r="P338" s="117" t="n">
        <v>0</v>
      </c>
      <c r="Q338" s="117" t="n">
        <v>0</v>
      </c>
      <c r="R338" s="117" t="n">
        <v>-2696043.92</v>
      </c>
      <c r="S338" s="117" t="n">
        <v>0</v>
      </c>
      <c r="T338" s="117" t="n">
        <v>0</v>
      </c>
      <c r="U338" s="117" t="n">
        <v>306263</v>
      </c>
      <c r="V338" s="117" t="s">
        <v>2006</v>
      </c>
      <c r="Z338" s="117" t="n">
        <v>100022320</v>
      </c>
      <c r="AD338" s="117" t="n">
        <v>110000</v>
      </c>
      <c r="AE338" s="117" t="s">
        <v>1966</v>
      </c>
      <c r="AF338" s="117" t="n">
        <v>110000</v>
      </c>
      <c r="AG338" s="117" t="s">
        <v>1966</v>
      </c>
      <c r="AI338" s="117" t="n">
        <v>110000</v>
      </c>
      <c r="AJ338" s="117" t="s">
        <v>1966</v>
      </c>
      <c r="AK338" s="117" t="n">
        <v>0</v>
      </c>
      <c r="AL338" s="117" t="n">
        <v>17</v>
      </c>
      <c r="AM338" s="117" t="s">
        <v>225</v>
      </c>
      <c r="AP338" s="117" t="n">
        <v>100022320</v>
      </c>
      <c r="AQ338" s="118" t="n">
        <v>43616</v>
      </c>
      <c r="AR338" s="118" t="n">
        <v>43617</v>
      </c>
      <c r="AS338" s="117" t="n">
        <v>0.504178240740741</v>
      </c>
      <c r="AT338" s="117" t="n">
        <v>0</v>
      </c>
      <c r="AU338" s="117" t="n">
        <v>0</v>
      </c>
      <c r="AX338" s="117" t="n">
        <v>2</v>
      </c>
    </row>
    <row r="339" customFormat="false" ht="13.8" hidden="true" customHeight="false" outlineLevel="0" collapsed="false">
      <c r="A339" s="117" t="n">
        <v>1000</v>
      </c>
      <c r="B339" s="117" t="s">
        <v>1962</v>
      </c>
      <c r="C339" s="117" t="n">
        <v>1600000123</v>
      </c>
      <c r="D339" s="117" t="s">
        <v>2172</v>
      </c>
      <c r="E339" s="117" t="s">
        <v>1987</v>
      </c>
      <c r="F339" s="117" t="n">
        <v>1101</v>
      </c>
      <c r="G339" s="117" t="n">
        <v>2019</v>
      </c>
      <c r="H339" s="117" t="n">
        <v>3</v>
      </c>
      <c r="I339" s="118" t="n">
        <v>43646</v>
      </c>
      <c r="J339" s="118" t="n">
        <v>43646</v>
      </c>
      <c r="K339" s="119" t="n">
        <v>-197107.12</v>
      </c>
      <c r="L339" s="128" t="n">
        <f aca="false">K339-Q339+T339</f>
        <v>-197107.12</v>
      </c>
      <c r="M339" s="117" t="s">
        <v>149</v>
      </c>
      <c r="N339" s="117" t="n">
        <v>-197107.12</v>
      </c>
      <c r="O339" s="117" t="s">
        <v>149</v>
      </c>
      <c r="P339" s="117" t="n">
        <v>-197107.12</v>
      </c>
      <c r="Q339" s="117" t="n">
        <v>0</v>
      </c>
      <c r="R339" s="117" t="n">
        <v>-197107.12</v>
      </c>
      <c r="S339" s="117" t="n">
        <v>0</v>
      </c>
      <c r="T339" s="117" t="n">
        <v>0</v>
      </c>
      <c r="U339" s="117" t="n">
        <v>318999</v>
      </c>
      <c r="V339" s="117" t="s">
        <v>143</v>
      </c>
      <c r="X339" s="117" t="s">
        <v>1996</v>
      </c>
      <c r="Y339" s="117" t="s">
        <v>2195</v>
      </c>
      <c r="Z339" s="117" t="n">
        <v>1600000123</v>
      </c>
      <c r="AD339" s="117" t="n">
        <v>110000</v>
      </c>
      <c r="AE339" s="117" t="s">
        <v>1966</v>
      </c>
      <c r="AF339" s="117" t="n">
        <v>318999</v>
      </c>
      <c r="AG339" s="117" t="s">
        <v>143</v>
      </c>
      <c r="AI339" s="117" t="n">
        <v>318999</v>
      </c>
      <c r="AJ339" s="131" t="s">
        <v>143</v>
      </c>
      <c r="AK339" s="117" t="n">
        <v>0</v>
      </c>
      <c r="AL339" s="117" t="n">
        <v>14</v>
      </c>
      <c r="AM339" s="117" t="s">
        <v>225</v>
      </c>
      <c r="AP339" s="117" t="n">
        <v>100050545</v>
      </c>
      <c r="AQ339" s="118" t="n">
        <v>43646</v>
      </c>
      <c r="AR339" s="118" t="n">
        <v>43647</v>
      </c>
      <c r="AS339" s="117" t="n">
        <v>0.707280092592593</v>
      </c>
      <c r="AT339" s="117" t="n">
        <v>0</v>
      </c>
      <c r="AU339" s="117" t="n">
        <v>0</v>
      </c>
      <c r="AX339" s="117" t="n">
        <v>2</v>
      </c>
    </row>
    <row r="340" s="106" customFormat="true" ht="13.8" hidden="true" customHeight="false" outlineLevel="0" collapsed="false">
      <c r="A340" s="106" t="n">
        <v>1000</v>
      </c>
      <c r="B340" s="106" t="s">
        <v>1962</v>
      </c>
      <c r="C340" s="106" t="n">
        <v>103787</v>
      </c>
      <c r="D340" s="106" t="s">
        <v>2196</v>
      </c>
      <c r="E340" s="106" t="s">
        <v>1970</v>
      </c>
      <c r="F340" s="106" t="n">
        <v>1101</v>
      </c>
      <c r="G340" s="106" t="n">
        <v>2019</v>
      </c>
      <c r="H340" s="106" t="n">
        <v>3</v>
      </c>
      <c r="I340" s="129" t="n">
        <v>43642</v>
      </c>
      <c r="J340" s="129" t="n">
        <v>43642</v>
      </c>
      <c r="K340" s="107" t="n">
        <v>78324.67</v>
      </c>
      <c r="L340" s="130" t="n">
        <f aca="false">K340-Q340+T340</f>
        <v>66376.83</v>
      </c>
      <c r="M340" s="106" t="s">
        <v>149</v>
      </c>
      <c r="N340" s="106" t="n">
        <v>78324.67</v>
      </c>
      <c r="O340" s="106" t="s">
        <v>149</v>
      </c>
      <c r="P340" s="106" t="n">
        <v>0</v>
      </c>
      <c r="Q340" s="107" t="n">
        <v>11947.84</v>
      </c>
      <c r="R340" s="107" t="n">
        <v>66376.83</v>
      </c>
      <c r="S340" s="106" t="n">
        <v>0</v>
      </c>
      <c r="T340" s="106" t="n">
        <v>0</v>
      </c>
      <c r="U340" s="106" t="n">
        <v>318999</v>
      </c>
      <c r="V340" s="106" t="s">
        <v>143</v>
      </c>
      <c r="Z340" s="106" t="n">
        <v>103787</v>
      </c>
      <c r="AD340" s="106" t="n">
        <v>110000</v>
      </c>
      <c r="AE340" s="106" t="s">
        <v>1966</v>
      </c>
      <c r="AF340" s="106" t="n">
        <v>501040</v>
      </c>
      <c r="AG340" s="106" t="s">
        <v>2036</v>
      </c>
      <c r="AI340" s="106" t="n">
        <v>501040</v>
      </c>
      <c r="AJ340" s="106" t="s">
        <v>2036</v>
      </c>
      <c r="AK340" s="106" t="n">
        <v>0</v>
      </c>
      <c r="AL340" s="106" t="n">
        <v>1</v>
      </c>
      <c r="AM340" s="106" t="s">
        <v>161</v>
      </c>
      <c r="AP340" s="106" t="n">
        <v>100039983</v>
      </c>
      <c r="AQ340" s="129" t="n">
        <v>43645</v>
      </c>
      <c r="AR340" s="129" t="n">
        <v>43642</v>
      </c>
      <c r="AS340" s="106" t="n">
        <v>0.677083333333333</v>
      </c>
      <c r="AT340" s="106" t="n">
        <v>0</v>
      </c>
      <c r="AU340" s="106" t="n">
        <v>0</v>
      </c>
      <c r="AX340" s="106" t="n">
        <v>1</v>
      </c>
      <c r="ALU340" s="0"/>
      <c r="ALV340" s="0"/>
      <c r="ALW340" s="0"/>
      <c r="ALX340" s="0"/>
      <c r="ALY340" s="0"/>
      <c r="ALZ340" s="0"/>
      <c r="AMA340" s="0"/>
      <c r="AMB340" s="0"/>
      <c r="AMC340" s="0"/>
      <c r="AMD340" s="0"/>
      <c r="AME340" s="0"/>
      <c r="AMF340" s="0"/>
      <c r="AMG340" s="0"/>
      <c r="AMH340" s="0"/>
      <c r="AMI340" s="0"/>
      <c r="AMJ340" s="0"/>
    </row>
    <row r="341" customFormat="false" ht="13.8" hidden="true" customHeight="false" outlineLevel="0" collapsed="false">
      <c r="A341" s="117" t="n">
        <v>1000</v>
      </c>
      <c r="B341" s="117" t="s">
        <v>1962</v>
      </c>
      <c r="C341" s="117" t="n">
        <v>100020145</v>
      </c>
      <c r="E341" s="117" t="s">
        <v>1921</v>
      </c>
      <c r="F341" s="117" t="n">
        <v>1106</v>
      </c>
      <c r="G341" s="117" t="n">
        <v>2019</v>
      </c>
      <c r="H341" s="117" t="n">
        <v>2</v>
      </c>
      <c r="I341" s="118" t="n">
        <v>43611</v>
      </c>
      <c r="J341" s="118" t="n">
        <v>43611</v>
      </c>
      <c r="K341" s="119" t="n">
        <v>1505680</v>
      </c>
      <c r="L341" s="128" t="n">
        <f aca="false">K341-Q341+T341</f>
        <v>1505680</v>
      </c>
      <c r="M341" s="117" t="s">
        <v>149</v>
      </c>
      <c r="N341" s="117" t="n">
        <v>1505680</v>
      </c>
      <c r="O341" s="117" t="s">
        <v>149</v>
      </c>
      <c r="P341" s="117" t="n">
        <v>0</v>
      </c>
      <c r="Q341" s="117" t="n">
        <v>0</v>
      </c>
      <c r="R341" s="117" t="n">
        <v>1505680</v>
      </c>
      <c r="S341" s="117" t="n">
        <v>0</v>
      </c>
      <c r="T341" s="117" t="n">
        <v>0</v>
      </c>
      <c r="U341" s="117" t="n">
        <v>312193</v>
      </c>
      <c r="V341" s="117" t="s">
        <v>1963</v>
      </c>
      <c r="Z341" s="117" t="n">
        <v>100020145</v>
      </c>
      <c r="AD341" s="117" t="n">
        <v>310300</v>
      </c>
      <c r="AE341" s="117" t="s">
        <v>1969</v>
      </c>
      <c r="AF341" s="117" t="n">
        <v>110000</v>
      </c>
      <c r="AG341" s="117" t="s">
        <v>1966</v>
      </c>
      <c r="AI341" s="117" t="n">
        <v>110000</v>
      </c>
      <c r="AJ341" s="117" t="s">
        <v>1966</v>
      </c>
      <c r="AK341" s="117" t="n">
        <v>0</v>
      </c>
      <c r="AL341" s="117" t="n">
        <v>9</v>
      </c>
      <c r="AM341" s="117" t="s">
        <v>161</v>
      </c>
      <c r="AN341" s="117" t="s">
        <v>1978</v>
      </c>
      <c r="AP341" s="117" t="n">
        <v>100020145</v>
      </c>
      <c r="AQ341" s="118" t="n">
        <v>43611</v>
      </c>
      <c r="AR341" s="118" t="n">
        <v>43611</v>
      </c>
      <c r="AS341" s="117" t="n">
        <v>0.755451388888889</v>
      </c>
      <c r="AT341" s="117" t="n">
        <v>0</v>
      </c>
      <c r="AU341" s="117" t="n">
        <v>0</v>
      </c>
      <c r="AX341" s="117" t="n">
        <v>2</v>
      </c>
    </row>
    <row r="342" customFormat="false" ht="13.8" hidden="true" customHeight="false" outlineLevel="0" collapsed="false">
      <c r="A342" s="117" t="n">
        <v>1000</v>
      </c>
      <c r="B342" s="117" t="s">
        <v>1962</v>
      </c>
      <c r="C342" s="117" t="n">
        <v>100022980</v>
      </c>
      <c r="E342" s="117" t="s">
        <v>1921</v>
      </c>
      <c r="F342" s="117" t="n">
        <v>1101</v>
      </c>
      <c r="G342" s="117" t="n">
        <v>2019</v>
      </c>
      <c r="H342" s="117" t="n">
        <v>2</v>
      </c>
      <c r="I342" s="118" t="n">
        <v>43616</v>
      </c>
      <c r="J342" s="118" t="n">
        <v>43616</v>
      </c>
      <c r="K342" s="119" t="n">
        <v>455749</v>
      </c>
      <c r="L342" s="128" t="n">
        <f aca="false">K342-Q342+T342</f>
        <v>455749</v>
      </c>
      <c r="M342" s="117" t="s">
        <v>149</v>
      </c>
      <c r="N342" s="117" t="n">
        <v>455749</v>
      </c>
      <c r="O342" s="117" t="s">
        <v>149</v>
      </c>
      <c r="P342" s="117" t="n">
        <v>0</v>
      </c>
      <c r="Q342" s="117" t="n">
        <v>0</v>
      </c>
      <c r="R342" s="117" t="n">
        <v>455749</v>
      </c>
      <c r="S342" s="117" t="n">
        <v>0</v>
      </c>
      <c r="T342" s="117" t="n">
        <v>0</v>
      </c>
      <c r="U342" s="117" t="n">
        <v>318999</v>
      </c>
      <c r="V342" s="117" t="s">
        <v>143</v>
      </c>
      <c r="Z342" s="117" t="n">
        <v>100022980</v>
      </c>
      <c r="AD342" s="117" t="n">
        <v>310300</v>
      </c>
      <c r="AE342" s="117" t="s">
        <v>1969</v>
      </c>
      <c r="AF342" s="117" t="n">
        <v>110000</v>
      </c>
      <c r="AG342" s="117" t="s">
        <v>1966</v>
      </c>
      <c r="AI342" s="117" t="n">
        <v>110000</v>
      </c>
      <c r="AJ342" s="117" t="s">
        <v>1966</v>
      </c>
      <c r="AK342" s="117" t="n">
        <v>0</v>
      </c>
      <c r="AL342" s="117" t="n">
        <v>9</v>
      </c>
      <c r="AM342" s="117" t="s">
        <v>161</v>
      </c>
      <c r="AN342" s="117" t="s">
        <v>1978</v>
      </c>
      <c r="AP342" s="117" t="n">
        <v>100022980</v>
      </c>
      <c r="AQ342" s="118" t="n">
        <v>43616</v>
      </c>
      <c r="AR342" s="118" t="n">
        <v>43618</v>
      </c>
      <c r="AS342" s="117" t="n">
        <v>0.614305555555556</v>
      </c>
      <c r="AT342" s="117" t="n">
        <v>0</v>
      </c>
      <c r="AU342" s="117" t="n">
        <v>0</v>
      </c>
      <c r="AX342" s="117" t="n">
        <v>23</v>
      </c>
    </row>
    <row r="343" customFormat="false" ht="13.8" hidden="true" customHeight="false" outlineLevel="0" collapsed="false">
      <c r="A343" s="117" t="n">
        <v>1000</v>
      </c>
      <c r="B343" s="117" t="s">
        <v>1962</v>
      </c>
      <c r="C343" s="117" t="n">
        <v>100005104</v>
      </c>
      <c r="E343" s="117" t="s">
        <v>1921</v>
      </c>
      <c r="F343" s="117" t="n">
        <v>1108</v>
      </c>
      <c r="G343" s="117" t="n">
        <v>2019</v>
      </c>
      <c r="H343" s="117" t="n">
        <v>1</v>
      </c>
      <c r="I343" s="118" t="n">
        <v>43585</v>
      </c>
      <c r="J343" s="118" t="n">
        <v>43585</v>
      </c>
      <c r="K343" s="119" t="n">
        <v>-578200</v>
      </c>
      <c r="L343" s="128" t="n">
        <f aca="false">K343-Q343+T343</f>
        <v>-578200</v>
      </c>
      <c r="M343" s="117" t="s">
        <v>149</v>
      </c>
      <c r="N343" s="117" t="n">
        <v>-578200</v>
      </c>
      <c r="O343" s="117" t="s">
        <v>149</v>
      </c>
      <c r="P343" s="117" t="n">
        <v>0</v>
      </c>
      <c r="Q343" s="117" t="n">
        <v>0</v>
      </c>
      <c r="R343" s="117" t="n">
        <v>-578200</v>
      </c>
      <c r="S343" s="117" t="n">
        <v>0</v>
      </c>
      <c r="T343" s="117" t="n">
        <v>0</v>
      </c>
      <c r="U343" s="117" t="n">
        <v>312193</v>
      </c>
      <c r="V343" s="117" t="s">
        <v>1963</v>
      </c>
      <c r="Z343" s="117" t="n">
        <v>100005104</v>
      </c>
      <c r="AD343" s="117" t="n">
        <v>110000</v>
      </c>
      <c r="AE343" s="117" t="s">
        <v>1966</v>
      </c>
      <c r="AF343" s="117" t="n">
        <v>110000</v>
      </c>
      <c r="AG343" s="117" t="s">
        <v>1966</v>
      </c>
      <c r="AI343" s="117" t="n">
        <v>110000</v>
      </c>
      <c r="AJ343" s="117" t="s">
        <v>1966</v>
      </c>
      <c r="AK343" s="117" t="n">
        <v>0</v>
      </c>
      <c r="AL343" s="117" t="n">
        <v>17</v>
      </c>
      <c r="AM343" s="117" t="s">
        <v>225</v>
      </c>
      <c r="AP343" s="117" t="n">
        <v>100005104</v>
      </c>
      <c r="AQ343" s="118" t="n">
        <v>43585</v>
      </c>
      <c r="AR343" s="118" t="n">
        <v>43586</v>
      </c>
      <c r="AS343" s="117" t="n">
        <v>0.418055555555556</v>
      </c>
      <c r="AT343" s="117" t="n">
        <v>0</v>
      </c>
      <c r="AU343" s="117" t="n">
        <v>0</v>
      </c>
      <c r="AX343" s="117" t="n">
        <v>8</v>
      </c>
    </row>
    <row r="344" s="106" customFormat="true" ht="13.8" hidden="true" customHeight="false" outlineLevel="0" collapsed="false">
      <c r="A344" s="106" t="n">
        <v>1000</v>
      </c>
      <c r="B344" s="106" t="s">
        <v>1962</v>
      </c>
      <c r="C344" s="106" t="n">
        <v>103116</v>
      </c>
      <c r="D344" s="106" t="s">
        <v>1517</v>
      </c>
      <c r="E344" s="106" t="s">
        <v>1970</v>
      </c>
      <c r="F344" s="106" t="n">
        <v>1101</v>
      </c>
      <c r="G344" s="106" t="n">
        <v>2019</v>
      </c>
      <c r="H344" s="106" t="n">
        <v>3</v>
      </c>
      <c r="I344" s="129" t="n">
        <v>43629</v>
      </c>
      <c r="J344" s="129" t="n">
        <v>43629</v>
      </c>
      <c r="K344" s="107" t="n">
        <v>826000</v>
      </c>
      <c r="L344" s="130" t="n">
        <f aca="false">K344-Q344+T344</f>
        <v>700000</v>
      </c>
      <c r="M344" s="106" t="s">
        <v>149</v>
      </c>
      <c r="N344" s="106" t="n">
        <v>826000</v>
      </c>
      <c r="O344" s="106" t="s">
        <v>149</v>
      </c>
      <c r="P344" s="106" t="n">
        <v>0</v>
      </c>
      <c r="Q344" s="107" t="n">
        <v>126000</v>
      </c>
      <c r="R344" s="106" t="n">
        <v>700000</v>
      </c>
      <c r="S344" s="106" t="n">
        <v>0</v>
      </c>
      <c r="T344" s="106" t="n">
        <v>0</v>
      </c>
      <c r="U344" s="106" t="n">
        <v>309728</v>
      </c>
      <c r="V344" s="106" t="s">
        <v>1968</v>
      </c>
      <c r="Z344" s="106" t="n">
        <v>59184</v>
      </c>
      <c r="AB344" s="106" t="n">
        <v>2300049939</v>
      </c>
      <c r="AD344" s="106" t="n">
        <v>110000</v>
      </c>
      <c r="AE344" s="106" t="s">
        <v>1966</v>
      </c>
      <c r="AF344" s="106" t="n">
        <v>501000</v>
      </c>
      <c r="AG344" s="106" t="s">
        <v>2170</v>
      </c>
      <c r="AI344" s="106" t="n">
        <v>501000</v>
      </c>
      <c r="AJ344" s="106" t="s">
        <v>2170</v>
      </c>
      <c r="AK344" s="106" t="n">
        <v>0</v>
      </c>
      <c r="AL344" s="106" t="n">
        <v>1</v>
      </c>
      <c r="AM344" s="106" t="s">
        <v>161</v>
      </c>
      <c r="AP344" s="106" t="n">
        <v>100039091</v>
      </c>
      <c r="AQ344" s="129" t="n">
        <v>43644</v>
      </c>
      <c r="AR344" s="129" t="n">
        <v>43629</v>
      </c>
      <c r="AS344" s="106" t="n">
        <v>0.781527777777778</v>
      </c>
      <c r="AT344" s="106" t="n">
        <v>0</v>
      </c>
      <c r="AU344" s="106" t="n">
        <v>0</v>
      </c>
      <c r="AX344" s="106" t="n">
        <v>1</v>
      </c>
      <c r="ALU344" s="0"/>
      <c r="ALV344" s="0"/>
      <c r="ALW344" s="0"/>
      <c r="ALX344" s="0"/>
      <c r="ALY344" s="0"/>
      <c r="ALZ344" s="0"/>
      <c r="AMA344" s="0"/>
      <c r="AMB344" s="0"/>
      <c r="AMC344" s="0"/>
      <c r="AMD344" s="0"/>
      <c r="AME344" s="0"/>
      <c r="AMF344" s="0"/>
      <c r="AMG344" s="0"/>
      <c r="AMH344" s="0"/>
      <c r="AMI344" s="0"/>
      <c r="AMJ344" s="0"/>
    </row>
    <row r="345" customFormat="false" ht="13.8" hidden="true" customHeight="false" outlineLevel="0" collapsed="false">
      <c r="A345" s="117" t="n">
        <v>1000</v>
      </c>
      <c r="B345" s="117" t="s">
        <v>1962</v>
      </c>
      <c r="C345" s="117" t="n">
        <v>100022447</v>
      </c>
      <c r="E345" s="117" t="s">
        <v>1921</v>
      </c>
      <c r="F345" s="117" t="n">
        <v>1109</v>
      </c>
      <c r="G345" s="117" t="n">
        <v>2019</v>
      </c>
      <c r="H345" s="117" t="n">
        <v>2</v>
      </c>
      <c r="I345" s="118" t="n">
        <v>43616</v>
      </c>
      <c r="J345" s="118" t="n">
        <v>43616</v>
      </c>
      <c r="K345" s="119" t="n">
        <v>3597</v>
      </c>
      <c r="L345" s="128" t="n">
        <f aca="false">K345-Q345+T345</f>
        <v>3597</v>
      </c>
      <c r="M345" s="117" t="s">
        <v>149</v>
      </c>
      <c r="N345" s="117" t="n">
        <v>3597</v>
      </c>
      <c r="O345" s="117" t="s">
        <v>149</v>
      </c>
      <c r="P345" s="117" t="n">
        <v>0</v>
      </c>
      <c r="Q345" s="117" t="n">
        <v>0</v>
      </c>
      <c r="R345" s="117" t="n">
        <v>3597</v>
      </c>
      <c r="S345" s="117" t="n">
        <v>0</v>
      </c>
      <c r="T345" s="117" t="n">
        <v>0</v>
      </c>
      <c r="U345" s="117" t="n">
        <v>312193</v>
      </c>
      <c r="V345" s="117" t="s">
        <v>1963</v>
      </c>
      <c r="X345" s="117" t="s">
        <v>2197</v>
      </c>
      <c r="Z345" s="117" t="n">
        <v>2316</v>
      </c>
      <c r="AB345" s="117" t="s">
        <v>1965</v>
      </c>
      <c r="AD345" s="117" t="n">
        <v>110000</v>
      </c>
      <c r="AE345" s="117" t="s">
        <v>1966</v>
      </c>
      <c r="AF345" s="117" t="n">
        <v>110000</v>
      </c>
      <c r="AG345" s="117" t="s">
        <v>1966</v>
      </c>
      <c r="AI345" s="117" t="n">
        <v>110000</v>
      </c>
      <c r="AJ345" s="117" t="s">
        <v>1966</v>
      </c>
      <c r="AK345" s="117" t="n">
        <v>0</v>
      </c>
      <c r="AL345" s="117" t="n">
        <v>4</v>
      </c>
      <c r="AM345" s="117" t="s">
        <v>161</v>
      </c>
      <c r="AP345" s="117" t="n">
        <v>100173563</v>
      </c>
      <c r="AQ345" s="118" t="n">
        <v>43799</v>
      </c>
      <c r="AR345" s="118" t="n">
        <v>43617</v>
      </c>
      <c r="AS345" s="117" t="n">
        <v>0.592361111111111</v>
      </c>
      <c r="AT345" s="117" t="n">
        <v>0</v>
      </c>
      <c r="AU345" s="117" t="n">
        <v>0</v>
      </c>
      <c r="AX345" s="117" t="n">
        <v>2</v>
      </c>
    </row>
    <row r="346" customFormat="false" ht="13.8" hidden="true" customHeight="false" outlineLevel="0" collapsed="false">
      <c r="A346" s="117" t="n">
        <v>1000</v>
      </c>
      <c r="B346" s="117" t="s">
        <v>1962</v>
      </c>
      <c r="C346" s="117" t="n">
        <v>100005104</v>
      </c>
      <c r="E346" s="117" t="s">
        <v>1921</v>
      </c>
      <c r="F346" s="117" t="n">
        <v>1109</v>
      </c>
      <c r="G346" s="117" t="n">
        <v>2019</v>
      </c>
      <c r="H346" s="117" t="n">
        <v>1</v>
      </c>
      <c r="I346" s="118" t="n">
        <v>43585</v>
      </c>
      <c r="J346" s="118" t="n">
        <v>43585</v>
      </c>
      <c r="K346" s="119" t="n">
        <v>8207</v>
      </c>
      <c r="L346" s="128" t="n">
        <f aca="false">K346-Q346+T346</f>
        <v>8207</v>
      </c>
      <c r="M346" s="117" t="s">
        <v>149</v>
      </c>
      <c r="N346" s="117" t="n">
        <v>8207</v>
      </c>
      <c r="O346" s="117" t="s">
        <v>149</v>
      </c>
      <c r="P346" s="117" t="n">
        <v>0</v>
      </c>
      <c r="Q346" s="117" t="n">
        <v>0</v>
      </c>
      <c r="R346" s="117" t="n">
        <v>8207</v>
      </c>
      <c r="S346" s="117" t="n">
        <v>0</v>
      </c>
      <c r="T346" s="117" t="n">
        <v>0</v>
      </c>
      <c r="U346" s="117" t="n">
        <v>312193</v>
      </c>
      <c r="V346" s="117" t="s">
        <v>1963</v>
      </c>
      <c r="X346" s="117" t="s">
        <v>2198</v>
      </c>
      <c r="Z346" s="117" t="n">
        <v>2316</v>
      </c>
      <c r="AB346" s="117" t="s">
        <v>1965</v>
      </c>
      <c r="AD346" s="117" t="n">
        <v>110000</v>
      </c>
      <c r="AE346" s="117" t="s">
        <v>1966</v>
      </c>
      <c r="AF346" s="117" t="n">
        <v>110000</v>
      </c>
      <c r="AG346" s="117" t="s">
        <v>1966</v>
      </c>
      <c r="AI346" s="117" t="n">
        <v>110000</v>
      </c>
      <c r="AJ346" s="117" t="s">
        <v>1966</v>
      </c>
      <c r="AK346" s="117" t="n">
        <v>0</v>
      </c>
      <c r="AL346" s="117" t="n">
        <v>4</v>
      </c>
      <c r="AM346" s="117" t="s">
        <v>161</v>
      </c>
      <c r="AP346" s="117" t="n">
        <v>100173563</v>
      </c>
      <c r="AQ346" s="118" t="n">
        <v>43799</v>
      </c>
      <c r="AR346" s="118" t="n">
        <v>43586</v>
      </c>
      <c r="AS346" s="117" t="n">
        <v>0.418055555555556</v>
      </c>
      <c r="AT346" s="117" t="n">
        <v>0</v>
      </c>
      <c r="AU346" s="117" t="n">
        <v>0</v>
      </c>
      <c r="AX346" s="117" t="n">
        <v>5</v>
      </c>
    </row>
    <row r="347" customFormat="false" ht="13.8" hidden="true" customHeight="false" outlineLevel="0" collapsed="false">
      <c r="A347" s="117" t="n">
        <v>1000</v>
      </c>
      <c r="B347" s="117" t="s">
        <v>1962</v>
      </c>
      <c r="C347" s="117" t="n">
        <v>100022980</v>
      </c>
      <c r="E347" s="117" t="s">
        <v>1921</v>
      </c>
      <c r="F347" s="117" t="n">
        <v>1101</v>
      </c>
      <c r="G347" s="117" t="n">
        <v>2019</v>
      </c>
      <c r="H347" s="117" t="n">
        <v>2</v>
      </c>
      <c r="I347" s="118" t="n">
        <v>43616</v>
      </c>
      <c r="J347" s="118" t="n">
        <v>43616</v>
      </c>
      <c r="K347" s="119" t="n">
        <v>1565811.78</v>
      </c>
      <c r="L347" s="128" t="n">
        <f aca="false">K347-Q347+T347</f>
        <v>1565811.78</v>
      </c>
      <c r="M347" s="117" t="s">
        <v>149</v>
      </c>
      <c r="N347" s="117" t="n">
        <v>1565811.78</v>
      </c>
      <c r="O347" s="117" t="s">
        <v>149</v>
      </c>
      <c r="P347" s="117" t="n">
        <v>0</v>
      </c>
      <c r="Q347" s="117" t="n">
        <v>0</v>
      </c>
      <c r="R347" s="117" t="n">
        <v>1565811.78</v>
      </c>
      <c r="S347" s="117" t="n">
        <v>0</v>
      </c>
      <c r="T347" s="117" t="n">
        <v>0</v>
      </c>
      <c r="U347" s="117" t="n">
        <v>318999</v>
      </c>
      <c r="V347" s="117" t="s">
        <v>143</v>
      </c>
      <c r="X347" s="117" t="s">
        <v>1352</v>
      </c>
      <c r="Z347" s="117" t="n">
        <v>100022980</v>
      </c>
      <c r="AD347" s="117" t="n">
        <v>110000</v>
      </c>
      <c r="AE347" s="117" t="s">
        <v>1966</v>
      </c>
      <c r="AF347" s="117" t="n">
        <v>110000</v>
      </c>
      <c r="AG347" s="117" t="s">
        <v>1966</v>
      </c>
      <c r="AI347" s="117" t="n">
        <v>110000</v>
      </c>
      <c r="AJ347" s="117" t="s">
        <v>1966</v>
      </c>
      <c r="AK347" s="117" t="n">
        <v>0</v>
      </c>
      <c r="AL347" s="117" t="n">
        <v>4</v>
      </c>
      <c r="AM347" s="117" t="s">
        <v>161</v>
      </c>
      <c r="AP347" s="117" t="n">
        <v>100039982</v>
      </c>
      <c r="AQ347" s="118" t="n">
        <v>43645</v>
      </c>
      <c r="AR347" s="118" t="n">
        <v>43618</v>
      </c>
      <c r="AS347" s="117" t="n">
        <v>0.614305555555556</v>
      </c>
      <c r="AT347" s="117" t="n">
        <v>0</v>
      </c>
      <c r="AU347" s="117" t="n">
        <v>0</v>
      </c>
      <c r="AX347" s="117" t="n">
        <v>3</v>
      </c>
    </row>
    <row r="348" customFormat="false" ht="13.8" hidden="true" customHeight="false" outlineLevel="0" collapsed="false">
      <c r="A348" s="117" t="n">
        <v>1000</v>
      </c>
      <c r="B348" s="117" t="s">
        <v>1962</v>
      </c>
      <c r="C348" s="117" t="n">
        <v>100022446</v>
      </c>
      <c r="E348" s="117" t="s">
        <v>1921</v>
      </c>
      <c r="F348" s="117" t="n">
        <v>1108</v>
      </c>
      <c r="G348" s="117" t="n">
        <v>2019</v>
      </c>
      <c r="H348" s="117" t="n">
        <v>2</v>
      </c>
      <c r="I348" s="118" t="n">
        <v>43616</v>
      </c>
      <c r="J348" s="118" t="n">
        <v>43616</v>
      </c>
      <c r="K348" s="119" t="n">
        <v>5177</v>
      </c>
      <c r="L348" s="128" t="n">
        <f aca="false">K348-Q348+T348</f>
        <v>5177</v>
      </c>
      <c r="M348" s="117" t="s">
        <v>149</v>
      </c>
      <c r="N348" s="117" t="n">
        <v>5177</v>
      </c>
      <c r="O348" s="117" t="s">
        <v>149</v>
      </c>
      <c r="P348" s="117" t="n">
        <v>0</v>
      </c>
      <c r="Q348" s="117" t="n">
        <v>0</v>
      </c>
      <c r="R348" s="117" t="n">
        <v>5177</v>
      </c>
      <c r="S348" s="117" t="n">
        <v>0</v>
      </c>
      <c r="T348" s="117" t="n">
        <v>0</v>
      </c>
      <c r="U348" s="117" t="n">
        <v>312193</v>
      </c>
      <c r="V348" s="117" t="s">
        <v>1963</v>
      </c>
      <c r="X348" s="117" t="s">
        <v>2199</v>
      </c>
      <c r="Z348" s="117" t="n">
        <v>2346</v>
      </c>
      <c r="AB348" s="117" t="s">
        <v>2031</v>
      </c>
      <c r="AD348" s="117" t="n">
        <v>110000</v>
      </c>
      <c r="AE348" s="117" t="s">
        <v>1966</v>
      </c>
      <c r="AF348" s="117" t="n">
        <v>110000</v>
      </c>
      <c r="AG348" s="117" t="s">
        <v>1966</v>
      </c>
      <c r="AI348" s="117" t="n">
        <v>110000</v>
      </c>
      <c r="AJ348" s="117" t="s">
        <v>1966</v>
      </c>
      <c r="AK348" s="117" t="n">
        <v>0</v>
      </c>
      <c r="AL348" s="117" t="n">
        <v>4</v>
      </c>
      <c r="AM348" s="117" t="s">
        <v>161</v>
      </c>
      <c r="AP348" s="117" t="n">
        <v>100173563</v>
      </c>
      <c r="AQ348" s="118" t="n">
        <v>43799</v>
      </c>
      <c r="AR348" s="118" t="n">
        <v>43617</v>
      </c>
      <c r="AS348" s="117" t="n">
        <v>0.587256944444444</v>
      </c>
      <c r="AT348" s="117" t="n">
        <v>0</v>
      </c>
      <c r="AU348" s="117" t="n">
        <v>0</v>
      </c>
      <c r="AX348" s="117" t="n">
        <v>4</v>
      </c>
    </row>
    <row r="349" customFormat="false" ht="13.8" hidden="true" customHeight="false" outlineLevel="0" collapsed="false">
      <c r="A349" s="117" t="n">
        <v>1000</v>
      </c>
      <c r="B349" s="117" t="s">
        <v>1962</v>
      </c>
      <c r="C349" s="117" t="n">
        <v>100004322</v>
      </c>
      <c r="E349" s="117" t="s">
        <v>1921</v>
      </c>
      <c r="F349" s="117" t="n">
        <v>1106</v>
      </c>
      <c r="G349" s="117" t="n">
        <v>2019</v>
      </c>
      <c r="H349" s="117" t="n">
        <v>1</v>
      </c>
      <c r="I349" s="118" t="n">
        <v>43583</v>
      </c>
      <c r="J349" s="118" t="n">
        <v>43583</v>
      </c>
      <c r="K349" s="119" t="n">
        <v>8866142.78</v>
      </c>
      <c r="L349" s="128" t="n">
        <f aca="false">K349-Q349+T349</f>
        <v>8866142.78</v>
      </c>
      <c r="M349" s="117" t="s">
        <v>149</v>
      </c>
      <c r="N349" s="117" t="n">
        <v>8866142.78</v>
      </c>
      <c r="O349" s="117" t="s">
        <v>149</v>
      </c>
      <c r="P349" s="117" t="n">
        <v>0</v>
      </c>
      <c r="Q349" s="117" t="n">
        <v>0</v>
      </c>
      <c r="R349" s="117" t="n">
        <v>8866142.78</v>
      </c>
      <c r="S349" s="117" t="n">
        <v>0</v>
      </c>
      <c r="T349" s="117" t="n">
        <v>0</v>
      </c>
      <c r="U349" s="117" t="n">
        <v>307259</v>
      </c>
      <c r="V349" s="117" t="s">
        <v>143</v>
      </c>
      <c r="Z349" s="117" t="n">
        <v>100004322</v>
      </c>
      <c r="AD349" s="117" t="n">
        <v>310300</v>
      </c>
      <c r="AE349" s="117" t="s">
        <v>1969</v>
      </c>
      <c r="AF349" s="117" t="n">
        <v>110000</v>
      </c>
      <c r="AG349" s="117" t="s">
        <v>1966</v>
      </c>
      <c r="AI349" s="117" t="n">
        <v>110000</v>
      </c>
      <c r="AJ349" s="117" t="s">
        <v>1966</v>
      </c>
      <c r="AK349" s="117" t="n">
        <v>0</v>
      </c>
      <c r="AL349" s="117" t="n">
        <v>9</v>
      </c>
      <c r="AM349" s="117" t="s">
        <v>161</v>
      </c>
      <c r="AN349" s="117" t="s">
        <v>1978</v>
      </c>
      <c r="AP349" s="117" t="n">
        <v>100004322</v>
      </c>
      <c r="AQ349" s="118" t="n">
        <v>43583</v>
      </c>
      <c r="AR349" s="118" t="n">
        <v>43583</v>
      </c>
      <c r="AS349" s="117" t="n">
        <v>0.493321759259259</v>
      </c>
      <c r="AT349" s="117" t="n">
        <v>0</v>
      </c>
      <c r="AU349" s="117" t="n">
        <v>0</v>
      </c>
      <c r="AX349" s="117" t="n">
        <v>2</v>
      </c>
    </row>
    <row r="350" s="132" customFormat="true" ht="13.8" hidden="true" customHeight="false" outlineLevel="0" collapsed="false">
      <c r="A350" s="132" t="n">
        <v>1000</v>
      </c>
      <c r="B350" s="132" t="s">
        <v>1962</v>
      </c>
      <c r="C350" s="132" t="n">
        <v>1400000994</v>
      </c>
      <c r="D350" s="132" t="s">
        <v>2200</v>
      </c>
      <c r="E350" s="132" t="s">
        <v>1972</v>
      </c>
      <c r="F350" s="132" t="n">
        <v>1106</v>
      </c>
      <c r="G350" s="132" t="n">
        <v>2019</v>
      </c>
      <c r="H350" s="132" t="n">
        <v>1</v>
      </c>
      <c r="I350" s="133" t="n">
        <v>43567</v>
      </c>
      <c r="J350" s="133" t="n">
        <v>43567</v>
      </c>
      <c r="K350" s="134" t="n">
        <v>-105067.2</v>
      </c>
      <c r="L350" s="135" t="n">
        <f aca="false">K350-Q350+T350</f>
        <v>-105067.2</v>
      </c>
      <c r="M350" s="132" t="s">
        <v>149</v>
      </c>
      <c r="N350" s="132" t="n">
        <v>-105067.2</v>
      </c>
      <c r="O350" s="132" t="s">
        <v>149</v>
      </c>
      <c r="P350" s="132" t="n">
        <v>-105067.2</v>
      </c>
      <c r="Q350" s="132" t="n">
        <v>0</v>
      </c>
      <c r="R350" s="132" t="n">
        <v>-105067.2</v>
      </c>
      <c r="S350" s="132" t="n">
        <v>0</v>
      </c>
      <c r="T350" s="132" t="n">
        <v>0</v>
      </c>
      <c r="U350" s="132" t="n">
        <v>304431</v>
      </c>
      <c r="V350" s="132" t="s">
        <v>2016</v>
      </c>
      <c r="X350" s="132" t="s">
        <v>2201</v>
      </c>
      <c r="Y350" s="132" t="s">
        <v>2202</v>
      </c>
      <c r="Z350" s="132" t="n">
        <v>1400000994</v>
      </c>
      <c r="AC350" s="132" t="s">
        <v>1976</v>
      </c>
      <c r="AD350" s="132" t="n">
        <v>310300</v>
      </c>
      <c r="AE350" s="132" t="s">
        <v>1969</v>
      </c>
      <c r="AF350" s="132" t="n">
        <v>315113</v>
      </c>
      <c r="AG350" s="132" t="s">
        <v>143</v>
      </c>
      <c r="AI350" s="132" t="n">
        <v>315113</v>
      </c>
      <c r="AJ350" s="132" t="s">
        <v>143</v>
      </c>
      <c r="AK350" s="132" t="n">
        <v>0</v>
      </c>
      <c r="AL350" s="132" t="n">
        <v>19</v>
      </c>
      <c r="AM350" s="132" t="s">
        <v>225</v>
      </c>
      <c r="AN350" s="132" t="s">
        <v>1978</v>
      </c>
      <c r="AP350" s="132" t="n">
        <v>100013850</v>
      </c>
      <c r="AQ350" s="133" t="n">
        <v>43585</v>
      </c>
      <c r="AR350" s="133" t="n">
        <v>43587</v>
      </c>
      <c r="AS350" s="132" t="n">
        <v>0.429108796296296</v>
      </c>
      <c r="AT350" s="132" t="n">
        <v>0</v>
      </c>
      <c r="AU350" s="132" t="n">
        <v>0</v>
      </c>
      <c r="AX350" s="132" t="n">
        <v>3</v>
      </c>
      <c r="ALU350" s="0"/>
      <c r="ALV350" s="0"/>
      <c r="ALW350" s="0"/>
      <c r="ALX350" s="0"/>
      <c r="ALY350" s="0"/>
      <c r="ALZ350" s="0"/>
      <c r="AMA350" s="0"/>
      <c r="AMB350" s="0"/>
      <c r="AMC350" s="0"/>
      <c r="AMD350" s="0"/>
      <c r="AME350" s="0"/>
      <c r="AMF350" s="0"/>
      <c r="AMG350" s="0"/>
      <c r="AMH350" s="0"/>
      <c r="AMI350" s="0"/>
      <c r="AMJ350" s="0"/>
    </row>
    <row r="351" customFormat="false" ht="13.8" hidden="true" customHeight="false" outlineLevel="0" collapsed="false">
      <c r="A351" s="117" t="n">
        <v>1000</v>
      </c>
      <c r="B351" s="117" t="s">
        <v>1962</v>
      </c>
      <c r="C351" s="117" t="n">
        <v>1600000099</v>
      </c>
      <c r="E351" s="117" t="s">
        <v>1987</v>
      </c>
      <c r="F351" s="117" t="n">
        <v>1101</v>
      </c>
      <c r="G351" s="117" t="n">
        <v>2019</v>
      </c>
      <c r="H351" s="117" t="n">
        <v>3</v>
      </c>
      <c r="I351" s="118" t="n">
        <v>43645</v>
      </c>
      <c r="J351" s="118" t="n">
        <v>43645</v>
      </c>
      <c r="K351" s="119" t="n">
        <v>-35</v>
      </c>
      <c r="L351" s="128" t="n">
        <f aca="false">K351-Q351+T351</f>
        <v>-35</v>
      </c>
      <c r="M351" s="117" t="s">
        <v>149</v>
      </c>
      <c r="N351" s="117" t="n">
        <v>-35</v>
      </c>
      <c r="O351" s="117" t="s">
        <v>149</v>
      </c>
      <c r="P351" s="117" t="n">
        <v>-35</v>
      </c>
      <c r="Q351" s="117" t="n">
        <v>0</v>
      </c>
      <c r="R351" s="117" t="n">
        <v>-35</v>
      </c>
      <c r="S351" s="117" t="n">
        <v>0</v>
      </c>
      <c r="T351" s="117" t="n">
        <v>0</v>
      </c>
      <c r="U351" s="117" t="n">
        <v>312351</v>
      </c>
      <c r="V351" s="117" t="s">
        <v>2156</v>
      </c>
      <c r="X351" s="117" t="s">
        <v>2203</v>
      </c>
      <c r="Y351" s="117" t="s">
        <v>2164</v>
      </c>
      <c r="Z351" s="117" t="n">
        <v>1600000099</v>
      </c>
      <c r="AD351" s="117" t="n">
        <v>110000</v>
      </c>
      <c r="AE351" s="117" t="s">
        <v>1966</v>
      </c>
      <c r="AF351" s="117" t="n">
        <v>111201</v>
      </c>
      <c r="AG351" s="117" t="s">
        <v>2165</v>
      </c>
      <c r="AI351" s="117" t="n">
        <v>111201</v>
      </c>
      <c r="AJ351" s="117" t="s">
        <v>2165</v>
      </c>
      <c r="AK351" s="117" t="n">
        <v>0</v>
      </c>
      <c r="AL351" s="117" t="n">
        <v>14</v>
      </c>
      <c r="AM351" s="117" t="s">
        <v>225</v>
      </c>
      <c r="AP351" s="117" t="n">
        <v>100048555</v>
      </c>
      <c r="AQ351" s="118" t="n">
        <v>43646</v>
      </c>
      <c r="AR351" s="118" t="n">
        <v>43645</v>
      </c>
      <c r="AS351" s="117" t="n">
        <v>0.747094907407407</v>
      </c>
      <c r="AT351" s="117" t="n">
        <v>0</v>
      </c>
      <c r="AU351" s="117" t="n">
        <v>0</v>
      </c>
      <c r="AX351" s="117" t="n">
        <v>6</v>
      </c>
    </row>
    <row r="352" s="106" customFormat="true" ht="13.8" hidden="true" customHeight="false" outlineLevel="0" collapsed="false">
      <c r="A352" s="106" t="n">
        <v>1000</v>
      </c>
      <c r="B352" s="106" t="s">
        <v>1962</v>
      </c>
      <c r="C352" s="106" t="n">
        <v>100008</v>
      </c>
      <c r="D352" s="106" t="s">
        <v>1457</v>
      </c>
      <c r="E352" s="106" t="s">
        <v>1970</v>
      </c>
      <c r="F352" s="106" t="n">
        <v>1101</v>
      </c>
      <c r="G352" s="106" t="n">
        <v>2019</v>
      </c>
      <c r="H352" s="106" t="n">
        <v>1</v>
      </c>
      <c r="I352" s="129" t="n">
        <v>43558</v>
      </c>
      <c r="J352" s="129" t="n">
        <v>43558</v>
      </c>
      <c r="K352" s="107" t="n">
        <v>536187.32</v>
      </c>
      <c r="L352" s="130" t="n">
        <f aca="false">K352-Q352+T352</f>
        <v>454396.04</v>
      </c>
      <c r="M352" s="106" t="s">
        <v>149</v>
      </c>
      <c r="N352" s="106" t="n">
        <v>536187.32</v>
      </c>
      <c r="O352" s="106" t="s">
        <v>149</v>
      </c>
      <c r="P352" s="106" t="n">
        <v>0</v>
      </c>
      <c r="Q352" s="107" t="n">
        <v>81791.28</v>
      </c>
      <c r="R352" s="106" t="n">
        <v>454396.04</v>
      </c>
      <c r="S352" s="106" t="n">
        <v>0</v>
      </c>
      <c r="T352" s="106" t="n">
        <v>0</v>
      </c>
      <c r="U352" s="106" t="n">
        <v>318999</v>
      </c>
      <c r="V352" s="106" t="s">
        <v>143</v>
      </c>
      <c r="Z352" s="106" t="n">
        <v>100008</v>
      </c>
      <c r="AD352" s="106" t="n">
        <v>110000</v>
      </c>
      <c r="AE352" s="106" t="s">
        <v>1966</v>
      </c>
      <c r="AF352" s="106" t="n">
        <v>501040</v>
      </c>
      <c r="AG352" s="106" t="s">
        <v>2036</v>
      </c>
      <c r="AI352" s="106" t="n">
        <v>501040</v>
      </c>
      <c r="AJ352" s="106" t="s">
        <v>2036</v>
      </c>
      <c r="AK352" s="106" t="n">
        <v>0</v>
      </c>
      <c r="AL352" s="106" t="n">
        <v>1</v>
      </c>
      <c r="AM352" s="106" t="s">
        <v>161</v>
      </c>
      <c r="AP352" s="106" t="n">
        <v>100005246</v>
      </c>
      <c r="AQ352" s="129" t="n">
        <v>43585</v>
      </c>
      <c r="AR352" s="129" t="n">
        <v>43558</v>
      </c>
      <c r="AS352" s="106" t="n">
        <v>0.652488425925926</v>
      </c>
      <c r="AT352" s="106" t="n">
        <v>0</v>
      </c>
      <c r="AU352" s="106" t="n">
        <v>0</v>
      </c>
      <c r="AX352" s="106" t="n">
        <v>1</v>
      </c>
      <c r="ALU352" s="0"/>
      <c r="ALV352" s="0"/>
      <c r="ALW352" s="0"/>
      <c r="ALX352" s="0"/>
      <c r="ALY352" s="0"/>
      <c r="ALZ352" s="0"/>
      <c r="AMA352" s="0"/>
      <c r="AMB352" s="0"/>
      <c r="AMC352" s="0"/>
      <c r="AMD352" s="0"/>
      <c r="AME352" s="0"/>
      <c r="AMF352" s="0"/>
      <c r="AMG352" s="0"/>
      <c r="AMH352" s="0"/>
      <c r="AMI352" s="0"/>
      <c r="AMJ352" s="0"/>
    </row>
    <row r="353" customFormat="false" ht="13.8" hidden="true" customHeight="false" outlineLevel="0" collapsed="false">
      <c r="A353" s="117" t="n">
        <v>1000</v>
      </c>
      <c r="B353" s="117" t="s">
        <v>1962</v>
      </c>
      <c r="C353" s="117" t="n">
        <v>100005104</v>
      </c>
      <c r="E353" s="117" t="s">
        <v>1921</v>
      </c>
      <c r="F353" s="117" t="n">
        <v>1108</v>
      </c>
      <c r="G353" s="117" t="n">
        <v>2019</v>
      </c>
      <c r="H353" s="117" t="n">
        <v>1</v>
      </c>
      <c r="I353" s="118" t="n">
        <v>43585</v>
      </c>
      <c r="J353" s="118" t="n">
        <v>43585</v>
      </c>
      <c r="K353" s="119" t="n">
        <v>9800</v>
      </c>
      <c r="L353" s="128" t="n">
        <f aca="false">K353-Q353+T353</f>
        <v>9800</v>
      </c>
      <c r="M353" s="117" t="s">
        <v>149</v>
      </c>
      <c r="N353" s="117" t="n">
        <v>9800</v>
      </c>
      <c r="O353" s="117" t="s">
        <v>149</v>
      </c>
      <c r="P353" s="117" t="n">
        <v>0</v>
      </c>
      <c r="Q353" s="117" t="n">
        <v>0</v>
      </c>
      <c r="R353" s="117" t="n">
        <v>9800</v>
      </c>
      <c r="S353" s="117" t="n">
        <v>0</v>
      </c>
      <c r="T353" s="117" t="n">
        <v>0</v>
      </c>
      <c r="U353" s="117" t="n">
        <v>312193</v>
      </c>
      <c r="V353" s="117" t="s">
        <v>1963</v>
      </c>
      <c r="X353" s="117" t="s">
        <v>2204</v>
      </c>
      <c r="Z353" s="117" t="n">
        <v>2346</v>
      </c>
      <c r="AB353" s="117" t="s">
        <v>2031</v>
      </c>
      <c r="AD353" s="117" t="n">
        <v>110000</v>
      </c>
      <c r="AE353" s="117" t="s">
        <v>1966</v>
      </c>
      <c r="AF353" s="117" t="n">
        <v>110000</v>
      </c>
      <c r="AG353" s="117" t="s">
        <v>1966</v>
      </c>
      <c r="AI353" s="117" t="n">
        <v>110000</v>
      </c>
      <c r="AJ353" s="117" t="s">
        <v>1966</v>
      </c>
      <c r="AK353" s="117" t="n">
        <v>0</v>
      </c>
      <c r="AL353" s="117" t="n">
        <v>4</v>
      </c>
      <c r="AM353" s="117" t="s">
        <v>161</v>
      </c>
      <c r="AP353" s="117" t="n">
        <v>100173563</v>
      </c>
      <c r="AQ353" s="118" t="n">
        <v>43799</v>
      </c>
      <c r="AR353" s="118" t="n">
        <v>43586</v>
      </c>
      <c r="AS353" s="117" t="n">
        <v>0.418055555555556</v>
      </c>
      <c r="AT353" s="117" t="n">
        <v>0</v>
      </c>
      <c r="AU353" s="117" t="n">
        <v>0</v>
      </c>
      <c r="AX353" s="117" t="n">
        <v>1</v>
      </c>
    </row>
    <row r="354" customFormat="false" ht="13.8" hidden="true" customHeight="false" outlineLevel="0" collapsed="false">
      <c r="A354" s="117" t="n">
        <v>1000</v>
      </c>
      <c r="B354" s="117" t="s">
        <v>1962</v>
      </c>
      <c r="C354" s="117" t="n">
        <v>100039983</v>
      </c>
      <c r="E354" s="117" t="s">
        <v>1921</v>
      </c>
      <c r="F354" s="117" t="n">
        <v>1101</v>
      </c>
      <c r="G354" s="117" t="n">
        <v>2019</v>
      </c>
      <c r="H354" s="117" t="n">
        <v>3</v>
      </c>
      <c r="I354" s="118" t="n">
        <v>43645</v>
      </c>
      <c r="J354" s="118" t="n">
        <v>43645</v>
      </c>
      <c r="K354" s="119" t="n">
        <v>1351839.06</v>
      </c>
      <c r="L354" s="128" t="n">
        <f aca="false">K354-Q354+T354</f>
        <v>1351839.06</v>
      </c>
      <c r="M354" s="117" t="s">
        <v>149</v>
      </c>
      <c r="N354" s="117" t="n">
        <v>1351839.06</v>
      </c>
      <c r="O354" s="117" t="s">
        <v>149</v>
      </c>
      <c r="P354" s="117" t="n">
        <v>0</v>
      </c>
      <c r="Q354" s="117" t="n">
        <v>0</v>
      </c>
      <c r="R354" s="117" t="n">
        <v>1351839.06</v>
      </c>
      <c r="S354" s="117" t="n">
        <v>0</v>
      </c>
      <c r="T354" s="117" t="n">
        <v>0</v>
      </c>
      <c r="U354" s="117" t="n">
        <v>318999</v>
      </c>
      <c r="V354" s="117" t="s">
        <v>143</v>
      </c>
      <c r="X354" s="117" t="s">
        <v>1443</v>
      </c>
      <c r="Z354" s="117" t="n">
        <v>100039983</v>
      </c>
      <c r="AD354" s="117" t="n">
        <v>110000</v>
      </c>
      <c r="AE354" s="117" t="s">
        <v>1966</v>
      </c>
      <c r="AF354" s="117" t="n">
        <v>110000</v>
      </c>
      <c r="AG354" s="117" t="s">
        <v>1966</v>
      </c>
      <c r="AI354" s="117" t="n">
        <v>110000</v>
      </c>
      <c r="AJ354" s="117" t="s">
        <v>1966</v>
      </c>
      <c r="AK354" s="117" t="n">
        <v>0</v>
      </c>
      <c r="AL354" s="117" t="n">
        <v>4</v>
      </c>
      <c r="AM354" s="117" t="s">
        <v>161</v>
      </c>
      <c r="AP354" s="117" t="n">
        <v>100057912</v>
      </c>
      <c r="AQ354" s="118" t="n">
        <v>43677</v>
      </c>
      <c r="AR354" s="118" t="n">
        <v>43646</v>
      </c>
      <c r="AS354" s="117" t="n">
        <v>0.430601851851852</v>
      </c>
      <c r="AT354" s="117" t="n">
        <v>0</v>
      </c>
      <c r="AU354" s="117" t="n">
        <v>0</v>
      </c>
      <c r="AX354" s="117" t="n">
        <v>8</v>
      </c>
    </row>
    <row r="355" customFormat="false" ht="13.8" hidden="true" customHeight="false" outlineLevel="0" collapsed="false">
      <c r="A355" s="117" t="n">
        <v>1000</v>
      </c>
      <c r="B355" s="117" t="s">
        <v>1962</v>
      </c>
      <c r="C355" s="117" t="n">
        <v>100004317</v>
      </c>
      <c r="E355" s="117" t="s">
        <v>1921</v>
      </c>
      <c r="F355" s="117" t="n">
        <v>1109</v>
      </c>
      <c r="G355" s="117" t="n">
        <v>2019</v>
      </c>
      <c r="H355" s="117" t="n">
        <v>1</v>
      </c>
      <c r="I355" s="118" t="n">
        <v>43583</v>
      </c>
      <c r="J355" s="118" t="n">
        <v>43583</v>
      </c>
      <c r="K355" s="119" t="n">
        <v>1301599</v>
      </c>
      <c r="L355" s="128" t="n">
        <f aca="false">K355-Q355+T355</f>
        <v>1301599</v>
      </c>
      <c r="M355" s="117" t="s">
        <v>149</v>
      </c>
      <c r="N355" s="117" t="n">
        <v>1301599</v>
      </c>
      <c r="O355" s="117" t="s">
        <v>149</v>
      </c>
      <c r="P355" s="117" t="n">
        <v>0</v>
      </c>
      <c r="Q355" s="117" t="n">
        <v>0</v>
      </c>
      <c r="R355" s="117" t="n">
        <v>1301599</v>
      </c>
      <c r="S355" s="117" t="n">
        <v>0</v>
      </c>
      <c r="T355" s="117" t="n">
        <v>0</v>
      </c>
      <c r="U355" s="117" t="n">
        <v>305576</v>
      </c>
      <c r="V355" s="117" t="s">
        <v>1973</v>
      </c>
      <c r="X355" s="117" t="s">
        <v>1428</v>
      </c>
      <c r="Z355" s="117" t="n">
        <v>58180</v>
      </c>
      <c r="AB355" s="117" t="s">
        <v>2056</v>
      </c>
      <c r="AD355" s="117" t="n">
        <v>110000</v>
      </c>
      <c r="AE355" s="117" t="s">
        <v>1966</v>
      </c>
      <c r="AF355" s="117" t="n">
        <v>110000</v>
      </c>
      <c r="AG355" s="117" t="s">
        <v>1966</v>
      </c>
      <c r="AI355" s="117" t="n">
        <v>110000</v>
      </c>
      <c r="AJ355" s="117" t="s">
        <v>1966</v>
      </c>
      <c r="AK355" s="117" t="n">
        <v>0</v>
      </c>
      <c r="AL355" s="117" t="n">
        <v>4</v>
      </c>
      <c r="AM355" s="117" t="s">
        <v>161</v>
      </c>
      <c r="AP355" s="117" t="n">
        <v>100055938</v>
      </c>
      <c r="AQ355" s="118" t="n">
        <v>43671</v>
      </c>
      <c r="AR355" s="118" t="n">
        <v>43583</v>
      </c>
      <c r="AS355" s="117" t="n">
        <v>0.489409722222222</v>
      </c>
      <c r="AT355" s="117" t="n">
        <v>0</v>
      </c>
      <c r="AU355" s="117" t="n">
        <v>0</v>
      </c>
      <c r="AX355" s="117" t="n">
        <v>2</v>
      </c>
    </row>
    <row r="356" customFormat="false" ht="13.8" hidden="true" customHeight="false" outlineLevel="0" collapsed="false">
      <c r="A356" s="117" t="n">
        <v>1000</v>
      </c>
      <c r="B356" s="117" t="s">
        <v>1962</v>
      </c>
      <c r="C356" s="117" t="n">
        <v>100005246</v>
      </c>
      <c r="E356" s="117" t="s">
        <v>1921</v>
      </c>
      <c r="F356" s="117" t="n">
        <v>1101</v>
      </c>
      <c r="G356" s="117" t="n">
        <v>2019</v>
      </c>
      <c r="H356" s="117" t="n">
        <v>1</v>
      </c>
      <c r="I356" s="118" t="n">
        <v>43585</v>
      </c>
      <c r="J356" s="118" t="n">
        <v>43585</v>
      </c>
      <c r="K356" s="119" t="n">
        <v>-536187.32</v>
      </c>
      <c r="L356" s="128" t="n">
        <f aca="false">K356-Q356+T356</f>
        <v>-536187.32</v>
      </c>
      <c r="M356" s="117" t="s">
        <v>149</v>
      </c>
      <c r="N356" s="117" t="n">
        <v>-536187.32</v>
      </c>
      <c r="O356" s="117" t="s">
        <v>149</v>
      </c>
      <c r="P356" s="117" t="n">
        <v>0</v>
      </c>
      <c r="Q356" s="117" t="n">
        <v>0</v>
      </c>
      <c r="R356" s="117" t="n">
        <v>-536187.32</v>
      </c>
      <c r="S356" s="117" t="n">
        <v>0</v>
      </c>
      <c r="T356" s="117" t="n">
        <v>0</v>
      </c>
      <c r="U356" s="117" t="n">
        <v>318999</v>
      </c>
      <c r="V356" s="117" t="s">
        <v>143</v>
      </c>
      <c r="Z356" s="117" t="n">
        <v>100005246</v>
      </c>
      <c r="AD356" s="117" t="n">
        <v>110000</v>
      </c>
      <c r="AE356" s="117" t="s">
        <v>1966</v>
      </c>
      <c r="AF356" s="117" t="n">
        <v>110000</v>
      </c>
      <c r="AG356" s="117" t="s">
        <v>1966</v>
      </c>
      <c r="AI356" s="117" t="n">
        <v>110000</v>
      </c>
      <c r="AJ356" s="117" t="s">
        <v>1966</v>
      </c>
      <c r="AK356" s="117" t="n">
        <v>0</v>
      </c>
      <c r="AL356" s="117" t="n">
        <v>17</v>
      </c>
      <c r="AM356" s="117" t="s">
        <v>225</v>
      </c>
      <c r="AP356" s="117" t="n">
        <v>100005246</v>
      </c>
      <c r="AQ356" s="118" t="n">
        <v>43585</v>
      </c>
      <c r="AR356" s="118" t="n">
        <v>43586</v>
      </c>
      <c r="AS356" s="117" t="n">
        <v>0.596921296296296</v>
      </c>
      <c r="AT356" s="117" t="n">
        <v>0</v>
      </c>
      <c r="AU356" s="117" t="n">
        <v>0</v>
      </c>
      <c r="AX356" s="117" t="n">
        <v>2</v>
      </c>
    </row>
    <row r="357" customFormat="false" ht="13.8" hidden="true" customHeight="false" outlineLevel="0" collapsed="false">
      <c r="A357" s="117" t="n">
        <v>1000</v>
      </c>
      <c r="B357" s="117" t="s">
        <v>1962</v>
      </c>
      <c r="C357" s="117" t="n">
        <v>100020146</v>
      </c>
      <c r="E357" s="117" t="s">
        <v>1921</v>
      </c>
      <c r="F357" s="117" t="n">
        <v>1101</v>
      </c>
      <c r="G357" s="117" t="n">
        <v>2019</v>
      </c>
      <c r="H357" s="117" t="n">
        <v>2</v>
      </c>
      <c r="I357" s="118" t="n">
        <v>43611</v>
      </c>
      <c r="J357" s="118" t="n">
        <v>43611</v>
      </c>
      <c r="K357" s="119" t="n">
        <v>-1505679.7</v>
      </c>
      <c r="L357" s="128" t="n">
        <f aca="false">K357-Q357+T357</f>
        <v>-1505679.7</v>
      </c>
      <c r="M357" s="117" t="s">
        <v>149</v>
      </c>
      <c r="N357" s="117" t="n">
        <v>-1505679.7</v>
      </c>
      <c r="O357" s="117" t="s">
        <v>149</v>
      </c>
      <c r="P357" s="117" t="n">
        <v>0</v>
      </c>
      <c r="Q357" s="117" t="n">
        <v>0</v>
      </c>
      <c r="R357" s="117" t="n">
        <v>-1505679.7</v>
      </c>
      <c r="S357" s="117" t="n">
        <v>0</v>
      </c>
      <c r="T357" s="117" t="n">
        <v>0</v>
      </c>
      <c r="U357" s="117" t="n">
        <v>309728</v>
      </c>
      <c r="V357" s="117" t="s">
        <v>1968</v>
      </c>
      <c r="Z357" s="117" t="n">
        <v>100020146</v>
      </c>
      <c r="AD357" s="117" t="n">
        <v>110000</v>
      </c>
      <c r="AE357" s="117" t="s">
        <v>1966</v>
      </c>
      <c r="AF357" s="117" t="n">
        <v>310300</v>
      </c>
      <c r="AG357" s="117" t="s">
        <v>1969</v>
      </c>
      <c r="AI357" s="117" t="n">
        <v>310300</v>
      </c>
      <c r="AJ357" s="117" t="s">
        <v>1969</v>
      </c>
      <c r="AK357" s="117" t="n">
        <v>0</v>
      </c>
      <c r="AL357" s="117" t="n">
        <v>17</v>
      </c>
      <c r="AM357" s="117" t="s">
        <v>225</v>
      </c>
      <c r="AP357" s="117" t="n">
        <v>100020146</v>
      </c>
      <c r="AQ357" s="118" t="n">
        <v>43611</v>
      </c>
      <c r="AR357" s="118" t="n">
        <v>43611</v>
      </c>
      <c r="AS357" s="117" t="n">
        <v>0.755694444444445</v>
      </c>
      <c r="AT357" s="117" t="n">
        <v>0</v>
      </c>
      <c r="AU357" s="117" t="n">
        <v>0</v>
      </c>
      <c r="AX357" s="117" t="n">
        <v>2</v>
      </c>
    </row>
    <row r="358" customFormat="false" ht="13.8" hidden="true" customHeight="false" outlineLevel="0" collapsed="false">
      <c r="A358" s="117" t="n">
        <v>1000</v>
      </c>
      <c r="B358" s="117" t="s">
        <v>1962</v>
      </c>
      <c r="C358" s="117" t="n">
        <v>1600000014</v>
      </c>
      <c r="D358" s="117" t="s">
        <v>2205</v>
      </c>
      <c r="E358" s="117" t="s">
        <v>1987</v>
      </c>
      <c r="F358" s="117" t="n">
        <v>1106</v>
      </c>
      <c r="G358" s="117" t="n">
        <v>2019</v>
      </c>
      <c r="H358" s="117" t="n">
        <v>1</v>
      </c>
      <c r="I358" s="118" t="n">
        <v>43578</v>
      </c>
      <c r="J358" s="118" t="n">
        <v>43578</v>
      </c>
      <c r="K358" s="119" t="n">
        <v>-1164518</v>
      </c>
      <c r="L358" s="128" t="n">
        <f aca="false">K358-Q358+T358</f>
        <v>-1164518</v>
      </c>
      <c r="M358" s="117" t="s">
        <v>149</v>
      </c>
      <c r="N358" s="117" t="n">
        <v>-1164518</v>
      </c>
      <c r="O358" s="117" t="s">
        <v>149</v>
      </c>
      <c r="P358" s="117" t="n">
        <v>-1164518</v>
      </c>
      <c r="Q358" s="117" t="n">
        <v>0</v>
      </c>
      <c r="R358" s="117" t="n">
        <v>-1164518</v>
      </c>
      <c r="S358" s="117" t="n">
        <v>0</v>
      </c>
      <c r="T358" s="117" t="n">
        <v>0</v>
      </c>
      <c r="U358" s="117" t="n">
        <v>318064</v>
      </c>
      <c r="V358" s="117" t="s">
        <v>2206</v>
      </c>
      <c r="X358" s="117" t="s">
        <v>2207</v>
      </c>
      <c r="Y358" s="117" t="s">
        <v>2208</v>
      </c>
      <c r="Z358" s="117" t="n">
        <v>1600000014</v>
      </c>
      <c r="AD358" s="117" t="n">
        <v>310300</v>
      </c>
      <c r="AE358" s="117" t="s">
        <v>1969</v>
      </c>
      <c r="AF358" s="117" t="n">
        <v>101105</v>
      </c>
      <c r="AG358" s="117" t="s">
        <v>1977</v>
      </c>
      <c r="AI358" s="117" t="n">
        <v>101105</v>
      </c>
      <c r="AJ358" s="117" t="s">
        <v>1977</v>
      </c>
      <c r="AK358" s="117" t="n">
        <v>0</v>
      </c>
      <c r="AL358" s="117" t="n">
        <v>19</v>
      </c>
      <c r="AM358" s="117" t="s">
        <v>225</v>
      </c>
      <c r="AN358" s="117" t="s">
        <v>1978</v>
      </c>
      <c r="AP358" s="117" t="n">
        <v>100004388</v>
      </c>
      <c r="AQ358" s="118" t="n">
        <v>43583</v>
      </c>
      <c r="AR358" s="118" t="n">
        <v>43581</v>
      </c>
      <c r="AS358" s="117" t="n">
        <v>0.464884259259259</v>
      </c>
      <c r="AT358" s="117" t="n">
        <v>0</v>
      </c>
      <c r="AU358" s="117" t="n">
        <v>0</v>
      </c>
      <c r="AX358" s="117" t="n">
        <v>3</v>
      </c>
    </row>
    <row r="359" customFormat="false" ht="13.8" hidden="true" customHeight="false" outlineLevel="0" collapsed="false">
      <c r="A359" s="117" t="n">
        <v>1000</v>
      </c>
      <c r="B359" s="117" t="s">
        <v>1962</v>
      </c>
      <c r="C359" s="117" t="n">
        <v>100022447</v>
      </c>
      <c r="E359" s="117" t="s">
        <v>1921</v>
      </c>
      <c r="F359" s="117" t="n">
        <v>1109</v>
      </c>
      <c r="G359" s="117" t="n">
        <v>2019</v>
      </c>
      <c r="H359" s="117" t="n">
        <v>2</v>
      </c>
      <c r="I359" s="118" t="n">
        <v>43616</v>
      </c>
      <c r="J359" s="118" t="n">
        <v>43616</v>
      </c>
      <c r="K359" s="119" t="n">
        <v>5245</v>
      </c>
      <c r="L359" s="128" t="n">
        <f aca="false">K359-Q359+T359</f>
        <v>5245</v>
      </c>
      <c r="M359" s="117" t="s">
        <v>149</v>
      </c>
      <c r="N359" s="117" t="n">
        <v>5245</v>
      </c>
      <c r="O359" s="117" t="s">
        <v>149</v>
      </c>
      <c r="P359" s="117" t="n">
        <v>0</v>
      </c>
      <c r="Q359" s="117" t="n">
        <v>0</v>
      </c>
      <c r="R359" s="117" t="n">
        <v>5245</v>
      </c>
      <c r="S359" s="117" t="n">
        <v>0</v>
      </c>
      <c r="T359" s="117" t="n">
        <v>0</v>
      </c>
      <c r="U359" s="117" t="n">
        <v>312193</v>
      </c>
      <c r="V359" s="117" t="s">
        <v>1963</v>
      </c>
      <c r="X359" s="117" t="s">
        <v>2209</v>
      </c>
      <c r="Z359" s="117" t="n">
        <v>2316</v>
      </c>
      <c r="AB359" s="117" t="s">
        <v>1965</v>
      </c>
      <c r="AD359" s="117" t="n">
        <v>110000</v>
      </c>
      <c r="AE359" s="117" t="s">
        <v>1966</v>
      </c>
      <c r="AF359" s="117" t="n">
        <v>110000</v>
      </c>
      <c r="AG359" s="117" t="s">
        <v>1966</v>
      </c>
      <c r="AI359" s="117" t="n">
        <v>110000</v>
      </c>
      <c r="AJ359" s="117" t="s">
        <v>1966</v>
      </c>
      <c r="AK359" s="117" t="n">
        <v>0</v>
      </c>
      <c r="AL359" s="117" t="n">
        <v>4</v>
      </c>
      <c r="AM359" s="117" t="s">
        <v>161</v>
      </c>
      <c r="AR359" s="118" t="n">
        <v>43617</v>
      </c>
      <c r="AS359" s="117" t="n">
        <v>0.592361111111111</v>
      </c>
      <c r="AT359" s="117" t="n">
        <v>0</v>
      </c>
      <c r="AU359" s="117" t="n">
        <v>0</v>
      </c>
      <c r="AX359" s="117" t="n">
        <v>3</v>
      </c>
    </row>
    <row r="360" customFormat="false" ht="13.8" hidden="true" customHeight="false" outlineLevel="0" collapsed="false">
      <c r="A360" s="117" t="n">
        <v>1000</v>
      </c>
      <c r="B360" s="117" t="s">
        <v>1962</v>
      </c>
      <c r="C360" s="117" t="n">
        <v>1400003431</v>
      </c>
      <c r="E360" s="117" t="s">
        <v>1972</v>
      </c>
      <c r="F360" s="117" t="n">
        <v>1101</v>
      </c>
      <c r="G360" s="117" t="n">
        <v>2019</v>
      </c>
      <c r="H360" s="117" t="n">
        <v>3</v>
      </c>
      <c r="I360" s="118" t="n">
        <v>43644</v>
      </c>
      <c r="J360" s="118" t="n">
        <v>43644</v>
      </c>
      <c r="K360" s="119" t="n">
        <v>-1253642</v>
      </c>
      <c r="L360" s="128" t="n">
        <f aca="false">K360-Q360+T360</f>
        <v>-1253642</v>
      </c>
      <c r="M360" s="117" t="s">
        <v>149</v>
      </c>
      <c r="N360" s="117" t="n">
        <v>-1253642</v>
      </c>
      <c r="O360" s="117" t="s">
        <v>149</v>
      </c>
      <c r="P360" s="117" t="n">
        <v>0</v>
      </c>
      <c r="Q360" s="117" t="n">
        <v>0</v>
      </c>
      <c r="R360" s="117" t="n">
        <v>-1253642</v>
      </c>
      <c r="S360" s="117" t="n">
        <v>0</v>
      </c>
      <c r="T360" s="117" t="n">
        <v>0</v>
      </c>
      <c r="U360" s="117" t="n">
        <v>306263</v>
      </c>
      <c r="V360" s="117" t="s">
        <v>2006</v>
      </c>
      <c r="X360" s="117" t="s">
        <v>2210</v>
      </c>
      <c r="Y360" s="117" t="s">
        <v>2211</v>
      </c>
      <c r="Z360" s="117" t="n">
        <v>1400003431</v>
      </c>
      <c r="AC360" s="117" t="s">
        <v>1976</v>
      </c>
      <c r="AD360" s="117" t="n">
        <v>310300</v>
      </c>
      <c r="AE360" s="117" t="s">
        <v>1969</v>
      </c>
      <c r="AF360" s="117" t="n">
        <v>101105</v>
      </c>
      <c r="AG360" s="117" t="s">
        <v>1977</v>
      </c>
      <c r="AI360" s="117" t="n">
        <v>101105</v>
      </c>
      <c r="AJ360" s="117" t="s">
        <v>1977</v>
      </c>
      <c r="AK360" s="117" t="n">
        <v>0</v>
      </c>
      <c r="AL360" s="117" t="n">
        <v>19</v>
      </c>
      <c r="AM360" s="117" t="s">
        <v>225</v>
      </c>
      <c r="AN360" s="117" t="s">
        <v>1978</v>
      </c>
      <c r="AP360" s="117" t="n">
        <v>100050529</v>
      </c>
      <c r="AQ360" s="118" t="n">
        <v>43646</v>
      </c>
      <c r="AR360" s="118" t="n">
        <v>43647</v>
      </c>
      <c r="AS360" s="117" t="n">
        <v>0.629861111111111</v>
      </c>
      <c r="AT360" s="117" t="n">
        <v>0</v>
      </c>
      <c r="AU360" s="117" t="n">
        <v>0</v>
      </c>
      <c r="AX360" s="117" t="n">
        <v>2</v>
      </c>
    </row>
    <row r="361" customFormat="false" ht="13.8" hidden="true" customHeight="false" outlineLevel="0" collapsed="false">
      <c r="A361" s="117" t="n">
        <v>1000</v>
      </c>
      <c r="B361" s="117" t="s">
        <v>1962</v>
      </c>
      <c r="C361" s="117" t="n">
        <v>100020146</v>
      </c>
      <c r="E361" s="117" t="s">
        <v>1921</v>
      </c>
      <c r="F361" s="117" t="n">
        <v>1106</v>
      </c>
      <c r="G361" s="117" t="n">
        <v>2019</v>
      </c>
      <c r="H361" s="117" t="n">
        <v>2</v>
      </c>
      <c r="I361" s="118" t="n">
        <v>43611</v>
      </c>
      <c r="J361" s="118" t="n">
        <v>43611</v>
      </c>
      <c r="K361" s="119" t="n">
        <v>-0.3</v>
      </c>
      <c r="L361" s="128" t="n">
        <f aca="false">K361-Q361+T361</f>
        <v>-0.3</v>
      </c>
      <c r="M361" s="117" t="s">
        <v>149</v>
      </c>
      <c r="N361" s="117" t="n">
        <v>-0.3</v>
      </c>
      <c r="O361" s="117" t="s">
        <v>149</v>
      </c>
      <c r="P361" s="117" t="n">
        <v>0</v>
      </c>
      <c r="Q361" s="117" t="n">
        <v>0</v>
      </c>
      <c r="R361" s="117" t="n">
        <v>-0.3</v>
      </c>
      <c r="S361" s="117" t="n">
        <v>0</v>
      </c>
      <c r="T361" s="117" t="n">
        <v>0</v>
      </c>
      <c r="U361" s="117" t="n">
        <v>309728</v>
      </c>
      <c r="V361" s="117" t="s">
        <v>1968</v>
      </c>
      <c r="Z361" s="117" t="n">
        <v>100020146</v>
      </c>
      <c r="AD361" s="117" t="n">
        <v>310300</v>
      </c>
      <c r="AE361" s="117" t="s">
        <v>1969</v>
      </c>
      <c r="AF361" s="117" t="n">
        <v>310300</v>
      </c>
      <c r="AG361" s="117" t="s">
        <v>1969</v>
      </c>
      <c r="AI361" s="117" t="n">
        <v>310300</v>
      </c>
      <c r="AJ361" s="117" t="s">
        <v>1969</v>
      </c>
      <c r="AK361" s="117" t="n">
        <v>0</v>
      </c>
      <c r="AL361" s="117" t="n">
        <v>19</v>
      </c>
      <c r="AM361" s="117" t="s">
        <v>225</v>
      </c>
      <c r="AN361" s="117" t="s">
        <v>1978</v>
      </c>
      <c r="AP361" s="117" t="n">
        <v>100033436</v>
      </c>
      <c r="AQ361" s="118" t="n">
        <v>43616</v>
      </c>
      <c r="AR361" s="118" t="n">
        <v>43611</v>
      </c>
      <c r="AS361" s="117" t="n">
        <v>0.755694444444445</v>
      </c>
      <c r="AT361" s="117" t="n">
        <v>0</v>
      </c>
      <c r="AU361" s="117" t="n">
        <v>0</v>
      </c>
      <c r="AX361" s="117" t="n">
        <v>1</v>
      </c>
    </row>
    <row r="362" customFormat="false" ht="13.8" hidden="true" customHeight="false" outlineLevel="0" collapsed="false">
      <c r="A362" s="117" t="n">
        <v>1000</v>
      </c>
      <c r="B362" s="117" t="s">
        <v>1962</v>
      </c>
      <c r="C362" s="117" t="n">
        <v>1400002727</v>
      </c>
      <c r="E362" s="117" t="s">
        <v>1972</v>
      </c>
      <c r="F362" s="117" t="n">
        <v>1101</v>
      </c>
      <c r="G362" s="117" t="n">
        <v>2019</v>
      </c>
      <c r="H362" s="117" t="n">
        <v>3</v>
      </c>
      <c r="I362" s="118" t="n">
        <v>43628</v>
      </c>
      <c r="J362" s="118" t="n">
        <v>43628</v>
      </c>
      <c r="K362" s="119" t="n">
        <v>-174698.85</v>
      </c>
      <c r="L362" s="128" t="n">
        <f aca="false">K362-Q362+T362</f>
        <v>-174698.85</v>
      </c>
      <c r="M362" s="117" t="s">
        <v>149</v>
      </c>
      <c r="N362" s="117" t="n">
        <v>-174698.85</v>
      </c>
      <c r="O362" s="117" t="s">
        <v>149</v>
      </c>
      <c r="P362" s="117" t="n">
        <v>0</v>
      </c>
      <c r="Q362" s="117" t="n">
        <v>0</v>
      </c>
      <c r="R362" s="117" t="n">
        <v>-174698.85</v>
      </c>
      <c r="S362" s="117" t="n">
        <v>0</v>
      </c>
      <c r="T362" s="117" t="n">
        <v>0</v>
      </c>
      <c r="U362" s="117" t="n">
        <v>318420</v>
      </c>
      <c r="V362" s="117" t="s">
        <v>2153</v>
      </c>
      <c r="X362" s="117" t="s">
        <v>2212</v>
      </c>
      <c r="Y362" s="117" t="s">
        <v>2213</v>
      </c>
      <c r="Z362" s="117" t="n">
        <v>1400002727</v>
      </c>
      <c r="AC362" s="117" t="s">
        <v>1976</v>
      </c>
      <c r="AD362" s="117" t="n">
        <v>310300</v>
      </c>
      <c r="AE362" s="117" t="s">
        <v>1969</v>
      </c>
      <c r="AF362" s="117" t="n">
        <v>101105</v>
      </c>
      <c r="AG362" s="117" t="s">
        <v>1977</v>
      </c>
      <c r="AI362" s="117" t="n">
        <v>101105</v>
      </c>
      <c r="AJ362" s="117" t="s">
        <v>1977</v>
      </c>
      <c r="AK362" s="117" t="n">
        <v>0</v>
      </c>
      <c r="AL362" s="117" t="n">
        <v>19</v>
      </c>
      <c r="AM362" s="117" t="s">
        <v>225</v>
      </c>
      <c r="AN362" s="117" t="s">
        <v>1978</v>
      </c>
      <c r="AP362" s="117" t="n">
        <v>100048609</v>
      </c>
      <c r="AQ362" s="118" t="n">
        <v>43646</v>
      </c>
      <c r="AR362" s="118" t="n">
        <v>43629</v>
      </c>
      <c r="AS362" s="117" t="n">
        <v>0.678958333333333</v>
      </c>
      <c r="AT362" s="117" t="n">
        <v>0</v>
      </c>
      <c r="AU362" s="117" t="n">
        <v>0</v>
      </c>
      <c r="AX362" s="117" t="n">
        <v>2</v>
      </c>
    </row>
    <row r="363" customFormat="false" ht="13.8" hidden="true" customHeight="false" outlineLevel="0" collapsed="false">
      <c r="A363" s="117" t="n">
        <v>1000</v>
      </c>
      <c r="B363" s="117" t="s">
        <v>1962</v>
      </c>
      <c r="C363" s="117" t="n">
        <v>100049039</v>
      </c>
      <c r="E363" s="117" t="s">
        <v>1921</v>
      </c>
      <c r="F363" s="117" t="n">
        <v>1101</v>
      </c>
      <c r="G363" s="117" t="n">
        <v>2019</v>
      </c>
      <c r="H363" s="117" t="n">
        <v>3</v>
      </c>
      <c r="I363" s="118" t="n">
        <v>43646</v>
      </c>
      <c r="J363" s="118" t="n">
        <v>43646</v>
      </c>
      <c r="K363" s="119" t="n">
        <v>-1099785.94</v>
      </c>
      <c r="L363" s="128" t="n">
        <f aca="false">K363-Q363+T363</f>
        <v>-1099785.94</v>
      </c>
      <c r="M363" s="117" t="s">
        <v>149</v>
      </c>
      <c r="N363" s="117" t="n">
        <v>-1099785.94</v>
      </c>
      <c r="O363" s="117" t="s">
        <v>149</v>
      </c>
      <c r="P363" s="117" t="n">
        <v>0</v>
      </c>
      <c r="Q363" s="117" t="n">
        <v>0</v>
      </c>
      <c r="R363" s="117" t="n">
        <v>-1099785.94</v>
      </c>
      <c r="S363" s="117" t="n">
        <v>0</v>
      </c>
      <c r="T363" s="117" t="n">
        <v>0</v>
      </c>
      <c r="U363" s="117" t="n">
        <v>318999</v>
      </c>
      <c r="V363" s="117" t="s">
        <v>143</v>
      </c>
      <c r="Z363" s="117" t="n">
        <v>100049039</v>
      </c>
      <c r="AD363" s="117" t="n">
        <v>110000</v>
      </c>
      <c r="AE363" s="117" t="s">
        <v>1966</v>
      </c>
      <c r="AF363" s="117" t="n">
        <v>110000</v>
      </c>
      <c r="AG363" s="117" t="s">
        <v>1966</v>
      </c>
      <c r="AI363" s="117" t="n">
        <v>110000</v>
      </c>
      <c r="AJ363" s="117" t="s">
        <v>1966</v>
      </c>
      <c r="AK363" s="117" t="n">
        <v>0</v>
      </c>
      <c r="AL363" s="117" t="n">
        <v>17</v>
      </c>
      <c r="AM363" s="117" t="s">
        <v>225</v>
      </c>
      <c r="AP363" s="117" t="n">
        <v>100049039</v>
      </c>
      <c r="AQ363" s="118" t="n">
        <v>43646</v>
      </c>
      <c r="AR363" s="118" t="n">
        <v>43647</v>
      </c>
      <c r="AS363" s="117" t="n">
        <v>0.517731481481482</v>
      </c>
      <c r="AT363" s="117" t="n">
        <v>0</v>
      </c>
      <c r="AU363" s="117" t="n">
        <v>0</v>
      </c>
      <c r="AX363" s="117" t="n">
        <v>2</v>
      </c>
    </row>
    <row r="364" customFormat="false" ht="13.8" hidden="true" customHeight="false" outlineLevel="0" collapsed="false">
      <c r="A364" s="117" t="n">
        <v>1000</v>
      </c>
      <c r="B364" s="117" t="s">
        <v>1962</v>
      </c>
      <c r="C364" s="117" t="n">
        <v>100022980</v>
      </c>
      <c r="E364" s="117" t="s">
        <v>1921</v>
      </c>
      <c r="F364" s="117" t="n">
        <v>1101</v>
      </c>
      <c r="G364" s="117" t="n">
        <v>2019</v>
      </c>
      <c r="H364" s="117" t="n">
        <v>2</v>
      </c>
      <c r="I364" s="118" t="n">
        <v>43616</v>
      </c>
      <c r="J364" s="118" t="n">
        <v>43616</v>
      </c>
      <c r="K364" s="119" t="n">
        <v>806208.66</v>
      </c>
      <c r="L364" s="128" t="n">
        <f aca="false">K364-Q364+T364</f>
        <v>806208.66</v>
      </c>
      <c r="M364" s="117" t="s">
        <v>149</v>
      </c>
      <c r="N364" s="117" t="n">
        <v>806208.66</v>
      </c>
      <c r="O364" s="117" t="s">
        <v>149</v>
      </c>
      <c r="P364" s="117" t="n">
        <v>0</v>
      </c>
      <c r="Q364" s="117" t="n">
        <v>0</v>
      </c>
      <c r="R364" s="117" t="n">
        <v>806208.66</v>
      </c>
      <c r="S364" s="117" t="n">
        <v>0</v>
      </c>
      <c r="T364" s="117" t="n">
        <v>0</v>
      </c>
      <c r="U364" s="117" t="n">
        <v>318999</v>
      </c>
      <c r="V364" s="117" t="s">
        <v>143</v>
      </c>
      <c r="X364" s="117" t="s">
        <v>1285</v>
      </c>
      <c r="Z364" s="117" t="n">
        <v>100022980</v>
      </c>
      <c r="AD364" s="117" t="n">
        <v>110000</v>
      </c>
      <c r="AE364" s="117" t="s">
        <v>1966</v>
      </c>
      <c r="AF364" s="117" t="n">
        <v>110000</v>
      </c>
      <c r="AG364" s="117" t="s">
        <v>1966</v>
      </c>
      <c r="AI364" s="117" t="n">
        <v>110000</v>
      </c>
      <c r="AJ364" s="117" t="s">
        <v>1966</v>
      </c>
      <c r="AK364" s="117" t="n">
        <v>0</v>
      </c>
      <c r="AL364" s="117" t="n">
        <v>4</v>
      </c>
      <c r="AM364" s="117" t="s">
        <v>161</v>
      </c>
      <c r="AP364" s="117" t="n">
        <v>100039982</v>
      </c>
      <c r="AQ364" s="118" t="n">
        <v>43645</v>
      </c>
      <c r="AR364" s="118" t="n">
        <v>43618</v>
      </c>
      <c r="AS364" s="117" t="n">
        <v>0.614305555555556</v>
      </c>
      <c r="AT364" s="117" t="n">
        <v>0</v>
      </c>
      <c r="AU364" s="117" t="n">
        <v>0</v>
      </c>
      <c r="AX364" s="117" t="n">
        <v>6</v>
      </c>
    </row>
    <row r="365" customFormat="false" ht="13.8" hidden="true" customHeight="false" outlineLevel="0" collapsed="false">
      <c r="A365" s="117" t="n">
        <v>1000</v>
      </c>
      <c r="B365" s="117" t="s">
        <v>1962</v>
      </c>
      <c r="C365" s="117" t="n">
        <v>1400000151</v>
      </c>
      <c r="E365" s="117" t="s">
        <v>1972</v>
      </c>
      <c r="F365" s="117" t="n">
        <v>1101</v>
      </c>
      <c r="G365" s="117" t="n">
        <v>2019</v>
      </c>
      <c r="H365" s="117" t="n">
        <v>1</v>
      </c>
      <c r="I365" s="118" t="n">
        <v>43560</v>
      </c>
      <c r="J365" s="118" t="n">
        <v>43560</v>
      </c>
      <c r="K365" s="119" t="n">
        <v>-1117660</v>
      </c>
      <c r="L365" s="128" t="n">
        <f aca="false">K365-Q365+T365</f>
        <v>-1117660</v>
      </c>
      <c r="M365" s="117" t="s">
        <v>149</v>
      </c>
      <c r="N365" s="117" t="n">
        <v>-1117660</v>
      </c>
      <c r="O365" s="117" t="s">
        <v>149</v>
      </c>
      <c r="P365" s="117" t="n">
        <v>0</v>
      </c>
      <c r="Q365" s="117" t="n">
        <v>0</v>
      </c>
      <c r="R365" s="117" t="n">
        <v>-1117660</v>
      </c>
      <c r="S365" s="117" t="n">
        <v>0</v>
      </c>
      <c r="T365" s="117" t="n">
        <v>0</v>
      </c>
      <c r="U365" s="117" t="n">
        <v>312193</v>
      </c>
      <c r="V365" s="117" t="s">
        <v>1963</v>
      </c>
      <c r="X365" s="117" t="s">
        <v>2214</v>
      </c>
      <c r="Y365" s="117" t="s">
        <v>2215</v>
      </c>
      <c r="Z365" s="117" t="n">
        <v>1400000151</v>
      </c>
      <c r="AC365" s="117" t="s">
        <v>1976</v>
      </c>
      <c r="AD365" s="117" t="n">
        <v>310300</v>
      </c>
      <c r="AE365" s="117" t="s">
        <v>1969</v>
      </c>
      <c r="AF365" s="117" t="n">
        <v>101105</v>
      </c>
      <c r="AG365" s="117" t="s">
        <v>1977</v>
      </c>
      <c r="AI365" s="117" t="n">
        <v>101105</v>
      </c>
      <c r="AJ365" s="117" t="s">
        <v>1977</v>
      </c>
      <c r="AK365" s="117" t="n">
        <v>0</v>
      </c>
      <c r="AL365" s="117" t="n">
        <v>19</v>
      </c>
      <c r="AM365" s="117" t="s">
        <v>225</v>
      </c>
      <c r="AN365" s="117" t="s">
        <v>1978</v>
      </c>
      <c r="AP365" s="117" t="n">
        <v>100005105</v>
      </c>
      <c r="AQ365" s="118" t="n">
        <v>43585</v>
      </c>
      <c r="AR365" s="118" t="n">
        <v>43563</v>
      </c>
      <c r="AS365" s="117" t="n">
        <v>0.52625</v>
      </c>
      <c r="AT365" s="117" t="n">
        <v>0</v>
      </c>
      <c r="AU365" s="117" t="n">
        <v>0</v>
      </c>
      <c r="AX365" s="117" t="n">
        <v>2</v>
      </c>
    </row>
    <row r="366" customFormat="false" ht="13.8" hidden="true" customHeight="false" outlineLevel="0" collapsed="false">
      <c r="A366" s="117" t="n">
        <v>1000</v>
      </c>
      <c r="B366" s="117" t="s">
        <v>1962</v>
      </c>
      <c r="C366" s="117" t="n">
        <v>100039983</v>
      </c>
      <c r="E366" s="117" t="s">
        <v>1921</v>
      </c>
      <c r="F366" s="117" t="n">
        <v>1101</v>
      </c>
      <c r="G366" s="117" t="n">
        <v>2019</v>
      </c>
      <c r="H366" s="117" t="n">
        <v>3</v>
      </c>
      <c r="I366" s="118" t="n">
        <v>43645</v>
      </c>
      <c r="J366" s="118" t="n">
        <v>43645</v>
      </c>
      <c r="K366" s="119" t="n">
        <v>66575.97</v>
      </c>
      <c r="L366" s="128" t="n">
        <f aca="false">K366-Q366+T366</f>
        <v>66575.97</v>
      </c>
      <c r="M366" s="117" t="s">
        <v>149</v>
      </c>
      <c r="N366" s="117" t="n">
        <v>66575.97</v>
      </c>
      <c r="O366" s="117" t="s">
        <v>149</v>
      </c>
      <c r="P366" s="117" t="n">
        <v>0</v>
      </c>
      <c r="Q366" s="117" t="n">
        <v>0</v>
      </c>
      <c r="R366" s="117" t="n">
        <v>66575.97</v>
      </c>
      <c r="S366" s="117" t="n">
        <v>0</v>
      </c>
      <c r="T366" s="117" t="n">
        <v>0</v>
      </c>
      <c r="U366" s="117" t="n">
        <v>318999</v>
      </c>
      <c r="V366" s="117" t="s">
        <v>143</v>
      </c>
      <c r="X366" s="117" t="s">
        <v>2196</v>
      </c>
      <c r="Z366" s="117" t="n">
        <v>100039983</v>
      </c>
      <c r="AD366" s="117" t="n">
        <v>110000</v>
      </c>
      <c r="AE366" s="117" t="s">
        <v>1966</v>
      </c>
      <c r="AF366" s="117" t="n">
        <v>110000</v>
      </c>
      <c r="AG366" s="117" t="s">
        <v>1966</v>
      </c>
      <c r="AI366" s="117" t="n">
        <v>110000</v>
      </c>
      <c r="AJ366" s="117" t="s">
        <v>1966</v>
      </c>
      <c r="AK366" s="117" t="n">
        <v>0</v>
      </c>
      <c r="AL366" s="117" t="n">
        <v>4</v>
      </c>
      <c r="AM366" s="117" t="s">
        <v>161</v>
      </c>
      <c r="AP366" s="117" t="n">
        <v>100082045</v>
      </c>
      <c r="AQ366" s="118" t="n">
        <v>43708</v>
      </c>
      <c r="AR366" s="118" t="n">
        <v>43646</v>
      </c>
      <c r="AS366" s="117" t="n">
        <v>0.430601851851852</v>
      </c>
      <c r="AT366" s="117" t="n">
        <v>0</v>
      </c>
      <c r="AU366" s="117" t="n">
        <v>0</v>
      </c>
      <c r="AX366" s="117" t="n">
        <v>13</v>
      </c>
    </row>
    <row r="367" customFormat="false" ht="13.8" hidden="true" customHeight="false" outlineLevel="0" collapsed="false">
      <c r="A367" s="117" t="n">
        <v>1000</v>
      </c>
      <c r="B367" s="117" t="s">
        <v>1962</v>
      </c>
      <c r="C367" s="117" t="n">
        <v>100039103</v>
      </c>
      <c r="E367" s="117" t="s">
        <v>1921</v>
      </c>
      <c r="F367" s="117" t="n">
        <v>1109</v>
      </c>
      <c r="G367" s="117" t="n">
        <v>2019</v>
      </c>
      <c r="H367" s="117" t="n">
        <v>3</v>
      </c>
      <c r="I367" s="118" t="n">
        <v>43644</v>
      </c>
      <c r="J367" s="118" t="n">
        <v>43644</v>
      </c>
      <c r="K367" s="119" t="n">
        <v>408079.4</v>
      </c>
      <c r="L367" s="128" t="n">
        <f aca="false">K367-Q367+T367</f>
        <v>408079.4</v>
      </c>
      <c r="M367" s="117" t="s">
        <v>149</v>
      </c>
      <c r="N367" s="117" t="n">
        <v>408079.4</v>
      </c>
      <c r="O367" s="117" t="s">
        <v>149</v>
      </c>
      <c r="P367" s="117" t="n">
        <v>0</v>
      </c>
      <c r="Q367" s="117" t="n">
        <v>0</v>
      </c>
      <c r="R367" s="117" t="n">
        <v>408079.4</v>
      </c>
      <c r="S367" s="117" t="n">
        <v>0</v>
      </c>
      <c r="T367" s="117" t="n">
        <v>0</v>
      </c>
      <c r="U367" s="117" t="n">
        <v>312193</v>
      </c>
      <c r="V367" s="117" t="s">
        <v>1963</v>
      </c>
      <c r="X367" s="117" t="s">
        <v>2216</v>
      </c>
      <c r="Z367" s="117" t="n">
        <v>2316</v>
      </c>
      <c r="AB367" s="117" t="s">
        <v>1965</v>
      </c>
      <c r="AD367" s="117" t="n">
        <v>110000</v>
      </c>
      <c r="AE367" s="117" t="s">
        <v>1966</v>
      </c>
      <c r="AF367" s="117" t="n">
        <v>110000</v>
      </c>
      <c r="AG367" s="117" t="s">
        <v>1966</v>
      </c>
      <c r="AI367" s="117" t="n">
        <v>110000</v>
      </c>
      <c r="AJ367" s="117" t="s">
        <v>1966</v>
      </c>
      <c r="AK367" s="117" t="n">
        <v>0</v>
      </c>
      <c r="AL367" s="117" t="n">
        <v>4</v>
      </c>
      <c r="AM367" s="117" t="s">
        <v>161</v>
      </c>
      <c r="AP367" s="117" t="n">
        <v>100057890</v>
      </c>
      <c r="AQ367" s="118" t="n">
        <v>43677</v>
      </c>
      <c r="AR367" s="118" t="n">
        <v>43644</v>
      </c>
      <c r="AS367" s="117" t="n">
        <v>0.199340277777778</v>
      </c>
      <c r="AT367" s="117" t="n">
        <v>0</v>
      </c>
      <c r="AU367" s="117" t="n">
        <v>0</v>
      </c>
      <c r="AX367" s="117" t="n">
        <v>1</v>
      </c>
    </row>
    <row r="368" customFormat="false" ht="13.8" hidden="true" customHeight="false" outlineLevel="0" collapsed="false">
      <c r="A368" s="117" t="n">
        <v>1000</v>
      </c>
      <c r="B368" s="117" t="s">
        <v>1962</v>
      </c>
      <c r="C368" s="117" t="n">
        <v>100005107</v>
      </c>
      <c r="E368" s="117" t="s">
        <v>1921</v>
      </c>
      <c r="F368" s="117" t="n">
        <v>1109</v>
      </c>
      <c r="G368" s="117" t="n">
        <v>2019</v>
      </c>
      <c r="H368" s="117" t="n">
        <v>1</v>
      </c>
      <c r="I368" s="118" t="n">
        <v>43585</v>
      </c>
      <c r="J368" s="118" t="n">
        <v>43585</v>
      </c>
      <c r="K368" s="119" t="n">
        <v>292794.58</v>
      </c>
      <c r="L368" s="128" t="n">
        <f aca="false">K368-Q368+T368</f>
        <v>292794.58</v>
      </c>
      <c r="M368" s="117" t="s">
        <v>149</v>
      </c>
      <c r="N368" s="117" t="n">
        <v>292794.58</v>
      </c>
      <c r="O368" s="117" t="s">
        <v>149</v>
      </c>
      <c r="P368" s="117" t="n">
        <v>0</v>
      </c>
      <c r="Q368" s="117" t="n">
        <v>0</v>
      </c>
      <c r="R368" s="117" t="n">
        <v>292794.58</v>
      </c>
      <c r="S368" s="117" t="n">
        <v>0</v>
      </c>
      <c r="T368" s="117" t="n">
        <v>0</v>
      </c>
      <c r="U368" s="117" t="n">
        <v>312193</v>
      </c>
      <c r="V368" s="117" t="s">
        <v>1963</v>
      </c>
      <c r="X368" s="117" t="s">
        <v>2217</v>
      </c>
      <c r="Z368" s="117" t="n">
        <v>2316</v>
      </c>
      <c r="AB368" s="117" t="s">
        <v>1965</v>
      </c>
      <c r="AD368" s="117" t="n">
        <v>110000</v>
      </c>
      <c r="AE368" s="117" t="s">
        <v>1966</v>
      </c>
      <c r="AF368" s="117" t="n">
        <v>110000</v>
      </c>
      <c r="AG368" s="117" t="s">
        <v>1966</v>
      </c>
      <c r="AI368" s="117" t="n">
        <v>110000</v>
      </c>
      <c r="AJ368" s="117" t="s">
        <v>1966</v>
      </c>
      <c r="AK368" s="117" t="n">
        <v>0</v>
      </c>
      <c r="AL368" s="117" t="n">
        <v>4</v>
      </c>
      <c r="AM368" s="117" t="s">
        <v>161</v>
      </c>
      <c r="AP368" s="117" t="n">
        <v>100022446</v>
      </c>
      <c r="AQ368" s="118" t="n">
        <v>43616</v>
      </c>
      <c r="AR368" s="118" t="n">
        <v>43586</v>
      </c>
      <c r="AS368" s="117" t="n">
        <v>0.427592592592593</v>
      </c>
      <c r="AT368" s="117" t="n">
        <v>0</v>
      </c>
      <c r="AU368" s="117" t="n">
        <v>0</v>
      </c>
      <c r="AX368" s="117" t="n">
        <v>9</v>
      </c>
    </row>
    <row r="369" customFormat="false" ht="13.8" hidden="true" customHeight="false" outlineLevel="0" collapsed="false">
      <c r="A369" s="117" t="n">
        <v>1000</v>
      </c>
      <c r="B369" s="117" t="s">
        <v>1962</v>
      </c>
      <c r="C369" s="117" t="n">
        <v>100039106</v>
      </c>
      <c r="E369" s="117" t="s">
        <v>1921</v>
      </c>
      <c r="F369" s="117" t="n">
        <v>1108</v>
      </c>
      <c r="G369" s="117" t="n">
        <v>2019</v>
      </c>
      <c r="H369" s="117" t="n">
        <v>3</v>
      </c>
      <c r="I369" s="118" t="n">
        <v>43644</v>
      </c>
      <c r="J369" s="118" t="n">
        <v>43644</v>
      </c>
      <c r="K369" s="119" t="n">
        <v>3211527.25</v>
      </c>
      <c r="L369" s="128" t="n">
        <f aca="false">K369-Q369+T369</f>
        <v>3211527.25</v>
      </c>
      <c r="M369" s="117" t="s">
        <v>149</v>
      </c>
      <c r="N369" s="117" t="n">
        <v>3211527.25</v>
      </c>
      <c r="O369" s="117" t="s">
        <v>149</v>
      </c>
      <c r="P369" s="117" t="n">
        <v>0</v>
      </c>
      <c r="Q369" s="117" t="n">
        <v>0</v>
      </c>
      <c r="R369" s="117" t="n">
        <v>3211527.25</v>
      </c>
      <c r="S369" s="117" t="n">
        <v>0</v>
      </c>
      <c r="T369" s="117" t="n">
        <v>0</v>
      </c>
      <c r="U369" s="117" t="n">
        <v>312948</v>
      </c>
      <c r="V369" s="117" t="s">
        <v>1984</v>
      </c>
      <c r="X369" s="117" t="s">
        <v>2218</v>
      </c>
      <c r="Z369" s="117" t="n">
        <v>58874</v>
      </c>
      <c r="AB369" s="117" t="s">
        <v>2099</v>
      </c>
      <c r="AD369" s="117" t="n">
        <v>110000</v>
      </c>
      <c r="AE369" s="117" t="s">
        <v>1966</v>
      </c>
      <c r="AF369" s="117" t="n">
        <v>110000</v>
      </c>
      <c r="AG369" s="117" t="s">
        <v>1966</v>
      </c>
      <c r="AI369" s="117" t="n">
        <v>110000</v>
      </c>
      <c r="AJ369" s="117" t="s">
        <v>1966</v>
      </c>
      <c r="AK369" s="117" t="n">
        <v>0</v>
      </c>
      <c r="AL369" s="117" t="n">
        <v>4</v>
      </c>
      <c r="AM369" s="117" t="s">
        <v>161</v>
      </c>
      <c r="AP369" s="117" t="n">
        <v>100081995</v>
      </c>
      <c r="AQ369" s="118" t="n">
        <v>43708</v>
      </c>
      <c r="AR369" s="118" t="n">
        <v>43644</v>
      </c>
      <c r="AS369" s="117" t="n">
        <v>0.20212962962963</v>
      </c>
      <c r="AT369" s="117" t="n">
        <v>0</v>
      </c>
      <c r="AU369" s="117" t="n">
        <v>0</v>
      </c>
      <c r="AX369" s="117" t="n">
        <v>2</v>
      </c>
    </row>
    <row r="370" s="106" customFormat="true" ht="13.8" hidden="true" customHeight="false" outlineLevel="0" collapsed="false">
      <c r="A370" s="106" t="n">
        <v>1000</v>
      </c>
      <c r="B370" s="106" t="s">
        <v>1962</v>
      </c>
      <c r="C370" s="106" t="n">
        <v>101460</v>
      </c>
      <c r="D370" s="106" t="s">
        <v>1262</v>
      </c>
      <c r="E370" s="106" t="s">
        <v>1970</v>
      </c>
      <c r="F370" s="106" t="n">
        <v>1101</v>
      </c>
      <c r="G370" s="106" t="n">
        <v>2019</v>
      </c>
      <c r="H370" s="106" t="n">
        <v>2</v>
      </c>
      <c r="I370" s="129" t="n">
        <v>43595</v>
      </c>
      <c r="J370" s="129" t="n">
        <v>43595</v>
      </c>
      <c r="K370" s="107" t="n">
        <v>1505779.18</v>
      </c>
      <c r="L370" s="130" t="n">
        <f aca="false">K370-Q370+T370</f>
        <v>1276084.04</v>
      </c>
      <c r="M370" s="106" t="s">
        <v>149</v>
      </c>
      <c r="N370" s="106" t="n">
        <v>1505779.18</v>
      </c>
      <c r="O370" s="106" t="s">
        <v>149</v>
      </c>
      <c r="P370" s="106" t="n">
        <v>0</v>
      </c>
      <c r="Q370" s="107" t="n">
        <v>229695.14</v>
      </c>
      <c r="R370" s="106" t="n">
        <v>1276084.04</v>
      </c>
      <c r="S370" s="106" t="n">
        <v>0</v>
      </c>
      <c r="T370" s="106" t="n">
        <v>0</v>
      </c>
      <c r="U370" s="106" t="n">
        <v>318999</v>
      </c>
      <c r="V370" s="106" t="s">
        <v>143</v>
      </c>
      <c r="Z370" s="106" t="n">
        <v>101460</v>
      </c>
      <c r="AD370" s="106" t="n">
        <v>110000</v>
      </c>
      <c r="AE370" s="106" t="s">
        <v>1966</v>
      </c>
      <c r="AF370" s="106" t="n">
        <v>501040</v>
      </c>
      <c r="AG370" s="106" t="s">
        <v>2036</v>
      </c>
      <c r="AI370" s="106" t="n">
        <v>501040</v>
      </c>
      <c r="AJ370" s="106" t="s">
        <v>2036</v>
      </c>
      <c r="AK370" s="106" t="n">
        <v>0</v>
      </c>
      <c r="AL370" s="106" t="n">
        <v>1</v>
      </c>
      <c r="AM370" s="106" t="s">
        <v>161</v>
      </c>
      <c r="AP370" s="106" t="n">
        <v>100022980</v>
      </c>
      <c r="AQ370" s="129" t="n">
        <v>43616</v>
      </c>
      <c r="AR370" s="129" t="n">
        <v>43595</v>
      </c>
      <c r="AS370" s="106" t="n">
        <v>0.816296296296296</v>
      </c>
      <c r="AT370" s="106" t="n">
        <v>0</v>
      </c>
      <c r="AU370" s="106" t="n">
        <v>0</v>
      </c>
      <c r="AX370" s="106" t="n">
        <v>1</v>
      </c>
      <c r="ALU370" s="0"/>
      <c r="ALV370" s="0"/>
      <c r="ALW370" s="0"/>
      <c r="ALX370" s="0"/>
      <c r="ALY370" s="0"/>
      <c r="ALZ370" s="0"/>
      <c r="AMA370" s="0"/>
      <c r="AMB370" s="0"/>
      <c r="AMC370" s="0"/>
      <c r="AMD370" s="0"/>
      <c r="AME370" s="0"/>
      <c r="AMF370" s="0"/>
      <c r="AMG370" s="0"/>
      <c r="AMH370" s="0"/>
      <c r="AMI370" s="0"/>
      <c r="AMJ370" s="0"/>
    </row>
    <row r="371" customFormat="false" ht="13.8" hidden="true" customHeight="false" outlineLevel="0" collapsed="false">
      <c r="A371" s="117" t="n">
        <v>1000</v>
      </c>
      <c r="B371" s="117" t="s">
        <v>1962</v>
      </c>
      <c r="C371" s="117" t="n">
        <v>100022449</v>
      </c>
      <c r="E371" s="117" t="s">
        <v>1921</v>
      </c>
      <c r="F371" s="117" t="n">
        <v>1108</v>
      </c>
      <c r="G371" s="117" t="n">
        <v>2019</v>
      </c>
      <c r="H371" s="117" t="n">
        <v>2</v>
      </c>
      <c r="I371" s="118" t="n">
        <v>43616</v>
      </c>
      <c r="J371" s="118" t="n">
        <v>43616</v>
      </c>
      <c r="K371" s="119" t="n">
        <v>-2903205.61</v>
      </c>
      <c r="L371" s="128" t="n">
        <f aca="false">K371-Q371+T371</f>
        <v>-2903205.61</v>
      </c>
      <c r="M371" s="117" t="s">
        <v>149</v>
      </c>
      <c r="N371" s="117" t="n">
        <v>-2903205.61</v>
      </c>
      <c r="O371" s="117" t="s">
        <v>149</v>
      </c>
      <c r="P371" s="117" t="n">
        <v>0</v>
      </c>
      <c r="Q371" s="117" t="n">
        <v>0</v>
      </c>
      <c r="R371" s="117" t="n">
        <v>-2903205.61</v>
      </c>
      <c r="S371" s="117" t="n">
        <v>0</v>
      </c>
      <c r="T371" s="117" t="n">
        <v>0</v>
      </c>
      <c r="U371" s="117" t="n">
        <v>312193</v>
      </c>
      <c r="V371" s="117" t="s">
        <v>1963</v>
      </c>
      <c r="Z371" s="117" t="n">
        <v>100022449</v>
      </c>
      <c r="AD371" s="117" t="n">
        <v>110000</v>
      </c>
      <c r="AE371" s="117" t="s">
        <v>1966</v>
      </c>
      <c r="AF371" s="117" t="n">
        <v>110000</v>
      </c>
      <c r="AG371" s="117" t="s">
        <v>1966</v>
      </c>
      <c r="AI371" s="117" t="n">
        <v>110000</v>
      </c>
      <c r="AJ371" s="117" t="s">
        <v>1966</v>
      </c>
      <c r="AK371" s="117" t="n">
        <v>0</v>
      </c>
      <c r="AL371" s="117" t="n">
        <v>17</v>
      </c>
      <c r="AM371" s="117" t="s">
        <v>225</v>
      </c>
      <c r="AP371" s="117" t="n">
        <v>100022449</v>
      </c>
      <c r="AQ371" s="118" t="n">
        <v>43616</v>
      </c>
      <c r="AR371" s="118" t="n">
        <v>43617</v>
      </c>
      <c r="AS371" s="117" t="n">
        <v>0.594490740740741</v>
      </c>
      <c r="AT371" s="117" t="n">
        <v>0</v>
      </c>
      <c r="AU371" s="117" t="n">
        <v>0</v>
      </c>
      <c r="AX371" s="117" t="n">
        <v>5</v>
      </c>
    </row>
    <row r="372" customFormat="false" ht="13.8" hidden="true" customHeight="false" outlineLevel="0" collapsed="false">
      <c r="A372" s="117" t="n">
        <v>1000</v>
      </c>
      <c r="B372" s="117" t="s">
        <v>1962</v>
      </c>
      <c r="C372" s="117" t="n">
        <v>100004316</v>
      </c>
      <c r="E372" s="117" t="s">
        <v>1921</v>
      </c>
      <c r="F372" s="117" t="n">
        <v>1109</v>
      </c>
      <c r="G372" s="117" t="n">
        <v>2019</v>
      </c>
      <c r="H372" s="117" t="n">
        <v>1</v>
      </c>
      <c r="I372" s="118" t="n">
        <v>43583</v>
      </c>
      <c r="J372" s="118" t="n">
        <v>43583</v>
      </c>
      <c r="K372" s="119" t="n">
        <v>241003.2</v>
      </c>
      <c r="L372" s="128" t="n">
        <f aca="false">K372-Q372+T372</f>
        <v>241003.2</v>
      </c>
      <c r="M372" s="117" t="s">
        <v>149</v>
      </c>
      <c r="N372" s="117" t="n">
        <v>241003.2</v>
      </c>
      <c r="O372" s="117" t="s">
        <v>149</v>
      </c>
      <c r="P372" s="117" t="n">
        <v>0</v>
      </c>
      <c r="Q372" s="117" t="n">
        <v>0</v>
      </c>
      <c r="R372" s="117" t="n">
        <v>241003.2</v>
      </c>
      <c r="S372" s="117" t="n">
        <v>0</v>
      </c>
      <c r="T372" s="117" t="n">
        <v>0</v>
      </c>
      <c r="U372" s="117" t="n">
        <v>304431</v>
      </c>
      <c r="V372" s="117" t="s">
        <v>2016</v>
      </c>
      <c r="X372" s="117" t="s">
        <v>904</v>
      </c>
      <c r="Z372" s="117" t="n">
        <v>2247</v>
      </c>
      <c r="AB372" s="117" t="s">
        <v>2043</v>
      </c>
      <c r="AD372" s="117" t="n">
        <v>110000</v>
      </c>
      <c r="AE372" s="117" t="s">
        <v>1966</v>
      </c>
      <c r="AF372" s="117" t="n">
        <v>110000</v>
      </c>
      <c r="AG372" s="117" t="s">
        <v>1966</v>
      </c>
      <c r="AI372" s="117" t="n">
        <v>110000</v>
      </c>
      <c r="AJ372" s="117" t="s">
        <v>1966</v>
      </c>
      <c r="AK372" s="117" t="n">
        <v>0</v>
      </c>
      <c r="AL372" s="117" t="n">
        <v>4</v>
      </c>
      <c r="AM372" s="117" t="s">
        <v>161</v>
      </c>
      <c r="AP372" s="117" t="n">
        <v>100020120</v>
      </c>
      <c r="AQ372" s="118" t="n">
        <v>43611</v>
      </c>
      <c r="AR372" s="118" t="n">
        <v>43583</v>
      </c>
      <c r="AS372" s="117" t="n">
        <v>0.488043981481482</v>
      </c>
      <c r="AT372" s="117" t="n">
        <v>0</v>
      </c>
      <c r="AU372" s="117" t="n">
        <v>0</v>
      </c>
      <c r="AX372" s="117" t="n">
        <v>1</v>
      </c>
    </row>
    <row r="373" customFormat="false" ht="13.8" hidden="true" customHeight="false" outlineLevel="0" collapsed="false">
      <c r="A373" s="117" t="n">
        <v>1000</v>
      </c>
      <c r="B373" s="117" t="s">
        <v>1962</v>
      </c>
      <c r="C373" s="117" t="n">
        <v>100039103</v>
      </c>
      <c r="E373" s="117" t="s">
        <v>1921</v>
      </c>
      <c r="F373" s="117" t="n">
        <v>1109</v>
      </c>
      <c r="G373" s="117" t="n">
        <v>2019</v>
      </c>
      <c r="H373" s="117" t="n">
        <v>3</v>
      </c>
      <c r="I373" s="118" t="n">
        <v>43644</v>
      </c>
      <c r="J373" s="118" t="n">
        <v>43644</v>
      </c>
      <c r="K373" s="119" t="n">
        <v>454064</v>
      </c>
      <c r="L373" s="128" t="n">
        <f aca="false">K373-Q373+T373</f>
        <v>454064</v>
      </c>
      <c r="M373" s="117" t="s">
        <v>149</v>
      </c>
      <c r="N373" s="117" t="n">
        <v>454064</v>
      </c>
      <c r="O373" s="117" t="s">
        <v>149</v>
      </c>
      <c r="P373" s="117" t="n">
        <v>0</v>
      </c>
      <c r="Q373" s="117" t="n">
        <v>0</v>
      </c>
      <c r="R373" s="117" t="n">
        <v>454064</v>
      </c>
      <c r="S373" s="117" t="n">
        <v>0</v>
      </c>
      <c r="T373" s="117" t="n">
        <v>0</v>
      </c>
      <c r="U373" s="117" t="n">
        <v>312193</v>
      </c>
      <c r="V373" s="117" t="s">
        <v>1963</v>
      </c>
      <c r="X373" s="117" t="s">
        <v>2219</v>
      </c>
      <c r="Z373" s="117" t="n">
        <v>2316</v>
      </c>
      <c r="AB373" s="117" t="s">
        <v>1965</v>
      </c>
      <c r="AD373" s="117" t="n">
        <v>110000</v>
      </c>
      <c r="AE373" s="117" t="s">
        <v>1966</v>
      </c>
      <c r="AF373" s="117" t="n">
        <v>110000</v>
      </c>
      <c r="AG373" s="117" t="s">
        <v>1966</v>
      </c>
      <c r="AI373" s="117" t="n">
        <v>110000</v>
      </c>
      <c r="AJ373" s="117" t="s">
        <v>1966</v>
      </c>
      <c r="AK373" s="117" t="n">
        <v>0</v>
      </c>
      <c r="AL373" s="117" t="n">
        <v>4</v>
      </c>
      <c r="AM373" s="117" t="s">
        <v>161</v>
      </c>
      <c r="AP373" s="117" t="n">
        <v>100057890</v>
      </c>
      <c r="AQ373" s="118" t="n">
        <v>43677</v>
      </c>
      <c r="AR373" s="118" t="n">
        <v>43644</v>
      </c>
      <c r="AS373" s="117" t="n">
        <v>0.199340277777778</v>
      </c>
      <c r="AT373" s="117" t="n">
        <v>0</v>
      </c>
      <c r="AU373" s="117" t="n">
        <v>0</v>
      </c>
      <c r="AX373" s="117" t="n">
        <v>3</v>
      </c>
    </row>
    <row r="374" customFormat="false" ht="13.8" hidden="true" customHeight="false" outlineLevel="0" collapsed="false">
      <c r="A374" s="117" t="n">
        <v>1000</v>
      </c>
      <c r="B374" s="117" t="s">
        <v>1962</v>
      </c>
      <c r="C374" s="117" t="n">
        <v>100039983</v>
      </c>
      <c r="E374" s="117" t="s">
        <v>1921</v>
      </c>
      <c r="F374" s="117" t="n">
        <v>1101</v>
      </c>
      <c r="G374" s="117" t="n">
        <v>2019</v>
      </c>
      <c r="H374" s="117" t="n">
        <v>3</v>
      </c>
      <c r="I374" s="118" t="n">
        <v>43645</v>
      </c>
      <c r="J374" s="118" t="n">
        <v>43645</v>
      </c>
      <c r="K374" s="119" t="n">
        <v>-4268105.57</v>
      </c>
      <c r="L374" s="128" t="n">
        <f aca="false">K374-Q374+T374</f>
        <v>-4268105.57</v>
      </c>
      <c r="M374" s="117" t="s">
        <v>149</v>
      </c>
      <c r="N374" s="117" t="n">
        <v>-4268105.57</v>
      </c>
      <c r="O374" s="117" t="s">
        <v>149</v>
      </c>
      <c r="P374" s="117" t="n">
        <v>0</v>
      </c>
      <c r="Q374" s="117" t="n">
        <v>0</v>
      </c>
      <c r="R374" s="117" t="n">
        <v>-4268105.57</v>
      </c>
      <c r="S374" s="117" t="n">
        <v>0</v>
      </c>
      <c r="T374" s="117" t="n">
        <v>0</v>
      </c>
      <c r="U374" s="117" t="n">
        <v>318999</v>
      </c>
      <c r="V374" s="117" t="s">
        <v>143</v>
      </c>
      <c r="Z374" s="117" t="n">
        <v>100039983</v>
      </c>
      <c r="AD374" s="117" t="n">
        <v>111105</v>
      </c>
      <c r="AE374" s="117" t="s">
        <v>1994</v>
      </c>
      <c r="AF374" s="117" t="n">
        <v>110000</v>
      </c>
      <c r="AG374" s="117" t="s">
        <v>1966</v>
      </c>
      <c r="AI374" s="117" t="n">
        <v>110000</v>
      </c>
      <c r="AJ374" s="117" t="s">
        <v>1966</v>
      </c>
      <c r="AK374" s="117" t="n">
        <v>0</v>
      </c>
      <c r="AL374" s="117" t="n">
        <v>19</v>
      </c>
      <c r="AM374" s="117" t="s">
        <v>225</v>
      </c>
      <c r="AN374" s="117" t="s">
        <v>1995</v>
      </c>
      <c r="AP374" s="117" t="n">
        <v>100039983</v>
      </c>
      <c r="AQ374" s="118" t="n">
        <v>43645</v>
      </c>
      <c r="AR374" s="118" t="n">
        <v>43646</v>
      </c>
      <c r="AS374" s="117" t="n">
        <v>0.430601851851852</v>
      </c>
      <c r="AT374" s="117" t="n">
        <v>0</v>
      </c>
      <c r="AU374" s="117" t="n">
        <v>0</v>
      </c>
      <c r="AX374" s="117" t="n">
        <v>19</v>
      </c>
    </row>
    <row r="375" s="106" customFormat="true" ht="13.8" hidden="true" customHeight="false" outlineLevel="0" collapsed="false">
      <c r="A375" s="106" t="n">
        <v>1000</v>
      </c>
      <c r="B375" s="106" t="s">
        <v>1962</v>
      </c>
      <c r="C375" s="106" t="n">
        <v>107725</v>
      </c>
      <c r="D375" s="106" t="s">
        <v>1828</v>
      </c>
      <c r="E375" s="106" t="s">
        <v>1970</v>
      </c>
      <c r="F375" s="106" t="n">
        <v>1109</v>
      </c>
      <c r="G375" s="106" t="n">
        <v>2019</v>
      </c>
      <c r="H375" s="106" t="n">
        <v>7</v>
      </c>
      <c r="I375" s="129" t="n">
        <v>43749</v>
      </c>
      <c r="J375" s="129" t="n">
        <v>43749</v>
      </c>
      <c r="K375" s="107" t="n">
        <v>25488</v>
      </c>
      <c r="L375" s="130" t="n">
        <f aca="false">K375-Q375+T375</f>
        <v>21600</v>
      </c>
      <c r="M375" s="106" t="s">
        <v>149</v>
      </c>
      <c r="N375" s="106" t="n">
        <v>25488</v>
      </c>
      <c r="O375" s="106" t="s">
        <v>149</v>
      </c>
      <c r="P375" s="106" t="n">
        <v>0</v>
      </c>
      <c r="Q375" s="107" t="n">
        <v>3888</v>
      </c>
      <c r="R375" s="106" t="n">
        <v>21600</v>
      </c>
      <c r="S375" s="106" t="n">
        <v>0</v>
      </c>
      <c r="T375" s="106" t="n">
        <v>0</v>
      </c>
      <c r="U375" s="106" t="n">
        <v>312193</v>
      </c>
      <c r="V375" s="106" t="s">
        <v>1963</v>
      </c>
      <c r="Z375" s="106" t="n">
        <v>60960</v>
      </c>
      <c r="AB375" s="106" t="s">
        <v>2124</v>
      </c>
      <c r="AD375" s="106" t="n">
        <v>110000</v>
      </c>
      <c r="AE375" s="106" t="s">
        <v>1966</v>
      </c>
      <c r="AF375" s="106" t="n">
        <v>501005</v>
      </c>
      <c r="AG375" s="106" t="s">
        <v>2033</v>
      </c>
      <c r="AI375" s="106" t="n">
        <v>501005</v>
      </c>
      <c r="AJ375" s="106" t="s">
        <v>2033</v>
      </c>
      <c r="AK375" s="106" t="n">
        <v>0</v>
      </c>
      <c r="AL375" s="106" t="n">
        <v>1</v>
      </c>
      <c r="AM375" s="106" t="s">
        <v>161</v>
      </c>
      <c r="AP375" s="106" t="n">
        <v>100141449</v>
      </c>
      <c r="AQ375" s="129" t="n">
        <v>43766</v>
      </c>
      <c r="AR375" s="129" t="n">
        <v>43749</v>
      </c>
      <c r="AS375" s="106" t="n">
        <v>0.519675925925926</v>
      </c>
      <c r="AT375" s="106" t="n">
        <v>0</v>
      </c>
      <c r="AU375" s="106" t="n">
        <v>0</v>
      </c>
      <c r="AX375" s="106" t="n">
        <v>1</v>
      </c>
      <c r="ALU375" s="0"/>
      <c r="ALV375" s="0"/>
      <c r="ALW375" s="0"/>
      <c r="ALX375" s="0"/>
      <c r="ALY375" s="0"/>
      <c r="ALZ375" s="0"/>
      <c r="AMA375" s="0"/>
      <c r="AMB375" s="0"/>
      <c r="AMC375" s="0"/>
      <c r="AMD375" s="0"/>
      <c r="AME375" s="0"/>
      <c r="AMF375" s="0"/>
      <c r="AMG375" s="0"/>
      <c r="AMH375" s="0"/>
      <c r="AMI375" s="0"/>
      <c r="AMJ375" s="0"/>
    </row>
    <row r="376" customFormat="false" ht="13.8" hidden="true" customHeight="false" outlineLevel="0" collapsed="false">
      <c r="A376" s="117" t="n">
        <v>1000</v>
      </c>
      <c r="B376" s="117" t="s">
        <v>1962</v>
      </c>
      <c r="C376" s="117" t="n">
        <v>100039106</v>
      </c>
      <c r="E376" s="117" t="s">
        <v>1921</v>
      </c>
      <c r="F376" s="117" t="n">
        <v>1108</v>
      </c>
      <c r="G376" s="117" t="n">
        <v>2019</v>
      </c>
      <c r="H376" s="117" t="n">
        <v>3</v>
      </c>
      <c r="I376" s="118" t="n">
        <v>43644</v>
      </c>
      <c r="J376" s="118" t="n">
        <v>43644</v>
      </c>
      <c r="K376" s="119" t="n">
        <v>220224.47</v>
      </c>
      <c r="L376" s="128" t="n">
        <f aca="false">K376-Q376+T376</f>
        <v>220224.47</v>
      </c>
      <c r="M376" s="117" t="s">
        <v>149</v>
      </c>
      <c r="N376" s="117" t="n">
        <v>220224.47</v>
      </c>
      <c r="O376" s="117" t="s">
        <v>149</v>
      </c>
      <c r="P376" s="117" t="n">
        <v>0</v>
      </c>
      <c r="Q376" s="117" t="n">
        <v>0</v>
      </c>
      <c r="R376" s="117" t="n">
        <v>220224.47</v>
      </c>
      <c r="S376" s="117" t="n">
        <v>0</v>
      </c>
      <c r="T376" s="117" t="n">
        <v>0</v>
      </c>
      <c r="U376" s="117" t="n">
        <v>312948</v>
      </c>
      <c r="V376" s="117" t="s">
        <v>1984</v>
      </c>
      <c r="X376" s="117" t="s">
        <v>2220</v>
      </c>
      <c r="Z376" s="117" t="n">
        <v>58870</v>
      </c>
      <c r="AB376" s="117" t="s">
        <v>2221</v>
      </c>
      <c r="AD376" s="117" t="n">
        <v>110000</v>
      </c>
      <c r="AE376" s="117" t="s">
        <v>1966</v>
      </c>
      <c r="AF376" s="117" t="n">
        <v>110000</v>
      </c>
      <c r="AG376" s="117" t="s">
        <v>1966</v>
      </c>
      <c r="AI376" s="117" t="n">
        <v>110000</v>
      </c>
      <c r="AJ376" s="117" t="s">
        <v>1966</v>
      </c>
      <c r="AK376" s="117" t="n">
        <v>0</v>
      </c>
      <c r="AL376" s="117" t="n">
        <v>4</v>
      </c>
      <c r="AM376" s="117" t="s">
        <v>161</v>
      </c>
      <c r="AP376" s="117" t="n">
        <v>100081995</v>
      </c>
      <c r="AQ376" s="118" t="n">
        <v>43708</v>
      </c>
      <c r="AR376" s="118" t="n">
        <v>43644</v>
      </c>
      <c r="AS376" s="117" t="n">
        <v>0.20212962962963</v>
      </c>
      <c r="AT376" s="117" t="n">
        <v>0</v>
      </c>
      <c r="AU376" s="117" t="n">
        <v>0</v>
      </c>
      <c r="AX376" s="117" t="n">
        <v>1</v>
      </c>
    </row>
    <row r="377" s="106" customFormat="true" ht="13.8" hidden="true" customHeight="false" outlineLevel="0" collapsed="false">
      <c r="A377" s="106" t="n">
        <v>1000</v>
      </c>
      <c r="B377" s="106" t="s">
        <v>1962</v>
      </c>
      <c r="C377" s="106" t="n">
        <v>103386</v>
      </c>
      <c r="D377" s="106" t="s">
        <v>2185</v>
      </c>
      <c r="E377" s="106" t="s">
        <v>1970</v>
      </c>
      <c r="F377" s="106" t="n">
        <v>1101</v>
      </c>
      <c r="G377" s="106" t="n">
        <v>2019</v>
      </c>
      <c r="H377" s="106" t="n">
        <v>3</v>
      </c>
      <c r="I377" s="129" t="n">
        <v>43635</v>
      </c>
      <c r="J377" s="129" t="n">
        <v>43635</v>
      </c>
      <c r="K377" s="107" t="n">
        <v>794634.51</v>
      </c>
      <c r="L377" s="130" t="n">
        <f aca="false">K377-Q377+T377</f>
        <v>673419.09</v>
      </c>
      <c r="M377" s="106" t="s">
        <v>149</v>
      </c>
      <c r="N377" s="106" t="n">
        <v>794634.51</v>
      </c>
      <c r="O377" s="106" t="s">
        <v>149</v>
      </c>
      <c r="P377" s="106" t="n">
        <v>0</v>
      </c>
      <c r="Q377" s="107" t="n">
        <v>121215.42</v>
      </c>
      <c r="R377" s="106" t="n">
        <v>673419.09</v>
      </c>
      <c r="S377" s="106" t="n">
        <v>0</v>
      </c>
      <c r="T377" s="106" t="n">
        <v>0</v>
      </c>
      <c r="U377" s="106" t="n">
        <v>318999</v>
      </c>
      <c r="V377" s="106" t="s">
        <v>143</v>
      </c>
      <c r="Z377" s="106" t="n">
        <v>103386</v>
      </c>
      <c r="AD377" s="106" t="n">
        <v>110000</v>
      </c>
      <c r="AE377" s="106" t="s">
        <v>1966</v>
      </c>
      <c r="AF377" s="106" t="n">
        <v>501040</v>
      </c>
      <c r="AG377" s="106" t="s">
        <v>2036</v>
      </c>
      <c r="AI377" s="106" t="n">
        <v>501040</v>
      </c>
      <c r="AJ377" s="106" t="s">
        <v>2036</v>
      </c>
      <c r="AK377" s="106" t="n">
        <v>0</v>
      </c>
      <c r="AL377" s="106" t="n">
        <v>1</v>
      </c>
      <c r="AM377" s="106" t="s">
        <v>161</v>
      </c>
      <c r="AP377" s="106" t="n">
        <v>100039983</v>
      </c>
      <c r="AQ377" s="129" t="n">
        <v>43645</v>
      </c>
      <c r="AR377" s="129" t="n">
        <v>43635</v>
      </c>
      <c r="AS377" s="106" t="n">
        <v>0.632372685185185</v>
      </c>
      <c r="AT377" s="106" t="n">
        <v>0</v>
      </c>
      <c r="AU377" s="106" t="n">
        <v>0</v>
      </c>
      <c r="AX377" s="106" t="n">
        <v>1</v>
      </c>
      <c r="ALU377" s="0"/>
      <c r="ALV377" s="0"/>
      <c r="ALW377" s="0"/>
      <c r="ALX377" s="0"/>
      <c r="ALY377" s="0"/>
      <c r="ALZ377" s="0"/>
      <c r="AMA377" s="0"/>
      <c r="AMB377" s="0"/>
      <c r="AMC377" s="0"/>
      <c r="AMD377" s="0"/>
      <c r="AME377" s="0"/>
      <c r="AMF377" s="0"/>
      <c r="AMG377" s="0"/>
      <c r="AMH377" s="0"/>
      <c r="AMI377" s="0"/>
      <c r="AMJ377" s="0"/>
    </row>
    <row r="378" customFormat="false" ht="13.8" hidden="true" customHeight="false" outlineLevel="0" collapsed="false">
      <c r="A378" s="117" t="n">
        <v>1000</v>
      </c>
      <c r="B378" s="117" t="s">
        <v>1962</v>
      </c>
      <c r="C378" s="117" t="n">
        <v>1400001713</v>
      </c>
      <c r="E378" s="117" t="s">
        <v>1972</v>
      </c>
      <c r="F378" s="117" t="n">
        <v>1106</v>
      </c>
      <c r="G378" s="117" t="n">
        <v>2019</v>
      </c>
      <c r="H378" s="117" t="n">
        <v>2</v>
      </c>
      <c r="I378" s="118" t="n">
        <v>43606</v>
      </c>
      <c r="J378" s="118" t="n">
        <v>43606</v>
      </c>
      <c r="K378" s="119" t="n">
        <v>-8123903.05</v>
      </c>
      <c r="L378" s="128" t="n">
        <f aca="false">K378-Q378+T378</f>
        <v>-8123903.05</v>
      </c>
      <c r="M378" s="117" t="s">
        <v>149</v>
      </c>
      <c r="N378" s="117" t="n">
        <v>-8123903.05</v>
      </c>
      <c r="O378" s="117" t="s">
        <v>149</v>
      </c>
      <c r="P378" s="117" t="n">
        <v>0</v>
      </c>
      <c r="Q378" s="117" t="n">
        <v>0</v>
      </c>
      <c r="R378" s="117" t="n">
        <v>-8123903.05</v>
      </c>
      <c r="S378" s="117" t="n">
        <v>0</v>
      </c>
      <c r="T378" s="117" t="n">
        <v>0</v>
      </c>
      <c r="U378" s="117" t="n">
        <v>312193</v>
      </c>
      <c r="V378" s="117" t="s">
        <v>1963</v>
      </c>
      <c r="X378" s="117" t="s">
        <v>2222</v>
      </c>
      <c r="Y378" s="117" t="s">
        <v>2223</v>
      </c>
      <c r="Z378" s="117" t="n">
        <v>1400001713</v>
      </c>
      <c r="AC378" s="117" t="s">
        <v>1976</v>
      </c>
      <c r="AD378" s="117" t="n">
        <v>310300</v>
      </c>
      <c r="AE378" s="117" t="s">
        <v>1969</v>
      </c>
      <c r="AF378" s="117" t="n">
        <v>101105</v>
      </c>
      <c r="AG378" s="117" t="s">
        <v>1977</v>
      </c>
      <c r="AI378" s="117" t="n">
        <v>101105</v>
      </c>
      <c r="AJ378" s="117" t="s">
        <v>1977</v>
      </c>
      <c r="AK378" s="117" t="n">
        <v>0</v>
      </c>
      <c r="AL378" s="117" t="n">
        <v>19</v>
      </c>
      <c r="AM378" s="117" t="s">
        <v>225</v>
      </c>
      <c r="AN378" s="117" t="s">
        <v>1978</v>
      </c>
      <c r="AP378" s="117" t="n">
        <v>100020141</v>
      </c>
      <c r="AQ378" s="118" t="n">
        <v>43611</v>
      </c>
      <c r="AR378" s="118" t="n">
        <v>43607</v>
      </c>
      <c r="AS378" s="117" t="n">
        <v>0.491481481481482</v>
      </c>
      <c r="AT378" s="117" t="n">
        <v>0</v>
      </c>
      <c r="AU378" s="117" t="n">
        <v>0</v>
      </c>
      <c r="AX378" s="117" t="n">
        <v>2</v>
      </c>
    </row>
    <row r="379" s="106" customFormat="true" ht="13.8" hidden="true" customHeight="false" outlineLevel="0" collapsed="false">
      <c r="A379" s="106" t="n">
        <v>1000</v>
      </c>
      <c r="B379" s="106" t="s">
        <v>1962</v>
      </c>
      <c r="C379" s="106" t="n">
        <v>102642</v>
      </c>
      <c r="D379" s="106" t="s">
        <v>2220</v>
      </c>
      <c r="E379" s="106" t="s">
        <v>1970</v>
      </c>
      <c r="F379" s="106" t="n">
        <v>1108</v>
      </c>
      <c r="G379" s="106" t="n">
        <v>2019</v>
      </c>
      <c r="H379" s="106" t="n">
        <v>3</v>
      </c>
      <c r="I379" s="129" t="n">
        <v>43619</v>
      </c>
      <c r="J379" s="129" t="n">
        <v>43619</v>
      </c>
      <c r="K379" s="107" t="n">
        <v>220224.47</v>
      </c>
      <c r="L379" s="130" t="n">
        <f aca="false">K379-Q379+T379</f>
        <v>186630.91</v>
      </c>
      <c r="M379" s="106" t="s">
        <v>149</v>
      </c>
      <c r="N379" s="106" t="n">
        <v>220224.47</v>
      </c>
      <c r="O379" s="106" t="s">
        <v>149</v>
      </c>
      <c r="P379" s="106" t="n">
        <v>0</v>
      </c>
      <c r="Q379" s="107" t="n">
        <v>33593.56</v>
      </c>
      <c r="R379" s="106" t="n">
        <v>186630.91</v>
      </c>
      <c r="S379" s="106" t="n">
        <v>0</v>
      </c>
      <c r="T379" s="106" t="n">
        <v>0</v>
      </c>
      <c r="U379" s="106" t="n">
        <v>312948</v>
      </c>
      <c r="V379" s="106" t="s">
        <v>1984</v>
      </c>
      <c r="Z379" s="106" t="n">
        <v>58870</v>
      </c>
      <c r="AB379" s="106" t="s">
        <v>2221</v>
      </c>
      <c r="AD379" s="106" t="n">
        <v>110000</v>
      </c>
      <c r="AE379" s="106" t="s">
        <v>1966</v>
      </c>
      <c r="AF379" s="106" t="n">
        <v>501005</v>
      </c>
      <c r="AG379" s="106" t="s">
        <v>2033</v>
      </c>
      <c r="AI379" s="106" t="n">
        <v>501005</v>
      </c>
      <c r="AJ379" s="106" t="s">
        <v>2033</v>
      </c>
      <c r="AK379" s="106" t="n">
        <v>0</v>
      </c>
      <c r="AL379" s="106" t="n">
        <v>1</v>
      </c>
      <c r="AM379" s="106" t="s">
        <v>161</v>
      </c>
      <c r="AP379" s="106" t="n">
        <v>100039106</v>
      </c>
      <c r="AQ379" s="129" t="n">
        <v>43644</v>
      </c>
      <c r="AR379" s="129" t="n">
        <v>43619</v>
      </c>
      <c r="AS379" s="106" t="n">
        <v>0.833541666666667</v>
      </c>
      <c r="AT379" s="106" t="n">
        <v>0</v>
      </c>
      <c r="AU379" s="106" t="n">
        <v>0</v>
      </c>
      <c r="AX379" s="106" t="n">
        <v>1</v>
      </c>
      <c r="ALU379" s="0"/>
      <c r="ALV379" s="0"/>
      <c r="ALW379" s="0"/>
      <c r="ALX379" s="0"/>
      <c r="ALY379" s="0"/>
      <c r="ALZ379" s="0"/>
      <c r="AMA379" s="0"/>
      <c r="AMB379" s="0"/>
      <c r="AMC379" s="0"/>
      <c r="AMD379" s="0"/>
      <c r="AME379" s="0"/>
      <c r="AMF379" s="0"/>
      <c r="AMG379" s="0"/>
      <c r="AMH379" s="0"/>
      <c r="AMI379" s="0"/>
      <c r="AMJ379" s="0"/>
    </row>
    <row r="380" s="106" customFormat="true" ht="13.8" hidden="true" customHeight="false" outlineLevel="0" collapsed="false">
      <c r="A380" s="106" t="n">
        <v>1000</v>
      </c>
      <c r="B380" s="106" t="s">
        <v>1962</v>
      </c>
      <c r="C380" s="106" t="n">
        <v>102712</v>
      </c>
      <c r="D380" s="106" t="s">
        <v>1394</v>
      </c>
      <c r="E380" s="106" t="s">
        <v>1970</v>
      </c>
      <c r="F380" s="106" t="n">
        <v>1108</v>
      </c>
      <c r="G380" s="106" t="n">
        <v>2019</v>
      </c>
      <c r="H380" s="106" t="n">
        <v>3</v>
      </c>
      <c r="I380" s="129" t="n">
        <v>43622</v>
      </c>
      <c r="J380" s="129" t="n">
        <v>43622</v>
      </c>
      <c r="K380" s="107" t="n">
        <v>73056.13</v>
      </c>
      <c r="L380" s="130" t="n">
        <f aca="false">K380-Q380+T380</f>
        <v>61911.97</v>
      </c>
      <c r="M380" s="106" t="s">
        <v>149</v>
      </c>
      <c r="N380" s="106" t="n">
        <v>73056.13</v>
      </c>
      <c r="O380" s="106" t="s">
        <v>149</v>
      </c>
      <c r="P380" s="106" t="n">
        <v>0</v>
      </c>
      <c r="Q380" s="107" t="n">
        <v>11144.16</v>
      </c>
      <c r="R380" s="106" t="n">
        <v>61911.97</v>
      </c>
      <c r="S380" s="106" t="n">
        <v>0</v>
      </c>
      <c r="T380" s="106" t="n">
        <v>0</v>
      </c>
      <c r="U380" s="106" t="n">
        <v>306263</v>
      </c>
      <c r="V380" s="106" t="s">
        <v>2006</v>
      </c>
      <c r="Z380" s="106" t="n">
        <v>58335</v>
      </c>
      <c r="AB380" s="106" t="s">
        <v>2224</v>
      </c>
      <c r="AD380" s="106" t="n">
        <v>110000</v>
      </c>
      <c r="AE380" s="106" t="s">
        <v>1966</v>
      </c>
      <c r="AF380" s="106" t="n">
        <v>501005</v>
      </c>
      <c r="AG380" s="106" t="s">
        <v>2033</v>
      </c>
      <c r="AI380" s="106" t="n">
        <v>501005</v>
      </c>
      <c r="AJ380" s="106" t="s">
        <v>2033</v>
      </c>
      <c r="AK380" s="106" t="n">
        <v>0</v>
      </c>
      <c r="AL380" s="106" t="n">
        <v>1</v>
      </c>
      <c r="AM380" s="106" t="s">
        <v>161</v>
      </c>
      <c r="AP380" s="106" t="n">
        <v>100048479</v>
      </c>
      <c r="AQ380" s="129" t="n">
        <v>43646</v>
      </c>
      <c r="AR380" s="129" t="n">
        <v>43622</v>
      </c>
      <c r="AS380" s="106" t="n">
        <v>0.475428240740741</v>
      </c>
      <c r="AT380" s="106" t="n">
        <v>0</v>
      </c>
      <c r="AU380" s="106" t="n">
        <v>0</v>
      </c>
      <c r="AX380" s="106" t="n">
        <v>1</v>
      </c>
      <c r="ALU380" s="0"/>
      <c r="ALV380" s="0"/>
      <c r="ALW380" s="0"/>
      <c r="ALX380" s="0"/>
      <c r="ALY380" s="0"/>
      <c r="ALZ380" s="0"/>
      <c r="AMA380" s="0"/>
      <c r="AMB380" s="0"/>
      <c r="AMC380" s="0"/>
      <c r="AMD380" s="0"/>
      <c r="AME380" s="0"/>
      <c r="AMF380" s="0"/>
      <c r="AMG380" s="0"/>
      <c r="AMH380" s="0"/>
      <c r="AMI380" s="0"/>
      <c r="AMJ380" s="0"/>
    </row>
    <row r="381" s="106" customFormat="true" ht="13.8" hidden="true" customHeight="false" outlineLevel="0" collapsed="false">
      <c r="A381" s="106" t="n">
        <v>1000</v>
      </c>
      <c r="B381" s="106" t="s">
        <v>1962</v>
      </c>
      <c r="C381" s="106" t="n">
        <v>101457</v>
      </c>
      <c r="D381" s="106" t="s">
        <v>1265</v>
      </c>
      <c r="E381" s="106" t="s">
        <v>1970</v>
      </c>
      <c r="F381" s="106" t="n">
        <v>1108</v>
      </c>
      <c r="G381" s="106" t="n">
        <v>2019</v>
      </c>
      <c r="H381" s="106" t="n">
        <v>2</v>
      </c>
      <c r="I381" s="129" t="n">
        <v>43595</v>
      </c>
      <c r="J381" s="129" t="n">
        <v>43595</v>
      </c>
      <c r="K381" s="107" t="n">
        <v>1385976.2</v>
      </c>
      <c r="L381" s="130" t="n">
        <f aca="false">K381-Q381+T381</f>
        <v>1174556.1</v>
      </c>
      <c r="M381" s="106" t="s">
        <v>149</v>
      </c>
      <c r="N381" s="106" t="n">
        <v>1385976.2</v>
      </c>
      <c r="O381" s="106" t="s">
        <v>149</v>
      </c>
      <c r="P381" s="106" t="n">
        <v>0</v>
      </c>
      <c r="Q381" s="107" t="n">
        <v>211420.1</v>
      </c>
      <c r="R381" s="106" t="n">
        <v>1174556.1</v>
      </c>
      <c r="S381" s="106" t="n">
        <v>0</v>
      </c>
      <c r="T381" s="106" t="n">
        <v>0</v>
      </c>
      <c r="U381" s="106" t="n">
        <v>318999</v>
      </c>
      <c r="V381" s="106" t="s">
        <v>143</v>
      </c>
      <c r="Z381" s="106" t="n">
        <v>101457</v>
      </c>
      <c r="AD381" s="106" t="n">
        <v>110000</v>
      </c>
      <c r="AE381" s="106" t="s">
        <v>1966</v>
      </c>
      <c r="AF381" s="106" t="n">
        <v>501040</v>
      </c>
      <c r="AG381" s="106" t="s">
        <v>2036</v>
      </c>
      <c r="AI381" s="106" t="n">
        <v>501040</v>
      </c>
      <c r="AJ381" s="106" t="s">
        <v>2036</v>
      </c>
      <c r="AK381" s="106" t="n">
        <v>0</v>
      </c>
      <c r="AL381" s="106" t="n">
        <v>1</v>
      </c>
      <c r="AM381" s="106" t="s">
        <v>161</v>
      </c>
      <c r="AP381" s="106" t="n">
        <v>100022980</v>
      </c>
      <c r="AQ381" s="129" t="n">
        <v>43616</v>
      </c>
      <c r="AR381" s="129" t="n">
        <v>43595</v>
      </c>
      <c r="AS381" s="106" t="n">
        <v>0.767511574074074</v>
      </c>
      <c r="AT381" s="106" t="n">
        <v>0</v>
      </c>
      <c r="AU381" s="106" t="n">
        <v>0</v>
      </c>
      <c r="AX381" s="106" t="n">
        <v>1</v>
      </c>
      <c r="ALU381" s="0"/>
      <c r="ALV381" s="0"/>
      <c r="ALW381" s="0"/>
      <c r="ALX381" s="0"/>
      <c r="ALY381" s="0"/>
      <c r="ALZ381" s="0"/>
      <c r="AMA381" s="0"/>
      <c r="AMB381" s="0"/>
      <c r="AMC381" s="0"/>
      <c r="AMD381" s="0"/>
      <c r="AME381" s="0"/>
      <c r="AMF381" s="0"/>
      <c r="AMG381" s="0"/>
      <c r="AMH381" s="0"/>
      <c r="AMI381" s="0"/>
      <c r="AMJ381" s="0"/>
    </row>
    <row r="382" s="106" customFormat="true" ht="13.8" hidden="true" customHeight="false" outlineLevel="0" collapsed="false">
      <c r="A382" s="106" t="n">
        <v>1000</v>
      </c>
      <c r="B382" s="106" t="s">
        <v>1962</v>
      </c>
      <c r="C382" s="106" t="n">
        <v>103756</v>
      </c>
      <c r="D382" s="106" t="s">
        <v>2225</v>
      </c>
      <c r="E382" s="106" t="s">
        <v>1970</v>
      </c>
      <c r="F382" s="106" t="n">
        <v>1108</v>
      </c>
      <c r="G382" s="106" t="n">
        <v>2019</v>
      </c>
      <c r="H382" s="106" t="n">
        <v>3</v>
      </c>
      <c r="I382" s="129" t="n">
        <v>43641</v>
      </c>
      <c r="J382" s="129" t="n">
        <v>43641</v>
      </c>
      <c r="K382" s="107" t="n">
        <v>876749.39</v>
      </c>
      <c r="L382" s="130" t="n">
        <f aca="false">K382-Q382+T382</f>
        <v>743008.01</v>
      </c>
      <c r="M382" s="106" t="s">
        <v>149</v>
      </c>
      <c r="N382" s="106" t="n">
        <v>876749.39</v>
      </c>
      <c r="O382" s="106" t="s">
        <v>149</v>
      </c>
      <c r="P382" s="106" t="n">
        <v>0</v>
      </c>
      <c r="Q382" s="107" t="n">
        <v>133741.38</v>
      </c>
      <c r="R382" s="106" t="n">
        <v>743008.01</v>
      </c>
      <c r="S382" s="106" t="n">
        <v>0</v>
      </c>
      <c r="T382" s="106" t="n">
        <v>0</v>
      </c>
      <c r="U382" s="106" t="n">
        <v>318999</v>
      </c>
      <c r="V382" s="106" t="s">
        <v>143</v>
      </c>
      <c r="Z382" s="106" t="n">
        <v>103756</v>
      </c>
      <c r="AD382" s="106" t="n">
        <v>110000</v>
      </c>
      <c r="AE382" s="106" t="s">
        <v>1966</v>
      </c>
      <c r="AF382" s="106" t="n">
        <v>501040</v>
      </c>
      <c r="AG382" s="106" t="s">
        <v>2036</v>
      </c>
      <c r="AI382" s="106" t="n">
        <v>501040</v>
      </c>
      <c r="AJ382" s="106" t="s">
        <v>2036</v>
      </c>
      <c r="AK382" s="106" t="n">
        <v>0</v>
      </c>
      <c r="AL382" s="106" t="n">
        <v>1</v>
      </c>
      <c r="AM382" s="106" t="s">
        <v>161</v>
      </c>
      <c r="AP382" s="106" t="n">
        <v>100039983</v>
      </c>
      <c r="AQ382" s="129" t="n">
        <v>43645</v>
      </c>
      <c r="AR382" s="129" t="n">
        <v>43641</v>
      </c>
      <c r="AS382" s="106" t="n">
        <v>0.792997685185185</v>
      </c>
      <c r="AT382" s="106" t="n">
        <v>0</v>
      </c>
      <c r="AU382" s="106" t="n">
        <v>0</v>
      </c>
      <c r="AX382" s="106" t="n">
        <v>1</v>
      </c>
      <c r="ALU382" s="0"/>
      <c r="ALV382" s="0"/>
      <c r="ALW382" s="0"/>
      <c r="ALX382" s="0"/>
      <c r="ALY382" s="0"/>
      <c r="ALZ382" s="0"/>
      <c r="AMA382" s="0"/>
      <c r="AMB382" s="0"/>
      <c r="AMC382" s="0"/>
      <c r="AMD382" s="0"/>
      <c r="AME382" s="0"/>
      <c r="AMF382" s="0"/>
      <c r="AMG382" s="0"/>
      <c r="AMH382" s="0"/>
      <c r="AMI382" s="0"/>
      <c r="AMJ382" s="0"/>
    </row>
    <row r="383" s="106" customFormat="true" ht="13.8" hidden="true" customHeight="false" outlineLevel="0" collapsed="false">
      <c r="A383" s="106" t="n">
        <v>1000</v>
      </c>
      <c r="B383" s="106" t="s">
        <v>1962</v>
      </c>
      <c r="C383" s="106" t="n">
        <v>102622</v>
      </c>
      <c r="D383" s="106" t="s">
        <v>1499</v>
      </c>
      <c r="E383" s="106" t="s">
        <v>1970</v>
      </c>
      <c r="F383" s="106" t="n">
        <v>1101</v>
      </c>
      <c r="G383" s="106" t="n">
        <v>2019</v>
      </c>
      <c r="H383" s="106" t="n">
        <v>3</v>
      </c>
      <c r="I383" s="129" t="n">
        <v>43619</v>
      </c>
      <c r="J383" s="129" t="n">
        <v>43619</v>
      </c>
      <c r="K383" s="107" t="n">
        <v>1546756.87</v>
      </c>
      <c r="L383" s="130" t="n">
        <f aca="false">K383-Q383+T383</f>
        <v>1310810.91</v>
      </c>
      <c r="M383" s="106" t="s">
        <v>149</v>
      </c>
      <c r="N383" s="106" t="n">
        <v>1546756.87</v>
      </c>
      <c r="O383" s="106" t="s">
        <v>149</v>
      </c>
      <c r="P383" s="106" t="n">
        <v>0</v>
      </c>
      <c r="Q383" s="107" t="n">
        <v>235945.96</v>
      </c>
      <c r="R383" s="106" t="n">
        <v>1310810.91</v>
      </c>
      <c r="S383" s="106" t="n">
        <v>0</v>
      </c>
      <c r="T383" s="106" t="n">
        <v>0</v>
      </c>
      <c r="U383" s="106" t="n">
        <v>318999</v>
      </c>
      <c r="V383" s="106" t="s">
        <v>143</v>
      </c>
      <c r="Z383" s="106" t="n">
        <v>102622</v>
      </c>
      <c r="AD383" s="106" t="n">
        <v>110000</v>
      </c>
      <c r="AE383" s="106" t="s">
        <v>1966</v>
      </c>
      <c r="AF383" s="106" t="n">
        <v>501040</v>
      </c>
      <c r="AG383" s="106" t="s">
        <v>2036</v>
      </c>
      <c r="AI383" s="106" t="n">
        <v>501040</v>
      </c>
      <c r="AJ383" s="106" t="s">
        <v>2036</v>
      </c>
      <c r="AK383" s="106" t="n">
        <v>0</v>
      </c>
      <c r="AL383" s="106" t="n">
        <v>1</v>
      </c>
      <c r="AM383" s="106" t="s">
        <v>161</v>
      </c>
      <c r="AP383" s="106" t="n">
        <v>100039983</v>
      </c>
      <c r="AQ383" s="129" t="n">
        <v>43645</v>
      </c>
      <c r="AR383" s="129" t="n">
        <v>43619</v>
      </c>
      <c r="AS383" s="106" t="n">
        <v>0.596481481481481</v>
      </c>
      <c r="AT383" s="106" t="n">
        <v>0</v>
      </c>
      <c r="AU383" s="106" t="n">
        <v>0</v>
      </c>
      <c r="AX383" s="106" t="n">
        <v>1</v>
      </c>
      <c r="ALU383" s="0"/>
      <c r="ALV383" s="0"/>
      <c r="ALW383" s="0"/>
      <c r="ALX383" s="0"/>
      <c r="ALY383" s="0"/>
      <c r="ALZ383" s="0"/>
      <c r="AMA383" s="0"/>
      <c r="AMB383" s="0"/>
      <c r="AMC383" s="0"/>
      <c r="AMD383" s="0"/>
      <c r="AME383" s="0"/>
      <c r="AMF383" s="0"/>
      <c r="AMG383" s="0"/>
      <c r="AMH383" s="0"/>
      <c r="AMI383" s="0"/>
      <c r="AMJ383" s="0"/>
    </row>
    <row r="384" customFormat="false" ht="13.8" hidden="true" customHeight="false" outlineLevel="0" collapsed="false">
      <c r="A384" s="117" t="n">
        <v>1000</v>
      </c>
      <c r="B384" s="117" t="s">
        <v>1962</v>
      </c>
      <c r="C384" s="117" t="n">
        <v>1600000093</v>
      </c>
      <c r="E384" s="117" t="s">
        <v>1987</v>
      </c>
      <c r="F384" s="117" t="n">
        <v>1301</v>
      </c>
      <c r="G384" s="117" t="n">
        <v>2019</v>
      </c>
      <c r="H384" s="117" t="n">
        <v>3</v>
      </c>
      <c r="I384" s="118" t="n">
        <v>43645</v>
      </c>
      <c r="J384" s="118" t="n">
        <v>43645</v>
      </c>
      <c r="K384" s="119" t="n">
        <v>-19270</v>
      </c>
      <c r="L384" s="128" t="n">
        <f aca="false">K384-Q384+T384</f>
        <v>-19270</v>
      </c>
      <c r="M384" s="117" t="s">
        <v>149</v>
      </c>
      <c r="N384" s="117" t="n">
        <v>-19270</v>
      </c>
      <c r="O384" s="117" t="s">
        <v>149</v>
      </c>
      <c r="P384" s="117" t="n">
        <v>-19270</v>
      </c>
      <c r="Q384" s="117" t="n">
        <v>0</v>
      </c>
      <c r="R384" s="117" t="n">
        <v>-19270</v>
      </c>
      <c r="S384" s="117" t="n">
        <v>0</v>
      </c>
      <c r="T384" s="117" t="n">
        <v>0</v>
      </c>
      <c r="U384" s="117" t="n">
        <v>312193</v>
      </c>
      <c r="V384" s="117" t="s">
        <v>1963</v>
      </c>
      <c r="X384" s="117" t="s">
        <v>2226</v>
      </c>
      <c r="Y384" s="117" t="s">
        <v>2164</v>
      </c>
      <c r="Z384" s="117" t="n">
        <v>1600000093</v>
      </c>
      <c r="AD384" s="117" t="n">
        <v>110000</v>
      </c>
      <c r="AE384" s="117" t="s">
        <v>1966</v>
      </c>
      <c r="AF384" s="117" t="n">
        <v>111201</v>
      </c>
      <c r="AG384" s="117" t="s">
        <v>2165</v>
      </c>
      <c r="AI384" s="117" t="n">
        <v>111201</v>
      </c>
      <c r="AJ384" s="117" t="s">
        <v>2165</v>
      </c>
      <c r="AK384" s="117" t="n">
        <v>0</v>
      </c>
      <c r="AL384" s="117" t="n">
        <v>14</v>
      </c>
      <c r="AM384" s="117" t="s">
        <v>225</v>
      </c>
      <c r="AP384" s="117" t="n">
        <v>100048554</v>
      </c>
      <c r="AQ384" s="118" t="n">
        <v>43646</v>
      </c>
      <c r="AR384" s="118" t="n">
        <v>43645</v>
      </c>
      <c r="AS384" s="117" t="n">
        <v>0.736967592592593</v>
      </c>
      <c r="AT384" s="117" t="n">
        <v>0</v>
      </c>
      <c r="AU384" s="117" t="n">
        <v>0</v>
      </c>
      <c r="AX384" s="117" t="n">
        <v>2</v>
      </c>
    </row>
    <row r="385" customFormat="false" ht="13.8" hidden="true" customHeight="false" outlineLevel="0" collapsed="false">
      <c r="A385" s="117" t="n">
        <v>1000</v>
      </c>
      <c r="B385" s="117" t="s">
        <v>1962</v>
      </c>
      <c r="C385" s="117" t="n">
        <v>100039982</v>
      </c>
      <c r="E385" s="117" t="s">
        <v>1921</v>
      </c>
      <c r="F385" s="117" t="n">
        <v>1108</v>
      </c>
      <c r="G385" s="117" t="n">
        <v>2019</v>
      </c>
      <c r="H385" s="117" t="n">
        <v>3</v>
      </c>
      <c r="I385" s="118" t="n">
        <v>43645</v>
      </c>
      <c r="J385" s="118" t="n">
        <v>43645</v>
      </c>
      <c r="K385" s="119" t="n">
        <v>-1178079.77</v>
      </c>
      <c r="L385" s="128" t="n">
        <f aca="false">K385-Q385+T385</f>
        <v>-1178079.77</v>
      </c>
      <c r="M385" s="117" t="s">
        <v>149</v>
      </c>
      <c r="N385" s="117" t="n">
        <v>-1178079.77</v>
      </c>
      <c r="O385" s="117" t="s">
        <v>149</v>
      </c>
      <c r="P385" s="117" t="n">
        <v>0</v>
      </c>
      <c r="Q385" s="117" t="n">
        <v>0</v>
      </c>
      <c r="R385" s="117" t="n">
        <v>-1178079.77</v>
      </c>
      <c r="S385" s="117" t="n">
        <v>0</v>
      </c>
      <c r="T385" s="117" t="n">
        <v>0</v>
      </c>
      <c r="U385" s="117" t="n">
        <v>318999</v>
      </c>
      <c r="V385" s="117" t="s">
        <v>143</v>
      </c>
      <c r="Z385" s="117" t="n">
        <v>100039982</v>
      </c>
      <c r="AD385" s="117" t="n">
        <v>110000</v>
      </c>
      <c r="AE385" s="117" t="s">
        <v>1966</v>
      </c>
      <c r="AF385" s="117" t="n">
        <v>110000</v>
      </c>
      <c r="AG385" s="117" t="s">
        <v>1966</v>
      </c>
      <c r="AI385" s="117" t="n">
        <v>110000</v>
      </c>
      <c r="AJ385" s="117" t="s">
        <v>1966</v>
      </c>
      <c r="AK385" s="117" t="n">
        <v>0</v>
      </c>
      <c r="AL385" s="117" t="n">
        <v>17</v>
      </c>
      <c r="AM385" s="117" t="s">
        <v>225</v>
      </c>
      <c r="AP385" s="117" t="n">
        <v>100039982</v>
      </c>
      <c r="AQ385" s="118" t="n">
        <v>43645</v>
      </c>
      <c r="AR385" s="118" t="n">
        <v>43646</v>
      </c>
      <c r="AS385" s="117" t="n">
        <v>0.417488425925926</v>
      </c>
      <c r="AT385" s="117" t="n">
        <v>0</v>
      </c>
      <c r="AU385" s="117" t="n">
        <v>0</v>
      </c>
      <c r="AX385" s="117" t="n">
        <v>3</v>
      </c>
    </row>
    <row r="386" customFormat="false" ht="13.8" hidden="true" customHeight="false" outlineLevel="0" collapsed="false">
      <c r="A386" s="117" t="n">
        <v>1000</v>
      </c>
      <c r="B386" s="117" t="s">
        <v>1962</v>
      </c>
      <c r="C386" s="117" t="n">
        <v>100048609</v>
      </c>
      <c r="E386" s="117" t="s">
        <v>1921</v>
      </c>
      <c r="F386" s="117" t="n">
        <v>1109</v>
      </c>
      <c r="G386" s="117" t="n">
        <v>2019</v>
      </c>
      <c r="H386" s="117" t="n">
        <v>3</v>
      </c>
      <c r="I386" s="118" t="n">
        <v>43646</v>
      </c>
      <c r="J386" s="118" t="n">
        <v>43646</v>
      </c>
      <c r="K386" s="119" t="n">
        <v>3013</v>
      </c>
      <c r="L386" s="128" t="n">
        <f aca="false">K386-Q386+T386</f>
        <v>3013</v>
      </c>
      <c r="M386" s="117" t="s">
        <v>149</v>
      </c>
      <c r="N386" s="117" t="n">
        <v>3013</v>
      </c>
      <c r="O386" s="117" t="s">
        <v>149</v>
      </c>
      <c r="P386" s="117" t="n">
        <v>0</v>
      </c>
      <c r="Q386" s="117" t="n">
        <v>0</v>
      </c>
      <c r="R386" s="117" t="n">
        <v>3013</v>
      </c>
      <c r="S386" s="117" t="n">
        <v>0</v>
      </c>
      <c r="T386" s="117" t="n">
        <v>0</v>
      </c>
      <c r="U386" s="117" t="n">
        <v>318420</v>
      </c>
      <c r="V386" s="117" t="s">
        <v>2153</v>
      </c>
      <c r="X386" s="117" t="s">
        <v>2227</v>
      </c>
      <c r="Z386" s="117" t="n">
        <v>2391</v>
      </c>
      <c r="AB386" s="117" t="s">
        <v>2228</v>
      </c>
      <c r="AD386" s="117" t="n">
        <v>110000</v>
      </c>
      <c r="AE386" s="117" t="s">
        <v>1966</v>
      </c>
      <c r="AF386" s="117" t="n">
        <v>110000</v>
      </c>
      <c r="AG386" s="117" t="s">
        <v>1966</v>
      </c>
      <c r="AI386" s="117" t="n">
        <v>110000</v>
      </c>
      <c r="AJ386" s="117" t="s">
        <v>1966</v>
      </c>
      <c r="AK386" s="117" t="n">
        <v>0</v>
      </c>
      <c r="AL386" s="117" t="n">
        <v>4</v>
      </c>
      <c r="AM386" s="117" t="s">
        <v>161</v>
      </c>
      <c r="AP386" s="117" t="n">
        <v>100173338</v>
      </c>
      <c r="AQ386" s="118" t="n">
        <v>43799</v>
      </c>
      <c r="AR386" s="118" t="n">
        <v>43647</v>
      </c>
      <c r="AS386" s="117" t="n">
        <v>0.208842592592593</v>
      </c>
      <c r="AT386" s="117" t="n">
        <v>0</v>
      </c>
      <c r="AU386" s="117" t="n">
        <v>0</v>
      </c>
      <c r="AX386" s="117" t="n">
        <v>1</v>
      </c>
    </row>
    <row r="387" customFormat="false" ht="13.8" hidden="true" customHeight="false" outlineLevel="0" collapsed="false">
      <c r="A387" s="117" t="n">
        <v>1000</v>
      </c>
      <c r="B387" s="117" t="s">
        <v>1962</v>
      </c>
      <c r="C387" s="117" t="n">
        <v>100048479</v>
      </c>
      <c r="E387" s="117" t="s">
        <v>1921</v>
      </c>
      <c r="F387" s="117" t="n">
        <v>1108</v>
      </c>
      <c r="G387" s="117" t="n">
        <v>2019</v>
      </c>
      <c r="H387" s="117" t="n">
        <v>3</v>
      </c>
      <c r="I387" s="118" t="n">
        <v>43646</v>
      </c>
      <c r="J387" s="118" t="n">
        <v>43646</v>
      </c>
      <c r="K387" s="119" t="n">
        <v>-1014767.56</v>
      </c>
      <c r="L387" s="128" t="n">
        <f aca="false">K387-Q387+T387</f>
        <v>-1014767.56</v>
      </c>
      <c r="M387" s="117" t="s">
        <v>149</v>
      </c>
      <c r="N387" s="117" t="n">
        <v>-1014767.56</v>
      </c>
      <c r="O387" s="117" t="s">
        <v>149</v>
      </c>
      <c r="P387" s="117" t="n">
        <v>0</v>
      </c>
      <c r="Q387" s="117" t="n">
        <v>0</v>
      </c>
      <c r="R387" s="117" t="n">
        <v>-1014767.56</v>
      </c>
      <c r="S387" s="117" t="n">
        <v>0</v>
      </c>
      <c r="T387" s="117" t="n">
        <v>0</v>
      </c>
      <c r="U387" s="117" t="n">
        <v>306263</v>
      </c>
      <c r="V387" s="117" t="s">
        <v>2006</v>
      </c>
      <c r="Z387" s="117" t="n">
        <v>100048479</v>
      </c>
      <c r="AD387" s="117" t="n">
        <v>110000</v>
      </c>
      <c r="AE387" s="117" t="s">
        <v>1966</v>
      </c>
      <c r="AF387" s="117" t="n">
        <v>110000</v>
      </c>
      <c r="AG387" s="117" t="s">
        <v>1966</v>
      </c>
      <c r="AI387" s="117" t="n">
        <v>110000</v>
      </c>
      <c r="AJ387" s="117" t="s">
        <v>1966</v>
      </c>
      <c r="AK387" s="117" t="n">
        <v>0</v>
      </c>
      <c r="AL387" s="117" t="n">
        <v>17</v>
      </c>
      <c r="AM387" s="117" t="s">
        <v>225</v>
      </c>
      <c r="AP387" s="117" t="n">
        <v>100048479</v>
      </c>
      <c r="AQ387" s="118" t="n">
        <v>43646</v>
      </c>
      <c r="AR387" s="118" t="n">
        <v>43647</v>
      </c>
      <c r="AS387" s="117" t="n">
        <v>0.169166666666667</v>
      </c>
      <c r="AT387" s="117" t="n">
        <v>0</v>
      </c>
      <c r="AU387" s="117" t="n">
        <v>0</v>
      </c>
      <c r="AX387" s="117" t="n">
        <v>3</v>
      </c>
    </row>
    <row r="388" s="106" customFormat="true" ht="13.8" hidden="true" customHeight="false" outlineLevel="0" collapsed="false">
      <c r="A388" s="106" t="n">
        <v>1000</v>
      </c>
      <c r="B388" s="106" t="s">
        <v>1962</v>
      </c>
      <c r="C388" s="106" t="n">
        <v>102405</v>
      </c>
      <c r="D388" s="106" t="s">
        <v>2151</v>
      </c>
      <c r="E388" s="106" t="s">
        <v>1970</v>
      </c>
      <c r="F388" s="106" t="n">
        <v>1101</v>
      </c>
      <c r="G388" s="106" t="n">
        <v>2019</v>
      </c>
      <c r="H388" s="106" t="n">
        <v>2</v>
      </c>
      <c r="I388" s="129" t="n">
        <v>43615</v>
      </c>
      <c r="J388" s="129" t="n">
        <v>43615</v>
      </c>
      <c r="K388" s="107" t="n">
        <v>5851979.36</v>
      </c>
      <c r="L388" s="130" t="n">
        <f aca="false">K388-Q388+T388</f>
        <v>4959304.54</v>
      </c>
      <c r="M388" s="106" t="s">
        <v>149</v>
      </c>
      <c r="N388" s="106" t="n">
        <v>5851979.36</v>
      </c>
      <c r="O388" s="106" t="s">
        <v>149</v>
      </c>
      <c r="P388" s="106" t="n">
        <v>0</v>
      </c>
      <c r="Q388" s="107" t="n">
        <v>892674.82</v>
      </c>
      <c r="R388" s="106" t="n">
        <v>4959304.54</v>
      </c>
      <c r="S388" s="106" t="n">
        <v>0</v>
      </c>
      <c r="T388" s="106" t="n">
        <v>0</v>
      </c>
      <c r="U388" s="106" t="n">
        <v>312193</v>
      </c>
      <c r="V388" s="106" t="s">
        <v>1963</v>
      </c>
      <c r="Z388" s="106" t="n">
        <v>1414</v>
      </c>
      <c r="AB388" s="106" t="s">
        <v>2152</v>
      </c>
      <c r="AD388" s="106" t="n">
        <v>110000</v>
      </c>
      <c r="AE388" s="106" t="s">
        <v>1966</v>
      </c>
      <c r="AF388" s="106" t="n">
        <v>501020</v>
      </c>
      <c r="AG388" s="106" t="s">
        <v>1971</v>
      </c>
      <c r="AI388" s="106" t="n">
        <v>501020</v>
      </c>
      <c r="AJ388" s="106" t="s">
        <v>1971</v>
      </c>
      <c r="AK388" s="106" t="n">
        <v>0</v>
      </c>
      <c r="AL388" s="106" t="n">
        <v>1</v>
      </c>
      <c r="AM388" s="106" t="s">
        <v>161</v>
      </c>
      <c r="AP388" s="106" t="n">
        <v>100022449</v>
      </c>
      <c r="AQ388" s="129" t="n">
        <v>43616</v>
      </c>
      <c r="AR388" s="129" t="n">
        <v>43615</v>
      </c>
      <c r="AS388" s="106" t="n">
        <v>0.678275462962963</v>
      </c>
      <c r="AT388" s="106" t="n">
        <v>0</v>
      </c>
      <c r="AU388" s="106" t="n">
        <v>0</v>
      </c>
      <c r="AX388" s="106" t="n">
        <v>1</v>
      </c>
      <c r="ALU388" s="0"/>
      <c r="ALV388" s="0"/>
      <c r="ALW388" s="0"/>
      <c r="ALX388" s="0"/>
      <c r="ALY388" s="0"/>
      <c r="ALZ388" s="0"/>
      <c r="AMA388" s="0"/>
      <c r="AMB388" s="0"/>
      <c r="AMC388" s="0"/>
      <c r="AMD388" s="0"/>
      <c r="AME388" s="0"/>
      <c r="AMF388" s="0"/>
      <c r="AMG388" s="0"/>
      <c r="AMH388" s="0"/>
      <c r="AMI388" s="0"/>
      <c r="AMJ388" s="0"/>
    </row>
    <row r="389" customFormat="false" ht="13.8" hidden="true" customHeight="false" outlineLevel="0" collapsed="false">
      <c r="A389" s="117" t="n">
        <v>1000</v>
      </c>
      <c r="B389" s="117" t="s">
        <v>1962</v>
      </c>
      <c r="C389" s="117" t="n">
        <v>1400000995</v>
      </c>
      <c r="E389" s="117" t="s">
        <v>1972</v>
      </c>
      <c r="F389" s="117" t="n">
        <v>1106</v>
      </c>
      <c r="G389" s="117" t="n">
        <v>2019</v>
      </c>
      <c r="H389" s="117" t="n">
        <v>1</v>
      </c>
      <c r="I389" s="118" t="n">
        <v>43559</v>
      </c>
      <c r="J389" s="118" t="n">
        <v>43559</v>
      </c>
      <c r="K389" s="119" t="n">
        <v>-137519.56</v>
      </c>
      <c r="L389" s="128" t="n">
        <f aca="false">K389-Q389+T389</f>
        <v>-137519.56</v>
      </c>
      <c r="M389" s="117" t="s">
        <v>149</v>
      </c>
      <c r="N389" s="117" t="n">
        <v>-137519.56</v>
      </c>
      <c r="O389" s="117" t="s">
        <v>149</v>
      </c>
      <c r="P389" s="117" t="n">
        <v>0</v>
      </c>
      <c r="Q389" s="117" t="n">
        <v>0</v>
      </c>
      <c r="R389" s="117" t="n">
        <v>-137519.56</v>
      </c>
      <c r="S389" s="117" t="n">
        <v>0</v>
      </c>
      <c r="T389" s="117" t="n">
        <v>0</v>
      </c>
      <c r="U389" s="117" t="n">
        <v>315113</v>
      </c>
      <c r="V389" s="117" t="s">
        <v>143</v>
      </c>
      <c r="X389" s="117" t="s">
        <v>2229</v>
      </c>
      <c r="Y389" s="117" t="s">
        <v>2230</v>
      </c>
      <c r="Z389" s="117" t="n">
        <v>1400000995</v>
      </c>
      <c r="AC389" s="117" t="s">
        <v>1976</v>
      </c>
      <c r="AD389" s="117" t="n">
        <v>310300</v>
      </c>
      <c r="AE389" s="117" t="s">
        <v>1969</v>
      </c>
      <c r="AF389" s="117" t="n">
        <v>101105</v>
      </c>
      <c r="AG389" s="117" t="s">
        <v>1977</v>
      </c>
      <c r="AI389" s="117" t="n">
        <v>101105</v>
      </c>
      <c r="AJ389" s="117" t="s">
        <v>1977</v>
      </c>
      <c r="AK389" s="117" t="n">
        <v>0</v>
      </c>
      <c r="AL389" s="117" t="n">
        <v>19</v>
      </c>
      <c r="AM389" s="117" t="s">
        <v>225</v>
      </c>
      <c r="AN389" s="117" t="s">
        <v>1978</v>
      </c>
      <c r="AP389" s="117" t="n">
        <v>100012558</v>
      </c>
      <c r="AQ389" s="118" t="n">
        <v>43585</v>
      </c>
      <c r="AR389" s="118" t="n">
        <v>43587</v>
      </c>
      <c r="AS389" s="117" t="n">
        <v>0.52005787037037</v>
      </c>
      <c r="AT389" s="117" t="n">
        <v>0</v>
      </c>
      <c r="AU389" s="117" t="n">
        <v>0</v>
      </c>
      <c r="AX389" s="117" t="n">
        <v>2</v>
      </c>
    </row>
    <row r="390" customFormat="false" ht="13.8" hidden="true" customHeight="false" outlineLevel="0" collapsed="false">
      <c r="A390" s="117" t="n">
        <v>1000</v>
      </c>
      <c r="B390" s="117" t="s">
        <v>1962</v>
      </c>
      <c r="C390" s="117" t="n">
        <v>1400000928</v>
      </c>
      <c r="E390" s="117" t="s">
        <v>1972</v>
      </c>
      <c r="F390" s="117" t="n">
        <v>1101</v>
      </c>
      <c r="G390" s="117" t="n">
        <v>2019</v>
      </c>
      <c r="H390" s="117" t="n">
        <v>1</v>
      </c>
      <c r="I390" s="118" t="n">
        <v>43584</v>
      </c>
      <c r="J390" s="118" t="n">
        <v>43584</v>
      </c>
      <c r="K390" s="119" t="n">
        <v>-214335.34</v>
      </c>
      <c r="L390" s="128" t="n">
        <f aca="false">K390-Q390+T390</f>
        <v>-214335.34</v>
      </c>
      <c r="M390" s="117" t="s">
        <v>149</v>
      </c>
      <c r="N390" s="117" t="n">
        <v>-214335.34</v>
      </c>
      <c r="O390" s="117" t="s">
        <v>149</v>
      </c>
      <c r="P390" s="117" t="n">
        <v>0</v>
      </c>
      <c r="Q390" s="117" t="n">
        <v>0</v>
      </c>
      <c r="R390" s="117" t="n">
        <v>-214335.34</v>
      </c>
      <c r="S390" s="117" t="n">
        <v>0</v>
      </c>
      <c r="T390" s="117" t="n">
        <v>0</v>
      </c>
      <c r="U390" s="117" t="n">
        <v>314258</v>
      </c>
      <c r="V390" s="117" t="s">
        <v>143</v>
      </c>
      <c r="X390" s="117" t="s">
        <v>2231</v>
      </c>
      <c r="Y390" s="117" t="s">
        <v>2232</v>
      </c>
      <c r="Z390" s="117" t="n">
        <v>1400000928</v>
      </c>
      <c r="AC390" s="117" t="s">
        <v>1976</v>
      </c>
      <c r="AD390" s="117" t="n">
        <v>310300</v>
      </c>
      <c r="AE390" s="117" t="s">
        <v>1969</v>
      </c>
      <c r="AF390" s="117" t="n">
        <v>101105</v>
      </c>
      <c r="AG390" s="117" t="s">
        <v>1977</v>
      </c>
      <c r="AI390" s="117" t="n">
        <v>101105</v>
      </c>
      <c r="AJ390" s="117" t="s">
        <v>1977</v>
      </c>
      <c r="AK390" s="117" t="n">
        <v>0</v>
      </c>
      <c r="AL390" s="117" t="n">
        <v>19</v>
      </c>
      <c r="AM390" s="117" t="s">
        <v>225</v>
      </c>
      <c r="AN390" s="117" t="s">
        <v>1978</v>
      </c>
      <c r="AP390" s="117" t="n">
        <v>100005116</v>
      </c>
      <c r="AQ390" s="118" t="n">
        <v>43585</v>
      </c>
      <c r="AR390" s="118" t="n">
        <v>43585</v>
      </c>
      <c r="AS390" s="117" t="n">
        <v>0.640486111111111</v>
      </c>
      <c r="AT390" s="117" t="n">
        <v>0</v>
      </c>
      <c r="AU390" s="117" t="n">
        <v>0</v>
      </c>
      <c r="AX390" s="117" t="n">
        <v>2</v>
      </c>
    </row>
    <row r="391" customFormat="false" ht="13.8" hidden="true" customHeight="false" outlineLevel="0" collapsed="false">
      <c r="A391" s="117" t="n">
        <v>1000</v>
      </c>
      <c r="B391" s="117" t="s">
        <v>1962</v>
      </c>
      <c r="C391" s="117" t="n">
        <v>100031512</v>
      </c>
      <c r="E391" s="117" t="s">
        <v>1921</v>
      </c>
      <c r="F391" s="117" t="n">
        <v>1108</v>
      </c>
      <c r="G391" s="117" t="n">
        <v>2019</v>
      </c>
      <c r="H391" s="117" t="n">
        <v>2</v>
      </c>
      <c r="I391" s="118" t="n">
        <v>43616</v>
      </c>
      <c r="J391" s="118" t="n">
        <v>43616</v>
      </c>
      <c r="K391" s="119" t="n">
        <v>2322.92</v>
      </c>
      <c r="L391" s="128" t="n">
        <f aca="false">K391-Q391+T391</f>
        <v>2322.92</v>
      </c>
      <c r="M391" s="117" t="s">
        <v>149</v>
      </c>
      <c r="N391" s="117" t="n">
        <v>2322.92</v>
      </c>
      <c r="O391" s="117" t="s">
        <v>149</v>
      </c>
      <c r="P391" s="117" t="n">
        <v>0</v>
      </c>
      <c r="Q391" s="117" t="n">
        <v>0</v>
      </c>
      <c r="R391" s="117" t="n">
        <v>2322.92</v>
      </c>
      <c r="S391" s="117" t="n">
        <v>0</v>
      </c>
      <c r="T391" s="117" t="n">
        <v>0</v>
      </c>
      <c r="U391" s="117" t="n">
        <v>314258</v>
      </c>
      <c r="V391" s="117" t="s">
        <v>143</v>
      </c>
      <c r="X391" s="117" t="s">
        <v>2233</v>
      </c>
      <c r="Z391" s="117" t="n">
        <v>2249</v>
      </c>
      <c r="AB391" s="117" t="s">
        <v>2234</v>
      </c>
      <c r="AD391" s="117" t="n">
        <v>110000</v>
      </c>
      <c r="AE391" s="117" t="s">
        <v>1966</v>
      </c>
      <c r="AF391" s="117" t="n">
        <v>110000</v>
      </c>
      <c r="AG391" s="117" t="s">
        <v>1966</v>
      </c>
      <c r="AI391" s="117" t="n">
        <v>110000</v>
      </c>
      <c r="AJ391" s="117" t="s">
        <v>1966</v>
      </c>
      <c r="AK391" s="117" t="n">
        <v>0</v>
      </c>
      <c r="AL391" s="117" t="n">
        <v>4</v>
      </c>
      <c r="AM391" s="117" t="s">
        <v>161</v>
      </c>
      <c r="AR391" s="118" t="n">
        <v>43619</v>
      </c>
      <c r="AS391" s="117" t="n">
        <v>0.465694444444444</v>
      </c>
      <c r="AT391" s="117" t="n">
        <v>0</v>
      </c>
      <c r="AU391" s="117" t="n">
        <v>0</v>
      </c>
      <c r="AX391" s="117" t="n">
        <v>2</v>
      </c>
    </row>
    <row r="392" customFormat="false" ht="13.8" hidden="true" customHeight="false" outlineLevel="0" collapsed="false">
      <c r="A392" s="117" t="n">
        <v>1000</v>
      </c>
      <c r="B392" s="117" t="s">
        <v>1962</v>
      </c>
      <c r="C392" s="117" t="n">
        <v>100022447</v>
      </c>
      <c r="E392" s="117" t="s">
        <v>1921</v>
      </c>
      <c r="F392" s="117" t="n">
        <v>1109</v>
      </c>
      <c r="G392" s="117" t="n">
        <v>2019</v>
      </c>
      <c r="H392" s="117" t="n">
        <v>2</v>
      </c>
      <c r="I392" s="118" t="n">
        <v>43616</v>
      </c>
      <c r="J392" s="118" t="n">
        <v>43616</v>
      </c>
      <c r="K392" s="119" t="n">
        <v>0.32</v>
      </c>
      <c r="L392" s="128" t="n">
        <f aca="false">K392-Q392+T392</f>
        <v>0.32</v>
      </c>
      <c r="M392" s="117" t="s">
        <v>149</v>
      </c>
      <c r="N392" s="117" t="n">
        <v>0.32</v>
      </c>
      <c r="O392" s="117" t="s">
        <v>149</v>
      </c>
      <c r="P392" s="117" t="n">
        <v>0</v>
      </c>
      <c r="Q392" s="117" t="n">
        <v>0</v>
      </c>
      <c r="R392" s="117" t="n">
        <v>0.32</v>
      </c>
      <c r="S392" s="117" t="n">
        <v>0</v>
      </c>
      <c r="T392" s="117" t="n">
        <v>0</v>
      </c>
      <c r="U392" s="117" t="n">
        <v>312193</v>
      </c>
      <c r="V392" s="117" t="s">
        <v>1963</v>
      </c>
      <c r="Z392" s="117" t="n">
        <v>55901</v>
      </c>
      <c r="AB392" s="117" t="s">
        <v>2235</v>
      </c>
      <c r="AD392" s="117" t="n">
        <v>110000</v>
      </c>
      <c r="AE392" s="117" t="s">
        <v>1966</v>
      </c>
      <c r="AF392" s="117" t="n">
        <v>110000</v>
      </c>
      <c r="AG392" s="117" t="s">
        <v>1966</v>
      </c>
      <c r="AI392" s="117" t="n">
        <v>110000</v>
      </c>
      <c r="AJ392" s="117" t="s">
        <v>1966</v>
      </c>
      <c r="AK392" s="117" t="n">
        <v>0</v>
      </c>
      <c r="AL392" s="117" t="n">
        <v>4</v>
      </c>
      <c r="AM392" s="117" t="s">
        <v>161</v>
      </c>
      <c r="AR392" s="118" t="n">
        <v>43617</v>
      </c>
      <c r="AS392" s="117" t="n">
        <v>0.592361111111111</v>
      </c>
      <c r="AT392" s="117" t="n">
        <v>0</v>
      </c>
      <c r="AU392" s="117" t="n">
        <v>0</v>
      </c>
      <c r="AX392" s="117" t="n">
        <v>5</v>
      </c>
    </row>
    <row r="393" customFormat="false" ht="13.8" hidden="true" customHeight="false" outlineLevel="0" collapsed="false">
      <c r="A393" s="117" t="n">
        <v>1000</v>
      </c>
      <c r="B393" s="117" t="s">
        <v>1962</v>
      </c>
      <c r="C393" s="117" t="n">
        <v>100005107</v>
      </c>
      <c r="E393" s="117" t="s">
        <v>1921</v>
      </c>
      <c r="F393" s="117" t="n">
        <v>1108</v>
      </c>
      <c r="G393" s="117" t="n">
        <v>2019</v>
      </c>
      <c r="H393" s="117" t="n">
        <v>1</v>
      </c>
      <c r="I393" s="118" t="n">
        <v>43585</v>
      </c>
      <c r="J393" s="118" t="n">
        <v>43585</v>
      </c>
      <c r="K393" s="119" t="n">
        <v>-638232.74</v>
      </c>
      <c r="L393" s="128" t="n">
        <f aca="false">K393-Q393+T393</f>
        <v>-638232.74</v>
      </c>
      <c r="M393" s="117" t="s">
        <v>149</v>
      </c>
      <c r="N393" s="117" t="n">
        <v>-638232.74</v>
      </c>
      <c r="O393" s="117" t="s">
        <v>149</v>
      </c>
      <c r="P393" s="117" t="n">
        <v>0</v>
      </c>
      <c r="Q393" s="117" t="n">
        <v>0</v>
      </c>
      <c r="R393" s="117" t="n">
        <v>-638232.74</v>
      </c>
      <c r="S393" s="117" t="n">
        <v>0</v>
      </c>
      <c r="T393" s="117" t="n">
        <v>0</v>
      </c>
      <c r="U393" s="117" t="n">
        <v>312193</v>
      </c>
      <c r="V393" s="117" t="s">
        <v>1963</v>
      </c>
      <c r="Z393" s="117" t="n">
        <v>100005107</v>
      </c>
      <c r="AD393" s="117" t="n">
        <v>110000</v>
      </c>
      <c r="AE393" s="117" t="s">
        <v>1966</v>
      </c>
      <c r="AF393" s="117" t="n">
        <v>110000</v>
      </c>
      <c r="AG393" s="117" t="s">
        <v>1966</v>
      </c>
      <c r="AI393" s="117" t="n">
        <v>110000</v>
      </c>
      <c r="AJ393" s="117" t="s">
        <v>1966</v>
      </c>
      <c r="AK393" s="117" t="n">
        <v>0</v>
      </c>
      <c r="AL393" s="117" t="n">
        <v>17</v>
      </c>
      <c r="AM393" s="117" t="s">
        <v>225</v>
      </c>
      <c r="AP393" s="117" t="n">
        <v>100005107</v>
      </c>
      <c r="AQ393" s="118" t="n">
        <v>43585</v>
      </c>
      <c r="AR393" s="118" t="n">
        <v>43586</v>
      </c>
      <c r="AS393" s="117" t="n">
        <v>0.427592592592593</v>
      </c>
      <c r="AT393" s="117" t="n">
        <v>0</v>
      </c>
      <c r="AU393" s="117" t="n">
        <v>0</v>
      </c>
      <c r="AX393" s="117" t="n">
        <v>10</v>
      </c>
    </row>
    <row r="394" s="106" customFormat="true" ht="13.8" hidden="true" customHeight="false" outlineLevel="0" collapsed="false">
      <c r="A394" s="106" t="n">
        <v>1000</v>
      </c>
      <c r="B394" s="106" t="s">
        <v>1962</v>
      </c>
      <c r="C394" s="106" t="n">
        <v>107726</v>
      </c>
      <c r="D394" s="106" t="s">
        <v>1831</v>
      </c>
      <c r="E394" s="106" t="s">
        <v>1970</v>
      </c>
      <c r="F394" s="106" t="n">
        <v>1109</v>
      </c>
      <c r="G394" s="106" t="n">
        <v>2019</v>
      </c>
      <c r="H394" s="106" t="n">
        <v>7</v>
      </c>
      <c r="I394" s="129" t="n">
        <v>43749</v>
      </c>
      <c r="J394" s="129" t="n">
        <v>43749</v>
      </c>
      <c r="K394" s="107" t="n">
        <v>35683.2</v>
      </c>
      <c r="L394" s="130" t="n">
        <f aca="false">K394-Q394+T394</f>
        <v>30240</v>
      </c>
      <c r="M394" s="106" t="s">
        <v>149</v>
      </c>
      <c r="N394" s="106" t="n">
        <v>35683.2</v>
      </c>
      <c r="O394" s="106" t="s">
        <v>149</v>
      </c>
      <c r="P394" s="106" t="n">
        <v>0</v>
      </c>
      <c r="Q394" s="107" t="n">
        <v>5443.2</v>
      </c>
      <c r="R394" s="106" t="n">
        <v>30240</v>
      </c>
      <c r="S394" s="106" t="n">
        <v>0</v>
      </c>
      <c r="T394" s="106" t="n">
        <v>0</v>
      </c>
      <c r="U394" s="106" t="n">
        <v>312193</v>
      </c>
      <c r="V394" s="106" t="s">
        <v>1963</v>
      </c>
      <c r="Z394" s="106" t="n">
        <v>60960</v>
      </c>
      <c r="AB394" s="106" t="s">
        <v>2124</v>
      </c>
      <c r="AD394" s="106" t="n">
        <v>110000</v>
      </c>
      <c r="AE394" s="106" t="s">
        <v>1966</v>
      </c>
      <c r="AF394" s="106" t="n">
        <v>501005</v>
      </c>
      <c r="AG394" s="106" t="s">
        <v>2033</v>
      </c>
      <c r="AI394" s="106" t="n">
        <v>501005</v>
      </c>
      <c r="AJ394" s="106" t="s">
        <v>2033</v>
      </c>
      <c r="AK394" s="106" t="n">
        <v>0</v>
      </c>
      <c r="AL394" s="106" t="n">
        <v>1</v>
      </c>
      <c r="AM394" s="106" t="s">
        <v>161</v>
      </c>
      <c r="AP394" s="106" t="n">
        <v>100141449</v>
      </c>
      <c r="AQ394" s="129" t="n">
        <v>43766</v>
      </c>
      <c r="AR394" s="129" t="n">
        <v>43749</v>
      </c>
      <c r="AS394" s="106" t="n">
        <v>0.520578703703704</v>
      </c>
      <c r="AT394" s="106" t="n">
        <v>0</v>
      </c>
      <c r="AU394" s="106" t="n">
        <v>0</v>
      </c>
      <c r="AX394" s="106" t="n">
        <v>1</v>
      </c>
      <c r="ALU394" s="0"/>
      <c r="ALV394" s="0"/>
      <c r="ALW394" s="0"/>
      <c r="ALX394" s="0"/>
      <c r="ALY394" s="0"/>
      <c r="ALZ394" s="0"/>
      <c r="AMA394" s="0"/>
      <c r="AMB394" s="0"/>
      <c r="AMC394" s="0"/>
      <c r="AMD394" s="0"/>
      <c r="AME394" s="0"/>
      <c r="AMF394" s="0"/>
      <c r="AMG394" s="0"/>
      <c r="AMH394" s="0"/>
      <c r="AMI394" s="0"/>
      <c r="AMJ394" s="0"/>
    </row>
    <row r="395" customFormat="false" ht="13.8" hidden="true" customHeight="false" outlineLevel="0" collapsed="false">
      <c r="A395" s="117" t="n">
        <v>1000</v>
      </c>
      <c r="B395" s="117" t="s">
        <v>1962</v>
      </c>
      <c r="C395" s="117" t="n">
        <v>1600000107</v>
      </c>
      <c r="D395" s="117" t="s">
        <v>2005</v>
      </c>
      <c r="E395" s="117" t="s">
        <v>1987</v>
      </c>
      <c r="F395" s="117" t="n">
        <v>1106</v>
      </c>
      <c r="G395" s="117" t="n">
        <v>2019</v>
      </c>
      <c r="H395" s="117" t="n">
        <v>3</v>
      </c>
      <c r="I395" s="118" t="n">
        <v>43646</v>
      </c>
      <c r="J395" s="118" t="n">
        <v>43646</v>
      </c>
      <c r="K395" s="119" t="n">
        <v>-195.62</v>
      </c>
      <c r="L395" s="128" t="n">
        <f aca="false">K395-Q395+T395</f>
        <v>-195.62</v>
      </c>
      <c r="M395" s="117" t="s">
        <v>149</v>
      </c>
      <c r="N395" s="117" t="n">
        <v>-195.62</v>
      </c>
      <c r="O395" s="117" t="s">
        <v>149</v>
      </c>
      <c r="P395" s="117" t="n">
        <v>-195.62</v>
      </c>
      <c r="Q395" s="117" t="n">
        <v>0</v>
      </c>
      <c r="R395" s="117" t="n">
        <v>-195.62</v>
      </c>
      <c r="S395" s="117" t="n">
        <v>0</v>
      </c>
      <c r="T395" s="117" t="n">
        <v>0</v>
      </c>
      <c r="U395" s="117" t="n">
        <v>306263</v>
      </c>
      <c r="V395" s="117" t="s">
        <v>2006</v>
      </c>
      <c r="X395" s="117" t="s">
        <v>2007</v>
      </c>
      <c r="Y395" s="117" t="s">
        <v>2008</v>
      </c>
      <c r="Z395" s="117" t="n">
        <v>1600000107</v>
      </c>
      <c r="AD395" s="117" t="n">
        <v>110000</v>
      </c>
      <c r="AE395" s="117" t="s">
        <v>1966</v>
      </c>
      <c r="AF395" s="117" t="n">
        <v>891305</v>
      </c>
      <c r="AG395" s="117" t="s">
        <v>2009</v>
      </c>
      <c r="AI395" s="117" t="n">
        <v>891305</v>
      </c>
      <c r="AJ395" s="117" t="s">
        <v>2009</v>
      </c>
      <c r="AK395" s="117" t="n">
        <v>0</v>
      </c>
      <c r="AL395" s="117" t="n">
        <v>14</v>
      </c>
      <c r="AM395" s="117" t="s">
        <v>225</v>
      </c>
      <c r="AP395" s="117" t="n">
        <v>100048886</v>
      </c>
      <c r="AQ395" s="118" t="n">
        <v>43646</v>
      </c>
      <c r="AR395" s="118" t="n">
        <v>43647</v>
      </c>
      <c r="AS395" s="117" t="n">
        <v>0.259560185185185</v>
      </c>
      <c r="AT395" s="117" t="n">
        <v>0</v>
      </c>
      <c r="AU395" s="117" t="n">
        <v>0</v>
      </c>
      <c r="AX395" s="117" t="n">
        <v>6</v>
      </c>
    </row>
    <row r="396" s="106" customFormat="true" ht="13.8" hidden="true" customHeight="false" outlineLevel="0" collapsed="false">
      <c r="A396" s="106" t="n">
        <v>1000</v>
      </c>
      <c r="B396" s="106" t="s">
        <v>1962</v>
      </c>
      <c r="C396" s="106" t="n">
        <v>107727</v>
      </c>
      <c r="D396" s="106" t="s">
        <v>1836</v>
      </c>
      <c r="E396" s="106" t="s">
        <v>1970</v>
      </c>
      <c r="F396" s="106" t="n">
        <v>1109</v>
      </c>
      <c r="G396" s="106" t="n">
        <v>2019</v>
      </c>
      <c r="H396" s="106" t="n">
        <v>7</v>
      </c>
      <c r="I396" s="129" t="n">
        <v>43749</v>
      </c>
      <c r="J396" s="129" t="n">
        <v>43749</v>
      </c>
      <c r="K396" s="107" t="n">
        <v>841923.86</v>
      </c>
      <c r="L396" s="130" t="n">
        <f aca="false">K396-Q396+T396</f>
        <v>713494.8</v>
      </c>
      <c r="M396" s="106" t="s">
        <v>149</v>
      </c>
      <c r="N396" s="106" t="n">
        <v>841923.86</v>
      </c>
      <c r="O396" s="106" t="s">
        <v>149</v>
      </c>
      <c r="P396" s="106" t="n">
        <v>0</v>
      </c>
      <c r="Q396" s="107" t="n">
        <v>128429.06</v>
      </c>
      <c r="R396" s="106" t="n">
        <v>713494.8</v>
      </c>
      <c r="S396" s="106" t="n">
        <v>0</v>
      </c>
      <c r="T396" s="106" t="n">
        <v>0</v>
      </c>
      <c r="U396" s="106" t="n">
        <v>312193</v>
      </c>
      <c r="V396" s="106" t="s">
        <v>1963</v>
      </c>
      <c r="Z396" s="106" t="n">
        <v>60960</v>
      </c>
      <c r="AB396" s="106" t="s">
        <v>2124</v>
      </c>
      <c r="AD396" s="106" t="n">
        <v>110000</v>
      </c>
      <c r="AE396" s="106" t="s">
        <v>1966</v>
      </c>
      <c r="AF396" s="106" t="n">
        <v>501005</v>
      </c>
      <c r="AG396" s="106" t="s">
        <v>2033</v>
      </c>
      <c r="AI396" s="106" t="n">
        <v>501005</v>
      </c>
      <c r="AJ396" s="106" t="s">
        <v>2033</v>
      </c>
      <c r="AK396" s="106" t="n">
        <v>0</v>
      </c>
      <c r="AL396" s="106" t="n">
        <v>1</v>
      </c>
      <c r="AM396" s="106" t="s">
        <v>161</v>
      </c>
      <c r="AP396" s="106" t="n">
        <v>100141449</v>
      </c>
      <c r="AQ396" s="129" t="n">
        <v>43766</v>
      </c>
      <c r="AR396" s="129" t="n">
        <v>43749</v>
      </c>
      <c r="AS396" s="106" t="n">
        <v>0.521585648148148</v>
      </c>
      <c r="AT396" s="106" t="n">
        <v>0</v>
      </c>
      <c r="AU396" s="106" t="n">
        <v>0</v>
      </c>
      <c r="AX396" s="106" t="n">
        <v>1</v>
      </c>
      <c r="ALU396" s="0"/>
      <c r="ALV396" s="0"/>
      <c r="ALW396" s="0"/>
      <c r="ALX396" s="0"/>
      <c r="ALY396" s="0"/>
      <c r="ALZ396" s="0"/>
      <c r="AMA396" s="0"/>
      <c r="AMB396" s="0"/>
      <c r="AMC396" s="0"/>
      <c r="AMD396" s="0"/>
      <c r="AME396" s="0"/>
      <c r="AMF396" s="0"/>
      <c r="AMG396" s="0"/>
      <c r="AMH396" s="0"/>
      <c r="AMI396" s="0"/>
      <c r="AMJ396" s="0"/>
    </row>
    <row r="397" customFormat="false" ht="13.8" hidden="true" customHeight="false" outlineLevel="0" collapsed="false">
      <c r="A397" s="117" t="n">
        <v>1000</v>
      </c>
      <c r="B397" s="117" t="s">
        <v>1962</v>
      </c>
      <c r="C397" s="117" t="n">
        <v>1600000018</v>
      </c>
      <c r="D397" s="117" t="s">
        <v>2175</v>
      </c>
      <c r="E397" s="117" t="s">
        <v>1987</v>
      </c>
      <c r="F397" s="117" t="n">
        <v>1106</v>
      </c>
      <c r="G397" s="117" t="n">
        <v>2019</v>
      </c>
      <c r="H397" s="117" t="n">
        <v>1</v>
      </c>
      <c r="I397" s="118" t="n">
        <v>43584</v>
      </c>
      <c r="J397" s="118" t="n">
        <v>43584</v>
      </c>
      <c r="K397" s="119" t="n">
        <v>24225.04</v>
      </c>
      <c r="L397" s="128" t="n">
        <f aca="false">K397-Q397+T397</f>
        <v>24225.04</v>
      </c>
      <c r="M397" s="117" t="s">
        <v>149</v>
      </c>
      <c r="N397" s="117" t="n">
        <v>24225.04</v>
      </c>
      <c r="O397" s="117" t="s">
        <v>149</v>
      </c>
      <c r="P397" s="117" t="n">
        <v>24225.04</v>
      </c>
      <c r="Q397" s="117" t="n">
        <v>0</v>
      </c>
      <c r="R397" s="117" t="n">
        <v>24225.04</v>
      </c>
      <c r="S397" s="117" t="n">
        <v>0</v>
      </c>
      <c r="T397" s="117" t="n">
        <v>0</v>
      </c>
      <c r="U397" s="117" t="n">
        <v>314258</v>
      </c>
      <c r="V397" s="117" t="s">
        <v>143</v>
      </c>
      <c r="X397" s="117" t="s">
        <v>2236</v>
      </c>
      <c r="Y397" s="117" t="s">
        <v>2176</v>
      </c>
      <c r="Z397" s="117" t="n">
        <v>1600000018</v>
      </c>
      <c r="AD397" s="117" t="n">
        <v>111105</v>
      </c>
      <c r="AE397" s="117" t="s">
        <v>1994</v>
      </c>
      <c r="AF397" s="117" t="n">
        <v>314258</v>
      </c>
      <c r="AG397" s="117" t="s">
        <v>143</v>
      </c>
      <c r="AI397" s="117" t="n">
        <v>314258</v>
      </c>
      <c r="AJ397" s="131" t="s">
        <v>143</v>
      </c>
      <c r="AK397" s="117" t="n">
        <v>0</v>
      </c>
      <c r="AL397" s="117" t="n">
        <v>9</v>
      </c>
      <c r="AM397" s="117" t="s">
        <v>161</v>
      </c>
      <c r="AN397" s="117" t="s">
        <v>1995</v>
      </c>
      <c r="AP397" s="117" t="n">
        <v>100031512</v>
      </c>
      <c r="AQ397" s="118" t="n">
        <v>43616</v>
      </c>
      <c r="AR397" s="118" t="n">
        <v>43586</v>
      </c>
      <c r="AS397" s="117" t="n">
        <v>0.498333333333333</v>
      </c>
      <c r="AT397" s="117" t="n">
        <v>0</v>
      </c>
      <c r="AU397" s="117" t="n">
        <v>0</v>
      </c>
      <c r="AX397" s="117" t="n">
        <v>1</v>
      </c>
    </row>
    <row r="398" customFormat="false" ht="13.8" hidden="true" customHeight="false" outlineLevel="0" collapsed="false">
      <c r="A398" s="117" t="n">
        <v>1000</v>
      </c>
      <c r="B398" s="117" t="s">
        <v>1962</v>
      </c>
      <c r="C398" s="117" t="n">
        <v>100020143</v>
      </c>
      <c r="E398" s="117" t="s">
        <v>1921</v>
      </c>
      <c r="F398" s="117" t="n">
        <v>1109</v>
      </c>
      <c r="G398" s="117" t="n">
        <v>2019</v>
      </c>
      <c r="H398" s="117" t="n">
        <v>2</v>
      </c>
      <c r="I398" s="118" t="n">
        <v>43611</v>
      </c>
      <c r="J398" s="118" t="n">
        <v>43611</v>
      </c>
      <c r="K398" s="119" t="n">
        <v>45533.9</v>
      </c>
      <c r="L398" s="128" t="n">
        <f aca="false">K398-Q398+T398</f>
        <v>45533.9</v>
      </c>
      <c r="M398" s="117" t="s">
        <v>149</v>
      </c>
      <c r="N398" s="117" t="n">
        <v>45533.9</v>
      </c>
      <c r="O398" s="117" t="s">
        <v>149</v>
      </c>
      <c r="P398" s="117" t="n">
        <v>0</v>
      </c>
      <c r="Q398" s="117" t="n">
        <v>0</v>
      </c>
      <c r="R398" s="117" t="n">
        <v>45533.9</v>
      </c>
      <c r="S398" s="117" t="n">
        <v>0</v>
      </c>
      <c r="T398" s="117" t="n">
        <v>0</v>
      </c>
      <c r="U398" s="117" t="n">
        <v>312193</v>
      </c>
      <c r="V398" s="117" t="s">
        <v>1963</v>
      </c>
      <c r="X398" s="117" t="s">
        <v>2237</v>
      </c>
      <c r="Z398" s="117" t="n">
        <v>55901</v>
      </c>
      <c r="AB398" s="117" t="s">
        <v>2235</v>
      </c>
      <c r="AD398" s="117" t="n">
        <v>110000</v>
      </c>
      <c r="AE398" s="117" t="s">
        <v>1966</v>
      </c>
      <c r="AF398" s="117" t="n">
        <v>110000</v>
      </c>
      <c r="AG398" s="117" t="s">
        <v>1966</v>
      </c>
      <c r="AI398" s="117" t="n">
        <v>110000</v>
      </c>
      <c r="AJ398" s="117" t="s">
        <v>1966</v>
      </c>
      <c r="AK398" s="117" t="n">
        <v>0</v>
      </c>
      <c r="AL398" s="117" t="n">
        <v>4</v>
      </c>
      <c r="AM398" s="117" t="s">
        <v>161</v>
      </c>
      <c r="AR398" s="118" t="n">
        <v>43611</v>
      </c>
      <c r="AS398" s="117" t="n">
        <v>0.749513888888889</v>
      </c>
      <c r="AT398" s="117" t="n">
        <v>0</v>
      </c>
      <c r="AU398" s="117" t="n">
        <v>0</v>
      </c>
      <c r="AX398" s="117" t="n">
        <v>1</v>
      </c>
    </row>
    <row r="399" customFormat="false" ht="13.8" hidden="true" customHeight="false" outlineLevel="0" collapsed="false">
      <c r="A399" s="117" t="n">
        <v>1000</v>
      </c>
      <c r="B399" s="117" t="s">
        <v>1962</v>
      </c>
      <c r="C399" s="117" t="n">
        <v>1600000093</v>
      </c>
      <c r="E399" s="117" t="s">
        <v>1987</v>
      </c>
      <c r="F399" s="117" t="n">
        <v>1301</v>
      </c>
      <c r="G399" s="117" t="n">
        <v>2019</v>
      </c>
      <c r="H399" s="117" t="n">
        <v>3</v>
      </c>
      <c r="I399" s="118" t="n">
        <v>43645</v>
      </c>
      <c r="J399" s="118" t="n">
        <v>43645</v>
      </c>
      <c r="K399" s="119" t="n">
        <v>-224</v>
      </c>
      <c r="L399" s="128" t="n">
        <f aca="false">K399-Q399+T399</f>
        <v>-224</v>
      </c>
      <c r="M399" s="117" t="s">
        <v>149</v>
      </c>
      <c r="N399" s="117" t="n">
        <v>-224</v>
      </c>
      <c r="O399" s="117" t="s">
        <v>149</v>
      </c>
      <c r="P399" s="117" t="n">
        <v>-224</v>
      </c>
      <c r="Q399" s="117" t="n">
        <v>0</v>
      </c>
      <c r="R399" s="117" t="n">
        <v>-224</v>
      </c>
      <c r="S399" s="117" t="n">
        <v>0</v>
      </c>
      <c r="T399" s="117" t="n">
        <v>0</v>
      </c>
      <c r="U399" s="117" t="n">
        <v>312193</v>
      </c>
      <c r="V399" s="117" t="s">
        <v>1963</v>
      </c>
      <c r="X399" s="117" t="s">
        <v>2238</v>
      </c>
      <c r="Y399" s="117" t="s">
        <v>2164</v>
      </c>
      <c r="Z399" s="117" t="n">
        <v>1600000093</v>
      </c>
      <c r="AD399" s="117" t="n">
        <v>110000</v>
      </c>
      <c r="AE399" s="117" t="s">
        <v>1966</v>
      </c>
      <c r="AF399" s="117" t="n">
        <v>111201</v>
      </c>
      <c r="AG399" s="117" t="s">
        <v>2165</v>
      </c>
      <c r="AI399" s="117" t="n">
        <v>111201</v>
      </c>
      <c r="AJ399" s="117" t="s">
        <v>2165</v>
      </c>
      <c r="AK399" s="117" t="n">
        <v>0</v>
      </c>
      <c r="AL399" s="117" t="n">
        <v>14</v>
      </c>
      <c r="AM399" s="117" t="s">
        <v>225</v>
      </c>
      <c r="AP399" s="117" t="n">
        <v>100048554</v>
      </c>
      <c r="AQ399" s="118" t="n">
        <v>43646</v>
      </c>
      <c r="AR399" s="118" t="n">
        <v>43645</v>
      </c>
      <c r="AS399" s="117" t="n">
        <v>0.736967592592593</v>
      </c>
      <c r="AT399" s="117" t="n">
        <v>0</v>
      </c>
      <c r="AU399" s="117" t="n">
        <v>0</v>
      </c>
      <c r="AX399" s="117" t="n">
        <v>6</v>
      </c>
    </row>
    <row r="400" s="106" customFormat="true" ht="13.8" hidden="true" customHeight="false" outlineLevel="0" collapsed="false">
      <c r="A400" s="106" t="n">
        <v>1000</v>
      </c>
      <c r="B400" s="106" t="s">
        <v>1962</v>
      </c>
      <c r="C400" s="106" t="n">
        <v>102488</v>
      </c>
      <c r="D400" s="106" t="s">
        <v>2239</v>
      </c>
      <c r="E400" s="106" t="s">
        <v>1970</v>
      </c>
      <c r="F400" s="106" t="n">
        <v>1108</v>
      </c>
      <c r="G400" s="106" t="n">
        <v>2019</v>
      </c>
      <c r="H400" s="106" t="n">
        <v>2</v>
      </c>
      <c r="I400" s="129" t="n">
        <v>43616</v>
      </c>
      <c r="J400" s="129" t="n">
        <v>43616</v>
      </c>
      <c r="K400" s="107" t="n">
        <v>2903205.61</v>
      </c>
      <c r="L400" s="130" t="n">
        <f aca="false">K400-Q400+T400</f>
        <v>2460343.74</v>
      </c>
      <c r="M400" s="106" t="s">
        <v>149</v>
      </c>
      <c r="N400" s="106" t="n">
        <v>2903205.61</v>
      </c>
      <c r="O400" s="106" t="s">
        <v>149</v>
      </c>
      <c r="P400" s="106" t="n">
        <v>0</v>
      </c>
      <c r="Q400" s="107" t="n">
        <v>442861.87</v>
      </c>
      <c r="R400" s="106" t="n">
        <v>2460343.74</v>
      </c>
      <c r="S400" s="106" t="n">
        <v>0</v>
      </c>
      <c r="T400" s="106" t="n">
        <v>0</v>
      </c>
      <c r="U400" s="106" t="n">
        <v>312193</v>
      </c>
      <c r="V400" s="106" t="s">
        <v>1963</v>
      </c>
      <c r="Z400" s="106" t="n">
        <v>1808</v>
      </c>
      <c r="AB400" s="106" t="n">
        <v>3800010617</v>
      </c>
      <c r="AD400" s="106" t="n">
        <v>110000</v>
      </c>
      <c r="AE400" s="106" t="s">
        <v>1966</v>
      </c>
      <c r="AF400" s="106" t="n">
        <v>501020</v>
      </c>
      <c r="AG400" s="106" t="s">
        <v>1971</v>
      </c>
      <c r="AI400" s="106" t="n">
        <v>501020</v>
      </c>
      <c r="AJ400" s="106" t="s">
        <v>1971</v>
      </c>
      <c r="AK400" s="106" t="n">
        <v>0</v>
      </c>
      <c r="AL400" s="106" t="n">
        <v>1</v>
      </c>
      <c r="AM400" s="106" t="s">
        <v>161</v>
      </c>
      <c r="AP400" s="106" t="n">
        <v>100022449</v>
      </c>
      <c r="AQ400" s="129" t="n">
        <v>43616</v>
      </c>
      <c r="AR400" s="129" t="n">
        <v>43616</v>
      </c>
      <c r="AS400" s="106" t="n">
        <v>0.591921296296296</v>
      </c>
      <c r="AT400" s="106" t="n">
        <v>0</v>
      </c>
      <c r="AU400" s="106" t="n">
        <v>0</v>
      </c>
      <c r="AX400" s="106" t="n">
        <v>1</v>
      </c>
      <c r="ALU400" s="0"/>
      <c r="ALV400" s="0"/>
      <c r="ALW400" s="0"/>
      <c r="ALX400" s="0"/>
      <c r="ALY400" s="0"/>
      <c r="ALZ400" s="0"/>
      <c r="AMA400" s="0"/>
      <c r="AMB400" s="0"/>
      <c r="AMC400" s="0"/>
      <c r="AMD400" s="0"/>
      <c r="AME400" s="0"/>
      <c r="AMF400" s="0"/>
      <c r="AMG400" s="0"/>
      <c r="AMH400" s="0"/>
      <c r="AMI400" s="0"/>
      <c r="AMJ400" s="0"/>
    </row>
    <row r="401" customFormat="false" ht="13.8" hidden="true" customHeight="false" outlineLevel="0" collapsed="false">
      <c r="A401" s="117" t="n">
        <v>1000</v>
      </c>
      <c r="B401" s="117" t="s">
        <v>1962</v>
      </c>
      <c r="C401" s="117" t="n">
        <v>100005107</v>
      </c>
      <c r="E401" s="117" t="s">
        <v>1921</v>
      </c>
      <c r="F401" s="117" t="n">
        <v>1109</v>
      </c>
      <c r="G401" s="117" t="n">
        <v>2019</v>
      </c>
      <c r="H401" s="117" t="n">
        <v>1</v>
      </c>
      <c r="I401" s="118" t="n">
        <v>43585</v>
      </c>
      <c r="J401" s="118" t="n">
        <v>43585</v>
      </c>
      <c r="K401" s="119" t="n">
        <v>478962</v>
      </c>
      <c r="L401" s="128" t="n">
        <f aca="false">K401-Q401+T401</f>
        <v>478962</v>
      </c>
      <c r="M401" s="117" t="s">
        <v>149</v>
      </c>
      <c r="N401" s="117" t="n">
        <v>478962</v>
      </c>
      <c r="O401" s="117" t="s">
        <v>149</v>
      </c>
      <c r="P401" s="117" t="n">
        <v>0</v>
      </c>
      <c r="Q401" s="117" t="n">
        <v>0</v>
      </c>
      <c r="R401" s="117" t="n">
        <v>478962</v>
      </c>
      <c r="S401" s="117" t="n">
        <v>0</v>
      </c>
      <c r="T401" s="117" t="n">
        <v>0</v>
      </c>
      <c r="U401" s="117" t="n">
        <v>312193</v>
      </c>
      <c r="V401" s="117" t="s">
        <v>1963</v>
      </c>
      <c r="X401" s="117" t="s">
        <v>2240</v>
      </c>
      <c r="Z401" s="117" t="n">
        <v>2316</v>
      </c>
      <c r="AB401" s="117" t="s">
        <v>1965</v>
      </c>
      <c r="AD401" s="117" t="n">
        <v>110000</v>
      </c>
      <c r="AE401" s="117" t="s">
        <v>1966</v>
      </c>
      <c r="AF401" s="117" t="n">
        <v>110000</v>
      </c>
      <c r="AG401" s="117" t="s">
        <v>1966</v>
      </c>
      <c r="AI401" s="117" t="n">
        <v>110000</v>
      </c>
      <c r="AJ401" s="117" t="s">
        <v>1966</v>
      </c>
      <c r="AK401" s="117" t="n">
        <v>0</v>
      </c>
      <c r="AL401" s="117" t="n">
        <v>4</v>
      </c>
      <c r="AM401" s="117" t="s">
        <v>161</v>
      </c>
      <c r="AP401" s="117" t="n">
        <v>100022446</v>
      </c>
      <c r="AQ401" s="118" t="n">
        <v>43616</v>
      </c>
      <c r="AR401" s="118" t="n">
        <v>43586</v>
      </c>
      <c r="AS401" s="117" t="n">
        <v>0.427592592592593</v>
      </c>
      <c r="AT401" s="117" t="n">
        <v>0</v>
      </c>
      <c r="AU401" s="117" t="n">
        <v>0</v>
      </c>
      <c r="AX401" s="117" t="n">
        <v>6</v>
      </c>
    </row>
    <row r="402" customFormat="false" ht="13.8" hidden="true" customHeight="false" outlineLevel="0" collapsed="false">
      <c r="A402" s="117" t="n">
        <v>1000</v>
      </c>
      <c r="B402" s="117" t="s">
        <v>1962</v>
      </c>
      <c r="C402" s="117" t="n">
        <v>100050545</v>
      </c>
      <c r="E402" s="117" t="s">
        <v>1921</v>
      </c>
      <c r="F402" s="117" t="n">
        <v>1101</v>
      </c>
      <c r="G402" s="117" t="n">
        <v>2019</v>
      </c>
      <c r="H402" s="117" t="n">
        <v>3</v>
      </c>
      <c r="I402" s="118" t="n">
        <v>43646</v>
      </c>
      <c r="J402" s="118" t="n">
        <v>43646</v>
      </c>
      <c r="K402" s="119" t="n">
        <v>1773964.04</v>
      </c>
      <c r="L402" s="128" t="n">
        <f aca="false">K402-Q402+T402</f>
        <v>1773964.04</v>
      </c>
      <c r="M402" s="117" t="s">
        <v>149</v>
      </c>
      <c r="N402" s="117" t="n">
        <v>1773964.04</v>
      </c>
      <c r="O402" s="117" t="s">
        <v>149</v>
      </c>
      <c r="P402" s="117" t="n">
        <v>0</v>
      </c>
      <c r="Q402" s="117" t="n">
        <v>0</v>
      </c>
      <c r="R402" s="117" t="n">
        <v>1773964.04</v>
      </c>
      <c r="S402" s="117" t="n">
        <v>0</v>
      </c>
      <c r="T402" s="117" t="n">
        <v>0</v>
      </c>
      <c r="U402" s="117" t="n">
        <v>318999</v>
      </c>
      <c r="V402" s="117" t="s">
        <v>143</v>
      </c>
      <c r="X402" s="117" t="s">
        <v>1319</v>
      </c>
      <c r="Z402" s="117" t="n">
        <v>2388</v>
      </c>
      <c r="AB402" s="117" t="s">
        <v>2019</v>
      </c>
      <c r="AD402" s="117" t="n">
        <v>110000</v>
      </c>
      <c r="AE402" s="117" t="s">
        <v>1966</v>
      </c>
      <c r="AF402" s="117" t="n">
        <v>110000</v>
      </c>
      <c r="AG402" s="117" t="s">
        <v>1966</v>
      </c>
      <c r="AI402" s="117" t="n">
        <v>110000</v>
      </c>
      <c r="AJ402" s="117" t="s">
        <v>1966</v>
      </c>
      <c r="AK402" s="117" t="n">
        <v>0</v>
      </c>
      <c r="AL402" s="117" t="n">
        <v>4</v>
      </c>
      <c r="AM402" s="117" t="s">
        <v>161</v>
      </c>
      <c r="AP402" s="117" t="n">
        <v>100076146</v>
      </c>
      <c r="AQ402" s="118" t="n">
        <v>43703</v>
      </c>
      <c r="AR402" s="118" t="n">
        <v>43647</v>
      </c>
      <c r="AS402" s="117" t="n">
        <v>0.708125</v>
      </c>
      <c r="AT402" s="117" t="n">
        <v>0</v>
      </c>
      <c r="AU402" s="117" t="n">
        <v>0</v>
      </c>
      <c r="AX402" s="117" t="n">
        <v>1</v>
      </c>
    </row>
    <row r="403" customFormat="false" ht="13.8" hidden="true" customHeight="false" outlineLevel="0" collapsed="false">
      <c r="A403" s="117" t="n">
        <v>1000</v>
      </c>
      <c r="B403" s="117" t="s">
        <v>1962</v>
      </c>
      <c r="C403" s="117" t="n">
        <v>100050988</v>
      </c>
      <c r="E403" s="117" t="s">
        <v>1921</v>
      </c>
      <c r="F403" s="117" t="n">
        <v>1106</v>
      </c>
      <c r="G403" s="117" t="n">
        <v>2019</v>
      </c>
      <c r="H403" s="117" t="n">
        <v>3</v>
      </c>
      <c r="I403" s="118" t="n">
        <v>43646</v>
      </c>
      <c r="J403" s="118" t="n">
        <v>43646</v>
      </c>
      <c r="K403" s="119" t="n">
        <v>-70</v>
      </c>
      <c r="L403" s="128" t="n">
        <f aca="false">K403-Q403+T403</f>
        <v>-70</v>
      </c>
      <c r="M403" s="117" t="s">
        <v>149</v>
      </c>
      <c r="N403" s="117" t="n">
        <v>-70</v>
      </c>
      <c r="O403" s="117" t="s">
        <v>149</v>
      </c>
      <c r="P403" s="117" t="n">
        <v>0</v>
      </c>
      <c r="Q403" s="117" t="n">
        <v>0</v>
      </c>
      <c r="R403" s="117" t="n">
        <v>-70</v>
      </c>
      <c r="S403" s="117" t="n">
        <v>0</v>
      </c>
      <c r="T403" s="117" t="n">
        <v>0</v>
      </c>
      <c r="U403" s="117" t="n">
        <v>312351</v>
      </c>
      <c r="V403" s="117" t="s">
        <v>2156</v>
      </c>
      <c r="Z403" s="117" t="n">
        <v>100050988</v>
      </c>
      <c r="AD403" s="117" t="n">
        <v>110000</v>
      </c>
      <c r="AE403" s="117" t="s">
        <v>1966</v>
      </c>
      <c r="AF403" s="117" t="n">
        <v>110000</v>
      </c>
      <c r="AG403" s="117" t="s">
        <v>1966</v>
      </c>
      <c r="AI403" s="117" t="n">
        <v>110000</v>
      </c>
      <c r="AJ403" s="117" t="s">
        <v>1966</v>
      </c>
      <c r="AK403" s="117" t="n">
        <v>0</v>
      </c>
      <c r="AL403" s="117" t="n">
        <v>17</v>
      </c>
      <c r="AM403" s="117" t="s">
        <v>225</v>
      </c>
      <c r="AP403" s="117" t="n">
        <v>100050988</v>
      </c>
      <c r="AQ403" s="118" t="n">
        <v>43646</v>
      </c>
      <c r="AR403" s="118" t="n">
        <v>43647</v>
      </c>
      <c r="AS403" s="117" t="n">
        <v>0.756828703703704</v>
      </c>
      <c r="AT403" s="117" t="n">
        <v>0</v>
      </c>
      <c r="AU403" s="117" t="n">
        <v>0</v>
      </c>
      <c r="AX403" s="117" t="n">
        <v>2</v>
      </c>
    </row>
    <row r="404" s="106" customFormat="true" ht="13.8" hidden="true" customHeight="false" outlineLevel="0" collapsed="false">
      <c r="A404" s="106" t="n">
        <v>1000</v>
      </c>
      <c r="B404" s="106" t="s">
        <v>1962</v>
      </c>
      <c r="C404" s="106" t="n">
        <v>103261</v>
      </c>
      <c r="D404" s="106" t="s">
        <v>1468</v>
      </c>
      <c r="E404" s="106" t="s">
        <v>1970</v>
      </c>
      <c r="F404" s="106" t="n">
        <v>1101</v>
      </c>
      <c r="G404" s="106" t="n">
        <v>2019</v>
      </c>
      <c r="H404" s="106" t="n">
        <v>3</v>
      </c>
      <c r="I404" s="129" t="n">
        <v>43633</v>
      </c>
      <c r="J404" s="129" t="n">
        <v>43633</v>
      </c>
      <c r="K404" s="107" t="n">
        <v>826000</v>
      </c>
      <c r="L404" s="130" t="n">
        <f aca="false">K404-Q404+T404</f>
        <v>700000</v>
      </c>
      <c r="M404" s="106" t="s">
        <v>149</v>
      </c>
      <c r="N404" s="106" t="n">
        <v>826000</v>
      </c>
      <c r="O404" s="106" t="s">
        <v>149</v>
      </c>
      <c r="P404" s="106" t="n">
        <v>0</v>
      </c>
      <c r="Q404" s="107" t="n">
        <v>126000</v>
      </c>
      <c r="R404" s="106" t="n">
        <v>700000</v>
      </c>
      <c r="S404" s="106" t="n">
        <v>0</v>
      </c>
      <c r="T404" s="106" t="n">
        <v>0</v>
      </c>
      <c r="U404" s="106" t="n">
        <v>309728</v>
      </c>
      <c r="V404" s="106" t="s">
        <v>1968</v>
      </c>
      <c r="Z404" s="106" t="n">
        <v>59184</v>
      </c>
      <c r="AB404" s="106" t="n">
        <v>2300049939</v>
      </c>
      <c r="AD404" s="106" t="n">
        <v>110000</v>
      </c>
      <c r="AE404" s="106" t="s">
        <v>1966</v>
      </c>
      <c r="AF404" s="106" t="n">
        <v>501000</v>
      </c>
      <c r="AG404" s="106" t="s">
        <v>2170</v>
      </c>
      <c r="AI404" s="106" t="n">
        <v>501000</v>
      </c>
      <c r="AJ404" s="106" t="s">
        <v>2170</v>
      </c>
      <c r="AK404" s="106" t="n">
        <v>0</v>
      </c>
      <c r="AL404" s="106" t="n">
        <v>1</v>
      </c>
      <c r="AM404" s="106" t="s">
        <v>161</v>
      </c>
      <c r="AP404" s="106" t="n">
        <v>100039091</v>
      </c>
      <c r="AQ404" s="129" t="n">
        <v>43644</v>
      </c>
      <c r="AR404" s="129" t="n">
        <v>43633</v>
      </c>
      <c r="AS404" s="106" t="n">
        <v>0.61869212962963</v>
      </c>
      <c r="AT404" s="106" t="n">
        <v>0</v>
      </c>
      <c r="AU404" s="106" t="n">
        <v>0</v>
      </c>
      <c r="AX404" s="106" t="n">
        <v>1</v>
      </c>
      <c r="ALU404" s="0"/>
      <c r="ALV404" s="0"/>
      <c r="ALW404" s="0"/>
      <c r="ALX404" s="0"/>
      <c r="ALY404" s="0"/>
      <c r="ALZ404" s="0"/>
      <c r="AMA404" s="0"/>
      <c r="AMB404" s="0"/>
      <c r="AMC404" s="0"/>
      <c r="AMD404" s="0"/>
      <c r="AME404" s="0"/>
      <c r="AMF404" s="0"/>
      <c r="AMG404" s="0"/>
      <c r="AMH404" s="0"/>
      <c r="AMI404" s="0"/>
      <c r="AMJ404" s="0"/>
    </row>
    <row r="405" customFormat="false" ht="13.8" hidden="true" customHeight="false" outlineLevel="0" collapsed="false">
      <c r="A405" s="117" t="n">
        <v>1000</v>
      </c>
      <c r="B405" s="117" t="s">
        <v>1962</v>
      </c>
      <c r="C405" s="117" t="n">
        <v>100039983</v>
      </c>
      <c r="E405" s="117" t="s">
        <v>1921</v>
      </c>
      <c r="F405" s="117" t="n">
        <v>1101</v>
      </c>
      <c r="G405" s="117" t="n">
        <v>2019</v>
      </c>
      <c r="H405" s="117" t="n">
        <v>3</v>
      </c>
      <c r="I405" s="118" t="n">
        <v>43645</v>
      </c>
      <c r="J405" s="118" t="n">
        <v>43645</v>
      </c>
      <c r="K405" s="119" t="n">
        <v>1314743.34</v>
      </c>
      <c r="L405" s="128" t="n">
        <f aca="false">K405-Q405+T405</f>
        <v>1314743.34</v>
      </c>
      <c r="M405" s="117" t="s">
        <v>149</v>
      </c>
      <c r="N405" s="117" t="n">
        <v>1314743.34</v>
      </c>
      <c r="O405" s="117" t="s">
        <v>149</v>
      </c>
      <c r="P405" s="117" t="n">
        <v>0</v>
      </c>
      <c r="Q405" s="117" t="n">
        <v>0</v>
      </c>
      <c r="R405" s="117" t="n">
        <v>1314743.34</v>
      </c>
      <c r="S405" s="117" t="n">
        <v>0</v>
      </c>
      <c r="T405" s="117" t="n">
        <v>0</v>
      </c>
      <c r="U405" s="117" t="n">
        <v>318999</v>
      </c>
      <c r="V405" s="117" t="s">
        <v>143</v>
      </c>
      <c r="X405" s="117" t="s">
        <v>1499</v>
      </c>
      <c r="Z405" s="117" t="n">
        <v>100039983</v>
      </c>
      <c r="AD405" s="117" t="n">
        <v>110000</v>
      </c>
      <c r="AE405" s="117" t="s">
        <v>1966</v>
      </c>
      <c r="AF405" s="117" t="n">
        <v>110000</v>
      </c>
      <c r="AG405" s="117" t="s">
        <v>1966</v>
      </c>
      <c r="AI405" s="117" t="n">
        <v>110000</v>
      </c>
      <c r="AJ405" s="117" t="s">
        <v>1966</v>
      </c>
      <c r="AK405" s="117" t="n">
        <v>0</v>
      </c>
      <c r="AL405" s="117" t="n">
        <v>4</v>
      </c>
      <c r="AM405" s="117" t="s">
        <v>161</v>
      </c>
      <c r="AP405" s="117" t="n">
        <v>100057912</v>
      </c>
      <c r="AQ405" s="118" t="n">
        <v>43677</v>
      </c>
      <c r="AR405" s="118" t="n">
        <v>43646</v>
      </c>
      <c r="AS405" s="117" t="n">
        <v>0.430601851851852</v>
      </c>
      <c r="AT405" s="117" t="n">
        <v>0</v>
      </c>
      <c r="AU405" s="117" t="n">
        <v>0</v>
      </c>
      <c r="AX405" s="117" t="n">
        <v>1</v>
      </c>
    </row>
    <row r="406" customFormat="false" ht="13.8" hidden="true" customHeight="false" outlineLevel="0" collapsed="false">
      <c r="A406" s="117" t="n">
        <v>1000</v>
      </c>
      <c r="B406" s="117" t="s">
        <v>1962</v>
      </c>
      <c r="C406" s="117" t="n">
        <v>100039106</v>
      </c>
      <c r="E406" s="117" t="s">
        <v>1921</v>
      </c>
      <c r="F406" s="117" t="n">
        <v>1108</v>
      </c>
      <c r="G406" s="117" t="n">
        <v>2019</v>
      </c>
      <c r="H406" s="117" t="n">
        <v>3</v>
      </c>
      <c r="I406" s="118" t="n">
        <v>43644</v>
      </c>
      <c r="J406" s="118" t="n">
        <v>43644</v>
      </c>
      <c r="K406" s="119" t="n">
        <v>612508.5</v>
      </c>
      <c r="L406" s="128" t="n">
        <f aca="false">K406-Q406+T406</f>
        <v>612508.5</v>
      </c>
      <c r="M406" s="117" t="s">
        <v>149</v>
      </c>
      <c r="N406" s="117" t="n">
        <v>612508.5</v>
      </c>
      <c r="O406" s="117" t="s">
        <v>149</v>
      </c>
      <c r="P406" s="117" t="n">
        <v>0</v>
      </c>
      <c r="Q406" s="117" t="n">
        <v>0</v>
      </c>
      <c r="R406" s="117" t="n">
        <v>612508.5</v>
      </c>
      <c r="S406" s="117" t="n">
        <v>0</v>
      </c>
      <c r="T406" s="117" t="n">
        <v>0</v>
      </c>
      <c r="U406" s="117" t="n">
        <v>312948</v>
      </c>
      <c r="V406" s="117" t="s">
        <v>1984</v>
      </c>
      <c r="X406" s="117" t="s">
        <v>1893</v>
      </c>
      <c r="Z406" s="117" t="n">
        <v>58871</v>
      </c>
      <c r="AB406" s="117" t="s">
        <v>2241</v>
      </c>
      <c r="AD406" s="117" t="n">
        <v>110000</v>
      </c>
      <c r="AE406" s="117" t="s">
        <v>1966</v>
      </c>
      <c r="AF406" s="117" t="n">
        <v>110000</v>
      </c>
      <c r="AG406" s="117" t="s">
        <v>1966</v>
      </c>
      <c r="AI406" s="117" t="n">
        <v>110000</v>
      </c>
      <c r="AJ406" s="117" t="s">
        <v>1966</v>
      </c>
      <c r="AK406" s="117" t="n">
        <v>0</v>
      </c>
      <c r="AL406" s="117" t="n">
        <v>4</v>
      </c>
      <c r="AM406" s="117" t="s">
        <v>161</v>
      </c>
      <c r="AR406" s="118" t="n">
        <v>43644</v>
      </c>
      <c r="AS406" s="117" t="n">
        <v>0.20212962962963</v>
      </c>
      <c r="AT406" s="117" t="n">
        <v>0</v>
      </c>
      <c r="AU406" s="117" t="n">
        <v>0</v>
      </c>
      <c r="AX406" s="117" t="n">
        <v>3</v>
      </c>
    </row>
    <row r="407" customFormat="false" ht="13.8" hidden="true" customHeight="false" outlineLevel="0" collapsed="false">
      <c r="A407" s="117" t="n">
        <v>1000</v>
      </c>
      <c r="B407" s="117" t="s">
        <v>1962</v>
      </c>
      <c r="C407" s="117" t="n">
        <v>100050545</v>
      </c>
      <c r="E407" s="117" t="s">
        <v>1921</v>
      </c>
      <c r="F407" s="117" t="n">
        <v>1101</v>
      </c>
      <c r="G407" s="117" t="n">
        <v>2019</v>
      </c>
      <c r="H407" s="117" t="n">
        <v>3</v>
      </c>
      <c r="I407" s="118" t="n">
        <v>43646</v>
      </c>
      <c r="J407" s="118" t="n">
        <v>43646</v>
      </c>
      <c r="K407" s="119" t="n">
        <v>197107.12</v>
      </c>
      <c r="L407" s="128" t="n">
        <f aca="false">K407-Q407+T407</f>
        <v>197107.12</v>
      </c>
      <c r="M407" s="117" t="s">
        <v>149</v>
      </c>
      <c r="N407" s="117" t="n">
        <v>197107.12</v>
      </c>
      <c r="O407" s="117" t="s">
        <v>149</v>
      </c>
      <c r="P407" s="117" t="n">
        <v>0</v>
      </c>
      <c r="Q407" s="117" t="n">
        <v>0</v>
      </c>
      <c r="R407" s="117" t="n">
        <v>197107.12</v>
      </c>
      <c r="S407" s="117" t="n">
        <v>0</v>
      </c>
      <c r="T407" s="117" t="n">
        <v>0</v>
      </c>
      <c r="U407" s="117" t="n">
        <v>318999</v>
      </c>
      <c r="V407" s="117" t="s">
        <v>143</v>
      </c>
      <c r="Z407" s="117" t="n">
        <v>100050545</v>
      </c>
      <c r="AD407" s="117" t="n">
        <v>110000</v>
      </c>
      <c r="AE407" s="117" t="s">
        <v>1966</v>
      </c>
      <c r="AF407" s="117" t="n">
        <v>110000</v>
      </c>
      <c r="AG407" s="117" t="s">
        <v>1966</v>
      </c>
      <c r="AI407" s="117" t="n">
        <v>110000</v>
      </c>
      <c r="AJ407" s="117" t="s">
        <v>1966</v>
      </c>
      <c r="AK407" s="117" t="n">
        <v>0</v>
      </c>
      <c r="AL407" s="117" t="n">
        <v>7</v>
      </c>
      <c r="AM407" s="117" t="s">
        <v>161</v>
      </c>
      <c r="AP407" s="117" t="n">
        <v>100050545</v>
      </c>
      <c r="AQ407" s="118" t="n">
        <v>43646</v>
      </c>
      <c r="AR407" s="118" t="n">
        <v>43647</v>
      </c>
      <c r="AS407" s="117" t="n">
        <v>0.708125</v>
      </c>
      <c r="AT407" s="117" t="n">
        <v>0</v>
      </c>
      <c r="AU407" s="117" t="n">
        <v>0</v>
      </c>
      <c r="AX407" s="117" t="n">
        <v>2</v>
      </c>
    </row>
    <row r="408" customFormat="false" ht="13.8" hidden="true" customHeight="false" outlineLevel="0" collapsed="false">
      <c r="A408" s="117" t="n">
        <v>1000</v>
      </c>
      <c r="B408" s="117" t="s">
        <v>1962</v>
      </c>
      <c r="C408" s="117" t="n">
        <v>100039091</v>
      </c>
      <c r="E408" s="117" t="s">
        <v>1921</v>
      </c>
      <c r="F408" s="117" t="n">
        <v>1101</v>
      </c>
      <c r="G408" s="117" t="n">
        <v>2019</v>
      </c>
      <c r="H408" s="117" t="n">
        <v>3</v>
      </c>
      <c r="I408" s="118" t="n">
        <v>43644</v>
      </c>
      <c r="J408" s="118" t="n">
        <v>43644</v>
      </c>
      <c r="K408" s="119" t="n">
        <v>826000</v>
      </c>
      <c r="L408" s="128" t="n">
        <f aca="false">K408-Q408+T408</f>
        <v>826000</v>
      </c>
      <c r="M408" s="117" t="s">
        <v>149</v>
      </c>
      <c r="N408" s="117" t="n">
        <v>826000</v>
      </c>
      <c r="O408" s="117" t="s">
        <v>149</v>
      </c>
      <c r="P408" s="117" t="n">
        <v>0</v>
      </c>
      <c r="Q408" s="117" t="n">
        <v>0</v>
      </c>
      <c r="R408" s="117" t="n">
        <v>826000</v>
      </c>
      <c r="S408" s="117" t="n">
        <v>0</v>
      </c>
      <c r="T408" s="117" t="n">
        <v>0</v>
      </c>
      <c r="U408" s="117" t="n">
        <v>309728</v>
      </c>
      <c r="V408" s="117" t="s">
        <v>1968</v>
      </c>
      <c r="X408" s="117" t="s">
        <v>1517</v>
      </c>
      <c r="Z408" s="117" t="n">
        <v>59184</v>
      </c>
      <c r="AB408" s="117" t="n">
        <v>2300049939</v>
      </c>
      <c r="AD408" s="117" t="n">
        <v>110000</v>
      </c>
      <c r="AE408" s="117" t="s">
        <v>1966</v>
      </c>
      <c r="AF408" s="117" t="n">
        <v>110000</v>
      </c>
      <c r="AG408" s="117" t="s">
        <v>1966</v>
      </c>
      <c r="AI408" s="117" t="n">
        <v>110000</v>
      </c>
      <c r="AJ408" s="117" t="s">
        <v>1966</v>
      </c>
      <c r="AK408" s="117" t="n">
        <v>0</v>
      </c>
      <c r="AL408" s="117" t="n">
        <v>4</v>
      </c>
      <c r="AM408" s="117" t="s">
        <v>161</v>
      </c>
      <c r="AP408" s="117" t="n">
        <v>100081981</v>
      </c>
      <c r="AQ408" s="118" t="n">
        <v>43708</v>
      </c>
      <c r="AR408" s="118" t="n">
        <v>43644</v>
      </c>
      <c r="AS408" s="117" t="n">
        <v>0.190081018518518</v>
      </c>
      <c r="AT408" s="117" t="n">
        <v>0</v>
      </c>
      <c r="AU408" s="117" t="n">
        <v>0</v>
      </c>
      <c r="AX408" s="117" t="n">
        <v>5</v>
      </c>
    </row>
    <row r="409" s="106" customFormat="true" ht="13.8" hidden="true" customHeight="false" outlineLevel="0" collapsed="false">
      <c r="A409" s="106" t="n">
        <v>1000</v>
      </c>
      <c r="B409" s="106" t="s">
        <v>1962</v>
      </c>
      <c r="C409" s="106" t="n">
        <v>103792</v>
      </c>
      <c r="D409" s="106" t="s">
        <v>2242</v>
      </c>
      <c r="E409" s="106" t="s">
        <v>1970</v>
      </c>
      <c r="F409" s="106" t="n">
        <v>1101</v>
      </c>
      <c r="G409" s="106" t="n">
        <v>2019</v>
      </c>
      <c r="H409" s="106" t="n">
        <v>3</v>
      </c>
      <c r="I409" s="129" t="n">
        <v>43642</v>
      </c>
      <c r="J409" s="129" t="n">
        <v>43642</v>
      </c>
      <c r="K409" s="107" t="n">
        <v>1842833.89</v>
      </c>
      <c r="L409" s="130" t="n">
        <f aca="false">K409-Q409+T409</f>
        <v>1561723.65</v>
      </c>
      <c r="M409" s="106" t="s">
        <v>149</v>
      </c>
      <c r="N409" s="106" t="n">
        <v>1842833.89</v>
      </c>
      <c r="O409" s="106" t="s">
        <v>149</v>
      </c>
      <c r="P409" s="106" t="n">
        <v>0</v>
      </c>
      <c r="Q409" s="107" t="n">
        <v>281110.24</v>
      </c>
      <c r="R409" s="106" t="n">
        <v>1561723.65</v>
      </c>
      <c r="S409" s="106" t="n">
        <v>0</v>
      </c>
      <c r="T409" s="106" t="n">
        <v>0</v>
      </c>
      <c r="U409" s="106" t="n">
        <v>318999</v>
      </c>
      <c r="V409" s="106" t="s">
        <v>143</v>
      </c>
      <c r="Z409" s="106" t="n">
        <v>103792</v>
      </c>
      <c r="AD409" s="106" t="n">
        <v>110000</v>
      </c>
      <c r="AE409" s="106" t="s">
        <v>1966</v>
      </c>
      <c r="AF409" s="106" t="n">
        <v>501040</v>
      </c>
      <c r="AG409" s="106" t="s">
        <v>2036</v>
      </c>
      <c r="AI409" s="106" t="n">
        <v>501040</v>
      </c>
      <c r="AJ409" s="106" t="s">
        <v>2036</v>
      </c>
      <c r="AK409" s="106" t="n">
        <v>0</v>
      </c>
      <c r="AL409" s="106" t="n">
        <v>1</v>
      </c>
      <c r="AM409" s="106" t="s">
        <v>161</v>
      </c>
      <c r="AP409" s="106" t="n">
        <v>100039983</v>
      </c>
      <c r="AQ409" s="129" t="n">
        <v>43645</v>
      </c>
      <c r="AR409" s="129" t="n">
        <v>43642</v>
      </c>
      <c r="AS409" s="106" t="n">
        <v>0.690578703703704</v>
      </c>
      <c r="AT409" s="106" t="n">
        <v>0</v>
      </c>
      <c r="AU409" s="106" t="n">
        <v>0</v>
      </c>
      <c r="AX409" s="106" t="n">
        <v>1</v>
      </c>
      <c r="ALU409" s="0"/>
      <c r="ALV409" s="0"/>
      <c r="ALW409" s="0"/>
      <c r="ALX409" s="0"/>
      <c r="ALY409" s="0"/>
      <c r="ALZ409" s="0"/>
      <c r="AMA409" s="0"/>
      <c r="AMB409" s="0"/>
      <c r="AMC409" s="0"/>
      <c r="AMD409" s="0"/>
      <c r="AME409" s="0"/>
      <c r="AMF409" s="0"/>
      <c r="AMG409" s="0"/>
      <c r="AMH409" s="0"/>
      <c r="AMI409" s="0"/>
      <c r="AMJ409" s="0"/>
    </row>
    <row r="410" customFormat="false" ht="13.8" hidden="true" customHeight="false" outlineLevel="0" collapsed="false">
      <c r="A410" s="117" t="n">
        <v>1000</v>
      </c>
      <c r="B410" s="117" t="s">
        <v>1962</v>
      </c>
      <c r="C410" s="117" t="n">
        <v>100005107</v>
      </c>
      <c r="E410" s="117" t="s">
        <v>1921</v>
      </c>
      <c r="F410" s="117" t="n">
        <v>1109</v>
      </c>
      <c r="G410" s="117" t="n">
        <v>2019</v>
      </c>
      <c r="H410" s="117" t="n">
        <v>1</v>
      </c>
      <c r="I410" s="118" t="n">
        <v>43585</v>
      </c>
      <c r="J410" s="118" t="n">
        <v>43585</v>
      </c>
      <c r="K410" s="119" t="n">
        <v>383618</v>
      </c>
      <c r="L410" s="128" t="n">
        <f aca="false">K410-Q410+T410</f>
        <v>383618</v>
      </c>
      <c r="M410" s="117" t="s">
        <v>149</v>
      </c>
      <c r="N410" s="117" t="n">
        <v>383618</v>
      </c>
      <c r="O410" s="117" t="s">
        <v>149</v>
      </c>
      <c r="P410" s="117" t="n">
        <v>0</v>
      </c>
      <c r="Q410" s="117" t="n">
        <v>0</v>
      </c>
      <c r="R410" s="117" t="n">
        <v>383618</v>
      </c>
      <c r="S410" s="117" t="n">
        <v>0</v>
      </c>
      <c r="T410" s="117" t="n">
        <v>0</v>
      </c>
      <c r="U410" s="117" t="n">
        <v>312193</v>
      </c>
      <c r="V410" s="117" t="s">
        <v>1963</v>
      </c>
      <c r="X410" s="117" t="s">
        <v>2243</v>
      </c>
      <c r="Z410" s="117" t="n">
        <v>2316</v>
      </c>
      <c r="AB410" s="117" t="s">
        <v>1965</v>
      </c>
      <c r="AD410" s="117" t="n">
        <v>110000</v>
      </c>
      <c r="AE410" s="117" t="s">
        <v>1966</v>
      </c>
      <c r="AF410" s="117" t="n">
        <v>110000</v>
      </c>
      <c r="AG410" s="117" t="s">
        <v>1966</v>
      </c>
      <c r="AI410" s="117" t="n">
        <v>110000</v>
      </c>
      <c r="AJ410" s="117" t="s">
        <v>1966</v>
      </c>
      <c r="AK410" s="117" t="n">
        <v>0</v>
      </c>
      <c r="AL410" s="117" t="n">
        <v>4</v>
      </c>
      <c r="AM410" s="117" t="s">
        <v>161</v>
      </c>
      <c r="AP410" s="117" t="n">
        <v>100022446</v>
      </c>
      <c r="AQ410" s="118" t="n">
        <v>43616</v>
      </c>
      <c r="AR410" s="118" t="n">
        <v>43586</v>
      </c>
      <c r="AS410" s="117" t="n">
        <v>0.427592592592593</v>
      </c>
      <c r="AT410" s="117" t="n">
        <v>0</v>
      </c>
      <c r="AU410" s="117" t="n">
        <v>0</v>
      </c>
      <c r="AX410" s="117" t="n">
        <v>7</v>
      </c>
    </row>
    <row r="411" s="106" customFormat="true" ht="13.8" hidden="true" customHeight="false" outlineLevel="0" collapsed="false">
      <c r="A411" s="106" t="n">
        <v>1000</v>
      </c>
      <c r="B411" s="106" t="s">
        <v>1962</v>
      </c>
      <c r="C411" s="106" t="n">
        <v>107728</v>
      </c>
      <c r="D411" s="106" t="s">
        <v>1833</v>
      </c>
      <c r="E411" s="106" t="s">
        <v>1970</v>
      </c>
      <c r="F411" s="106" t="n">
        <v>1109</v>
      </c>
      <c r="G411" s="106" t="n">
        <v>2019</v>
      </c>
      <c r="H411" s="106" t="n">
        <v>7</v>
      </c>
      <c r="I411" s="129" t="n">
        <v>43749</v>
      </c>
      <c r="J411" s="129" t="n">
        <v>43749</v>
      </c>
      <c r="K411" s="107" t="n">
        <v>30396.8</v>
      </c>
      <c r="L411" s="130" t="n">
        <f aca="false">K411-Q411+T411</f>
        <v>25760</v>
      </c>
      <c r="M411" s="106" t="s">
        <v>149</v>
      </c>
      <c r="N411" s="106" t="n">
        <v>30396.8</v>
      </c>
      <c r="O411" s="106" t="s">
        <v>149</v>
      </c>
      <c r="P411" s="106" t="n">
        <v>0</v>
      </c>
      <c r="Q411" s="107" t="n">
        <v>4636.8</v>
      </c>
      <c r="R411" s="106" t="n">
        <v>25760</v>
      </c>
      <c r="S411" s="106" t="n">
        <v>0</v>
      </c>
      <c r="T411" s="106" t="n">
        <v>0</v>
      </c>
      <c r="U411" s="106" t="n">
        <v>312193</v>
      </c>
      <c r="V411" s="106" t="s">
        <v>1963</v>
      </c>
      <c r="Z411" s="106" t="n">
        <v>60962</v>
      </c>
      <c r="AB411" s="106" t="s">
        <v>2124</v>
      </c>
      <c r="AD411" s="106" t="n">
        <v>110000</v>
      </c>
      <c r="AE411" s="106" t="s">
        <v>1966</v>
      </c>
      <c r="AF411" s="106" t="n">
        <v>501005</v>
      </c>
      <c r="AG411" s="106" t="s">
        <v>2033</v>
      </c>
      <c r="AI411" s="106" t="n">
        <v>501005</v>
      </c>
      <c r="AJ411" s="106" t="s">
        <v>2033</v>
      </c>
      <c r="AK411" s="106" t="n">
        <v>0</v>
      </c>
      <c r="AL411" s="106" t="n">
        <v>1</v>
      </c>
      <c r="AM411" s="106" t="s">
        <v>161</v>
      </c>
      <c r="AP411" s="106" t="n">
        <v>100141449</v>
      </c>
      <c r="AQ411" s="129" t="n">
        <v>43766</v>
      </c>
      <c r="AR411" s="129" t="n">
        <v>43749</v>
      </c>
      <c r="AS411" s="106" t="n">
        <v>0.5225</v>
      </c>
      <c r="AT411" s="106" t="n">
        <v>0</v>
      </c>
      <c r="AU411" s="106" t="n">
        <v>0</v>
      </c>
      <c r="AX411" s="106" t="n">
        <v>1</v>
      </c>
      <c r="ALU411" s="0"/>
      <c r="ALV411" s="0"/>
      <c r="ALW411" s="0"/>
      <c r="ALX411" s="0"/>
      <c r="ALY411" s="0"/>
      <c r="ALZ411" s="0"/>
      <c r="AMA411" s="0"/>
      <c r="AMB411" s="0"/>
      <c r="AMC411" s="0"/>
      <c r="AMD411" s="0"/>
      <c r="AME411" s="0"/>
      <c r="AMF411" s="0"/>
      <c r="AMG411" s="0"/>
      <c r="AMH411" s="0"/>
      <c r="AMI411" s="0"/>
      <c r="AMJ411" s="0"/>
    </row>
    <row r="412" customFormat="false" ht="13.8" hidden="true" customHeight="false" outlineLevel="0" collapsed="false">
      <c r="A412" s="117" t="n">
        <v>1000</v>
      </c>
      <c r="B412" s="117" t="s">
        <v>1962</v>
      </c>
      <c r="C412" s="117" t="n">
        <v>100012558</v>
      </c>
      <c r="E412" s="117" t="s">
        <v>1921</v>
      </c>
      <c r="F412" s="117" t="n">
        <v>1106</v>
      </c>
      <c r="G412" s="117" t="n">
        <v>2019</v>
      </c>
      <c r="H412" s="117" t="n">
        <v>1</v>
      </c>
      <c r="I412" s="118" t="n">
        <v>43585</v>
      </c>
      <c r="J412" s="118" t="n">
        <v>43585</v>
      </c>
      <c r="K412" s="119" t="n">
        <v>137519.56</v>
      </c>
      <c r="L412" s="128" t="n">
        <f aca="false">K412-Q412+T412</f>
        <v>137519.56</v>
      </c>
      <c r="M412" s="117" t="s">
        <v>149</v>
      </c>
      <c r="N412" s="117" t="n">
        <v>137519.56</v>
      </c>
      <c r="O412" s="117" t="s">
        <v>149</v>
      </c>
      <c r="P412" s="117" t="n">
        <v>0</v>
      </c>
      <c r="Q412" s="117" t="n">
        <v>0</v>
      </c>
      <c r="R412" s="117" t="n">
        <v>137519.56</v>
      </c>
      <c r="S412" s="117" t="n">
        <v>0</v>
      </c>
      <c r="T412" s="117" t="n">
        <v>0</v>
      </c>
      <c r="U412" s="117" t="n">
        <v>315113</v>
      </c>
      <c r="V412" s="117" t="s">
        <v>143</v>
      </c>
      <c r="Z412" s="117" t="n">
        <v>100012558</v>
      </c>
      <c r="AD412" s="117" t="n">
        <v>310300</v>
      </c>
      <c r="AE412" s="117" t="s">
        <v>1969</v>
      </c>
      <c r="AF412" s="117" t="n">
        <v>110000</v>
      </c>
      <c r="AG412" s="117" t="s">
        <v>1966</v>
      </c>
      <c r="AI412" s="117" t="n">
        <v>110000</v>
      </c>
      <c r="AJ412" s="117" t="s">
        <v>1966</v>
      </c>
      <c r="AK412" s="117" t="n">
        <v>0</v>
      </c>
      <c r="AL412" s="117" t="n">
        <v>9</v>
      </c>
      <c r="AM412" s="117" t="s">
        <v>161</v>
      </c>
      <c r="AN412" s="117" t="s">
        <v>1978</v>
      </c>
      <c r="AP412" s="117" t="n">
        <v>100012558</v>
      </c>
      <c r="AQ412" s="118" t="n">
        <v>43585</v>
      </c>
      <c r="AR412" s="118" t="n">
        <v>43587</v>
      </c>
      <c r="AS412" s="117" t="n">
        <v>0.538773148148148</v>
      </c>
      <c r="AT412" s="117" t="n">
        <v>0</v>
      </c>
      <c r="AU412" s="117" t="n">
        <v>0</v>
      </c>
      <c r="AX412" s="117" t="n">
        <v>3</v>
      </c>
    </row>
    <row r="413" customFormat="false" ht="13.8" hidden="true" customHeight="false" outlineLevel="0" collapsed="false">
      <c r="A413" s="117" t="n">
        <v>1000</v>
      </c>
      <c r="B413" s="117" t="s">
        <v>1962</v>
      </c>
      <c r="C413" s="117" t="n">
        <v>1600000099</v>
      </c>
      <c r="E413" s="117" t="s">
        <v>1987</v>
      </c>
      <c r="F413" s="117" t="n">
        <v>1101</v>
      </c>
      <c r="G413" s="117" t="n">
        <v>2019</v>
      </c>
      <c r="H413" s="117" t="n">
        <v>3</v>
      </c>
      <c r="I413" s="118" t="n">
        <v>43645</v>
      </c>
      <c r="J413" s="118" t="n">
        <v>43645</v>
      </c>
      <c r="K413" s="119" t="n">
        <v>-35</v>
      </c>
      <c r="L413" s="128" t="n">
        <f aca="false">K413-Q413+T413</f>
        <v>-35</v>
      </c>
      <c r="M413" s="117" t="s">
        <v>149</v>
      </c>
      <c r="N413" s="117" t="n">
        <v>-35</v>
      </c>
      <c r="O413" s="117" t="s">
        <v>149</v>
      </c>
      <c r="P413" s="117" t="n">
        <v>-35</v>
      </c>
      <c r="Q413" s="117" t="n">
        <v>0</v>
      </c>
      <c r="R413" s="117" t="n">
        <v>-35</v>
      </c>
      <c r="S413" s="117" t="n">
        <v>0</v>
      </c>
      <c r="T413" s="117" t="n">
        <v>0</v>
      </c>
      <c r="U413" s="117" t="n">
        <v>312351</v>
      </c>
      <c r="V413" s="117" t="s">
        <v>2156</v>
      </c>
      <c r="X413" s="117" t="s">
        <v>2203</v>
      </c>
      <c r="Y413" s="117" t="s">
        <v>2164</v>
      </c>
      <c r="Z413" s="117" t="n">
        <v>1600000099</v>
      </c>
      <c r="AD413" s="117" t="n">
        <v>110000</v>
      </c>
      <c r="AE413" s="117" t="s">
        <v>1966</v>
      </c>
      <c r="AF413" s="117" t="n">
        <v>111201</v>
      </c>
      <c r="AG413" s="117" t="s">
        <v>2165</v>
      </c>
      <c r="AI413" s="117" t="n">
        <v>111201</v>
      </c>
      <c r="AJ413" s="117" t="s">
        <v>2165</v>
      </c>
      <c r="AK413" s="117" t="n">
        <v>0</v>
      </c>
      <c r="AL413" s="117" t="n">
        <v>14</v>
      </c>
      <c r="AM413" s="117" t="s">
        <v>225</v>
      </c>
      <c r="AP413" s="117" t="n">
        <v>100048555</v>
      </c>
      <c r="AQ413" s="118" t="n">
        <v>43646</v>
      </c>
      <c r="AR413" s="118" t="n">
        <v>43645</v>
      </c>
      <c r="AS413" s="117" t="n">
        <v>0.747094907407407</v>
      </c>
      <c r="AT413" s="117" t="n">
        <v>0</v>
      </c>
      <c r="AU413" s="117" t="n">
        <v>0</v>
      </c>
      <c r="AX413" s="117" t="n">
        <v>4</v>
      </c>
    </row>
    <row r="414" customFormat="false" ht="13.8" hidden="true" customHeight="false" outlineLevel="0" collapsed="false">
      <c r="A414" s="117" t="n">
        <v>1000</v>
      </c>
      <c r="B414" s="117" t="s">
        <v>1962</v>
      </c>
      <c r="C414" s="117" t="n">
        <v>100020141</v>
      </c>
      <c r="E414" s="117" t="s">
        <v>1921</v>
      </c>
      <c r="F414" s="117" t="n">
        <v>1109</v>
      </c>
      <c r="G414" s="117" t="n">
        <v>2019</v>
      </c>
      <c r="H414" s="117" t="n">
        <v>2</v>
      </c>
      <c r="I414" s="118" t="n">
        <v>43611</v>
      </c>
      <c r="J414" s="118" t="n">
        <v>43611</v>
      </c>
      <c r="K414" s="119" t="n">
        <v>-6618223.05</v>
      </c>
      <c r="L414" s="128" t="n">
        <f aca="false">K414-Q414+T414</f>
        <v>-6618223.05</v>
      </c>
      <c r="M414" s="117" t="s">
        <v>149</v>
      </c>
      <c r="N414" s="117" t="n">
        <v>-6618223.05</v>
      </c>
      <c r="O414" s="117" t="s">
        <v>149</v>
      </c>
      <c r="P414" s="117" t="n">
        <v>0</v>
      </c>
      <c r="Q414" s="117" t="n">
        <v>0</v>
      </c>
      <c r="R414" s="117" t="n">
        <v>-6618223.05</v>
      </c>
      <c r="S414" s="117" t="n">
        <v>0</v>
      </c>
      <c r="T414" s="117" t="n">
        <v>0</v>
      </c>
      <c r="U414" s="117" t="n">
        <v>312193</v>
      </c>
      <c r="V414" s="117" t="s">
        <v>1963</v>
      </c>
      <c r="Z414" s="117" t="n">
        <v>100020141</v>
      </c>
      <c r="AD414" s="117" t="n">
        <v>110000</v>
      </c>
      <c r="AE414" s="117" t="s">
        <v>1966</v>
      </c>
      <c r="AF414" s="117" t="n">
        <v>310300</v>
      </c>
      <c r="AG414" s="117" t="s">
        <v>1969</v>
      </c>
      <c r="AI414" s="117" t="n">
        <v>310300</v>
      </c>
      <c r="AJ414" s="117" t="s">
        <v>1969</v>
      </c>
      <c r="AK414" s="117" t="n">
        <v>0</v>
      </c>
      <c r="AL414" s="117" t="n">
        <v>17</v>
      </c>
      <c r="AM414" s="117" t="s">
        <v>225</v>
      </c>
      <c r="AP414" s="117" t="n">
        <v>100020141</v>
      </c>
      <c r="AQ414" s="118" t="n">
        <v>43611</v>
      </c>
      <c r="AR414" s="118" t="n">
        <v>43611</v>
      </c>
      <c r="AS414" s="117" t="n">
        <v>0.746296296296296</v>
      </c>
      <c r="AT414" s="117" t="n">
        <v>0</v>
      </c>
      <c r="AU414" s="117" t="n">
        <v>0</v>
      </c>
      <c r="AX414" s="117" t="n">
        <v>2</v>
      </c>
    </row>
    <row r="415" customFormat="false" ht="13.8" hidden="true" customHeight="false" outlineLevel="0" collapsed="false">
      <c r="A415" s="117" t="n">
        <v>1000</v>
      </c>
      <c r="B415" s="117" t="s">
        <v>1962</v>
      </c>
      <c r="C415" s="117" t="n">
        <v>100022981</v>
      </c>
      <c r="E415" s="117" t="s">
        <v>1921</v>
      </c>
      <c r="F415" s="117" t="n">
        <v>1101</v>
      </c>
      <c r="G415" s="117" t="n">
        <v>2019</v>
      </c>
      <c r="H415" s="117" t="n">
        <v>2</v>
      </c>
      <c r="I415" s="118" t="n">
        <v>43616</v>
      </c>
      <c r="J415" s="118" t="n">
        <v>43616</v>
      </c>
      <c r="K415" s="119" t="n">
        <v>4268105.57</v>
      </c>
      <c r="L415" s="128" t="n">
        <f aca="false">K415-Q415+T415</f>
        <v>4268105.57</v>
      </c>
      <c r="M415" s="117" t="s">
        <v>149</v>
      </c>
      <c r="N415" s="117" t="n">
        <v>4268105.57</v>
      </c>
      <c r="O415" s="117" t="s">
        <v>149</v>
      </c>
      <c r="P415" s="117" t="n">
        <v>0</v>
      </c>
      <c r="Q415" s="117" t="n">
        <v>0</v>
      </c>
      <c r="R415" s="117" t="n">
        <v>4268105.57</v>
      </c>
      <c r="S415" s="117" t="n">
        <v>0</v>
      </c>
      <c r="T415" s="117" t="n">
        <v>0</v>
      </c>
      <c r="U415" s="117" t="n">
        <v>318999</v>
      </c>
      <c r="V415" s="117" t="s">
        <v>143</v>
      </c>
      <c r="Z415" s="117" t="n">
        <v>100022981</v>
      </c>
      <c r="AD415" s="117" t="n">
        <v>110000</v>
      </c>
      <c r="AE415" s="117" t="s">
        <v>1966</v>
      </c>
      <c r="AF415" s="117" t="n">
        <v>110000</v>
      </c>
      <c r="AG415" s="117" t="s">
        <v>1966</v>
      </c>
      <c r="AI415" s="117" t="n">
        <v>110000</v>
      </c>
      <c r="AJ415" s="117" t="s">
        <v>1966</v>
      </c>
      <c r="AK415" s="117" t="n">
        <v>0</v>
      </c>
      <c r="AL415" s="117" t="n">
        <v>7</v>
      </c>
      <c r="AM415" s="117" t="s">
        <v>161</v>
      </c>
      <c r="AP415" s="117" t="n">
        <v>100022981</v>
      </c>
      <c r="AQ415" s="118" t="n">
        <v>43616</v>
      </c>
      <c r="AR415" s="118" t="n">
        <v>43618</v>
      </c>
      <c r="AS415" s="117" t="n">
        <v>0.616678240740741</v>
      </c>
      <c r="AT415" s="117" t="n">
        <v>0</v>
      </c>
      <c r="AU415" s="117" t="n">
        <v>0</v>
      </c>
      <c r="AX415" s="117" t="n">
        <v>1</v>
      </c>
    </row>
    <row r="416" customFormat="false" ht="13.8" hidden="true" customHeight="false" outlineLevel="0" collapsed="false">
      <c r="A416" s="117" t="n">
        <v>1000</v>
      </c>
      <c r="B416" s="117" t="s">
        <v>1962</v>
      </c>
      <c r="C416" s="117" t="n">
        <v>100039983</v>
      </c>
      <c r="E416" s="117" t="s">
        <v>1921</v>
      </c>
      <c r="F416" s="117" t="n">
        <v>1101</v>
      </c>
      <c r="G416" s="117" t="n">
        <v>2019</v>
      </c>
      <c r="H416" s="117" t="n">
        <v>3</v>
      </c>
      <c r="I416" s="118" t="n">
        <v>43645</v>
      </c>
      <c r="J416" s="118" t="n">
        <v>43645</v>
      </c>
      <c r="K416" s="119" t="n">
        <v>1317231.24</v>
      </c>
      <c r="L416" s="128" t="n">
        <f aca="false">K416-Q416+T416</f>
        <v>1317231.24</v>
      </c>
      <c r="M416" s="117" t="s">
        <v>149</v>
      </c>
      <c r="N416" s="117" t="n">
        <v>1317231.24</v>
      </c>
      <c r="O416" s="117" t="s">
        <v>149</v>
      </c>
      <c r="P416" s="117" t="n">
        <v>0</v>
      </c>
      <c r="Q416" s="117" t="n">
        <v>0</v>
      </c>
      <c r="R416" s="117" t="n">
        <v>1317231.24</v>
      </c>
      <c r="S416" s="117" t="n">
        <v>0</v>
      </c>
      <c r="T416" s="117" t="n">
        <v>0</v>
      </c>
      <c r="U416" s="117" t="n">
        <v>318999</v>
      </c>
      <c r="V416" s="117" t="s">
        <v>143</v>
      </c>
      <c r="X416" s="117" t="s">
        <v>2244</v>
      </c>
      <c r="Z416" s="117" t="n">
        <v>100039983</v>
      </c>
      <c r="AD416" s="117" t="n">
        <v>110000</v>
      </c>
      <c r="AE416" s="117" t="s">
        <v>1966</v>
      </c>
      <c r="AF416" s="117" t="n">
        <v>110000</v>
      </c>
      <c r="AG416" s="117" t="s">
        <v>1966</v>
      </c>
      <c r="AI416" s="117" t="n">
        <v>110000</v>
      </c>
      <c r="AJ416" s="117" t="s">
        <v>1966</v>
      </c>
      <c r="AK416" s="117" t="n">
        <v>0</v>
      </c>
      <c r="AL416" s="117" t="n">
        <v>4</v>
      </c>
      <c r="AM416" s="117" t="s">
        <v>161</v>
      </c>
      <c r="AP416" s="117" t="n">
        <v>100082045</v>
      </c>
      <c r="AQ416" s="118" t="n">
        <v>43708</v>
      </c>
      <c r="AR416" s="118" t="n">
        <v>43646</v>
      </c>
      <c r="AS416" s="117" t="n">
        <v>0.430601851851852</v>
      </c>
      <c r="AT416" s="117" t="n">
        <v>0</v>
      </c>
      <c r="AU416" s="117" t="n">
        <v>0</v>
      </c>
      <c r="AX416" s="117" t="n">
        <v>6</v>
      </c>
    </row>
    <row r="417" customFormat="false" ht="13.8" hidden="true" customHeight="false" outlineLevel="0" collapsed="false">
      <c r="A417" s="117" t="n">
        <v>1000</v>
      </c>
      <c r="B417" s="117" t="s">
        <v>1962</v>
      </c>
      <c r="C417" s="117" t="n">
        <v>1400002189</v>
      </c>
      <c r="E417" s="117" t="s">
        <v>1972</v>
      </c>
      <c r="F417" s="117" t="n">
        <v>1101</v>
      </c>
      <c r="G417" s="117" t="n">
        <v>2019</v>
      </c>
      <c r="H417" s="117" t="n">
        <v>2</v>
      </c>
      <c r="I417" s="118" t="n">
        <v>43599</v>
      </c>
      <c r="J417" s="118" t="n">
        <v>43599</v>
      </c>
      <c r="K417" s="119" t="n">
        <v>-380288.89</v>
      </c>
      <c r="L417" s="128" t="n">
        <f aca="false">K417-Q417+T417</f>
        <v>-380288.89</v>
      </c>
      <c r="M417" s="117" t="s">
        <v>149</v>
      </c>
      <c r="N417" s="117" t="n">
        <v>-380288.89</v>
      </c>
      <c r="O417" s="117" t="s">
        <v>149</v>
      </c>
      <c r="P417" s="117" t="n">
        <v>0</v>
      </c>
      <c r="Q417" s="117" t="n">
        <v>0</v>
      </c>
      <c r="R417" s="117" t="n">
        <v>-380288.89</v>
      </c>
      <c r="S417" s="117" t="n">
        <v>0</v>
      </c>
      <c r="T417" s="117" t="n">
        <v>0</v>
      </c>
      <c r="U417" s="117" t="n">
        <v>312193</v>
      </c>
      <c r="V417" s="117" t="s">
        <v>1963</v>
      </c>
      <c r="X417" s="117" t="s">
        <v>2245</v>
      </c>
      <c r="Y417" s="117" t="s">
        <v>2246</v>
      </c>
      <c r="Z417" s="117" t="n">
        <v>1400002189</v>
      </c>
      <c r="AC417" s="117" t="s">
        <v>1976</v>
      </c>
      <c r="AD417" s="117" t="n">
        <v>310300</v>
      </c>
      <c r="AE417" s="117" t="s">
        <v>1969</v>
      </c>
      <c r="AF417" s="117" t="n">
        <v>101105</v>
      </c>
      <c r="AG417" s="117" t="s">
        <v>1977</v>
      </c>
      <c r="AI417" s="117" t="n">
        <v>101105</v>
      </c>
      <c r="AJ417" s="117" t="s">
        <v>1977</v>
      </c>
      <c r="AK417" s="117" t="n">
        <v>0</v>
      </c>
      <c r="AL417" s="117" t="n">
        <v>19</v>
      </c>
      <c r="AM417" s="117" t="s">
        <v>225</v>
      </c>
      <c r="AN417" s="117" t="s">
        <v>1978</v>
      </c>
      <c r="AP417" s="117" t="n">
        <v>100022435</v>
      </c>
      <c r="AQ417" s="118" t="n">
        <v>43616</v>
      </c>
      <c r="AR417" s="118" t="n">
        <v>43616</v>
      </c>
      <c r="AS417" s="117" t="n">
        <v>0.484826388888889</v>
      </c>
      <c r="AT417" s="117" t="n">
        <v>0</v>
      </c>
      <c r="AU417" s="117" t="n">
        <v>0</v>
      </c>
      <c r="AX417" s="117" t="n">
        <v>2</v>
      </c>
    </row>
    <row r="418" customFormat="false" ht="13.8" hidden="true" customHeight="false" outlineLevel="0" collapsed="false">
      <c r="A418" s="117" t="n">
        <v>1000</v>
      </c>
      <c r="B418" s="117" t="s">
        <v>1962</v>
      </c>
      <c r="C418" s="117" t="n">
        <v>100004318</v>
      </c>
      <c r="E418" s="117" t="s">
        <v>1921</v>
      </c>
      <c r="F418" s="117" t="n">
        <v>1108</v>
      </c>
      <c r="G418" s="117" t="n">
        <v>2019</v>
      </c>
      <c r="H418" s="117" t="n">
        <v>1</v>
      </c>
      <c r="I418" s="118" t="n">
        <v>43583</v>
      </c>
      <c r="J418" s="118" t="n">
        <v>43583</v>
      </c>
      <c r="K418" s="119" t="n">
        <v>2977742.67</v>
      </c>
      <c r="L418" s="128" t="n">
        <f aca="false">K418-Q418+T418</f>
        <v>2977742.67</v>
      </c>
      <c r="M418" s="117" t="s">
        <v>149</v>
      </c>
      <c r="N418" s="117" t="n">
        <v>2977742.67</v>
      </c>
      <c r="O418" s="117" t="s">
        <v>149</v>
      </c>
      <c r="P418" s="117" t="n">
        <v>0</v>
      </c>
      <c r="Q418" s="117" t="n">
        <v>0</v>
      </c>
      <c r="R418" s="117" t="n">
        <v>2977742.67</v>
      </c>
      <c r="S418" s="117" t="n">
        <v>0</v>
      </c>
      <c r="T418" s="117" t="n">
        <v>0</v>
      </c>
      <c r="U418" s="117" t="n">
        <v>306263</v>
      </c>
      <c r="V418" s="117" t="s">
        <v>2006</v>
      </c>
      <c r="X418" s="117" t="s">
        <v>1534</v>
      </c>
      <c r="Z418" s="117" t="n">
        <v>57783</v>
      </c>
      <c r="AB418" s="117" t="s">
        <v>2247</v>
      </c>
      <c r="AD418" s="117" t="n">
        <v>110000</v>
      </c>
      <c r="AE418" s="117" t="s">
        <v>1966</v>
      </c>
      <c r="AF418" s="117" t="n">
        <v>110000</v>
      </c>
      <c r="AG418" s="117" t="s">
        <v>1966</v>
      </c>
      <c r="AI418" s="117" t="n">
        <v>110000</v>
      </c>
      <c r="AJ418" s="117" t="s">
        <v>1966</v>
      </c>
      <c r="AK418" s="117" t="n">
        <v>0</v>
      </c>
      <c r="AL418" s="117" t="n">
        <v>4</v>
      </c>
      <c r="AM418" s="117" t="s">
        <v>161</v>
      </c>
      <c r="AP418" s="117" t="n">
        <v>100039079</v>
      </c>
      <c r="AQ418" s="118" t="n">
        <v>43644</v>
      </c>
      <c r="AR418" s="118" t="n">
        <v>43583</v>
      </c>
      <c r="AS418" s="117" t="n">
        <v>0.490381944444444</v>
      </c>
      <c r="AT418" s="117" t="n">
        <v>0</v>
      </c>
      <c r="AU418" s="117" t="n">
        <v>0</v>
      </c>
      <c r="AX418" s="117" t="n">
        <v>2</v>
      </c>
    </row>
    <row r="419" customFormat="false" ht="13.8" hidden="true" customHeight="false" outlineLevel="0" collapsed="false">
      <c r="A419" s="117" t="n">
        <v>1000</v>
      </c>
      <c r="B419" s="117" t="s">
        <v>1962</v>
      </c>
      <c r="C419" s="117" t="n">
        <v>100022446</v>
      </c>
      <c r="E419" s="117" t="s">
        <v>1921</v>
      </c>
      <c r="F419" s="117" t="n">
        <v>1109</v>
      </c>
      <c r="G419" s="117" t="n">
        <v>2019</v>
      </c>
      <c r="H419" s="117" t="n">
        <v>2</v>
      </c>
      <c r="I419" s="118" t="n">
        <v>43616</v>
      </c>
      <c r="J419" s="118" t="n">
        <v>43616</v>
      </c>
      <c r="K419" s="119" t="n">
        <v>-1155374.58</v>
      </c>
      <c r="L419" s="128" t="n">
        <f aca="false">K419-Q419+T419</f>
        <v>-1155374.58</v>
      </c>
      <c r="M419" s="117" t="s">
        <v>149</v>
      </c>
      <c r="N419" s="117" t="n">
        <v>-1155374.58</v>
      </c>
      <c r="O419" s="117" t="s">
        <v>149</v>
      </c>
      <c r="P419" s="117" t="n">
        <v>0</v>
      </c>
      <c r="Q419" s="117" t="n">
        <v>0</v>
      </c>
      <c r="R419" s="117" t="n">
        <v>-1155374.58</v>
      </c>
      <c r="S419" s="117" t="n">
        <v>0</v>
      </c>
      <c r="T419" s="117" t="n">
        <v>0</v>
      </c>
      <c r="U419" s="117" t="n">
        <v>312193</v>
      </c>
      <c r="V419" s="117" t="s">
        <v>1963</v>
      </c>
      <c r="Z419" s="117" t="n">
        <v>100022446</v>
      </c>
      <c r="AD419" s="117" t="n">
        <v>110000</v>
      </c>
      <c r="AE419" s="117" t="s">
        <v>1966</v>
      </c>
      <c r="AF419" s="117" t="n">
        <v>110000</v>
      </c>
      <c r="AG419" s="117" t="s">
        <v>1966</v>
      </c>
      <c r="AI419" s="117" t="n">
        <v>110000</v>
      </c>
      <c r="AJ419" s="117" t="s">
        <v>1966</v>
      </c>
      <c r="AK419" s="117" t="n">
        <v>0</v>
      </c>
      <c r="AL419" s="117" t="n">
        <v>17</v>
      </c>
      <c r="AM419" s="117" t="s">
        <v>225</v>
      </c>
      <c r="AP419" s="117" t="n">
        <v>100022446</v>
      </c>
      <c r="AQ419" s="118" t="n">
        <v>43616</v>
      </c>
      <c r="AR419" s="118" t="n">
        <v>43617</v>
      </c>
      <c r="AS419" s="117" t="n">
        <v>0.587256944444444</v>
      </c>
      <c r="AT419" s="117" t="n">
        <v>0</v>
      </c>
      <c r="AU419" s="117" t="n">
        <v>0</v>
      </c>
      <c r="AX419" s="117" t="n">
        <v>8</v>
      </c>
    </row>
    <row r="420" customFormat="false" ht="13.8" hidden="true" customHeight="false" outlineLevel="0" collapsed="false">
      <c r="A420" s="117" t="n">
        <v>1000</v>
      </c>
      <c r="B420" s="117" t="s">
        <v>1962</v>
      </c>
      <c r="C420" s="117" t="n">
        <v>100048479</v>
      </c>
      <c r="E420" s="117" t="s">
        <v>1921</v>
      </c>
      <c r="F420" s="117" t="n">
        <v>1108</v>
      </c>
      <c r="G420" s="117" t="n">
        <v>2019</v>
      </c>
      <c r="H420" s="117" t="n">
        <v>3</v>
      </c>
      <c r="I420" s="118" t="n">
        <v>43646</v>
      </c>
      <c r="J420" s="118" t="n">
        <v>43646</v>
      </c>
      <c r="K420" s="119" t="n">
        <v>73056.13</v>
      </c>
      <c r="L420" s="128" t="n">
        <f aca="false">K420-Q420+T420</f>
        <v>73056.13</v>
      </c>
      <c r="M420" s="117" t="s">
        <v>149</v>
      </c>
      <c r="N420" s="117" t="n">
        <v>73056.13</v>
      </c>
      <c r="O420" s="117" t="s">
        <v>149</v>
      </c>
      <c r="P420" s="117" t="n">
        <v>0</v>
      </c>
      <c r="Q420" s="117" t="n">
        <v>0</v>
      </c>
      <c r="R420" s="117" t="n">
        <v>73056.13</v>
      </c>
      <c r="S420" s="117" t="n">
        <v>0</v>
      </c>
      <c r="T420" s="117" t="n">
        <v>0</v>
      </c>
      <c r="U420" s="117" t="n">
        <v>306263</v>
      </c>
      <c r="V420" s="117" t="s">
        <v>2006</v>
      </c>
      <c r="X420" s="117" t="s">
        <v>1394</v>
      </c>
      <c r="Z420" s="117" t="n">
        <v>58335</v>
      </c>
      <c r="AB420" s="117" t="s">
        <v>2224</v>
      </c>
      <c r="AD420" s="117" t="n">
        <v>110000</v>
      </c>
      <c r="AE420" s="117" t="s">
        <v>1966</v>
      </c>
      <c r="AF420" s="117" t="n">
        <v>110000</v>
      </c>
      <c r="AG420" s="117" t="s">
        <v>1966</v>
      </c>
      <c r="AI420" s="117" t="n">
        <v>110000</v>
      </c>
      <c r="AJ420" s="117" t="s">
        <v>1966</v>
      </c>
      <c r="AK420" s="117" t="n">
        <v>0</v>
      </c>
      <c r="AL420" s="117" t="n">
        <v>4</v>
      </c>
      <c r="AM420" s="117" t="s">
        <v>161</v>
      </c>
      <c r="AP420" s="117" t="n">
        <v>100055939</v>
      </c>
      <c r="AQ420" s="118" t="n">
        <v>43671</v>
      </c>
      <c r="AR420" s="118" t="n">
        <v>43647</v>
      </c>
      <c r="AS420" s="117" t="n">
        <v>0.169166666666667</v>
      </c>
      <c r="AT420" s="117" t="n">
        <v>0</v>
      </c>
      <c r="AU420" s="117" t="n">
        <v>0</v>
      </c>
      <c r="AX420" s="117" t="n">
        <v>2</v>
      </c>
    </row>
    <row r="421" s="106" customFormat="true" ht="13.8" hidden="true" customHeight="false" outlineLevel="0" collapsed="false">
      <c r="A421" s="106" t="n">
        <v>1000</v>
      </c>
      <c r="B421" s="106" t="s">
        <v>1962</v>
      </c>
      <c r="C421" s="106" t="n">
        <v>101452</v>
      </c>
      <c r="D421" s="106" t="s">
        <v>2079</v>
      </c>
      <c r="E421" s="106" t="s">
        <v>1970</v>
      </c>
      <c r="F421" s="106" t="n">
        <v>1108</v>
      </c>
      <c r="G421" s="106" t="n">
        <v>2019</v>
      </c>
      <c r="H421" s="106" t="n">
        <v>2</v>
      </c>
      <c r="I421" s="129" t="n">
        <v>43595</v>
      </c>
      <c r="J421" s="129" t="n">
        <v>43595</v>
      </c>
      <c r="K421" s="107" t="n">
        <v>340506.08</v>
      </c>
      <c r="L421" s="130" t="n">
        <f aca="false">K421-Q421+T421</f>
        <v>288564.48</v>
      </c>
      <c r="M421" s="106" t="s">
        <v>149</v>
      </c>
      <c r="N421" s="106" t="n">
        <v>340506.08</v>
      </c>
      <c r="O421" s="106" t="s">
        <v>149</v>
      </c>
      <c r="P421" s="106" t="n">
        <v>0</v>
      </c>
      <c r="Q421" s="107" t="n">
        <v>51941.6</v>
      </c>
      <c r="R421" s="106" t="n">
        <v>288564.48</v>
      </c>
      <c r="S421" s="106" t="n">
        <v>0</v>
      </c>
      <c r="T421" s="106" t="n">
        <v>0</v>
      </c>
      <c r="U421" s="106" t="n">
        <v>312948</v>
      </c>
      <c r="V421" s="106" t="s">
        <v>1984</v>
      </c>
      <c r="Z421" s="106" t="n">
        <v>58353</v>
      </c>
      <c r="AB421" s="106" t="s">
        <v>2080</v>
      </c>
      <c r="AD421" s="106" t="n">
        <v>110000</v>
      </c>
      <c r="AE421" s="106" t="s">
        <v>1966</v>
      </c>
      <c r="AF421" s="106" t="n">
        <v>501005</v>
      </c>
      <c r="AG421" s="106" t="s">
        <v>2033</v>
      </c>
      <c r="AI421" s="106" t="n">
        <v>501005</v>
      </c>
      <c r="AJ421" s="106" t="s">
        <v>2033</v>
      </c>
      <c r="AK421" s="106" t="n">
        <v>0</v>
      </c>
      <c r="AL421" s="106" t="n">
        <v>1</v>
      </c>
      <c r="AM421" s="106" t="s">
        <v>161</v>
      </c>
      <c r="AP421" s="106" t="n">
        <v>100020152</v>
      </c>
      <c r="AQ421" s="129" t="n">
        <v>43611</v>
      </c>
      <c r="AR421" s="129" t="n">
        <v>43595</v>
      </c>
      <c r="AS421" s="106" t="n">
        <v>0.7325</v>
      </c>
      <c r="AT421" s="106" t="n">
        <v>0</v>
      </c>
      <c r="AU421" s="106" t="n">
        <v>0</v>
      </c>
      <c r="AX421" s="106" t="n">
        <v>1</v>
      </c>
      <c r="ALU421" s="0"/>
      <c r="ALV421" s="0"/>
      <c r="ALW421" s="0"/>
      <c r="ALX421" s="0"/>
      <c r="ALY421" s="0"/>
      <c r="ALZ421" s="0"/>
      <c r="AMA421" s="0"/>
      <c r="AMB421" s="0"/>
      <c r="AMC421" s="0"/>
      <c r="AMD421" s="0"/>
      <c r="AME421" s="0"/>
      <c r="AMF421" s="0"/>
      <c r="AMG421" s="0"/>
      <c r="AMH421" s="0"/>
      <c r="AMI421" s="0"/>
      <c r="AMJ421" s="0"/>
    </row>
    <row r="422" customFormat="false" ht="13.8" hidden="true" customHeight="false" outlineLevel="0" collapsed="false">
      <c r="A422" s="117" t="n">
        <v>1000</v>
      </c>
      <c r="B422" s="117" t="s">
        <v>1962</v>
      </c>
      <c r="C422" s="117" t="n">
        <v>1600000096</v>
      </c>
      <c r="E422" s="117" t="s">
        <v>1987</v>
      </c>
      <c r="F422" s="117" t="n">
        <v>1101</v>
      </c>
      <c r="G422" s="117" t="n">
        <v>2019</v>
      </c>
      <c r="H422" s="117" t="n">
        <v>3</v>
      </c>
      <c r="I422" s="118" t="n">
        <v>43645</v>
      </c>
      <c r="J422" s="118" t="n">
        <v>43645</v>
      </c>
      <c r="K422" s="119" t="n">
        <v>-2095</v>
      </c>
      <c r="L422" s="128" t="n">
        <f aca="false">K422-Q422+T422</f>
        <v>-2095</v>
      </c>
      <c r="M422" s="117" t="s">
        <v>149</v>
      </c>
      <c r="N422" s="117" t="n">
        <v>-2095</v>
      </c>
      <c r="O422" s="117" t="s">
        <v>149</v>
      </c>
      <c r="P422" s="117" t="n">
        <v>-2095</v>
      </c>
      <c r="Q422" s="117" t="n">
        <v>0</v>
      </c>
      <c r="R422" s="117" t="n">
        <v>-2095</v>
      </c>
      <c r="S422" s="117" t="n">
        <v>0</v>
      </c>
      <c r="T422" s="117" t="n">
        <v>0</v>
      </c>
      <c r="U422" s="117" t="n">
        <v>304431</v>
      </c>
      <c r="V422" s="117" t="s">
        <v>2016</v>
      </c>
      <c r="X422" s="117" t="s">
        <v>2248</v>
      </c>
      <c r="Y422" s="117" t="s">
        <v>2164</v>
      </c>
      <c r="Z422" s="117" t="n">
        <v>1600000096</v>
      </c>
      <c r="AD422" s="117" t="n">
        <v>110000</v>
      </c>
      <c r="AE422" s="117" t="s">
        <v>1966</v>
      </c>
      <c r="AF422" s="117" t="n">
        <v>111201</v>
      </c>
      <c r="AG422" s="117" t="s">
        <v>2165</v>
      </c>
      <c r="AI422" s="117" t="n">
        <v>111201</v>
      </c>
      <c r="AJ422" s="117" t="s">
        <v>2165</v>
      </c>
      <c r="AK422" s="117" t="n">
        <v>0</v>
      </c>
      <c r="AL422" s="117" t="n">
        <v>14</v>
      </c>
      <c r="AM422" s="117" t="s">
        <v>225</v>
      </c>
      <c r="AP422" s="117" t="n">
        <v>100048476</v>
      </c>
      <c r="AQ422" s="118" t="n">
        <v>43646</v>
      </c>
      <c r="AR422" s="118" t="n">
        <v>43645</v>
      </c>
      <c r="AS422" s="117" t="n">
        <v>0.743657407407408</v>
      </c>
      <c r="AT422" s="117" t="n">
        <v>0</v>
      </c>
      <c r="AU422" s="117" t="n">
        <v>0</v>
      </c>
      <c r="AX422" s="117" t="n">
        <v>15</v>
      </c>
    </row>
    <row r="423" s="106" customFormat="true" ht="13.8" hidden="true" customHeight="false" outlineLevel="0" collapsed="false">
      <c r="A423" s="106" t="n">
        <v>1000</v>
      </c>
      <c r="B423" s="106" t="s">
        <v>1962</v>
      </c>
      <c r="C423" s="106" t="n">
        <v>100289</v>
      </c>
      <c r="D423" s="106" t="s">
        <v>1534</v>
      </c>
      <c r="E423" s="106" t="s">
        <v>1970</v>
      </c>
      <c r="F423" s="106" t="n">
        <v>1108</v>
      </c>
      <c r="G423" s="106" t="n">
        <v>2019</v>
      </c>
      <c r="H423" s="106" t="n">
        <v>1</v>
      </c>
      <c r="I423" s="129" t="n">
        <v>43567</v>
      </c>
      <c r="J423" s="129" t="n">
        <v>43567</v>
      </c>
      <c r="K423" s="107" t="n">
        <v>2977742.67</v>
      </c>
      <c r="L423" s="130" t="n">
        <f aca="false">K423-Q423+T423</f>
        <v>2523510.75</v>
      </c>
      <c r="M423" s="106" t="s">
        <v>149</v>
      </c>
      <c r="N423" s="106" t="n">
        <v>2977742.67</v>
      </c>
      <c r="O423" s="106" t="s">
        <v>149</v>
      </c>
      <c r="P423" s="106" t="n">
        <v>0</v>
      </c>
      <c r="Q423" s="107" t="n">
        <v>454231.92</v>
      </c>
      <c r="R423" s="106" t="n">
        <v>2523510.75</v>
      </c>
      <c r="S423" s="106" t="n">
        <v>0</v>
      </c>
      <c r="T423" s="106" t="n">
        <v>0</v>
      </c>
      <c r="U423" s="106" t="n">
        <v>306263</v>
      </c>
      <c r="V423" s="106" t="s">
        <v>2006</v>
      </c>
      <c r="Z423" s="106" t="n">
        <v>57783</v>
      </c>
      <c r="AB423" s="106" t="s">
        <v>2247</v>
      </c>
      <c r="AD423" s="106" t="n">
        <v>110000</v>
      </c>
      <c r="AE423" s="106" t="s">
        <v>1966</v>
      </c>
      <c r="AF423" s="106" t="n">
        <v>501005</v>
      </c>
      <c r="AG423" s="106" t="s">
        <v>2033</v>
      </c>
      <c r="AI423" s="106" t="n">
        <v>501005</v>
      </c>
      <c r="AJ423" s="106" t="s">
        <v>2033</v>
      </c>
      <c r="AK423" s="106" t="n">
        <v>0</v>
      </c>
      <c r="AL423" s="106" t="n">
        <v>1</v>
      </c>
      <c r="AM423" s="106" t="s">
        <v>161</v>
      </c>
      <c r="AP423" s="106" t="n">
        <v>100004318</v>
      </c>
      <c r="AQ423" s="129" t="n">
        <v>43583</v>
      </c>
      <c r="AR423" s="129" t="n">
        <v>43567</v>
      </c>
      <c r="AS423" s="106" t="n">
        <v>0.545023148148148</v>
      </c>
      <c r="AT423" s="106" t="n">
        <v>0</v>
      </c>
      <c r="AU423" s="106" t="n">
        <v>0</v>
      </c>
      <c r="AX423" s="106" t="n">
        <v>1</v>
      </c>
      <c r="ALU423" s="0"/>
      <c r="ALV423" s="0"/>
      <c r="ALW423" s="0"/>
      <c r="ALX423" s="0"/>
      <c r="ALY423" s="0"/>
      <c r="ALZ423" s="0"/>
      <c r="AMA423" s="0"/>
      <c r="AMB423" s="0"/>
      <c r="AMC423" s="0"/>
      <c r="AMD423" s="0"/>
      <c r="AME423" s="0"/>
      <c r="AMF423" s="0"/>
      <c r="AMG423" s="0"/>
      <c r="AMH423" s="0"/>
      <c r="AMI423" s="0"/>
      <c r="AMJ423" s="0"/>
    </row>
    <row r="424" s="106" customFormat="true" ht="13.8" hidden="true" customHeight="false" outlineLevel="0" collapsed="false">
      <c r="A424" s="106" t="n">
        <v>1000</v>
      </c>
      <c r="B424" s="106" t="s">
        <v>1962</v>
      </c>
      <c r="C424" s="106" t="n">
        <v>101357</v>
      </c>
      <c r="D424" s="106" t="s">
        <v>1299</v>
      </c>
      <c r="E424" s="106" t="s">
        <v>1970</v>
      </c>
      <c r="F424" s="106" t="n">
        <v>1101</v>
      </c>
      <c r="G424" s="106" t="n">
        <v>2019</v>
      </c>
      <c r="H424" s="106" t="n">
        <v>2</v>
      </c>
      <c r="I424" s="129" t="n">
        <v>43593</v>
      </c>
      <c r="J424" s="129" t="n">
        <v>43593</v>
      </c>
      <c r="K424" s="107" t="n">
        <v>978699.19</v>
      </c>
      <c r="L424" s="130" t="n">
        <f aca="false">K424-Q424+T424</f>
        <v>829406.09</v>
      </c>
      <c r="M424" s="106" t="s">
        <v>149</v>
      </c>
      <c r="N424" s="106" t="n">
        <v>978699.19</v>
      </c>
      <c r="O424" s="106" t="s">
        <v>149</v>
      </c>
      <c r="P424" s="106" t="n">
        <v>0</v>
      </c>
      <c r="Q424" s="107" t="n">
        <v>149293.1</v>
      </c>
      <c r="R424" s="106" t="n">
        <v>829406.09</v>
      </c>
      <c r="S424" s="106" t="n">
        <v>0</v>
      </c>
      <c r="T424" s="106" t="n">
        <v>0</v>
      </c>
      <c r="U424" s="106" t="n">
        <v>318999</v>
      </c>
      <c r="V424" s="106" t="s">
        <v>143</v>
      </c>
      <c r="Z424" s="106" t="n">
        <v>101357</v>
      </c>
      <c r="AD424" s="106" t="n">
        <v>110000</v>
      </c>
      <c r="AE424" s="106" t="s">
        <v>1966</v>
      </c>
      <c r="AF424" s="106" t="n">
        <v>501040</v>
      </c>
      <c r="AG424" s="106" t="s">
        <v>2036</v>
      </c>
      <c r="AI424" s="106" t="n">
        <v>501040</v>
      </c>
      <c r="AJ424" s="106" t="s">
        <v>2036</v>
      </c>
      <c r="AK424" s="106" t="n">
        <v>0</v>
      </c>
      <c r="AL424" s="106" t="n">
        <v>1</v>
      </c>
      <c r="AM424" s="106" t="s">
        <v>161</v>
      </c>
      <c r="AP424" s="106" t="n">
        <v>100022980</v>
      </c>
      <c r="AQ424" s="129" t="n">
        <v>43616</v>
      </c>
      <c r="AR424" s="129" t="n">
        <v>43593</v>
      </c>
      <c r="AS424" s="106" t="n">
        <v>0.622337962962963</v>
      </c>
      <c r="AT424" s="106" t="n">
        <v>0</v>
      </c>
      <c r="AU424" s="106" t="n">
        <v>0</v>
      </c>
      <c r="AX424" s="106" t="n">
        <v>1</v>
      </c>
      <c r="ALU424" s="0"/>
      <c r="ALV424" s="0"/>
      <c r="ALW424" s="0"/>
      <c r="ALX424" s="0"/>
      <c r="ALY424" s="0"/>
      <c r="ALZ424" s="0"/>
      <c r="AMA424" s="0"/>
      <c r="AMB424" s="0"/>
      <c r="AMC424" s="0"/>
      <c r="AMD424" s="0"/>
      <c r="AME424" s="0"/>
      <c r="AMF424" s="0"/>
      <c r="AMG424" s="0"/>
      <c r="AMH424" s="0"/>
      <c r="AMI424" s="0"/>
      <c r="AMJ424" s="0"/>
    </row>
    <row r="425" s="106" customFormat="true" ht="13.8" hidden="true" customHeight="false" outlineLevel="0" collapsed="false">
      <c r="A425" s="106" t="n">
        <v>1000</v>
      </c>
      <c r="B425" s="106" t="s">
        <v>1962</v>
      </c>
      <c r="C425" s="106" t="n">
        <v>101094</v>
      </c>
      <c r="D425" s="106" t="s">
        <v>2249</v>
      </c>
      <c r="E425" s="106" t="s">
        <v>1970</v>
      </c>
      <c r="F425" s="106" t="n">
        <v>1108</v>
      </c>
      <c r="G425" s="106" t="n">
        <v>2019</v>
      </c>
      <c r="H425" s="106" t="n">
        <v>1</v>
      </c>
      <c r="I425" s="129" t="n">
        <v>43585</v>
      </c>
      <c r="J425" s="129" t="n">
        <v>43585</v>
      </c>
      <c r="K425" s="107" t="n">
        <v>332796.58</v>
      </c>
      <c r="L425" s="130" t="n">
        <f aca="false">K425-Q425+T425</f>
        <v>282031</v>
      </c>
      <c r="M425" s="106" t="s">
        <v>149</v>
      </c>
      <c r="N425" s="106" t="n">
        <v>332796.58</v>
      </c>
      <c r="O425" s="106" t="s">
        <v>149</v>
      </c>
      <c r="P425" s="106" t="n">
        <v>0</v>
      </c>
      <c r="Q425" s="107" t="n">
        <v>50765.58</v>
      </c>
      <c r="R425" s="106" t="n">
        <v>282031</v>
      </c>
      <c r="S425" s="106" t="n">
        <v>0</v>
      </c>
      <c r="T425" s="106" t="n">
        <v>0</v>
      </c>
      <c r="U425" s="106" t="n">
        <v>312193</v>
      </c>
      <c r="V425" s="106" t="s">
        <v>1963</v>
      </c>
      <c r="Z425" s="106" t="n">
        <v>2346</v>
      </c>
      <c r="AB425" s="106" t="s">
        <v>2031</v>
      </c>
      <c r="AD425" s="106" t="n">
        <v>110000</v>
      </c>
      <c r="AE425" s="106" t="s">
        <v>1966</v>
      </c>
      <c r="AF425" s="106" t="n">
        <v>501020</v>
      </c>
      <c r="AG425" s="106" t="s">
        <v>1971</v>
      </c>
      <c r="AI425" s="106" t="n">
        <v>501020</v>
      </c>
      <c r="AJ425" s="106" t="s">
        <v>1971</v>
      </c>
      <c r="AK425" s="106" t="n">
        <v>0</v>
      </c>
      <c r="AL425" s="106" t="n">
        <v>1</v>
      </c>
      <c r="AM425" s="106" t="s">
        <v>161</v>
      </c>
      <c r="AP425" s="106" t="n">
        <v>100005107</v>
      </c>
      <c r="AQ425" s="129" t="n">
        <v>43585</v>
      </c>
      <c r="AR425" s="129" t="n">
        <v>43585</v>
      </c>
      <c r="AS425" s="106" t="n">
        <v>0.48849537037037</v>
      </c>
      <c r="AT425" s="106" t="n">
        <v>0</v>
      </c>
      <c r="AU425" s="106" t="n">
        <v>0</v>
      </c>
      <c r="AX425" s="106" t="n">
        <v>1</v>
      </c>
      <c r="ALU425" s="0"/>
      <c r="ALV425" s="0"/>
      <c r="ALW425" s="0"/>
      <c r="ALX425" s="0"/>
      <c r="ALY425" s="0"/>
      <c r="ALZ425" s="0"/>
      <c r="AMA425" s="0"/>
      <c r="AMB425" s="0"/>
      <c r="AMC425" s="0"/>
      <c r="AMD425" s="0"/>
      <c r="AME425" s="0"/>
      <c r="AMF425" s="0"/>
      <c r="AMG425" s="0"/>
      <c r="AMH425" s="0"/>
      <c r="AMI425" s="0"/>
      <c r="AMJ425" s="0"/>
    </row>
    <row r="426" customFormat="false" ht="13.8" hidden="true" customHeight="false" outlineLevel="0" collapsed="false">
      <c r="A426" s="117" t="n">
        <v>1000</v>
      </c>
      <c r="B426" s="117" t="s">
        <v>1962</v>
      </c>
      <c r="C426" s="117" t="n">
        <v>100022980</v>
      </c>
      <c r="E426" s="117" t="s">
        <v>1921</v>
      </c>
      <c r="F426" s="117" t="n">
        <v>1101</v>
      </c>
      <c r="G426" s="117" t="n">
        <v>2019</v>
      </c>
      <c r="H426" s="117" t="n">
        <v>2</v>
      </c>
      <c r="I426" s="118" t="n">
        <v>43616</v>
      </c>
      <c r="J426" s="118" t="n">
        <v>43616</v>
      </c>
      <c r="K426" s="119" t="n">
        <v>832509.98</v>
      </c>
      <c r="L426" s="128" t="n">
        <f aca="false">K426-Q426+T426</f>
        <v>832509.98</v>
      </c>
      <c r="M426" s="117" t="s">
        <v>149</v>
      </c>
      <c r="N426" s="117" t="n">
        <v>832509.98</v>
      </c>
      <c r="O426" s="117" t="s">
        <v>149</v>
      </c>
      <c r="P426" s="117" t="n">
        <v>0</v>
      </c>
      <c r="Q426" s="117" t="n">
        <v>0</v>
      </c>
      <c r="R426" s="117" t="n">
        <v>832509.98</v>
      </c>
      <c r="S426" s="117" t="n">
        <v>0</v>
      </c>
      <c r="T426" s="117" t="n">
        <v>0</v>
      </c>
      <c r="U426" s="117" t="n">
        <v>318999</v>
      </c>
      <c r="V426" s="117" t="s">
        <v>143</v>
      </c>
      <c r="X426" s="117" t="s">
        <v>1316</v>
      </c>
      <c r="Z426" s="117" t="n">
        <v>100022980</v>
      </c>
      <c r="AD426" s="117" t="n">
        <v>110000</v>
      </c>
      <c r="AE426" s="117" t="s">
        <v>1966</v>
      </c>
      <c r="AF426" s="117" t="n">
        <v>110000</v>
      </c>
      <c r="AG426" s="117" t="s">
        <v>1966</v>
      </c>
      <c r="AI426" s="117" t="n">
        <v>110000</v>
      </c>
      <c r="AJ426" s="117" t="s">
        <v>1966</v>
      </c>
      <c r="AK426" s="117" t="n">
        <v>0</v>
      </c>
      <c r="AL426" s="117" t="n">
        <v>4</v>
      </c>
      <c r="AM426" s="117" t="s">
        <v>161</v>
      </c>
      <c r="AP426" s="117" t="n">
        <v>100039982</v>
      </c>
      <c r="AQ426" s="118" t="n">
        <v>43645</v>
      </c>
      <c r="AR426" s="118" t="n">
        <v>43618</v>
      </c>
      <c r="AS426" s="117" t="n">
        <v>0.614305555555556</v>
      </c>
      <c r="AT426" s="117" t="n">
        <v>0</v>
      </c>
      <c r="AU426" s="117" t="n">
        <v>0</v>
      </c>
      <c r="AX426" s="117" t="n">
        <v>4</v>
      </c>
    </row>
    <row r="427" customFormat="false" ht="13.8" hidden="true" customHeight="false" outlineLevel="0" collapsed="false">
      <c r="A427" s="117" t="n">
        <v>1000</v>
      </c>
      <c r="B427" s="117" t="s">
        <v>1962</v>
      </c>
      <c r="C427" s="117" t="n">
        <v>100005104</v>
      </c>
      <c r="E427" s="117" t="s">
        <v>1921</v>
      </c>
      <c r="F427" s="117" t="n">
        <v>1109</v>
      </c>
      <c r="G427" s="117" t="n">
        <v>2019</v>
      </c>
      <c r="H427" s="117" t="n">
        <v>1</v>
      </c>
      <c r="I427" s="118" t="n">
        <v>43585</v>
      </c>
      <c r="J427" s="118" t="n">
        <v>43585</v>
      </c>
      <c r="K427" s="119" t="n">
        <v>9542</v>
      </c>
      <c r="L427" s="128" t="n">
        <f aca="false">K427-Q427+T427</f>
        <v>9542</v>
      </c>
      <c r="M427" s="117" t="s">
        <v>149</v>
      </c>
      <c r="N427" s="117" t="n">
        <v>9542</v>
      </c>
      <c r="O427" s="117" t="s">
        <v>149</v>
      </c>
      <c r="P427" s="117" t="n">
        <v>0</v>
      </c>
      <c r="Q427" s="117" t="n">
        <v>0</v>
      </c>
      <c r="R427" s="117" t="n">
        <v>9542</v>
      </c>
      <c r="S427" s="117" t="n">
        <v>0</v>
      </c>
      <c r="T427" s="117" t="n">
        <v>0</v>
      </c>
      <c r="U427" s="117" t="n">
        <v>312193</v>
      </c>
      <c r="V427" s="117" t="s">
        <v>1963</v>
      </c>
      <c r="X427" s="117" t="s">
        <v>2250</v>
      </c>
      <c r="Z427" s="117" t="n">
        <v>2316</v>
      </c>
      <c r="AB427" s="117" t="s">
        <v>1965</v>
      </c>
      <c r="AD427" s="117" t="n">
        <v>110000</v>
      </c>
      <c r="AE427" s="117" t="s">
        <v>1966</v>
      </c>
      <c r="AF427" s="117" t="n">
        <v>110000</v>
      </c>
      <c r="AG427" s="117" t="s">
        <v>1966</v>
      </c>
      <c r="AI427" s="117" t="n">
        <v>110000</v>
      </c>
      <c r="AJ427" s="117" t="s">
        <v>1966</v>
      </c>
      <c r="AK427" s="117" t="n">
        <v>0</v>
      </c>
      <c r="AL427" s="117" t="n">
        <v>4</v>
      </c>
      <c r="AM427" s="117" t="s">
        <v>161</v>
      </c>
      <c r="AP427" s="117" t="n">
        <v>100173563</v>
      </c>
      <c r="AQ427" s="118" t="n">
        <v>43799</v>
      </c>
      <c r="AR427" s="118" t="n">
        <v>43586</v>
      </c>
      <c r="AS427" s="117" t="n">
        <v>0.418055555555556</v>
      </c>
      <c r="AT427" s="117" t="n">
        <v>0</v>
      </c>
      <c r="AU427" s="117" t="n">
        <v>0</v>
      </c>
      <c r="AX427" s="117" t="n">
        <v>4</v>
      </c>
    </row>
    <row r="428" s="106" customFormat="true" ht="13.8" hidden="true" customHeight="false" outlineLevel="0" collapsed="false">
      <c r="A428" s="106" t="n">
        <v>1000</v>
      </c>
      <c r="B428" s="106" t="s">
        <v>1962</v>
      </c>
      <c r="C428" s="106" t="n">
        <v>107464</v>
      </c>
      <c r="D428" s="106" t="s">
        <v>2087</v>
      </c>
      <c r="E428" s="106" t="s">
        <v>1970</v>
      </c>
      <c r="F428" s="106" t="n">
        <v>1108</v>
      </c>
      <c r="G428" s="106" t="n">
        <v>2019</v>
      </c>
      <c r="H428" s="106" t="n">
        <v>6</v>
      </c>
      <c r="I428" s="129" t="n">
        <v>43738</v>
      </c>
      <c r="J428" s="129" t="n">
        <v>43738</v>
      </c>
      <c r="K428" s="107" t="n">
        <v>100717.43</v>
      </c>
      <c r="L428" s="130" t="n">
        <f aca="false">K428-Q428+T428</f>
        <v>85353.75</v>
      </c>
      <c r="M428" s="106" t="s">
        <v>149</v>
      </c>
      <c r="N428" s="106" t="n">
        <v>100717.43</v>
      </c>
      <c r="O428" s="106" t="s">
        <v>149</v>
      </c>
      <c r="P428" s="106" t="n">
        <v>0</v>
      </c>
      <c r="Q428" s="107" t="n">
        <v>15363.68</v>
      </c>
      <c r="R428" s="107" t="n">
        <v>85353.75</v>
      </c>
      <c r="S428" s="106" t="n">
        <v>0</v>
      </c>
      <c r="T428" s="106" t="n">
        <v>0</v>
      </c>
      <c r="U428" s="106" t="n">
        <v>312193</v>
      </c>
      <c r="V428" s="106" t="s">
        <v>1963</v>
      </c>
      <c r="Z428" s="106" t="n">
        <v>2457</v>
      </c>
      <c r="AB428" s="106" t="s">
        <v>2088</v>
      </c>
      <c r="AD428" s="106" t="n">
        <v>110000</v>
      </c>
      <c r="AE428" s="106" t="s">
        <v>1966</v>
      </c>
      <c r="AF428" s="106" t="n">
        <v>501020</v>
      </c>
      <c r="AG428" s="106" t="s">
        <v>1971</v>
      </c>
      <c r="AI428" s="106" t="n">
        <v>501020</v>
      </c>
      <c r="AJ428" s="106" t="s">
        <v>1971</v>
      </c>
      <c r="AK428" s="106" t="n">
        <v>0</v>
      </c>
      <c r="AL428" s="106" t="n">
        <v>1</v>
      </c>
      <c r="AM428" s="106" t="s">
        <v>161</v>
      </c>
      <c r="AP428" s="106" t="n">
        <v>100122987</v>
      </c>
      <c r="AQ428" s="129" t="n">
        <v>43738</v>
      </c>
      <c r="AR428" s="129" t="n">
        <v>43738</v>
      </c>
      <c r="AS428" s="106" t="n">
        <v>0.563310185185185</v>
      </c>
      <c r="AT428" s="106" t="n">
        <v>0</v>
      </c>
      <c r="AU428" s="106" t="n">
        <v>0</v>
      </c>
      <c r="AX428" s="106" t="n">
        <v>1</v>
      </c>
      <c r="ALU428" s="0"/>
      <c r="ALV428" s="0"/>
      <c r="ALW428" s="0"/>
      <c r="ALX428" s="0"/>
      <c r="ALY428" s="0"/>
      <c r="ALZ428" s="0"/>
      <c r="AMA428" s="0"/>
      <c r="AMB428" s="0"/>
      <c r="AMC428" s="0"/>
      <c r="AMD428" s="0"/>
      <c r="AME428" s="0"/>
      <c r="AMF428" s="0"/>
      <c r="AMG428" s="0"/>
      <c r="AMH428" s="0"/>
      <c r="AMI428" s="0"/>
      <c r="AMJ428" s="0"/>
    </row>
    <row r="429" customFormat="false" ht="13.8" hidden="true" customHeight="false" outlineLevel="0" collapsed="false">
      <c r="A429" s="117" t="n">
        <v>1000</v>
      </c>
      <c r="B429" s="117" t="s">
        <v>1962</v>
      </c>
      <c r="C429" s="117" t="n">
        <v>1400003429</v>
      </c>
      <c r="E429" s="117" t="s">
        <v>1972</v>
      </c>
      <c r="F429" s="117" t="n">
        <v>1106</v>
      </c>
      <c r="G429" s="117" t="n">
        <v>2019</v>
      </c>
      <c r="H429" s="117" t="n">
        <v>3</v>
      </c>
      <c r="I429" s="118" t="n">
        <v>43636</v>
      </c>
      <c r="J429" s="118" t="n">
        <v>43636</v>
      </c>
      <c r="K429" s="119" t="n">
        <v>-800354.83</v>
      </c>
      <c r="L429" s="128" t="n">
        <f aca="false">K429-Q429+T429</f>
        <v>-800354.83</v>
      </c>
      <c r="M429" s="117" t="s">
        <v>149</v>
      </c>
      <c r="N429" s="117" t="n">
        <v>-800354.83</v>
      </c>
      <c r="O429" s="117" t="s">
        <v>149</v>
      </c>
      <c r="P429" s="117" t="n">
        <v>0</v>
      </c>
      <c r="Q429" s="117" t="n">
        <v>0</v>
      </c>
      <c r="R429" s="117" t="n">
        <v>-800354.83</v>
      </c>
      <c r="S429" s="117" t="n">
        <v>0</v>
      </c>
      <c r="T429" s="117" t="n">
        <v>0</v>
      </c>
      <c r="U429" s="117" t="n">
        <v>312193</v>
      </c>
      <c r="V429" s="117" t="s">
        <v>1963</v>
      </c>
      <c r="X429" s="117" t="s">
        <v>2251</v>
      </c>
      <c r="Y429" s="117" t="s">
        <v>2252</v>
      </c>
      <c r="Z429" s="117" t="n">
        <v>1400003429</v>
      </c>
      <c r="AC429" s="117" t="s">
        <v>1976</v>
      </c>
      <c r="AD429" s="117" t="n">
        <v>310300</v>
      </c>
      <c r="AE429" s="117" t="s">
        <v>1969</v>
      </c>
      <c r="AF429" s="117" t="n">
        <v>101105</v>
      </c>
      <c r="AG429" s="117" t="s">
        <v>1977</v>
      </c>
      <c r="AI429" s="117" t="n">
        <v>101105</v>
      </c>
      <c r="AJ429" s="117" t="s">
        <v>1977</v>
      </c>
      <c r="AK429" s="117" t="n">
        <v>0</v>
      </c>
      <c r="AL429" s="117" t="n">
        <v>19</v>
      </c>
      <c r="AM429" s="117" t="s">
        <v>225</v>
      </c>
      <c r="AN429" s="117" t="s">
        <v>1978</v>
      </c>
      <c r="AP429" s="117" t="n">
        <v>100050530</v>
      </c>
      <c r="AQ429" s="118" t="n">
        <v>43646</v>
      </c>
      <c r="AR429" s="118" t="n">
        <v>43647</v>
      </c>
      <c r="AS429" s="117" t="n">
        <v>0.629861111111111</v>
      </c>
      <c r="AT429" s="117" t="n">
        <v>0</v>
      </c>
      <c r="AU429" s="117" t="n">
        <v>0</v>
      </c>
      <c r="AX429" s="117" t="n">
        <v>2</v>
      </c>
    </row>
    <row r="430" customFormat="false" ht="13.8" hidden="true" customHeight="false" outlineLevel="0" collapsed="false">
      <c r="A430" s="117" t="n">
        <v>1000</v>
      </c>
      <c r="B430" s="117" t="s">
        <v>1962</v>
      </c>
      <c r="C430" s="117" t="n">
        <v>100020152</v>
      </c>
      <c r="E430" s="117" t="s">
        <v>1921</v>
      </c>
      <c r="F430" s="117" t="n">
        <v>1108</v>
      </c>
      <c r="G430" s="117" t="n">
        <v>2019</v>
      </c>
      <c r="H430" s="117" t="n">
        <v>2</v>
      </c>
      <c r="I430" s="118" t="n">
        <v>43611</v>
      </c>
      <c r="J430" s="118" t="n">
        <v>43611</v>
      </c>
      <c r="K430" s="119" t="n">
        <v>-340506.08</v>
      </c>
      <c r="L430" s="128" t="n">
        <f aca="false">K430-Q430+T430</f>
        <v>-340506.08</v>
      </c>
      <c r="M430" s="117" t="s">
        <v>149</v>
      </c>
      <c r="N430" s="117" t="n">
        <v>-340506.08</v>
      </c>
      <c r="O430" s="117" t="s">
        <v>149</v>
      </c>
      <c r="P430" s="117" t="n">
        <v>0</v>
      </c>
      <c r="Q430" s="117" t="n">
        <v>0</v>
      </c>
      <c r="R430" s="117" t="n">
        <v>-340506.08</v>
      </c>
      <c r="S430" s="117" t="n">
        <v>0</v>
      </c>
      <c r="T430" s="117" t="n">
        <v>0</v>
      </c>
      <c r="U430" s="117" t="n">
        <v>312948</v>
      </c>
      <c r="V430" s="117" t="s">
        <v>1984</v>
      </c>
      <c r="Z430" s="117" t="n">
        <v>100020152</v>
      </c>
      <c r="AD430" s="117" t="n">
        <v>110000</v>
      </c>
      <c r="AE430" s="117" t="s">
        <v>1966</v>
      </c>
      <c r="AF430" s="117" t="n">
        <v>110000</v>
      </c>
      <c r="AG430" s="117" t="s">
        <v>1966</v>
      </c>
      <c r="AI430" s="117" t="n">
        <v>110000</v>
      </c>
      <c r="AJ430" s="117" t="s">
        <v>1966</v>
      </c>
      <c r="AK430" s="117" t="n">
        <v>0</v>
      </c>
      <c r="AL430" s="117" t="n">
        <v>17</v>
      </c>
      <c r="AM430" s="117" t="s">
        <v>225</v>
      </c>
      <c r="AP430" s="117" t="n">
        <v>100020152</v>
      </c>
      <c r="AQ430" s="118" t="n">
        <v>43611</v>
      </c>
      <c r="AR430" s="118" t="n">
        <v>43611</v>
      </c>
      <c r="AS430" s="117" t="n">
        <v>0.770474537037037</v>
      </c>
      <c r="AT430" s="117" t="n">
        <v>0</v>
      </c>
      <c r="AU430" s="117" t="n">
        <v>0</v>
      </c>
      <c r="AX430" s="117" t="n">
        <v>2</v>
      </c>
    </row>
    <row r="431" customFormat="false" ht="13.8" hidden="true" customHeight="false" outlineLevel="0" collapsed="false">
      <c r="A431" s="117" t="n">
        <v>1000</v>
      </c>
      <c r="B431" s="117" t="s">
        <v>1962</v>
      </c>
      <c r="C431" s="117" t="n">
        <v>100004317</v>
      </c>
      <c r="E431" s="117" t="s">
        <v>1921</v>
      </c>
      <c r="F431" s="117" t="n">
        <v>1109</v>
      </c>
      <c r="G431" s="117" t="n">
        <v>2019</v>
      </c>
      <c r="H431" s="117" t="n">
        <v>1</v>
      </c>
      <c r="I431" s="118" t="n">
        <v>43583</v>
      </c>
      <c r="J431" s="118" t="n">
        <v>43583</v>
      </c>
      <c r="K431" s="119" t="n">
        <v>-6300326.8</v>
      </c>
      <c r="L431" s="128" t="n">
        <f aca="false">K431-Q431+T431</f>
        <v>-6300326.8</v>
      </c>
      <c r="M431" s="117" t="s">
        <v>149</v>
      </c>
      <c r="N431" s="117" t="n">
        <v>-6300326.8</v>
      </c>
      <c r="O431" s="117" t="s">
        <v>149</v>
      </c>
      <c r="P431" s="117" t="n">
        <v>0</v>
      </c>
      <c r="Q431" s="117" t="n">
        <v>0</v>
      </c>
      <c r="R431" s="117" t="n">
        <v>-6300326.8</v>
      </c>
      <c r="S431" s="117" t="n">
        <v>0</v>
      </c>
      <c r="T431" s="117" t="n">
        <v>0</v>
      </c>
      <c r="U431" s="117" t="n">
        <v>305576</v>
      </c>
      <c r="V431" s="117" t="s">
        <v>1973</v>
      </c>
      <c r="Z431" s="117" t="n">
        <v>100004317</v>
      </c>
      <c r="AD431" s="117" t="n">
        <v>110000</v>
      </c>
      <c r="AE431" s="117" t="s">
        <v>1966</v>
      </c>
      <c r="AF431" s="117" t="n">
        <v>110000</v>
      </c>
      <c r="AG431" s="117" t="s">
        <v>1966</v>
      </c>
      <c r="AI431" s="117" t="n">
        <v>110000</v>
      </c>
      <c r="AJ431" s="117" t="s">
        <v>1966</v>
      </c>
      <c r="AK431" s="117" t="n">
        <v>0</v>
      </c>
      <c r="AL431" s="117" t="n">
        <v>17</v>
      </c>
      <c r="AM431" s="117" t="s">
        <v>225</v>
      </c>
      <c r="AP431" s="117" t="n">
        <v>100004317</v>
      </c>
      <c r="AQ431" s="118" t="n">
        <v>43583</v>
      </c>
      <c r="AR431" s="118" t="n">
        <v>43583</v>
      </c>
      <c r="AS431" s="117" t="n">
        <v>0.489409722222222</v>
      </c>
      <c r="AT431" s="117" t="n">
        <v>0</v>
      </c>
      <c r="AU431" s="117" t="n">
        <v>0</v>
      </c>
      <c r="AX431" s="117" t="n">
        <v>3</v>
      </c>
    </row>
    <row r="432" s="106" customFormat="true" ht="13.8" hidden="true" customHeight="false" outlineLevel="0" collapsed="false">
      <c r="A432" s="106" t="n">
        <v>1000</v>
      </c>
      <c r="B432" s="106" t="s">
        <v>1962</v>
      </c>
      <c r="C432" s="106" t="n">
        <v>107729</v>
      </c>
      <c r="D432" s="106" t="s">
        <v>1839</v>
      </c>
      <c r="E432" s="106" t="s">
        <v>1970</v>
      </c>
      <c r="F432" s="106" t="n">
        <v>1109</v>
      </c>
      <c r="G432" s="106" t="n">
        <v>2019</v>
      </c>
      <c r="H432" s="106" t="n">
        <v>7</v>
      </c>
      <c r="I432" s="129" t="n">
        <v>43749</v>
      </c>
      <c r="J432" s="129" t="n">
        <v>43749</v>
      </c>
      <c r="K432" s="107" t="n">
        <v>93045.41</v>
      </c>
      <c r="L432" s="130" t="n">
        <f aca="false">K432-Q432+T432</f>
        <v>78852.09</v>
      </c>
      <c r="M432" s="106" t="s">
        <v>149</v>
      </c>
      <c r="N432" s="106" t="n">
        <v>93045.41</v>
      </c>
      <c r="O432" s="106" t="s">
        <v>149</v>
      </c>
      <c r="P432" s="106" t="n">
        <v>0</v>
      </c>
      <c r="Q432" s="107" t="n">
        <v>14193.32</v>
      </c>
      <c r="R432" s="106" t="n">
        <v>78852.09</v>
      </c>
      <c r="S432" s="106" t="n">
        <v>0</v>
      </c>
      <c r="T432" s="106" t="n">
        <v>0</v>
      </c>
      <c r="U432" s="106" t="n">
        <v>312193</v>
      </c>
      <c r="V432" s="106" t="s">
        <v>1963</v>
      </c>
      <c r="Z432" s="106" t="n">
        <v>60962</v>
      </c>
      <c r="AB432" s="106" t="s">
        <v>2124</v>
      </c>
      <c r="AD432" s="106" t="n">
        <v>110000</v>
      </c>
      <c r="AE432" s="106" t="s">
        <v>1966</v>
      </c>
      <c r="AF432" s="106" t="n">
        <v>501005</v>
      </c>
      <c r="AG432" s="106" t="s">
        <v>2033</v>
      </c>
      <c r="AI432" s="106" t="n">
        <v>501005</v>
      </c>
      <c r="AJ432" s="106" t="s">
        <v>2033</v>
      </c>
      <c r="AK432" s="106" t="n">
        <v>0</v>
      </c>
      <c r="AL432" s="106" t="n">
        <v>1</v>
      </c>
      <c r="AM432" s="106" t="s">
        <v>161</v>
      </c>
      <c r="AP432" s="106" t="n">
        <v>100141449</v>
      </c>
      <c r="AQ432" s="129" t="n">
        <v>43766</v>
      </c>
      <c r="AR432" s="129" t="n">
        <v>43749</v>
      </c>
      <c r="AS432" s="106" t="n">
        <v>0.523923611111111</v>
      </c>
      <c r="AT432" s="106" t="n">
        <v>0</v>
      </c>
      <c r="AU432" s="106" t="n">
        <v>0</v>
      </c>
      <c r="AX432" s="106" t="n">
        <v>1</v>
      </c>
      <c r="ALU432" s="0"/>
      <c r="ALV432" s="0"/>
      <c r="ALW432" s="0"/>
      <c r="ALX432" s="0"/>
      <c r="ALY432" s="0"/>
      <c r="ALZ432" s="0"/>
      <c r="AMA432" s="0"/>
      <c r="AMB432" s="0"/>
      <c r="AMC432" s="0"/>
      <c r="AMD432" s="0"/>
      <c r="AME432" s="0"/>
      <c r="AMF432" s="0"/>
      <c r="AMG432" s="0"/>
      <c r="AMH432" s="0"/>
      <c r="AMI432" s="0"/>
      <c r="AMJ432" s="0"/>
    </row>
    <row r="433" customFormat="false" ht="13.8" hidden="true" customHeight="false" outlineLevel="0" collapsed="false">
      <c r="A433" s="117" t="n">
        <v>1000</v>
      </c>
      <c r="B433" s="117" t="s">
        <v>1962</v>
      </c>
      <c r="C433" s="117" t="n">
        <v>1600000016</v>
      </c>
      <c r="D433" s="117" t="s">
        <v>2175</v>
      </c>
      <c r="E433" s="117" t="s">
        <v>1987</v>
      </c>
      <c r="F433" s="117" t="n">
        <v>1106</v>
      </c>
      <c r="G433" s="117" t="n">
        <v>2019</v>
      </c>
      <c r="H433" s="117" t="n">
        <v>1</v>
      </c>
      <c r="I433" s="118" t="n">
        <v>43560</v>
      </c>
      <c r="J433" s="118" t="n">
        <v>43560</v>
      </c>
      <c r="K433" s="119" t="n">
        <v>19639.46</v>
      </c>
      <c r="L433" s="128" t="n">
        <f aca="false">K433-Q433+T433</f>
        <v>19639.46</v>
      </c>
      <c r="M433" s="117" t="s">
        <v>149</v>
      </c>
      <c r="N433" s="117" t="n">
        <v>19639.46</v>
      </c>
      <c r="O433" s="117" t="s">
        <v>149</v>
      </c>
      <c r="P433" s="117" t="n">
        <v>19639.46</v>
      </c>
      <c r="Q433" s="117" t="n">
        <v>0</v>
      </c>
      <c r="R433" s="117" t="n">
        <v>19639.46</v>
      </c>
      <c r="S433" s="117" t="n">
        <v>0</v>
      </c>
      <c r="T433" s="117" t="n">
        <v>0</v>
      </c>
      <c r="U433" s="117" t="n">
        <v>318169</v>
      </c>
      <c r="V433" s="117" t="s">
        <v>2158</v>
      </c>
      <c r="X433" s="117" t="s">
        <v>2253</v>
      </c>
      <c r="Y433" s="117" t="s">
        <v>2176</v>
      </c>
      <c r="Z433" s="117" t="n">
        <v>1600000016</v>
      </c>
      <c r="AD433" s="117" t="n">
        <v>111105</v>
      </c>
      <c r="AE433" s="117" t="s">
        <v>1994</v>
      </c>
      <c r="AF433" s="117" t="n">
        <v>318169</v>
      </c>
      <c r="AG433" s="117" t="s">
        <v>2158</v>
      </c>
      <c r="AI433" s="117" t="n">
        <v>318169</v>
      </c>
      <c r="AJ433" s="131" t="s">
        <v>2158</v>
      </c>
      <c r="AK433" s="117" t="n">
        <v>0</v>
      </c>
      <c r="AL433" s="117" t="n">
        <v>9</v>
      </c>
      <c r="AM433" s="117" t="s">
        <v>161</v>
      </c>
      <c r="AN433" s="117" t="s">
        <v>1995</v>
      </c>
      <c r="AR433" s="118" t="n">
        <v>43583</v>
      </c>
      <c r="AS433" s="117" t="n">
        <v>0.622164351851852</v>
      </c>
      <c r="AT433" s="117" t="n">
        <v>0</v>
      </c>
      <c r="AU433" s="117" t="n">
        <v>0</v>
      </c>
      <c r="AX433" s="117" t="n">
        <v>1</v>
      </c>
    </row>
    <row r="434" customFormat="false" ht="13.8" hidden="true" customHeight="false" outlineLevel="0" collapsed="false">
      <c r="A434" s="117" t="n">
        <v>1000</v>
      </c>
      <c r="B434" s="117" t="s">
        <v>1962</v>
      </c>
      <c r="C434" s="117" t="n">
        <v>100020154</v>
      </c>
      <c r="E434" s="117" t="s">
        <v>1921</v>
      </c>
      <c r="F434" s="117" t="n">
        <v>1109</v>
      </c>
      <c r="G434" s="117" t="n">
        <v>2019</v>
      </c>
      <c r="H434" s="117" t="n">
        <v>2</v>
      </c>
      <c r="I434" s="118" t="n">
        <v>43611</v>
      </c>
      <c r="J434" s="118" t="n">
        <v>43611</v>
      </c>
      <c r="K434" s="119" t="n">
        <v>2964560.26</v>
      </c>
      <c r="L434" s="128" t="n">
        <f aca="false">K434-Q434+T434</f>
        <v>2964560.26</v>
      </c>
      <c r="M434" s="117" t="s">
        <v>149</v>
      </c>
      <c r="N434" s="117" t="n">
        <v>2964560.26</v>
      </c>
      <c r="O434" s="117" t="s">
        <v>149</v>
      </c>
      <c r="P434" s="117" t="n">
        <v>0</v>
      </c>
      <c r="Q434" s="117" t="n">
        <v>0</v>
      </c>
      <c r="R434" s="117" t="n">
        <v>2964560.26</v>
      </c>
      <c r="S434" s="117" t="n">
        <v>0</v>
      </c>
      <c r="T434" s="117" t="n">
        <v>0</v>
      </c>
      <c r="U434" s="117" t="n">
        <v>313029</v>
      </c>
      <c r="V434" s="117" t="s">
        <v>143</v>
      </c>
      <c r="X434" s="117" t="s">
        <v>2061</v>
      </c>
      <c r="Z434" s="117" t="n">
        <v>58552</v>
      </c>
      <c r="AB434" s="117" t="s">
        <v>2062</v>
      </c>
      <c r="AD434" s="117" t="n">
        <v>110000</v>
      </c>
      <c r="AE434" s="117" t="s">
        <v>1966</v>
      </c>
      <c r="AF434" s="117" t="n">
        <v>110000</v>
      </c>
      <c r="AG434" s="117" t="s">
        <v>1966</v>
      </c>
      <c r="AI434" s="117" t="n">
        <v>110000</v>
      </c>
      <c r="AJ434" s="117" t="s">
        <v>1966</v>
      </c>
      <c r="AK434" s="117" t="n">
        <v>0</v>
      </c>
      <c r="AL434" s="117" t="n">
        <v>4</v>
      </c>
      <c r="AM434" s="117" t="s">
        <v>161</v>
      </c>
      <c r="AP434" s="117" t="n">
        <v>100058214</v>
      </c>
      <c r="AQ434" s="118" t="n">
        <v>43677</v>
      </c>
      <c r="AR434" s="118" t="n">
        <v>43611</v>
      </c>
      <c r="AS434" s="117" t="n">
        <v>0.772175925925926</v>
      </c>
      <c r="AT434" s="117" t="n">
        <v>0</v>
      </c>
      <c r="AU434" s="117" t="n">
        <v>0</v>
      </c>
      <c r="AX434" s="117" t="n">
        <v>2</v>
      </c>
    </row>
    <row r="435" customFormat="false" ht="13.8" hidden="true" customHeight="false" outlineLevel="0" collapsed="false">
      <c r="A435" s="117" t="n">
        <v>1000</v>
      </c>
      <c r="B435" s="117" t="s">
        <v>1962</v>
      </c>
      <c r="C435" s="117" t="n">
        <v>100048554</v>
      </c>
      <c r="E435" s="117" t="s">
        <v>1921</v>
      </c>
      <c r="F435" s="117" t="n">
        <v>1109</v>
      </c>
      <c r="G435" s="117" t="n">
        <v>2019</v>
      </c>
      <c r="H435" s="117" t="n">
        <v>3</v>
      </c>
      <c r="I435" s="118" t="n">
        <v>43646</v>
      </c>
      <c r="J435" s="118" t="n">
        <v>43646</v>
      </c>
      <c r="K435" s="119" t="n">
        <v>432824</v>
      </c>
      <c r="L435" s="128" t="n">
        <f aca="false">K435-Q435+T435</f>
        <v>432824</v>
      </c>
      <c r="M435" s="117" t="s">
        <v>149</v>
      </c>
      <c r="N435" s="117" t="n">
        <v>432824</v>
      </c>
      <c r="O435" s="117" t="s">
        <v>149</v>
      </c>
      <c r="P435" s="117" t="n">
        <v>0</v>
      </c>
      <c r="Q435" s="117" t="n">
        <v>0</v>
      </c>
      <c r="R435" s="117" t="n">
        <v>432824</v>
      </c>
      <c r="S435" s="117" t="n">
        <v>0</v>
      </c>
      <c r="T435" s="117" t="n">
        <v>0</v>
      </c>
      <c r="U435" s="117" t="n">
        <v>312193</v>
      </c>
      <c r="V435" s="117" t="s">
        <v>1963</v>
      </c>
      <c r="X435" s="117" t="s">
        <v>2254</v>
      </c>
      <c r="Z435" s="117" t="n">
        <v>2316</v>
      </c>
      <c r="AB435" s="117" t="s">
        <v>1965</v>
      </c>
      <c r="AD435" s="117" t="n">
        <v>110000</v>
      </c>
      <c r="AE435" s="117" t="s">
        <v>1966</v>
      </c>
      <c r="AF435" s="117" t="n">
        <v>110000</v>
      </c>
      <c r="AG435" s="117" t="s">
        <v>1966</v>
      </c>
      <c r="AI435" s="117" t="n">
        <v>110000</v>
      </c>
      <c r="AJ435" s="117" t="s">
        <v>1966</v>
      </c>
      <c r="AK435" s="117" t="n">
        <v>0</v>
      </c>
      <c r="AL435" s="117" t="n">
        <v>4</v>
      </c>
      <c r="AM435" s="117" t="s">
        <v>161</v>
      </c>
      <c r="AP435" s="117" t="n">
        <v>100057890</v>
      </c>
      <c r="AQ435" s="118" t="n">
        <v>43677</v>
      </c>
      <c r="AR435" s="118" t="n">
        <v>43647</v>
      </c>
      <c r="AS435" s="117" t="n">
        <v>0.181689814814815</v>
      </c>
      <c r="AT435" s="117" t="n">
        <v>0</v>
      </c>
      <c r="AU435" s="117" t="n">
        <v>0</v>
      </c>
      <c r="AX435" s="117" t="n">
        <v>1</v>
      </c>
    </row>
    <row r="436" s="106" customFormat="true" ht="13.8" hidden="true" customHeight="false" outlineLevel="0" collapsed="false">
      <c r="A436" s="106" t="n">
        <v>1000</v>
      </c>
      <c r="B436" s="106" t="s">
        <v>1962</v>
      </c>
      <c r="C436" s="106" t="n">
        <v>107730</v>
      </c>
      <c r="D436" s="106" t="s">
        <v>1842</v>
      </c>
      <c r="E436" s="106" t="s">
        <v>1970</v>
      </c>
      <c r="F436" s="106" t="n">
        <v>1109</v>
      </c>
      <c r="G436" s="106" t="n">
        <v>2019</v>
      </c>
      <c r="H436" s="106" t="n">
        <v>7</v>
      </c>
      <c r="I436" s="129" t="n">
        <v>43749</v>
      </c>
      <c r="J436" s="129" t="n">
        <v>43749</v>
      </c>
      <c r="K436" s="107" t="n">
        <v>120265.6</v>
      </c>
      <c r="L436" s="130" t="n">
        <f aca="false">K436-Q436+T436</f>
        <v>101920</v>
      </c>
      <c r="M436" s="106" t="s">
        <v>149</v>
      </c>
      <c r="N436" s="106" t="n">
        <v>120265.6</v>
      </c>
      <c r="O436" s="106" t="s">
        <v>149</v>
      </c>
      <c r="P436" s="106" t="n">
        <v>0</v>
      </c>
      <c r="Q436" s="107" t="n">
        <v>18345.6</v>
      </c>
      <c r="R436" s="106" t="n">
        <v>101920</v>
      </c>
      <c r="S436" s="106" t="n">
        <v>0</v>
      </c>
      <c r="T436" s="106" t="n">
        <v>0</v>
      </c>
      <c r="U436" s="106" t="n">
        <v>312193</v>
      </c>
      <c r="V436" s="106" t="s">
        <v>1963</v>
      </c>
      <c r="Z436" s="106" t="n">
        <v>60964</v>
      </c>
      <c r="AB436" s="106" t="s">
        <v>2124</v>
      </c>
      <c r="AD436" s="106" t="n">
        <v>110000</v>
      </c>
      <c r="AE436" s="106" t="s">
        <v>1966</v>
      </c>
      <c r="AF436" s="106" t="n">
        <v>501005</v>
      </c>
      <c r="AG436" s="106" t="s">
        <v>2033</v>
      </c>
      <c r="AI436" s="106" t="n">
        <v>501005</v>
      </c>
      <c r="AJ436" s="106" t="s">
        <v>2033</v>
      </c>
      <c r="AK436" s="106" t="n">
        <v>0</v>
      </c>
      <c r="AL436" s="106" t="n">
        <v>1</v>
      </c>
      <c r="AM436" s="106" t="s">
        <v>161</v>
      </c>
      <c r="AP436" s="106" t="n">
        <v>100141449</v>
      </c>
      <c r="AQ436" s="129" t="n">
        <v>43766</v>
      </c>
      <c r="AR436" s="129" t="n">
        <v>43749</v>
      </c>
      <c r="AS436" s="106" t="n">
        <v>0.524849537037037</v>
      </c>
      <c r="AT436" s="106" t="n">
        <v>0</v>
      </c>
      <c r="AU436" s="106" t="n">
        <v>0</v>
      </c>
      <c r="AX436" s="106" t="n">
        <v>1</v>
      </c>
      <c r="ALU436" s="0"/>
      <c r="ALV436" s="0"/>
      <c r="ALW436" s="0"/>
      <c r="ALX436" s="0"/>
      <c r="ALY436" s="0"/>
      <c r="ALZ436" s="0"/>
      <c r="AMA436" s="0"/>
      <c r="AMB436" s="0"/>
      <c r="AMC436" s="0"/>
      <c r="AMD436" s="0"/>
      <c r="AME436" s="0"/>
      <c r="AMF436" s="0"/>
      <c r="AMG436" s="0"/>
      <c r="AMH436" s="0"/>
      <c r="AMI436" s="0"/>
      <c r="AMJ436" s="0"/>
    </row>
    <row r="437" customFormat="false" ht="13.8" hidden="true" customHeight="false" outlineLevel="0" collapsed="false">
      <c r="A437" s="117" t="n">
        <v>1000</v>
      </c>
      <c r="B437" s="117" t="s">
        <v>1962</v>
      </c>
      <c r="C437" s="117" t="n">
        <v>100022980</v>
      </c>
      <c r="E437" s="117" t="s">
        <v>1921</v>
      </c>
      <c r="F437" s="117" t="n">
        <v>1101</v>
      </c>
      <c r="G437" s="117" t="n">
        <v>2019</v>
      </c>
      <c r="H437" s="117" t="n">
        <v>2</v>
      </c>
      <c r="I437" s="118" t="n">
        <v>43616</v>
      </c>
      <c r="J437" s="118" t="n">
        <v>43616</v>
      </c>
      <c r="K437" s="119" t="n">
        <v>832216.63</v>
      </c>
      <c r="L437" s="128" t="n">
        <f aca="false">K437-Q437+T437</f>
        <v>832216.63</v>
      </c>
      <c r="M437" s="117" t="s">
        <v>149</v>
      </c>
      <c r="N437" s="117" t="n">
        <v>832216.63</v>
      </c>
      <c r="O437" s="117" t="s">
        <v>149</v>
      </c>
      <c r="P437" s="117" t="n">
        <v>0</v>
      </c>
      <c r="Q437" s="117" t="n">
        <v>0</v>
      </c>
      <c r="R437" s="117" t="n">
        <v>832216.63</v>
      </c>
      <c r="S437" s="117" t="n">
        <v>0</v>
      </c>
      <c r="T437" s="117" t="n">
        <v>0</v>
      </c>
      <c r="U437" s="117" t="n">
        <v>318999</v>
      </c>
      <c r="V437" s="117" t="s">
        <v>143</v>
      </c>
      <c r="X437" s="117" t="s">
        <v>1361</v>
      </c>
      <c r="Z437" s="117" t="n">
        <v>100022980</v>
      </c>
      <c r="AD437" s="117" t="n">
        <v>110000</v>
      </c>
      <c r="AE437" s="117" t="s">
        <v>1966</v>
      </c>
      <c r="AF437" s="117" t="n">
        <v>110000</v>
      </c>
      <c r="AG437" s="117" t="s">
        <v>1966</v>
      </c>
      <c r="AI437" s="117" t="n">
        <v>110000</v>
      </c>
      <c r="AJ437" s="117" t="s">
        <v>1966</v>
      </c>
      <c r="AK437" s="117" t="n">
        <v>0</v>
      </c>
      <c r="AL437" s="117" t="n">
        <v>4</v>
      </c>
      <c r="AM437" s="117" t="s">
        <v>161</v>
      </c>
      <c r="AP437" s="117" t="n">
        <v>100057912</v>
      </c>
      <c r="AQ437" s="118" t="n">
        <v>43677</v>
      </c>
      <c r="AR437" s="118" t="n">
        <v>43618</v>
      </c>
      <c r="AS437" s="117" t="n">
        <v>0.614305555555556</v>
      </c>
      <c r="AT437" s="117" t="n">
        <v>0</v>
      </c>
      <c r="AU437" s="117" t="n">
        <v>0</v>
      </c>
      <c r="AX437" s="117" t="n">
        <v>14</v>
      </c>
    </row>
    <row r="438" customFormat="false" ht="13.8" hidden="true" customHeight="false" outlineLevel="0" collapsed="false">
      <c r="A438" s="117" t="n">
        <v>1000</v>
      </c>
      <c r="B438" s="117" t="s">
        <v>1962</v>
      </c>
      <c r="C438" s="117" t="n">
        <v>100020122</v>
      </c>
      <c r="E438" s="117" t="s">
        <v>1921</v>
      </c>
      <c r="F438" s="117" t="n">
        <v>1108</v>
      </c>
      <c r="G438" s="117" t="n">
        <v>2019</v>
      </c>
      <c r="H438" s="117" t="n">
        <v>2</v>
      </c>
      <c r="I438" s="118" t="n">
        <v>43611</v>
      </c>
      <c r="J438" s="118" t="n">
        <v>43611</v>
      </c>
      <c r="K438" s="119" t="n">
        <v>1253641.95</v>
      </c>
      <c r="L438" s="128" t="n">
        <f aca="false">K438-Q438+T438</f>
        <v>1253641.95</v>
      </c>
      <c r="M438" s="117" t="s">
        <v>149</v>
      </c>
      <c r="N438" s="117" t="n">
        <v>1253641.95</v>
      </c>
      <c r="O438" s="117" t="s">
        <v>149</v>
      </c>
      <c r="P438" s="117" t="n">
        <v>0</v>
      </c>
      <c r="Q438" s="117" t="n">
        <v>0</v>
      </c>
      <c r="R438" s="117" t="n">
        <v>1253641.95</v>
      </c>
      <c r="S438" s="117" t="n">
        <v>0</v>
      </c>
      <c r="T438" s="117" t="n">
        <v>0</v>
      </c>
      <c r="U438" s="117" t="n">
        <v>306263</v>
      </c>
      <c r="V438" s="117" t="s">
        <v>2006</v>
      </c>
      <c r="X438" s="117" t="s">
        <v>1328</v>
      </c>
      <c r="Z438" s="117" t="n">
        <v>58335</v>
      </c>
      <c r="AB438" s="117" t="s">
        <v>2224</v>
      </c>
      <c r="AD438" s="117" t="n">
        <v>110000</v>
      </c>
      <c r="AE438" s="117" t="s">
        <v>1966</v>
      </c>
      <c r="AF438" s="117" t="n">
        <v>110000</v>
      </c>
      <c r="AG438" s="117" t="s">
        <v>1966</v>
      </c>
      <c r="AI438" s="117" t="n">
        <v>110000</v>
      </c>
      <c r="AJ438" s="117" t="s">
        <v>1966</v>
      </c>
      <c r="AK438" s="117" t="n">
        <v>0</v>
      </c>
      <c r="AL438" s="117" t="n">
        <v>4</v>
      </c>
      <c r="AM438" s="117" t="s">
        <v>161</v>
      </c>
      <c r="AP438" s="117" t="n">
        <v>100050529</v>
      </c>
      <c r="AQ438" s="118" t="n">
        <v>43646</v>
      </c>
      <c r="AR438" s="118" t="n">
        <v>43611</v>
      </c>
      <c r="AS438" s="117" t="n">
        <v>0.717002314814815</v>
      </c>
      <c r="AT438" s="117" t="n">
        <v>0</v>
      </c>
      <c r="AU438" s="117" t="n">
        <v>0</v>
      </c>
      <c r="AX438" s="117" t="n">
        <v>1</v>
      </c>
    </row>
    <row r="439" customFormat="false" ht="13.8" hidden="true" customHeight="false" outlineLevel="0" collapsed="false">
      <c r="A439" s="117" t="n">
        <v>1000</v>
      </c>
      <c r="B439" s="117" t="s">
        <v>1962</v>
      </c>
      <c r="C439" s="117" t="n">
        <v>100022980</v>
      </c>
      <c r="E439" s="117" t="s">
        <v>1921</v>
      </c>
      <c r="F439" s="117" t="n">
        <v>1101</v>
      </c>
      <c r="G439" s="117" t="n">
        <v>2019</v>
      </c>
      <c r="H439" s="117" t="n">
        <v>2</v>
      </c>
      <c r="I439" s="118" t="n">
        <v>43616</v>
      </c>
      <c r="J439" s="118" t="n">
        <v>43616</v>
      </c>
      <c r="K439" s="119" t="n">
        <v>1101667.55</v>
      </c>
      <c r="L439" s="128" t="n">
        <f aca="false">K439-Q439+T439</f>
        <v>1101667.55</v>
      </c>
      <c r="M439" s="117" t="s">
        <v>149</v>
      </c>
      <c r="N439" s="117" t="n">
        <v>1101667.55</v>
      </c>
      <c r="O439" s="117" t="s">
        <v>149</v>
      </c>
      <c r="P439" s="117" t="n">
        <v>0</v>
      </c>
      <c r="Q439" s="117" t="n">
        <v>0</v>
      </c>
      <c r="R439" s="117" t="n">
        <v>1101667.55</v>
      </c>
      <c r="S439" s="117" t="n">
        <v>0</v>
      </c>
      <c r="T439" s="117" t="n">
        <v>0</v>
      </c>
      <c r="U439" s="117" t="n">
        <v>318999</v>
      </c>
      <c r="V439" s="117" t="s">
        <v>143</v>
      </c>
      <c r="X439" s="117" t="s">
        <v>1349</v>
      </c>
      <c r="Z439" s="117" t="n">
        <v>100022980</v>
      </c>
      <c r="AD439" s="117" t="n">
        <v>110000</v>
      </c>
      <c r="AE439" s="117" t="s">
        <v>1966</v>
      </c>
      <c r="AF439" s="117" t="n">
        <v>110000</v>
      </c>
      <c r="AG439" s="117" t="s">
        <v>1966</v>
      </c>
      <c r="AI439" s="117" t="n">
        <v>110000</v>
      </c>
      <c r="AJ439" s="117" t="s">
        <v>1966</v>
      </c>
      <c r="AK439" s="117" t="n">
        <v>0</v>
      </c>
      <c r="AL439" s="117" t="n">
        <v>4</v>
      </c>
      <c r="AM439" s="117" t="s">
        <v>161</v>
      </c>
      <c r="AP439" s="117" t="n">
        <v>100039982</v>
      </c>
      <c r="AQ439" s="118" t="n">
        <v>43645</v>
      </c>
      <c r="AR439" s="118" t="n">
        <v>43618</v>
      </c>
      <c r="AS439" s="117" t="n">
        <v>0.614305555555556</v>
      </c>
      <c r="AT439" s="117" t="n">
        <v>0</v>
      </c>
      <c r="AU439" s="117" t="n">
        <v>0</v>
      </c>
      <c r="AX439" s="117" t="n">
        <v>1</v>
      </c>
    </row>
    <row r="440" s="106" customFormat="true" ht="13.8" hidden="true" customHeight="false" outlineLevel="0" collapsed="false">
      <c r="A440" s="106" t="n">
        <v>1000</v>
      </c>
      <c r="B440" s="106" t="s">
        <v>1962</v>
      </c>
      <c r="C440" s="106" t="n">
        <v>107733</v>
      </c>
      <c r="D440" s="106" t="s">
        <v>1848</v>
      </c>
      <c r="E440" s="106" t="s">
        <v>1970</v>
      </c>
      <c r="F440" s="106" t="n">
        <v>1109</v>
      </c>
      <c r="G440" s="106" t="n">
        <v>2019</v>
      </c>
      <c r="H440" s="106" t="n">
        <v>7</v>
      </c>
      <c r="I440" s="129" t="n">
        <v>43749</v>
      </c>
      <c r="J440" s="129" t="n">
        <v>43749</v>
      </c>
      <c r="K440" s="107" t="n">
        <v>1584872.16</v>
      </c>
      <c r="L440" s="130" t="n">
        <f aca="false">K440-Q440+T440</f>
        <v>1343112</v>
      </c>
      <c r="M440" s="106" t="s">
        <v>149</v>
      </c>
      <c r="N440" s="106" t="n">
        <v>1584872.16</v>
      </c>
      <c r="O440" s="106" t="s">
        <v>149</v>
      </c>
      <c r="P440" s="106" t="n">
        <v>0</v>
      </c>
      <c r="Q440" s="107" t="n">
        <v>241760.16</v>
      </c>
      <c r="R440" s="106" t="n">
        <v>1343112</v>
      </c>
      <c r="S440" s="106" t="n">
        <v>0</v>
      </c>
      <c r="T440" s="106" t="n">
        <v>0</v>
      </c>
      <c r="U440" s="106" t="n">
        <v>312193</v>
      </c>
      <c r="V440" s="106" t="s">
        <v>1963</v>
      </c>
      <c r="Z440" s="106" t="n">
        <v>61155</v>
      </c>
      <c r="AB440" s="106" t="s">
        <v>2124</v>
      </c>
      <c r="AD440" s="106" t="n">
        <v>110000</v>
      </c>
      <c r="AE440" s="106" t="s">
        <v>1966</v>
      </c>
      <c r="AF440" s="106" t="n">
        <v>501000</v>
      </c>
      <c r="AG440" s="106" t="s">
        <v>2170</v>
      </c>
      <c r="AI440" s="106" t="n">
        <v>501000</v>
      </c>
      <c r="AJ440" s="106" t="s">
        <v>2170</v>
      </c>
      <c r="AK440" s="106" t="n">
        <v>0</v>
      </c>
      <c r="AL440" s="106" t="n">
        <v>1</v>
      </c>
      <c r="AM440" s="106" t="s">
        <v>161</v>
      </c>
      <c r="AP440" s="106" t="n">
        <v>100141449</v>
      </c>
      <c r="AQ440" s="129" t="n">
        <v>43766</v>
      </c>
      <c r="AR440" s="129" t="n">
        <v>43749</v>
      </c>
      <c r="AS440" s="106" t="n">
        <v>0.530416666666667</v>
      </c>
      <c r="AT440" s="106" t="n">
        <v>0</v>
      </c>
      <c r="AU440" s="106" t="n">
        <v>0</v>
      </c>
      <c r="AX440" s="106" t="n">
        <v>1</v>
      </c>
      <c r="ALU440" s="0"/>
      <c r="ALV440" s="0"/>
      <c r="ALW440" s="0"/>
      <c r="ALX440" s="0"/>
      <c r="ALY440" s="0"/>
      <c r="ALZ440" s="0"/>
      <c r="AMA440" s="0"/>
      <c r="AMB440" s="0"/>
      <c r="AMC440" s="0"/>
      <c r="AMD440" s="0"/>
      <c r="AME440" s="0"/>
      <c r="AMF440" s="0"/>
      <c r="AMG440" s="0"/>
      <c r="AMH440" s="0"/>
      <c r="AMI440" s="0"/>
      <c r="AMJ440" s="0"/>
    </row>
    <row r="441" customFormat="false" ht="13.8" hidden="true" customHeight="false" outlineLevel="0" collapsed="false">
      <c r="A441" s="117" t="n">
        <v>1000</v>
      </c>
      <c r="B441" s="117" t="s">
        <v>1962</v>
      </c>
      <c r="C441" s="117" t="n">
        <v>100005107</v>
      </c>
      <c r="E441" s="117" t="s">
        <v>1921</v>
      </c>
      <c r="F441" s="117" t="n">
        <v>1109</v>
      </c>
      <c r="G441" s="117" t="n">
        <v>2019</v>
      </c>
      <c r="H441" s="117" t="n">
        <v>1</v>
      </c>
      <c r="I441" s="118" t="n">
        <v>43585</v>
      </c>
      <c r="J441" s="118" t="n">
        <v>43585</v>
      </c>
      <c r="K441" s="119" t="n">
        <v>212211.2</v>
      </c>
      <c r="L441" s="128" t="n">
        <f aca="false">K441-Q441+T441</f>
        <v>212211.2</v>
      </c>
      <c r="M441" s="117" t="s">
        <v>149</v>
      </c>
      <c r="N441" s="117" t="n">
        <v>212211.2</v>
      </c>
      <c r="O441" s="117" t="s">
        <v>149</v>
      </c>
      <c r="P441" s="117" t="n">
        <v>0</v>
      </c>
      <c r="Q441" s="117" t="n">
        <v>0</v>
      </c>
      <c r="R441" s="117" t="n">
        <v>212211.2</v>
      </c>
      <c r="S441" s="117" t="n">
        <v>0</v>
      </c>
      <c r="T441" s="117" t="n">
        <v>0</v>
      </c>
      <c r="U441" s="117" t="n">
        <v>312193</v>
      </c>
      <c r="V441" s="117" t="s">
        <v>1963</v>
      </c>
      <c r="X441" s="117" t="s">
        <v>2002</v>
      </c>
      <c r="Z441" s="117" t="n">
        <v>2316</v>
      </c>
      <c r="AB441" s="117" t="s">
        <v>1965</v>
      </c>
      <c r="AD441" s="117" t="n">
        <v>110000</v>
      </c>
      <c r="AE441" s="117" t="s">
        <v>1966</v>
      </c>
      <c r="AF441" s="117" t="n">
        <v>110000</v>
      </c>
      <c r="AG441" s="117" t="s">
        <v>1966</v>
      </c>
      <c r="AI441" s="117" t="n">
        <v>110000</v>
      </c>
      <c r="AJ441" s="117" t="s">
        <v>1966</v>
      </c>
      <c r="AK441" s="117" t="n">
        <v>0</v>
      </c>
      <c r="AL441" s="117" t="n">
        <v>4</v>
      </c>
      <c r="AM441" s="117" t="s">
        <v>161</v>
      </c>
      <c r="AP441" s="117" t="n">
        <v>100022447</v>
      </c>
      <c r="AQ441" s="118" t="n">
        <v>43616</v>
      </c>
      <c r="AR441" s="118" t="n">
        <v>43586</v>
      </c>
      <c r="AS441" s="117" t="n">
        <v>0.427592592592593</v>
      </c>
      <c r="AT441" s="117" t="n">
        <v>0</v>
      </c>
      <c r="AU441" s="117" t="n">
        <v>0</v>
      </c>
      <c r="AX441" s="117" t="n">
        <v>2</v>
      </c>
    </row>
    <row r="442" customFormat="false" ht="13.8" hidden="true" customHeight="false" outlineLevel="0" collapsed="false">
      <c r="A442" s="117" t="n">
        <v>1000</v>
      </c>
      <c r="B442" s="117" t="s">
        <v>1962</v>
      </c>
      <c r="C442" s="117" t="n">
        <v>1400002196</v>
      </c>
      <c r="E442" s="117" t="s">
        <v>1972</v>
      </c>
      <c r="F442" s="117" t="n">
        <v>1101</v>
      </c>
      <c r="G442" s="117" t="n">
        <v>2019</v>
      </c>
      <c r="H442" s="117" t="n">
        <v>2</v>
      </c>
      <c r="I442" s="118" t="n">
        <v>43614</v>
      </c>
      <c r="J442" s="118" t="n">
        <v>43614</v>
      </c>
      <c r="K442" s="119" t="n">
        <v>-455749</v>
      </c>
      <c r="L442" s="128" t="n">
        <f aca="false">K442-Q442+T442</f>
        <v>-455749</v>
      </c>
      <c r="M442" s="117" t="s">
        <v>149</v>
      </c>
      <c r="N442" s="117" t="n">
        <v>-455749</v>
      </c>
      <c r="O442" s="117" t="s">
        <v>149</v>
      </c>
      <c r="P442" s="117" t="n">
        <v>0</v>
      </c>
      <c r="Q442" s="117" t="n">
        <v>0</v>
      </c>
      <c r="R442" s="117" t="n">
        <v>-455749</v>
      </c>
      <c r="S442" s="117" t="n">
        <v>0</v>
      </c>
      <c r="T442" s="117" t="n">
        <v>0</v>
      </c>
      <c r="U442" s="117" t="n">
        <v>318999</v>
      </c>
      <c r="V442" s="117" t="s">
        <v>143</v>
      </c>
      <c r="X442" s="117" t="s">
        <v>2255</v>
      </c>
      <c r="Y442" s="117" t="s">
        <v>2256</v>
      </c>
      <c r="Z442" s="117" t="n">
        <v>1400002196</v>
      </c>
      <c r="AC442" s="117" t="s">
        <v>1976</v>
      </c>
      <c r="AD442" s="117" t="n">
        <v>310300</v>
      </c>
      <c r="AE442" s="117" t="s">
        <v>1969</v>
      </c>
      <c r="AF442" s="117" t="n">
        <v>101105</v>
      </c>
      <c r="AG442" s="117" t="s">
        <v>1977</v>
      </c>
      <c r="AI442" s="117" t="n">
        <v>101105</v>
      </c>
      <c r="AJ442" s="117" t="s">
        <v>1977</v>
      </c>
      <c r="AK442" s="117" t="n">
        <v>0</v>
      </c>
      <c r="AL442" s="117" t="n">
        <v>19</v>
      </c>
      <c r="AM442" s="117" t="s">
        <v>225</v>
      </c>
      <c r="AN442" s="117" t="s">
        <v>1978</v>
      </c>
      <c r="AP442" s="117" t="n">
        <v>100022980</v>
      </c>
      <c r="AQ442" s="118" t="n">
        <v>43616</v>
      </c>
      <c r="AR442" s="118" t="n">
        <v>43616</v>
      </c>
      <c r="AS442" s="117" t="n">
        <v>0.484849537037037</v>
      </c>
      <c r="AT442" s="117" t="n">
        <v>0</v>
      </c>
      <c r="AU442" s="117" t="n">
        <v>0</v>
      </c>
      <c r="AX442" s="117" t="n">
        <v>2</v>
      </c>
    </row>
    <row r="443" customFormat="false" ht="13.8" hidden="true" customHeight="false" outlineLevel="0" collapsed="false">
      <c r="A443" s="117" t="n">
        <v>1000</v>
      </c>
      <c r="B443" s="117" t="s">
        <v>1962</v>
      </c>
      <c r="C443" s="117" t="n">
        <v>100039081</v>
      </c>
      <c r="E443" s="117" t="s">
        <v>1921</v>
      </c>
      <c r="F443" s="117" t="n">
        <v>1109</v>
      </c>
      <c r="G443" s="117" t="n">
        <v>2019</v>
      </c>
      <c r="H443" s="117" t="n">
        <v>3</v>
      </c>
      <c r="I443" s="118" t="n">
        <v>43644</v>
      </c>
      <c r="J443" s="118" t="n">
        <v>43644</v>
      </c>
      <c r="K443" s="119" t="n">
        <v>2467760.44</v>
      </c>
      <c r="L443" s="128" t="n">
        <f aca="false">K443-Q443+T443</f>
        <v>2467760.44</v>
      </c>
      <c r="M443" s="117" t="s">
        <v>149</v>
      </c>
      <c r="N443" s="117" t="n">
        <v>2467760.44</v>
      </c>
      <c r="O443" s="117" t="s">
        <v>149</v>
      </c>
      <c r="P443" s="117" t="n">
        <v>0</v>
      </c>
      <c r="Q443" s="117" t="n">
        <v>0</v>
      </c>
      <c r="R443" s="117" t="n">
        <v>2467760.44</v>
      </c>
      <c r="S443" s="117" t="n">
        <v>0</v>
      </c>
      <c r="T443" s="117" t="n">
        <v>0</v>
      </c>
      <c r="U443" s="117" t="n">
        <v>306546</v>
      </c>
      <c r="V443" s="117" t="s">
        <v>2177</v>
      </c>
      <c r="X443" s="117" t="s">
        <v>1872</v>
      </c>
      <c r="Z443" s="117" t="n">
        <v>58913</v>
      </c>
      <c r="AB443" s="117" t="s">
        <v>2257</v>
      </c>
      <c r="AD443" s="117" t="n">
        <v>110000</v>
      </c>
      <c r="AE443" s="117" t="s">
        <v>1966</v>
      </c>
      <c r="AF443" s="117" t="n">
        <v>110000</v>
      </c>
      <c r="AG443" s="117" t="s">
        <v>1966</v>
      </c>
      <c r="AI443" s="117" t="n">
        <v>110000</v>
      </c>
      <c r="AJ443" s="117" t="s">
        <v>1966</v>
      </c>
      <c r="AK443" s="117" t="n">
        <v>0</v>
      </c>
      <c r="AL443" s="117" t="n">
        <v>4</v>
      </c>
      <c r="AM443" s="117" t="s">
        <v>161</v>
      </c>
      <c r="AP443" s="117" t="n">
        <v>100172897</v>
      </c>
      <c r="AQ443" s="118" t="n">
        <v>43799</v>
      </c>
      <c r="AR443" s="118" t="n">
        <v>43644</v>
      </c>
      <c r="AS443" s="117" t="n">
        <v>0.178263888888889</v>
      </c>
      <c r="AT443" s="117" t="n">
        <v>0</v>
      </c>
      <c r="AU443" s="117" t="n">
        <v>0</v>
      </c>
      <c r="AX443" s="117" t="n">
        <v>1</v>
      </c>
    </row>
    <row r="444" customFormat="false" ht="13.8" hidden="true" customHeight="false" outlineLevel="0" collapsed="false">
      <c r="A444" s="117" t="n">
        <v>1000</v>
      </c>
      <c r="B444" s="117" t="s">
        <v>1962</v>
      </c>
      <c r="C444" s="117" t="n">
        <v>100039091</v>
      </c>
      <c r="E444" s="117" t="s">
        <v>1921</v>
      </c>
      <c r="F444" s="117" t="n">
        <v>1101</v>
      </c>
      <c r="G444" s="117" t="n">
        <v>2019</v>
      </c>
      <c r="H444" s="117" t="n">
        <v>3</v>
      </c>
      <c r="I444" s="118" t="n">
        <v>43644</v>
      </c>
      <c r="J444" s="118" t="n">
        <v>43644</v>
      </c>
      <c r="K444" s="119" t="n">
        <v>826000</v>
      </c>
      <c r="L444" s="128" t="n">
        <f aca="false">K444-Q444+T444</f>
        <v>826000</v>
      </c>
      <c r="M444" s="117" t="s">
        <v>149</v>
      </c>
      <c r="N444" s="117" t="n">
        <v>826000</v>
      </c>
      <c r="O444" s="117" t="s">
        <v>149</v>
      </c>
      <c r="P444" s="117" t="n">
        <v>0</v>
      </c>
      <c r="Q444" s="117" t="n">
        <v>0</v>
      </c>
      <c r="R444" s="117" t="n">
        <v>826000</v>
      </c>
      <c r="S444" s="117" t="n">
        <v>0</v>
      </c>
      <c r="T444" s="117" t="n">
        <v>0</v>
      </c>
      <c r="U444" s="117" t="n">
        <v>309728</v>
      </c>
      <c r="V444" s="117" t="s">
        <v>1968</v>
      </c>
      <c r="X444" s="117" t="s">
        <v>1468</v>
      </c>
      <c r="Z444" s="117" t="n">
        <v>59184</v>
      </c>
      <c r="AB444" s="117" t="n">
        <v>2300049939</v>
      </c>
      <c r="AD444" s="117" t="n">
        <v>110000</v>
      </c>
      <c r="AE444" s="117" t="s">
        <v>1966</v>
      </c>
      <c r="AF444" s="117" t="n">
        <v>110000</v>
      </c>
      <c r="AG444" s="117" t="s">
        <v>1966</v>
      </c>
      <c r="AI444" s="117" t="n">
        <v>110000</v>
      </c>
      <c r="AJ444" s="117" t="s">
        <v>1966</v>
      </c>
      <c r="AK444" s="117" t="n">
        <v>0</v>
      </c>
      <c r="AL444" s="117" t="n">
        <v>4</v>
      </c>
      <c r="AM444" s="117" t="s">
        <v>161</v>
      </c>
      <c r="AP444" s="117" t="n">
        <v>100081981</v>
      </c>
      <c r="AQ444" s="118" t="n">
        <v>43708</v>
      </c>
      <c r="AR444" s="118" t="n">
        <v>43644</v>
      </c>
      <c r="AS444" s="117" t="n">
        <v>0.190081018518518</v>
      </c>
      <c r="AT444" s="117" t="n">
        <v>0</v>
      </c>
      <c r="AU444" s="117" t="n">
        <v>0</v>
      </c>
      <c r="AX444" s="117" t="n">
        <v>8</v>
      </c>
    </row>
    <row r="445" customFormat="false" ht="13.8" hidden="true" customHeight="false" outlineLevel="0" collapsed="false">
      <c r="A445" s="117" t="n">
        <v>1000</v>
      </c>
      <c r="B445" s="117" t="s">
        <v>1962</v>
      </c>
      <c r="C445" s="117" t="n">
        <v>100022446</v>
      </c>
      <c r="E445" s="117" t="s">
        <v>1921</v>
      </c>
      <c r="F445" s="117" t="n">
        <v>1109</v>
      </c>
      <c r="G445" s="117" t="n">
        <v>2019</v>
      </c>
      <c r="H445" s="117" t="n">
        <v>2</v>
      </c>
      <c r="I445" s="118" t="n">
        <v>43616</v>
      </c>
      <c r="J445" s="118" t="n">
        <v>43616</v>
      </c>
      <c r="K445" s="119" t="n">
        <v>4963</v>
      </c>
      <c r="L445" s="128" t="n">
        <f aca="false">K445-Q445+T445</f>
        <v>4963</v>
      </c>
      <c r="M445" s="117" t="s">
        <v>149</v>
      </c>
      <c r="N445" s="117" t="n">
        <v>4963</v>
      </c>
      <c r="O445" s="117" t="s">
        <v>149</v>
      </c>
      <c r="P445" s="117" t="n">
        <v>0</v>
      </c>
      <c r="Q445" s="117" t="n">
        <v>0</v>
      </c>
      <c r="R445" s="117" t="n">
        <v>4963</v>
      </c>
      <c r="S445" s="117" t="n">
        <v>0</v>
      </c>
      <c r="T445" s="117" t="n">
        <v>0</v>
      </c>
      <c r="U445" s="117" t="n">
        <v>312193</v>
      </c>
      <c r="V445" s="117" t="s">
        <v>1963</v>
      </c>
      <c r="X445" s="117" t="s">
        <v>2258</v>
      </c>
      <c r="Z445" s="117" t="n">
        <v>2316</v>
      </c>
      <c r="AB445" s="117" t="s">
        <v>1965</v>
      </c>
      <c r="AD445" s="117" t="n">
        <v>110000</v>
      </c>
      <c r="AE445" s="117" t="s">
        <v>1966</v>
      </c>
      <c r="AF445" s="117" t="n">
        <v>110000</v>
      </c>
      <c r="AG445" s="117" t="s">
        <v>1966</v>
      </c>
      <c r="AI445" s="117" t="n">
        <v>110000</v>
      </c>
      <c r="AJ445" s="117" t="s">
        <v>1966</v>
      </c>
      <c r="AK445" s="117" t="n">
        <v>0</v>
      </c>
      <c r="AL445" s="117" t="n">
        <v>4</v>
      </c>
      <c r="AM445" s="117" t="s">
        <v>161</v>
      </c>
      <c r="AP445" s="117" t="n">
        <v>100173563</v>
      </c>
      <c r="AQ445" s="118" t="n">
        <v>43799</v>
      </c>
      <c r="AR445" s="118" t="n">
        <v>43617</v>
      </c>
      <c r="AS445" s="117" t="n">
        <v>0.587256944444444</v>
      </c>
      <c r="AT445" s="117" t="n">
        <v>0</v>
      </c>
      <c r="AU445" s="117" t="n">
        <v>0</v>
      </c>
      <c r="AX445" s="117" t="n">
        <v>5</v>
      </c>
    </row>
    <row r="446" customFormat="false" ht="13.8" hidden="true" customHeight="false" outlineLevel="0" collapsed="false">
      <c r="A446" s="117" t="n">
        <v>1000</v>
      </c>
      <c r="B446" s="117" t="s">
        <v>1962</v>
      </c>
      <c r="C446" s="117" t="n">
        <v>100049039</v>
      </c>
      <c r="E446" s="117" t="s">
        <v>1921</v>
      </c>
      <c r="F446" s="117" t="n">
        <v>1101</v>
      </c>
      <c r="G446" s="117" t="n">
        <v>2019</v>
      </c>
      <c r="H446" s="117" t="n">
        <v>3</v>
      </c>
      <c r="I446" s="118" t="n">
        <v>43646</v>
      </c>
      <c r="J446" s="118" t="n">
        <v>43646</v>
      </c>
      <c r="K446" s="119" t="n">
        <v>26.19</v>
      </c>
      <c r="L446" s="128" t="n">
        <f aca="false">K446-Q446+T446</f>
        <v>26.19</v>
      </c>
      <c r="M446" s="117" t="s">
        <v>149</v>
      </c>
      <c r="N446" s="117" t="n">
        <v>26.19</v>
      </c>
      <c r="O446" s="117" t="s">
        <v>149</v>
      </c>
      <c r="P446" s="117" t="n">
        <v>0</v>
      </c>
      <c r="Q446" s="117" t="n">
        <v>0</v>
      </c>
      <c r="R446" s="117" t="n">
        <v>26.19</v>
      </c>
      <c r="S446" s="117" t="n">
        <v>0</v>
      </c>
      <c r="T446" s="117" t="n">
        <v>0</v>
      </c>
      <c r="U446" s="117" t="n">
        <v>318999</v>
      </c>
      <c r="V446" s="117" t="s">
        <v>143</v>
      </c>
      <c r="Z446" s="117" t="n">
        <v>100049039</v>
      </c>
      <c r="AD446" s="117" t="n">
        <v>110000</v>
      </c>
      <c r="AE446" s="117" t="s">
        <v>1966</v>
      </c>
      <c r="AF446" s="117" t="n">
        <v>110000</v>
      </c>
      <c r="AG446" s="117" t="s">
        <v>1966</v>
      </c>
      <c r="AI446" s="117" t="n">
        <v>110000</v>
      </c>
      <c r="AJ446" s="117" t="s">
        <v>1966</v>
      </c>
      <c r="AK446" s="117" t="n">
        <v>0</v>
      </c>
      <c r="AL446" s="117" t="n">
        <v>4</v>
      </c>
      <c r="AM446" s="117" t="s">
        <v>161</v>
      </c>
      <c r="AP446" s="117" t="n">
        <v>100082045</v>
      </c>
      <c r="AQ446" s="118" t="n">
        <v>43708</v>
      </c>
      <c r="AR446" s="118" t="n">
        <v>43647</v>
      </c>
      <c r="AS446" s="117" t="n">
        <v>0.517731481481482</v>
      </c>
      <c r="AT446" s="117" t="n">
        <v>0</v>
      </c>
      <c r="AU446" s="117" t="n">
        <v>0</v>
      </c>
      <c r="AX446" s="117" t="n">
        <v>1</v>
      </c>
    </row>
    <row r="447" customFormat="false" ht="13.8" hidden="true" customHeight="false" outlineLevel="0" collapsed="false">
      <c r="A447" s="117" t="n">
        <v>1000</v>
      </c>
      <c r="B447" s="117" t="s">
        <v>1962</v>
      </c>
      <c r="C447" s="117" t="n">
        <v>100039091</v>
      </c>
      <c r="E447" s="117" t="s">
        <v>1921</v>
      </c>
      <c r="F447" s="117" t="n">
        <v>1101</v>
      </c>
      <c r="G447" s="117" t="n">
        <v>2019</v>
      </c>
      <c r="H447" s="117" t="n">
        <v>3</v>
      </c>
      <c r="I447" s="118" t="n">
        <v>43644</v>
      </c>
      <c r="J447" s="118" t="n">
        <v>43644</v>
      </c>
      <c r="K447" s="119" t="n">
        <v>826000</v>
      </c>
      <c r="L447" s="128" t="n">
        <f aca="false">K447-Q447+T447</f>
        <v>826000</v>
      </c>
      <c r="M447" s="117" t="s">
        <v>149</v>
      </c>
      <c r="N447" s="117" t="n">
        <v>826000</v>
      </c>
      <c r="O447" s="117" t="s">
        <v>149</v>
      </c>
      <c r="P447" s="117" t="n">
        <v>0</v>
      </c>
      <c r="Q447" s="117" t="n">
        <v>0</v>
      </c>
      <c r="R447" s="117" t="n">
        <v>826000</v>
      </c>
      <c r="S447" s="117" t="n">
        <v>0</v>
      </c>
      <c r="T447" s="117" t="n">
        <v>0</v>
      </c>
      <c r="U447" s="117" t="n">
        <v>309728</v>
      </c>
      <c r="V447" s="117" t="s">
        <v>1968</v>
      </c>
      <c r="X447" s="117" t="s">
        <v>1502</v>
      </c>
      <c r="Z447" s="117" t="n">
        <v>59184</v>
      </c>
      <c r="AB447" s="117" t="n">
        <v>2300049939</v>
      </c>
      <c r="AD447" s="117" t="n">
        <v>110000</v>
      </c>
      <c r="AE447" s="117" t="s">
        <v>1966</v>
      </c>
      <c r="AF447" s="117" t="n">
        <v>110000</v>
      </c>
      <c r="AG447" s="117" t="s">
        <v>1966</v>
      </c>
      <c r="AI447" s="117" t="n">
        <v>110000</v>
      </c>
      <c r="AJ447" s="117" t="s">
        <v>1966</v>
      </c>
      <c r="AK447" s="117" t="n">
        <v>0</v>
      </c>
      <c r="AL447" s="117" t="n">
        <v>4</v>
      </c>
      <c r="AM447" s="117" t="s">
        <v>161</v>
      </c>
      <c r="AP447" s="117" t="n">
        <v>100075998</v>
      </c>
      <c r="AQ447" s="118" t="n">
        <v>43703</v>
      </c>
      <c r="AR447" s="118" t="n">
        <v>43644</v>
      </c>
      <c r="AS447" s="117" t="n">
        <v>0.190081018518518</v>
      </c>
      <c r="AT447" s="117" t="n">
        <v>0</v>
      </c>
      <c r="AU447" s="117" t="n">
        <v>0</v>
      </c>
      <c r="AX447" s="117" t="n">
        <v>2</v>
      </c>
    </row>
    <row r="448" customFormat="false" ht="13.8" hidden="true" customHeight="false" outlineLevel="0" collapsed="false">
      <c r="A448" s="117" t="n">
        <v>1000</v>
      </c>
      <c r="B448" s="117" t="s">
        <v>1962</v>
      </c>
      <c r="C448" s="117" t="n">
        <v>100004315</v>
      </c>
      <c r="E448" s="117" t="s">
        <v>1921</v>
      </c>
      <c r="F448" s="117" t="n">
        <v>1109</v>
      </c>
      <c r="G448" s="117" t="n">
        <v>2019</v>
      </c>
      <c r="H448" s="117" t="n">
        <v>1</v>
      </c>
      <c r="I448" s="118" t="n">
        <v>43583</v>
      </c>
      <c r="J448" s="118" t="n">
        <v>43583</v>
      </c>
      <c r="K448" s="119" t="n">
        <v>14415.07</v>
      </c>
      <c r="L448" s="128" t="n">
        <f aca="false">K448-Q448+T448</f>
        <v>14415.07</v>
      </c>
      <c r="M448" s="117" t="s">
        <v>149</v>
      </c>
      <c r="N448" s="117" t="n">
        <v>14415.07</v>
      </c>
      <c r="O448" s="117" t="s">
        <v>149</v>
      </c>
      <c r="P448" s="117" t="n">
        <v>0</v>
      </c>
      <c r="Q448" s="117" t="n">
        <v>0</v>
      </c>
      <c r="R448" s="117" t="n">
        <v>14415.07</v>
      </c>
      <c r="S448" s="117" t="n">
        <v>0</v>
      </c>
      <c r="T448" s="117" t="n">
        <v>0</v>
      </c>
      <c r="U448" s="117" t="n">
        <v>304431</v>
      </c>
      <c r="V448" s="117" t="s">
        <v>2016</v>
      </c>
      <c r="X448" s="117" t="s">
        <v>2259</v>
      </c>
      <c r="Z448" s="117" t="n">
        <v>2247</v>
      </c>
      <c r="AB448" s="117" t="s">
        <v>2043</v>
      </c>
      <c r="AD448" s="117" t="n">
        <v>110000</v>
      </c>
      <c r="AE448" s="117" t="s">
        <v>1966</v>
      </c>
      <c r="AF448" s="117" t="n">
        <v>110000</v>
      </c>
      <c r="AG448" s="117" t="s">
        <v>1966</v>
      </c>
      <c r="AI448" s="117" t="n">
        <v>110000</v>
      </c>
      <c r="AJ448" s="117" t="s">
        <v>1966</v>
      </c>
      <c r="AK448" s="117" t="n">
        <v>0</v>
      </c>
      <c r="AL448" s="117" t="n">
        <v>4</v>
      </c>
      <c r="AM448" s="117" t="s">
        <v>161</v>
      </c>
      <c r="AP448" s="117" t="n">
        <v>100048476</v>
      </c>
      <c r="AQ448" s="118" t="n">
        <v>43646</v>
      </c>
      <c r="AR448" s="118" t="n">
        <v>43583</v>
      </c>
      <c r="AS448" s="117" t="n">
        <v>0.487314814814815</v>
      </c>
      <c r="AT448" s="117" t="n">
        <v>0</v>
      </c>
      <c r="AU448" s="117" t="n">
        <v>0</v>
      </c>
      <c r="AX448" s="117" t="n">
        <v>2</v>
      </c>
    </row>
    <row r="449" customFormat="false" ht="13.8" hidden="true" customHeight="false" outlineLevel="0" collapsed="false">
      <c r="A449" s="117" t="n">
        <v>1000</v>
      </c>
      <c r="B449" s="117" t="s">
        <v>1962</v>
      </c>
      <c r="C449" s="117" t="n">
        <v>100022435</v>
      </c>
      <c r="E449" s="117" t="s">
        <v>1921</v>
      </c>
      <c r="F449" s="117" t="n">
        <v>1109</v>
      </c>
      <c r="G449" s="117" t="n">
        <v>2019</v>
      </c>
      <c r="H449" s="117" t="n">
        <v>2</v>
      </c>
      <c r="I449" s="118" t="n">
        <v>43616</v>
      </c>
      <c r="J449" s="118" t="n">
        <v>43616</v>
      </c>
      <c r="K449" s="119" t="n">
        <v>-4109350</v>
      </c>
      <c r="L449" s="128" t="n">
        <f aca="false">K449-Q449+T449</f>
        <v>-4109350</v>
      </c>
      <c r="M449" s="117" t="s">
        <v>149</v>
      </c>
      <c r="N449" s="117" t="n">
        <v>-4109350</v>
      </c>
      <c r="O449" s="117" t="s">
        <v>149</v>
      </c>
      <c r="P449" s="117" t="n">
        <v>0</v>
      </c>
      <c r="Q449" s="117" t="n">
        <v>0</v>
      </c>
      <c r="R449" s="117" t="n">
        <v>-4109350</v>
      </c>
      <c r="S449" s="117" t="n">
        <v>0</v>
      </c>
      <c r="T449" s="117" t="n">
        <v>0</v>
      </c>
      <c r="U449" s="117" t="n">
        <v>312193</v>
      </c>
      <c r="V449" s="117" t="s">
        <v>1963</v>
      </c>
      <c r="Z449" s="117" t="n">
        <v>100022435</v>
      </c>
      <c r="AD449" s="117" t="n">
        <v>110000</v>
      </c>
      <c r="AE449" s="117" t="s">
        <v>1966</v>
      </c>
      <c r="AF449" s="117" t="n">
        <v>110000</v>
      </c>
      <c r="AG449" s="117" t="s">
        <v>1966</v>
      </c>
      <c r="AI449" s="117" t="n">
        <v>110000</v>
      </c>
      <c r="AJ449" s="117" t="s">
        <v>1966</v>
      </c>
      <c r="AK449" s="117" t="n">
        <v>0</v>
      </c>
      <c r="AL449" s="117" t="n">
        <v>17</v>
      </c>
      <c r="AM449" s="117" t="s">
        <v>225</v>
      </c>
      <c r="AP449" s="117" t="n">
        <v>100022435</v>
      </c>
      <c r="AQ449" s="118" t="n">
        <v>43616</v>
      </c>
      <c r="AR449" s="118" t="n">
        <v>43617</v>
      </c>
      <c r="AS449" s="117" t="n">
        <v>0.582719907407407</v>
      </c>
      <c r="AT449" s="117" t="n">
        <v>0</v>
      </c>
      <c r="AU449" s="117" t="n">
        <v>0</v>
      </c>
      <c r="AX449" s="117" t="n">
        <v>3</v>
      </c>
    </row>
    <row r="450" customFormat="false" ht="13.8" hidden="true" customHeight="false" outlineLevel="0" collapsed="false">
      <c r="A450" s="117" t="n">
        <v>1000</v>
      </c>
      <c r="B450" s="117" t="s">
        <v>1962</v>
      </c>
      <c r="C450" s="117" t="n">
        <v>100048554</v>
      </c>
      <c r="E450" s="117" t="s">
        <v>1921</v>
      </c>
      <c r="F450" s="117" t="n">
        <v>1101</v>
      </c>
      <c r="G450" s="117" t="n">
        <v>2019</v>
      </c>
      <c r="H450" s="117" t="n">
        <v>3</v>
      </c>
      <c r="I450" s="118" t="n">
        <v>43646</v>
      </c>
      <c r="J450" s="118" t="n">
        <v>43646</v>
      </c>
      <c r="K450" s="119" t="n">
        <v>-19270</v>
      </c>
      <c r="L450" s="128" t="n">
        <f aca="false">K450-Q450+T450</f>
        <v>-19270</v>
      </c>
      <c r="M450" s="117" t="s">
        <v>149</v>
      </c>
      <c r="N450" s="117" t="n">
        <v>-19270</v>
      </c>
      <c r="O450" s="117" t="s">
        <v>149</v>
      </c>
      <c r="P450" s="117" t="n">
        <v>0</v>
      </c>
      <c r="Q450" s="117" t="n">
        <v>0</v>
      </c>
      <c r="R450" s="117" t="n">
        <v>-19270</v>
      </c>
      <c r="S450" s="117" t="n">
        <v>0</v>
      </c>
      <c r="T450" s="117" t="n">
        <v>0</v>
      </c>
      <c r="U450" s="117" t="n">
        <v>312193</v>
      </c>
      <c r="V450" s="117" t="s">
        <v>1963</v>
      </c>
      <c r="Z450" s="117" t="n">
        <v>100048554</v>
      </c>
      <c r="AD450" s="117" t="n">
        <v>110000</v>
      </c>
      <c r="AE450" s="117" t="s">
        <v>1966</v>
      </c>
      <c r="AF450" s="117" t="n">
        <v>110000</v>
      </c>
      <c r="AG450" s="117" t="s">
        <v>1966</v>
      </c>
      <c r="AI450" s="117" t="n">
        <v>110000</v>
      </c>
      <c r="AJ450" s="117" t="s">
        <v>1966</v>
      </c>
      <c r="AK450" s="117" t="n">
        <v>0</v>
      </c>
      <c r="AL450" s="117" t="n">
        <v>17</v>
      </c>
      <c r="AM450" s="117" t="s">
        <v>225</v>
      </c>
      <c r="AP450" s="117" t="n">
        <v>100048554</v>
      </c>
      <c r="AQ450" s="118" t="n">
        <v>43646</v>
      </c>
      <c r="AR450" s="118" t="n">
        <v>43647</v>
      </c>
      <c r="AS450" s="117" t="n">
        <v>0.181689814814815</v>
      </c>
      <c r="AT450" s="117" t="n">
        <v>0</v>
      </c>
      <c r="AU450" s="117" t="n">
        <v>0</v>
      </c>
      <c r="AX450" s="117" t="n">
        <v>3</v>
      </c>
    </row>
    <row r="451" s="106" customFormat="true" ht="13.8" hidden="true" customHeight="false" outlineLevel="0" collapsed="false">
      <c r="A451" s="106" t="n">
        <v>1000</v>
      </c>
      <c r="B451" s="106" t="s">
        <v>1962</v>
      </c>
      <c r="C451" s="106" t="n">
        <v>108335</v>
      </c>
      <c r="D451" s="106" t="s">
        <v>1693</v>
      </c>
      <c r="E451" s="106" t="s">
        <v>1970</v>
      </c>
      <c r="F451" s="106" t="n">
        <v>1109</v>
      </c>
      <c r="G451" s="106" t="n">
        <v>2019</v>
      </c>
      <c r="H451" s="106" t="n">
        <v>7</v>
      </c>
      <c r="I451" s="129" t="n">
        <v>43762</v>
      </c>
      <c r="J451" s="129" t="n">
        <v>43762</v>
      </c>
      <c r="K451" s="107" t="n">
        <v>437548.72</v>
      </c>
      <c r="L451" s="130" t="n">
        <f aca="false">K451-Q451+T451</f>
        <v>370804</v>
      </c>
      <c r="M451" s="106" t="s">
        <v>149</v>
      </c>
      <c r="N451" s="106" t="n">
        <v>437548.72</v>
      </c>
      <c r="O451" s="106" t="s">
        <v>149</v>
      </c>
      <c r="P451" s="106" t="n">
        <v>0</v>
      </c>
      <c r="Q451" s="107" t="n">
        <v>66744.72</v>
      </c>
      <c r="R451" s="106" t="n">
        <v>370804</v>
      </c>
      <c r="S451" s="106" t="n">
        <v>0</v>
      </c>
      <c r="T451" s="106" t="n">
        <v>0</v>
      </c>
      <c r="U451" s="106" t="n">
        <v>305576</v>
      </c>
      <c r="V451" s="106" t="s">
        <v>1973</v>
      </c>
      <c r="Z451" s="106" t="n">
        <v>61356</v>
      </c>
      <c r="AB451" s="106" t="s">
        <v>2260</v>
      </c>
      <c r="AD451" s="106" t="n">
        <v>110000</v>
      </c>
      <c r="AE451" s="106" t="s">
        <v>1966</v>
      </c>
      <c r="AF451" s="106" t="n">
        <v>501005</v>
      </c>
      <c r="AG451" s="106" t="s">
        <v>2033</v>
      </c>
      <c r="AI451" s="106" t="n">
        <v>501005</v>
      </c>
      <c r="AJ451" s="106" t="s">
        <v>2033</v>
      </c>
      <c r="AK451" s="106" t="n">
        <v>0</v>
      </c>
      <c r="AL451" s="106" t="n">
        <v>1</v>
      </c>
      <c r="AM451" s="106" t="s">
        <v>161</v>
      </c>
      <c r="AP451" s="106" t="n">
        <v>100141419</v>
      </c>
      <c r="AQ451" s="129" t="n">
        <v>43766</v>
      </c>
      <c r="AR451" s="129" t="n">
        <v>43762</v>
      </c>
      <c r="AS451" s="106" t="n">
        <v>0.796863425925926</v>
      </c>
      <c r="AT451" s="106" t="n">
        <v>0</v>
      </c>
      <c r="AU451" s="106" t="n">
        <v>0</v>
      </c>
      <c r="AX451" s="106" t="n">
        <v>1</v>
      </c>
      <c r="ALU451" s="0"/>
      <c r="ALV451" s="0"/>
      <c r="ALW451" s="0"/>
      <c r="ALX451" s="0"/>
      <c r="ALY451" s="0"/>
      <c r="ALZ451" s="0"/>
      <c r="AMA451" s="0"/>
      <c r="AMB451" s="0"/>
      <c r="AMC451" s="0"/>
      <c r="AMD451" s="0"/>
      <c r="AME451" s="0"/>
      <c r="AMF451" s="0"/>
      <c r="AMG451" s="0"/>
      <c r="AMH451" s="0"/>
      <c r="AMI451" s="0"/>
      <c r="AMJ451" s="0"/>
    </row>
    <row r="452" customFormat="false" ht="13.8" hidden="true" customHeight="false" outlineLevel="0" collapsed="false">
      <c r="A452" s="117" t="n">
        <v>1000</v>
      </c>
      <c r="B452" s="117" t="s">
        <v>1962</v>
      </c>
      <c r="C452" s="117" t="n">
        <v>100004393</v>
      </c>
      <c r="E452" s="117" t="s">
        <v>1921</v>
      </c>
      <c r="F452" s="117" t="n">
        <v>1109</v>
      </c>
      <c r="G452" s="117" t="n">
        <v>2019</v>
      </c>
      <c r="H452" s="117" t="n">
        <v>1</v>
      </c>
      <c r="I452" s="118" t="n">
        <v>43583</v>
      </c>
      <c r="J452" s="118" t="n">
        <v>43583</v>
      </c>
      <c r="K452" s="119" t="n">
        <v>6325</v>
      </c>
      <c r="L452" s="128" t="n">
        <f aca="false">K452-Q452+T452</f>
        <v>6325</v>
      </c>
      <c r="M452" s="117" t="s">
        <v>149</v>
      </c>
      <c r="N452" s="117" t="n">
        <v>6325</v>
      </c>
      <c r="O452" s="117" t="s">
        <v>149</v>
      </c>
      <c r="P452" s="117" t="n">
        <v>0</v>
      </c>
      <c r="Q452" s="117" t="n">
        <v>0</v>
      </c>
      <c r="R452" s="117" t="n">
        <v>6325</v>
      </c>
      <c r="S452" s="117" t="n">
        <v>0</v>
      </c>
      <c r="T452" s="117" t="n">
        <v>0</v>
      </c>
      <c r="U452" s="117" t="n">
        <v>318169</v>
      </c>
      <c r="V452" s="117" t="s">
        <v>2158</v>
      </c>
      <c r="X452" s="117" t="s">
        <v>2261</v>
      </c>
      <c r="Z452" s="117" t="n">
        <v>2265</v>
      </c>
      <c r="AB452" s="117" t="s">
        <v>2262</v>
      </c>
      <c r="AD452" s="117" t="n">
        <v>110000</v>
      </c>
      <c r="AE452" s="117" t="s">
        <v>1966</v>
      </c>
      <c r="AF452" s="117" t="n">
        <v>110000</v>
      </c>
      <c r="AG452" s="117" t="s">
        <v>1966</v>
      </c>
      <c r="AI452" s="117" t="n">
        <v>110000</v>
      </c>
      <c r="AJ452" s="117" t="s">
        <v>1966</v>
      </c>
      <c r="AK452" s="117" t="n">
        <v>0</v>
      </c>
      <c r="AL452" s="117" t="n">
        <v>4</v>
      </c>
      <c r="AM452" s="117" t="s">
        <v>161</v>
      </c>
      <c r="AP452" s="117" t="n">
        <v>100173333</v>
      </c>
      <c r="AQ452" s="118" t="n">
        <v>43799</v>
      </c>
      <c r="AR452" s="118" t="n">
        <v>43583</v>
      </c>
      <c r="AS452" s="117" t="n">
        <v>0.622928240740741</v>
      </c>
      <c r="AT452" s="117" t="n">
        <v>0</v>
      </c>
      <c r="AU452" s="117" t="n">
        <v>0</v>
      </c>
      <c r="AX452" s="117" t="n">
        <v>1</v>
      </c>
    </row>
    <row r="453" customFormat="false" ht="13.8" hidden="true" customHeight="false" outlineLevel="0" collapsed="false">
      <c r="A453" s="117" t="n">
        <v>1000</v>
      </c>
      <c r="B453" s="117" t="s">
        <v>1962</v>
      </c>
      <c r="C453" s="117" t="n">
        <v>1400000765</v>
      </c>
      <c r="E453" s="117" t="s">
        <v>1972</v>
      </c>
      <c r="F453" s="117" t="n">
        <v>1106</v>
      </c>
      <c r="G453" s="117" t="n">
        <v>2019</v>
      </c>
      <c r="H453" s="117" t="n">
        <v>1</v>
      </c>
      <c r="I453" s="118" t="n">
        <v>43580</v>
      </c>
      <c r="J453" s="118" t="n">
        <v>43580</v>
      </c>
      <c r="K453" s="119" t="n">
        <v>-4466620.63</v>
      </c>
      <c r="L453" s="128" t="n">
        <f aca="false">K453-Q453+T453</f>
        <v>-4466620.63</v>
      </c>
      <c r="M453" s="117" t="s">
        <v>149</v>
      </c>
      <c r="N453" s="117" t="n">
        <v>-4466620.63</v>
      </c>
      <c r="O453" s="117" t="s">
        <v>149</v>
      </c>
      <c r="P453" s="117" t="n">
        <v>0</v>
      </c>
      <c r="Q453" s="117" t="n">
        <v>0</v>
      </c>
      <c r="R453" s="117" t="n">
        <v>-4466620.63</v>
      </c>
      <c r="S453" s="117" t="n">
        <v>0</v>
      </c>
      <c r="T453" s="117" t="n">
        <v>0</v>
      </c>
      <c r="U453" s="117" t="n">
        <v>304431</v>
      </c>
      <c r="V453" s="117" t="s">
        <v>2016</v>
      </c>
      <c r="X453" s="117" t="s">
        <v>2263</v>
      </c>
      <c r="Y453" s="117" t="s">
        <v>2264</v>
      </c>
      <c r="Z453" s="117" t="n">
        <v>1400000765</v>
      </c>
      <c r="AC453" s="117" t="s">
        <v>1976</v>
      </c>
      <c r="AD453" s="117" t="n">
        <v>310300</v>
      </c>
      <c r="AE453" s="117" t="s">
        <v>1969</v>
      </c>
      <c r="AF453" s="117" t="n">
        <v>101105</v>
      </c>
      <c r="AG453" s="117" t="s">
        <v>1977</v>
      </c>
      <c r="AI453" s="117" t="n">
        <v>101105</v>
      </c>
      <c r="AJ453" s="117" t="s">
        <v>1977</v>
      </c>
      <c r="AK453" s="117" t="n">
        <v>0</v>
      </c>
      <c r="AL453" s="117" t="n">
        <v>19</v>
      </c>
      <c r="AM453" s="117" t="s">
        <v>225</v>
      </c>
      <c r="AN453" s="117" t="s">
        <v>1978</v>
      </c>
      <c r="AP453" s="117" t="n">
        <v>100004315</v>
      </c>
      <c r="AQ453" s="118" t="n">
        <v>43583</v>
      </c>
      <c r="AR453" s="118" t="n">
        <v>43581</v>
      </c>
      <c r="AS453" s="117" t="n">
        <v>0.71125</v>
      </c>
      <c r="AT453" s="117" t="n">
        <v>0</v>
      </c>
      <c r="AU453" s="117" t="n">
        <v>0</v>
      </c>
      <c r="AX453" s="117" t="n">
        <v>2</v>
      </c>
    </row>
    <row r="454" customFormat="false" ht="13.8" hidden="true" customHeight="false" outlineLevel="0" collapsed="false">
      <c r="A454" s="117" t="n">
        <v>1000</v>
      </c>
      <c r="B454" s="117" t="s">
        <v>1962</v>
      </c>
      <c r="C454" s="117" t="n">
        <v>100031503</v>
      </c>
      <c r="E454" s="117" t="s">
        <v>1921</v>
      </c>
      <c r="F454" s="117" t="n">
        <v>1106</v>
      </c>
      <c r="G454" s="117" t="n">
        <v>2019</v>
      </c>
      <c r="H454" s="117" t="n">
        <v>2</v>
      </c>
      <c r="I454" s="118" t="n">
        <v>43616</v>
      </c>
      <c r="J454" s="118" t="n">
        <v>43616</v>
      </c>
      <c r="K454" s="119" t="n">
        <v>65457.11</v>
      </c>
      <c r="L454" s="128" t="n">
        <f aca="false">K454-Q454+T454</f>
        <v>65457.11</v>
      </c>
      <c r="M454" s="117" t="s">
        <v>149</v>
      </c>
      <c r="N454" s="117" t="n">
        <v>65457.11</v>
      </c>
      <c r="O454" s="117" t="s">
        <v>149</v>
      </c>
      <c r="P454" s="117" t="n">
        <v>0</v>
      </c>
      <c r="Q454" s="117" t="n">
        <v>0</v>
      </c>
      <c r="R454" s="117" t="n">
        <v>65457.11</v>
      </c>
      <c r="S454" s="117" t="n">
        <v>0</v>
      </c>
      <c r="T454" s="117" t="n">
        <v>0</v>
      </c>
      <c r="U454" s="117" t="n">
        <v>318169</v>
      </c>
      <c r="V454" s="117" t="s">
        <v>2158</v>
      </c>
      <c r="Z454" s="117" t="n">
        <v>100031503</v>
      </c>
      <c r="AD454" s="117" t="n">
        <v>110000</v>
      </c>
      <c r="AE454" s="117" t="s">
        <v>1966</v>
      </c>
      <c r="AF454" s="117" t="n">
        <v>110000</v>
      </c>
      <c r="AG454" s="117" t="s">
        <v>1966</v>
      </c>
      <c r="AI454" s="117" t="n">
        <v>110000</v>
      </c>
      <c r="AJ454" s="117" t="s">
        <v>1966</v>
      </c>
      <c r="AK454" s="117" t="n">
        <v>0</v>
      </c>
      <c r="AL454" s="117" t="n">
        <v>7</v>
      </c>
      <c r="AM454" s="117" t="s">
        <v>161</v>
      </c>
      <c r="AP454" s="117" t="n">
        <v>100031503</v>
      </c>
      <c r="AQ454" s="118" t="n">
        <v>43616</v>
      </c>
      <c r="AR454" s="118" t="n">
        <v>43619</v>
      </c>
      <c r="AS454" s="117" t="n">
        <v>0.444490740740741</v>
      </c>
      <c r="AT454" s="117" t="n">
        <v>0</v>
      </c>
      <c r="AU454" s="117" t="n">
        <v>0</v>
      </c>
      <c r="AX454" s="117" t="n">
        <v>1</v>
      </c>
    </row>
    <row r="455" customFormat="false" ht="13.8" hidden="true" customHeight="false" outlineLevel="0" collapsed="false">
      <c r="A455" s="117" t="n">
        <v>1000</v>
      </c>
      <c r="B455" s="117" t="s">
        <v>1962</v>
      </c>
      <c r="C455" s="117" t="n">
        <v>100004388</v>
      </c>
      <c r="E455" s="117" t="s">
        <v>1921</v>
      </c>
      <c r="F455" s="117" t="n">
        <v>1108</v>
      </c>
      <c r="G455" s="117" t="n">
        <v>2019</v>
      </c>
      <c r="H455" s="117" t="n">
        <v>1</v>
      </c>
      <c r="I455" s="118" t="n">
        <v>43583</v>
      </c>
      <c r="J455" s="118" t="n">
        <v>43583</v>
      </c>
      <c r="K455" s="119" t="n">
        <v>-1164518.4</v>
      </c>
      <c r="L455" s="128" t="n">
        <f aca="false">K455-Q455+T455</f>
        <v>-1164518.4</v>
      </c>
      <c r="M455" s="117" t="s">
        <v>149</v>
      </c>
      <c r="N455" s="117" t="n">
        <v>-1164518.4</v>
      </c>
      <c r="O455" s="117" t="s">
        <v>149</v>
      </c>
      <c r="P455" s="117" t="n">
        <v>0</v>
      </c>
      <c r="Q455" s="117" t="n">
        <v>0</v>
      </c>
      <c r="R455" s="117" t="n">
        <v>-1164518.4</v>
      </c>
      <c r="S455" s="117" t="n">
        <v>0</v>
      </c>
      <c r="T455" s="117" t="n">
        <v>0</v>
      </c>
      <c r="U455" s="117" t="n">
        <v>318064</v>
      </c>
      <c r="V455" s="117" t="s">
        <v>2206</v>
      </c>
      <c r="Z455" s="117" t="n">
        <v>100004388</v>
      </c>
      <c r="AD455" s="117" t="n">
        <v>110000</v>
      </c>
      <c r="AE455" s="117" t="s">
        <v>1966</v>
      </c>
      <c r="AF455" s="117" t="n">
        <v>110000</v>
      </c>
      <c r="AG455" s="117" t="s">
        <v>1966</v>
      </c>
      <c r="AI455" s="117" t="n">
        <v>110000</v>
      </c>
      <c r="AJ455" s="117" t="s">
        <v>1966</v>
      </c>
      <c r="AK455" s="117" t="n">
        <v>0</v>
      </c>
      <c r="AL455" s="117" t="n">
        <v>17</v>
      </c>
      <c r="AM455" s="117" t="s">
        <v>225</v>
      </c>
      <c r="AP455" s="117" t="n">
        <v>100004388</v>
      </c>
      <c r="AQ455" s="118" t="n">
        <v>43583</v>
      </c>
      <c r="AR455" s="118" t="n">
        <v>43583</v>
      </c>
      <c r="AS455" s="117" t="n">
        <v>0.613657407407407</v>
      </c>
      <c r="AT455" s="117" t="n">
        <v>0</v>
      </c>
      <c r="AU455" s="117" t="n">
        <v>0</v>
      </c>
      <c r="AX455" s="117" t="n">
        <v>2</v>
      </c>
    </row>
    <row r="456" customFormat="false" ht="13.8" hidden="true" customHeight="false" outlineLevel="0" collapsed="false">
      <c r="A456" s="117" t="n">
        <v>1000</v>
      </c>
      <c r="B456" s="117" t="s">
        <v>1962</v>
      </c>
      <c r="C456" s="117" t="n">
        <v>100005105</v>
      </c>
      <c r="E456" s="117" t="s">
        <v>1921</v>
      </c>
      <c r="F456" s="117" t="n">
        <v>1101</v>
      </c>
      <c r="G456" s="117" t="n">
        <v>2019</v>
      </c>
      <c r="H456" s="117" t="n">
        <v>1</v>
      </c>
      <c r="I456" s="118" t="n">
        <v>43585</v>
      </c>
      <c r="J456" s="118" t="n">
        <v>43585</v>
      </c>
      <c r="K456" s="119" t="n">
        <v>19270</v>
      </c>
      <c r="L456" s="128" t="n">
        <f aca="false">K456-Q456+T456</f>
        <v>19270</v>
      </c>
      <c r="M456" s="117" t="s">
        <v>149</v>
      </c>
      <c r="N456" s="117" t="n">
        <v>19270</v>
      </c>
      <c r="O456" s="117" t="s">
        <v>149</v>
      </c>
      <c r="P456" s="117" t="n">
        <v>0</v>
      </c>
      <c r="Q456" s="117" t="n">
        <v>0</v>
      </c>
      <c r="R456" s="117" t="n">
        <v>19270</v>
      </c>
      <c r="S456" s="117" t="n">
        <v>0</v>
      </c>
      <c r="T456" s="117" t="n">
        <v>0</v>
      </c>
      <c r="U456" s="117" t="n">
        <v>312193</v>
      </c>
      <c r="V456" s="117" t="s">
        <v>1963</v>
      </c>
      <c r="X456" s="117" t="s">
        <v>2265</v>
      </c>
      <c r="Z456" s="117" t="n">
        <v>2217</v>
      </c>
      <c r="AB456" s="117" t="s">
        <v>2266</v>
      </c>
      <c r="AD456" s="117" t="n">
        <v>110000</v>
      </c>
      <c r="AE456" s="117" t="s">
        <v>1966</v>
      </c>
      <c r="AF456" s="117" t="n">
        <v>110000</v>
      </c>
      <c r="AG456" s="117" t="s">
        <v>1966</v>
      </c>
      <c r="AI456" s="117" t="n">
        <v>110000</v>
      </c>
      <c r="AJ456" s="117" t="s">
        <v>1966</v>
      </c>
      <c r="AK456" s="117" t="n">
        <v>0</v>
      </c>
      <c r="AL456" s="117" t="n">
        <v>4</v>
      </c>
      <c r="AM456" s="117" t="s">
        <v>161</v>
      </c>
      <c r="AP456" s="117" t="n">
        <v>100048554</v>
      </c>
      <c r="AQ456" s="118" t="n">
        <v>43646</v>
      </c>
      <c r="AR456" s="118" t="n">
        <v>43586</v>
      </c>
      <c r="AS456" s="117" t="n">
        <v>0.424085648148148</v>
      </c>
      <c r="AT456" s="117" t="n">
        <v>0</v>
      </c>
      <c r="AU456" s="117" t="n">
        <v>0</v>
      </c>
      <c r="AX456" s="117" t="n">
        <v>1</v>
      </c>
    </row>
    <row r="457" customFormat="false" ht="13.8" hidden="true" customHeight="false" outlineLevel="0" collapsed="false">
      <c r="A457" s="117" t="n">
        <v>1000</v>
      </c>
      <c r="B457" s="117" t="s">
        <v>1962</v>
      </c>
      <c r="C457" s="117" t="n">
        <v>100033436</v>
      </c>
      <c r="D457" s="117" t="s">
        <v>2005</v>
      </c>
      <c r="E457" s="117" t="s">
        <v>1903</v>
      </c>
      <c r="F457" s="117" t="n">
        <v>1106</v>
      </c>
      <c r="G457" s="117" t="n">
        <v>2019</v>
      </c>
      <c r="H457" s="117" t="n">
        <v>2</v>
      </c>
      <c r="I457" s="118" t="n">
        <v>43619</v>
      </c>
      <c r="J457" s="118" t="n">
        <v>43616</v>
      </c>
      <c r="K457" s="119" t="n">
        <v>0.3</v>
      </c>
      <c r="L457" s="128" t="n">
        <f aca="false">K457-Q457+T457</f>
        <v>0.3</v>
      </c>
      <c r="M457" s="117" t="s">
        <v>149</v>
      </c>
      <c r="N457" s="117" t="n">
        <v>0.3</v>
      </c>
      <c r="O457" s="117" t="s">
        <v>149</v>
      </c>
      <c r="P457" s="117" t="n">
        <v>0</v>
      </c>
      <c r="Q457" s="117" t="n">
        <v>0</v>
      </c>
      <c r="R457" s="117" t="n">
        <v>0.3</v>
      </c>
      <c r="S457" s="117" t="n">
        <v>0</v>
      </c>
      <c r="T457" s="117" t="n">
        <v>0</v>
      </c>
      <c r="U457" s="117" t="n">
        <v>309728</v>
      </c>
      <c r="V457" s="117" t="s">
        <v>1968</v>
      </c>
      <c r="X457" s="117" t="s">
        <v>2267</v>
      </c>
      <c r="Y457" s="117" t="s">
        <v>2008</v>
      </c>
      <c r="Z457" s="117" t="n">
        <v>100033436</v>
      </c>
      <c r="AD457" s="117" t="n">
        <v>310300</v>
      </c>
      <c r="AE457" s="117" t="s">
        <v>1969</v>
      </c>
      <c r="AF457" s="117" t="n">
        <v>891305</v>
      </c>
      <c r="AG457" s="117" t="s">
        <v>2009</v>
      </c>
      <c r="AI457" s="117" t="n">
        <v>891305</v>
      </c>
      <c r="AJ457" s="117" t="s">
        <v>2009</v>
      </c>
      <c r="AK457" s="117" t="n">
        <v>0</v>
      </c>
      <c r="AL457" s="117" t="n">
        <v>9</v>
      </c>
      <c r="AM457" s="117" t="s">
        <v>161</v>
      </c>
      <c r="AN457" s="117" t="s">
        <v>1978</v>
      </c>
      <c r="AP457" s="117" t="n">
        <v>100033436</v>
      </c>
      <c r="AQ457" s="118" t="n">
        <v>43616</v>
      </c>
      <c r="AR457" s="118" t="n">
        <v>43619</v>
      </c>
      <c r="AS457" s="117" t="n">
        <v>0.704791666666667</v>
      </c>
      <c r="AT457" s="117" t="n">
        <v>0</v>
      </c>
      <c r="AU457" s="117" t="n">
        <v>0</v>
      </c>
      <c r="AX457" s="117" t="n">
        <v>2</v>
      </c>
    </row>
    <row r="458" customFormat="false" ht="13.8" hidden="true" customHeight="false" outlineLevel="0" collapsed="false">
      <c r="A458" s="117" t="n">
        <v>1000</v>
      </c>
      <c r="B458" s="117" t="s">
        <v>1962</v>
      </c>
      <c r="C458" s="117" t="n">
        <v>100022320</v>
      </c>
      <c r="E458" s="117" t="s">
        <v>1921</v>
      </c>
      <c r="F458" s="117" t="n">
        <v>1108</v>
      </c>
      <c r="G458" s="117" t="n">
        <v>2019</v>
      </c>
      <c r="H458" s="117" t="n">
        <v>2</v>
      </c>
      <c r="I458" s="118" t="n">
        <v>43616</v>
      </c>
      <c r="J458" s="118" t="n">
        <v>43616</v>
      </c>
      <c r="K458" s="119" t="n">
        <v>2696043.92</v>
      </c>
      <c r="L458" s="128" t="n">
        <f aca="false">K458-Q458+T458</f>
        <v>2696043.92</v>
      </c>
      <c r="M458" s="117" t="s">
        <v>149</v>
      </c>
      <c r="N458" s="117" t="n">
        <v>2696043.92</v>
      </c>
      <c r="O458" s="117" t="s">
        <v>149</v>
      </c>
      <c r="P458" s="117" t="n">
        <v>0</v>
      </c>
      <c r="Q458" s="117" t="n">
        <v>0</v>
      </c>
      <c r="R458" s="117" t="n">
        <v>2696043.92</v>
      </c>
      <c r="S458" s="117" t="n">
        <v>0</v>
      </c>
      <c r="T458" s="117" t="n">
        <v>0</v>
      </c>
      <c r="U458" s="117" t="n">
        <v>306263</v>
      </c>
      <c r="V458" s="117" t="s">
        <v>2006</v>
      </c>
      <c r="X458" s="117" t="s">
        <v>1268</v>
      </c>
      <c r="Z458" s="117" t="n">
        <v>58335</v>
      </c>
      <c r="AB458" s="117" t="s">
        <v>2224</v>
      </c>
      <c r="AD458" s="117" t="n">
        <v>110000</v>
      </c>
      <c r="AE458" s="117" t="s">
        <v>1966</v>
      </c>
      <c r="AF458" s="117" t="n">
        <v>110000</v>
      </c>
      <c r="AG458" s="117" t="s">
        <v>1966</v>
      </c>
      <c r="AI458" s="117" t="n">
        <v>110000</v>
      </c>
      <c r="AJ458" s="117" t="s">
        <v>1966</v>
      </c>
      <c r="AK458" s="117" t="n">
        <v>0</v>
      </c>
      <c r="AL458" s="117" t="n">
        <v>4</v>
      </c>
      <c r="AM458" s="117" t="s">
        <v>161</v>
      </c>
      <c r="AP458" s="117" t="n">
        <v>100050529</v>
      </c>
      <c r="AQ458" s="118" t="n">
        <v>43646</v>
      </c>
      <c r="AR458" s="118" t="n">
        <v>43617</v>
      </c>
      <c r="AS458" s="117" t="n">
        <v>0.504178240740741</v>
      </c>
      <c r="AT458" s="117" t="n">
        <v>0</v>
      </c>
      <c r="AU458" s="117" t="n">
        <v>0</v>
      </c>
      <c r="AX458" s="117" t="n">
        <v>1</v>
      </c>
    </row>
    <row r="459" customFormat="false" ht="13.8" hidden="true" customHeight="false" outlineLevel="0" collapsed="false">
      <c r="A459" s="117" t="n">
        <v>1000</v>
      </c>
      <c r="B459" s="117" t="s">
        <v>1962</v>
      </c>
      <c r="C459" s="117" t="n">
        <v>100005105</v>
      </c>
      <c r="E459" s="117" t="s">
        <v>1921</v>
      </c>
      <c r="F459" s="117" t="n">
        <v>1101</v>
      </c>
      <c r="G459" s="117" t="n">
        <v>2019</v>
      </c>
      <c r="H459" s="117" t="n">
        <v>1</v>
      </c>
      <c r="I459" s="118" t="n">
        <v>43585</v>
      </c>
      <c r="J459" s="118" t="n">
        <v>43585</v>
      </c>
      <c r="K459" s="119" t="n">
        <v>1117660</v>
      </c>
      <c r="L459" s="128" t="n">
        <f aca="false">K459-Q459+T459</f>
        <v>1117660</v>
      </c>
      <c r="M459" s="117" t="s">
        <v>149</v>
      </c>
      <c r="N459" s="117" t="n">
        <v>1117660</v>
      </c>
      <c r="O459" s="117" t="s">
        <v>149</v>
      </c>
      <c r="P459" s="117" t="n">
        <v>0</v>
      </c>
      <c r="Q459" s="117" t="n">
        <v>0</v>
      </c>
      <c r="R459" s="117" t="n">
        <v>1117660</v>
      </c>
      <c r="S459" s="117" t="n">
        <v>0</v>
      </c>
      <c r="T459" s="117" t="n">
        <v>0</v>
      </c>
      <c r="U459" s="117" t="n">
        <v>312193</v>
      </c>
      <c r="V459" s="117" t="s">
        <v>1963</v>
      </c>
      <c r="Z459" s="117" t="n">
        <v>100005105</v>
      </c>
      <c r="AD459" s="117" t="n">
        <v>310300</v>
      </c>
      <c r="AE459" s="117" t="s">
        <v>1969</v>
      </c>
      <c r="AF459" s="117" t="n">
        <v>110000</v>
      </c>
      <c r="AG459" s="117" t="s">
        <v>1966</v>
      </c>
      <c r="AI459" s="117" t="n">
        <v>110000</v>
      </c>
      <c r="AJ459" s="117" t="s">
        <v>1966</v>
      </c>
      <c r="AK459" s="117" t="n">
        <v>0</v>
      </c>
      <c r="AL459" s="117" t="n">
        <v>9</v>
      </c>
      <c r="AM459" s="117" t="s">
        <v>161</v>
      </c>
      <c r="AN459" s="117" t="s">
        <v>1978</v>
      </c>
      <c r="AP459" s="117" t="n">
        <v>100005105</v>
      </c>
      <c r="AQ459" s="118" t="n">
        <v>43585</v>
      </c>
      <c r="AR459" s="118" t="n">
        <v>43586</v>
      </c>
      <c r="AS459" s="117" t="n">
        <v>0.424085648148148</v>
      </c>
      <c r="AT459" s="117" t="n">
        <v>0</v>
      </c>
      <c r="AU459" s="117" t="n">
        <v>0</v>
      </c>
      <c r="AX459" s="117" t="n">
        <v>5</v>
      </c>
    </row>
    <row r="460" s="106" customFormat="true" ht="13.8" hidden="true" customHeight="false" outlineLevel="0" collapsed="false">
      <c r="A460" s="106" t="n">
        <v>1000</v>
      </c>
      <c r="B460" s="106" t="s">
        <v>1962</v>
      </c>
      <c r="C460" s="106" t="n">
        <v>102455</v>
      </c>
      <c r="D460" s="106" t="s">
        <v>1268</v>
      </c>
      <c r="E460" s="106" t="s">
        <v>1970</v>
      </c>
      <c r="F460" s="106" t="n">
        <v>1108</v>
      </c>
      <c r="G460" s="106" t="n">
        <v>2019</v>
      </c>
      <c r="H460" s="106" t="n">
        <v>2</v>
      </c>
      <c r="I460" s="129" t="n">
        <v>43615</v>
      </c>
      <c r="J460" s="129" t="n">
        <v>43615</v>
      </c>
      <c r="K460" s="107" t="n">
        <v>2696043.92</v>
      </c>
      <c r="L460" s="130" t="n">
        <f aca="false">K460-Q460+T460</f>
        <v>2284783</v>
      </c>
      <c r="M460" s="106" t="s">
        <v>149</v>
      </c>
      <c r="N460" s="106" t="n">
        <v>2696043.92</v>
      </c>
      <c r="O460" s="106" t="s">
        <v>149</v>
      </c>
      <c r="P460" s="106" t="n">
        <v>0</v>
      </c>
      <c r="Q460" s="107" t="n">
        <v>411260.92</v>
      </c>
      <c r="R460" s="106" t="n">
        <v>2284783</v>
      </c>
      <c r="S460" s="106" t="n">
        <v>0</v>
      </c>
      <c r="T460" s="106" t="n">
        <v>0</v>
      </c>
      <c r="U460" s="106" t="n">
        <v>306263</v>
      </c>
      <c r="V460" s="106" t="s">
        <v>2006</v>
      </c>
      <c r="Z460" s="106" t="n">
        <v>58335</v>
      </c>
      <c r="AB460" s="106" t="s">
        <v>2224</v>
      </c>
      <c r="AD460" s="106" t="n">
        <v>110000</v>
      </c>
      <c r="AE460" s="106" t="s">
        <v>1966</v>
      </c>
      <c r="AF460" s="106" t="n">
        <v>501005</v>
      </c>
      <c r="AG460" s="106" t="s">
        <v>2033</v>
      </c>
      <c r="AI460" s="106" t="n">
        <v>501005</v>
      </c>
      <c r="AJ460" s="106" t="s">
        <v>2033</v>
      </c>
      <c r="AK460" s="106" t="n">
        <v>0</v>
      </c>
      <c r="AL460" s="106" t="n">
        <v>1</v>
      </c>
      <c r="AM460" s="106" t="s">
        <v>161</v>
      </c>
      <c r="AP460" s="106" t="n">
        <v>100022320</v>
      </c>
      <c r="AQ460" s="129" t="n">
        <v>43616</v>
      </c>
      <c r="AR460" s="129" t="n">
        <v>43615</v>
      </c>
      <c r="AS460" s="106" t="n">
        <v>0.878078703703704</v>
      </c>
      <c r="AT460" s="106" t="n">
        <v>0</v>
      </c>
      <c r="AU460" s="106" t="n">
        <v>0</v>
      </c>
      <c r="AX460" s="106" t="n">
        <v>1</v>
      </c>
      <c r="ALU460" s="0"/>
      <c r="ALV460" s="0"/>
      <c r="ALW460" s="0"/>
      <c r="ALX460" s="0"/>
      <c r="ALY460" s="0"/>
      <c r="ALZ460" s="0"/>
      <c r="AMA460" s="0"/>
      <c r="AMB460" s="0"/>
      <c r="AMC460" s="0"/>
      <c r="AMD460" s="0"/>
      <c r="AME460" s="0"/>
      <c r="AMF460" s="0"/>
      <c r="AMG460" s="0"/>
      <c r="AMH460" s="0"/>
      <c r="AMI460" s="0"/>
      <c r="AMJ460" s="0"/>
    </row>
    <row r="461" s="106" customFormat="true" ht="13.8" hidden="true" customHeight="false" outlineLevel="0" collapsed="false">
      <c r="A461" s="106" t="n">
        <v>1000</v>
      </c>
      <c r="B461" s="106" t="s">
        <v>1962</v>
      </c>
      <c r="C461" s="106" t="n">
        <v>103579</v>
      </c>
      <c r="D461" s="106" t="s">
        <v>1872</v>
      </c>
      <c r="E461" s="106" t="s">
        <v>1970</v>
      </c>
      <c r="F461" s="106" t="n">
        <v>1109</v>
      </c>
      <c r="G461" s="106" t="n">
        <v>2019</v>
      </c>
      <c r="H461" s="106" t="n">
        <v>3</v>
      </c>
      <c r="I461" s="129" t="n">
        <v>43637</v>
      </c>
      <c r="J461" s="129" t="n">
        <v>43637</v>
      </c>
      <c r="K461" s="107" t="n">
        <v>2467760.44</v>
      </c>
      <c r="L461" s="130" t="n">
        <f aca="false">K461-Q461+T461</f>
        <v>2091322.4</v>
      </c>
      <c r="M461" s="106" t="s">
        <v>149</v>
      </c>
      <c r="N461" s="106" t="n">
        <v>2467760.44</v>
      </c>
      <c r="O461" s="106" t="s">
        <v>149</v>
      </c>
      <c r="P461" s="106" t="n">
        <v>0</v>
      </c>
      <c r="Q461" s="107" t="n">
        <v>376438.04</v>
      </c>
      <c r="R461" s="106" t="n">
        <v>2091322.4</v>
      </c>
      <c r="S461" s="106" t="n">
        <v>0</v>
      </c>
      <c r="T461" s="106" t="n">
        <v>0</v>
      </c>
      <c r="U461" s="106" t="n">
        <v>306546</v>
      </c>
      <c r="V461" s="106" t="s">
        <v>2177</v>
      </c>
      <c r="Z461" s="106" t="n">
        <v>58913</v>
      </c>
      <c r="AB461" s="106" t="s">
        <v>2257</v>
      </c>
      <c r="AD461" s="106" t="n">
        <v>110000</v>
      </c>
      <c r="AE461" s="106" t="s">
        <v>1966</v>
      </c>
      <c r="AF461" s="106" t="n">
        <v>501005</v>
      </c>
      <c r="AG461" s="106" t="s">
        <v>2033</v>
      </c>
      <c r="AI461" s="106" t="n">
        <v>501005</v>
      </c>
      <c r="AJ461" s="106" t="s">
        <v>2033</v>
      </c>
      <c r="AK461" s="106" t="n">
        <v>0</v>
      </c>
      <c r="AL461" s="106" t="n">
        <v>1</v>
      </c>
      <c r="AM461" s="106" t="s">
        <v>161</v>
      </c>
      <c r="AP461" s="106" t="n">
        <v>100039081</v>
      </c>
      <c r="AQ461" s="129" t="n">
        <v>43644</v>
      </c>
      <c r="AR461" s="129" t="n">
        <v>43637</v>
      </c>
      <c r="AS461" s="106" t="n">
        <v>0.830532407407407</v>
      </c>
      <c r="AT461" s="106" t="n">
        <v>0</v>
      </c>
      <c r="AU461" s="106" t="n">
        <v>0</v>
      </c>
      <c r="AX461" s="106" t="n">
        <v>1</v>
      </c>
      <c r="ALU461" s="0"/>
      <c r="ALV461" s="0"/>
      <c r="ALW461" s="0"/>
      <c r="ALX461" s="0"/>
      <c r="ALY461" s="0"/>
      <c r="ALZ461" s="0"/>
      <c r="AMA461" s="0"/>
      <c r="AMB461" s="0"/>
      <c r="AMC461" s="0"/>
      <c r="AMD461" s="0"/>
      <c r="AME461" s="0"/>
      <c r="AMF461" s="0"/>
      <c r="AMG461" s="0"/>
      <c r="AMH461" s="0"/>
      <c r="AMI461" s="0"/>
      <c r="AMJ461" s="0"/>
    </row>
    <row r="462" customFormat="false" ht="13.8" hidden="true" customHeight="false" outlineLevel="0" collapsed="false">
      <c r="A462" s="117" t="n">
        <v>1000</v>
      </c>
      <c r="B462" s="117" t="s">
        <v>1962</v>
      </c>
      <c r="C462" s="117" t="n">
        <v>100005104</v>
      </c>
      <c r="E462" s="117" t="s">
        <v>1921</v>
      </c>
      <c r="F462" s="117" t="n">
        <v>1109</v>
      </c>
      <c r="G462" s="117" t="n">
        <v>2019</v>
      </c>
      <c r="H462" s="117" t="n">
        <v>1</v>
      </c>
      <c r="I462" s="118" t="n">
        <v>43585</v>
      </c>
      <c r="J462" s="118" t="n">
        <v>43585</v>
      </c>
      <c r="K462" s="119" t="n">
        <v>10736</v>
      </c>
      <c r="L462" s="128" t="n">
        <f aca="false">K462-Q462+T462</f>
        <v>10736</v>
      </c>
      <c r="M462" s="117" t="s">
        <v>149</v>
      </c>
      <c r="N462" s="117" t="n">
        <v>10736</v>
      </c>
      <c r="O462" s="117" t="s">
        <v>149</v>
      </c>
      <c r="P462" s="117" t="n">
        <v>0</v>
      </c>
      <c r="Q462" s="117" t="n">
        <v>0</v>
      </c>
      <c r="R462" s="117" t="n">
        <v>10736</v>
      </c>
      <c r="S462" s="117" t="n">
        <v>0</v>
      </c>
      <c r="T462" s="117" t="n">
        <v>0</v>
      </c>
      <c r="U462" s="117" t="n">
        <v>312193</v>
      </c>
      <c r="V462" s="117" t="s">
        <v>1963</v>
      </c>
      <c r="X462" s="117" t="s">
        <v>2268</v>
      </c>
      <c r="Z462" s="117" t="n">
        <v>2316</v>
      </c>
      <c r="AB462" s="117" t="s">
        <v>1965</v>
      </c>
      <c r="AD462" s="117" t="n">
        <v>110000</v>
      </c>
      <c r="AE462" s="117" t="s">
        <v>1966</v>
      </c>
      <c r="AF462" s="117" t="n">
        <v>110000</v>
      </c>
      <c r="AG462" s="117" t="s">
        <v>1966</v>
      </c>
      <c r="AI462" s="117" t="n">
        <v>110000</v>
      </c>
      <c r="AJ462" s="117" t="s">
        <v>1966</v>
      </c>
      <c r="AK462" s="117" t="n">
        <v>0</v>
      </c>
      <c r="AL462" s="117" t="n">
        <v>4</v>
      </c>
      <c r="AM462" s="117" t="s">
        <v>161</v>
      </c>
      <c r="AP462" s="117" t="n">
        <v>100173563</v>
      </c>
      <c r="AQ462" s="118" t="n">
        <v>43799</v>
      </c>
      <c r="AR462" s="118" t="n">
        <v>43586</v>
      </c>
      <c r="AS462" s="117" t="n">
        <v>0.418055555555556</v>
      </c>
      <c r="AT462" s="117" t="n">
        <v>0</v>
      </c>
      <c r="AU462" s="117" t="n">
        <v>0</v>
      </c>
      <c r="AX462" s="117" t="n">
        <v>6</v>
      </c>
    </row>
    <row r="463" customFormat="false" ht="13.8" hidden="true" customHeight="false" outlineLevel="0" collapsed="false">
      <c r="A463" s="117" t="n">
        <v>1000</v>
      </c>
      <c r="B463" s="117" t="s">
        <v>1962</v>
      </c>
      <c r="C463" s="117" t="n">
        <v>100022447</v>
      </c>
      <c r="E463" s="117" t="s">
        <v>1921</v>
      </c>
      <c r="F463" s="117" t="n">
        <v>1106</v>
      </c>
      <c r="G463" s="117" t="n">
        <v>2019</v>
      </c>
      <c r="H463" s="117" t="n">
        <v>2</v>
      </c>
      <c r="I463" s="118" t="n">
        <v>43616</v>
      </c>
      <c r="J463" s="118" t="n">
        <v>43616</v>
      </c>
      <c r="K463" s="119" t="n">
        <v>59253.32</v>
      </c>
      <c r="L463" s="128" t="n">
        <f aca="false">K463-Q463+T463</f>
        <v>59253.32</v>
      </c>
      <c r="M463" s="117" t="s">
        <v>149</v>
      </c>
      <c r="N463" s="117" t="n">
        <v>59253.32</v>
      </c>
      <c r="O463" s="117" t="s">
        <v>149</v>
      </c>
      <c r="P463" s="117" t="n">
        <v>0</v>
      </c>
      <c r="Q463" s="117" t="n">
        <v>0</v>
      </c>
      <c r="R463" s="117" t="n">
        <v>59253.32</v>
      </c>
      <c r="S463" s="117" t="n">
        <v>0</v>
      </c>
      <c r="T463" s="117" t="n">
        <v>0</v>
      </c>
      <c r="U463" s="117" t="n">
        <v>312193</v>
      </c>
      <c r="V463" s="117" t="s">
        <v>1963</v>
      </c>
      <c r="Z463" s="117" t="n">
        <v>100022447</v>
      </c>
      <c r="AD463" s="117" t="n">
        <v>310300</v>
      </c>
      <c r="AE463" s="117" t="s">
        <v>1969</v>
      </c>
      <c r="AF463" s="117" t="n">
        <v>110000</v>
      </c>
      <c r="AG463" s="117" t="s">
        <v>1966</v>
      </c>
      <c r="AI463" s="117" t="n">
        <v>110000</v>
      </c>
      <c r="AJ463" s="117" t="s">
        <v>1966</v>
      </c>
      <c r="AK463" s="117" t="n">
        <v>0</v>
      </c>
      <c r="AL463" s="117" t="n">
        <v>9</v>
      </c>
      <c r="AM463" s="117" t="s">
        <v>161</v>
      </c>
      <c r="AN463" s="117" t="s">
        <v>1978</v>
      </c>
      <c r="AP463" s="117" t="n">
        <v>100022447</v>
      </c>
      <c r="AQ463" s="118" t="n">
        <v>43616</v>
      </c>
      <c r="AR463" s="118" t="n">
        <v>43617</v>
      </c>
      <c r="AS463" s="117" t="n">
        <v>0.592361111111111</v>
      </c>
      <c r="AT463" s="117" t="n">
        <v>0</v>
      </c>
      <c r="AU463" s="117" t="n">
        <v>0</v>
      </c>
      <c r="AX463" s="117" t="n">
        <v>8</v>
      </c>
    </row>
    <row r="464" customFormat="false" ht="13.8" hidden="true" customHeight="false" outlineLevel="0" collapsed="false">
      <c r="A464" s="117" t="n">
        <v>1000</v>
      </c>
      <c r="B464" s="117" t="s">
        <v>1962</v>
      </c>
      <c r="C464" s="117" t="n">
        <v>100020146</v>
      </c>
      <c r="E464" s="117" t="s">
        <v>1921</v>
      </c>
      <c r="F464" s="117" t="n">
        <v>1106</v>
      </c>
      <c r="G464" s="117" t="n">
        <v>2019</v>
      </c>
      <c r="H464" s="117" t="n">
        <v>2</v>
      </c>
      <c r="I464" s="118" t="n">
        <v>43611</v>
      </c>
      <c r="J464" s="118" t="n">
        <v>43611</v>
      </c>
      <c r="K464" s="119" t="n">
        <v>1505680</v>
      </c>
      <c r="L464" s="128" t="n">
        <f aca="false">K464-Q464+T464</f>
        <v>1505680</v>
      </c>
      <c r="M464" s="117" t="s">
        <v>149</v>
      </c>
      <c r="N464" s="117" t="n">
        <v>1505680</v>
      </c>
      <c r="O464" s="117" t="s">
        <v>149</v>
      </c>
      <c r="P464" s="117" t="n">
        <v>0</v>
      </c>
      <c r="Q464" s="117" t="n">
        <v>0</v>
      </c>
      <c r="R464" s="117" t="n">
        <v>1505680</v>
      </c>
      <c r="S464" s="117" t="n">
        <v>0</v>
      </c>
      <c r="T464" s="117" t="n">
        <v>0</v>
      </c>
      <c r="U464" s="117" t="n">
        <v>309728</v>
      </c>
      <c r="V464" s="117" t="s">
        <v>1968</v>
      </c>
      <c r="Z464" s="117" t="n">
        <v>100020146</v>
      </c>
      <c r="AD464" s="117" t="n">
        <v>310300</v>
      </c>
      <c r="AE464" s="117" t="s">
        <v>1969</v>
      </c>
      <c r="AF464" s="117" t="n">
        <v>310300</v>
      </c>
      <c r="AG464" s="117" t="s">
        <v>1969</v>
      </c>
      <c r="AI464" s="117" t="n">
        <v>310300</v>
      </c>
      <c r="AJ464" s="117" t="s">
        <v>1969</v>
      </c>
      <c r="AK464" s="117" t="n">
        <v>0</v>
      </c>
      <c r="AL464" s="117" t="n">
        <v>9</v>
      </c>
      <c r="AM464" s="117" t="s">
        <v>161</v>
      </c>
      <c r="AN464" s="117" t="s">
        <v>1978</v>
      </c>
      <c r="AP464" s="117" t="n">
        <v>100020146</v>
      </c>
      <c r="AQ464" s="118" t="n">
        <v>43611</v>
      </c>
      <c r="AR464" s="118" t="n">
        <v>43611</v>
      </c>
      <c r="AS464" s="117" t="n">
        <v>0.755694444444445</v>
      </c>
      <c r="AT464" s="117" t="n">
        <v>0</v>
      </c>
      <c r="AU464" s="117" t="n">
        <v>0</v>
      </c>
      <c r="AX464" s="117" t="n">
        <v>3</v>
      </c>
    </row>
    <row r="465" customFormat="false" ht="13.8" hidden="true" customHeight="false" outlineLevel="0" collapsed="false">
      <c r="A465" s="117" t="n">
        <v>1000</v>
      </c>
      <c r="B465" s="117" t="s">
        <v>1962</v>
      </c>
      <c r="C465" s="117" t="n">
        <v>100020125</v>
      </c>
      <c r="E465" s="117" t="s">
        <v>1921</v>
      </c>
      <c r="F465" s="117" t="n">
        <v>1109</v>
      </c>
      <c r="G465" s="117" t="n">
        <v>2019</v>
      </c>
      <c r="H465" s="117" t="n">
        <v>2</v>
      </c>
      <c r="I465" s="118" t="n">
        <v>43611</v>
      </c>
      <c r="J465" s="118" t="n">
        <v>43611</v>
      </c>
      <c r="K465" s="119" t="n">
        <v>125936.2</v>
      </c>
      <c r="L465" s="128" t="n">
        <f aca="false">K465-Q465+T465</f>
        <v>125936.2</v>
      </c>
      <c r="M465" s="117" t="s">
        <v>149</v>
      </c>
      <c r="N465" s="117" t="n">
        <v>125936.2</v>
      </c>
      <c r="O465" s="117" t="s">
        <v>149</v>
      </c>
      <c r="P465" s="117" t="n">
        <v>0</v>
      </c>
      <c r="Q465" s="117" t="n">
        <v>0</v>
      </c>
      <c r="R465" s="117" t="n">
        <v>125936.2</v>
      </c>
      <c r="S465" s="117" t="n">
        <v>0</v>
      </c>
      <c r="T465" s="117" t="n">
        <v>0</v>
      </c>
      <c r="U465" s="117" t="n">
        <v>307259</v>
      </c>
      <c r="V465" s="117" t="s">
        <v>143</v>
      </c>
      <c r="X465" s="117" t="s">
        <v>1130</v>
      </c>
      <c r="Z465" s="117" t="n">
        <v>58619</v>
      </c>
      <c r="AB465" s="117" t="s">
        <v>2076</v>
      </c>
      <c r="AD465" s="117" t="n">
        <v>110000</v>
      </c>
      <c r="AE465" s="117" t="s">
        <v>1966</v>
      </c>
      <c r="AF465" s="117" t="n">
        <v>110000</v>
      </c>
      <c r="AG465" s="117" t="s">
        <v>1966</v>
      </c>
      <c r="AI465" s="117" t="n">
        <v>110000</v>
      </c>
      <c r="AJ465" s="117" t="s">
        <v>1966</v>
      </c>
      <c r="AK465" s="117" t="n">
        <v>0</v>
      </c>
      <c r="AL465" s="117" t="n">
        <v>4</v>
      </c>
      <c r="AM465" s="117" t="s">
        <v>161</v>
      </c>
      <c r="AP465" s="117" t="n">
        <v>100057906</v>
      </c>
      <c r="AQ465" s="118" t="n">
        <v>43677</v>
      </c>
      <c r="AR465" s="118" t="n">
        <v>43611</v>
      </c>
      <c r="AS465" s="117" t="n">
        <v>0.719733796296296</v>
      </c>
      <c r="AT465" s="117" t="n">
        <v>0</v>
      </c>
      <c r="AU465" s="117" t="n">
        <v>0</v>
      </c>
      <c r="AX465" s="117" t="n">
        <v>2</v>
      </c>
    </row>
    <row r="466" s="106" customFormat="true" ht="13.8" hidden="true" customHeight="false" outlineLevel="0" collapsed="false">
      <c r="A466" s="106" t="n">
        <v>1000</v>
      </c>
      <c r="B466" s="106" t="s">
        <v>1962</v>
      </c>
      <c r="C466" s="106" t="n">
        <v>102643</v>
      </c>
      <c r="D466" s="106" t="s">
        <v>2218</v>
      </c>
      <c r="E466" s="106" t="s">
        <v>1970</v>
      </c>
      <c r="F466" s="106" t="n">
        <v>1108</v>
      </c>
      <c r="G466" s="106" t="n">
        <v>2019</v>
      </c>
      <c r="H466" s="106" t="n">
        <v>3</v>
      </c>
      <c r="I466" s="129" t="n">
        <v>43619</v>
      </c>
      <c r="J466" s="129" t="n">
        <v>43619</v>
      </c>
      <c r="K466" s="107" t="n">
        <v>3211527.25</v>
      </c>
      <c r="L466" s="130" t="n">
        <f aca="false">K466-Q466+T466</f>
        <v>2721633.27</v>
      </c>
      <c r="M466" s="106" t="s">
        <v>149</v>
      </c>
      <c r="N466" s="106" t="n">
        <v>3211527.25</v>
      </c>
      <c r="O466" s="106" t="s">
        <v>149</v>
      </c>
      <c r="P466" s="106" t="n">
        <v>0</v>
      </c>
      <c r="Q466" s="107" t="n">
        <v>489893.98</v>
      </c>
      <c r="R466" s="106" t="n">
        <v>2721633.27</v>
      </c>
      <c r="S466" s="106" t="n">
        <v>0</v>
      </c>
      <c r="T466" s="106" t="n">
        <v>0</v>
      </c>
      <c r="U466" s="106" t="n">
        <v>312948</v>
      </c>
      <c r="V466" s="106" t="s">
        <v>1984</v>
      </c>
      <c r="Z466" s="106" t="n">
        <v>58874</v>
      </c>
      <c r="AB466" s="106" t="s">
        <v>2099</v>
      </c>
      <c r="AD466" s="106" t="n">
        <v>110000</v>
      </c>
      <c r="AE466" s="106" t="s">
        <v>1966</v>
      </c>
      <c r="AF466" s="106" t="n">
        <v>501005</v>
      </c>
      <c r="AG466" s="106" t="s">
        <v>2033</v>
      </c>
      <c r="AI466" s="106" t="n">
        <v>501005</v>
      </c>
      <c r="AJ466" s="106" t="s">
        <v>2033</v>
      </c>
      <c r="AK466" s="106" t="n">
        <v>0</v>
      </c>
      <c r="AL466" s="106" t="n">
        <v>1</v>
      </c>
      <c r="AM466" s="106" t="s">
        <v>161</v>
      </c>
      <c r="AP466" s="106" t="n">
        <v>100039106</v>
      </c>
      <c r="AQ466" s="129" t="n">
        <v>43644</v>
      </c>
      <c r="AR466" s="129" t="n">
        <v>43619</v>
      </c>
      <c r="AS466" s="106" t="n">
        <v>0.83412037037037</v>
      </c>
      <c r="AT466" s="106" t="n">
        <v>0</v>
      </c>
      <c r="AU466" s="106" t="n">
        <v>0</v>
      </c>
      <c r="AX466" s="106" t="n">
        <v>1</v>
      </c>
      <c r="ALU466" s="0"/>
      <c r="ALV466" s="0"/>
      <c r="ALW466" s="0"/>
      <c r="ALX466" s="0"/>
      <c r="ALY466" s="0"/>
      <c r="ALZ466" s="0"/>
      <c r="AMA466" s="0"/>
      <c r="AMB466" s="0"/>
      <c r="AMC466" s="0"/>
      <c r="AMD466" s="0"/>
      <c r="AME466" s="0"/>
      <c r="AMF466" s="0"/>
      <c r="AMG466" s="0"/>
      <c r="AMH466" s="0"/>
      <c r="AMI466" s="0"/>
      <c r="AMJ466" s="0"/>
    </row>
    <row r="467" customFormat="false" ht="13.8" hidden="true" customHeight="false" outlineLevel="0" collapsed="false">
      <c r="A467" s="117" t="n">
        <v>1000</v>
      </c>
      <c r="B467" s="117" t="s">
        <v>1962</v>
      </c>
      <c r="C467" s="117" t="n">
        <v>100050530</v>
      </c>
      <c r="E467" s="117" t="s">
        <v>1921</v>
      </c>
      <c r="F467" s="117" t="n">
        <v>1109</v>
      </c>
      <c r="G467" s="117" t="n">
        <v>2019</v>
      </c>
      <c r="H467" s="117" t="n">
        <v>3</v>
      </c>
      <c r="I467" s="118" t="n">
        <v>43646</v>
      </c>
      <c r="J467" s="118" t="n">
        <v>43646</v>
      </c>
      <c r="K467" s="119" t="n">
        <v>374</v>
      </c>
      <c r="L467" s="128" t="n">
        <f aca="false">K467-Q467+T467</f>
        <v>374</v>
      </c>
      <c r="M467" s="117" t="s">
        <v>149</v>
      </c>
      <c r="N467" s="117" t="n">
        <v>374</v>
      </c>
      <c r="O467" s="117" t="s">
        <v>149</v>
      </c>
      <c r="P467" s="117" t="n">
        <v>0</v>
      </c>
      <c r="Q467" s="117" t="n">
        <v>0</v>
      </c>
      <c r="R467" s="117" t="n">
        <v>374</v>
      </c>
      <c r="S467" s="117" t="n">
        <v>0</v>
      </c>
      <c r="T467" s="117" t="n">
        <v>0</v>
      </c>
      <c r="U467" s="117" t="n">
        <v>312193</v>
      </c>
      <c r="V467" s="117" t="s">
        <v>1963</v>
      </c>
      <c r="X467" s="117" t="s">
        <v>2269</v>
      </c>
      <c r="Z467" s="117" t="n">
        <v>55901</v>
      </c>
      <c r="AB467" s="117" t="s">
        <v>2235</v>
      </c>
      <c r="AD467" s="117" t="n">
        <v>110000</v>
      </c>
      <c r="AE467" s="117" t="s">
        <v>1966</v>
      </c>
      <c r="AF467" s="117" t="n">
        <v>110000</v>
      </c>
      <c r="AG467" s="117" t="s">
        <v>1966</v>
      </c>
      <c r="AI467" s="117" t="n">
        <v>110000</v>
      </c>
      <c r="AJ467" s="117" t="s">
        <v>1966</v>
      </c>
      <c r="AK467" s="117" t="n">
        <v>0</v>
      </c>
      <c r="AL467" s="117" t="n">
        <v>4</v>
      </c>
      <c r="AM467" s="117" t="s">
        <v>161</v>
      </c>
      <c r="AR467" s="118" t="n">
        <v>43647</v>
      </c>
      <c r="AS467" s="117" t="n">
        <v>0.639074074074074</v>
      </c>
      <c r="AT467" s="117" t="n">
        <v>0</v>
      </c>
      <c r="AU467" s="117" t="n">
        <v>0</v>
      </c>
      <c r="AX467" s="117" t="n">
        <v>1</v>
      </c>
    </row>
    <row r="468" customFormat="false" ht="13.8" hidden="true" customHeight="false" outlineLevel="0" collapsed="false">
      <c r="A468" s="117" t="n">
        <v>1000</v>
      </c>
      <c r="B468" s="117" t="s">
        <v>1962</v>
      </c>
      <c r="C468" s="117" t="n">
        <v>100005107</v>
      </c>
      <c r="E468" s="117" t="s">
        <v>1921</v>
      </c>
      <c r="F468" s="117" t="n">
        <v>1108</v>
      </c>
      <c r="G468" s="117" t="n">
        <v>2019</v>
      </c>
      <c r="H468" s="117" t="n">
        <v>1</v>
      </c>
      <c r="I468" s="118" t="n">
        <v>43585</v>
      </c>
      <c r="J468" s="118" t="n">
        <v>43585</v>
      </c>
      <c r="K468" s="119" t="n">
        <v>332796.58</v>
      </c>
      <c r="L468" s="128" t="n">
        <f aca="false">K468-Q468+T468</f>
        <v>332796.58</v>
      </c>
      <c r="M468" s="117" t="s">
        <v>149</v>
      </c>
      <c r="N468" s="117" t="n">
        <v>332796.58</v>
      </c>
      <c r="O468" s="117" t="s">
        <v>149</v>
      </c>
      <c r="P468" s="117" t="n">
        <v>0</v>
      </c>
      <c r="Q468" s="117" t="n">
        <v>0</v>
      </c>
      <c r="R468" s="117" t="n">
        <v>332796.58</v>
      </c>
      <c r="S468" s="117" t="n">
        <v>0</v>
      </c>
      <c r="T468" s="117" t="n">
        <v>0</v>
      </c>
      <c r="U468" s="117" t="n">
        <v>312193</v>
      </c>
      <c r="V468" s="117" t="s">
        <v>1963</v>
      </c>
      <c r="X468" s="117" t="s">
        <v>2270</v>
      </c>
      <c r="Z468" s="117" t="n">
        <v>2346</v>
      </c>
      <c r="AB468" s="117" t="s">
        <v>2031</v>
      </c>
      <c r="AD468" s="117" t="n">
        <v>110000</v>
      </c>
      <c r="AE468" s="117" t="s">
        <v>1966</v>
      </c>
      <c r="AF468" s="117" t="n">
        <v>110000</v>
      </c>
      <c r="AG468" s="117" t="s">
        <v>1966</v>
      </c>
      <c r="AI468" s="117" t="n">
        <v>110000</v>
      </c>
      <c r="AJ468" s="117" t="s">
        <v>1966</v>
      </c>
      <c r="AK468" s="117" t="n">
        <v>0</v>
      </c>
      <c r="AL468" s="117" t="n">
        <v>4</v>
      </c>
      <c r="AM468" s="117" t="s">
        <v>161</v>
      </c>
      <c r="AP468" s="117" t="n">
        <v>100022446</v>
      </c>
      <c r="AQ468" s="118" t="n">
        <v>43616</v>
      </c>
      <c r="AR468" s="118" t="n">
        <v>43586</v>
      </c>
      <c r="AS468" s="117" t="n">
        <v>0.427592592592593</v>
      </c>
      <c r="AT468" s="117" t="n">
        <v>0</v>
      </c>
      <c r="AU468" s="117" t="n">
        <v>0</v>
      </c>
      <c r="AX468" s="117" t="n">
        <v>5</v>
      </c>
    </row>
    <row r="469" customFormat="false" ht="13.8" hidden="true" customHeight="false" outlineLevel="0" collapsed="false">
      <c r="A469" s="117" t="n">
        <v>1000</v>
      </c>
      <c r="B469" s="117" t="s">
        <v>1962</v>
      </c>
      <c r="C469" s="117" t="n">
        <v>100005105</v>
      </c>
      <c r="E469" s="117" t="s">
        <v>1921</v>
      </c>
      <c r="F469" s="117" t="n">
        <v>1106</v>
      </c>
      <c r="G469" s="117" t="n">
        <v>2019</v>
      </c>
      <c r="H469" s="117" t="n">
        <v>1</v>
      </c>
      <c r="I469" s="118" t="n">
        <v>43585</v>
      </c>
      <c r="J469" s="118" t="n">
        <v>43585</v>
      </c>
      <c r="K469" s="119" t="n">
        <v>128799.24</v>
      </c>
      <c r="L469" s="128" t="n">
        <f aca="false">K469-Q469+T469</f>
        <v>128799.24</v>
      </c>
      <c r="M469" s="117" t="s">
        <v>149</v>
      </c>
      <c r="N469" s="117" t="n">
        <v>128799.24</v>
      </c>
      <c r="O469" s="117" t="s">
        <v>149</v>
      </c>
      <c r="P469" s="117" t="n">
        <v>0</v>
      </c>
      <c r="Q469" s="117" t="n">
        <v>0</v>
      </c>
      <c r="R469" s="117" t="n">
        <v>128799.24</v>
      </c>
      <c r="S469" s="117" t="n">
        <v>0</v>
      </c>
      <c r="T469" s="117" t="n">
        <v>0</v>
      </c>
      <c r="U469" s="117" t="n">
        <v>312193</v>
      </c>
      <c r="V469" s="117" t="s">
        <v>1963</v>
      </c>
      <c r="Z469" s="117" t="n">
        <v>100005105</v>
      </c>
      <c r="AD469" s="117" t="n">
        <v>310300</v>
      </c>
      <c r="AE469" s="117" t="s">
        <v>1969</v>
      </c>
      <c r="AF469" s="117" t="n">
        <v>110000</v>
      </c>
      <c r="AG469" s="117" t="s">
        <v>1966</v>
      </c>
      <c r="AI469" s="117" t="n">
        <v>110000</v>
      </c>
      <c r="AJ469" s="117" t="s">
        <v>1966</v>
      </c>
      <c r="AK469" s="117" t="n">
        <v>0</v>
      </c>
      <c r="AL469" s="117" t="n">
        <v>9</v>
      </c>
      <c r="AM469" s="117" t="s">
        <v>161</v>
      </c>
      <c r="AN469" s="117" t="s">
        <v>1978</v>
      </c>
      <c r="AP469" s="117" t="n">
        <v>100005105</v>
      </c>
      <c r="AQ469" s="118" t="n">
        <v>43585</v>
      </c>
      <c r="AR469" s="118" t="n">
        <v>43586</v>
      </c>
      <c r="AS469" s="117" t="n">
        <v>0.424085648148148</v>
      </c>
      <c r="AT469" s="117" t="n">
        <v>0</v>
      </c>
      <c r="AU469" s="117" t="n">
        <v>0</v>
      </c>
      <c r="AX469" s="117" t="n">
        <v>6</v>
      </c>
    </row>
    <row r="470" customFormat="false" ht="13.8" hidden="true" customHeight="false" outlineLevel="0" collapsed="false">
      <c r="A470" s="117" t="n">
        <v>1000</v>
      </c>
      <c r="B470" s="117" t="s">
        <v>1962</v>
      </c>
      <c r="C470" s="117" t="n">
        <v>100022446</v>
      </c>
      <c r="E470" s="117" t="s">
        <v>1921</v>
      </c>
      <c r="F470" s="117" t="n">
        <v>1108</v>
      </c>
      <c r="G470" s="117" t="n">
        <v>2019</v>
      </c>
      <c r="H470" s="117" t="n">
        <v>2</v>
      </c>
      <c r="I470" s="118" t="n">
        <v>43616</v>
      </c>
      <c r="J470" s="118" t="n">
        <v>43616</v>
      </c>
      <c r="K470" s="119" t="n">
        <v>-332796.58</v>
      </c>
      <c r="L470" s="128" t="n">
        <f aca="false">K470-Q470+T470</f>
        <v>-332796.58</v>
      </c>
      <c r="M470" s="117" t="s">
        <v>149</v>
      </c>
      <c r="N470" s="117" t="n">
        <v>-332796.58</v>
      </c>
      <c r="O470" s="117" t="s">
        <v>149</v>
      </c>
      <c r="P470" s="117" t="n">
        <v>0</v>
      </c>
      <c r="Q470" s="117" t="n">
        <v>0</v>
      </c>
      <c r="R470" s="117" t="n">
        <v>-332796.58</v>
      </c>
      <c r="S470" s="117" t="n">
        <v>0</v>
      </c>
      <c r="T470" s="117" t="n">
        <v>0</v>
      </c>
      <c r="U470" s="117" t="n">
        <v>312193</v>
      </c>
      <c r="V470" s="117" t="s">
        <v>1963</v>
      </c>
      <c r="Z470" s="117" t="n">
        <v>100022446</v>
      </c>
      <c r="AD470" s="117" t="n">
        <v>110000</v>
      </c>
      <c r="AE470" s="117" t="s">
        <v>1966</v>
      </c>
      <c r="AF470" s="117" t="n">
        <v>110000</v>
      </c>
      <c r="AG470" s="117" t="s">
        <v>1966</v>
      </c>
      <c r="AI470" s="117" t="n">
        <v>110000</v>
      </c>
      <c r="AJ470" s="117" t="s">
        <v>1966</v>
      </c>
      <c r="AK470" s="117" t="n">
        <v>0</v>
      </c>
      <c r="AL470" s="117" t="n">
        <v>17</v>
      </c>
      <c r="AM470" s="117" t="s">
        <v>225</v>
      </c>
      <c r="AP470" s="117" t="n">
        <v>100022446</v>
      </c>
      <c r="AQ470" s="118" t="n">
        <v>43616</v>
      </c>
      <c r="AR470" s="118" t="n">
        <v>43617</v>
      </c>
      <c r="AS470" s="117" t="n">
        <v>0.587256944444444</v>
      </c>
      <c r="AT470" s="117" t="n">
        <v>0</v>
      </c>
      <c r="AU470" s="117" t="n">
        <v>0</v>
      </c>
      <c r="AX470" s="117" t="n">
        <v>7</v>
      </c>
    </row>
    <row r="471" customFormat="false" ht="13.8" hidden="true" customHeight="false" outlineLevel="0" collapsed="false">
      <c r="A471" s="117" t="n">
        <v>1000</v>
      </c>
      <c r="B471" s="117" t="s">
        <v>1962</v>
      </c>
      <c r="C471" s="117" t="n">
        <v>100020142</v>
      </c>
      <c r="E471" s="117" t="s">
        <v>1921</v>
      </c>
      <c r="F471" s="117" t="n">
        <v>1109</v>
      </c>
      <c r="G471" s="117" t="n">
        <v>2019</v>
      </c>
      <c r="H471" s="117" t="n">
        <v>2</v>
      </c>
      <c r="I471" s="118" t="n">
        <v>43611</v>
      </c>
      <c r="J471" s="118" t="n">
        <v>43611</v>
      </c>
      <c r="K471" s="119" t="n">
        <v>-121118.98</v>
      </c>
      <c r="L471" s="128" t="n">
        <f aca="false">K471-Q471+T471</f>
        <v>-121118.98</v>
      </c>
      <c r="M471" s="117" t="s">
        <v>149</v>
      </c>
      <c r="N471" s="117" t="n">
        <v>-121118.98</v>
      </c>
      <c r="O471" s="117" t="s">
        <v>149</v>
      </c>
      <c r="P471" s="117" t="n">
        <v>0</v>
      </c>
      <c r="Q471" s="117" t="n">
        <v>0</v>
      </c>
      <c r="R471" s="117" t="n">
        <v>-121118.98</v>
      </c>
      <c r="S471" s="117" t="n">
        <v>0</v>
      </c>
      <c r="T471" s="117" t="n">
        <v>0</v>
      </c>
      <c r="U471" s="117" t="n">
        <v>312193</v>
      </c>
      <c r="V471" s="117" t="s">
        <v>1963</v>
      </c>
      <c r="Z471" s="117" t="n">
        <v>100020142</v>
      </c>
      <c r="AD471" s="117" t="n">
        <v>110000</v>
      </c>
      <c r="AE471" s="117" t="s">
        <v>1966</v>
      </c>
      <c r="AF471" s="117" t="n">
        <v>310300</v>
      </c>
      <c r="AG471" s="117" t="s">
        <v>1969</v>
      </c>
      <c r="AI471" s="117" t="n">
        <v>310300</v>
      </c>
      <c r="AJ471" s="117" t="s">
        <v>1969</v>
      </c>
      <c r="AK471" s="117" t="n">
        <v>0</v>
      </c>
      <c r="AL471" s="117" t="n">
        <v>17</v>
      </c>
      <c r="AM471" s="117" t="s">
        <v>225</v>
      </c>
      <c r="AP471" s="117" t="n">
        <v>100020142</v>
      </c>
      <c r="AQ471" s="118" t="n">
        <v>43611</v>
      </c>
      <c r="AR471" s="118" t="n">
        <v>43611</v>
      </c>
      <c r="AS471" s="117" t="n">
        <v>0.747233796296296</v>
      </c>
      <c r="AT471" s="117" t="n">
        <v>0</v>
      </c>
      <c r="AU471" s="117" t="n">
        <v>0</v>
      </c>
      <c r="AX471" s="117" t="n">
        <v>1</v>
      </c>
    </row>
    <row r="472" customFormat="false" ht="13.8" hidden="true" customHeight="false" outlineLevel="0" collapsed="false">
      <c r="A472" s="117" t="n">
        <v>1000</v>
      </c>
      <c r="B472" s="117" t="s">
        <v>1962</v>
      </c>
      <c r="C472" s="117" t="n">
        <v>100049039</v>
      </c>
      <c r="E472" s="117" t="s">
        <v>1921</v>
      </c>
      <c r="F472" s="117" t="n">
        <v>1101</v>
      </c>
      <c r="G472" s="117" t="n">
        <v>2019</v>
      </c>
      <c r="H472" s="117" t="n">
        <v>3</v>
      </c>
      <c r="I472" s="118" t="n">
        <v>43646</v>
      </c>
      <c r="J472" s="118" t="n">
        <v>43646</v>
      </c>
      <c r="K472" s="119" t="n">
        <v>1099759.75</v>
      </c>
      <c r="L472" s="128" t="n">
        <f aca="false">K472-Q472+T472</f>
        <v>1099759.75</v>
      </c>
      <c r="M472" s="117" t="s">
        <v>149</v>
      </c>
      <c r="N472" s="117" t="n">
        <v>1099759.75</v>
      </c>
      <c r="O472" s="117" t="s">
        <v>149</v>
      </c>
      <c r="P472" s="117" t="n">
        <v>0</v>
      </c>
      <c r="Q472" s="117" t="n">
        <v>0</v>
      </c>
      <c r="R472" s="117" t="n">
        <v>1099759.75</v>
      </c>
      <c r="S472" s="117" t="n">
        <v>0</v>
      </c>
      <c r="T472" s="117" t="n">
        <v>0</v>
      </c>
      <c r="U472" s="117" t="n">
        <v>318999</v>
      </c>
      <c r="V472" s="117" t="s">
        <v>143</v>
      </c>
      <c r="Z472" s="117" t="n">
        <v>100049039</v>
      </c>
      <c r="AD472" s="117" t="n">
        <v>310300</v>
      </c>
      <c r="AE472" s="117" t="s">
        <v>1969</v>
      </c>
      <c r="AF472" s="117" t="n">
        <v>110000</v>
      </c>
      <c r="AG472" s="117" t="s">
        <v>1966</v>
      </c>
      <c r="AI472" s="117" t="n">
        <v>110000</v>
      </c>
      <c r="AJ472" s="117" t="s">
        <v>1966</v>
      </c>
      <c r="AK472" s="117" t="n">
        <v>0</v>
      </c>
      <c r="AL472" s="117" t="n">
        <v>9</v>
      </c>
      <c r="AM472" s="117" t="s">
        <v>161</v>
      </c>
      <c r="AN472" s="117" t="s">
        <v>1978</v>
      </c>
      <c r="AP472" s="117" t="n">
        <v>100049039</v>
      </c>
      <c r="AQ472" s="118" t="n">
        <v>43646</v>
      </c>
      <c r="AR472" s="118" t="n">
        <v>43647</v>
      </c>
      <c r="AS472" s="117" t="n">
        <v>0.517731481481482</v>
      </c>
      <c r="AT472" s="117" t="n">
        <v>0</v>
      </c>
      <c r="AU472" s="117" t="n">
        <v>0</v>
      </c>
      <c r="AX472" s="117" t="n">
        <v>3</v>
      </c>
    </row>
    <row r="473" customFormat="false" ht="13.8" hidden="true" customHeight="false" outlineLevel="0" collapsed="false">
      <c r="A473" s="117" t="n">
        <v>1000</v>
      </c>
      <c r="B473" s="117" t="s">
        <v>1962</v>
      </c>
      <c r="C473" s="117" t="n">
        <v>100039983</v>
      </c>
      <c r="E473" s="117" t="s">
        <v>1921</v>
      </c>
      <c r="F473" s="117" t="n">
        <v>1108</v>
      </c>
      <c r="G473" s="117" t="n">
        <v>2019</v>
      </c>
      <c r="H473" s="117" t="n">
        <v>3</v>
      </c>
      <c r="I473" s="118" t="n">
        <v>43645</v>
      </c>
      <c r="J473" s="118" t="n">
        <v>43645</v>
      </c>
      <c r="K473" s="119" t="n">
        <v>1991084.25</v>
      </c>
      <c r="L473" s="128" t="n">
        <f aca="false">K473-Q473+T473</f>
        <v>1991084.25</v>
      </c>
      <c r="M473" s="117" t="s">
        <v>149</v>
      </c>
      <c r="N473" s="117" t="n">
        <v>1991084.25</v>
      </c>
      <c r="O473" s="117" t="s">
        <v>149</v>
      </c>
      <c r="P473" s="117" t="n">
        <v>0</v>
      </c>
      <c r="Q473" s="117" t="n">
        <v>0</v>
      </c>
      <c r="R473" s="117" t="n">
        <v>1991084.25</v>
      </c>
      <c r="S473" s="117" t="n">
        <v>0</v>
      </c>
      <c r="T473" s="117" t="n">
        <v>0</v>
      </c>
      <c r="U473" s="117" t="n">
        <v>318999</v>
      </c>
      <c r="V473" s="117" t="s">
        <v>143</v>
      </c>
      <c r="X473" s="117" t="s">
        <v>2271</v>
      </c>
      <c r="Z473" s="117" t="n">
        <v>100039983</v>
      </c>
      <c r="AD473" s="117" t="n">
        <v>110000</v>
      </c>
      <c r="AE473" s="117" t="s">
        <v>1966</v>
      </c>
      <c r="AF473" s="117" t="n">
        <v>110000</v>
      </c>
      <c r="AG473" s="117" t="s">
        <v>1966</v>
      </c>
      <c r="AI473" s="117" t="n">
        <v>110000</v>
      </c>
      <c r="AJ473" s="117" t="s">
        <v>1966</v>
      </c>
      <c r="AK473" s="117" t="n">
        <v>0</v>
      </c>
      <c r="AL473" s="117" t="n">
        <v>4</v>
      </c>
      <c r="AM473" s="117" t="s">
        <v>161</v>
      </c>
      <c r="AP473" s="117" t="n">
        <v>100082045</v>
      </c>
      <c r="AQ473" s="118" t="n">
        <v>43708</v>
      </c>
      <c r="AR473" s="118" t="n">
        <v>43646</v>
      </c>
      <c r="AS473" s="117" t="n">
        <v>0.430601851851852</v>
      </c>
      <c r="AT473" s="117" t="n">
        <v>0</v>
      </c>
      <c r="AU473" s="117" t="n">
        <v>0</v>
      </c>
      <c r="AX473" s="117" t="n">
        <v>3</v>
      </c>
    </row>
    <row r="474" s="106" customFormat="true" ht="13.8" hidden="true" customHeight="false" outlineLevel="0" collapsed="false">
      <c r="A474" s="106" t="n">
        <v>1000</v>
      </c>
      <c r="B474" s="106" t="s">
        <v>1962</v>
      </c>
      <c r="C474" s="106" t="n">
        <v>102711</v>
      </c>
      <c r="D474" s="106" t="s">
        <v>1150</v>
      </c>
      <c r="E474" s="106" t="s">
        <v>1970</v>
      </c>
      <c r="F474" s="106" t="n">
        <v>1108</v>
      </c>
      <c r="G474" s="106" t="n">
        <v>2019</v>
      </c>
      <c r="H474" s="106" t="n">
        <v>3</v>
      </c>
      <c r="I474" s="129" t="n">
        <v>43622</v>
      </c>
      <c r="J474" s="129" t="n">
        <v>43622</v>
      </c>
      <c r="K474" s="107" t="n">
        <v>941711.43</v>
      </c>
      <c r="L474" s="130" t="n">
        <f aca="false">K474-Q474+T474</f>
        <v>798060.57</v>
      </c>
      <c r="M474" s="106" t="s">
        <v>149</v>
      </c>
      <c r="N474" s="106" t="n">
        <v>941711.43</v>
      </c>
      <c r="O474" s="106" t="s">
        <v>149</v>
      </c>
      <c r="P474" s="106" t="n">
        <v>0</v>
      </c>
      <c r="Q474" s="107" t="n">
        <v>143650.86</v>
      </c>
      <c r="R474" s="106" t="n">
        <v>798060.57</v>
      </c>
      <c r="S474" s="106" t="n">
        <v>0</v>
      </c>
      <c r="T474" s="106" t="n">
        <v>0</v>
      </c>
      <c r="U474" s="106" t="n">
        <v>306263</v>
      </c>
      <c r="V474" s="106" t="s">
        <v>2006</v>
      </c>
      <c r="Z474" s="106" t="n">
        <v>58912</v>
      </c>
      <c r="AB474" s="106" t="s">
        <v>2070</v>
      </c>
      <c r="AD474" s="106" t="n">
        <v>110000</v>
      </c>
      <c r="AE474" s="106" t="s">
        <v>1966</v>
      </c>
      <c r="AF474" s="106" t="n">
        <v>501005</v>
      </c>
      <c r="AG474" s="106" t="s">
        <v>2033</v>
      </c>
      <c r="AI474" s="106" t="n">
        <v>501005</v>
      </c>
      <c r="AJ474" s="106" t="s">
        <v>2033</v>
      </c>
      <c r="AK474" s="106" t="n">
        <v>0</v>
      </c>
      <c r="AL474" s="106" t="n">
        <v>1</v>
      </c>
      <c r="AM474" s="106" t="s">
        <v>161</v>
      </c>
      <c r="AP474" s="106" t="n">
        <v>100048479</v>
      </c>
      <c r="AQ474" s="129" t="n">
        <v>43646</v>
      </c>
      <c r="AR474" s="129" t="n">
        <v>43622</v>
      </c>
      <c r="AS474" s="106" t="n">
        <v>0.474733796296296</v>
      </c>
      <c r="AT474" s="106" t="n">
        <v>0</v>
      </c>
      <c r="AU474" s="106" t="n">
        <v>0</v>
      </c>
      <c r="AX474" s="106" t="n">
        <v>1</v>
      </c>
      <c r="ALU474" s="0"/>
      <c r="ALV474" s="0"/>
      <c r="ALW474" s="0"/>
      <c r="ALX474" s="0"/>
      <c r="ALY474" s="0"/>
      <c r="ALZ474" s="0"/>
      <c r="AMA474" s="0"/>
      <c r="AMB474" s="0"/>
      <c r="AMC474" s="0"/>
      <c r="AMD474" s="0"/>
      <c r="AME474" s="0"/>
      <c r="AMF474" s="0"/>
      <c r="AMG474" s="0"/>
      <c r="AMH474" s="0"/>
      <c r="AMI474" s="0"/>
      <c r="AMJ474" s="0"/>
    </row>
    <row r="475" s="106" customFormat="true" ht="13.8" hidden="true" customHeight="false" outlineLevel="0" collapsed="false">
      <c r="A475" s="106" t="n">
        <v>1000</v>
      </c>
      <c r="B475" s="106" t="s">
        <v>1962</v>
      </c>
      <c r="C475" s="106" t="n">
        <v>101285</v>
      </c>
      <c r="D475" s="106" t="s">
        <v>1355</v>
      </c>
      <c r="E475" s="106" t="s">
        <v>1970</v>
      </c>
      <c r="F475" s="106" t="n">
        <v>1101</v>
      </c>
      <c r="G475" s="106" t="n">
        <v>2019</v>
      </c>
      <c r="H475" s="106" t="n">
        <v>2</v>
      </c>
      <c r="I475" s="129" t="n">
        <v>43589</v>
      </c>
      <c r="J475" s="129" t="n">
        <v>43589</v>
      </c>
      <c r="K475" s="107" t="n">
        <v>1538460.64</v>
      </c>
      <c r="L475" s="130" t="n">
        <f aca="false">K475-Q475+T475</f>
        <v>1303780.22</v>
      </c>
      <c r="M475" s="106" t="s">
        <v>149</v>
      </c>
      <c r="N475" s="106" t="n">
        <v>1538460.64</v>
      </c>
      <c r="O475" s="106" t="s">
        <v>149</v>
      </c>
      <c r="P475" s="106" t="n">
        <v>0</v>
      </c>
      <c r="Q475" s="107" t="n">
        <v>234680.42</v>
      </c>
      <c r="R475" s="106" t="n">
        <v>1303780.22</v>
      </c>
      <c r="S475" s="106" t="n">
        <v>0</v>
      </c>
      <c r="T475" s="106" t="n">
        <v>0</v>
      </c>
      <c r="U475" s="106" t="n">
        <v>318999</v>
      </c>
      <c r="V475" s="106" t="s">
        <v>143</v>
      </c>
      <c r="Z475" s="106" t="n">
        <v>101285</v>
      </c>
      <c r="AD475" s="106" t="n">
        <v>110000</v>
      </c>
      <c r="AE475" s="106" t="s">
        <v>1966</v>
      </c>
      <c r="AF475" s="106" t="n">
        <v>501040</v>
      </c>
      <c r="AG475" s="106" t="s">
        <v>2036</v>
      </c>
      <c r="AI475" s="106" t="n">
        <v>501040</v>
      </c>
      <c r="AJ475" s="106" t="s">
        <v>2036</v>
      </c>
      <c r="AK475" s="106" t="n">
        <v>0</v>
      </c>
      <c r="AL475" s="106" t="n">
        <v>1</v>
      </c>
      <c r="AM475" s="106" t="s">
        <v>161</v>
      </c>
      <c r="AP475" s="106" t="n">
        <v>100022980</v>
      </c>
      <c r="AQ475" s="129" t="n">
        <v>43616</v>
      </c>
      <c r="AR475" s="129" t="n">
        <v>43589</v>
      </c>
      <c r="AS475" s="106" t="n">
        <v>0.619409722222222</v>
      </c>
      <c r="AT475" s="106" t="n">
        <v>0</v>
      </c>
      <c r="AU475" s="106" t="n">
        <v>0</v>
      </c>
      <c r="AX475" s="106" t="n">
        <v>1</v>
      </c>
      <c r="ALU475" s="0"/>
      <c r="ALV475" s="0"/>
      <c r="ALW475" s="0"/>
      <c r="ALX475" s="0"/>
      <c r="ALY475" s="0"/>
      <c r="ALZ475" s="0"/>
      <c r="AMA475" s="0"/>
      <c r="AMB475" s="0"/>
      <c r="AMC475" s="0"/>
      <c r="AMD475" s="0"/>
      <c r="AME475" s="0"/>
      <c r="AMF475" s="0"/>
      <c r="AMG475" s="0"/>
      <c r="AMH475" s="0"/>
      <c r="AMI475" s="0"/>
      <c r="AMJ475" s="0"/>
    </row>
    <row r="476" customFormat="false" ht="13.8" hidden="true" customHeight="false" outlineLevel="0" collapsed="false">
      <c r="A476" s="117" t="n">
        <v>1000</v>
      </c>
      <c r="B476" s="117" t="s">
        <v>1962</v>
      </c>
      <c r="C476" s="117" t="n">
        <v>100039079</v>
      </c>
      <c r="E476" s="117" t="s">
        <v>1921</v>
      </c>
      <c r="F476" s="117" t="n">
        <v>1108</v>
      </c>
      <c r="G476" s="117" t="n">
        <v>2019</v>
      </c>
      <c r="H476" s="117" t="n">
        <v>3</v>
      </c>
      <c r="I476" s="118" t="n">
        <v>43644</v>
      </c>
      <c r="J476" s="118" t="n">
        <v>43644</v>
      </c>
      <c r="K476" s="119" t="n">
        <v>195.62</v>
      </c>
      <c r="L476" s="128" t="n">
        <f aca="false">K476-Q476+T476</f>
        <v>195.62</v>
      </c>
      <c r="M476" s="117" t="s">
        <v>149</v>
      </c>
      <c r="N476" s="117" t="n">
        <v>195.62</v>
      </c>
      <c r="O476" s="117" t="s">
        <v>149</v>
      </c>
      <c r="P476" s="117" t="n">
        <v>0</v>
      </c>
      <c r="Q476" s="117" t="n">
        <v>0</v>
      </c>
      <c r="R476" s="117" t="n">
        <v>195.62</v>
      </c>
      <c r="S476" s="117" t="n">
        <v>0</v>
      </c>
      <c r="T476" s="117" t="n">
        <v>0</v>
      </c>
      <c r="U476" s="117" t="n">
        <v>306263</v>
      </c>
      <c r="V476" s="117" t="s">
        <v>2006</v>
      </c>
      <c r="X476" s="117" t="s">
        <v>1534</v>
      </c>
      <c r="Z476" s="117" t="n">
        <v>57783</v>
      </c>
      <c r="AB476" s="117" t="s">
        <v>2247</v>
      </c>
      <c r="AD476" s="117" t="n">
        <v>110000</v>
      </c>
      <c r="AE476" s="117" t="s">
        <v>1966</v>
      </c>
      <c r="AF476" s="117" t="n">
        <v>110000</v>
      </c>
      <c r="AG476" s="117" t="s">
        <v>1966</v>
      </c>
      <c r="AI476" s="117" t="n">
        <v>110000</v>
      </c>
      <c r="AJ476" s="117" t="s">
        <v>1966</v>
      </c>
      <c r="AK476" s="117" t="n">
        <v>0</v>
      </c>
      <c r="AL476" s="117" t="n">
        <v>4</v>
      </c>
      <c r="AM476" s="117" t="s">
        <v>161</v>
      </c>
      <c r="AP476" s="117" t="n">
        <v>100048886</v>
      </c>
      <c r="AQ476" s="118" t="n">
        <v>43646</v>
      </c>
      <c r="AR476" s="118" t="n">
        <v>43644</v>
      </c>
      <c r="AS476" s="117" t="n">
        <v>0.177060185185185</v>
      </c>
      <c r="AT476" s="117" t="n">
        <v>0</v>
      </c>
      <c r="AU476" s="117" t="n">
        <v>0</v>
      </c>
      <c r="AX476" s="117" t="n">
        <v>1</v>
      </c>
    </row>
    <row r="477" s="106" customFormat="true" ht="13.8" hidden="true" customHeight="false" outlineLevel="0" collapsed="false">
      <c r="A477" s="106" t="n">
        <v>1000</v>
      </c>
      <c r="B477" s="106" t="s">
        <v>1962</v>
      </c>
      <c r="C477" s="106" t="n">
        <v>101575</v>
      </c>
      <c r="D477" s="106" t="s">
        <v>1211</v>
      </c>
      <c r="E477" s="106" t="s">
        <v>1970</v>
      </c>
      <c r="F477" s="106" t="n">
        <v>1101</v>
      </c>
      <c r="G477" s="106" t="n">
        <v>2019</v>
      </c>
      <c r="H477" s="106" t="n">
        <v>2</v>
      </c>
      <c r="I477" s="129" t="n">
        <v>43599</v>
      </c>
      <c r="J477" s="129" t="n">
        <v>43599</v>
      </c>
      <c r="K477" s="107" t="n">
        <v>1582164.28</v>
      </c>
      <c r="L477" s="130" t="n">
        <f aca="false">K477-Q477+T477</f>
        <v>1340817.18</v>
      </c>
      <c r="M477" s="106" t="s">
        <v>149</v>
      </c>
      <c r="N477" s="106" t="n">
        <v>1582164.28</v>
      </c>
      <c r="O477" s="106" t="s">
        <v>149</v>
      </c>
      <c r="P477" s="106" t="n">
        <v>0</v>
      </c>
      <c r="Q477" s="107" t="n">
        <v>241347.1</v>
      </c>
      <c r="R477" s="106" t="n">
        <v>1340817.18</v>
      </c>
      <c r="S477" s="106" t="n">
        <v>0</v>
      </c>
      <c r="T477" s="106" t="n">
        <v>0</v>
      </c>
      <c r="U477" s="106" t="n">
        <v>318999</v>
      </c>
      <c r="V477" s="106" t="s">
        <v>143</v>
      </c>
      <c r="Z477" s="106" t="n">
        <v>101575</v>
      </c>
      <c r="AD477" s="106" t="n">
        <v>110000</v>
      </c>
      <c r="AE477" s="106" t="s">
        <v>1966</v>
      </c>
      <c r="AF477" s="106" t="n">
        <v>501040</v>
      </c>
      <c r="AG477" s="106" t="s">
        <v>2036</v>
      </c>
      <c r="AI477" s="106" t="n">
        <v>501040</v>
      </c>
      <c r="AJ477" s="106" t="s">
        <v>2036</v>
      </c>
      <c r="AK477" s="106" t="n">
        <v>0</v>
      </c>
      <c r="AL477" s="106" t="n">
        <v>1</v>
      </c>
      <c r="AM477" s="106" t="s">
        <v>161</v>
      </c>
      <c r="AP477" s="106" t="n">
        <v>100022980</v>
      </c>
      <c r="AQ477" s="129" t="n">
        <v>43616</v>
      </c>
      <c r="AR477" s="129" t="n">
        <v>43599</v>
      </c>
      <c r="AS477" s="106" t="n">
        <v>0.460416666666667</v>
      </c>
      <c r="AT477" s="106" t="n">
        <v>0</v>
      </c>
      <c r="AU477" s="106" t="n">
        <v>0</v>
      </c>
      <c r="AX477" s="106" t="n">
        <v>1</v>
      </c>
      <c r="ALU477" s="0"/>
      <c r="ALV477" s="0"/>
      <c r="ALW477" s="0"/>
      <c r="ALX477" s="0"/>
      <c r="ALY477" s="0"/>
      <c r="ALZ477" s="0"/>
      <c r="AMA477" s="0"/>
      <c r="AMB477" s="0"/>
      <c r="AMC477" s="0"/>
      <c r="AMD477" s="0"/>
      <c r="AME477" s="0"/>
      <c r="AMF477" s="0"/>
      <c r="AMG477" s="0"/>
      <c r="AMH477" s="0"/>
      <c r="AMI477" s="0"/>
      <c r="AMJ477" s="0"/>
    </row>
    <row r="478" customFormat="false" ht="13.8" hidden="true" customHeight="false" outlineLevel="0" collapsed="false">
      <c r="A478" s="117" t="n">
        <v>1000</v>
      </c>
      <c r="B478" s="117" t="s">
        <v>1962</v>
      </c>
      <c r="C478" s="117" t="n">
        <v>100039983</v>
      </c>
      <c r="E478" s="117" t="s">
        <v>1921</v>
      </c>
      <c r="F478" s="117" t="n">
        <v>1101</v>
      </c>
      <c r="G478" s="117" t="n">
        <v>2019</v>
      </c>
      <c r="H478" s="117" t="n">
        <v>3</v>
      </c>
      <c r="I478" s="118" t="n">
        <v>43645</v>
      </c>
      <c r="J478" s="118" t="n">
        <v>43645</v>
      </c>
      <c r="K478" s="119" t="n">
        <v>6857990.1</v>
      </c>
      <c r="L478" s="128" t="n">
        <f aca="false">K478-Q478+T478</f>
        <v>6857990.1</v>
      </c>
      <c r="M478" s="117" t="s">
        <v>149</v>
      </c>
      <c r="N478" s="117" t="n">
        <v>6857990.1</v>
      </c>
      <c r="O478" s="117" t="s">
        <v>149</v>
      </c>
      <c r="P478" s="117" t="n">
        <v>0</v>
      </c>
      <c r="Q478" s="117" t="n">
        <v>0</v>
      </c>
      <c r="R478" s="117" t="n">
        <v>6857990.1</v>
      </c>
      <c r="S478" s="117" t="n">
        <v>0</v>
      </c>
      <c r="T478" s="117" t="n">
        <v>0</v>
      </c>
      <c r="U478" s="117" t="n">
        <v>318999</v>
      </c>
      <c r="V478" s="117" t="s">
        <v>143</v>
      </c>
      <c r="Z478" s="117" t="n">
        <v>100039983</v>
      </c>
      <c r="AD478" s="117" t="n">
        <v>111105</v>
      </c>
      <c r="AE478" s="117" t="s">
        <v>1994</v>
      </c>
      <c r="AF478" s="117" t="n">
        <v>110000</v>
      </c>
      <c r="AG478" s="117" t="s">
        <v>1966</v>
      </c>
      <c r="AI478" s="117" t="n">
        <v>110000</v>
      </c>
      <c r="AJ478" s="117" t="s">
        <v>1966</v>
      </c>
      <c r="AK478" s="117" t="n">
        <v>0</v>
      </c>
      <c r="AL478" s="117" t="n">
        <v>9</v>
      </c>
      <c r="AM478" s="117" t="s">
        <v>161</v>
      </c>
      <c r="AN478" s="117" t="s">
        <v>1995</v>
      </c>
      <c r="AP478" s="117" t="n">
        <v>100057912</v>
      </c>
      <c r="AQ478" s="118" t="n">
        <v>43677</v>
      </c>
      <c r="AR478" s="118" t="n">
        <v>43646</v>
      </c>
      <c r="AS478" s="117" t="n">
        <v>0.430601851851852</v>
      </c>
      <c r="AT478" s="117" t="n">
        <v>0</v>
      </c>
      <c r="AU478" s="117" t="n">
        <v>0</v>
      </c>
      <c r="AX478" s="117" t="n">
        <v>16</v>
      </c>
    </row>
    <row r="479" customFormat="false" ht="13.8" hidden="true" customHeight="false" outlineLevel="0" collapsed="false">
      <c r="A479" s="117" t="n">
        <v>1000</v>
      </c>
      <c r="B479" s="117" t="s">
        <v>1962</v>
      </c>
      <c r="C479" s="117" t="n">
        <v>100022980</v>
      </c>
      <c r="E479" s="117" t="s">
        <v>1921</v>
      </c>
      <c r="F479" s="117" t="n">
        <v>1101</v>
      </c>
      <c r="G479" s="117" t="n">
        <v>2019</v>
      </c>
      <c r="H479" s="117" t="n">
        <v>2</v>
      </c>
      <c r="I479" s="118" t="n">
        <v>43616</v>
      </c>
      <c r="J479" s="118" t="n">
        <v>43616</v>
      </c>
      <c r="K479" s="119" t="n">
        <v>260657.66</v>
      </c>
      <c r="L479" s="128" t="n">
        <f aca="false">K479-Q479+T479</f>
        <v>260657.66</v>
      </c>
      <c r="M479" s="117" t="s">
        <v>149</v>
      </c>
      <c r="N479" s="117" t="n">
        <v>260657.66</v>
      </c>
      <c r="O479" s="117" t="s">
        <v>149</v>
      </c>
      <c r="P479" s="117" t="n">
        <v>0</v>
      </c>
      <c r="Q479" s="117" t="n">
        <v>0</v>
      </c>
      <c r="R479" s="117" t="n">
        <v>260657.66</v>
      </c>
      <c r="S479" s="117" t="n">
        <v>0</v>
      </c>
      <c r="T479" s="117" t="n">
        <v>0</v>
      </c>
      <c r="U479" s="117" t="n">
        <v>318999</v>
      </c>
      <c r="V479" s="117" t="s">
        <v>143</v>
      </c>
      <c r="X479" s="117" t="s">
        <v>1256</v>
      </c>
      <c r="Z479" s="117" t="n">
        <v>100022980</v>
      </c>
      <c r="AD479" s="117" t="n">
        <v>110000</v>
      </c>
      <c r="AE479" s="117" t="s">
        <v>1966</v>
      </c>
      <c r="AF479" s="117" t="n">
        <v>110000</v>
      </c>
      <c r="AG479" s="117" t="s">
        <v>1966</v>
      </c>
      <c r="AI479" s="117" t="n">
        <v>110000</v>
      </c>
      <c r="AJ479" s="117" t="s">
        <v>1966</v>
      </c>
      <c r="AK479" s="117" t="n">
        <v>0</v>
      </c>
      <c r="AL479" s="117" t="n">
        <v>4</v>
      </c>
      <c r="AM479" s="117" t="s">
        <v>161</v>
      </c>
      <c r="AP479" s="117" t="n">
        <v>100039982</v>
      </c>
      <c r="AQ479" s="118" t="n">
        <v>43645</v>
      </c>
      <c r="AR479" s="118" t="n">
        <v>43618</v>
      </c>
      <c r="AS479" s="117" t="n">
        <v>0.614305555555556</v>
      </c>
      <c r="AT479" s="117" t="n">
        <v>0</v>
      </c>
      <c r="AU479" s="117" t="n">
        <v>0</v>
      </c>
      <c r="AX479" s="117" t="n">
        <v>9</v>
      </c>
    </row>
    <row r="480" customFormat="false" ht="13.8" hidden="true" customHeight="false" outlineLevel="0" collapsed="false">
      <c r="A480" s="117" t="n">
        <v>1000</v>
      </c>
      <c r="B480" s="117" t="s">
        <v>1962</v>
      </c>
      <c r="C480" s="117" t="n">
        <v>1400002197</v>
      </c>
      <c r="E480" s="117" t="s">
        <v>1972</v>
      </c>
      <c r="F480" s="117" t="n">
        <v>1106</v>
      </c>
      <c r="G480" s="117" t="n">
        <v>2019</v>
      </c>
      <c r="H480" s="117" t="n">
        <v>2</v>
      </c>
      <c r="I480" s="118" t="n">
        <v>43614</v>
      </c>
      <c r="J480" s="118" t="n">
        <v>43614</v>
      </c>
      <c r="K480" s="119" t="n">
        <v>-59253.32</v>
      </c>
      <c r="L480" s="128" t="n">
        <f aca="false">K480-Q480+T480</f>
        <v>-59253.32</v>
      </c>
      <c r="M480" s="117" t="s">
        <v>149</v>
      </c>
      <c r="N480" s="117" t="n">
        <v>-59253.32</v>
      </c>
      <c r="O480" s="117" t="s">
        <v>149</v>
      </c>
      <c r="P480" s="117" t="n">
        <v>0</v>
      </c>
      <c r="Q480" s="117" t="n">
        <v>0</v>
      </c>
      <c r="R480" s="117" t="n">
        <v>-59253.32</v>
      </c>
      <c r="S480" s="117" t="n">
        <v>0</v>
      </c>
      <c r="T480" s="117" t="n">
        <v>0</v>
      </c>
      <c r="U480" s="117" t="n">
        <v>312193</v>
      </c>
      <c r="V480" s="117" t="s">
        <v>1963</v>
      </c>
      <c r="X480" s="117" t="s">
        <v>2272</v>
      </c>
      <c r="Y480" s="117" t="s">
        <v>2273</v>
      </c>
      <c r="Z480" s="117" t="n">
        <v>1400002197</v>
      </c>
      <c r="AC480" s="117" t="s">
        <v>1976</v>
      </c>
      <c r="AD480" s="117" t="n">
        <v>310300</v>
      </c>
      <c r="AE480" s="117" t="s">
        <v>1969</v>
      </c>
      <c r="AF480" s="117" t="n">
        <v>101105</v>
      </c>
      <c r="AG480" s="117" t="s">
        <v>1977</v>
      </c>
      <c r="AI480" s="117" t="n">
        <v>101105</v>
      </c>
      <c r="AJ480" s="117" t="s">
        <v>1977</v>
      </c>
      <c r="AK480" s="117" t="n">
        <v>0</v>
      </c>
      <c r="AL480" s="117" t="n">
        <v>19</v>
      </c>
      <c r="AM480" s="117" t="s">
        <v>225</v>
      </c>
      <c r="AN480" s="117" t="s">
        <v>1978</v>
      </c>
      <c r="AP480" s="117" t="n">
        <v>100022447</v>
      </c>
      <c r="AQ480" s="118" t="n">
        <v>43616</v>
      </c>
      <c r="AR480" s="118" t="n">
        <v>43616</v>
      </c>
      <c r="AS480" s="117" t="n">
        <v>0.484849537037037</v>
      </c>
      <c r="AT480" s="117" t="n">
        <v>0</v>
      </c>
      <c r="AU480" s="117" t="n">
        <v>0</v>
      </c>
      <c r="AX480" s="117" t="n">
        <v>2</v>
      </c>
    </row>
    <row r="481" customFormat="false" ht="13.8" hidden="true" customHeight="false" outlineLevel="0" collapsed="false">
      <c r="A481" s="117" t="n">
        <v>1000</v>
      </c>
      <c r="B481" s="117" t="s">
        <v>1962</v>
      </c>
      <c r="C481" s="117" t="n">
        <v>100022449</v>
      </c>
      <c r="E481" s="117" t="s">
        <v>1921</v>
      </c>
      <c r="F481" s="117" t="n">
        <v>1108</v>
      </c>
      <c r="G481" s="117" t="n">
        <v>2019</v>
      </c>
      <c r="H481" s="117" t="n">
        <v>2</v>
      </c>
      <c r="I481" s="118" t="n">
        <v>43616</v>
      </c>
      <c r="J481" s="118" t="n">
        <v>43616</v>
      </c>
      <c r="K481" s="119" t="n">
        <v>2903205.61</v>
      </c>
      <c r="L481" s="128" t="n">
        <f aca="false">K481-Q481+T481</f>
        <v>2903205.61</v>
      </c>
      <c r="M481" s="117" t="s">
        <v>149</v>
      </c>
      <c r="N481" s="117" t="n">
        <v>2903205.61</v>
      </c>
      <c r="O481" s="117" t="s">
        <v>149</v>
      </c>
      <c r="P481" s="117" t="n">
        <v>0</v>
      </c>
      <c r="Q481" s="117" t="n">
        <v>0</v>
      </c>
      <c r="R481" s="117" t="n">
        <v>2903205.61</v>
      </c>
      <c r="S481" s="117" t="n">
        <v>0</v>
      </c>
      <c r="T481" s="117" t="n">
        <v>0</v>
      </c>
      <c r="U481" s="117" t="n">
        <v>312193</v>
      </c>
      <c r="V481" s="117" t="s">
        <v>1963</v>
      </c>
      <c r="X481" s="117" t="s">
        <v>2239</v>
      </c>
      <c r="Z481" s="117" t="n">
        <v>1808</v>
      </c>
      <c r="AB481" s="117" t="n">
        <v>3800010617</v>
      </c>
      <c r="AD481" s="117" t="n">
        <v>110000</v>
      </c>
      <c r="AE481" s="117" t="s">
        <v>1966</v>
      </c>
      <c r="AF481" s="117" t="n">
        <v>110000</v>
      </c>
      <c r="AG481" s="117" t="s">
        <v>1966</v>
      </c>
      <c r="AI481" s="117" t="n">
        <v>110000</v>
      </c>
      <c r="AJ481" s="117" t="s">
        <v>1966</v>
      </c>
      <c r="AK481" s="117" t="n">
        <v>0</v>
      </c>
      <c r="AL481" s="117" t="n">
        <v>4</v>
      </c>
      <c r="AM481" s="117" t="s">
        <v>161</v>
      </c>
      <c r="AR481" s="118" t="n">
        <v>43617</v>
      </c>
      <c r="AS481" s="117" t="n">
        <v>0.594490740740741</v>
      </c>
      <c r="AT481" s="117" t="n">
        <v>0</v>
      </c>
      <c r="AU481" s="117" t="n">
        <v>0</v>
      </c>
      <c r="AX481" s="117" t="n">
        <v>2</v>
      </c>
    </row>
    <row r="482" customFormat="false" ht="13.8" hidden="true" customHeight="false" outlineLevel="0" collapsed="false">
      <c r="A482" s="117" t="n">
        <v>1000</v>
      </c>
      <c r="B482" s="117" t="s">
        <v>1962</v>
      </c>
      <c r="C482" s="117" t="n">
        <v>100004403</v>
      </c>
      <c r="E482" s="117" t="s">
        <v>1921</v>
      </c>
      <c r="F482" s="117" t="n">
        <v>1109</v>
      </c>
      <c r="G482" s="117" t="n">
        <v>2019</v>
      </c>
      <c r="H482" s="117" t="n">
        <v>1</v>
      </c>
      <c r="I482" s="118" t="n">
        <v>43583</v>
      </c>
      <c r="J482" s="118" t="n">
        <v>43583</v>
      </c>
      <c r="K482" s="119" t="n">
        <v>187065.11</v>
      </c>
      <c r="L482" s="128" t="n">
        <f aca="false">K482-Q482+T482</f>
        <v>187065.11</v>
      </c>
      <c r="M482" s="117" t="s">
        <v>149</v>
      </c>
      <c r="N482" s="117" t="n">
        <v>187065.11</v>
      </c>
      <c r="O482" s="117" t="s">
        <v>149</v>
      </c>
      <c r="P482" s="117" t="n">
        <v>0</v>
      </c>
      <c r="Q482" s="117" t="n">
        <v>0</v>
      </c>
      <c r="R482" s="117" t="n">
        <v>187065.11</v>
      </c>
      <c r="S482" s="117" t="n">
        <v>0</v>
      </c>
      <c r="T482" s="117" t="n">
        <v>0</v>
      </c>
      <c r="U482" s="117" t="n">
        <v>318420</v>
      </c>
      <c r="V482" s="117" t="s">
        <v>2153</v>
      </c>
      <c r="X482" s="117" t="s">
        <v>1403</v>
      </c>
      <c r="Z482" s="117" t="n">
        <v>2391</v>
      </c>
      <c r="AB482" s="117" t="s">
        <v>2228</v>
      </c>
      <c r="AD482" s="117" t="n">
        <v>110000</v>
      </c>
      <c r="AE482" s="117" t="s">
        <v>1966</v>
      </c>
      <c r="AF482" s="117" t="n">
        <v>110000</v>
      </c>
      <c r="AG482" s="117" t="s">
        <v>1966</v>
      </c>
      <c r="AI482" s="117" t="n">
        <v>110000</v>
      </c>
      <c r="AJ482" s="117" t="s">
        <v>1966</v>
      </c>
      <c r="AK482" s="117" t="n">
        <v>0</v>
      </c>
      <c r="AL482" s="117" t="n">
        <v>4</v>
      </c>
      <c r="AM482" s="117" t="s">
        <v>161</v>
      </c>
      <c r="AP482" s="117" t="n">
        <v>100048609</v>
      </c>
      <c r="AQ482" s="118" t="n">
        <v>43646</v>
      </c>
      <c r="AR482" s="118" t="n">
        <v>43583</v>
      </c>
      <c r="AS482" s="117" t="n">
        <v>0.662384259259259</v>
      </c>
      <c r="AT482" s="117" t="n">
        <v>0</v>
      </c>
      <c r="AU482" s="117" t="n">
        <v>0</v>
      </c>
      <c r="AX482" s="117" t="n">
        <v>1</v>
      </c>
    </row>
    <row r="483" customFormat="false" ht="13.8" hidden="true" customHeight="false" outlineLevel="0" collapsed="false">
      <c r="A483" s="117" t="n">
        <v>1000</v>
      </c>
      <c r="B483" s="117" t="s">
        <v>1962</v>
      </c>
      <c r="C483" s="117" t="n">
        <v>100039983</v>
      </c>
      <c r="E483" s="117" t="s">
        <v>1921</v>
      </c>
      <c r="F483" s="117" t="n">
        <v>1101</v>
      </c>
      <c r="G483" s="117" t="n">
        <v>2019</v>
      </c>
      <c r="H483" s="117" t="n">
        <v>3</v>
      </c>
      <c r="I483" s="118" t="n">
        <v>43645</v>
      </c>
      <c r="J483" s="118" t="n">
        <v>43645</v>
      </c>
      <c r="K483" s="119" t="n">
        <v>-10913883.53</v>
      </c>
      <c r="L483" s="128" t="n">
        <f aca="false">K483-Q483+T483</f>
        <v>-10913883.53</v>
      </c>
      <c r="M483" s="117" t="s">
        <v>149</v>
      </c>
      <c r="N483" s="117" t="n">
        <v>-10913883.53</v>
      </c>
      <c r="O483" s="117" t="s">
        <v>149</v>
      </c>
      <c r="P483" s="117" t="n">
        <v>0</v>
      </c>
      <c r="Q483" s="117" t="n">
        <v>0</v>
      </c>
      <c r="R483" s="117" t="n">
        <v>-10913883.53</v>
      </c>
      <c r="S483" s="117" t="n">
        <v>0</v>
      </c>
      <c r="T483" s="117" t="n">
        <v>0</v>
      </c>
      <c r="U483" s="117" t="n">
        <v>318999</v>
      </c>
      <c r="V483" s="117" t="s">
        <v>143</v>
      </c>
      <c r="Z483" s="117" t="n">
        <v>100039983</v>
      </c>
      <c r="AD483" s="117" t="n">
        <v>110000</v>
      </c>
      <c r="AE483" s="117" t="s">
        <v>1966</v>
      </c>
      <c r="AF483" s="117" t="n">
        <v>110000</v>
      </c>
      <c r="AG483" s="117" t="s">
        <v>1966</v>
      </c>
      <c r="AI483" s="117" t="n">
        <v>110000</v>
      </c>
      <c r="AJ483" s="117" t="s">
        <v>1966</v>
      </c>
      <c r="AK483" s="117" t="n">
        <v>0</v>
      </c>
      <c r="AL483" s="117" t="n">
        <v>17</v>
      </c>
      <c r="AM483" s="117" t="s">
        <v>225</v>
      </c>
      <c r="AP483" s="117" t="n">
        <v>100039983</v>
      </c>
      <c r="AQ483" s="118" t="n">
        <v>43645</v>
      </c>
      <c r="AR483" s="118" t="n">
        <v>43646</v>
      </c>
      <c r="AS483" s="117" t="n">
        <v>0.430601851851852</v>
      </c>
      <c r="AT483" s="117" t="n">
        <v>0</v>
      </c>
      <c r="AU483" s="117" t="n">
        <v>0</v>
      </c>
      <c r="AX483" s="117" t="n">
        <v>17</v>
      </c>
    </row>
    <row r="484" customFormat="false" ht="13.8" hidden="true" customHeight="false" outlineLevel="0" collapsed="false">
      <c r="A484" s="117" t="n">
        <v>1000</v>
      </c>
      <c r="B484" s="117" t="s">
        <v>1962</v>
      </c>
      <c r="C484" s="117" t="n">
        <v>1600000066</v>
      </c>
      <c r="D484" s="117" t="s">
        <v>2172</v>
      </c>
      <c r="E484" s="117" t="s">
        <v>1987</v>
      </c>
      <c r="F484" s="117" t="n">
        <v>1106</v>
      </c>
      <c r="G484" s="117" t="n">
        <v>2019</v>
      </c>
      <c r="H484" s="117" t="n">
        <v>2</v>
      </c>
      <c r="I484" s="118" t="n">
        <v>43616</v>
      </c>
      <c r="J484" s="118" t="n">
        <v>43616</v>
      </c>
      <c r="K484" s="119" t="n">
        <v>-65457.11</v>
      </c>
      <c r="L484" s="128" t="n">
        <f aca="false">K484-Q484+T484</f>
        <v>-65457.11</v>
      </c>
      <c r="M484" s="117" t="s">
        <v>149</v>
      </c>
      <c r="N484" s="117" t="n">
        <v>-65457.11</v>
      </c>
      <c r="O484" s="117" t="s">
        <v>149</v>
      </c>
      <c r="P484" s="117" t="n">
        <v>-65457.11</v>
      </c>
      <c r="Q484" s="117" t="n">
        <v>0</v>
      </c>
      <c r="R484" s="117" t="n">
        <v>-65457.11</v>
      </c>
      <c r="S484" s="117" t="n">
        <v>0</v>
      </c>
      <c r="T484" s="117" t="n">
        <v>0</v>
      </c>
      <c r="U484" s="117" t="n">
        <v>318169</v>
      </c>
      <c r="V484" s="117" t="s">
        <v>2158</v>
      </c>
      <c r="X484" s="117" t="s">
        <v>2174</v>
      </c>
      <c r="Y484" s="117" t="s">
        <v>2174</v>
      </c>
      <c r="Z484" s="117" t="n">
        <v>1600000066</v>
      </c>
      <c r="AD484" s="117" t="n">
        <v>110000</v>
      </c>
      <c r="AE484" s="117" t="s">
        <v>1966</v>
      </c>
      <c r="AF484" s="117" t="n">
        <v>318169</v>
      </c>
      <c r="AG484" s="117" t="s">
        <v>2158</v>
      </c>
      <c r="AI484" s="117" t="n">
        <v>318169</v>
      </c>
      <c r="AJ484" s="131" t="s">
        <v>2158</v>
      </c>
      <c r="AK484" s="117" t="n">
        <v>0</v>
      </c>
      <c r="AL484" s="117" t="n">
        <v>14</v>
      </c>
      <c r="AM484" s="117" t="s">
        <v>225</v>
      </c>
      <c r="AP484" s="117" t="n">
        <v>100031503</v>
      </c>
      <c r="AQ484" s="118" t="n">
        <v>43616</v>
      </c>
      <c r="AR484" s="118" t="n">
        <v>43619</v>
      </c>
      <c r="AS484" s="117" t="n">
        <v>0.443287037037037</v>
      </c>
      <c r="AT484" s="117" t="n">
        <v>0</v>
      </c>
      <c r="AU484" s="117" t="n">
        <v>0</v>
      </c>
      <c r="AX484" s="117" t="n">
        <v>2</v>
      </c>
    </row>
    <row r="485" customFormat="false" ht="13.8" hidden="true" customHeight="false" outlineLevel="0" collapsed="false">
      <c r="A485" s="117" t="n">
        <v>1000</v>
      </c>
      <c r="B485" s="117" t="s">
        <v>1962</v>
      </c>
      <c r="C485" s="117" t="n">
        <v>100031512</v>
      </c>
      <c r="E485" s="117" t="s">
        <v>1921</v>
      </c>
      <c r="F485" s="117" t="n">
        <v>1108</v>
      </c>
      <c r="G485" s="117" t="n">
        <v>2019</v>
      </c>
      <c r="H485" s="117" t="n">
        <v>2</v>
      </c>
      <c r="I485" s="118" t="n">
        <v>43616</v>
      </c>
      <c r="J485" s="118" t="n">
        <v>43616</v>
      </c>
      <c r="K485" s="119" t="n">
        <v>-442577.57</v>
      </c>
      <c r="L485" s="128" t="n">
        <f aca="false">K485-Q485+T485</f>
        <v>-442577.57</v>
      </c>
      <c r="M485" s="117" t="s">
        <v>149</v>
      </c>
      <c r="N485" s="117" t="n">
        <v>-442577.57</v>
      </c>
      <c r="O485" s="117" t="s">
        <v>149</v>
      </c>
      <c r="P485" s="117" t="n">
        <v>0</v>
      </c>
      <c r="Q485" s="117" t="n">
        <v>0</v>
      </c>
      <c r="R485" s="117" t="n">
        <v>-442577.57</v>
      </c>
      <c r="S485" s="117" t="n">
        <v>0</v>
      </c>
      <c r="T485" s="117" t="n">
        <v>0</v>
      </c>
      <c r="U485" s="117" t="n">
        <v>314258</v>
      </c>
      <c r="V485" s="117" t="s">
        <v>143</v>
      </c>
      <c r="Z485" s="117" t="n">
        <v>100031512</v>
      </c>
      <c r="AD485" s="117" t="n">
        <v>110000</v>
      </c>
      <c r="AE485" s="117" t="s">
        <v>1966</v>
      </c>
      <c r="AF485" s="117" t="n">
        <v>110000</v>
      </c>
      <c r="AG485" s="117" t="s">
        <v>1966</v>
      </c>
      <c r="AI485" s="117" t="n">
        <v>110000</v>
      </c>
      <c r="AJ485" s="117" t="s">
        <v>1966</v>
      </c>
      <c r="AK485" s="117" t="n">
        <v>0</v>
      </c>
      <c r="AL485" s="117" t="n">
        <v>17</v>
      </c>
      <c r="AM485" s="117" t="s">
        <v>225</v>
      </c>
      <c r="AP485" s="117" t="n">
        <v>100031512</v>
      </c>
      <c r="AQ485" s="118" t="n">
        <v>43616</v>
      </c>
      <c r="AR485" s="118" t="n">
        <v>43619</v>
      </c>
      <c r="AS485" s="117" t="n">
        <v>0.465694444444444</v>
      </c>
      <c r="AT485" s="117" t="n">
        <v>0</v>
      </c>
      <c r="AU485" s="117" t="n">
        <v>0</v>
      </c>
      <c r="AX485" s="117" t="n">
        <v>4</v>
      </c>
    </row>
    <row r="486" customFormat="false" ht="13.8" hidden="true" customHeight="false" outlineLevel="0" collapsed="false">
      <c r="A486" s="117" t="n">
        <v>1000</v>
      </c>
      <c r="B486" s="117" t="s">
        <v>1962</v>
      </c>
      <c r="C486" s="117" t="n">
        <v>1600000123</v>
      </c>
      <c r="D486" s="117" t="s">
        <v>2172</v>
      </c>
      <c r="E486" s="117" t="s">
        <v>1987</v>
      </c>
      <c r="F486" s="117" t="n">
        <v>1101</v>
      </c>
      <c r="G486" s="117" t="n">
        <v>2019</v>
      </c>
      <c r="H486" s="117" t="n">
        <v>3</v>
      </c>
      <c r="I486" s="118" t="n">
        <v>43646</v>
      </c>
      <c r="J486" s="118" t="n">
        <v>43646</v>
      </c>
      <c r="K486" s="119" t="n">
        <v>197107.12</v>
      </c>
      <c r="L486" s="128" t="n">
        <f aca="false">K486-Q486+T486</f>
        <v>197107.12</v>
      </c>
      <c r="M486" s="117" t="s">
        <v>149</v>
      </c>
      <c r="N486" s="117" t="n">
        <v>197107.12</v>
      </c>
      <c r="O486" s="117" t="s">
        <v>149</v>
      </c>
      <c r="P486" s="117" t="n">
        <v>197107.12</v>
      </c>
      <c r="Q486" s="117" t="n">
        <v>0</v>
      </c>
      <c r="R486" s="117" t="n">
        <v>197107.12</v>
      </c>
      <c r="S486" s="117" t="n">
        <v>0</v>
      </c>
      <c r="T486" s="117" t="n">
        <v>0</v>
      </c>
      <c r="U486" s="117" t="n">
        <v>318999</v>
      </c>
      <c r="V486" s="117" t="s">
        <v>143</v>
      </c>
      <c r="X486" s="117" t="s">
        <v>1996</v>
      </c>
      <c r="Y486" s="117" t="s">
        <v>2195</v>
      </c>
      <c r="Z486" s="117" t="n">
        <v>1600000123</v>
      </c>
      <c r="AD486" s="117" t="n">
        <v>111105</v>
      </c>
      <c r="AE486" s="117" t="s">
        <v>1994</v>
      </c>
      <c r="AF486" s="117" t="n">
        <v>318999</v>
      </c>
      <c r="AG486" s="117" t="s">
        <v>143</v>
      </c>
      <c r="AI486" s="117" t="n">
        <v>318999</v>
      </c>
      <c r="AJ486" s="131" t="s">
        <v>143</v>
      </c>
      <c r="AK486" s="117" t="n">
        <v>0</v>
      </c>
      <c r="AL486" s="117" t="n">
        <v>9</v>
      </c>
      <c r="AM486" s="117" t="s">
        <v>161</v>
      </c>
      <c r="AN486" s="117" t="s">
        <v>1995</v>
      </c>
      <c r="AP486" s="117" t="n">
        <v>100057912</v>
      </c>
      <c r="AQ486" s="118" t="n">
        <v>43677</v>
      </c>
      <c r="AR486" s="118" t="n">
        <v>43647</v>
      </c>
      <c r="AS486" s="117" t="n">
        <v>0.707280092592593</v>
      </c>
      <c r="AT486" s="117" t="n">
        <v>0</v>
      </c>
      <c r="AU486" s="117" t="n">
        <v>0</v>
      </c>
      <c r="AX486" s="117" t="n">
        <v>1</v>
      </c>
    </row>
    <row r="487" customFormat="false" ht="13.8" hidden="true" customHeight="false" outlineLevel="0" collapsed="false">
      <c r="A487" s="117" t="n">
        <v>1000</v>
      </c>
      <c r="B487" s="117" t="s">
        <v>1962</v>
      </c>
      <c r="C487" s="117" t="n">
        <v>100039078</v>
      </c>
      <c r="E487" s="117" t="s">
        <v>1921</v>
      </c>
      <c r="F487" s="117" t="n">
        <v>1109</v>
      </c>
      <c r="G487" s="117" t="n">
        <v>2019</v>
      </c>
      <c r="H487" s="117" t="n">
        <v>3</v>
      </c>
      <c r="I487" s="118" t="n">
        <v>43644</v>
      </c>
      <c r="J487" s="118" t="n">
        <v>43644</v>
      </c>
      <c r="K487" s="119" t="n">
        <v>-774670</v>
      </c>
      <c r="L487" s="128" t="n">
        <f aca="false">K487-Q487+T487</f>
        <v>-774670</v>
      </c>
      <c r="M487" s="117" t="s">
        <v>149</v>
      </c>
      <c r="N487" s="117" t="n">
        <v>-774670</v>
      </c>
      <c r="O487" s="117" t="s">
        <v>149</v>
      </c>
      <c r="P487" s="117" t="n">
        <v>0</v>
      </c>
      <c r="Q487" s="117" t="n">
        <v>0</v>
      </c>
      <c r="R487" s="117" t="n">
        <v>-774670</v>
      </c>
      <c r="S487" s="117" t="n">
        <v>0</v>
      </c>
      <c r="T487" s="117" t="n">
        <v>0</v>
      </c>
      <c r="U487" s="117" t="n">
        <v>305576</v>
      </c>
      <c r="V487" s="117" t="s">
        <v>1973</v>
      </c>
      <c r="Z487" s="117" t="n">
        <v>100039078</v>
      </c>
      <c r="AD487" s="117" t="n">
        <v>110000</v>
      </c>
      <c r="AE487" s="117" t="s">
        <v>1966</v>
      </c>
      <c r="AF487" s="117" t="n">
        <v>110000</v>
      </c>
      <c r="AG487" s="117" t="s">
        <v>1966</v>
      </c>
      <c r="AI487" s="117" t="n">
        <v>110000</v>
      </c>
      <c r="AJ487" s="117" t="s">
        <v>1966</v>
      </c>
      <c r="AK487" s="117" t="n">
        <v>0</v>
      </c>
      <c r="AL487" s="117" t="n">
        <v>17</v>
      </c>
      <c r="AM487" s="117" t="s">
        <v>225</v>
      </c>
      <c r="AP487" s="117" t="n">
        <v>100039078</v>
      </c>
      <c r="AQ487" s="118" t="n">
        <v>43644</v>
      </c>
      <c r="AR487" s="118" t="n">
        <v>43644</v>
      </c>
      <c r="AS487" s="117" t="n">
        <v>0.176180555555556</v>
      </c>
      <c r="AT487" s="117" t="n">
        <v>0</v>
      </c>
      <c r="AU487" s="117" t="n">
        <v>0</v>
      </c>
      <c r="AX487" s="117" t="n">
        <v>2</v>
      </c>
    </row>
    <row r="488" customFormat="false" ht="13.8" hidden="true" customHeight="false" outlineLevel="0" collapsed="false">
      <c r="A488" s="117" t="n">
        <v>1000</v>
      </c>
      <c r="B488" s="117" t="s">
        <v>1962</v>
      </c>
      <c r="C488" s="117" t="n">
        <v>100004393</v>
      </c>
      <c r="E488" s="117" t="s">
        <v>1921</v>
      </c>
      <c r="F488" s="117" t="n">
        <v>1109</v>
      </c>
      <c r="G488" s="117" t="n">
        <v>2019</v>
      </c>
      <c r="H488" s="117" t="n">
        <v>1</v>
      </c>
      <c r="I488" s="118" t="n">
        <v>43583</v>
      </c>
      <c r="J488" s="118" t="n">
        <v>43583</v>
      </c>
      <c r="K488" s="119" t="n">
        <v>-392789.23</v>
      </c>
      <c r="L488" s="128" t="n">
        <f aca="false">K488-Q488+T488</f>
        <v>-392789.23</v>
      </c>
      <c r="M488" s="117" t="s">
        <v>149</v>
      </c>
      <c r="N488" s="117" t="n">
        <v>-392789.23</v>
      </c>
      <c r="O488" s="117" t="s">
        <v>149</v>
      </c>
      <c r="P488" s="117" t="n">
        <v>0</v>
      </c>
      <c r="Q488" s="117" t="n">
        <v>0</v>
      </c>
      <c r="R488" s="117" t="n">
        <v>-392789.23</v>
      </c>
      <c r="S488" s="117" t="n">
        <v>0</v>
      </c>
      <c r="T488" s="117" t="n">
        <v>0</v>
      </c>
      <c r="U488" s="117" t="n">
        <v>318169</v>
      </c>
      <c r="V488" s="117" t="s">
        <v>2158</v>
      </c>
      <c r="Z488" s="117" t="n">
        <v>100004393</v>
      </c>
      <c r="AD488" s="117" t="n">
        <v>110000</v>
      </c>
      <c r="AE488" s="117" t="s">
        <v>1966</v>
      </c>
      <c r="AF488" s="117" t="n">
        <v>110000</v>
      </c>
      <c r="AG488" s="117" t="s">
        <v>1966</v>
      </c>
      <c r="AI488" s="117" t="n">
        <v>110000</v>
      </c>
      <c r="AJ488" s="117" t="s">
        <v>1966</v>
      </c>
      <c r="AK488" s="117" t="n">
        <v>0</v>
      </c>
      <c r="AL488" s="117" t="n">
        <v>17</v>
      </c>
      <c r="AM488" s="117" t="s">
        <v>225</v>
      </c>
      <c r="AP488" s="117" t="n">
        <v>100004393</v>
      </c>
      <c r="AQ488" s="118" t="n">
        <v>43583</v>
      </c>
      <c r="AR488" s="118" t="n">
        <v>43583</v>
      </c>
      <c r="AS488" s="117" t="n">
        <v>0.622928240740741</v>
      </c>
      <c r="AT488" s="117" t="n">
        <v>0</v>
      </c>
      <c r="AU488" s="117" t="n">
        <v>0</v>
      </c>
      <c r="AX488" s="117" t="n">
        <v>3</v>
      </c>
    </row>
    <row r="489" customFormat="false" ht="13.8" hidden="true" customHeight="false" outlineLevel="0" collapsed="false">
      <c r="A489" s="117" t="n">
        <v>1000</v>
      </c>
      <c r="B489" s="117" t="s">
        <v>1962</v>
      </c>
      <c r="C489" s="117" t="n">
        <v>100022435</v>
      </c>
      <c r="E489" s="117" t="s">
        <v>1921</v>
      </c>
      <c r="F489" s="117" t="n">
        <v>1101</v>
      </c>
      <c r="G489" s="117" t="n">
        <v>2019</v>
      </c>
      <c r="H489" s="117" t="n">
        <v>2</v>
      </c>
      <c r="I489" s="118" t="n">
        <v>43616</v>
      </c>
      <c r="J489" s="118" t="n">
        <v>43616</v>
      </c>
      <c r="K489" s="119" t="n">
        <v>380288.89</v>
      </c>
      <c r="L489" s="128" t="n">
        <f aca="false">K489-Q489+T489</f>
        <v>380288.89</v>
      </c>
      <c r="M489" s="117" t="s">
        <v>149</v>
      </c>
      <c r="N489" s="117" t="n">
        <v>380288.89</v>
      </c>
      <c r="O489" s="117" t="s">
        <v>149</v>
      </c>
      <c r="P489" s="117" t="n">
        <v>0</v>
      </c>
      <c r="Q489" s="117" t="n">
        <v>0</v>
      </c>
      <c r="R489" s="117" t="n">
        <v>380288.89</v>
      </c>
      <c r="S489" s="117" t="n">
        <v>0</v>
      </c>
      <c r="T489" s="117" t="n">
        <v>0</v>
      </c>
      <c r="U489" s="117" t="n">
        <v>312193</v>
      </c>
      <c r="V489" s="117" t="s">
        <v>1963</v>
      </c>
      <c r="Z489" s="117" t="n">
        <v>100022435</v>
      </c>
      <c r="AD489" s="117" t="n">
        <v>310300</v>
      </c>
      <c r="AE489" s="117" t="s">
        <v>1969</v>
      </c>
      <c r="AF489" s="117" t="n">
        <v>110000</v>
      </c>
      <c r="AG489" s="117" t="s">
        <v>1966</v>
      </c>
      <c r="AI489" s="117" t="n">
        <v>110000</v>
      </c>
      <c r="AJ489" s="117" t="s">
        <v>1966</v>
      </c>
      <c r="AK489" s="117" t="n">
        <v>0</v>
      </c>
      <c r="AL489" s="117" t="n">
        <v>9</v>
      </c>
      <c r="AM489" s="117" t="s">
        <v>161</v>
      </c>
      <c r="AN489" s="117" t="s">
        <v>1978</v>
      </c>
      <c r="AP489" s="117" t="n">
        <v>100022435</v>
      </c>
      <c r="AQ489" s="118" t="n">
        <v>43616</v>
      </c>
      <c r="AR489" s="118" t="n">
        <v>43617</v>
      </c>
      <c r="AS489" s="117" t="n">
        <v>0.582719907407407</v>
      </c>
      <c r="AT489" s="117" t="n">
        <v>0</v>
      </c>
      <c r="AU489" s="117" t="n">
        <v>0</v>
      </c>
      <c r="AX489" s="117" t="n">
        <v>4</v>
      </c>
    </row>
    <row r="490" customFormat="false" ht="13.8" hidden="true" customHeight="false" outlineLevel="0" collapsed="false">
      <c r="A490" s="117" t="n">
        <v>1000</v>
      </c>
      <c r="B490" s="117" t="s">
        <v>1962</v>
      </c>
      <c r="C490" s="117" t="n">
        <v>100039983</v>
      </c>
      <c r="E490" s="117" t="s">
        <v>1921</v>
      </c>
      <c r="F490" s="117" t="n">
        <v>1108</v>
      </c>
      <c r="G490" s="117" t="n">
        <v>2019</v>
      </c>
      <c r="H490" s="117" t="n">
        <v>3</v>
      </c>
      <c r="I490" s="118" t="n">
        <v>43645</v>
      </c>
      <c r="J490" s="118" t="n">
        <v>43645</v>
      </c>
      <c r="K490" s="119" t="n">
        <v>745236.98</v>
      </c>
      <c r="L490" s="128" t="n">
        <f aca="false">K490-Q490+T490</f>
        <v>745236.98</v>
      </c>
      <c r="M490" s="117" t="s">
        <v>149</v>
      </c>
      <c r="N490" s="117" t="n">
        <v>745236.98</v>
      </c>
      <c r="O490" s="117" t="s">
        <v>149</v>
      </c>
      <c r="P490" s="117" t="n">
        <v>0</v>
      </c>
      <c r="Q490" s="117" t="n">
        <v>0</v>
      </c>
      <c r="R490" s="117" t="n">
        <v>745236.98</v>
      </c>
      <c r="S490" s="117" t="n">
        <v>0</v>
      </c>
      <c r="T490" s="117" t="n">
        <v>0</v>
      </c>
      <c r="U490" s="117" t="n">
        <v>318999</v>
      </c>
      <c r="V490" s="117" t="s">
        <v>143</v>
      </c>
      <c r="X490" s="117" t="s">
        <v>2225</v>
      </c>
      <c r="Z490" s="117" t="n">
        <v>100039983</v>
      </c>
      <c r="AD490" s="117" t="n">
        <v>110000</v>
      </c>
      <c r="AE490" s="117" t="s">
        <v>1966</v>
      </c>
      <c r="AF490" s="117" t="n">
        <v>110000</v>
      </c>
      <c r="AG490" s="117" t="s">
        <v>1966</v>
      </c>
      <c r="AI490" s="117" t="n">
        <v>110000</v>
      </c>
      <c r="AJ490" s="117" t="s">
        <v>1966</v>
      </c>
      <c r="AK490" s="117" t="n">
        <v>0</v>
      </c>
      <c r="AL490" s="117" t="n">
        <v>4</v>
      </c>
      <c r="AM490" s="117" t="s">
        <v>161</v>
      </c>
      <c r="AP490" s="117" t="n">
        <v>100082045</v>
      </c>
      <c r="AQ490" s="118" t="n">
        <v>43708</v>
      </c>
      <c r="AR490" s="118" t="n">
        <v>43646</v>
      </c>
      <c r="AS490" s="117" t="n">
        <v>0.430601851851852</v>
      </c>
      <c r="AT490" s="117" t="n">
        <v>0</v>
      </c>
      <c r="AU490" s="117" t="n">
        <v>0</v>
      </c>
      <c r="AX490" s="117" t="n">
        <v>12</v>
      </c>
    </row>
    <row r="491" customFormat="false" ht="13.8" hidden="true" customHeight="false" outlineLevel="0" collapsed="false">
      <c r="A491" s="117" t="n">
        <v>1000</v>
      </c>
      <c r="B491" s="117" t="s">
        <v>1962</v>
      </c>
      <c r="C491" s="117" t="n">
        <v>100031512</v>
      </c>
      <c r="E491" s="117" t="s">
        <v>1921</v>
      </c>
      <c r="F491" s="117" t="n">
        <v>1101</v>
      </c>
      <c r="G491" s="117" t="n">
        <v>2019</v>
      </c>
      <c r="H491" s="117" t="n">
        <v>2</v>
      </c>
      <c r="I491" s="118" t="n">
        <v>43616</v>
      </c>
      <c r="J491" s="118" t="n">
        <v>43616</v>
      </c>
      <c r="K491" s="119" t="n">
        <v>391567.81</v>
      </c>
      <c r="L491" s="128" t="n">
        <f aca="false">K491-Q491+T491</f>
        <v>391567.81</v>
      </c>
      <c r="M491" s="117" t="s">
        <v>149</v>
      </c>
      <c r="N491" s="117" t="n">
        <v>391567.81</v>
      </c>
      <c r="O491" s="117" t="s">
        <v>149</v>
      </c>
      <c r="P491" s="117" t="n">
        <v>0</v>
      </c>
      <c r="Q491" s="117" t="n">
        <v>0</v>
      </c>
      <c r="R491" s="117" t="n">
        <v>391567.81</v>
      </c>
      <c r="S491" s="117" t="n">
        <v>0</v>
      </c>
      <c r="T491" s="117" t="n">
        <v>0</v>
      </c>
      <c r="U491" s="117" t="n">
        <v>314258</v>
      </c>
      <c r="V491" s="117" t="s">
        <v>143</v>
      </c>
      <c r="Z491" s="117" t="n">
        <v>100031512</v>
      </c>
      <c r="AD491" s="117" t="n">
        <v>310300</v>
      </c>
      <c r="AE491" s="117" t="s">
        <v>1969</v>
      </c>
      <c r="AF491" s="117" t="n">
        <v>110000</v>
      </c>
      <c r="AG491" s="117" t="s">
        <v>1966</v>
      </c>
      <c r="AI491" s="117" t="n">
        <v>110000</v>
      </c>
      <c r="AJ491" s="117" t="s">
        <v>1966</v>
      </c>
      <c r="AK491" s="117" t="n">
        <v>0</v>
      </c>
      <c r="AL491" s="117" t="n">
        <v>9</v>
      </c>
      <c r="AM491" s="117" t="s">
        <v>161</v>
      </c>
      <c r="AN491" s="117" t="s">
        <v>1978</v>
      </c>
      <c r="AP491" s="117" t="n">
        <v>100031512</v>
      </c>
      <c r="AQ491" s="118" t="n">
        <v>43616</v>
      </c>
      <c r="AR491" s="118" t="n">
        <v>43619</v>
      </c>
      <c r="AS491" s="117" t="n">
        <v>0.465694444444444</v>
      </c>
      <c r="AT491" s="117" t="n">
        <v>0</v>
      </c>
      <c r="AU491" s="117" t="n">
        <v>0</v>
      </c>
      <c r="AX491" s="117" t="n">
        <v>6</v>
      </c>
    </row>
    <row r="492" customFormat="false" ht="13.8" hidden="true" customHeight="false" outlineLevel="0" collapsed="false">
      <c r="A492" s="117" t="n">
        <v>1000</v>
      </c>
      <c r="B492" s="117" t="s">
        <v>1962</v>
      </c>
      <c r="C492" s="117" t="n">
        <v>1600000101</v>
      </c>
      <c r="D492" s="117" t="s">
        <v>2175</v>
      </c>
      <c r="E492" s="117" t="s">
        <v>1987</v>
      </c>
      <c r="F492" s="117" t="n">
        <v>1101</v>
      </c>
      <c r="G492" s="117" t="n">
        <v>2019</v>
      </c>
      <c r="H492" s="117" t="n">
        <v>3</v>
      </c>
      <c r="I492" s="118" t="n">
        <v>43646</v>
      </c>
      <c r="J492" s="118" t="n">
        <v>43646</v>
      </c>
      <c r="K492" s="119" t="n">
        <v>-9353.26</v>
      </c>
      <c r="L492" s="128" t="n">
        <f aca="false">K492-Q492+T492</f>
        <v>-9353.26</v>
      </c>
      <c r="M492" s="117" t="s">
        <v>149</v>
      </c>
      <c r="N492" s="117" t="n">
        <v>-9353.26</v>
      </c>
      <c r="O492" s="117" t="s">
        <v>149</v>
      </c>
      <c r="P492" s="117" t="n">
        <v>-9353.26</v>
      </c>
      <c r="Q492" s="117" t="n">
        <v>0</v>
      </c>
      <c r="R492" s="117" t="n">
        <v>-9353.26</v>
      </c>
      <c r="S492" s="117" t="n">
        <v>0</v>
      </c>
      <c r="T492" s="117" t="n">
        <v>0</v>
      </c>
      <c r="U492" s="117" t="n">
        <v>318420</v>
      </c>
      <c r="V492" s="117" t="s">
        <v>2153</v>
      </c>
      <c r="X492" s="117" t="s">
        <v>2176</v>
      </c>
      <c r="Y492" s="117" t="s">
        <v>2176</v>
      </c>
      <c r="Z492" s="117" t="n">
        <v>1600000101</v>
      </c>
      <c r="AD492" s="117" t="n">
        <v>110000</v>
      </c>
      <c r="AE492" s="117" t="s">
        <v>1966</v>
      </c>
      <c r="AF492" s="117" t="n">
        <v>318420</v>
      </c>
      <c r="AG492" s="117" t="s">
        <v>2153</v>
      </c>
      <c r="AI492" s="117" t="n">
        <v>318420</v>
      </c>
      <c r="AJ492" s="131" t="s">
        <v>2153</v>
      </c>
      <c r="AK492" s="117" t="n">
        <v>0</v>
      </c>
      <c r="AL492" s="117" t="n">
        <v>14</v>
      </c>
      <c r="AM492" s="117" t="s">
        <v>225</v>
      </c>
      <c r="AP492" s="117" t="n">
        <v>100048609</v>
      </c>
      <c r="AQ492" s="118" t="n">
        <v>43646</v>
      </c>
      <c r="AR492" s="118" t="n">
        <v>43647</v>
      </c>
      <c r="AS492" s="117" t="n">
        <v>0.206956018518518</v>
      </c>
      <c r="AT492" s="117" t="n">
        <v>0</v>
      </c>
      <c r="AU492" s="117" t="n">
        <v>0</v>
      </c>
      <c r="AX492" s="117" t="n">
        <v>2</v>
      </c>
    </row>
    <row r="493" customFormat="false" ht="13.8" hidden="true" customHeight="false" outlineLevel="0" collapsed="false">
      <c r="A493" s="117" t="n">
        <v>1000</v>
      </c>
      <c r="B493" s="117" t="s">
        <v>1962</v>
      </c>
      <c r="C493" s="117" t="n">
        <v>100048476</v>
      </c>
      <c r="E493" s="117" t="s">
        <v>1921</v>
      </c>
      <c r="F493" s="117" t="n">
        <v>1106</v>
      </c>
      <c r="G493" s="117" t="n">
        <v>2019</v>
      </c>
      <c r="H493" s="117" t="n">
        <v>3</v>
      </c>
      <c r="I493" s="118" t="n">
        <v>43646</v>
      </c>
      <c r="J493" s="118" t="n">
        <v>43646</v>
      </c>
      <c r="K493" s="119" t="n">
        <v>-0.18</v>
      </c>
      <c r="L493" s="128" t="n">
        <f aca="false">K493-Q493+T493</f>
        <v>-0.18</v>
      </c>
      <c r="M493" s="117" t="s">
        <v>149</v>
      </c>
      <c r="N493" s="117" t="n">
        <v>-0.18</v>
      </c>
      <c r="O493" s="117" t="s">
        <v>149</v>
      </c>
      <c r="P493" s="117" t="n">
        <v>0</v>
      </c>
      <c r="Q493" s="117" t="n">
        <v>0</v>
      </c>
      <c r="R493" s="117" t="n">
        <v>-0.18</v>
      </c>
      <c r="S493" s="117" t="n">
        <v>0</v>
      </c>
      <c r="T493" s="117" t="n">
        <v>0</v>
      </c>
      <c r="U493" s="117" t="n">
        <v>304431</v>
      </c>
      <c r="V493" s="117" t="s">
        <v>2016</v>
      </c>
      <c r="Z493" s="117" t="n">
        <v>100048476</v>
      </c>
      <c r="AD493" s="117" t="n">
        <v>310300</v>
      </c>
      <c r="AE493" s="117" t="s">
        <v>1969</v>
      </c>
      <c r="AF493" s="117" t="n">
        <v>110000</v>
      </c>
      <c r="AG493" s="117" t="s">
        <v>1966</v>
      </c>
      <c r="AI493" s="117" t="n">
        <v>110000</v>
      </c>
      <c r="AJ493" s="117" t="s">
        <v>1966</v>
      </c>
      <c r="AK493" s="117" t="n">
        <v>0</v>
      </c>
      <c r="AL493" s="117" t="n">
        <v>19</v>
      </c>
      <c r="AM493" s="117" t="s">
        <v>225</v>
      </c>
      <c r="AN493" s="117" t="s">
        <v>1978</v>
      </c>
      <c r="AP493" s="117" t="n">
        <v>100143915</v>
      </c>
      <c r="AQ493" s="118" t="n">
        <v>43769</v>
      </c>
      <c r="AR493" s="118" t="n">
        <v>43647</v>
      </c>
      <c r="AS493" s="117" t="n">
        <v>0.165833333333333</v>
      </c>
      <c r="AT493" s="117" t="n">
        <v>0</v>
      </c>
      <c r="AU493" s="117" t="n">
        <v>0</v>
      </c>
      <c r="AX493" s="117" t="n">
        <v>1</v>
      </c>
    </row>
    <row r="494" customFormat="false" ht="13.8" hidden="true" customHeight="false" outlineLevel="0" collapsed="false">
      <c r="A494" s="117" t="n">
        <v>1000</v>
      </c>
      <c r="B494" s="117" t="s">
        <v>1962</v>
      </c>
      <c r="C494" s="117" t="n">
        <v>1400000195</v>
      </c>
      <c r="E494" s="117" t="s">
        <v>1972</v>
      </c>
      <c r="F494" s="117" t="n">
        <v>1106</v>
      </c>
      <c r="G494" s="117" t="n">
        <v>2019</v>
      </c>
      <c r="H494" s="117" t="n">
        <v>1</v>
      </c>
      <c r="I494" s="118" t="n">
        <v>43563</v>
      </c>
      <c r="J494" s="118" t="n">
        <v>43563</v>
      </c>
      <c r="K494" s="119" t="n">
        <v>-646758</v>
      </c>
      <c r="L494" s="128" t="n">
        <f aca="false">K494-Q494+T494</f>
        <v>-646758</v>
      </c>
      <c r="M494" s="117" t="s">
        <v>149</v>
      </c>
      <c r="N494" s="117" t="n">
        <v>-646758</v>
      </c>
      <c r="O494" s="117" t="s">
        <v>149</v>
      </c>
      <c r="P494" s="117" t="n">
        <v>0</v>
      </c>
      <c r="Q494" s="117" t="n">
        <v>0</v>
      </c>
      <c r="R494" s="117" t="n">
        <v>-646758</v>
      </c>
      <c r="S494" s="117" t="n">
        <v>0</v>
      </c>
      <c r="T494" s="117" t="n">
        <v>0</v>
      </c>
      <c r="U494" s="117" t="n">
        <v>305576</v>
      </c>
      <c r="V494" s="117" t="s">
        <v>1973</v>
      </c>
      <c r="X494" s="117" t="s">
        <v>2274</v>
      </c>
      <c r="Y494" s="117" t="s">
        <v>2275</v>
      </c>
      <c r="Z494" s="117" t="n">
        <v>1400000195</v>
      </c>
      <c r="AC494" s="117" t="s">
        <v>1976</v>
      </c>
      <c r="AD494" s="117" t="n">
        <v>310300</v>
      </c>
      <c r="AE494" s="117" t="s">
        <v>1969</v>
      </c>
      <c r="AF494" s="117" t="n">
        <v>101105</v>
      </c>
      <c r="AG494" s="117" t="s">
        <v>1977</v>
      </c>
      <c r="AI494" s="117" t="n">
        <v>101105</v>
      </c>
      <c r="AJ494" s="117" t="s">
        <v>1977</v>
      </c>
      <c r="AK494" s="117" t="n">
        <v>0</v>
      </c>
      <c r="AL494" s="117" t="n">
        <v>19</v>
      </c>
      <c r="AM494" s="117" t="s">
        <v>225</v>
      </c>
      <c r="AN494" s="117" t="s">
        <v>1978</v>
      </c>
      <c r="AP494" s="117" t="n">
        <v>100004317</v>
      </c>
      <c r="AQ494" s="118" t="n">
        <v>43583</v>
      </c>
      <c r="AR494" s="118" t="n">
        <v>43564</v>
      </c>
      <c r="AS494" s="117" t="n">
        <v>0.694606481481481</v>
      </c>
      <c r="AT494" s="117" t="n">
        <v>0</v>
      </c>
      <c r="AU494" s="117" t="n">
        <v>0</v>
      </c>
      <c r="AX494" s="117" t="n">
        <v>2</v>
      </c>
    </row>
    <row r="495" customFormat="false" ht="13.8" hidden="true" customHeight="false" outlineLevel="0" collapsed="false">
      <c r="A495" s="117" t="n">
        <v>1000</v>
      </c>
      <c r="B495" s="117" t="s">
        <v>1962</v>
      </c>
      <c r="C495" s="117" t="n">
        <v>100048886</v>
      </c>
      <c r="E495" s="117" t="s">
        <v>1921</v>
      </c>
      <c r="F495" s="117" t="n">
        <v>1106</v>
      </c>
      <c r="G495" s="117" t="n">
        <v>2019</v>
      </c>
      <c r="H495" s="117" t="n">
        <v>3</v>
      </c>
      <c r="I495" s="118" t="n">
        <v>43646</v>
      </c>
      <c r="J495" s="118" t="n">
        <v>43646</v>
      </c>
      <c r="K495" s="119" t="n">
        <v>195.62</v>
      </c>
      <c r="L495" s="128" t="n">
        <f aca="false">K495-Q495+T495</f>
        <v>195.62</v>
      </c>
      <c r="M495" s="117" t="s">
        <v>149</v>
      </c>
      <c r="N495" s="117" t="n">
        <v>195.62</v>
      </c>
      <c r="O495" s="117" t="s">
        <v>149</v>
      </c>
      <c r="P495" s="117" t="n">
        <v>0</v>
      </c>
      <c r="Q495" s="117" t="n">
        <v>0</v>
      </c>
      <c r="R495" s="117" t="n">
        <v>195.62</v>
      </c>
      <c r="S495" s="117" t="n">
        <v>0</v>
      </c>
      <c r="T495" s="117" t="n">
        <v>0</v>
      </c>
      <c r="U495" s="117" t="n">
        <v>306263</v>
      </c>
      <c r="V495" s="117" t="s">
        <v>2006</v>
      </c>
      <c r="Z495" s="117" t="n">
        <v>100048886</v>
      </c>
      <c r="AD495" s="117" t="n">
        <v>110000</v>
      </c>
      <c r="AE495" s="117" t="s">
        <v>1966</v>
      </c>
      <c r="AF495" s="117" t="n">
        <v>110000</v>
      </c>
      <c r="AG495" s="117" t="s">
        <v>1966</v>
      </c>
      <c r="AI495" s="117" t="n">
        <v>110000</v>
      </c>
      <c r="AJ495" s="117" t="s">
        <v>1966</v>
      </c>
      <c r="AK495" s="117" t="n">
        <v>0</v>
      </c>
      <c r="AL495" s="117" t="n">
        <v>7</v>
      </c>
      <c r="AM495" s="117" t="s">
        <v>161</v>
      </c>
      <c r="AP495" s="117" t="n">
        <v>100048886</v>
      </c>
      <c r="AQ495" s="118" t="n">
        <v>43646</v>
      </c>
      <c r="AR495" s="118" t="n">
        <v>43647</v>
      </c>
      <c r="AS495" s="117" t="n">
        <v>0.262511574074074</v>
      </c>
      <c r="AT495" s="117" t="n">
        <v>0</v>
      </c>
      <c r="AU495" s="117" t="n">
        <v>0</v>
      </c>
      <c r="AX495" s="117" t="n">
        <v>1</v>
      </c>
    </row>
    <row r="496" customFormat="false" ht="13.8" hidden="true" customHeight="false" outlineLevel="0" collapsed="false">
      <c r="A496" s="117" t="n">
        <v>1000</v>
      </c>
      <c r="B496" s="117" t="s">
        <v>1962</v>
      </c>
      <c r="C496" s="117" t="n">
        <v>100004315</v>
      </c>
      <c r="E496" s="117" t="s">
        <v>1921</v>
      </c>
      <c r="F496" s="117" t="n">
        <v>1109</v>
      </c>
      <c r="G496" s="117" t="n">
        <v>2019</v>
      </c>
      <c r="H496" s="117" t="n">
        <v>1</v>
      </c>
      <c r="I496" s="118" t="n">
        <v>43583</v>
      </c>
      <c r="J496" s="118" t="n">
        <v>43583</v>
      </c>
      <c r="K496" s="119" t="n">
        <v>-5449730.62</v>
      </c>
      <c r="L496" s="128" t="n">
        <f aca="false">K496-Q496+T496</f>
        <v>-5449730.62</v>
      </c>
      <c r="M496" s="117" t="s">
        <v>149</v>
      </c>
      <c r="N496" s="117" t="n">
        <v>-5449730.62</v>
      </c>
      <c r="O496" s="117" t="s">
        <v>149</v>
      </c>
      <c r="P496" s="117" t="n">
        <v>0</v>
      </c>
      <c r="Q496" s="117" t="n">
        <v>0</v>
      </c>
      <c r="R496" s="117" t="n">
        <v>-5449730.62</v>
      </c>
      <c r="S496" s="117" t="n">
        <v>0</v>
      </c>
      <c r="T496" s="117" t="n">
        <v>0</v>
      </c>
      <c r="U496" s="117" t="n">
        <v>304431</v>
      </c>
      <c r="V496" s="117" t="s">
        <v>2016</v>
      </c>
      <c r="Z496" s="117" t="n">
        <v>100004315</v>
      </c>
      <c r="AD496" s="117" t="n">
        <v>110000</v>
      </c>
      <c r="AE496" s="117" t="s">
        <v>1966</v>
      </c>
      <c r="AF496" s="117" t="n">
        <v>110000</v>
      </c>
      <c r="AG496" s="117" t="s">
        <v>1966</v>
      </c>
      <c r="AI496" s="117" t="n">
        <v>110000</v>
      </c>
      <c r="AJ496" s="117" t="s">
        <v>1966</v>
      </c>
      <c r="AK496" s="117" t="n">
        <v>0</v>
      </c>
      <c r="AL496" s="117" t="n">
        <v>17</v>
      </c>
      <c r="AM496" s="117" t="s">
        <v>225</v>
      </c>
      <c r="AP496" s="117" t="n">
        <v>100004315</v>
      </c>
      <c r="AQ496" s="118" t="n">
        <v>43583</v>
      </c>
      <c r="AR496" s="118" t="n">
        <v>43583</v>
      </c>
      <c r="AS496" s="117" t="n">
        <v>0.487314814814815</v>
      </c>
      <c r="AT496" s="117" t="n">
        <v>0</v>
      </c>
      <c r="AU496" s="117" t="n">
        <v>0</v>
      </c>
      <c r="AX496" s="117" t="n">
        <v>3</v>
      </c>
    </row>
    <row r="497" customFormat="false" ht="13.8" hidden="true" customHeight="false" outlineLevel="0" collapsed="false">
      <c r="A497" s="117" t="n">
        <v>1000</v>
      </c>
      <c r="B497" s="117" t="s">
        <v>1962</v>
      </c>
      <c r="C497" s="117" t="n">
        <v>100039075</v>
      </c>
      <c r="E497" s="117" t="s">
        <v>1921</v>
      </c>
      <c r="F497" s="117" t="n">
        <v>1109</v>
      </c>
      <c r="G497" s="117" t="n">
        <v>2019</v>
      </c>
      <c r="H497" s="117" t="n">
        <v>3</v>
      </c>
      <c r="I497" s="118" t="n">
        <v>43644</v>
      </c>
      <c r="J497" s="118" t="n">
        <v>43644</v>
      </c>
      <c r="K497" s="119" t="n">
        <v>-318171.66</v>
      </c>
      <c r="L497" s="128" t="n">
        <f aca="false">K497-Q497+T497</f>
        <v>-318171.66</v>
      </c>
      <c r="M497" s="117" t="s">
        <v>149</v>
      </c>
      <c r="N497" s="117" t="n">
        <v>-318171.66</v>
      </c>
      <c r="O497" s="117" t="s">
        <v>149</v>
      </c>
      <c r="P497" s="117" t="n">
        <v>0</v>
      </c>
      <c r="Q497" s="117" t="n">
        <v>0</v>
      </c>
      <c r="R497" s="117" t="n">
        <v>-318171.66</v>
      </c>
      <c r="S497" s="117" t="n">
        <v>0</v>
      </c>
      <c r="T497" s="117" t="n">
        <v>0</v>
      </c>
      <c r="U497" s="117" t="n">
        <v>304431</v>
      </c>
      <c r="V497" s="117" t="s">
        <v>2016</v>
      </c>
      <c r="Z497" s="117" t="n">
        <v>100039075</v>
      </c>
      <c r="AD497" s="117" t="n">
        <v>110000</v>
      </c>
      <c r="AE497" s="117" t="s">
        <v>1966</v>
      </c>
      <c r="AF497" s="117" t="n">
        <v>110000</v>
      </c>
      <c r="AG497" s="117" t="s">
        <v>1966</v>
      </c>
      <c r="AI497" s="117" t="n">
        <v>110000</v>
      </c>
      <c r="AJ497" s="117" t="s">
        <v>1966</v>
      </c>
      <c r="AK497" s="117" t="n">
        <v>0</v>
      </c>
      <c r="AL497" s="117" t="n">
        <v>17</v>
      </c>
      <c r="AM497" s="117" t="s">
        <v>225</v>
      </c>
      <c r="AP497" s="117" t="n">
        <v>100039075</v>
      </c>
      <c r="AQ497" s="118" t="n">
        <v>43644</v>
      </c>
      <c r="AR497" s="118" t="n">
        <v>43644</v>
      </c>
      <c r="AS497" s="117" t="n">
        <v>0.170960648148148</v>
      </c>
      <c r="AT497" s="117" t="n">
        <v>0</v>
      </c>
      <c r="AU497" s="117" t="n">
        <v>0</v>
      </c>
      <c r="AX497" s="117" t="n">
        <v>2</v>
      </c>
    </row>
    <row r="498" customFormat="false" ht="13.8" hidden="true" customHeight="false" outlineLevel="0" collapsed="false">
      <c r="A498" s="117" t="n">
        <v>1000</v>
      </c>
      <c r="B498" s="117" t="s">
        <v>1962</v>
      </c>
      <c r="C498" s="117" t="n">
        <v>100039982</v>
      </c>
      <c r="E498" s="117" t="s">
        <v>1921</v>
      </c>
      <c r="F498" s="117" t="n">
        <v>1101</v>
      </c>
      <c r="G498" s="117" t="n">
        <v>2019</v>
      </c>
      <c r="H498" s="117" t="n">
        <v>3</v>
      </c>
      <c r="I498" s="118" t="n">
        <v>43645</v>
      </c>
      <c r="J498" s="118" t="n">
        <v>43645</v>
      </c>
      <c r="K498" s="119" t="n">
        <v>-13240698.07</v>
      </c>
      <c r="L498" s="128" t="n">
        <f aca="false">K498-Q498+T498</f>
        <v>-13240698.07</v>
      </c>
      <c r="M498" s="117" t="s">
        <v>149</v>
      </c>
      <c r="N498" s="117" t="n">
        <v>-13240698.07</v>
      </c>
      <c r="O498" s="117" t="s">
        <v>149</v>
      </c>
      <c r="P498" s="117" t="n">
        <v>0</v>
      </c>
      <c r="Q498" s="117" t="n">
        <v>0</v>
      </c>
      <c r="R498" s="117" t="n">
        <v>-13240698.07</v>
      </c>
      <c r="S498" s="117" t="n">
        <v>0</v>
      </c>
      <c r="T498" s="117" t="n">
        <v>0</v>
      </c>
      <c r="U498" s="117" t="n">
        <v>318999</v>
      </c>
      <c r="V498" s="117" t="s">
        <v>143</v>
      </c>
      <c r="Z498" s="117" t="n">
        <v>100039982</v>
      </c>
      <c r="AD498" s="117" t="n">
        <v>110000</v>
      </c>
      <c r="AE498" s="117" t="s">
        <v>1966</v>
      </c>
      <c r="AF498" s="117" t="n">
        <v>110000</v>
      </c>
      <c r="AG498" s="117" t="s">
        <v>1966</v>
      </c>
      <c r="AI498" s="117" t="n">
        <v>110000</v>
      </c>
      <c r="AJ498" s="117" t="s">
        <v>1966</v>
      </c>
      <c r="AK498" s="117" t="n">
        <v>0</v>
      </c>
      <c r="AL498" s="117" t="n">
        <v>17</v>
      </c>
      <c r="AM498" s="117" t="s">
        <v>225</v>
      </c>
      <c r="AP498" s="117" t="n">
        <v>100039982</v>
      </c>
      <c r="AQ498" s="118" t="n">
        <v>43645</v>
      </c>
      <c r="AR498" s="118" t="n">
        <v>43646</v>
      </c>
      <c r="AS498" s="117" t="n">
        <v>0.417488425925926</v>
      </c>
      <c r="AT498" s="117" t="n">
        <v>0</v>
      </c>
      <c r="AU498" s="117" t="n">
        <v>0</v>
      </c>
      <c r="AX498" s="117" t="n">
        <v>2</v>
      </c>
    </row>
    <row r="499" s="106" customFormat="true" ht="13.8" hidden="true" customHeight="false" outlineLevel="0" collapsed="false">
      <c r="A499" s="106" t="n">
        <v>1000</v>
      </c>
      <c r="B499" s="106" t="s">
        <v>1962</v>
      </c>
      <c r="C499" s="106" t="n">
        <v>102626</v>
      </c>
      <c r="D499" s="106" t="s">
        <v>2276</v>
      </c>
      <c r="E499" s="106" t="s">
        <v>1970</v>
      </c>
      <c r="F499" s="106" t="n">
        <v>1108</v>
      </c>
      <c r="G499" s="106" t="n">
        <v>2019</v>
      </c>
      <c r="H499" s="106" t="n">
        <v>3</v>
      </c>
      <c r="I499" s="129" t="n">
        <v>43619</v>
      </c>
      <c r="J499" s="129" t="n">
        <v>43619</v>
      </c>
      <c r="K499" s="107" t="n">
        <v>3132811.94</v>
      </c>
      <c r="L499" s="130" t="n">
        <f aca="false">K499-Q499+T499</f>
        <v>2654925.38</v>
      </c>
      <c r="M499" s="106" t="s">
        <v>149</v>
      </c>
      <c r="N499" s="106" t="n">
        <v>3132811.94</v>
      </c>
      <c r="O499" s="106" t="s">
        <v>149</v>
      </c>
      <c r="P499" s="106" t="n">
        <v>0</v>
      </c>
      <c r="Q499" s="107" t="n">
        <v>477886.56</v>
      </c>
      <c r="R499" s="106" t="n">
        <v>2654925.38</v>
      </c>
      <c r="S499" s="106" t="n">
        <v>0</v>
      </c>
      <c r="T499" s="106" t="n">
        <v>0</v>
      </c>
      <c r="U499" s="106" t="n">
        <v>318999</v>
      </c>
      <c r="V499" s="106" t="s">
        <v>143</v>
      </c>
      <c r="Z499" s="106" t="n">
        <v>102626</v>
      </c>
      <c r="AD499" s="106" t="n">
        <v>110000</v>
      </c>
      <c r="AE499" s="106" t="s">
        <v>1966</v>
      </c>
      <c r="AF499" s="106" t="n">
        <v>501040</v>
      </c>
      <c r="AG499" s="106" t="s">
        <v>2036</v>
      </c>
      <c r="AI499" s="106" t="n">
        <v>501040</v>
      </c>
      <c r="AJ499" s="106" t="s">
        <v>2036</v>
      </c>
      <c r="AK499" s="106" t="n">
        <v>0</v>
      </c>
      <c r="AL499" s="106" t="n">
        <v>1</v>
      </c>
      <c r="AM499" s="106" t="s">
        <v>161</v>
      </c>
      <c r="AP499" s="106" t="n">
        <v>100039983</v>
      </c>
      <c r="AQ499" s="129" t="n">
        <v>43645</v>
      </c>
      <c r="AR499" s="129" t="n">
        <v>43619</v>
      </c>
      <c r="AS499" s="106" t="n">
        <v>0.69349537037037</v>
      </c>
      <c r="AT499" s="106" t="n">
        <v>0</v>
      </c>
      <c r="AU499" s="106" t="n">
        <v>0</v>
      </c>
      <c r="AX499" s="106" t="n">
        <v>1</v>
      </c>
      <c r="ALU499" s="0"/>
      <c r="ALV499" s="0"/>
      <c r="ALW499" s="0"/>
      <c r="ALX499" s="0"/>
      <c r="ALY499" s="0"/>
      <c r="ALZ499" s="0"/>
      <c r="AMA499" s="0"/>
      <c r="AMB499" s="0"/>
      <c r="AMC499" s="0"/>
      <c r="AMD499" s="0"/>
      <c r="AME499" s="0"/>
      <c r="AMF499" s="0"/>
      <c r="AMG499" s="0"/>
      <c r="AMH499" s="0"/>
      <c r="AMI499" s="0"/>
      <c r="AMJ499" s="0"/>
    </row>
    <row r="500" s="106" customFormat="true" ht="13.8" hidden="true" customHeight="false" outlineLevel="0" collapsed="false">
      <c r="A500" s="106" t="n">
        <v>1000</v>
      </c>
      <c r="B500" s="106" t="s">
        <v>1962</v>
      </c>
      <c r="C500" s="106" t="n">
        <v>108336</v>
      </c>
      <c r="D500" s="106" t="s">
        <v>1690</v>
      </c>
      <c r="E500" s="106" t="s">
        <v>1970</v>
      </c>
      <c r="F500" s="106" t="n">
        <v>1109</v>
      </c>
      <c r="G500" s="106" t="n">
        <v>2019</v>
      </c>
      <c r="H500" s="106" t="n">
        <v>7</v>
      </c>
      <c r="I500" s="129" t="n">
        <v>43762</v>
      </c>
      <c r="J500" s="129" t="n">
        <v>43762</v>
      </c>
      <c r="K500" s="107" t="n">
        <v>2932389.25</v>
      </c>
      <c r="L500" s="130" t="n">
        <f aca="false">K500-Q500+T500</f>
        <v>2485075.65</v>
      </c>
      <c r="M500" s="106" t="s">
        <v>149</v>
      </c>
      <c r="N500" s="106" t="n">
        <v>2932389.25</v>
      </c>
      <c r="O500" s="106" t="s">
        <v>149</v>
      </c>
      <c r="P500" s="106" t="n">
        <v>0</v>
      </c>
      <c r="Q500" s="107" t="n">
        <v>447313.6</v>
      </c>
      <c r="R500" s="106" t="n">
        <v>2485075.65</v>
      </c>
      <c r="S500" s="106" t="n">
        <v>0</v>
      </c>
      <c r="T500" s="106" t="n">
        <v>0</v>
      </c>
      <c r="U500" s="106" t="n">
        <v>305576</v>
      </c>
      <c r="V500" s="106" t="s">
        <v>1973</v>
      </c>
      <c r="Z500" s="106" t="n">
        <v>61356</v>
      </c>
      <c r="AB500" s="106" t="s">
        <v>2260</v>
      </c>
      <c r="AD500" s="106" t="n">
        <v>110000</v>
      </c>
      <c r="AE500" s="106" t="s">
        <v>1966</v>
      </c>
      <c r="AF500" s="106" t="n">
        <v>501005</v>
      </c>
      <c r="AG500" s="106" t="s">
        <v>2033</v>
      </c>
      <c r="AI500" s="106" t="n">
        <v>501005</v>
      </c>
      <c r="AJ500" s="106" t="s">
        <v>2033</v>
      </c>
      <c r="AK500" s="106" t="n">
        <v>0</v>
      </c>
      <c r="AL500" s="106" t="n">
        <v>1</v>
      </c>
      <c r="AM500" s="106" t="s">
        <v>161</v>
      </c>
      <c r="AP500" s="106" t="n">
        <v>100141419</v>
      </c>
      <c r="AQ500" s="129" t="n">
        <v>43766</v>
      </c>
      <c r="AR500" s="129" t="n">
        <v>43762</v>
      </c>
      <c r="AS500" s="106" t="n">
        <v>0.798113425925926</v>
      </c>
      <c r="AT500" s="106" t="n">
        <v>0</v>
      </c>
      <c r="AU500" s="106" t="n">
        <v>0</v>
      </c>
      <c r="AX500" s="106" t="n">
        <v>1</v>
      </c>
      <c r="ALU500" s="0"/>
      <c r="ALV500" s="0"/>
      <c r="ALW500" s="0"/>
      <c r="ALX500" s="0"/>
      <c r="ALY500" s="0"/>
      <c r="ALZ500" s="0"/>
      <c r="AMA500" s="0"/>
      <c r="AMB500" s="0"/>
      <c r="AMC500" s="0"/>
      <c r="AMD500" s="0"/>
      <c r="AME500" s="0"/>
      <c r="AMF500" s="0"/>
      <c r="AMG500" s="0"/>
      <c r="AMH500" s="0"/>
      <c r="AMI500" s="0"/>
      <c r="AMJ500" s="0"/>
    </row>
    <row r="501" s="106" customFormat="true" ht="13.8" hidden="true" customHeight="false" outlineLevel="0" collapsed="false">
      <c r="A501" s="106" t="n">
        <v>1000</v>
      </c>
      <c r="B501" s="106" t="s">
        <v>1962</v>
      </c>
      <c r="C501" s="106" t="n">
        <v>100229</v>
      </c>
      <c r="D501" s="106" t="s">
        <v>1541</v>
      </c>
      <c r="E501" s="106" t="s">
        <v>1970</v>
      </c>
      <c r="F501" s="106" t="n">
        <v>1108</v>
      </c>
      <c r="G501" s="106" t="n">
        <v>2019</v>
      </c>
      <c r="H501" s="106" t="n">
        <v>1</v>
      </c>
      <c r="I501" s="129" t="n">
        <v>43566</v>
      </c>
      <c r="J501" s="129" t="n">
        <v>43566</v>
      </c>
      <c r="K501" s="107" t="n">
        <v>1890797.05</v>
      </c>
      <c r="L501" s="130" t="n">
        <f aca="false">K501-Q501+T501</f>
        <v>1602370.37</v>
      </c>
      <c r="M501" s="106" t="s">
        <v>149</v>
      </c>
      <c r="N501" s="106" t="n">
        <v>1890797.05</v>
      </c>
      <c r="O501" s="106" t="s">
        <v>149</v>
      </c>
      <c r="P501" s="106" t="n">
        <v>0</v>
      </c>
      <c r="Q501" s="107" t="n">
        <v>288426.68</v>
      </c>
      <c r="R501" s="106" t="n">
        <v>1602370.37</v>
      </c>
      <c r="S501" s="106" t="n">
        <v>0</v>
      </c>
      <c r="T501" s="106" t="n">
        <v>0</v>
      </c>
      <c r="U501" s="106" t="n">
        <v>306263</v>
      </c>
      <c r="V501" s="106" t="s">
        <v>2006</v>
      </c>
      <c r="Z501" s="106" t="n">
        <v>57783</v>
      </c>
      <c r="AB501" s="106" t="s">
        <v>2247</v>
      </c>
      <c r="AD501" s="106" t="n">
        <v>110000</v>
      </c>
      <c r="AE501" s="106" t="s">
        <v>1966</v>
      </c>
      <c r="AF501" s="106" t="n">
        <v>501005</v>
      </c>
      <c r="AG501" s="106" t="s">
        <v>2033</v>
      </c>
      <c r="AI501" s="106" t="n">
        <v>501005</v>
      </c>
      <c r="AJ501" s="106" t="s">
        <v>2033</v>
      </c>
      <c r="AK501" s="106" t="n">
        <v>0</v>
      </c>
      <c r="AL501" s="106" t="n">
        <v>1</v>
      </c>
      <c r="AM501" s="106" t="s">
        <v>161</v>
      </c>
      <c r="AP501" s="106" t="n">
        <v>100004318</v>
      </c>
      <c r="AQ501" s="129" t="n">
        <v>43583</v>
      </c>
      <c r="AR501" s="129" t="n">
        <v>43566</v>
      </c>
      <c r="AS501" s="106" t="n">
        <v>0.462407407407407</v>
      </c>
      <c r="AT501" s="106" t="n">
        <v>0</v>
      </c>
      <c r="AU501" s="106" t="n">
        <v>0</v>
      </c>
      <c r="AX501" s="106" t="n">
        <v>1</v>
      </c>
      <c r="ALU501" s="0"/>
      <c r="ALV501" s="0"/>
      <c r="ALW501" s="0"/>
      <c r="ALX501" s="0"/>
      <c r="ALY501" s="0"/>
      <c r="ALZ501" s="0"/>
      <c r="AMA501" s="0"/>
      <c r="AMB501" s="0"/>
      <c r="AMC501" s="0"/>
      <c r="AMD501" s="0"/>
      <c r="AME501" s="0"/>
      <c r="AMF501" s="0"/>
      <c r="AMG501" s="0"/>
      <c r="AMH501" s="0"/>
      <c r="AMI501" s="0"/>
      <c r="AMJ501" s="0"/>
    </row>
    <row r="502" customFormat="false" ht="13.8" hidden="true" customHeight="false" outlineLevel="0" collapsed="false">
      <c r="A502" s="117" t="n">
        <v>1000</v>
      </c>
      <c r="B502" s="117" t="s">
        <v>1962</v>
      </c>
      <c r="C502" s="117" t="n">
        <v>1600000096</v>
      </c>
      <c r="E502" s="117" t="s">
        <v>1987</v>
      </c>
      <c r="F502" s="117" t="n">
        <v>1101</v>
      </c>
      <c r="G502" s="117" t="n">
        <v>2019</v>
      </c>
      <c r="H502" s="117" t="n">
        <v>3</v>
      </c>
      <c r="I502" s="118" t="n">
        <v>43645</v>
      </c>
      <c r="J502" s="118" t="n">
        <v>43645</v>
      </c>
      <c r="K502" s="119" t="n">
        <v>-6872</v>
      </c>
      <c r="L502" s="128" t="n">
        <f aca="false">K502-Q502+T502</f>
        <v>-6872</v>
      </c>
      <c r="M502" s="117" t="s">
        <v>149</v>
      </c>
      <c r="N502" s="117" t="n">
        <v>-6872</v>
      </c>
      <c r="O502" s="117" t="s">
        <v>149</v>
      </c>
      <c r="P502" s="117" t="n">
        <v>-6872</v>
      </c>
      <c r="Q502" s="117" t="n">
        <v>0</v>
      </c>
      <c r="R502" s="117" t="n">
        <v>-6872</v>
      </c>
      <c r="S502" s="117" t="n">
        <v>0</v>
      </c>
      <c r="T502" s="117" t="n">
        <v>0</v>
      </c>
      <c r="U502" s="117" t="n">
        <v>304431</v>
      </c>
      <c r="V502" s="117" t="s">
        <v>2016</v>
      </c>
      <c r="X502" s="117" t="s">
        <v>2277</v>
      </c>
      <c r="Y502" s="117" t="s">
        <v>2164</v>
      </c>
      <c r="Z502" s="117" t="n">
        <v>1600000096</v>
      </c>
      <c r="AD502" s="117" t="n">
        <v>110000</v>
      </c>
      <c r="AE502" s="117" t="s">
        <v>1966</v>
      </c>
      <c r="AF502" s="117" t="n">
        <v>111201</v>
      </c>
      <c r="AG502" s="117" t="s">
        <v>2165</v>
      </c>
      <c r="AI502" s="117" t="n">
        <v>111201</v>
      </c>
      <c r="AJ502" s="117" t="s">
        <v>2165</v>
      </c>
      <c r="AK502" s="117" t="n">
        <v>0</v>
      </c>
      <c r="AL502" s="117" t="n">
        <v>14</v>
      </c>
      <c r="AM502" s="117" t="s">
        <v>225</v>
      </c>
      <c r="AP502" s="117" t="n">
        <v>100048476</v>
      </c>
      <c r="AQ502" s="118" t="n">
        <v>43646</v>
      </c>
      <c r="AR502" s="118" t="n">
        <v>43645</v>
      </c>
      <c r="AS502" s="117" t="n">
        <v>0.743657407407408</v>
      </c>
      <c r="AT502" s="117" t="n">
        <v>0</v>
      </c>
      <c r="AU502" s="117" t="n">
        <v>0</v>
      </c>
      <c r="AX502" s="117" t="n">
        <v>16</v>
      </c>
    </row>
    <row r="503" s="106" customFormat="true" ht="13.8" hidden="true" customHeight="false" outlineLevel="0" collapsed="false">
      <c r="A503" s="106" t="n">
        <v>1000</v>
      </c>
      <c r="B503" s="106" t="s">
        <v>1962</v>
      </c>
      <c r="C503" s="106" t="n">
        <v>108337</v>
      </c>
      <c r="D503" s="106" t="s">
        <v>1687</v>
      </c>
      <c r="E503" s="106" t="s">
        <v>1970</v>
      </c>
      <c r="F503" s="106" t="n">
        <v>1109</v>
      </c>
      <c r="G503" s="106" t="n">
        <v>2019</v>
      </c>
      <c r="H503" s="106" t="n">
        <v>7</v>
      </c>
      <c r="I503" s="129" t="n">
        <v>43762</v>
      </c>
      <c r="J503" s="129" t="n">
        <v>43762</v>
      </c>
      <c r="K503" s="107" t="n">
        <v>3064202.49</v>
      </c>
      <c r="L503" s="130" t="n">
        <f aca="false">K503-Q503+T503</f>
        <v>2596781.73</v>
      </c>
      <c r="M503" s="106" t="s">
        <v>149</v>
      </c>
      <c r="N503" s="106" t="n">
        <v>3064202.49</v>
      </c>
      <c r="O503" s="106" t="s">
        <v>149</v>
      </c>
      <c r="P503" s="106" t="n">
        <v>0</v>
      </c>
      <c r="Q503" s="107" t="n">
        <v>467420.76</v>
      </c>
      <c r="R503" s="106" t="n">
        <v>2596781.73</v>
      </c>
      <c r="S503" s="106" t="n">
        <v>0</v>
      </c>
      <c r="T503" s="106" t="n">
        <v>0</v>
      </c>
      <c r="U503" s="106" t="n">
        <v>305576</v>
      </c>
      <c r="V503" s="106" t="s">
        <v>1973</v>
      </c>
      <c r="Z503" s="106" t="n">
        <v>61356</v>
      </c>
      <c r="AB503" s="106" t="s">
        <v>2260</v>
      </c>
      <c r="AD503" s="106" t="n">
        <v>110000</v>
      </c>
      <c r="AE503" s="106" t="s">
        <v>1966</v>
      </c>
      <c r="AF503" s="106" t="n">
        <v>501005</v>
      </c>
      <c r="AG503" s="106" t="s">
        <v>2033</v>
      </c>
      <c r="AI503" s="106" t="n">
        <v>501005</v>
      </c>
      <c r="AJ503" s="106" t="s">
        <v>2033</v>
      </c>
      <c r="AK503" s="106" t="n">
        <v>0</v>
      </c>
      <c r="AL503" s="106" t="n">
        <v>1</v>
      </c>
      <c r="AM503" s="106" t="s">
        <v>161</v>
      </c>
      <c r="AP503" s="106" t="n">
        <v>100141419</v>
      </c>
      <c r="AQ503" s="129" t="n">
        <v>43766</v>
      </c>
      <c r="AR503" s="129" t="n">
        <v>43762</v>
      </c>
      <c r="AS503" s="106" t="n">
        <v>0.798773148148148</v>
      </c>
      <c r="AT503" s="106" t="n">
        <v>0</v>
      </c>
      <c r="AU503" s="106" t="n">
        <v>0</v>
      </c>
      <c r="AX503" s="106" t="n">
        <v>1</v>
      </c>
      <c r="ALU503" s="0"/>
      <c r="ALV503" s="0"/>
      <c r="ALW503" s="0"/>
      <c r="ALX503" s="0"/>
      <c r="ALY503" s="0"/>
      <c r="ALZ503" s="0"/>
      <c r="AMA503" s="0"/>
      <c r="AMB503" s="0"/>
      <c r="AMC503" s="0"/>
      <c r="AMD503" s="0"/>
      <c r="AME503" s="0"/>
      <c r="AMF503" s="0"/>
      <c r="AMG503" s="0"/>
      <c r="AMH503" s="0"/>
      <c r="AMI503" s="0"/>
      <c r="AMJ503" s="0"/>
    </row>
    <row r="504" s="106" customFormat="true" ht="13.8" hidden="true" customHeight="false" outlineLevel="0" collapsed="false">
      <c r="A504" s="106" t="n">
        <v>1000</v>
      </c>
      <c r="B504" s="106" t="s">
        <v>1962</v>
      </c>
      <c r="C504" s="106" t="n">
        <v>108338</v>
      </c>
      <c r="D504" s="106" t="s">
        <v>1398</v>
      </c>
      <c r="E504" s="106" t="s">
        <v>1970</v>
      </c>
      <c r="F504" s="106" t="n">
        <v>1109</v>
      </c>
      <c r="G504" s="106" t="n">
        <v>2019</v>
      </c>
      <c r="H504" s="106" t="n">
        <v>7</v>
      </c>
      <c r="I504" s="129" t="n">
        <v>43762</v>
      </c>
      <c r="J504" s="129" t="n">
        <v>43762</v>
      </c>
      <c r="K504" s="107" t="n">
        <v>2221397.2</v>
      </c>
      <c r="L504" s="130" t="n">
        <f aca="false">K504-Q504+T504</f>
        <v>1882540</v>
      </c>
      <c r="M504" s="106" t="s">
        <v>149</v>
      </c>
      <c r="N504" s="106" t="n">
        <v>2221397.2</v>
      </c>
      <c r="O504" s="106" t="s">
        <v>149</v>
      </c>
      <c r="P504" s="106" t="n">
        <v>0</v>
      </c>
      <c r="Q504" s="107" t="n">
        <v>338857.2</v>
      </c>
      <c r="R504" s="106" t="n">
        <v>1882540</v>
      </c>
      <c r="S504" s="106" t="n">
        <v>0</v>
      </c>
      <c r="T504" s="106" t="n">
        <v>0</v>
      </c>
      <c r="U504" s="106" t="n">
        <v>305576</v>
      </c>
      <c r="V504" s="106" t="s">
        <v>1973</v>
      </c>
      <c r="Z504" s="106" t="n">
        <v>61494</v>
      </c>
      <c r="AB504" s="106" t="s">
        <v>2278</v>
      </c>
      <c r="AD504" s="106" t="n">
        <v>110000</v>
      </c>
      <c r="AE504" s="106" t="s">
        <v>1966</v>
      </c>
      <c r="AF504" s="106" t="n">
        <v>501005</v>
      </c>
      <c r="AG504" s="106" t="s">
        <v>2033</v>
      </c>
      <c r="AI504" s="106" t="n">
        <v>501005</v>
      </c>
      <c r="AJ504" s="106" t="s">
        <v>2033</v>
      </c>
      <c r="AK504" s="106" t="n">
        <v>0</v>
      </c>
      <c r="AL504" s="106" t="n">
        <v>1</v>
      </c>
      <c r="AM504" s="106" t="s">
        <v>161</v>
      </c>
      <c r="AP504" s="106" t="n">
        <v>100141419</v>
      </c>
      <c r="AQ504" s="129" t="n">
        <v>43766</v>
      </c>
      <c r="AR504" s="129" t="n">
        <v>43762</v>
      </c>
      <c r="AS504" s="106" t="n">
        <v>0.800844907407407</v>
      </c>
      <c r="AT504" s="106" t="n">
        <v>0</v>
      </c>
      <c r="AU504" s="106" t="n">
        <v>0</v>
      </c>
      <c r="AX504" s="106" t="n">
        <v>1</v>
      </c>
      <c r="ALU504" s="0"/>
      <c r="ALV504" s="0"/>
      <c r="ALW504" s="0"/>
      <c r="ALX504" s="0"/>
      <c r="ALY504" s="0"/>
      <c r="ALZ504" s="0"/>
      <c r="AMA504" s="0"/>
      <c r="AMB504" s="0"/>
      <c r="AMC504" s="0"/>
      <c r="AMD504" s="0"/>
      <c r="AME504" s="0"/>
      <c r="AMF504" s="0"/>
      <c r="AMG504" s="0"/>
      <c r="AMH504" s="0"/>
      <c r="AMI504" s="0"/>
      <c r="AMJ504" s="0"/>
    </row>
    <row r="505" customFormat="false" ht="13.8" hidden="true" customHeight="false" outlineLevel="0" collapsed="false">
      <c r="A505" s="117" t="n">
        <v>1000</v>
      </c>
      <c r="B505" s="117" t="s">
        <v>1962</v>
      </c>
      <c r="C505" s="117" t="n">
        <v>100020125</v>
      </c>
      <c r="E505" s="117" t="s">
        <v>1921</v>
      </c>
      <c r="F505" s="117" t="n">
        <v>1109</v>
      </c>
      <c r="G505" s="117" t="n">
        <v>2019</v>
      </c>
      <c r="H505" s="117" t="n">
        <v>2</v>
      </c>
      <c r="I505" s="118" t="n">
        <v>43611</v>
      </c>
      <c r="J505" s="118" t="n">
        <v>43611</v>
      </c>
      <c r="K505" s="119" t="n">
        <v>254204.56</v>
      </c>
      <c r="L505" s="128" t="n">
        <f aca="false">K505-Q505+T505</f>
        <v>254204.56</v>
      </c>
      <c r="M505" s="117" t="s">
        <v>149</v>
      </c>
      <c r="N505" s="117" t="n">
        <v>254204.56</v>
      </c>
      <c r="O505" s="117" t="s">
        <v>149</v>
      </c>
      <c r="P505" s="117" t="n">
        <v>0</v>
      </c>
      <c r="Q505" s="117" t="n">
        <v>0</v>
      </c>
      <c r="R505" s="117" t="n">
        <v>254204.56</v>
      </c>
      <c r="S505" s="117" t="n">
        <v>0</v>
      </c>
      <c r="T505" s="117" t="n">
        <v>0</v>
      </c>
      <c r="U505" s="117" t="n">
        <v>307259</v>
      </c>
      <c r="V505" s="117" t="s">
        <v>143</v>
      </c>
      <c r="X505" s="117" t="s">
        <v>1125</v>
      </c>
      <c r="Z505" s="117" t="n">
        <v>58610</v>
      </c>
      <c r="AB505" s="117" t="s">
        <v>2068</v>
      </c>
      <c r="AD505" s="117" t="n">
        <v>110000</v>
      </c>
      <c r="AE505" s="117" t="s">
        <v>1966</v>
      </c>
      <c r="AF505" s="117" t="n">
        <v>110000</v>
      </c>
      <c r="AG505" s="117" t="s">
        <v>1966</v>
      </c>
      <c r="AI505" s="117" t="n">
        <v>110000</v>
      </c>
      <c r="AJ505" s="117" t="s">
        <v>1966</v>
      </c>
      <c r="AK505" s="117" t="n">
        <v>0</v>
      </c>
      <c r="AL505" s="117" t="n">
        <v>4</v>
      </c>
      <c r="AM505" s="117" t="s">
        <v>161</v>
      </c>
      <c r="AP505" s="117" t="n">
        <v>100057906</v>
      </c>
      <c r="AQ505" s="118" t="n">
        <v>43677</v>
      </c>
      <c r="AR505" s="118" t="n">
        <v>43611</v>
      </c>
      <c r="AS505" s="117" t="n">
        <v>0.719733796296296</v>
      </c>
      <c r="AT505" s="117" t="n">
        <v>0</v>
      </c>
      <c r="AU505" s="117" t="n">
        <v>0</v>
      </c>
      <c r="AX505" s="117" t="n">
        <v>1</v>
      </c>
    </row>
    <row r="506" customFormat="false" ht="13.8" hidden="true" customHeight="false" outlineLevel="0" collapsed="false">
      <c r="A506" s="117" t="n">
        <v>1000</v>
      </c>
      <c r="B506" s="117" t="s">
        <v>1962</v>
      </c>
      <c r="C506" s="117" t="n">
        <v>100022980</v>
      </c>
      <c r="E506" s="117" t="s">
        <v>1921</v>
      </c>
      <c r="F506" s="117" t="n">
        <v>1108</v>
      </c>
      <c r="G506" s="117" t="n">
        <v>2019</v>
      </c>
      <c r="H506" s="117" t="n">
        <v>2</v>
      </c>
      <c r="I506" s="118" t="n">
        <v>43616</v>
      </c>
      <c r="J506" s="118" t="n">
        <v>43616</v>
      </c>
      <c r="K506" s="119" t="n">
        <v>1178079.77</v>
      </c>
      <c r="L506" s="128" t="n">
        <f aca="false">K506-Q506+T506</f>
        <v>1178079.77</v>
      </c>
      <c r="M506" s="117" t="s">
        <v>149</v>
      </c>
      <c r="N506" s="117" t="n">
        <v>1178079.77</v>
      </c>
      <c r="O506" s="117" t="s">
        <v>149</v>
      </c>
      <c r="P506" s="117" t="n">
        <v>0</v>
      </c>
      <c r="Q506" s="117" t="n">
        <v>0</v>
      </c>
      <c r="R506" s="117" t="n">
        <v>1178079.77</v>
      </c>
      <c r="S506" s="117" t="n">
        <v>0</v>
      </c>
      <c r="T506" s="117" t="n">
        <v>0</v>
      </c>
      <c r="U506" s="117" t="n">
        <v>318999</v>
      </c>
      <c r="V506" s="117" t="s">
        <v>143</v>
      </c>
      <c r="X506" s="117" t="s">
        <v>1265</v>
      </c>
      <c r="Z506" s="117" t="n">
        <v>100022980</v>
      </c>
      <c r="AD506" s="117" t="n">
        <v>110000</v>
      </c>
      <c r="AE506" s="117" t="s">
        <v>1966</v>
      </c>
      <c r="AF506" s="117" t="n">
        <v>110000</v>
      </c>
      <c r="AG506" s="117" t="s">
        <v>1966</v>
      </c>
      <c r="AI506" s="117" t="n">
        <v>110000</v>
      </c>
      <c r="AJ506" s="117" t="s">
        <v>1966</v>
      </c>
      <c r="AK506" s="117" t="n">
        <v>0</v>
      </c>
      <c r="AL506" s="117" t="n">
        <v>4</v>
      </c>
      <c r="AM506" s="117" t="s">
        <v>161</v>
      </c>
      <c r="AP506" s="117" t="n">
        <v>100039982</v>
      </c>
      <c r="AQ506" s="118" t="n">
        <v>43645</v>
      </c>
      <c r="AR506" s="118" t="n">
        <v>43618</v>
      </c>
      <c r="AS506" s="117" t="n">
        <v>0.614305555555556</v>
      </c>
      <c r="AT506" s="117" t="n">
        <v>0</v>
      </c>
      <c r="AU506" s="117" t="n">
        <v>0</v>
      </c>
      <c r="AX506" s="117" t="n">
        <v>7</v>
      </c>
    </row>
    <row r="507" customFormat="false" ht="13.8" hidden="true" customHeight="false" outlineLevel="0" collapsed="false">
      <c r="A507" s="117" t="n">
        <v>1000</v>
      </c>
      <c r="B507" s="117" t="s">
        <v>1962</v>
      </c>
      <c r="C507" s="117" t="n">
        <v>100022980</v>
      </c>
      <c r="E507" s="117" t="s">
        <v>1921</v>
      </c>
      <c r="F507" s="117" t="n">
        <v>1101</v>
      </c>
      <c r="G507" s="117" t="n">
        <v>2019</v>
      </c>
      <c r="H507" s="117" t="n">
        <v>2</v>
      </c>
      <c r="I507" s="118" t="n">
        <v>43616</v>
      </c>
      <c r="J507" s="118" t="n">
        <v>43616</v>
      </c>
      <c r="K507" s="119" t="n">
        <v>1344839.64</v>
      </c>
      <c r="L507" s="128" t="n">
        <f aca="false">K507-Q507+T507</f>
        <v>1344839.64</v>
      </c>
      <c r="M507" s="117" t="s">
        <v>149</v>
      </c>
      <c r="N507" s="117" t="n">
        <v>1344839.64</v>
      </c>
      <c r="O507" s="117" t="s">
        <v>149</v>
      </c>
      <c r="P507" s="117" t="n">
        <v>0</v>
      </c>
      <c r="Q507" s="117" t="n">
        <v>0</v>
      </c>
      <c r="R507" s="117" t="n">
        <v>1344839.64</v>
      </c>
      <c r="S507" s="117" t="n">
        <v>0</v>
      </c>
      <c r="T507" s="117" t="n">
        <v>0</v>
      </c>
      <c r="U507" s="117" t="n">
        <v>318999</v>
      </c>
      <c r="V507" s="117" t="s">
        <v>143</v>
      </c>
      <c r="X507" s="117" t="s">
        <v>1211</v>
      </c>
      <c r="Z507" s="117" t="n">
        <v>100022980</v>
      </c>
      <c r="AD507" s="117" t="n">
        <v>110000</v>
      </c>
      <c r="AE507" s="117" t="s">
        <v>1966</v>
      </c>
      <c r="AF507" s="117" t="n">
        <v>110000</v>
      </c>
      <c r="AG507" s="117" t="s">
        <v>1966</v>
      </c>
      <c r="AI507" s="117" t="n">
        <v>110000</v>
      </c>
      <c r="AJ507" s="117" t="s">
        <v>1966</v>
      </c>
      <c r="AK507" s="117" t="n">
        <v>0</v>
      </c>
      <c r="AL507" s="117" t="n">
        <v>4</v>
      </c>
      <c r="AM507" s="117" t="s">
        <v>161</v>
      </c>
      <c r="AP507" s="117" t="n">
        <v>100039982</v>
      </c>
      <c r="AQ507" s="118" t="n">
        <v>43645</v>
      </c>
      <c r="AR507" s="118" t="n">
        <v>43618</v>
      </c>
      <c r="AS507" s="117" t="n">
        <v>0.614305555555556</v>
      </c>
      <c r="AT507" s="117" t="n">
        <v>0</v>
      </c>
      <c r="AU507" s="117" t="n">
        <v>0</v>
      </c>
      <c r="AX507" s="117" t="n">
        <v>13</v>
      </c>
    </row>
    <row r="508" customFormat="false" ht="13.8" hidden="true" customHeight="false" outlineLevel="0" collapsed="false">
      <c r="A508" s="117" t="n">
        <v>1000</v>
      </c>
      <c r="B508" s="117" t="s">
        <v>1962</v>
      </c>
      <c r="C508" s="117" t="n">
        <v>100039983</v>
      </c>
      <c r="E508" s="117" t="s">
        <v>1921</v>
      </c>
      <c r="F508" s="117" t="n">
        <v>1101</v>
      </c>
      <c r="G508" s="117" t="n">
        <v>2019</v>
      </c>
      <c r="H508" s="117" t="n">
        <v>3</v>
      </c>
      <c r="I508" s="118" t="n">
        <v>43645</v>
      </c>
      <c r="J508" s="118" t="n">
        <v>43645</v>
      </c>
      <c r="K508" s="119" t="n">
        <v>1216995.44</v>
      </c>
      <c r="L508" s="128" t="n">
        <f aca="false">K508-Q508+T508</f>
        <v>1216995.44</v>
      </c>
      <c r="M508" s="117" t="s">
        <v>149</v>
      </c>
      <c r="N508" s="117" t="n">
        <v>1216995.44</v>
      </c>
      <c r="O508" s="117" t="s">
        <v>149</v>
      </c>
      <c r="P508" s="117" t="n">
        <v>0</v>
      </c>
      <c r="Q508" s="117" t="n">
        <v>0</v>
      </c>
      <c r="R508" s="117" t="n">
        <v>1216995.44</v>
      </c>
      <c r="S508" s="117" t="n">
        <v>0</v>
      </c>
      <c r="T508" s="117" t="n">
        <v>0</v>
      </c>
      <c r="U508" s="117" t="n">
        <v>318999</v>
      </c>
      <c r="V508" s="117" t="s">
        <v>143</v>
      </c>
      <c r="X508" s="117" t="s">
        <v>2279</v>
      </c>
      <c r="Z508" s="117" t="n">
        <v>100039983</v>
      </c>
      <c r="AD508" s="117" t="n">
        <v>110000</v>
      </c>
      <c r="AE508" s="117" t="s">
        <v>1966</v>
      </c>
      <c r="AF508" s="117" t="n">
        <v>110000</v>
      </c>
      <c r="AG508" s="117" t="s">
        <v>1966</v>
      </c>
      <c r="AI508" s="117" t="n">
        <v>110000</v>
      </c>
      <c r="AJ508" s="117" t="s">
        <v>1966</v>
      </c>
      <c r="AK508" s="117" t="n">
        <v>0</v>
      </c>
      <c r="AL508" s="117" t="n">
        <v>4</v>
      </c>
      <c r="AM508" s="117" t="s">
        <v>161</v>
      </c>
      <c r="AP508" s="117" t="n">
        <v>100082045</v>
      </c>
      <c r="AQ508" s="118" t="n">
        <v>43708</v>
      </c>
      <c r="AR508" s="118" t="n">
        <v>43646</v>
      </c>
      <c r="AS508" s="117" t="n">
        <v>0.430601851851852</v>
      </c>
      <c r="AT508" s="117" t="n">
        <v>0</v>
      </c>
      <c r="AU508" s="117" t="n">
        <v>0</v>
      </c>
      <c r="AX508" s="117" t="n">
        <v>4</v>
      </c>
    </row>
    <row r="509" customFormat="false" ht="13.8" hidden="true" customHeight="false" outlineLevel="0" collapsed="false">
      <c r="A509" s="117" t="n">
        <v>1000</v>
      </c>
      <c r="B509" s="117" t="s">
        <v>1962</v>
      </c>
      <c r="C509" s="117" t="n">
        <v>1600000093</v>
      </c>
      <c r="E509" s="117" t="s">
        <v>1987</v>
      </c>
      <c r="F509" s="117" t="n">
        <v>1301</v>
      </c>
      <c r="G509" s="117" t="n">
        <v>2019</v>
      </c>
      <c r="H509" s="117" t="n">
        <v>3</v>
      </c>
      <c r="I509" s="118" t="n">
        <v>43645</v>
      </c>
      <c r="J509" s="118" t="n">
        <v>43645</v>
      </c>
      <c r="K509" s="119" t="n">
        <v>-4018</v>
      </c>
      <c r="L509" s="128" t="n">
        <f aca="false">K509-Q509+T509</f>
        <v>-4018</v>
      </c>
      <c r="M509" s="117" t="s">
        <v>149</v>
      </c>
      <c r="N509" s="117" t="n">
        <v>-4018</v>
      </c>
      <c r="O509" s="117" t="s">
        <v>149</v>
      </c>
      <c r="P509" s="117" t="n">
        <v>-4018</v>
      </c>
      <c r="Q509" s="117" t="n">
        <v>0</v>
      </c>
      <c r="R509" s="117" t="n">
        <v>-4018</v>
      </c>
      <c r="S509" s="117" t="n">
        <v>0</v>
      </c>
      <c r="T509" s="117" t="n">
        <v>0</v>
      </c>
      <c r="U509" s="117" t="n">
        <v>312193</v>
      </c>
      <c r="V509" s="117" t="s">
        <v>1963</v>
      </c>
      <c r="X509" s="117" t="s">
        <v>2280</v>
      </c>
      <c r="Y509" s="117" t="s">
        <v>2164</v>
      </c>
      <c r="Z509" s="117" t="n">
        <v>1600000093</v>
      </c>
      <c r="AD509" s="117" t="n">
        <v>110000</v>
      </c>
      <c r="AE509" s="117" t="s">
        <v>1966</v>
      </c>
      <c r="AF509" s="117" t="n">
        <v>111201</v>
      </c>
      <c r="AG509" s="117" t="s">
        <v>2165</v>
      </c>
      <c r="AI509" s="117" t="n">
        <v>111201</v>
      </c>
      <c r="AJ509" s="117" t="s">
        <v>2165</v>
      </c>
      <c r="AK509" s="117" t="n">
        <v>0</v>
      </c>
      <c r="AL509" s="117" t="n">
        <v>14</v>
      </c>
      <c r="AM509" s="117" t="s">
        <v>225</v>
      </c>
      <c r="AP509" s="117" t="n">
        <v>100144402</v>
      </c>
      <c r="AQ509" s="118" t="n">
        <v>43769</v>
      </c>
      <c r="AR509" s="118" t="n">
        <v>43645</v>
      </c>
      <c r="AS509" s="117" t="n">
        <v>0.736967592592593</v>
      </c>
      <c r="AT509" s="117" t="n">
        <v>0</v>
      </c>
      <c r="AU509" s="117" t="n">
        <v>0</v>
      </c>
      <c r="AX509" s="117" t="n">
        <v>4</v>
      </c>
    </row>
    <row r="510" customFormat="false" ht="13.8" hidden="true" customHeight="false" outlineLevel="0" collapsed="false">
      <c r="A510" s="117" t="n">
        <v>1000</v>
      </c>
      <c r="B510" s="117" t="s">
        <v>1962</v>
      </c>
      <c r="C510" s="117" t="n">
        <v>100050529</v>
      </c>
      <c r="E510" s="117" t="s">
        <v>1921</v>
      </c>
      <c r="F510" s="117" t="n">
        <v>1108</v>
      </c>
      <c r="G510" s="117" t="n">
        <v>2019</v>
      </c>
      <c r="H510" s="117" t="n">
        <v>3</v>
      </c>
      <c r="I510" s="118" t="n">
        <v>43646</v>
      </c>
      <c r="J510" s="118" t="n">
        <v>43646</v>
      </c>
      <c r="K510" s="119" t="n">
        <v>2696043.87</v>
      </c>
      <c r="L510" s="128" t="n">
        <f aca="false">K510-Q510+T510</f>
        <v>2696043.87</v>
      </c>
      <c r="M510" s="117" t="s">
        <v>149</v>
      </c>
      <c r="N510" s="117" t="n">
        <v>2696043.87</v>
      </c>
      <c r="O510" s="117" t="s">
        <v>149</v>
      </c>
      <c r="P510" s="117" t="n">
        <v>0</v>
      </c>
      <c r="Q510" s="117" t="n">
        <v>0</v>
      </c>
      <c r="R510" s="117" t="n">
        <v>2696043.87</v>
      </c>
      <c r="S510" s="117" t="n">
        <v>0</v>
      </c>
      <c r="T510" s="117" t="n">
        <v>0</v>
      </c>
      <c r="U510" s="117" t="n">
        <v>306263</v>
      </c>
      <c r="V510" s="117" t="s">
        <v>2006</v>
      </c>
      <c r="X510" s="117" t="s">
        <v>1268</v>
      </c>
      <c r="Z510" s="117" t="n">
        <v>58335</v>
      </c>
      <c r="AB510" s="117" t="s">
        <v>2224</v>
      </c>
      <c r="AD510" s="117" t="n">
        <v>110000</v>
      </c>
      <c r="AE510" s="117" t="s">
        <v>1966</v>
      </c>
      <c r="AF510" s="117" t="n">
        <v>110000</v>
      </c>
      <c r="AG510" s="117" t="s">
        <v>1966</v>
      </c>
      <c r="AI510" s="117" t="n">
        <v>110000</v>
      </c>
      <c r="AJ510" s="117" t="s">
        <v>1966</v>
      </c>
      <c r="AK510" s="117" t="n">
        <v>0</v>
      </c>
      <c r="AL510" s="117" t="n">
        <v>4</v>
      </c>
      <c r="AM510" s="117" t="s">
        <v>161</v>
      </c>
      <c r="AP510" s="117" t="n">
        <v>100055939</v>
      </c>
      <c r="AQ510" s="118" t="n">
        <v>43671</v>
      </c>
      <c r="AR510" s="118" t="n">
        <v>43647</v>
      </c>
      <c r="AS510" s="117" t="n">
        <v>0.632777777777778</v>
      </c>
      <c r="AT510" s="117" t="n">
        <v>0</v>
      </c>
      <c r="AU510" s="117" t="n">
        <v>0</v>
      </c>
      <c r="AX510" s="117" t="n">
        <v>1</v>
      </c>
    </row>
    <row r="511" s="106" customFormat="true" ht="13.8" hidden="true" customHeight="false" outlineLevel="0" collapsed="false">
      <c r="A511" s="106" t="n">
        <v>1000</v>
      </c>
      <c r="B511" s="106" t="s">
        <v>1962</v>
      </c>
      <c r="C511" s="106" t="n">
        <v>101106</v>
      </c>
      <c r="D511" s="106" t="s">
        <v>2249</v>
      </c>
      <c r="E511" s="106" t="s">
        <v>1970</v>
      </c>
      <c r="F511" s="106" t="n">
        <v>1108</v>
      </c>
      <c r="G511" s="106" t="n">
        <v>2019</v>
      </c>
      <c r="H511" s="106" t="n">
        <v>1</v>
      </c>
      <c r="I511" s="129" t="n">
        <v>43585</v>
      </c>
      <c r="J511" s="129" t="n">
        <v>43585</v>
      </c>
      <c r="K511" s="107" t="n">
        <v>-332796.58</v>
      </c>
      <c r="L511" s="130" t="n">
        <f aca="false">K511-Q511+T511</f>
        <v>-282031</v>
      </c>
      <c r="M511" s="106" t="s">
        <v>149</v>
      </c>
      <c r="N511" s="106" t="n">
        <v>-332796.58</v>
      </c>
      <c r="O511" s="106" t="s">
        <v>149</v>
      </c>
      <c r="P511" s="106" t="n">
        <v>0</v>
      </c>
      <c r="Q511" s="107" t="n">
        <v>-50765.58</v>
      </c>
      <c r="R511" s="106" t="n">
        <v>-282031</v>
      </c>
      <c r="S511" s="106" t="n">
        <v>0</v>
      </c>
      <c r="T511" s="106" t="n">
        <v>0</v>
      </c>
      <c r="U511" s="106" t="n">
        <v>312193</v>
      </c>
      <c r="V511" s="106" t="s">
        <v>1963</v>
      </c>
      <c r="Z511" s="106" t="n">
        <v>2346</v>
      </c>
      <c r="AB511" s="106" t="s">
        <v>2031</v>
      </c>
      <c r="AD511" s="106" t="n">
        <v>110000</v>
      </c>
      <c r="AE511" s="106" t="s">
        <v>1966</v>
      </c>
      <c r="AF511" s="106" t="n">
        <v>501020</v>
      </c>
      <c r="AG511" s="106" t="s">
        <v>1971</v>
      </c>
      <c r="AI511" s="106" t="n">
        <v>501020</v>
      </c>
      <c r="AJ511" s="106" t="s">
        <v>1971</v>
      </c>
      <c r="AK511" s="106" t="n">
        <v>0</v>
      </c>
      <c r="AL511" s="106" t="n">
        <v>11</v>
      </c>
      <c r="AM511" s="106" t="s">
        <v>225</v>
      </c>
      <c r="AP511" s="106" t="n">
        <v>100005107</v>
      </c>
      <c r="AQ511" s="129" t="n">
        <v>43585</v>
      </c>
      <c r="AR511" s="129" t="n">
        <v>43585</v>
      </c>
      <c r="AS511" s="106" t="n">
        <v>0.537094907407407</v>
      </c>
      <c r="AT511" s="106" t="n">
        <v>0</v>
      </c>
      <c r="AU511" s="106" t="n">
        <v>0</v>
      </c>
      <c r="AX511" s="106" t="n">
        <v>1</v>
      </c>
      <c r="ALU511" s="0"/>
      <c r="ALV511" s="0"/>
      <c r="ALW511" s="0"/>
      <c r="ALX511" s="0"/>
      <c r="ALY511" s="0"/>
      <c r="ALZ511" s="0"/>
      <c r="AMA511" s="0"/>
      <c r="AMB511" s="0"/>
      <c r="AMC511" s="0"/>
      <c r="AMD511" s="0"/>
      <c r="AME511" s="0"/>
      <c r="AMF511" s="0"/>
      <c r="AMG511" s="0"/>
      <c r="AMH511" s="0"/>
      <c r="AMI511" s="0"/>
      <c r="AMJ511" s="0"/>
    </row>
    <row r="512" customFormat="false" ht="13.8" hidden="true" customHeight="false" outlineLevel="0" collapsed="false">
      <c r="A512" s="117" t="n">
        <v>1000</v>
      </c>
      <c r="B512" s="117" t="s">
        <v>1962</v>
      </c>
      <c r="C512" s="117" t="n">
        <v>100039983</v>
      </c>
      <c r="E512" s="117" t="s">
        <v>1921</v>
      </c>
      <c r="F512" s="117" t="n">
        <v>1108</v>
      </c>
      <c r="G512" s="117" t="n">
        <v>2019</v>
      </c>
      <c r="H512" s="117" t="n">
        <v>3</v>
      </c>
      <c r="I512" s="118" t="n">
        <v>43645</v>
      </c>
      <c r="J512" s="118" t="n">
        <v>43645</v>
      </c>
      <c r="K512" s="119" t="n">
        <v>2662890.15</v>
      </c>
      <c r="L512" s="128" t="n">
        <f aca="false">K512-Q512+T512</f>
        <v>2662890.15</v>
      </c>
      <c r="M512" s="117" t="s">
        <v>149</v>
      </c>
      <c r="N512" s="117" t="n">
        <v>2662890.15</v>
      </c>
      <c r="O512" s="117" t="s">
        <v>149</v>
      </c>
      <c r="P512" s="117" t="n">
        <v>0</v>
      </c>
      <c r="Q512" s="117" t="n">
        <v>0</v>
      </c>
      <c r="R512" s="117" t="n">
        <v>2662890.15</v>
      </c>
      <c r="S512" s="117" t="n">
        <v>0</v>
      </c>
      <c r="T512" s="117" t="n">
        <v>0</v>
      </c>
      <c r="U512" s="117" t="n">
        <v>318999</v>
      </c>
      <c r="V512" s="117" t="s">
        <v>143</v>
      </c>
      <c r="X512" s="117" t="s">
        <v>2276</v>
      </c>
      <c r="Z512" s="117" t="n">
        <v>100039983</v>
      </c>
      <c r="AD512" s="117" t="n">
        <v>110000</v>
      </c>
      <c r="AE512" s="117" t="s">
        <v>1966</v>
      </c>
      <c r="AF512" s="117" t="n">
        <v>110000</v>
      </c>
      <c r="AG512" s="117" t="s">
        <v>1966</v>
      </c>
      <c r="AI512" s="117" t="n">
        <v>110000</v>
      </c>
      <c r="AJ512" s="117" t="s">
        <v>1966</v>
      </c>
      <c r="AK512" s="117" t="n">
        <v>0</v>
      </c>
      <c r="AL512" s="117" t="n">
        <v>4</v>
      </c>
      <c r="AM512" s="117" t="s">
        <v>161</v>
      </c>
      <c r="AP512" s="117" t="n">
        <v>100082045</v>
      </c>
      <c r="AQ512" s="118" t="n">
        <v>43708</v>
      </c>
      <c r="AR512" s="118" t="n">
        <v>43646</v>
      </c>
      <c r="AS512" s="117" t="n">
        <v>0.430601851851852</v>
      </c>
      <c r="AT512" s="117" t="n">
        <v>0</v>
      </c>
      <c r="AU512" s="117" t="n">
        <v>0</v>
      </c>
      <c r="AX512" s="117" t="n">
        <v>2</v>
      </c>
    </row>
    <row r="513" customFormat="false" ht="13.8" hidden="true" customHeight="false" outlineLevel="0" collapsed="false">
      <c r="A513" s="117" t="n">
        <v>1000</v>
      </c>
      <c r="B513" s="117" t="s">
        <v>1962</v>
      </c>
      <c r="C513" s="117" t="n">
        <v>1400001653</v>
      </c>
      <c r="E513" s="117" t="s">
        <v>1972</v>
      </c>
      <c r="F513" s="117" t="n">
        <v>1106</v>
      </c>
      <c r="G513" s="117" t="n">
        <v>2019</v>
      </c>
      <c r="H513" s="117" t="n">
        <v>2</v>
      </c>
      <c r="I513" s="118" t="n">
        <v>43598</v>
      </c>
      <c r="J513" s="118" t="n">
        <v>43598</v>
      </c>
      <c r="K513" s="119" t="n">
        <v>-22125.41</v>
      </c>
      <c r="L513" s="128" t="n">
        <f aca="false">K513-Q513+T513</f>
        <v>-22125.41</v>
      </c>
      <c r="M513" s="117" t="s">
        <v>149</v>
      </c>
      <c r="N513" s="117" t="n">
        <v>-22125.41</v>
      </c>
      <c r="O513" s="117" t="s">
        <v>149</v>
      </c>
      <c r="P513" s="117" t="n">
        <v>0</v>
      </c>
      <c r="Q513" s="117" t="n">
        <v>0</v>
      </c>
      <c r="R513" s="117" t="n">
        <v>-22125.41</v>
      </c>
      <c r="S513" s="117" t="n">
        <v>0</v>
      </c>
      <c r="T513" s="117" t="n">
        <v>0</v>
      </c>
      <c r="U513" s="117" t="n">
        <v>312193</v>
      </c>
      <c r="V513" s="117" t="s">
        <v>1963</v>
      </c>
      <c r="X513" s="117" t="s">
        <v>2281</v>
      </c>
      <c r="Y513" s="117" t="s">
        <v>2282</v>
      </c>
      <c r="Z513" s="117" t="n">
        <v>1400001653</v>
      </c>
      <c r="AC513" s="117" t="s">
        <v>1976</v>
      </c>
      <c r="AD513" s="117" t="n">
        <v>310300</v>
      </c>
      <c r="AE513" s="117" t="s">
        <v>1969</v>
      </c>
      <c r="AF513" s="117" t="n">
        <v>101105</v>
      </c>
      <c r="AG513" s="117" t="s">
        <v>1977</v>
      </c>
      <c r="AI513" s="117" t="n">
        <v>101105</v>
      </c>
      <c r="AJ513" s="117" t="s">
        <v>1977</v>
      </c>
      <c r="AK513" s="117" t="n">
        <v>0</v>
      </c>
      <c r="AL513" s="117" t="n">
        <v>19</v>
      </c>
      <c r="AM513" s="117" t="s">
        <v>225</v>
      </c>
      <c r="AN513" s="117" t="s">
        <v>1978</v>
      </c>
      <c r="AP513" s="117" t="n">
        <v>100020143</v>
      </c>
      <c r="AQ513" s="118" t="n">
        <v>43611</v>
      </c>
      <c r="AR513" s="118" t="n">
        <v>43606</v>
      </c>
      <c r="AS513" s="117" t="n">
        <v>0.540266203703704</v>
      </c>
      <c r="AT513" s="117" t="n">
        <v>0</v>
      </c>
      <c r="AU513" s="117" t="n">
        <v>0</v>
      </c>
      <c r="AX513" s="117" t="n">
        <v>2</v>
      </c>
    </row>
    <row r="514" s="106" customFormat="true" ht="13.8" hidden="true" customHeight="false" outlineLevel="0" collapsed="false">
      <c r="A514" s="106" t="n">
        <v>1000</v>
      </c>
      <c r="B514" s="106" t="s">
        <v>1962</v>
      </c>
      <c r="C514" s="106" t="n">
        <v>103167</v>
      </c>
      <c r="D514" s="106" t="s">
        <v>1443</v>
      </c>
      <c r="E514" s="106" t="s">
        <v>1970</v>
      </c>
      <c r="F514" s="106" t="n">
        <v>1101</v>
      </c>
      <c r="G514" s="106" t="n">
        <v>2019</v>
      </c>
      <c r="H514" s="106" t="n">
        <v>3</v>
      </c>
      <c r="I514" s="129" t="n">
        <v>43630</v>
      </c>
      <c r="J514" s="129" t="n">
        <v>43630</v>
      </c>
      <c r="K514" s="107" t="n">
        <v>1590398.89</v>
      </c>
      <c r="L514" s="130" t="n">
        <f aca="false">K514-Q514+T514</f>
        <v>1347795.69</v>
      </c>
      <c r="M514" s="106" t="s">
        <v>149</v>
      </c>
      <c r="N514" s="106" t="n">
        <v>1590398.89</v>
      </c>
      <c r="O514" s="106" t="s">
        <v>149</v>
      </c>
      <c r="P514" s="106" t="n">
        <v>0</v>
      </c>
      <c r="Q514" s="107" t="n">
        <v>242603.2</v>
      </c>
      <c r="R514" s="106" t="n">
        <v>1347795.69</v>
      </c>
      <c r="S514" s="106" t="n">
        <v>0</v>
      </c>
      <c r="T514" s="106" t="n">
        <v>0</v>
      </c>
      <c r="U514" s="106" t="n">
        <v>318999</v>
      </c>
      <c r="V514" s="106" t="s">
        <v>143</v>
      </c>
      <c r="Z514" s="106" t="n">
        <v>103167</v>
      </c>
      <c r="AD514" s="106" t="n">
        <v>110000</v>
      </c>
      <c r="AE514" s="106" t="s">
        <v>1966</v>
      </c>
      <c r="AF514" s="106" t="n">
        <v>501040</v>
      </c>
      <c r="AG514" s="106" t="s">
        <v>2036</v>
      </c>
      <c r="AI514" s="106" t="n">
        <v>501040</v>
      </c>
      <c r="AJ514" s="106" t="s">
        <v>2036</v>
      </c>
      <c r="AK514" s="106" t="n">
        <v>0</v>
      </c>
      <c r="AL514" s="106" t="n">
        <v>1</v>
      </c>
      <c r="AM514" s="106" t="s">
        <v>161</v>
      </c>
      <c r="AP514" s="106" t="n">
        <v>100039983</v>
      </c>
      <c r="AQ514" s="129" t="n">
        <v>43645</v>
      </c>
      <c r="AR514" s="129" t="n">
        <v>43630</v>
      </c>
      <c r="AS514" s="106" t="n">
        <v>0.7225</v>
      </c>
      <c r="AT514" s="106" t="n">
        <v>0</v>
      </c>
      <c r="AU514" s="106" t="n">
        <v>0</v>
      </c>
      <c r="AX514" s="106" t="n">
        <v>1</v>
      </c>
      <c r="ALU514" s="0"/>
      <c r="ALV514" s="0"/>
      <c r="ALW514" s="0"/>
      <c r="ALX514" s="0"/>
      <c r="ALY514" s="0"/>
      <c r="ALZ514" s="0"/>
      <c r="AMA514" s="0"/>
      <c r="AMB514" s="0"/>
      <c r="AMC514" s="0"/>
      <c r="AMD514" s="0"/>
      <c r="AME514" s="0"/>
      <c r="AMF514" s="0"/>
      <c r="AMG514" s="0"/>
      <c r="AMH514" s="0"/>
      <c r="AMI514" s="0"/>
      <c r="AMJ514" s="0"/>
    </row>
    <row r="515" customFormat="false" ht="13.8" hidden="true" customHeight="false" outlineLevel="0" collapsed="false">
      <c r="A515" s="117" t="n">
        <v>1000</v>
      </c>
      <c r="B515" s="117" t="s">
        <v>1962</v>
      </c>
      <c r="C515" s="117" t="n">
        <v>100031512</v>
      </c>
      <c r="E515" s="117" t="s">
        <v>1921</v>
      </c>
      <c r="F515" s="117" t="n">
        <v>1106</v>
      </c>
      <c r="G515" s="117" t="n">
        <v>2019</v>
      </c>
      <c r="H515" s="117" t="n">
        <v>2</v>
      </c>
      <c r="I515" s="118" t="n">
        <v>43616</v>
      </c>
      <c r="J515" s="118" t="n">
        <v>43616</v>
      </c>
      <c r="K515" s="119" t="n">
        <v>68483.62</v>
      </c>
      <c r="L515" s="128" t="n">
        <f aca="false">K515-Q515+T515</f>
        <v>68483.62</v>
      </c>
      <c r="M515" s="117" t="s">
        <v>149</v>
      </c>
      <c r="N515" s="117" t="n">
        <v>68483.62</v>
      </c>
      <c r="O515" s="117" t="s">
        <v>149</v>
      </c>
      <c r="P515" s="117" t="n">
        <v>68483.62</v>
      </c>
      <c r="Q515" s="117" t="n">
        <v>0</v>
      </c>
      <c r="R515" s="117" t="n">
        <v>68483.62</v>
      </c>
      <c r="S515" s="117" t="n">
        <v>0</v>
      </c>
      <c r="T515" s="117" t="n">
        <v>0</v>
      </c>
      <c r="U515" s="117" t="n">
        <v>314258</v>
      </c>
      <c r="V515" s="117" t="s">
        <v>143</v>
      </c>
      <c r="X515" s="117" t="s">
        <v>2283</v>
      </c>
      <c r="Z515" s="117" t="n">
        <v>100031512</v>
      </c>
      <c r="AD515" s="117" t="n">
        <v>111105</v>
      </c>
      <c r="AE515" s="117" t="s">
        <v>1994</v>
      </c>
      <c r="AF515" s="117" t="n">
        <v>110000</v>
      </c>
      <c r="AG515" s="117" t="s">
        <v>1966</v>
      </c>
      <c r="AI515" s="117" t="n">
        <v>110000</v>
      </c>
      <c r="AJ515" s="117" t="s">
        <v>1966</v>
      </c>
      <c r="AK515" s="117" t="n">
        <v>0</v>
      </c>
      <c r="AL515" s="117" t="n">
        <v>9</v>
      </c>
      <c r="AM515" s="117" t="s">
        <v>161</v>
      </c>
      <c r="AN515" s="117" t="s">
        <v>1995</v>
      </c>
      <c r="AR515" s="118" t="n">
        <v>43619</v>
      </c>
      <c r="AS515" s="117" t="n">
        <v>0.465694444444444</v>
      </c>
      <c r="AT515" s="117" t="n">
        <v>0</v>
      </c>
      <c r="AU515" s="117" t="n">
        <v>0</v>
      </c>
      <c r="AX515" s="117" t="n">
        <v>3</v>
      </c>
    </row>
    <row r="516" customFormat="false" ht="13.8" hidden="true" customHeight="false" outlineLevel="0" collapsed="false">
      <c r="A516" s="117" t="n">
        <v>1000</v>
      </c>
      <c r="B516" s="117" t="s">
        <v>1962</v>
      </c>
      <c r="C516" s="117" t="n">
        <v>1400000994</v>
      </c>
      <c r="D516" s="117" t="s">
        <v>2200</v>
      </c>
      <c r="E516" s="117" t="s">
        <v>1972</v>
      </c>
      <c r="F516" s="117" t="n">
        <v>1102</v>
      </c>
      <c r="G516" s="117" t="n">
        <v>2019</v>
      </c>
      <c r="H516" s="117" t="n">
        <v>1</v>
      </c>
      <c r="I516" s="118" t="n">
        <v>43567</v>
      </c>
      <c r="J516" s="118" t="n">
        <v>43567</v>
      </c>
      <c r="K516" s="119" t="n">
        <v>162273.6</v>
      </c>
      <c r="L516" s="128" t="n">
        <f aca="false">K516-Q516+T516</f>
        <v>162273.6</v>
      </c>
      <c r="M516" s="117" t="s">
        <v>149</v>
      </c>
      <c r="N516" s="117" t="n">
        <v>162273.6</v>
      </c>
      <c r="O516" s="117" t="s">
        <v>149</v>
      </c>
      <c r="P516" s="117" t="n">
        <v>0</v>
      </c>
      <c r="Q516" s="117" t="n">
        <v>0</v>
      </c>
      <c r="R516" s="117" t="n">
        <v>162273.6</v>
      </c>
      <c r="S516" s="117" t="n">
        <v>0</v>
      </c>
      <c r="T516" s="117" t="n">
        <v>0</v>
      </c>
      <c r="U516" s="117" t="n">
        <v>315113</v>
      </c>
      <c r="V516" s="117" t="s">
        <v>143</v>
      </c>
      <c r="X516" s="117" t="s">
        <v>2284</v>
      </c>
      <c r="Y516" s="117" t="s">
        <v>2202</v>
      </c>
      <c r="Z516" s="117" t="n">
        <v>1400000994</v>
      </c>
      <c r="AC516" s="117" t="s">
        <v>1976</v>
      </c>
      <c r="AD516" s="117" t="n">
        <v>110000</v>
      </c>
      <c r="AE516" s="117" t="s">
        <v>1966</v>
      </c>
      <c r="AF516" s="117" t="n">
        <v>304431</v>
      </c>
      <c r="AG516" s="117" t="s">
        <v>2016</v>
      </c>
      <c r="AI516" s="117" t="n">
        <v>304431</v>
      </c>
      <c r="AJ516" s="117" t="s">
        <v>2016</v>
      </c>
      <c r="AK516" s="117" t="n">
        <v>0</v>
      </c>
      <c r="AL516" s="117" t="n">
        <v>4</v>
      </c>
      <c r="AM516" s="117" t="s">
        <v>161</v>
      </c>
      <c r="AP516" s="117" t="n">
        <v>100012558</v>
      </c>
      <c r="AQ516" s="118" t="n">
        <v>43585</v>
      </c>
      <c r="AR516" s="118" t="n">
        <v>43587</v>
      </c>
      <c r="AS516" s="117" t="n">
        <v>0.429108796296296</v>
      </c>
      <c r="AT516" s="117" t="n">
        <v>0</v>
      </c>
      <c r="AU516" s="117" t="n">
        <v>0</v>
      </c>
      <c r="AX516" s="117" t="n">
        <v>2</v>
      </c>
    </row>
    <row r="517" customFormat="false" ht="13.8" hidden="true" customHeight="false" outlineLevel="0" collapsed="false">
      <c r="A517" s="117" t="n">
        <v>1000</v>
      </c>
      <c r="B517" s="117" t="s">
        <v>1962</v>
      </c>
      <c r="C517" s="117" t="n">
        <v>100022980</v>
      </c>
      <c r="E517" s="117" t="s">
        <v>1921</v>
      </c>
      <c r="F517" s="117" t="n">
        <v>1108</v>
      </c>
      <c r="G517" s="117" t="n">
        <v>2019</v>
      </c>
      <c r="H517" s="117" t="n">
        <v>2</v>
      </c>
      <c r="I517" s="118" t="n">
        <v>43616</v>
      </c>
      <c r="J517" s="118" t="n">
        <v>43616</v>
      </c>
      <c r="K517" s="119" t="n">
        <v>-3484221.34</v>
      </c>
      <c r="L517" s="128" t="n">
        <f aca="false">K517-Q517+T517</f>
        <v>-3484221.34</v>
      </c>
      <c r="M517" s="117" t="s">
        <v>149</v>
      </c>
      <c r="N517" s="117" t="n">
        <v>-3484221.34</v>
      </c>
      <c r="O517" s="117" t="s">
        <v>149</v>
      </c>
      <c r="P517" s="117" t="n">
        <v>0</v>
      </c>
      <c r="Q517" s="117" t="n">
        <v>0</v>
      </c>
      <c r="R517" s="117" t="n">
        <v>-3484221.34</v>
      </c>
      <c r="S517" s="117" t="n">
        <v>0</v>
      </c>
      <c r="T517" s="117" t="n">
        <v>0</v>
      </c>
      <c r="U517" s="117" t="n">
        <v>318999</v>
      </c>
      <c r="V517" s="117" t="s">
        <v>143</v>
      </c>
      <c r="Z517" s="117" t="n">
        <v>100022980</v>
      </c>
      <c r="AD517" s="117" t="n">
        <v>110000</v>
      </c>
      <c r="AE517" s="117" t="s">
        <v>1966</v>
      </c>
      <c r="AF517" s="117" t="n">
        <v>110000</v>
      </c>
      <c r="AG517" s="117" t="s">
        <v>1966</v>
      </c>
      <c r="AI517" s="117" t="n">
        <v>110000</v>
      </c>
      <c r="AJ517" s="117" t="s">
        <v>1966</v>
      </c>
      <c r="AK517" s="117" t="n">
        <v>0</v>
      </c>
      <c r="AL517" s="117" t="n">
        <v>17</v>
      </c>
      <c r="AM517" s="117" t="s">
        <v>225</v>
      </c>
      <c r="AP517" s="117" t="n">
        <v>100022980</v>
      </c>
      <c r="AQ517" s="118" t="n">
        <v>43616</v>
      </c>
      <c r="AR517" s="118" t="n">
        <v>43618</v>
      </c>
      <c r="AS517" s="117" t="n">
        <v>0.614305555555556</v>
      </c>
      <c r="AT517" s="117" t="n">
        <v>0</v>
      </c>
      <c r="AU517" s="117" t="n">
        <v>0</v>
      </c>
      <c r="AX517" s="117" t="n">
        <v>22</v>
      </c>
    </row>
    <row r="518" customFormat="false" ht="13.8" hidden="true" customHeight="false" outlineLevel="0" collapsed="false">
      <c r="A518" s="117" t="n">
        <v>1000</v>
      </c>
      <c r="B518" s="117" t="s">
        <v>1962</v>
      </c>
      <c r="C518" s="117" t="n">
        <v>100048554</v>
      </c>
      <c r="E518" s="117" t="s">
        <v>1921</v>
      </c>
      <c r="F518" s="117" t="n">
        <v>1301</v>
      </c>
      <c r="G518" s="117" t="n">
        <v>2019</v>
      </c>
      <c r="H518" s="117" t="n">
        <v>3</v>
      </c>
      <c r="I518" s="118" t="n">
        <v>43646</v>
      </c>
      <c r="J518" s="118" t="n">
        <v>43646</v>
      </c>
      <c r="K518" s="119" t="n">
        <v>-448</v>
      </c>
      <c r="L518" s="128" t="n">
        <f aca="false">K518-Q518+T518</f>
        <v>-448</v>
      </c>
      <c r="M518" s="117" t="s">
        <v>149</v>
      </c>
      <c r="N518" s="117" t="n">
        <v>-448</v>
      </c>
      <c r="O518" s="117" t="s">
        <v>149</v>
      </c>
      <c r="P518" s="117" t="n">
        <v>-448</v>
      </c>
      <c r="Q518" s="117" t="n">
        <v>0</v>
      </c>
      <c r="R518" s="117" t="n">
        <v>-448</v>
      </c>
      <c r="S518" s="117" t="n">
        <v>0</v>
      </c>
      <c r="T518" s="117" t="n">
        <v>0</v>
      </c>
      <c r="U518" s="117" t="n">
        <v>312193</v>
      </c>
      <c r="V518" s="117" t="s">
        <v>1963</v>
      </c>
      <c r="X518" s="117" t="s">
        <v>2285</v>
      </c>
      <c r="Z518" s="117" t="n">
        <v>100048554</v>
      </c>
      <c r="AD518" s="117" t="n">
        <v>110000</v>
      </c>
      <c r="AE518" s="117" t="s">
        <v>1966</v>
      </c>
      <c r="AF518" s="117" t="n">
        <v>110000</v>
      </c>
      <c r="AG518" s="117" t="s">
        <v>1966</v>
      </c>
      <c r="AI518" s="117" t="n">
        <v>110000</v>
      </c>
      <c r="AJ518" s="117" t="s">
        <v>1966</v>
      </c>
      <c r="AK518" s="117" t="n">
        <v>0</v>
      </c>
      <c r="AL518" s="117" t="n">
        <v>14</v>
      </c>
      <c r="AM518" s="117" t="s">
        <v>225</v>
      </c>
      <c r="AP518" s="117" t="n">
        <v>100144402</v>
      </c>
      <c r="AQ518" s="118" t="n">
        <v>43769</v>
      </c>
      <c r="AR518" s="118" t="n">
        <v>43647</v>
      </c>
      <c r="AS518" s="117" t="n">
        <v>0.181689814814815</v>
      </c>
      <c r="AT518" s="117" t="n">
        <v>0</v>
      </c>
      <c r="AU518" s="117" t="n">
        <v>0</v>
      </c>
      <c r="AX518" s="117" t="n">
        <v>2</v>
      </c>
    </row>
    <row r="519" customFormat="false" ht="13.8" hidden="true" customHeight="false" outlineLevel="0" collapsed="false">
      <c r="A519" s="117" t="n">
        <v>1000</v>
      </c>
      <c r="B519" s="117" t="s">
        <v>1962</v>
      </c>
      <c r="C519" s="117" t="n">
        <v>100005107</v>
      </c>
      <c r="E519" s="117" t="s">
        <v>1921</v>
      </c>
      <c r="F519" s="117" t="n">
        <v>1109</v>
      </c>
      <c r="G519" s="117" t="n">
        <v>2019</v>
      </c>
      <c r="H519" s="117" t="n">
        <v>1</v>
      </c>
      <c r="I519" s="118" t="n">
        <v>43585</v>
      </c>
      <c r="J519" s="118" t="n">
        <v>43585</v>
      </c>
      <c r="K519" s="119" t="n">
        <v>-2750788.86</v>
      </c>
      <c r="L519" s="128" t="n">
        <f aca="false">K519-Q519+T519</f>
        <v>-2750788.86</v>
      </c>
      <c r="M519" s="117" t="s">
        <v>149</v>
      </c>
      <c r="N519" s="117" t="n">
        <v>-2750788.86</v>
      </c>
      <c r="O519" s="117" t="s">
        <v>149</v>
      </c>
      <c r="P519" s="117" t="n">
        <v>0</v>
      </c>
      <c r="Q519" s="117" t="n">
        <v>0</v>
      </c>
      <c r="R519" s="117" t="n">
        <v>-2750788.86</v>
      </c>
      <c r="S519" s="117" t="n">
        <v>0</v>
      </c>
      <c r="T519" s="117" t="n">
        <v>0</v>
      </c>
      <c r="U519" s="117" t="n">
        <v>312193</v>
      </c>
      <c r="V519" s="117" t="s">
        <v>1963</v>
      </c>
      <c r="Z519" s="117" t="n">
        <v>100005107</v>
      </c>
      <c r="AD519" s="117" t="n">
        <v>110000</v>
      </c>
      <c r="AE519" s="117" t="s">
        <v>1966</v>
      </c>
      <c r="AF519" s="117" t="n">
        <v>110000</v>
      </c>
      <c r="AG519" s="117" t="s">
        <v>1966</v>
      </c>
      <c r="AI519" s="117" t="n">
        <v>110000</v>
      </c>
      <c r="AJ519" s="117" t="s">
        <v>1966</v>
      </c>
      <c r="AK519" s="117" t="n">
        <v>0</v>
      </c>
      <c r="AL519" s="117" t="n">
        <v>17</v>
      </c>
      <c r="AM519" s="117" t="s">
        <v>225</v>
      </c>
      <c r="AP519" s="117" t="n">
        <v>100005107</v>
      </c>
      <c r="AQ519" s="118" t="n">
        <v>43585</v>
      </c>
      <c r="AR519" s="118" t="n">
        <v>43586</v>
      </c>
      <c r="AS519" s="117" t="n">
        <v>0.427592592592593</v>
      </c>
      <c r="AT519" s="117" t="n">
        <v>0</v>
      </c>
      <c r="AU519" s="117" t="n">
        <v>0</v>
      </c>
      <c r="AX519" s="117" t="n">
        <v>11</v>
      </c>
    </row>
    <row r="520" s="106" customFormat="true" ht="13.8" hidden="true" customHeight="false" outlineLevel="0" collapsed="false">
      <c r="A520" s="106" t="n">
        <v>1000</v>
      </c>
      <c r="B520" s="106" t="s">
        <v>1962</v>
      </c>
      <c r="C520" s="106" t="n">
        <v>101401</v>
      </c>
      <c r="D520" s="106" t="s">
        <v>1285</v>
      </c>
      <c r="E520" s="106" t="s">
        <v>1970</v>
      </c>
      <c r="F520" s="106" t="n">
        <v>1101</v>
      </c>
      <c r="G520" s="106" t="n">
        <v>2019</v>
      </c>
      <c r="H520" s="106" t="n">
        <v>2</v>
      </c>
      <c r="I520" s="129" t="n">
        <v>43594</v>
      </c>
      <c r="J520" s="129" t="n">
        <v>43594</v>
      </c>
      <c r="K520" s="107" t="n">
        <v>948480.78</v>
      </c>
      <c r="L520" s="130" t="n">
        <f aca="false">K520-Q520+T520</f>
        <v>803797.28</v>
      </c>
      <c r="M520" s="106" t="s">
        <v>149</v>
      </c>
      <c r="N520" s="106" t="n">
        <v>948480.78</v>
      </c>
      <c r="O520" s="106" t="s">
        <v>149</v>
      </c>
      <c r="P520" s="106" t="n">
        <v>0</v>
      </c>
      <c r="Q520" s="107" t="n">
        <v>144683.5</v>
      </c>
      <c r="R520" s="106" t="n">
        <v>803797.28</v>
      </c>
      <c r="S520" s="106" t="n">
        <v>0</v>
      </c>
      <c r="T520" s="106" t="n">
        <v>0</v>
      </c>
      <c r="U520" s="106" t="n">
        <v>318999</v>
      </c>
      <c r="V520" s="106" t="s">
        <v>143</v>
      </c>
      <c r="Z520" s="106" t="n">
        <v>101401</v>
      </c>
      <c r="AD520" s="106" t="n">
        <v>110000</v>
      </c>
      <c r="AE520" s="106" t="s">
        <v>1966</v>
      </c>
      <c r="AF520" s="106" t="n">
        <v>501040</v>
      </c>
      <c r="AG520" s="106" t="s">
        <v>2036</v>
      </c>
      <c r="AI520" s="106" t="n">
        <v>501040</v>
      </c>
      <c r="AJ520" s="106" t="s">
        <v>2036</v>
      </c>
      <c r="AK520" s="106" t="n">
        <v>0</v>
      </c>
      <c r="AL520" s="106" t="n">
        <v>1</v>
      </c>
      <c r="AM520" s="106" t="s">
        <v>161</v>
      </c>
      <c r="AP520" s="106" t="n">
        <v>100022980</v>
      </c>
      <c r="AQ520" s="129" t="n">
        <v>43616</v>
      </c>
      <c r="AR520" s="129" t="n">
        <v>43594</v>
      </c>
      <c r="AS520" s="106" t="n">
        <v>0.721678240740741</v>
      </c>
      <c r="AT520" s="106" t="n">
        <v>0</v>
      </c>
      <c r="AU520" s="106" t="n">
        <v>0</v>
      </c>
      <c r="AX520" s="106" t="n">
        <v>1</v>
      </c>
      <c r="ALU520" s="0"/>
      <c r="ALV520" s="0"/>
      <c r="ALW520" s="0"/>
      <c r="ALX520" s="0"/>
      <c r="ALY520" s="0"/>
      <c r="ALZ520" s="0"/>
      <c r="AMA520" s="0"/>
      <c r="AMB520" s="0"/>
      <c r="AMC520" s="0"/>
      <c r="AMD520" s="0"/>
      <c r="AME520" s="0"/>
      <c r="AMF520" s="0"/>
      <c r="AMG520" s="0"/>
      <c r="AMH520" s="0"/>
      <c r="AMI520" s="0"/>
      <c r="AMJ520" s="0"/>
    </row>
    <row r="521" customFormat="false" ht="13.8" hidden="true" customHeight="false" outlineLevel="0" collapsed="false">
      <c r="A521" s="117" t="n">
        <v>1000</v>
      </c>
      <c r="B521" s="117" t="s">
        <v>1962</v>
      </c>
      <c r="C521" s="117" t="n">
        <v>1400003411</v>
      </c>
      <c r="E521" s="117" t="s">
        <v>1972</v>
      </c>
      <c r="F521" s="117" t="n">
        <v>1101</v>
      </c>
      <c r="G521" s="117" t="n">
        <v>2019</v>
      </c>
      <c r="H521" s="117" t="n">
        <v>3</v>
      </c>
      <c r="I521" s="118" t="n">
        <v>43644</v>
      </c>
      <c r="J521" s="118" t="n">
        <v>43644</v>
      </c>
      <c r="K521" s="119" t="n">
        <v>-1099759.75</v>
      </c>
      <c r="L521" s="128" t="n">
        <f aca="false">K521-Q521+T521</f>
        <v>-1099759.75</v>
      </c>
      <c r="M521" s="117" t="s">
        <v>149</v>
      </c>
      <c r="N521" s="117" t="n">
        <v>-1099759.75</v>
      </c>
      <c r="O521" s="117" t="s">
        <v>149</v>
      </c>
      <c r="P521" s="117" t="n">
        <v>0</v>
      </c>
      <c r="Q521" s="117" t="n">
        <v>0</v>
      </c>
      <c r="R521" s="117" t="n">
        <v>-1099759.75</v>
      </c>
      <c r="S521" s="117" t="n">
        <v>0</v>
      </c>
      <c r="T521" s="117" t="n">
        <v>0</v>
      </c>
      <c r="U521" s="117" t="n">
        <v>318999</v>
      </c>
      <c r="V521" s="117" t="s">
        <v>143</v>
      </c>
      <c r="X521" s="117" t="s">
        <v>2286</v>
      </c>
      <c r="Y521" s="117" t="s">
        <v>2287</v>
      </c>
      <c r="Z521" s="117" t="n">
        <v>1400003411</v>
      </c>
      <c r="AC521" s="117" t="s">
        <v>1976</v>
      </c>
      <c r="AD521" s="117" t="n">
        <v>310300</v>
      </c>
      <c r="AE521" s="117" t="s">
        <v>1969</v>
      </c>
      <c r="AF521" s="117" t="n">
        <v>101105</v>
      </c>
      <c r="AG521" s="117" t="s">
        <v>1977</v>
      </c>
      <c r="AI521" s="117" t="n">
        <v>101105</v>
      </c>
      <c r="AJ521" s="117" t="s">
        <v>1977</v>
      </c>
      <c r="AK521" s="117" t="n">
        <v>0</v>
      </c>
      <c r="AL521" s="117" t="n">
        <v>19</v>
      </c>
      <c r="AM521" s="117" t="s">
        <v>225</v>
      </c>
      <c r="AN521" s="117" t="s">
        <v>1978</v>
      </c>
      <c r="AP521" s="117" t="n">
        <v>100049039</v>
      </c>
      <c r="AQ521" s="118" t="n">
        <v>43646</v>
      </c>
      <c r="AR521" s="118" t="n">
        <v>43647</v>
      </c>
      <c r="AS521" s="117" t="n">
        <v>0.500625</v>
      </c>
      <c r="AT521" s="117" t="n">
        <v>0</v>
      </c>
      <c r="AU521" s="117" t="n">
        <v>0</v>
      </c>
      <c r="AX521" s="117" t="n">
        <v>2</v>
      </c>
    </row>
    <row r="522" s="106" customFormat="true" ht="13.8" hidden="true" customHeight="false" outlineLevel="0" collapsed="false">
      <c r="A522" s="106" t="n">
        <v>1000</v>
      </c>
      <c r="B522" s="106" t="s">
        <v>1962</v>
      </c>
      <c r="C522" s="106" t="n">
        <v>108441</v>
      </c>
      <c r="D522" s="106" t="s">
        <v>1310</v>
      </c>
      <c r="E522" s="106" t="s">
        <v>1970</v>
      </c>
      <c r="F522" s="106" t="n">
        <v>1109</v>
      </c>
      <c r="G522" s="106" t="n">
        <v>2019</v>
      </c>
      <c r="H522" s="106" t="n">
        <v>7</v>
      </c>
      <c r="I522" s="129" t="n">
        <v>43764</v>
      </c>
      <c r="J522" s="129" t="n">
        <v>43764</v>
      </c>
      <c r="K522" s="107" t="n">
        <v>1685495.9</v>
      </c>
      <c r="L522" s="130" t="n">
        <f aca="false">K522-Q522+T522</f>
        <v>1428386.36</v>
      </c>
      <c r="M522" s="106" t="s">
        <v>149</v>
      </c>
      <c r="N522" s="106" t="n">
        <v>1685495.9</v>
      </c>
      <c r="O522" s="106" t="s">
        <v>149</v>
      </c>
      <c r="P522" s="106" t="n">
        <v>0</v>
      </c>
      <c r="Q522" s="107" t="n">
        <v>257109.54</v>
      </c>
      <c r="R522" s="106" t="n">
        <v>1428386.36</v>
      </c>
      <c r="S522" s="106" t="n">
        <v>0</v>
      </c>
      <c r="T522" s="106" t="n">
        <v>0</v>
      </c>
      <c r="U522" s="106" t="n">
        <v>311155</v>
      </c>
      <c r="V522" s="106" t="s">
        <v>2022</v>
      </c>
      <c r="Z522" s="106" t="n">
        <v>61624</v>
      </c>
      <c r="AB522" s="106" t="s">
        <v>2288</v>
      </c>
      <c r="AD522" s="106" t="n">
        <v>110000</v>
      </c>
      <c r="AE522" s="106" t="s">
        <v>1966</v>
      </c>
      <c r="AF522" s="106" t="n">
        <v>501005</v>
      </c>
      <c r="AG522" s="106" t="s">
        <v>2033</v>
      </c>
      <c r="AI522" s="106" t="n">
        <v>501005</v>
      </c>
      <c r="AJ522" s="106" t="s">
        <v>2033</v>
      </c>
      <c r="AK522" s="106" t="n">
        <v>0</v>
      </c>
      <c r="AL522" s="106" t="n">
        <v>1</v>
      </c>
      <c r="AM522" s="106" t="s">
        <v>161</v>
      </c>
      <c r="AP522" s="106" t="n">
        <v>100143931</v>
      </c>
      <c r="AQ522" s="129" t="n">
        <v>43769</v>
      </c>
      <c r="AR522" s="129" t="n">
        <v>43764</v>
      </c>
      <c r="AS522" s="106" t="n">
        <v>0.534340277777778</v>
      </c>
      <c r="AT522" s="106" t="n">
        <v>0</v>
      </c>
      <c r="AU522" s="106" t="n">
        <v>0</v>
      </c>
      <c r="AX522" s="106" t="n">
        <v>1</v>
      </c>
      <c r="ALU522" s="0"/>
      <c r="ALV522" s="0"/>
      <c r="ALW522" s="0"/>
      <c r="ALX522" s="0"/>
      <c r="ALY522" s="0"/>
      <c r="ALZ522" s="0"/>
      <c r="AMA522" s="0"/>
      <c r="AMB522" s="0"/>
      <c r="AMC522" s="0"/>
      <c r="AMD522" s="0"/>
      <c r="AME522" s="0"/>
      <c r="AMF522" s="0"/>
      <c r="AMG522" s="0"/>
      <c r="AMH522" s="0"/>
      <c r="AMI522" s="0"/>
      <c r="AMJ522" s="0"/>
    </row>
    <row r="523" customFormat="false" ht="13.8" hidden="true" customHeight="false" outlineLevel="0" collapsed="false">
      <c r="A523" s="117" t="n">
        <v>1000</v>
      </c>
      <c r="B523" s="117" t="s">
        <v>1962</v>
      </c>
      <c r="C523" s="117" t="n">
        <v>100004393</v>
      </c>
      <c r="E523" s="117" t="s">
        <v>1921</v>
      </c>
      <c r="F523" s="117" t="n">
        <v>1106</v>
      </c>
      <c r="G523" s="117" t="n">
        <v>2019</v>
      </c>
      <c r="H523" s="117" t="n">
        <v>1</v>
      </c>
      <c r="I523" s="118" t="n">
        <v>43583</v>
      </c>
      <c r="J523" s="118" t="n">
        <v>43583</v>
      </c>
      <c r="K523" s="119" t="n">
        <v>19639.46</v>
      </c>
      <c r="L523" s="128" t="n">
        <f aca="false">K523-Q523+T523</f>
        <v>19639.46</v>
      </c>
      <c r="M523" s="117" t="s">
        <v>149</v>
      </c>
      <c r="N523" s="117" t="n">
        <v>19639.46</v>
      </c>
      <c r="O523" s="117" t="s">
        <v>149</v>
      </c>
      <c r="P523" s="117" t="n">
        <v>0</v>
      </c>
      <c r="Q523" s="117" t="n">
        <v>0</v>
      </c>
      <c r="R523" s="117" t="n">
        <v>19639.46</v>
      </c>
      <c r="S523" s="117" t="n">
        <v>0</v>
      </c>
      <c r="T523" s="117" t="n">
        <v>0</v>
      </c>
      <c r="U523" s="117" t="n">
        <v>318169</v>
      </c>
      <c r="V523" s="117" t="s">
        <v>2158</v>
      </c>
      <c r="Z523" s="117" t="n">
        <v>100004393</v>
      </c>
      <c r="AD523" s="117" t="n">
        <v>110000</v>
      </c>
      <c r="AE523" s="117" t="s">
        <v>1966</v>
      </c>
      <c r="AF523" s="117" t="n">
        <v>110000</v>
      </c>
      <c r="AG523" s="117" t="s">
        <v>1966</v>
      </c>
      <c r="AI523" s="117" t="n">
        <v>110000</v>
      </c>
      <c r="AJ523" s="117" t="s">
        <v>1966</v>
      </c>
      <c r="AK523" s="117" t="n">
        <v>0</v>
      </c>
      <c r="AL523" s="117" t="n">
        <v>7</v>
      </c>
      <c r="AM523" s="117" t="s">
        <v>161</v>
      </c>
      <c r="AP523" s="117" t="n">
        <v>100004393</v>
      </c>
      <c r="AQ523" s="118" t="n">
        <v>43583</v>
      </c>
      <c r="AR523" s="118" t="n">
        <v>43583</v>
      </c>
      <c r="AS523" s="117" t="n">
        <v>0.622928240740741</v>
      </c>
      <c r="AT523" s="117" t="n">
        <v>0</v>
      </c>
      <c r="AU523" s="117" t="n">
        <v>0</v>
      </c>
      <c r="AX523" s="117" t="n">
        <v>2</v>
      </c>
    </row>
    <row r="524" customFormat="false" ht="13.8" hidden="true" customHeight="false" outlineLevel="0" collapsed="false">
      <c r="A524" s="117" t="n">
        <v>1000</v>
      </c>
      <c r="B524" s="117" t="s">
        <v>1962</v>
      </c>
      <c r="C524" s="117" t="n">
        <v>100039091</v>
      </c>
      <c r="E524" s="117" t="s">
        <v>1921</v>
      </c>
      <c r="F524" s="117" t="n">
        <v>1101</v>
      </c>
      <c r="G524" s="117" t="n">
        <v>2019</v>
      </c>
      <c r="H524" s="117" t="n">
        <v>3</v>
      </c>
      <c r="I524" s="118" t="n">
        <v>43644</v>
      </c>
      <c r="J524" s="118" t="n">
        <v>43644</v>
      </c>
      <c r="K524" s="119" t="n">
        <v>-8737900</v>
      </c>
      <c r="L524" s="128" t="n">
        <f aca="false">K524-Q524+T524</f>
        <v>-8737900</v>
      </c>
      <c r="M524" s="117" t="s">
        <v>149</v>
      </c>
      <c r="N524" s="117" t="n">
        <v>-8737900</v>
      </c>
      <c r="O524" s="117" t="s">
        <v>149</v>
      </c>
      <c r="P524" s="117" t="n">
        <v>0</v>
      </c>
      <c r="Q524" s="117" t="n">
        <v>0</v>
      </c>
      <c r="R524" s="117" t="n">
        <v>-8737900</v>
      </c>
      <c r="S524" s="117" t="n">
        <v>0</v>
      </c>
      <c r="T524" s="117" t="n">
        <v>0</v>
      </c>
      <c r="U524" s="117" t="n">
        <v>309728</v>
      </c>
      <c r="V524" s="117" t="s">
        <v>1968</v>
      </c>
      <c r="Z524" s="117" t="n">
        <v>100039091</v>
      </c>
      <c r="AD524" s="117" t="n">
        <v>110000</v>
      </c>
      <c r="AE524" s="117" t="s">
        <v>1966</v>
      </c>
      <c r="AF524" s="117" t="n">
        <v>110000</v>
      </c>
      <c r="AG524" s="117" t="s">
        <v>1966</v>
      </c>
      <c r="AI524" s="117" t="n">
        <v>110000</v>
      </c>
      <c r="AJ524" s="117" t="s">
        <v>1966</v>
      </c>
      <c r="AK524" s="117" t="n">
        <v>0</v>
      </c>
      <c r="AL524" s="117" t="n">
        <v>17</v>
      </c>
      <c r="AM524" s="117" t="s">
        <v>225</v>
      </c>
      <c r="AP524" s="117" t="n">
        <v>100039091</v>
      </c>
      <c r="AQ524" s="118" t="n">
        <v>43644</v>
      </c>
      <c r="AR524" s="118" t="n">
        <v>43644</v>
      </c>
      <c r="AS524" s="117" t="n">
        <v>0.190081018518518</v>
      </c>
      <c r="AT524" s="117" t="n">
        <v>0</v>
      </c>
      <c r="AU524" s="117" t="n">
        <v>0</v>
      </c>
      <c r="AX524" s="117" t="n">
        <v>9</v>
      </c>
    </row>
    <row r="525" customFormat="false" ht="13.8" hidden="true" customHeight="false" outlineLevel="0" collapsed="false">
      <c r="A525" s="117" t="n">
        <v>1000</v>
      </c>
      <c r="B525" s="117" t="s">
        <v>1962</v>
      </c>
      <c r="C525" s="117" t="n">
        <v>100022446</v>
      </c>
      <c r="E525" s="117" t="s">
        <v>1921</v>
      </c>
      <c r="F525" s="117" t="n">
        <v>1109</v>
      </c>
      <c r="G525" s="117" t="n">
        <v>2019</v>
      </c>
      <c r="H525" s="117" t="n">
        <v>2</v>
      </c>
      <c r="I525" s="118" t="n">
        <v>43616</v>
      </c>
      <c r="J525" s="118" t="n">
        <v>43616</v>
      </c>
      <c r="K525" s="119" t="n">
        <v>6502</v>
      </c>
      <c r="L525" s="128" t="n">
        <f aca="false">K525-Q525+T525</f>
        <v>6502</v>
      </c>
      <c r="M525" s="117" t="s">
        <v>149</v>
      </c>
      <c r="N525" s="117" t="n">
        <v>6502</v>
      </c>
      <c r="O525" s="117" t="s">
        <v>149</v>
      </c>
      <c r="P525" s="117" t="n">
        <v>0</v>
      </c>
      <c r="Q525" s="117" t="n">
        <v>0</v>
      </c>
      <c r="R525" s="117" t="n">
        <v>6502</v>
      </c>
      <c r="S525" s="117" t="n">
        <v>0</v>
      </c>
      <c r="T525" s="117" t="n">
        <v>0</v>
      </c>
      <c r="U525" s="117" t="n">
        <v>312193</v>
      </c>
      <c r="V525" s="117" t="s">
        <v>1963</v>
      </c>
      <c r="X525" s="117" t="s">
        <v>2289</v>
      </c>
      <c r="Z525" s="117" t="n">
        <v>2316</v>
      </c>
      <c r="AB525" s="117" t="s">
        <v>1965</v>
      </c>
      <c r="AD525" s="117" t="n">
        <v>110000</v>
      </c>
      <c r="AE525" s="117" t="s">
        <v>1966</v>
      </c>
      <c r="AF525" s="117" t="n">
        <v>110000</v>
      </c>
      <c r="AG525" s="117" t="s">
        <v>1966</v>
      </c>
      <c r="AI525" s="117" t="n">
        <v>110000</v>
      </c>
      <c r="AJ525" s="117" t="s">
        <v>1966</v>
      </c>
      <c r="AK525" s="117" t="n">
        <v>0</v>
      </c>
      <c r="AL525" s="117" t="n">
        <v>4</v>
      </c>
      <c r="AM525" s="117" t="s">
        <v>161</v>
      </c>
      <c r="AP525" s="117" t="n">
        <v>100173563</v>
      </c>
      <c r="AQ525" s="118" t="n">
        <v>43799</v>
      </c>
      <c r="AR525" s="118" t="n">
        <v>43617</v>
      </c>
      <c r="AS525" s="117" t="n">
        <v>0.587256944444444</v>
      </c>
      <c r="AT525" s="117" t="n">
        <v>0</v>
      </c>
      <c r="AU525" s="117" t="n">
        <v>0</v>
      </c>
      <c r="AX525" s="117" t="n">
        <v>3</v>
      </c>
    </row>
    <row r="526" customFormat="false" ht="13.8" hidden="true" customHeight="false" outlineLevel="0" collapsed="false">
      <c r="A526" s="117" t="n">
        <v>1000</v>
      </c>
      <c r="B526" s="117" t="s">
        <v>1962</v>
      </c>
      <c r="C526" s="117" t="n">
        <v>100004389</v>
      </c>
      <c r="E526" s="117" t="s">
        <v>1921</v>
      </c>
      <c r="F526" s="117" t="n">
        <v>1106</v>
      </c>
      <c r="G526" s="117" t="n">
        <v>2019</v>
      </c>
      <c r="H526" s="117" t="n">
        <v>1</v>
      </c>
      <c r="I526" s="118" t="n">
        <v>43583</v>
      </c>
      <c r="J526" s="118" t="n">
        <v>43583</v>
      </c>
      <c r="K526" s="119" t="n">
        <v>974532</v>
      </c>
      <c r="L526" s="128" t="n">
        <f aca="false">K526-Q526+T526</f>
        <v>974532</v>
      </c>
      <c r="M526" s="117" t="s">
        <v>149</v>
      </c>
      <c r="N526" s="117" t="n">
        <v>974532</v>
      </c>
      <c r="O526" s="117" t="s">
        <v>149</v>
      </c>
      <c r="P526" s="117" t="n">
        <v>0</v>
      </c>
      <c r="Q526" s="117" t="n">
        <v>0</v>
      </c>
      <c r="R526" s="117" t="n">
        <v>974532</v>
      </c>
      <c r="S526" s="117" t="n">
        <v>0</v>
      </c>
      <c r="T526" s="117" t="n">
        <v>0</v>
      </c>
      <c r="U526" s="117" t="n">
        <v>318072</v>
      </c>
      <c r="V526" s="117" t="s">
        <v>2290</v>
      </c>
      <c r="Z526" s="117" t="n">
        <v>100004389</v>
      </c>
      <c r="AD526" s="117" t="n">
        <v>310300</v>
      </c>
      <c r="AE526" s="117" t="s">
        <v>1969</v>
      </c>
      <c r="AF526" s="117" t="n">
        <v>110000</v>
      </c>
      <c r="AG526" s="117" t="s">
        <v>1966</v>
      </c>
      <c r="AI526" s="117" t="n">
        <v>110000</v>
      </c>
      <c r="AJ526" s="117" t="s">
        <v>1966</v>
      </c>
      <c r="AK526" s="117" t="n">
        <v>0</v>
      </c>
      <c r="AL526" s="117" t="n">
        <v>9</v>
      </c>
      <c r="AM526" s="117" t="s">
        <v>161</v>
      </c>
      <c r="AN526" s="117" t="s">
        <v>1978</v>
      </c>
      <c r="AP526" s="117" t="n">
        <v>100004389</v>
      </c>
      <c r="AQ526" s="118" t="n">
        <v>43583</v>
      </c>
      <c r="AR526" s="118" t="n">
        <v>43583</v>
      </c>
      <c r="AS526" s="117" t="n">
        <v>0.613969907407407</v>
      </c>
      <c r="AT526" s="117" t="n">
        <v>0</v>
      </c>
      <c r="AU526" s="117" t="n">
        <v>0</v>
      </c>
      <c r="AX526" s="117" t="n">
        <v>3</v>
      </c>
    </row>
    <row r="527" s="132" customFormat="true" ht="13.8" hidden="true" customHeight="false" outlineLevel="0" collapsed="false">
      <c r="A527" s="132" t="n">
        <v>1000</v>
      </c>
      <c r="B527" s="132" t="s">
        <v>1962</v>
      </c>
      <c r="C527" s="132" t="n">
        <v>1400000994</v>
      </c>
      <c r="D527" s="132" t="s">
        <v>2200</v>
      </c>
      <c r="E527" s="132" t="s">
        <v>1972</v>
      </c>
      <c r="F527" s="132" t="n">
        <v>1106</v>
      </c>
      <c r="G527" s="132" t="n">
        <v>2019</v>
      </c>
      <c r="H527" s="132" t="n">
        <v>1</v>
      </c>
      <c r="I527" s="133" t="n">
        <v>43567</v>
      </c>
      <c r="J527" s="133" t="n">
        <v>43567</v>
      </c>
      <c r="K527" s="134" t="n">
        <v>-84025.48</v>
      </c>
      <c r="L527" s="135" t="n">
        <f aca="false">K527-Q527+T527</f>
        <v>-84025.48</v>
      </c>
      <c r="M527" s="132" t="s">
        <v>149</v>
      </c>
      <c r="N527" s="132" t="n">
        <v>-84025.48</v>
      </c>
      <c r="O527" s="132" t="s">
        <v>149</v>
      </c>
      <c r="P527" s="132" t="n">
        <v>-84025.48</v>
      </c>
      <c r="Q527" s="132" t="n">
        <v>0</v>
      </c>
      <c r="R527" s="132" t="n">
        <v>-84025.48</v>
      </c>
      <c r="S527" s="132" t="n">
        <v>0</v>
      </c>
      <c r="T527" s="132" t="n">
        <v>0</v>
      </c>
      <c r="U527" s="132" t="n">
        <v>304431</v>
      </c>
      <c r="V527" s="132" t="s">
        <v>2016</v>
      </c>
      <c r="X527" s="132" t="s">
        <v>2201</v>
      </c>
      <c r="Y527" s="132" t="s">
        <v>2202</v>
      </c>
      <c r="Z527" s="132" t="n">
        <v>1400000994</v>
      </c>
      <c r="AC527" s="132" t="s">
        <v>1976</v>
      </c>
      <c r="AD527" s="132" t="n">
        <v>310300</v>
      </c>
      <c r="AE527" s="132" t="s">
        <v>1969</v>
      </c>
      <c r="AF527" s="132" t="n">
        <v>315113</v>
      </c>
      <c r="AG527" s="132" t="s">
        <v>143</v>
      </c>
      <c r="AI527" s="132" t="n">
        <v>315113</v>
      </c>
      <c r="AJ527" s="132" t="s">
        <v>143</v>
      </c>
      <c r="AK527" s="132" t="n">
        <v>0</v>
      </c>
      <c r="AL527" s="132" t="n">
        <v>19</v>
      </c>
      <c r="AM527" s="132" t="s">
        <v>225</v>
      </c>
      <c r="AN527" s="132" t="s">
        <v>1978</v>
      </c>
      <c r="AP527" s="132" t="n">
        <v>100013850</v>
      </c>
      <c r="AQ527" s="133" t="n">
        <v>43585</v>
      </c>
      <c r="AR527" s="133" t="n">
        <v>43587</v>
      </c>
      <c r="AS527" s="132" t="n">
        <v>0.429108796296296</v>
      </c>
      <c r="AT527" s="132" t="n">
        <v>0</v>
      </c>
      <c r="AU527" s="132" t="n">
        <v>0</v>
      </c>
      <c r="AX527" s="132" t="n">
        <v>4</v>
      </c>
      <c r="ALU527" s="0"/>
      <c r="ALV527" s="0"/>
      <c r="ALW527" s="0"/>
      <c r="ALX527" s="0"/>
      <c r="ALY527" s="0"/>
      <c r="ALZ527" s="0"/>
      <c r="AMA527" s="0"/>
      <c r="AMB527" s="0"/>
      <c r="AMC527" s="0"/>
      <c r="AMD527" s="0"/>
      <c r="AME527" s="0"/>
      <c r="AMF527" s="0"/>
      <c r="AMG527" s="0"/>
      <c r="AMH527" s="0"/>
      <c r="AMI527" s="0"/>
      <c r="AMJ527" s="0"/>
    </row>
    <row r="528" customFormat="false" ht="13.8" hidden="true" customHeight="false" outlineLevel="0" collapsed="false">
      <c r="A528" s="117" t="n">
        <v>1000</v>
      </c>
      <c r="B528" s="117" t="s">
        <v>1962</v>
      </c>
      <c r="C528" s="117" t="n">
        <v>100039983</v>
      </c>
      <c r="E528" s="117" t="s">
        <v>1921</v>
      </c>
      <c r="F528" s="117" t="n">
        <v>1108</v>
      </c>
      <c r="G528" s="117" t="n">
        <v>2019</v>
      </c>
      <c r="H528" s="117" t="n">
        <v>3</v>
      </c>
      <c r="I528" s="118" t="n">
        <v>43645</v>
      </c>
      <c r="J528" s="118" t="n">
        <v>43645</v>
      </c>
      <c r="K528" s="119" t="n">
        <v>-6352013.39</v>
      </c>
      <c r="L528" s="128" t="n">
        <f aca="false">K528-Q528+T528</f>
        <v>-6352013.39</v>
      </c>
      <c r="M528" s="117" t="s">
        <v>149</v>
      </c>
      <c r="N528" s="117" t="n">
        <v>-6352013.39</v>
      </c>
      <c r="O528" s="117" t="s">
        <v>149</v>
      </c>
      <c r="P528" s="117" t="n">
        <v>0</v>
      </c>
      <c r="Q528" s="117" t="n">
        <v>0</v>
      </c>
      <c r="R528" s="117" t="n">
        <v>-6352013.39</v>
      </c>
      <c r="S528" s="117" t="n">
        <v>0</v>
      </c>
      <c r="T528" s="117" t="n">
        <v>0</v>
      </c>
      <c r="U528" s="117" t="n">
        <v>318999</v>
      </c>
      <c r="V528" s="117" t="s">
        <v>143</v>
      </c>
      <c r="Z528" s="117" t="n">
        <v>100039983</v>
      </c>
      <c r="AD528" s="117" t="n">
        <v>110000</v>
      </c>
      <c r="AE528" s="117" t="s">
        <v>1966</v>
      </c>
      <c r="AF528" s="117" t="n">
        <v>110000</v>
      </c>
      <c r="AG528" s="117" t="s">
        <v>1966</v>
      </c>
      <c r="AI528" s="117" t="n">
        <v>110000</v>
      </c>
      <c r="AJ528" s="117" t="s">
        <v>1966</v>
      </c>
      <c r="AK528" s="117" t="n">
        <v>0</v>
      </c>
      <c r="AL528" s="117" t="n">
        <v>17</v>
      </c>
      <c r="AM528" s="117" t="s">
        <v>225</v>
      </c>
      <c r="AP528" s="117" t="n">
        <v>100039983</v>
      </c>
      <c r="AQ528" s="118" t="n">
        <v>43645</v>
      </c>
      <c r="AR528" s="118" t="n">
        <v>43646</v>
      </c>
      <c r="AS528" s="117" t="n">
        <v>0.430601851851852</v>
      </c>
      <c r="AT528" s="117" t="n">
        <v>0</v>
      </c>
      <c r="AU528" s="117" t="n">
        <v>0</v>
      </c>
      <c r="AX528" s="117" t="n">
        <v>18</v>
      </c>
    </row>
    <row r="529" customFormat="false" ht="13.8" hidden="true" customHeight="false" outlineLevel="0" collapsed="false">
      <c r="A529" s="117" t="n">
        <v>1000</v>
      </c>
      <c r="B529" s="117" t="s">
        <v>1962</v>
      </c>
      <c r="C529" s="117" t="n">
        <v>1600000096</v>
      </c>
      <c r="E529" s="117" t="s">
        <v>1987</v>
      </c>
      <c r="F529" s="117" t="n">
        <v>1101</v>
      </c>
      <c r="G529" s="117" t="n">
        <v>2019</v>
      </c>
      <c r="H529" s="117" t="n">
        <v>3</v>
      </c>
      <c r="I529" s="118" t="n">
        <v>43645</v>
      </c>
      <c r="J529" s="118" t="n">
        <v>43645</v>
      </c>
      <c r="K529" s="119" t="n">
        <v>-4085</v>
      </c>
      <c r="L529" s="128" t="n">
        <f aca="false">K529-Q529+T529</f>
        <v>-4085</v>
      </c>
      <c r="M529" s="117" t="s">
        <v>149</v>
      </c>
      <c r="N529" s="117" t="n">
        <v>-4085</v>
      </c>
      <c r="O529" s="117" t="s">
        <v>149</v>
      </c>
      <c r="P529" s="117" t="n">
        <v>-4085</v>
      </c>
      <c r="Q529" s="117" t="n">
        <v>0</v>
      </c>
      <c r="R529" s="117" t="n">
        <v>-4085</v>
      </c>
      <c r="S529" s="117" t="n">
        <v>0</v>
      </c>
      <c r="T529" s="117" t="n">
        <v>0</v>
      </c>
      <c r="U529" s="117" t="n">
        <v>304431</v>
      </c>
      <c r="V529" s="117" t="s">
        <v>2016</v>
      </c>
      <c r="X529" s="117" t="s">
        <v>2291</v>
      </c>
      <c r="Y529" s="117" t="s">
        <v>2164</v>
      </c>
      <c r="Z529" s="117" t="n">
        <v>1600000096</v>
      </c>
      <c r="AD529" s="117" t="n">
        <v>110000</v>
      </c>
      <c r="AE529" s="117" t="s">
        <v>1966</v>
      </c>
      <c r="AF529" s="117" t="n">
        <v>111201</v>
      </c>
      <c r="AG529" s="117" t="s">
        <v>2165</v>
      </c>
      <c r="AI529" s="117" t="n">
        <v>111201</v>
      </c>
      <c r="AJ529" s="117" t="s">
        <v>2165</v>
      </c>
      <c r="AK529" s="117" t="n">
        <v>0</v>
      </c>
      <c r="AL529" s="117" t="n">
        <v>14</v>
      </c>
      <c r="AM529" s="117" t="s">
        <v>225</v>
      </c>
      <c r="AP529" s="117" t="n">
        <v>100048476</v>
      </c>
      <c r="AQ529" s="118" t="n">
        <v>43646</v>
      </c>
      <c r="AR529" s="118" t="n">
        <v>43645</v>
      </c>
      <c r="AS529" s="117" t="n">
        <v>0.743657407407408</v>
      </c>
      <c r="AT529" s="117" t="n">
        <v>0</v>
      </c>
      <c r="AU529" s="117" t="n">
        <v>0</v>
      </c>
      <c r="AX529" s="117" t="n">
        <v>9</v>
      </c>
    </row>
    <row r="530" customFormat="false" ht="13.8" hidden="true" customHeight="false" outlineLevel="0" collapsed="false">
      <c r="A530" s="117" t="n">
        <v>1000</v>
      </c>
      <c r="B530" s="117" t="s">
        <v>1962</v>
      </c>
      <c r="C530" s="117" t="n">
        <v>100005090</v>
      </c>
      <c r="E530" s="117" t="s">
        <v>1921</v>
      </c>
      <c r="F530" s="117" t="n">
        <v>1109</v>
      </c>
      <c r="G530" s="117" t="n">
        <v>2019</v>
      </c>
      <c r="H530" s="117" t="n">
        <v>1</v>
      </c>
      <c r="I530" s="118" t="n">
        <v>43585</v>
      </c>
      <c r="J530" s="118" t="n">
        <v>43585</v>
      </c>
      <c r="K530" s="119" t="n">
        <v>464802</v>
      </c>
      <c r="L530" s="128" t="n">
        <f aca="false">K530-Q530+T530</f>
        <v>464802</v>
      </c>
      <c r="M530" s="117" t="s">
        <v>149</v>
      </c>
      <c r="N530" s="117" t="n">
        <v>464802</v>
      </c>
      <c r="O530" s="117" t="s">
        <v>149</v>
      </c>
      <c r="P530" s="117" t="n">
        <v>0</v>
      </c>
      <c r="Q530" s="117" t="n">
        <v>0</v>
      </c>
      <c r="R530" s="117" t="n">
        <v>464802</v>
      </c>
      <c r="S530" s="117" t="n">
        <v>0</v>
      </c>
      <c r="T530" s="117" t="n">
        <v>0</v>
      </c>
      <c r="U530" s="117" t="n">
        <v>305576</v>
      </c>
      <c r="V530" s="117" t="s">
        <v>1973</v>
      </c>
      <c r="X530" s="117" t="s">
        <v>1409</v>
      </c>
      <c r="Z530" s="117" t="n">
        <v>58234</v>
      </c>
      <c r="AB530" s="117" t="s">
        <v>2059</v>
      </c>
      <c r="AD530" s="117" t="n">
        <v>110000</v>
      </c>
      <c r="AE530" s="117" t="s">
        <v>1966</v>
      </c>
      <c r="AF530" s="117" t="n">
        <v>110000</v>
      </c>
      <c r="AG530" s="117" t="s">
        <v>1966</v>
      </c>
      <c r="AI530" s="117" t="n">
        <v>110000</v>
      </c>
      <c r="AJ530" s="117" t="s">
        <v>1966</v>
      </c>
      <c r="AK530" s="117" t="n">
        <v>0</v>
      </c>
      <c r="AL530" s="117" t="n">
        <v>4</v>
      </c>
      <c r="AM530" s="117" t="s">
        <v>161</v>
      </c>
      <c r="AP530" s="117" t="n">
        <v>100057905</v>
      </c>
      <c r="AQ530" s="118" t="n">
        <v>43677</v>
      </c>
      <c r="AR530" s="118" t="n">
        <v>43586</v>
      </c>
      <c r="AS530" s="117" t="n">
        <v>0.369664351851852</v>
      </c>
      <c r="AT530" s="117" t="n">
        <v>0</v>
      </c>
      <c r="AU530" s="117" t="n">
        <v>0</v>
      </c>
      <c r="AX530" s="117" t="n">
        <v>1</v>
      </c>
    </row>
    <row r="531" customFormat="false" ht="13.8" hidden="true" customHeight="false" outlineLevel="0" collapsed="false">
      <c r="A531" s="117" t="n">
        <v>1000</v>
      </c>
      <c r="B531" s="117" t="s">
        <v>1962</v>
      </c>
      <c r="C531" s="117" t="n">
        <v>1600000059</v>
      </c>
      <c r="D531" s="117" t="s">
        <v>2175</v>
      </c>
      <c r="E531" s="117" t="s">
        <v>1987</v>
      </c>
      <c r="F531" s="117" t="n">
        <v>1101</v>
      </c>
      <c r="G531" s="117" t="n">
        <v>2019</v>
      </c>
      <c r="H531" s="117" t="n">
        <v>2</v>
      </c>
      <c r="I531" s="118" t="n">
        <v>43616</v>
      </c>
      <c r="J531" s="118" t="n">
        <v>43616</v>
      </c>
      <c r="K531" s="119" t="n">
        <v>-4268105.57</v>
      </c>
      <c r="L531" s="128" t="n">
        <f aca="false">K531-Q531+T531</f>
        <v>-4268105.57</v>
      </c>
      <c r="M531" s="117" t="s">
        <v>149</v>
      </c>
      <c r="N531" s="117" t="n">
        <v>-4268105.57</v>
      </c>
      <c r="O531" s="117" t="s">
        <v>149</v>
      </c>
      <c r="P531" s="117" t="n">
        <v>-4268105.57</v>
      </c>
      <c r="Q531" s="117" t="n">
        <v>0</v>
      </c>
      <c r="R531" s="117" t="n">
        <v>-4268105.57</v>
      </c>
      <c r="S531" s="117" t="n">
        <v>0</v>
      </c>
      <c r="T531" s="117" t="n">
        <v>0</v>
      </c>
      <c r="U531" s="117" t="n">
        <v>318999</v>
      </c>
      <c r="V531" s="117" t="s">
        <v>143</v>
      </c>
      <c r="X531" s="117" t="s">
        <v>2176</v>
      </c>
      <c r="Y531" s="117" t="s">
        <v>2176</v>
      </c>
      <c r="Z531" s="117" t="n">
        <v>1600000059</v>
      </c>
      <c r="AD531" s="117" t="n">
        <v>110000</v>
      </c>
      <c r="AE531" s="117" t="s">
        <v>1966</v>
      </c>
      <c r="AF531" s="117" t="n">
        <v>318999</v>
      </c>
      <c r="AG531" s="117" t="s">
        <v>143</v>
      </c>
      <c r="AI531" s="117" t="n">
        <v>318999</v>
      </c>
      <c r="AJ531" s="131" t="s">
        <v>143</v>
      </c>
      <c r="AK531" s="117" t="n">
        <v>0</v>
      </c>
      <c r="AL531" s="117" t="n">
        <v>14</v>
      </c>
      <c r="AM531" s="117" t="s">
        <v>225</v>
      </c>
      <c r="AP531" s="117" t="n">
        <v>100022981</v>
      </c>
      <c r="AQ531" s="118" t="n">
        <v>43616</v>
      </c>
      <c r="AR531" s="118" t="n">
        <v>43618</v>
      </c>
      <c r="AS531" s="117" t="n">
        <v>0.616168981481482</v>
      </c>
      <c r="AT531" s="117" t="n">
        <v>0</v>
      </c>
      <c r="AU531" s="117" t="n">
        <v>0</v>
      </c>
      <c r="AX531" s="117" t="n">
        <v>2</v>
      </c>
    </row>
    <row r="532" customFormat="false" ht="13.8" hidden="true" customHeight="false" outlineLevel="0" collapsed="false">
      <c r="A532" s="117" t="n">
        <v>1000</v>
      </c>
      <c r="B532" s="117" t="s">
        <v>1962</v>
      </c>
      <c r="C532" s="117" t="n">
        <v>100048476</v>
      </c>
      <c r="E532" s="117" t="s">
        <v>1921</v>
      </c>
      <c r="F532" s="117" t="n">
        <v>1106</v>
      </c>
      <c r="G532" s="117" t="n">
        <v>2019</v>
      </c>
      <c r="H532" s="117" t="n">
        <v>3</v>
      </c>
      <c r="I532" s="118" t="n">
        <v>43646</v>
      </c>
      <c r="J532" s="118" t="n">
        <v>43646</v>
      </c>
      <c r="K532" s="119" t="n">
        <v>0.25</v>
      </c>
      <c r="L532" s="128" t="n">
        <f aca="false">K532-Q532+T532</f>
        <v>0.25</v>
      </c>
      <c r="M532" s="117" t="s">
        <v>149</v>
      </c>
      <c r="N532" s="117" t="n">
        <v>0.25</v>
      </c>
      <c r="O532" s="117" t="s">
        <v>149</v>
      </c>
      <c r="P532" s="117" t="n">
        <v>0</v>
      </c>
      <c r="Q532" s="117" t="n">
        <v>0</v>
      </c>
      <c r="R532" s="117" t="n">
        <v>0.25</v>
      </c>
      <c r="S532" s="117" t="n">
        <v>0</v>
      </c>
      <c r="T532" s="117" t="n">
        <v>0</v>
      </c>
      <c r="U532" s="117" t="n">
        <v>304431</v>
      </c>
      <c r="V532" s="117" t="s">
        <v>2016</v>
      </c>
      <c r="Z532" s="117" t="n">
        <v>100048476</v>
      </c>
      <c r="AD532" s="117" t="n">
        <v>310300</v>
      </c>
      <c r="AE532" s="117" t="s">
        <v>1969</v>
      </c>
      <c r="AF532" s="117" t="n">
        <v>310300</v>
      </c>
      <c r="AG532" s="117" t="s">
        <v>1969</v>
      </c>
      <c r="AI532" s="117" t="n">
        <v>310300</v>
      </c>
      <c r="AJ532" s="117" t="s">
        <v>1969</v>
      </c>
      <c r="AK532" s="117" t="n">
        <v>0</v>
      </c>
      <c r="AL532" s="117" t="n">
        <v>9</v>
      </c>
      <c r="AM532" s="117" t="s">
        <v>161</v>
      </c>
      <c r="AN532" s="117" t="s">
        <v>1978</v>
      </c>
      <c r="AP532" s="117" t="n">
        <v>100048476</v>
      </c>
      <c r="AQ532" s="118" t="n">
        <v>43646</v>
      </c>
      <c r="AR532" s="118" t="n">
        <v>43647</v>
      </c>
      <c r="AS532" s="117" t="n">
        <v>0.165833333333333</v>
      </c>
      <c r="AT532" s="117" t="n">
        <v>0</v>
      </c>
      <c r="AU532" s="117" t="n">
        <v>0</v>
      </c>
      <c r="AX532" s="117" t="n">
        <v>4</v>
      </c>
    </row>
    <row r="533" customFormat="false" ht="13.8" hidden="true" customHeight="false" outlineLevel="0" collapsed="false">
      <c r="A533" s="117" t="n">
        <v>1000</v>
      </c>
      <c r="B533" s="117" t="s">
        <v>1962</v>
      </c>
      <c r="C533" s="117" t="n">
        <v>100039091</v>
      </c>
      <c r="E533" s="117" t="s">
        <v>1921</v>
      </c>
      <c r="F533" s="117" t="n">
        <v>1101</v>
      </c>
      <c r="G533" s="117" t="n">
        <v>2019</v>
      </c>
      <c r="H533" s="117" t="n">
        <v>3</v>
      </c>
      <c r="I533" s="118" t="n">
        <v>43644</v>
      </c>
      <c r="J533" s="118" t="n">
        <v>43644</v>
      </c>
      <c r="K533" s="119" t="n">
        <v>3658000</v>
      </c>
      <c r="L533" s="128" t="n">
        <f aca="false">K533-Q533+T533</f>
        <v>3658000</v>
      </c>
      <c r="M533" s="117" t="s">
        <v>149</v>
      </c>
      <c r="N533" s="117" t="n">
        <v>3658000</v>
      </c>
      <c r="O533" s="117" t="s">
        <v>149</v>
      </c>
      <c r="P533" s="117" t="n">
        <v>0</v>
      </c>
      <c r="Q533" s="117" t="n">
        <v>0</v>
      </c>
      <c r="R533" s="117" t="n">
        <v>3658000</v>
      </c>
      <c r="S533" s="117" t="n">
        <v>0</v>
      </c>
      <c r="T533" s="117" t="n">
        <v>0</v>
      </c>
      <c r="U533" s="117" t="n">
        <v>309728</v>
      </c>
      <c r="V533" s="117" t="s">
        <v>1968</v>
      </c>
      <c r="X533" s="117" t="s">
        <v>1493</v>
      </c>
      <c r="Z533" s="117" t="n">
        <v>59184</v>
      </c>
      <c r="AB533" s="117" t="n">
        <v>2300049939</v>
      </c>
      <c r="AD533" s="117" t="n">
        <v>110000</v>
      </c>
      <c r="AE533" s="117" t="s">
        <v>1966</v>
      </c>
      <c r="AF533" s="117" t="n">
        <v>110000</v>
      </c>
      <c r="AG533" s="117" t="s">
        <v>1966</v>
      </c>
      <c r="AI533" s="117" t="n">
        <v>110000</v>
      </c>
      <c r="AJ533" s="117" t="s">
        <v>1966</v>
      </c>
      <c r="AK533" s="117" t="n">
        <v>0</v>
      </c>
      <c r="AL533" s="117" t="n">
        <v>4</v>
      </c>
      <c r="AM533" s="117" t="s">
        <v>161</v>
      </c>
      <c r="AP533" s="117" t="n">
        <v>100075998</v>
      </c>
      <c r="AQ533" s="118" t="n">
        <v>43703</v>
      </c>
      <c r="AR533" s="118" t="n">
        <v>43644</v>
      </c>
      <c r="AS533" s="117" t="n">
        <v>0.190081018518518</v>
      </c>
      <c r="AT533" s="117" t="n">
        <v>0</v>
      </c>
      <c r="AU533" s="117" t="n">
        <v>0</v>
      </c>
      <c r="AX533" s="117" t="n">
        <v>7</v>
      </c>
    </row>
    <row r="534" customFormat="false" ht="13.8" hidden="true" customHeight="false" outlineLevel="0" collapsed="false">
      <c r="A534" s="117" t="n">
        <v>1000</v>
      </c>
      <c r="B534" s="117" t="s">
        <v>1962</v>
      </c>
      <c r="C534" s="117" t="n">
        <v>100020122</v>
      </c>
      <c r="E534" s="117" t="s">
        <v>1921</v>
      </c>
      <c r="F534" s="117" t="n">
        <v>1108</v>
      </c>
      <c r="G534" s="117" t="n">
        <v>2019</v>
      </c>
      <c r="H534" s="117" t="n">
        <v>2</v>
      </c>
      <c r="I534" s="118" t="n">
        <v>43611</v>
      </c>
      <c r="J534" s="118" t="n">
        <v>43611</v>
      </c>
      <c r="K534" s="119" t="n">
        <v>-1253641.95</v>
      </c>
      <c r="L534" s="128" t="n">
        <f aca="false">K534-Q534+T534</f>
        <v>-1253641.95</v>
      </c>
      <c r="M534" s="117" t="s">
        <v>149</v>
      </c>
      <c r="N534" s="117" t="n">
        <v>-1253641.95</v>
      </c>
      <c r="O534" s="117" t="s">
        <v>149</v>
      </c>
      <c r="P534" s="117" t="n">
        <v>0</v>
      </c>
      <c r="Q534" s="117" t="n">
        <v>0</v>
      </c>
      <c r="R534" s="117" t="n">
        <v>-1253641.95</v>
      </c>
      <c r="S534" s="117" t="n">
        <v>0</v>
      </c>
      <c r="T534" s="117" t="n">
        <v>0</v>
      </c>
      <c r="U534" s="117" t="n">
        <v>306263</v>
      </c>
      <c r="V534" s="117" t="s">
        <v>2006</v>
      </c>
      <c r="Z534" s="117" t="n">
        <v>100020122</v>
      </c>
      <c r="AD534" s="117" t="n">
        <v>110000</v>
      </c>
      <c r="AE534" s="117" t="s">
        <v>1966</v>
      </c>
      <c r="AF534" s="117" t="n">
        <v>110000</v>
      </c>
      <c r="AG534" s="117" t="s">
        <v>1966</v>
      </c>
      <c r="AI534" s="117" t="n">
        <v>110000</v>
      </c>
      <c r="AJ534" s="117" t="s">
        <v>1966</v>
      </c>
      <c r="AK534" s="117" t="n">
        <v>0</v>
      </c>
      <c r="AL534" s="117" t="n">
        <v>17</v>
      </c>
      <c r="AM534" s="117" t="s">
        <v>225</v>
      </c>
      <c r="AP534" s="117" t="n">
        <v>100020122</v>
      </c>
      <c r="AQ534" s="118" t="n">
        <v>43611</v>
      </c>
      <c r="AR534" s="118" t="n">
        <v>43611</v>
      </c>
      <c r="AS534" s="117" t="n">
        <v>0.717002314814815</v>
      </c>
      <c r="AT534" s="117" t="n">
        <v>0</v>
      </c>
      <c r="AU534" s="117" t="n">
        <v>0</v>
      </c>
      <c r="AX534" s="117" t="n">
        <v>2</v>
      </c>
    </row>
    <row r="535" s="106" customFormat="true" ht="13.8" hidden="true" customHeight="false" outlineLevel="0" collapsed="false">
      <c r="A535" s="106" t="n">
        <v>1000</v>
      </c>
      <c r="B535" s="106" t="s">
        <v>1962</v>
      </c>
      <c r="C535" s="106" t="n">
        <v>103164</v>
      </c>
      <c r="D535" s="106" t="s">
        <v>1493</v>
      </c>
      <c r="E535" s="106" t="s">
        <v>1970</v>
      </c>
      <c r="F535" s="106" t="n">
        <v>1101</v>
      </c>
      <c r="G535" s="106" t="n">
        <v>2019</v>
      </c>
      <c r="H535" s="106" t="n">
        <v>3</v>
      </c>
      <c r="I535" s="129" t="n">
        <v>43630</v>
      </c>
      <c r="J535" s="129" t="n">
        <v>43630</v>
      </c>
      <c r="K535" s="107" t="n">
        <v>3658000</v>
      </c>
      <c r="L535" s="130" t="n">
        <f aca="false">K535-Q535+T535</f>
        <v>3100000</v>
      </c>
      <c r="M535" s="106" t="s">
        <v>149</v>
      </c>
      <c r="N535" s="106" t="n">
        <v>3658000</v>
      </c>
      <c r="O535" s="106" t="s">
        <v>149</v>
      </c>
      <c r="P535" s="106" t="n">
        <v>0</v>
      </c>
      <c r="Q535" s="107" t="n">
        <v>558000</v>
      </c>
      <c r="R535" s="106" t="n">
        <v>3100000</v>
      </c>
      <c r="S535" s="106" t="n">
        <v>0</v>
      </c>
      <c r="T535" s="106" t="n">
        <v>0</v>
      </c>
      <c r="U535" s="106" t="n">
        <v>309728</v>
      </c>
      <c r="V535" s="106" t="s">
        <v>1968</v>
      </c>
      <c r="Z535" s="106" t="n">
        <v>59184</v>
      </c>
      <c r="AB535" s="106" t="n">
        <v>2300049939</v>
      </c>
      <c r="AD535" s="106" t="n">
        <v>110000</v>
      </c>
      <c r="AE535" s="106" t="s">
        <v>1966</v>
      </c>
      <c r="AF535" s="106" t="n">
        <v>501000</v>
      </c>
      <c r="AG535" s="106" t="s">
        <v>2170</v>
      </c>
      <c r="AI535" s="106" t="n">
        <v>501000</v>
      </c>
      <c r="AJ535" s="106" t="s">
        <v>2170</v>
      </c>
      <c r="AK535" s="106" t="n">
        <v>0</v>
      </c>
      <c r="AL535" s="106" t="n">
        <v>1</v>
      </c>
      <c r="AM535" s="106" t="s">
        <v>161</v>
      </c>
      <c r="AP535" s="106" t="n">
        <v>100039091</v>
      </c>
      <c r="AQ535" s="129" t="n">
        <v>43644</v>
      </c>
      <c r="AR535" s="129" t="n">
        <v>43630</v>
      </c>
      <c r="AS535" s="106" t="n">
        <v>0.699502314814815</v>
      </c>
      <c r="AT535" s="106" t="n">
        <v>0</v>
      </c>
      <c r="AU535" s="106" t="n">
        <v>0</v>
      </c>
      <c r="AX535" s="106" t="n">
        <v>1</v>
      </c>
      <c r="ALU535" s="0"/>
      <c r="ALV535" s="0"/>
      <c r="ALW535" s="0"/>
      <c r="ALX535" s="0"/>
      <c r="ALY535" s="0"/>
      <c r="ALZ535" s="0"/>
      <c r="AMA535" s="0"/>
      <c r="AMB535" s="0"/>
      <c r="AMC535" s="0"/>
      <c r="AMD535" s="0"/>
      <c r="AME535" s="0"/>
      <c r="AMF535" s="0"/>
      <c r="AMG535" s="0"/>
      <c r="AMH535" s="0"/>
      <c r="AMI535" s="0"/>
      <c r="AMJ535" s="0"/>
    </row>
    <row r="536" customFormat="false" ht="13.8" hidden="true" customHeight="false" outlineLevel="0" collapsed="false">
      <c r="A536" s="117" t="n">
        <v>1000</v>
      </c>
      <c r="B536" s="117" t="s">
        <v>1962</v>
      </c>
      <c r="C536" s="117" t="n">
        <v>1400001768</v>
      </c>
      <c r="E536" s="117" t="s">
        <v>1972</v>
      </c>
      <c r="F536" s="117" t="n">
        <v>1101</v>
      </c>
      <c r="G536" s="117" t="n">
        <v>2019</v>
      </c>
      <c r="H536" s="117" t="n">
        <v>2</v>
      </c>
      <c r="I536" s="118" t="n">
        <v>43607</v>
      </c>
      <c r="J536" s="118" t="n">
        <v>43607</v>
      </c>
      <c r="K536" s="119" t="n">
        <v>-236918.2</v>
      </c>
      <c r="L536" s="128" t="n">
        <f aca="false">K536-Q536+T536</f>
        <v>-236918.2</v>
      </c>
      <c r="M536" s="117" t="s">
        <v>149</v>
      </c>
      <c r="N536" s="117" t="n">
        <v>-236918.2</v>
      </c>
      <c r="O536" s="117" t="s">
        <v>149</v>
      </c>
      <c r="P536" s="117" t="n">
        <v>0</v>
      </c>
      <c r="Q536" s="117" t="n">
        <v>0</v>
      </c>
      <c r="R536" s="117" t="n">
        <v>-236918.2</v>
      </c>
      <c r="S536" s="117" t="n">
        <v>0</v>
      </c>
      <c r="T536" s="117" t="n">
        <v>0</v>
      </c>
      <c r="U536" s="117" t="n">
        <v>304431</v>
      </c>
      <c r="V536" s="117" t="s">
        <v>2016</v>
      </c>
      <c r="X536" s="117" t="s">
        <v>2292</v>
      </c>
      <c r="Y536" s="117" t="s">
        <v>2293</v>
      </c>
      <c r="Z536" s="117" t="n">
        <v>1400001768</v>
      </c>
      <c r="AC536" s="117" t="s">
        <v>1976</v>
      </c>
      <c r="AD536" s="117" t="n">
        <v>310300</v>
      </c>
      <c r="AE536" s="117" t="s">
        <v>1969</v>
      </c>
      <c r="AF536" s="117" t="n">
        <v>101105</v>
      </c>
      <c r="AG536" s="117" t="s">
        <v>1977</v>
      </c>
      <c r="AI536" s="117" t="n">
        <v>101105</v>
      </c>
      <c r="AJ536" s="117" t="s">
        <v>1977</v>
      </c>
      <c r="AK536" s="117" t="n">
        <v>0</v>
      </c>
      <c r="AL536" s="117" t="n">
        <v>19</v>
      </c>
      <c r="AM536" s="117" t="s">
        <v>225</v>
      </c>
      <c r="AN536" s="117" t="s">
        <v>1978</v>
      </c>
      <c r="AP536" s="117" t="n">
        <v>100020120</v>
      </c>
      <c r="AQ536" s="118" t="n">
        <v>43611</v>
      </c>
      <c r="AR536" s="118" t="n">
        <v>43608</v>
      </c>
      <c r="AS536" s="117" t="n">
        <v>0.639039351851852</v>
      </c>
      <c r="AT536" s="117" t="n">
        <v>0</v>
      </c>
      <c r="AU536" s="117" t="n">
        <v>0</v>
      </c>
      <c r="AX536" s="117" t="n">
        <v>2</v>
      </c>
    </row>
    <row r="537" customFormat="false" ht="13.8" hidden="true" customHeight="false" outlineLevel="0" collapsed="false">
      <c r="A537" s="117" t="n">
        <v>1000</v>
      </c>
      <c r="B537" s="117" t="s">
        <v>1962</v>
      </c>
      <c r="C537" s="117" t="n">
        <v>100004388</v>
      </c>
      <c r="E537" s="117" t="s">
        <v>1921</v>
      </c>
      <c r="F537" s="117" t="n">
        <v>1108</v>
      </c>
      <c r="G537" s="117" t="n">
        <v>2019</v>
      </c>
      <c r="H537" s="117" t="n">
        <v>1</v>
      </c>
      <c r="I537" s="118" t="n">
        <v>43583</v>
      </c>
      <c r="J537" s="118" t="n">
        <v>43583</v>
      </c>
      <c r="K537" s="119" t="n">
        <v>0.4</v>
      </c>
      <c r="L537" s="128" t="n">
        <f aca="false">K537-Q537+T537</f>
        <v>0.4</v>
      </c>
      <c r="M537" s="117" t="s">
        <v>149</v>
      </c>
      <c r="N537" s="117" t="n">
        <v>0.4</v>
      </c>
      <c r="O537" s="117" t="s">
        <v>149</v>
      </c>
      <c r="P537" s="117" t="n">
        <v>0</v>
      </c>
      <c r="Q537" s="117" t="n">
        <v>0</v>
      </c>
      <c r="R537" s="117" t="n">
        <v>0.4</v>
      </c>
      <c r="S537" s="117" t="n">
        <v>0</v>
      </c>
      <c r="T537" s="117" t="n">
        <v>0</v>
      </c>
      <c r="U537" s="117" t="n">
        <v>318064</v>
      </c>
      <c r="V537" s="117" t="s">
        <v>2206</v>
      </c>
      <c r="Z537" s="117" t="n">
        <v>57344</v>
      </c>
      <c r="AB537" s="117" t="s">
        <v>2294</v>
      </c>
      <c r="AD537" s="117" t="n">
        <v>110000</v>
      </c>
      <c r="AE537" s="117" t="s">
        <v>1966</v>
      </c>
      <c r="AF537" s="117" t="n">
        <v>110000</v>
      </c>
      <c r="AG537" s="117" t="s">
        <v>1966</v>
      </c>
      <c r="AI537" s="117" t="n">
        <v>110000</v>
      </c>
      <c r="AJ537" s="117" t="s">
        <v>1966</v>
      </c>
      <c r="AK537" s="117" t="n">
        <v>0</v>
      </c>
      <c r="AL537" s="117" t="n">
        <v>4</v>
      </c>
      <c r="AM537" s="117" t="s">
        <v>161</v>
      </c>
      <c r="AP537" s="117" t="n">
        <v>100014556</v>
      </c>
      <c r="AQ537" s="118" t="n">
        <v>43585</v>
      </c>
      <c r="AR537" s="118" t="n">
        <v>43583</v>
      </c>
      <c r="AS537" s="117" t="n">
        <v>0.613657407407407</v>
      </c>
      <c r="AT537" s="117" t="n">
        <v>0</v>
      </c>
      <c r="AU537" s="117" t="n">
        <v>0</v>
      </c>
      <c r="AX537" s="117" t="n">
        <v>1</v>
      </c>
    </row>
    <row r="538" customFormat="false" ht="13.8" hidden="true" customHeight="false" outlineLevel="0" collapsed="false">
      <c r="A538" s="117" t="n">
        <v>1000</v>
      </c>
      <c r="B538" s="117" t="s">
        <v>1962</v>
      </c>
      <c r="C538" s="117" t="n">
        <v>100039103</v>
      </c>
      <c r="E538" s="117" t="s">
        <v>1921</v>
      </c>
      <c r="F538" s="117" t="n">
        <v>1109</v>
      </c>
      <c r="G538" s="117" t="n">
        <v>2019</v>
      </c>
      <c r="H538" s="117" t="n">
        <v>3</v>
      </c>
      <c r="I538" s="118" t="n">
        <v>43644</v>
      </c>
      <c r="J538" s="118" t="n">
        <v>43644</v>
      </c>
      <c r="K538" s="119" t="n">
        <v>-1285267.8</v>
      </c>
      <c r="L538" s="128" t="n">
        <f aca="false">K538-Q538+T538</f>
        <v>-1285267.8</v>
      </c>
      <c r="M538" s="117" t="s">
        <v>149</v>
      </c>
      <c r="N538" s="117" t="n">
        <v>-1285267.8</v>
      </c>
      <c r="O538" s="117" t="s">
        <v>149</v>
      </c>
      <c r="P538" s="117" t="n">
        <v>0</v>
      </c>
      <c r="Q538" s="117" t="n">
        <v>0</v>
      </c>
      <c r="R538" s="117" t="n">
        <v>-1285267.8</v>
      </c>
      <c r="S538" s="117" t="n">
        <v>0</v>
      </c>
      <c r="T538" s="117" t="n">
        <v>0</v>
      </c>
      <c r="U538" s="117" t="n">
        <v>312193</v>
      </c>
      <c r="V538" s="117" t="s">
        <v>1963</v>
      </c>
      <c r="Z538" s="117" t="n">
        <v>100039103</v>
      </c>
      <c r="AD538" s="117" t="n">
        <v>110000</v>
      </c>
      <c r="AE538" s="117" t="s">
        <v>1966</v>
      </c>
      <c r="AF538" s="117" t="n">
        <v>110000</v>
      </c>
      <c r="AG538" s="117" t="s">
        <v>1966</v>
      </c>
      <c r="AI538" s="117" t="n">
        <v>110000</v>
      </c>
      <c r="AJ538" s="117" t="s">
        <v>1966</v>
      </c>
      <c r="AK538" s="117" t="n">
        <v>0</v>
      </c>
      <c r="AL538" s="117" t="n">
        <v>17</v>
      </c>
      <c r="AM538" s="117" t="s">
        <v>225</v>
      </c>
      <c r="AP538" s="117" t="n">
        <v>100039103</v>
      </c>
      <c r="AQ538" s="118" t="n">
        <v>43644</v>
      </c>
      <c r="AR538" s="118" t="n">
        <v>43644</v>
      </c>
      <c r="AS538" s="117" t="n">
        <v>0.199340277777778</v>
      </c>
      <c r="AT538" s="117" t="n">
        <v>0</v>
      </c>
      <c r="AU538" s="117" t="n">
        <v>0</v>
      </c>
      <c r="AX538" s="117" t="n">
        <v>4</v>
      </c>
    </row>
    <row r="539" customFormat="false" ht="13.8" hidden="true" customHeight="false" outlineLevel="0" collapsed="false">
      <c r="A539" s="117" t="n">
        <v>1000</v>
      </c>
      <c r="B539" s="117" t="s">
        <v>1962</v>
      </c>
      <c r="C539" s="117" t="n">
        <v>100031512</v>
      </c>
      <c r="E539" s="117" t="s">
        <v>1921</v>
      </c>
      <c r="F539" s="117" t="n">
        <v>1108</v>
      </c>
      <c r="G539" s="117" t="n">
        <v>2019</v>
      </c>
      <c r="H539" s="117" t="n">
        <v>2</v>
      </c>
      <c r="I539" s="118" t="n">
        <v>43616</v>
      </c>
      <c r="J539" s="118" t="n">
        <v>43616</v>
      </c>
      <c r="K539" s="119" t="n">
        <v>4428.26</v>
      </c>
      <c r="L539" s="128" t="n">
        <f aca="false">K539-Q539+T539</f>
        <v>4428.26</v>
      </c>
      <c r="M539" s="117" t="s">
        <v>149</v>
      </c>
      <c r="N539" s="117" t="n">
        <v>4428.26</v>
      </c>
      <c r="O539" s="117" t="s">
        <v>149</v>
      </c>
      <c r="P539" s="117" t="n">
        <v>0</v>
      </c>
      <c r="Q539" s="117" t="n">
        <v>0</v>
      </c>
      <c r="R539" s="117" t="n">
        <v>4428.26</v>
      </c>
      <c r="S539" s="117" t="n">
        <v>0</v>
      </c>
      <c r="T539" s="117" t="n">
        <v>0</v>
      </c>
      <c r="U539" s="117" t="n">
        <v>314258</v>
      </c>
      <c r="V539" s="117" t="s">
        <v>143</v>
      </c>
      <c r="X539" s="117" t="s">
        <v>2295</v>
      </c>
      <c r="Z539" s="117" t="n">
        <v>2249</v>
      </c>
      <c r="AB539" s="117" t="s">
        <v>2234</v>
      </c>
      <c r="AD539" s="117" t="n">
        <v>110000</v>
      </c>
      <c r="AE539" s="117" t="s">
        <v>1966</v>
      </c>
      <c r="AF539" s="117" t="n">
        <v>110000</v>
      </c>
      <c r="AG539" s="117" t="s">
        <v>1966</v>
      </c>
      <c r="AI539" s="117" t="n">
        <v>110000</v>
      </c>
      <c r="AJ539" s="117" t="s">
        <v>1966</v>
      </c>
      <c r="AK539" s="117" t="n">
        <v>0</v>
      </c>
      <c r="AL539" s="117" t="n">
        <v>4</v>
      </c>
      <c r="AM539" s="117" t="s">
        <v>161</v>
      </c>
      <c r="AR539" s="118" t="n">
        <v>43619</v>
      </c>
      <c r="AS539" s="117" t="n">
        <v>0.465694444444444</v>
      </c>
      <c r="AT539" s="117" t="n">
        <v>0</v>
      </c>
      <c r="AU539" s="117" t="n">
        <v>0</v>
      </c>
      <c r="AX539" s="117" t="n">
        <v>1</v>
      </c>
    </row>
    <row r="540" s="106" customFormat="true" ht="13.8" hidden="true" customHeight="false" outlineLevel="0" collapsed="false">
      <c r="A540" s="106" t="n">
        <v>1000</v>
      </c>
      <c r="B540" s="106" t="s">
        <v>1962</v>
      </c>
      <c r="C540" s="106" t="n">
        <v>101111</v>
      </c>
      <c r="D540" s="106" t="s">
        <v>2270</v>
      </c>
      <c r="E540" s="106" t="s">
        <v>1970</v>
      </c>
      <c r="F540" s="106" t="n">
        <v>1108</v>
      </c>
      <c r="G540" s="106" t="n">
        <v>2019</v>
      </c>
      <c r="H540" s="106" t="n">
        <v>1</v>
      </c>
      <c r="I540" s="129" t="n">
        <v>43585</v>
      </c>
      <c r="J540" s="129" t="n">
        <v>43585</v>
      </c>
      <c r="K540" s="107" t="n">
        <v>332796.58</v>
      </c>
      <c r="L540" s="130" t="n">
        <f aca="false">K540-Q540+T540</f>
        <v>282031</v>
      </c>
      <c r="M540" s="106" t="s">
        <v>149</v>
      </c>
      <c r="N540" s="106" t="n">
        <v>332796.58</v>
      </c>
      <c r="O540" s="106" t="s">
        <v>149</v>
      </c>
      <c r="P540" s="106" t="n">
        <v>0</v>
      </c>
      <c r="Q540" s="107" t="n">
        <v>50765.58</v>
      </c>
      <c r="R540" s="106" t="n">
        <v>282031</v>
      </c>
      <c r="S540" s="106" t="n">
        <v>0</v>
      </c>
      <c r="T540" s="106" t="n">
        <v>0</v>
      </c>
      <c r="U540" s="106" t="n">
        <v>312193</v>
      </c>
      <c r="V540" s="106" t="s">
        <v>1963</v>
      </c>
      <c r="Z540" s="106" t="n">
        <v>2346</v>
      </c>
      <c r="AB540" s="106" t="s">
        <v>2031</v>
      </c>
      <c r="AD540" s="106" t="n">
        <v>110000</v>
      </c>
      <c r="AE540" s="106" t="s">
        <v>1966</v>
      </c>
      <c r="AF540" s="106" t="n">
        <v>501020</v>
      </c>
      <c r="AG540" s="106" t="s">
        <v>1971</v>
      </c>
      <c r="AI540" s="106" t="n">
        <v>501020</v>
      </c>
      <c r="AJ540" s="106" t="s">
        <v>1971</v>
      </c>
      <c r="AK540" s="106" t="n">
        <v>0</v>
      </c>
      <c r="AL540" s="106" t="n">
        <v>1</v>
      </c>
      <c r="AM540" s="106" t="s">
        <v>161</v>
      </c>
      <c r="AP540" s="106" t="n">
        <v>100005107</v>
      </c>
      <c r="AQ540" s="129" t="n">
        <v>43585</v>
      </c>
      <c r="AR540" s="129" t="n">
        <v>43585</v>
      </c>
      <c r="AS540" s="106" t="n">
        <v>0.586516203703704</v>
      </c>
      <c r="AT540" s="106" t="n">
        <v>0</v>
      </c>
      <c r="AU540" s="106" t="n">
        <v>0</v>
      </c>
      <c r="AX540" s="106" t="n">
        <v>1</v>
      </c>
      <c r="ALU540" s="0"/>
      <c r="ALV540" s="0"/>
      <c r="ALW540" s="0"/>
      <c r="ALX540" s="0"/>
      <c r="ALY540" s="0"/>
      <c r="ALZ540" s="0"/>
      <c r="AMA540" s="0"/>
      <c r="AMB540" s="0"/>
      <c r="AMC540" s="0"/>
      <c r="AMD540" s="0"/>
      <c r="AME540" s="0"/>
      <c r="AMF540" s="0"/>
      <c r="AMG540" s="0"/>
      <c r="AMH540" s="0"/>
      <c r="AMI540" s="0"/>
      <c r="AMJ540" s="0"/>
    </row>
    <row r="541" customFormat="false" ht="13.8" hidden="true" customHeight="false" outlineLevel="0" collapsed="false">
      <c r="A541" s="117" t="n">
        <v>1000</v>
      </c>
      <c r="B541" s="117" t="s">
        <v>1962</v>
      </c>
      <c r="C541" s="117" t="n">
        <v>100022980</v>
      </c>
      <c r="E541" s="117" t="s">
        <v>1921</v>
      </c>
      <c r="F541" s="117" t="n">
        <v>1101</v>
      </c>
      <c r="G541" s="117" t="n">
        <v>2019</v>
      </c>
      <c r="H541" s="117" t="n">
        <v>2</v>
      </c>
      <c r="I541" s="118" t="n">
        <v>43616</v>
      </c>
      <c r="J541" s="118" t="n">
        <v>43616</v>
      </c>
      <c r="K541" s="119" t="n">
        <v>837724.05</v>
      </c>
      <c r="L541" s="128" t="n">
        <f aca="false">K541-Q541+T541</f>
        <v>837724.05</v>
      </c>
      <c r="M541" s="117" t="s">
        <v>149</v>
      </c>
      <c r="N541" s="117" t="n">
        <v>837724.05</v>
      </c>
      <c r="O541" s="117" t="s">
        <v>149</v>
      </c>
      <c r="P541" s="117" t="n">
        <v>0</v>
      </c>
      <c r="Q541" s="117" t="n">
        <v>0</v>
      </c>
      <c r="R541" s="117" t="n">
        <v>837724.05</v>
      </c>
      <c r="S541" s="117" t="n">
        <v>0</v>
      </c>
      <c r="T541" s="117" t="n">
        <v>0</v>
      </c>
      <c r="U541" s="117" t="n">
        <v>318999</v>
      </c>
      <c r="V541" s="117" t="s">
        <v>143</v>
      </c>
      <c r="X541" s="117" t="s">
        <v>1520</v>
      </c>
      <c r="Z541" s="117" t="n">
        <v>100022980</v>
      </c>
      <c r="AD541" s="117" t="n">
        <v>110000</v>
      </c>
      <c r="AE541" s="117" t="s">
        <v>1966</v>
      </c>
      <c r="AF541" s="117" t="n">
        <v>110000</v>
      </c>
      <c r="AG541" s="117" t="s">
        <v>1966</v>
      </c>
      <c r="AI541" s="117" t="n">
        <v>110000</v>
      </c>
      <c r="AJ541" s="117" t="s">
        <v>1966</v>
      </c>
      <c r="AK541" s="117" t="n">
        <v>0</v>
      </c>
      <c r="AL541" s="117" t="n">
        <v>4</v>
      </c>
      <c r="AM541" s="117" t="s">
        <v>161</v>
      </c>
      <c r="AP541" s="117" t="n">
        <v>100057912</v>
      </c>
      <c r="AQ541" s="118" t="n">
        <v>43677</v>
      </c>
      <c r="AR541" s="118" t="n">
        <v>43618</v>
      </c>
      <c r="AS541" s="117" t="n">
        <v>0.614305555555556</v>
      </c>
      <c r="AT541" s="117" t="n">
        <v>0</v>
      </c>
      <c r="AU541" s="117" t="n">
        <v>0</v>
      </c>
      <c r="AX541" s="117" t="n">
        <v>19</v>
      </c>
    </row>
    <row r="542" s="106" customFormat="true" ht="13.8" hidden="true" customHeight="false" outlineLevel="0" collapsed="false">
      <c r="A542" s="106" t="n">
        <v>1000</v>
      </c>
      <c r="B542" s="106" t="s">
        <v>1962</v>
      </c>
      <c r="C542" s="106" t="n">
        <v>102397</v>
      </c>
      <c r="D542" s="106" t="s">
        <v>1520</v>
      </c>
      <c r="E542" s="106" t="s">
        <v>1970</v>
      </c>
      <c r="F542" s="106" t="n">
        <v>1101</v>
      </c>
      <c r="G542" s="106" t="n">
        <v>2019</v>
      </c>
      <c r="H542" s="106" t="n">
        <v>2</v>
      </c>
      <c r="I542" s="129" t="n">
        <v>43615</v>
      </c>
      <c r="J542" s="129" t="n">
        <v>43615</v>
      </c>
      <c r="K542" s="107" t="n">
        <v>985557.71</v>
      </c>
      <c r="L542" s="130" t="n">
        <f aca="false">K542-Q542+T542</f>
        <v>835218.43</v>
      </c>
      <c r="M542" s="106" t="s">
        <v>149</v>
      </c>
      <c r="N542" s="106" t="n">
        <v>985557.71</v>
      </c>
      <c r="O542" s="106" t="s">
        <v>149</v>
      </c>
      <c r="P542" s="106" t="n">
        <v>0</v>
      </c>
      <c r="Q542" s="107" t="n">
        <v>150339.28</v>
      </c>
      <c r="R542" s="106" t="n">
        <v>835218.43</v>
      </c>
      <c r="S542" s="106" t="n">
        <v>0</v>
      </c>
      <c r="T542" s="106" t="n">
        <v>0</v>
      </c>
      <c r="U542" s="106" t="n">
        <v>318999</v>
      </c>
      <c r="V542" s="106" t="s">
        <v>143</v>
      </c>
      <c r="Z542" s="106" t="n">
        <v>102397</v>
      </c>
      <c r="AD542" s="106" t="n">
        <v>110000</v>
      </c>
      <c r="AE542" s="106" t="s">
        <v>1966</v>
      </c>
      <c r="AF542" s="106" t="n">
        <v>501040</v>
      </c>
      <c r="AG542" s="106" t="s">
        <v>2036</v>
      </c>
      <c r="AI542" s="106" t="n">
        <v>501040</v>
      </c>
      <c r="AJ542" s="106" t="s">
        <v>2036</v>
      </c>
      <c r="AK542" s="106" t="n">
        <v>0</v>
      </c>
      <c r="AL542" s="106" t="n">
        <v>1</v>
      </c>
      <c r="AM542" s="106" t="s">
        <v>161</v>
      </c>
      <c r="AP542" s="106" t="n">
        <v>100022980</v>
      </c>
      <c r="AQ542" s="129" t="n">
        <v>43616</v>
      </c>
      <c r="AR542" s="129" t="n">
        <v>43615</v>
      </c>
      <c r="AS542" s="106" t="n">
        <v>0.662268518518519</v>
      </c>
      <c r="AT542" s="106" t="n">
        <v>0</v>
      </c>
      <c r="AU542" s="106" t="n">
        <v>0</v>
      </c>
      <c r="AX542" s="106" t="n">
        <v>1</v>
      </c>
      <c r="ALU542" s="0"/>
      <c r="ALV542" s="0"/>
      <c r="ALW542" s="0"/>
      <c r="ALX542" s="0"/>
      <c r="ALY542" s="0"/>
      <c r="ALZ542" s="0"/>
      <c r="AMA542" s="0"/>
      <c r="AMB542" s="0"/>
      <c r="AMC542" s="0"/>
      <c r="AMD542" s="0"/>
      <c r="AME542" s="0"/>
      <c r="AMF542" s="0"/>
      <c r="AMG542" s="0"/>
      <c r="AMH542" s="0"/>
      <c r="AMI542" s="0"/>
      <c r="AMJ542" s="0"/>
    </row>
    <row r="543" customFormat="false" ht="13.8" hidden="true" customHeight="false" outlineLevel="0" collapsed="false">
      <c r="A543" s="117" t="n">
        <v>1000</v>
      </c>
      <c r="B543" s="117" t="s">
        <v>1962</v>
      </c>
      <c r="C543" s="117" t="n">
        <v>100039079</v>
      </c>
      <c r="E543" s="117" t="s">
        <v>1921</v>
      </c>
      <c r="F543" s="117" t="n">
        <v>1102</v>
      </c>
      <c r="G543" s="117" t="n">
        <v>2019</v>
      </c>
      <c r="H543" s="117" t="n">
        <v>3</v>
      </c>
      <c r="I543" s="118" t="n">
        <v>43644</v>
      </c>
      <c r="J543" s="118" t="n">
        <v>43644</v>
      </c>
      <c r="K543" s="119" t="n">
        <v>4867263</v>
      </c>
      <c r="L543" s="128" t="n">
        <f aca="false">K543-Q543+T543</f>
        <v>4867263</v>
      </c>
      <c r="M543" s="117" t="s">
        <v>149</v>
      </c>
      <c r="N543" s="117" t="n">
        <v>4867263</v>
      </c>
      <c r="O543" s="117" t="s">
        <v>149</v>
      </c>
      <c r="P543" s="117" t="n">
        <v>0</v>
      </c>
      <c r="Q543" s="117" t="n">
        <v>0</v>
      </c>
      <c r="R543" s="117" t="n">
        <v>4867263</v>
      </c>
      <c r="S543" s="117" t="n">
        <v>0</v>
      </c>
      <c r="T543" s="117" t="n">
        <v>0</v>
      </c>
      <c r="U543" s="117" t="n">
        <v>306263</v>
      </c>
      <c r="V543" s="117" t="s">
        <v>2006</v>
      </c>
      <c r="Z543" s="117" t="n">
        <v>100039079</v>
      </c>
      <c r="AD543" s="117" t="n">
        <v>310300</v>
      </c>
      <c r="AE543" s="117" t="s">
        <v>1969</v>
      </c>
      <c r="AF543" s="117" t="n">
        <v>110000</v>
      </c>
      <c r="AG543" s="117" t="s">
        <v>1966</v>
      </c>
      <c r="AI543" s="117" t="n">
        <v>110000</v>
      </c>
      <c r="AJ543" s="117" t="s">
        <v>1966</v>
      </c>
      <c r="AK543" s="117" t="n">
        <v>0</v>
      </c>
      <c r="AL543" s="117" t="n">
        <v>9</v>
      </c>
      <c r="AM543" s="117" t="s">
        <v>161</v>
      </c>
      <c r="AN543" s="117" t="s">
        <v>1978</v>
      </c>
      <c r="AP543" s="117" t="n">
        <v>100039079</v>
      </c>
      <c r="AQ543" s="118" t="n">
        <v>43644</v>
      </c>
      <c r="AR543" s="118" t="n">
        <v>43644</v>
      </c>
      <c r="AS543" s="117" t="n">
        <v>0.177060185185185</v>
      </c>
      <c r="AT543" s="117" t="n">
        <v>0</v>
      </c>
      <c r="AU543" s="117" t="n">
        <v>0</v>
      </c>
      <c r="AX543" s="117" t="n">
        <v>3</v>
      </c>
    </row>
    <row r="544" customFormat="false" ht="13.8" hidden="true" customHeight="false" outlineLevel="0" collapsed="false">
      <c r="A544" s="117" t="n">
        <v>1000</v>
      </c>
      <c r="B544" s="117" t="s">
        <v>1962</v>
      </c>
      <c r="C544" s="117" t="n">
        <v>100005090</v>
      </c>
      <c r="E544" s="117" t="s">
        <v>1921</v>
      </c>
      <c r="F544" s="117" t="n">
        <v>1109</v>
      </c>
      <c r="G544" s="117" t="n">
        <v>2019</v>
      </c>
      <c r="H544" s="117" t="n">
        <v>1</v>
      </c>
      <c r="I544" s="118" t="n">
        <v>43585</v>
      </c>
      <c r="J544" s="118" t="n">
        <v>43585</v>
      </c>
      <c r="K544" s="119" t="n">
        <v>-464802</v>
      </c>
      <c r="L544" s="128" t="n">
        <f aca="false">K544-Q544+T544</f>
        <v>-464802</v>
      </c>
      <c r="M544" s="117" t="s">
        <v>149</v>
      </c>
      <c r="N544" s="117" t="n">
        <v>-464802</v>
      </c>
      <c r="O544" s="117" t="s">
        <v>149</v>
      </c>
      <c r="P544" s="117" t="n">
        <v>0</v>
      </c>
      <c r="Q544" s="117" t="n">
        <v>0</v>
      </c>
      <c r="R544" s="117" t="n">
        <v>-464802</v>
      </c>
      <c r="S544" s="117" t="n">
        <v>0</v>
      </c>
      <c r="T544" s="117" t="n">
        <v>0</v>
      </c>
      <c r="U544" s="117" t="n">
        <v>305576</v>
      </c>
      <c r="V544" s="117" t="s">
        <v>1973</v>
      </c>
      <c r="Z544" s="117" t="n">
        <v>100005090</v>
      </c>
      <c r="AD544" s="117" t="n">
        <v>110000</v>
      </c>
      <c r="AE544" s="117" t="s">
        <v>1966</v>
      </c>
      <c r="AF544" s="117" t="n">
        <v>110000</v>
      </c>
      <c r="AG544" s="117" t="s">
        <v>1966</v>
      </c>
      <c r="AI544" s="117" t="n">
        <v>110000</v>
      </c>
      <c r="AJ544" s="117" t="s">
        <v>1966</v>
      </c>
      <c r="AK544" s="117" t="n">
        <v>0</v>
      </c>
      <c r="AL544" s="117" t="n">
        <v>17</v>
      </c>
      <c r="AM544" s="117" t="s">
        <v>225</v>
      </c>
      <c r="AP544" s="117" t="n">
        <v>100005090</v>
      </c>
      <c r="AQ544" s="118" t="n">
        <v>43585</v>
      </c>
      <c r="AR544" s="118" t="n">
        <v>43586</v>
      </c>
      <c r="AS544" s="117" t="n">
        <v>0.369664351851852</v>
      </c>
      <c r="AT544" s="117" t="n">
        <v>0</v>
      </c>
      <c r="AU544" s="117" t="n">
        <v>0</v>
      </c>
      <c r="AX544" s="117" t="n">
        <v>2</v>
      </c>
    </row>
    <row r="545" customFormat="false" ht="13.8" hidden="true" customHeight="false" outlineLevel="0" collapsed="false">
      <c r="A545" s="117" t="n">
        <v>1000</v>
      </c>
      <c r="B545" s="117" t="s">
        <v>1962</v>
      </c>
      <c r="C545" s="117" t="n">
        <v>100012558</v>
      </c>
      <c r="E545" s="117" t="s">
        <v>1921</v>
      </c>
      <c r="F545" s="117" t="n">
        <v>1102</v>
      </c>
      <c r="G545" s="117" t="n">
        <v>2019</v>
      </c>
      <c r="H545" s="117" t="n">
        <v>1</v>
      </c>
      <c r="I545" s="118" t="n">
        <v>43585</v>
      </c>
      <c r="J545" s="118" t="n">
        <v>43585</v>
      </c>
      <c r="K545" s="119" t="n">
        <v>24754.04</v>
      </c>
      <c r="L545" s="128" t="n">
        <f aca="false">K545-Q545+T545</f>
        <v>24754.04</v>
      </c>
      <c r="M545" s="117" t="s">
        <v>149</v>
      </c>
      <c r="N545" s="117" t="n">
        <v>24754.04</v>
      </c>
      <c r="O545" s="117" t="s">
        <v>149</v>
      </c>
      <c r="P545" s="117" t="n">
        <v>0</v>
      </c>
      <c r="Q545" s="117" t="n">
        <v>0</v>
      </c>
      <c r="R545" s="117" t="n">
        <v>24754.04</v>
      </c>
      <c r="S545" s="117" t="n">
        <v>0</v>
      </c>
      <c r="T545" s="117" t="n">
        <v>0</v>
      </c>
      <c r="U545" s="117" t="n">
        <v>315113</v>
      </c>
      <c r="V545" s="117" t="s">
        <v>143</v>
      </c>
      <c r="X545" s="117" t="s">
        <v>2296</v>
      </c>
      <c r="Z545" s="117" t="n">
        <v>100012558</v>
      </c>
      <c r="AD545" s="117" t="n">
        <v>110000</v>
      </c>
      <c r="AE545" s="117" t="s">
        <v>1966</v>
      </c>
      <c r="AF545" s="117" t="n">
        <v>110000</v>
      </c>
      <c r="AG545" s="117" t="s">
        <v>1966</v>
      </c>
      <c r="AI545" s="117" t="n">
        <v>110000</v>
      </c>
      <c r="AJ545" s="117" t="s">
        <v>1966</v>
      </c>
      <c r="AK545" s="117" t="n">
        <v>0</v>
      </c>
      <c r="AL545" s="117" t="n">
        <v>4</v>
      </c>
      <c r="AM545" s="117" t="s">
        <v>161</v>
      </c>
      <c r="AP545" s="117" t="n">
        <v>100058228</v>
      </c>
      <c r="AQ545" s="118" t="n">
        <v>43677</v>
      </c>
      <c r="AR545" s="118" t="n">
        <v>43587</v>
      </c>
      <c r="AS545" s="117" t="n">
        <v>0.538773148148148</v>
      </c>
      <c r="AT545" s="117" t="n">
        <v>0</v>
      </c>
      <c r="AU545" s="117" t="n">
        <v>0</v>
      </c>
      <c r="AX545" s="117" t="n">
        <v>1</v>
      </c>
    </row>
    <row r="546" customFormat="false" ht="13.8" hidden="true" customHeight="false" outlineLevel="0" collapsed="false">
      <c r="A546" s="117" t="n">
        <v>1000</v>
      </c>
      <c r="B546" s="117" t="s">
        <v>1962</v>
      </c>
      <c r="C546" s="117" t="n">
        <v>1400000336</v>
      </c>
      <c r="E546" s="117" t="s">
        <v>1972</v>
      </c>
      <c r="F546" s="117" t="n">
        <v>1106</v>
      </c>
      <c r="G546" s="117" t="n">
        <v>2019</v>
      </c>
      <c r="H546" s="117" t="n">
        <v>1</v>
      </c>
      <c r="I546" s="118" t="n">
        <v>43567</v>
      </c>
      <c r="J546" s="118" t="n">
        <v>43567</v>
      </c>
      <c r="K546" s="119" t="n">
        <v>-3510796.22</v>
      </c>
      <c r="L546" s="128" t="n">
        <f aca="false">K546-Q546+T546</f>
        <v>-3510796.22</v>
      </c>
      <c r="M546" s="117" t="s">
        <v>149</v>
      </c>
      <c r="N546" s="117" t="n">
        <v>-3510796.22</v>
      </c>
      <c r="O546" s="117" t="s">
        <v>149</v>
      </c>
      <c r="P546" s="117" t="n">
        <v>0</v>
      </c>
      <c r="Q546" s="117" t="n">
        <v>0</v>
      </c>
      <c r="R546" s="117" t="n">
        <v>-3510796.22</v>
      </c>
      <c r="S546" s="117" t="n">
        <v>0</v>
      </c>
      <c r="T546" s="117" t="n">
        <v>0</v>
      </c>
      <c r="U546" s="117" t="n">
        <v>307259</v>
      </c>
      <c r="V546" s="117" t="s">
        <v>143</v>
      </c>
      <c r="X546" s="117" t="s">
        <v>2297</v>
      </c>
      <c r="Y546" s="117" t="s">
        <v>2298</v>
      </c>
      <c r="Z546" s="117" t="n">
        <v>1400000336</v>
      </c>
      <c r="AC546" s="117" t="s">
        <v>1976</v>
      </c>
      <c r="AD546" s="117" t="n">
        <v>310300</v>
      </c>
      <c r="AE546" s="117" t="s">
        <v>1969</v>
      </c>
      <c r="AF546" s="117" t="n">
        <v>101105</v>
      </c>
      <c r="AG546" s="117" t="s">
        <v>1977</v>
      </c>
      <c r="AI546" s="117" t="n">
        <v>101105</v>
      </c>
      <c r="AJ546" s="117" t="s">
        <v>1977</v>
      </c>
      <c r="AK546" s="117" t="n">
        <v>0</v>
      </c>
      <c r="AL546" s="117" t="n">
        <v>19</v>
      </c>
      <c r="AM546" s="117" t="s">
        <v>225</v>
      </c>
      <c r="AN546" s="117" t="s">
        <v>1978</v>
      </c>
      <c r="AP546" s="117" t="n">
        <v>100004322</v>
      </c>
      <c r="AQ546" s="118" t="n">
        <v>43583</v>
      </c>
      <c r="AR546" s="118" t="n">
        <v>43570</v>
      </c>
      <c r="AS546" s="117" t="n">
        <v>0.675393518518519</v>
      </c>
      <c r="AT546" s="117" t="n">
        <v>0</v>
      </c>
      <c r="AU546" s="117" t="n">
        <v>0</v>
      </c>
      <c r="AX546" s="117" t="n">
        <v>2</v>
      </c>
    </row>
    <row r="547" customFormat="false" ht="13.8" hidden="true" customHeight="false" outlineLevel="0" collapsed="false">
      <c r="A547" s="117" t="n">
        <v>1000</v>
      </c>
      <c r="B547" s="117" t="s">
        <v>1962</v>
      </c>
      <c r="C547" s="117" t="n">
        <v>1400002195</v>
      </c>
      <c r="E547" s="117" t="s">
        <v>1972</v>
      </c>
      <c r="F547" s="117" t="n">
        <v>1101</v>
      </c>
      <c r="G547" s="117" t="n">
        <v>2019</v>
      </c>
      <c r="H547" s="117" t="n">
        <v>2</v>
      </c>
      <c r="I547" s="118" t="n">
        <v>43613</v>
      </c>
      <c r="J547" s="118" t="n">
        <v>43613</v>
      </c>
      <c r="K547" s="119" t="n">
        <v>-1763206.32</v>
      </c>
      <c r="L547" s="128" t="n">
        <f aca="false">K547-Q547+T547</f>
        <v>-1763206.32</v>
      </c>
      <c r="M547" s="117" t="s">
        <v>149</v>
      </c>
      <c r="N547" s="117" t="n">
        <v>-1763206.32</v>
      </c>
      <c r="O547" s="117" t="s">
        <v>149</v>
      </c>
      <c r="P547" s="117" t="n">
        <v>0</v>
      </c>
      <c r="Q547" s="117" t="n">
        <v>0</v>
      </c>
      <c r="R547" s="117" t="n">
        <v>-1763206.32</v>
      </c>
      <c r="S547" s="117" t="n">
        <v>0</v>
      </c>
      <c r="T547" s="117" t="n">
        <v>0</v>
      </c>
      <c r="U547" s="117" t="n">
        <v>312193</v>
      </c>
      <c r="V547" s="117" t="s">
        <v>1963</v>
      </c>
      <c r="X547" s="117" t="s">
        <v>2299</v>
      </c>
      <c r="Y547" s="117" t="s">
        <v>2300</v>
      </c>
      <c r="Z547" s="117" t="n">
        <v>1400002195</v>
      </c>
      <c r="AC547" s="117" t="s">
        <v>1976</v>
      </c>
      <c r="AD547" s="117" t="n">
        <v>310300</v>
      </c>
      <c r="AE547" s="117" t="s">
        <v>1969</v>
      </c>
      <c r="AF547" s="117" t="n">
        <v>101105</v>
      </c>
      <c r="AG547" s="117" t="s">
        <v>1977</v>
      </c>
      <c r="AI547" s="117" t="n">
        <v>101105</v>
      </c>
      <c r="AJ547" s="117" t="s">
        <v>1977</v>
      </c>
      <c r="AK547" s="117" t="n">
        <v>0</v>
      </c>
      <c r="AL547" s="117" t="n">
        <v>19</v>
      </c>
      <c r="AM547" s="117" t="s">
        <v>225</v>
      </c>
      <c r="AN547" s="117" t="s">
        <v>1978</v>
      </c>
      <c r="AP547" s="117" t="n">
        <v>100022446</v>
      </c>
      <c r="AQ547" s="118" t="n">
        <v>43616</v>
      </c>
      <c r="AR547" s="118" t="n">
        <v>43616</v>
      </c>
      <c r="AS547" s="117" t="n">
        <v>0.484837962962963</v>
      </c>
      <c r="AT547" s="117" t="n">
        <v>0</v>
      </c>
      <c r="AU547" s="117" t="n">
        <v>0</v>
      </c>
      <c r="AX547" s="117" t="n">
        <v>2</v>
      </c>
    </row>
    <row r="548" s="106" customFormat="true" ht="13.8" hidden="true" customHeight="false" outlineLevel="0" collapsed="false">
      <c r="A548" s="106" t="n">
        <v>1000</v>
      </c>
      <c r="B548" s="106" t="s">
        <v>1962</v>
      </c>
      <c r="C548" s="106" t="n">
        <v>102644</v>
      </c>
      <c r="D548" s="106" t="s">
        <v>1893</v>
      </c>
      <c r="E548" s="106" t="s">
        <v>1970</v>
      </c>
      <c r="F548" s="106" t="n">
        <v>1108</v>
      </c>
      <c r="G548" s="106" t="n">
        <v>2019</v>
      </c>
      <c r="H548" s="106" t="n">
        <v>3</v>
      </c>
      <c r="I548" s="129" t="n">
        <v>43619</v>
      </c>
      <c r="J548" s="129" t="n">
        <v>43619</v>
      </c>
      <c r="K548" s="107" t="n">
        <v>612508.5</v>
      </c>
      <c r="L548" s="130" t="n">
        <f aca="false">K548-Q548+T548</f>
        <v>519075</v>
      </c>
      <c r="M548" s="106" t="s">
        <v>149</v>
      </c>
      <c r="N548" s="106" t="n">
        <v>612508.5</v>
      </c>
      <c r="O548" s="106" t="s">
        <v>149</v>
      </c>
      <c r="P548" s="106" t="n">
        <v>0</v>
      </c>
      <c r="Q548" s="107" t="n">
        <v>93433.5</v>
      </c>
      <c r="R548" s="106" t="n">
        <v>519075</v>
      </c>
      <c r="S548" s="106" t="n">
        <v>0</v>
      </c>
      <c r="T548" s="106" t="n">
        <v>0</v>
      </c>
      <c r="U548" s="106" t="n">
        <v>312948</v>
      </c>
      <c r="V548" s="106" t="s">
        <v>1984</v>
      </c>
      <c r="Z548" s="106" t="n">
        <v>58871</v>
      </c>
      <c r="AB548" s="106" t="s">
        <v>2241</v>
      </c>
      <c r="AD548" s="106" t="n">
        <v>110000</v>
      </c>
      <c r="AE548" s="106" t="s">
        <v>1966</v>
      </c>
      <c r="AF548" s="106" t="n">
        <v>501005</v>
      </c>
      <c r="AG548" s="106" t="s">
        <v>2033</v>
      </c>
      <c r="AI548" s="106" t="n">
        <v>501005</v>
      </c>
      <c r="AJ548" s="106" t="s">
        <v>2033</v>
      </c>
      <c r="AK548" s="106" t="n">
        <v>0</v>
      </c>
      <c r="AL548" s="106" t="n">
        <v>1</v>
      </c>
      <c r="AM548" s="106" t="s">
        <v>161</v>
      </c>
      <c r="AP548" s="106" t="n">
        <v>100039106</v>
      </c>
      <c r="AQ548" s="129" t="n">
        <v>43644</v>
      </c>
      <c r="AR548" s="129" t="n">
        <v>43619</v>
      </c>
      <c r="AS548" s="106" t="n">
        <v>0.834583333333333</v>
      </c>
      <c r="AT548" s="106" t="n">
        <v>0</v>
      </c>
      <c r="AU548" s="106" t="n">
        <v>0</v>
      </c>
      <c r="AX548" s="106" t="n">
        <v>1</v>
      </c>
      <c r="ALU548" s="0"/>
      <c r="ALV548" s="0"/>
      <c r="ALW548" s="0"/>
      <c r="ALX548" s="0"/>
      <c r="ALY548" s="0"/>
      <c r="ALZ548" s="0"/>
      <c r="AMA548" s="0"/>
      <c r="AMB548" s="0"/>
      <c r="AMC548" s="0"/>
      <c r="AMD548" s="0"/>
      <c r="AME548" s="0"/>
      <c r="AMF548" s="0"/>
      <c r="AMG548" s="0"/>
      <c r="AMH548" s="0"/>
      <c r="AMI548" s="0"/>
      <c r="AMJ548" s="0"/>
    </row>
    <row r="549" customFormat="false" ht="13.8" hidden="true" customHeight="false" outlineLevel="0" collapsed="false">
      <c r="A549" s="117" t="n">
        <v>1000</v>
      </c>
      <c r="B549" s="117" t="s">
        <v>1962</v>
      </c>
      <c r="C549" s="117" t="n">
        <v>100004318</v>
      </c>
      <c r="E549" s="117" t="s">
        <v>1921</v>
      </c>
      <c r="F549" s="117" t="n">
        <v>1108</v>
      </c>
      <c r="G549" s="117" t="n">
        <v>2019</v>
      </c>
      <c r="H549" s="117" t="n">
        <v>1</v>
      </c>
      <c r="I549" s="118" t="n">
        <v>43583</v>
      </c>
      <c r="J549" s="118" t="n">
        <v>43583</v>
      </c>
      <c r="K549" s="119" t="n">
        <v>1890797.05</v>
      </c>
      <c r="L549" s="128" t="n">
        <f aca="false">K549-Q549+T549</f>
        <v>1890797.05</v>
      </c>
      <c r="M549" s="117" t="s">
        <v>149</v>
      </c>
      <c r="N549" s="117" t="n">
        <v>1890797.05</v>
      </c>
      <c r="O549" s="117" t="s">
        <v>149</v>
      </c>
      <c r="P549" s="117" t="n">
        <v>0</v>
      </c>
      <c r="Q549" s="117" t="n">
        <v>0</v>
      </c>
      <c r="R549" s="117" t="n">
        <v>1890797.05</v>
      </c>
      <c r="S549" s="117" t="n">
        <v>0</v>
      </c>
      <c r="T549" s="117" t="n">
        <v>0</v>
      </c>
      <c r="U549" s="117" t="n">
        <v>306263</v>
      </c>
      <c r="V549" s="117" t="s">
        <v>2006</v>
      </c>
      <c r="X549" s="117" t="s">
        <v>1541</v>
      </c>
      <c r="Z549" s="117" t="n">
        <v>57783</v>
      </c>
      <c r="AB549" s="117" t="s">
        <v>2247</v>
      </c>
      <c r="AD549" s="117" t="n">
        <v>110000</v>
      </c>
      <c r="AE549" s="117" t="s">
        <v>1966</v>
      </c>
      <c r="AF549" s="117" t="n">
        <v>110000</v>
      </c>
      <c r="AG549" s="117" t="s">
        <v>1966</v>
      </c>
      <c r="AI549" s="117" t="n">
        <v>110000</v>
      </c>
      <c r="AJ549" s="117" t="s">
        <v>1966</v>
      </c>
      <c r="AK549" s="117" t="n">
        <v>0</v>
      </c>
      <c r="AL549" s="117" t="n">
        <v>4</v>
      </c>
      <c r="AM549" s="117" t="s">
        <v>161</v>
      </c>
      <c r="AP549" s="117" t="n">
        <v>100039079</v>
      </c>
      <c r="AQ549" s="118" t="n">
        <v>43644</v>
      </c>
      <c r="AR549" s="118" t="n">
        <v>43583</v>
      </c>
      <c r="AS549" s="117" t="n">
        <v>0.490381944444444</v>
      </c>
      <c r="AT549" s="117" t="n">
        <v>0</v>
      </c>
      <c r="AU549" s="117" t="n">
        <v>0</v>
      </c>
      <c r="AX549" s="117" t="n">
        <v>1</v>
      </c>
    </row>
    <row r="550" customFormat="false" ht="13.8" hidden="true" customHeight="false" outlineLevel="0" collapsed="false">
      <c r="A550" s="117" t="n">
        <v>1000</v>
      </c>
      <c r="B550" s="117" t="s">
        <v>1962</v>
      </c>
      <c r="C550" s="117" t="n">
        <v>100020142</v>
      </c>
      <c r="E550" s="117" t="s">
        <v>1921</v>
      </c>
      <c r="F550" s="117" t="n">
        <v>1106</v>
      </c>
      <c r="G550" s="117" t="n">
        <v>2019</v>
      </c>
      <c r="H550" s="117" t="n">
        <v>2</v>
      </c>
      <c r="I550" s="118" t="n">
        <v>43611</v>
      </c>
      <c r="J550" s="118" t="n">
        <v>43611</v>
      </c>
      <c r="K550" s="119" t="n">
        <v>121118.98</v>
      </c>
      <c r="L550" s="128" t="n">
        <f aca="false">K550-Q550+T550</f>
        <v>121118.98</v>
      </c>
      <c r="M550" s="117" t="s">
        <v>149</v>
      </c>
      <c r="N550" s="117" t="n">
        <v>121118.98</v>
      </c>
      <c r="O550" s="117" t="s">
        <v>149</v>
      </c>
      <c r="P550" s="117" t="n">
        <v>0</v>
      </c>
      <c r="Q550" s="117" t="n">
        <v>0</v>
      </c>
      <c r="R550" s="117" t="n">
        <v>121118.98</v>
      </c>
      <c r="S550" s="117" t="n">
        <v>0</v>
      </c>
      <c r="T550" s="117" t="n">
        <v>0</v>
      </c>
      <c r="U550" s="117" t="n">
        <v>312193</v>
      </c>
      <c r="V550" s="117" t="s">
        <v>1963</v>
      </c>
      <c r="Z550" s="117" t="n">
        <v>100020142</v>
      </c>
      <c r="AD550" s="117" t="n">
        <v>310300</v>
      </c>
      <c r="AE550" s="117" t="s">
        <v>1969</v>
      </c>
      <c r="AF550" s="117" t="n">
        <v>110000</v>
      </c>
      <c r="AG550" s="117" t="s">
        <v>1966</v>
      </c>
      <c r="AI550" s="117" t="n">
        <v>110000</v>
      </c>
      <c r="AJ550" s="117" t="s">
        <v>1966</v>
      </c>
      <c r="AK550" s="117" t="n">
        <v>0</v>
      </c>
      <c r="AL550" s="117" t="n">
        <v>9</v>
      </c>
      <c r="AM550" s="117" t="s">
        <v>161</v>
      </c>
      <c r="AN550" s="117" t="s">
        <v>1978</v>
      </c>
      <c r="AP550" s="117" t="n">
        <v>100020142</v>
      </c>
      <c r="AQ550" s="118" t="n">
        <v>43611</v>
      </c>
      <c r="AR550" s="118" t="n">
        <v>43611</v>
      </c>
      <c r="AS550" s="117" t="n">
        <v>0.747233796296296</v>
      </c>
      <c r="AT550" s="117" t="n">
        <v>0</v>
      </c>
      <c r="AU550" s="117" t="n">
        <v>0</v>
      </c>
      <c r="AX550" s="117" t="n">
        <v>2</v>
      </c>
    </row>
    <row r="551" customFormat="false" ht="13.8" hidden="true" customHeight="false" outlineLevel="0" collapsed="false">
      <c r="A551" s="117" t="n">
        <v>1000</v>
      </c>
      <c r="B551" s="117" t="s">
        <v>1962</v>
      </c>
      <c r="C551" s="117" t="n">
        <v>100050545</v>
      </c>
      <c r="E551" s="117" t="s">
        <v>1921</v>
      </c>
      <c r="F551" s="117" t="n">
        <v>1101</v>
      </c>
      <c r="G551" s="117" t="n">
        <v>2019</v>
      </c>
      <c r="H551" s="117" t="n">
        <v>3</v>
      </c>
      <c r="I551" s="118" t="n">
        <v>43646</v>
      </c>
      <c r="J551" s="118" t="n">
        <v>43646</v>
      </c>
      <c r="K551" s="119" t="n">
        <v>-1971071.16</v>
      </c>
      <c r="L551" s="128" t="n">
        <f aca="false">K551-Q551+T551</f>
        <v>-1971071.16</v>
      </c>
      <c r="M551" s="117" t="s">
        <v>149</v>
      </c>
      <c r="N551" s="117" t="n">
        <v>-1971071.16</v>
      </c>
      <c r="O551" s="117" t="s">
        <v>149</v>
      </c>
      <c r="P551" s="117" t="n">
        <v>0</v>
      </c>
      <c r="Q551" s="117" t="n">
        <v>0</v>
      </c>
      <c r="R551" s="117" t="n">
        <v>-1971071.16</v>
      </c>
      <c r="S551" s="117" t="n">
        <v>0</v>
      </c>
      <c r="T551" s="117" t="n">
        <v>0</v>
      </c>
      <c r="U551" s="117" t="n">
        <v>318999</v>
      </c>
      <c r="V551" s="117" t="s">
        <v>143</v>
      </c>
      <c r="Z551" s="117" t="n">
        <v>100050545</v>
      </c>
      <c r="AD551" s="117" t="n">
        <v>110000</v>
      </c>
      <c r="AE551" s="117" t="s">
        <v>1966</v>
      </c>
      <c r="AF551" s="117" t="n">
        <v>110000</v>
      </c>
      <c r="AG551" s="117" t="s">
        <v>1966</v>
      </c>
      <c r="AI551" s="117" t="n">
        <v>110000</v>
      </c>
      <c r="AJ551" s="117" t="s">
        <v>1966</v>
      </c>
      <c r="AK551" s="117" t="n">
        <v>0</v>
      </c>
      <c r="AL551" s="117" t="n">
        <v>17</v>
      </c>
      <c r="AM551" s="117" t="s">
        <v>225</v>
      </c>
      <c r="AP551" s="117" t="n">
        <v>100050545</v>
      </c>
      <c r="AQ551" s="118" t="n">
        <v>43646</v>
      </c>
      <c r="AR551" s="118" t="n">
        <v>43647</v>
      </c>
      <c r="AS551" s="117" t="n">
        <v>0.708125</v>
      </c>
      <c r="AT551" s="117" t="n">
        <v>0</v>
      </c>
      <c r="AU551" s="117" t="n">
        <v>0</v>
      </c>
      <c r="AX551" s="117" t="n">
        <v>3</v>
      </c>
    </row>
    <row r="552" customFormat="false" ht="13.8" hidden="true" customHeight="false" outlineLevel="0" collapsed="false">
      <c r="A552" s="117" t="n">
        <v>1000</v>
      </c>
      <c r="B552" s="117" t="s">
        <v>1962</v>
      </c>
      <c r="C552" s="117" t="n">
        <v>100012558</v>
      </c>
      <c r="E552" s="117" t="s">
        <v>1921</v>
      </c>
      <c r="F552" s="117" t="n">
        <v>1102</v>
      </c>
      <c r="G552" s="117" t="n">
        <v>2019</v>
      </c>
      <c r="H552" s="117" t="n">
        <v>1</v>
      </c>
      <c r="I552" s="118" t="n">
        <v>43585</v>
      </c>
      <c r="J552" s="118" t="n">
        <v>43585</v>
      </c>
      <c r="K552" s="119" t="n">
        <v>-162273.6</v>
      </c>
      <c r="L552" s="128" t="n">
        <f aca="false">K552-Q552+T552</f>
        <v>-162273.6</v>
      </c>
      <c r="M552" s="117" t="s">
        <v>149</v>
      </c>
      <c r="N552" s="117" t="n">
        <v>-162273.6</v>
      </c>
      <c r="O552" s="117" t="s">
        <v>149</v>
      </c>
      <c r="P552" s="117" t="n">
        <v>0</v>
      </c>
      <c r="Q552" s="117" t="n">
        <v>0</v>
      </c>
      <c r="R552" s="117" t="n">
        <v>-162273.6</v>
      </c>
      <c r="S552" s="117" t="n">
        <v>0</v>
      </c>
      <c r="T552" s="117" t="n">
        <v>0</v>
      </c>
      <c r="U552" s="117" t="n">
        <v>315113</v>
      </c>
      <c r="V552" s="117" t="s">
        <v>143</v>
      </c>
      <c r="Z552" s="117" t="n">
        <v>100012558</v>
      </c>
      <c r="AD552" s="117" t="n">
        <v>110000</v>
      </c>
      <c r="AE552" s="117" t="s">
        <v>1966</v>
      </c>
      <c r="AF552" s="117" t="n">
        <v>110000</v>
      </c>
      <c r="AG552" s="117" t="s">
        <v>1966</v>
      </c>
      <c r="AI552" s="117" t="n">
        <v>110000</v>
      </c>
      <c r="AJ552" s="117" t="s">
        <v>1966</v>
      </c>
      <c r="AK552" s="117" t="n">
        <v>0</v>
      </c>
      <c r="AL552" s="117" t="n">
        <v>17</v>
      </c>
      <c r="AM552" s="117" t="s">
        <v>225</v>
      </c>
      <c r="AP552" s="117" t="n">
        <v>100012558</v>
      </c>
      <c r="AQ552" s="118" t="n">
        <v>43585</v>
      </c>
      <c r="AR552" s="118" t="n">
        <v>43587</v>
      </c>
      <c r="AS552" s="117" t="n">
        <v>0.538773148148148</v>
      </c>
      <c r="AT552" s="117" t="n">
        <v>0</v>
      </c>
      <c r="AU552" s="117" t="n">
        <v>0</v>
      </c>
      <c r="AX552" s="117" t="n">
        <v>2</v>
      </c>
    </row>
    <row r="553" customFormat="false" ht="13.8" hidden="true" customHeight="false" outlineLevel="0" collapsed="false">
      <c r="A553" s="117" t="n">
        <v>1000</v>
      </c>
      <c r="B553" s="117" t="s">
        <v>1962</v>
      </c>
      <c r="C553" s="117" t="n">
        <v>1400002228</v>
      </c>
      <c r="E553" s="117" t="s">
        <v>1972</v>
      </c>
      <c r="F553" s="117" t="n">
        <v>1101</v>
      </c>
      <c r="G553" s="117" t="n">
        <v>2019</v>
      </c>
      <c r="H553" s="117" t="n">
        <v>2</v>
      </c>
      <c r="I553" s="118" t="n">
        <v>43593</v>
      </c>
      <c r="J553" s="118" t="n">
        <v>43593</v>
      </c>
      <c r="K553" s="119" t="n">
        <v>-1568372.28</v>
      </c>
      <c r="L553" s="128" t="n">
        <f aca="false">K553-Q553+T553</f>
        <v>-1568372.28</v>
      </c>
      <c r="M553" s="117" t="s">
        <v>149</v>
      </c>
      <c r="N553" s="117" t="n">
        <v>-1568372.28</v>
      </c>
      <c r="O553" s="117" t="s">
        <v>149</v>
      </c>
      <c r="P553" s="117" t="n">
        <v>0</v>
      </c>
      <c r="Q553" s="117" t="n">
        <v>0</v>
      </c>
      <c r="R553" s="117" t="n">
        <v>-1568372.28</v>
      </c>
      <c r="S553" s="117" t="n">
        <v>0</v>
      </c>
      <c r="T553" s="117" t="n">
        <v>0</v>
      </c>
      <c r="U553" s="117" t="n">
        <v>312193</v>
      </c>
      <c r="V553" s="117" t="s">
        <v>1963</v>
      </c>
      <c r="X553" s="117" t="s">
        <v>2301</v>
      </c>
      <c r="Y553" s="117" t="s">
        <v>2302</v>
      </c>
      <c r="Z553" s="117" t="n">
        <v>1400002228</v>
      </c>
      <c r="AC553" s="117" t="s">
        <v>1976</v>
      </c>
      <c r="AD553" s="117" t="n">
        <v>310300</v>
      </c>
      <c r="AE553" s="117" t="s">
        <v>1969</v>
      </c>
      <c r="AF553" s="117" t="n">
        <v>101105</v>
      </c>
      <c r="AG553" s="117" t="s">
        <v>1977</v>
      </c>
      <c r="AI553" s="117" t="n">
        <v>101105</v>
      </c>
      <c r="AJ553" s="117" t="s">
        <v>1977</v>
      </c>
      <c r="AK553" s="117" t="n">
        <v>0</v>
      </c>
      <c r="AL553" s="117" t="n">
        <v>19</v>
      </c>
      <c r="AM553" s="117" t="s">
        <v>225</v>
      </c>
      <c r="AN553" s="117" t="s">
        <v>1978</v>
      </c>
      <c r="AP553" s="117" t="n">
        <v>100022447</v>
      </c>
      <c r="AQ553" s="118" t="n">
        <v>43616</v>
      </c>
      <c r="AR553" s="118" t="n">
        <v>43616</v>
      </c>
      <c r="AS553" s="117" t="n">
        <v>0.717245370370371</v>
      </c>
      <c r="AT553" s="117" t="n">
        <v>0</v>
      </c>
      <c r="AU553" s="117" t="n">
        <v>0</v>
      </c>
      <c r="AX553" s="117" t="n">
        <v>2</v>
      </c>
    </row>
    <row r="554" customFormat="false" ht="13.8" hidden="true" customHeight="false" outlineLevel="0" collapsed="false">
      <c r="A554" s="117" t="n">
        <v>1000</v>
      </c>
      <c r="B554" s="117" t="s">
        <v>1962</v>
      </c>
      <c r="C554" s="117" t="n">
        <v>100022980</v>
      </c>
      <c r="E554" s="117" t="s">
        <v>1921</v>
      </c>
      <c r="F554" s="117" t="n">
        <v>1101</v>
      </c>
      <c r="G554" s="117" t="n">
        <v>2019</v>
      </c>
      <c r="H554" s="117" t="n">
        <v>2</v>
      </c>
      <c r="I554" s="118" t="n">
        <v>43616</v>
      </c>
      <c r="J554" s="118" t="n">
        <v>43616</v>
      </c>
      <c r="K554" s="119" t="n">
        <v>1394149.86</v>
      </c>
      <c r="L554" s="128" t="n">
        <f aca="false">K554-Q554+T554</f>
        <v>1394149.86</v>
      </c>
      <c r="M554" s="117" t="s">
        <v>149</v>
      </c>
      <c r="N554" s="117" t="n">
        <v>1394149.86</v>
      </c>
      <c r="O554" s="117" t="s">
        <v>149</v>
      </c>
      <c r="P554" s="117" t="n">
        <v>0</v>
      </c>
      <c r="Q554" s="117" t="n">
        <v>0</v>
      </c>
      <c r="R554" s="117" t="n">
        <v>1394149.86</v>
      </c>
      <c r="S554" s="117" t="n">
        <v>0</v>
      </c>
      <c r="T554" s="117" t="n">
        <v>0</v>
      </c>
      <c r="U554" s="117" t="n">
        <v>318999</v>
      </c>
      <c r="V554" s="117" t="s">
        <v>143</v>
      </c>
      <c r="X554" s="117" t="s">
        <v>1301</v>
      </c>
      <c r="Z554" s="117" t="n">
        <v>100022980</v>
      </c>
      <c r="AD554" s="117" t="n">
        <v>110000</v>
      </c>
      <c r="AE554" s="117" t="s">
        <v>1966</v>
      </c>
      <c r="AF554" s="117" t="n">
        <v>110000</v>
      </c>
      <c r="AG554" s="117" t="s">
        <v>1966</v>
      </c>
      <c r="AI554" s="117" t="n">
        <v>110000</v>
      </c>
      <c r="AJ554" s="117" t="s">
        <v>1966</v>
      </c>
      <c r="AK554" s="117" t="n">
        <v>0</v>
      </c>
      <c r="AL554" s="117" t="n">
        <v>4</v>
      </c>
      <c r="AM554" s="117" t="s">
        <v>161</v>
      </c>
      <c r="AP554" s="117" t="n">
        <v>100057912</v>
      </c>
      <c r="AQ554" s="118" t="n">
        <v>43677</v>
      </c>
      <c r="AR554" s="118" t="n">
        <v>43618</v>
      </c>
      <c r="AS554" s="117" t="n">
        <v>0.614305555555556</v>
      </c>
      <c r="AT554" s="117" t="n">
        <v>0</v>
      </c>
      <c r="AU554" s="117" t="n">
        <v>0</v>
      </c>
      <c r="AX554" s="117" t="n">
        <v>18</v>
      </c>
    </row>
    <row r="555" customFormat="false" ht="13.8" hidden="true" customHeight="false" outlineLevel="0" collapsed="false">
      <c r="A555" s="117" t="n">
        <v>1000</v>
      </c>
      <c r="B555" s="117" t="s">
        <v>1962</v>
      </c>
      <c r="C555" s="117" t="n">
        <v>100039982</v>
      </c>
      <c r="E555" s="117" t="s">
        <v>1921</v>
      </c>
      <c r="F555" s="117" t="n">
        <v>1101</v>
      </c>
      <c r="G555" s="117" t="n">
        <v>2019</v>
      </c>
      <c r="H555" s="117" t="n">
        <v>3</v>
      </c>
      <c r="I555" s="118" t="n">
        <v>43645</v>
      </c>
      <c r="J555" s="118" t="n">
        <v>43645</v>
      </c>
      <c r="K555" s="119" t="n">
        <v>14418603.62</v>
      </c>
      <c r="L555" s="128" t="n">
        <f aca="false">K555-Q555+T555</f>
        <v>14418603.62</v>
      </c>
      <c r="M555" s="117" t="s">
        <v>149</v>
      </c>
      <c r="N555" s="117" t="n">
        <v>14418603.62</v>
      </c>
      <c r="O555" s="117" t="s">
        <v>149</v>
      </c>
      <c r="P555" s="117" t="n">
        <v>0</v>
      </c>
      <c r="Q555" s="117" t="n">
        <v>0</v>
      </c>
      <c r="R555" s="117" t="n">
        <v>14418603.62</v>
      </c>
      <c r="S555" s="117" t="n">
        <v>0</v>
      </c>
      <c r="T555" s="117" t="n">
        <v>0</v>
      </c>
      <c r="U555" s="117" t="n">
        <v>318999</v>
      </c>
      <c r="V555" s="117" t="s">
        <v>143</v>
      </c>
      <c r="Z555" s="117" t="n">
        <v>100039982</v>
      </c>
      <c r="AD555" s="117" t="n">
        <v>310300</v>
      </c>
      <c r="AE555" s="117" t="s">
        <v>1969</v>
      </c>
      <c r="AF555" s="117" t="n">
        <v>110000</v>
      </c>
      <c r="AG555" s="117" t="s">
        <v>1966</v>
      </c>
      <c r="AI555" s="117" t="n">
        <v>110000</v>
      </c>
      <c r="AJ555" s="117" t="s">
        <v>1966</v>
      </c>
      <c r="AK555" s="117" t="n">
        <v>0</v>
      </c>
      <c r="AL555" s="117" t="n">
        <v>9</v>
      </c>
      <c r="AM555" s="117" t="s">
        <v>161</v>
      </c>
      <c r="AN555" s="117" t="s">
        <v>1978</v>
      </c>
      <c r="AP555" s="117" t="n">
        <v>100039982</v>
      </c>
      <c r="AQ555" s="118" t="n">
        <v>43645</v>
      </c>
      <c r="AR555" s="118" t="n">
        <v>43646</v>
      </c>
      <c r="AS555" s="117" t="n">
        <v>0.417488425925926</v>
      </c>
      <c r="AT555" s="117" t="n">
        <v>0</v>
      </c>
      <c r="AU555" s="117" t="n">
        <v>0</v>
      </c>
      <c r="AX555" s="117" t="n">
        <v>4</v>
      </c>
    </row>
    <row r="556" customFormat="false" ht="13.8" hidden="true" customHeight="false" outlineLevel="0" collapsed="false">
      <c r="A556" s="117" t="n">
        <v>1000</v>
      </c>
      <c r="B556" s="117" t="s">
        <v>1962</v>
      </c>
      <c r="C556" s="117" t="n">
        <v>100039079</v>
      </c>
      <c r="E556" s="117" t="s">
        <v>1921</v>
      </c>
      <c r="F556" s="117" t="n">
        <v>1108</v>
      </c>
      <c r="G556" s="117" t="n">
        <v>2019</v>
      </c>
      <c r="H556" s="117" t="n">
        <v>3</v>
      </c>
      <c r="I556" s="118" t="n">
        <v>43644</v>
      </c>
      <c r="J556" s="118" t="n">
        <v>43644</v>
      </c>
      <c r="K556" s="119" t="n">
        <v>-4867458.62</v>
      </c>
      <c r="L556" s="128" t="n">
        <f aca="false">K556-Q556+T556</f>
        <v>-4867458.62</v>
      </c>
      <c r="M556" s="117" t="s">
        <v>149</v>
      </c>
      <c r="N556" s="117" t="n">
        <v>-4867458.62</v>
      </c>
      <c r="O556" s="117" t="s">
        <v>149</v>
      </c>
      <c r="P556" s="117" t="n">
        <v>0</v>
      </c>
      <c r="Q556" s="117" t="n">
        <v>0</v>
      </c>
      <c r="R556" s="117" t="n">
        <v>-4867458.62</v>
      </c>
      <c r="S556" s="117" t="n">
        <v>0</v>
      </c>
      <c r="T556" s="117" t="n">
        <v>0</v>
      </c>
      <c r="U556" s="117" t="n">
        <v>306263</v>
      </c>
      <c r="V556" s="117" t="s">
        <v>2006</v>
      </c>
      <c r="Z556" s="117" t="n">
        <v>100039079</v>
      </c>
      <c r="AD556" s="117" t="n">
        <v>110000</v>
      </c>
      <c r="AE556" s="117" t="s">
        <v>1966</v>
      </c>
      <c r="AF556" s="117" t="n">
        <v>110000</v>
      </c>
      <c r="AG556" s="117" t="s">
        <v>1966</v>
      </c>
      <c r="AI556" s="117" t="n">
        <v>110000</v>
      </c>
      <c r="AJ556" s="117" t="s">
        <v>1966</v>
      </c>
      <c r="AK556" s="117" t="n">
        <v>0</v>
      </c>
      <c r="AL556" s="117" t="n">
        <v>17</v>
      </c>
      <c r="AM556" s="117" t="s">
        <v>225</v>
      </c>
      <c r="AP556" s="117" t="n">
        <v>100039079</v>
      </c>
      <c r="AQ556" s="118" t="n">
        <v>43644</v>
      </c>
      <c r="AR556" s="118" t="n">
        <v>43644</v>
      </c>
      <c r="AS556" s="117" t="n">
        <v>0.177060185185185</v>
      </c>
      <c r="AT556" s="117" t="n">
        <v>0</v>
      </c>
      <c r="AU556" s="117" t="n">
        <v>0</v>
      </c>
      <c r="AX556" s="117" t="n">
        <v>2</v>
      </c>
    </row>
    <row r="557" customFormat="false" ht="13.8" hidden="true" customHeight="false" outlineLevel="0" collapsed="false">
      <c r="A557" s="117" t="n">
        <v>1000</v>
      </c>
      <c r="B557" s="117" t="s">
        <v>1962</v>
      </c>
      <c r="C557" s="117" t="n">
        <v>100039982</v>
      </c>
      <c r="E557" s="117" t="s">
        <v>1921</v>
      </c>
      <c r="F557" s="117" t="n">
        <v>1101</v>
      </c>
      <c r="G557" s="117" t="n">
        <v>2019</v>
      </c>
      <c r="H557" s="117" t="n">
        <v>3</v>
      </c>
      <c r="I557" s="118" t="n">
        <v>43645</v>
      </c>
      <c r="J557" s="118" t="n">
        <v>43645</v>
      </c>
      <c r="K557" s="119" t="n">
        <v>174.22</v>
      </c>
      <c r="L557" s="128" t="n">
        <f aca="false">K557-Q557+T557</f>
        <v>174.22</v>
      </c>
      <c r="M557" s="117" t="s">
        <v>149</v>
      </c>
      <c r="N557" s="117" t="n">
        <v>174.22</v>
      </c>
      <c r="O557" s="117" t="s">
        <v>149</v>
      </c>
      <c r="P557" s="117" t="n">
        <v>0</v>
      </c>
      <c r="Q557" s="117" t="n">
        <v>0</v>
      </c>
      <c r="R557" s="117" t="n">
        <v>174.22</v>
      </c>
      <c r="S557" s="117" t="n">
        <v>0</v>
      </c>
      <c r="T557" s="117" t="n">
        <v>0</v>
      </c>
      <c r="U557" s="117" t="n">
        <v>318999</v>
      </c>
      <c r="V557" s="117" t="s">
        <v>143</v>
      </c>
      <c r="X557" s="117" t="s">
        <v>1352</v>
      </c>
      <c r="Z557" s="117" t="n">
        <v>100039982</v>
      </c>
      <c r="AD557" s="117" t="n">
        <v>110000</v>
      </c>
      <c r="AE557" s="117" t="s">
        <v>1966</v>
      </c>
      <c r="AF557" s="117" t="n">
        <v>110000</v>
      </c>
      <c r="AG557" s="117" t="s">
        <v>1966</v>
      </c>
      <c r="AI557" s="117" t="n">
        <v>110000</v>
      </c>
      <c r="AJ557" s="117" t="s">
        <v>1966</v>
      </c>
      <c r="AK557" s="117" t="n">
        <v>0</v>
      </c>
      <c r="AL557" s="117" t="n">
        <v>4</v>
      </c>
      <c r="AM557" s="117" t="s">
        <v>161</v>
      </c>
      <c r="AP557" s="117" t="n">
        <v>100057912</v>
      </c>
      <c r="AQ557" s="118" t="n">
        <v>43677</v>
      </c>
      <c r="AR557" s="118" t="n">
        <v>43646</v>
      </c>
      <c r="AS557" s="117" t="n">
        <v>0.417488425925926</v>
      </c>
      <c r="AT557" s="117" t="n">
        <v>0</v>
      </c>
      <c r="AU557" s="117" t="n">
        <v>0</v>
      </c>
      <c r="AX557" s="117" t="n">
        <v>1</v>
      </c>
    </row>
    <row r="558" customFormat="false" ht="13.8" hidden="true" customHeight="false" outlineLevel="0" collapsed="false">
      <c r="A558" s="117" t="n">
        <v>1000</v>
      </c>
      <c r="B558" s="117" t="s">
        <v>1962</v>
      </c>
      <c r="C558" s="117" t="n">
        <v>100004315</v>
      </c>
      <c r="E558" s="117" t="s">
        <v>1921</v>
      </c>
      <c r="F558" s="117" t="n">
        <v>1101</v>
      </c>
      <c r="G558" s="117" t="n">
        <v>2019</v>
      </c>
      <c r="H558" s="117" t="n">
        <v>1</v>
      </c>
      <c r="I558" s="118" t="n">
        <v>43583</v>
      </c>
      <c r="J558" s="118" t="n">
        <v>43583</v>
      </c>
      <c r="K558" s="119" t="n">
        <v>966445.92</v>
      </c>
      <c r="L558" s="128" t="n">
        <f aca="false">K558-Q558+T558</f>
        <v>966445.92</v>
      </c>
      <c r="M558" s="117" t="s">
        <v>149</v>
      </c>
      <c r="N558" s="117" t="n">
        <v>966445.92</v>
      </c>
      <c r="O558" s="117" t="s">
        <v>149</v>
      </c>
      <c r="P558" s="117" t="n">
        <v>0</v>
      </c>
      <c r="Q558" s="117" t="n">
        <v>0</v>
      </c>
      <c r="R558" s="117" t="n">
        <v>966445.92</v>
      </c>
      <c r="S558" s="117" t="n">
        <v>0</v>
      </c>
      <c r="T558" s="117" t="n">
        <v>0</v>
      </c>
      <c r="U558" s="117" t="n">
        <v>304431</v>
      </c>
      <c r="V558" s="117" t="s">
        <v>2016</v>
      </c>
      <c r="Z558" s="117" t="n">
        <v>100004315</v>
      </c>
      <c r="AD558" s="117" t="n">
        <v>310300</v>
      </c>
      <c r="AE558" s="117" t="s">
        <v>1969</v>
      </c>
      <c r="AF558" s="117" t="n">
        <v>110000</v>
      </c>
      <c r="AG558" s="117" t="s">
        <v>1966</v>
      </c>
      <c r="AI558" s="117" t="n">
        <v>110000</v>
      </c>
      <c r="AJ558" s="117" t="s">
        <v>1966</v>
      </c>
      <c r="AK558" s="117" t="n">
        <v>0</v>
      </c>
      <c r="AL558" s="117" t="n">
        <v>9</v>
      </c>
      <c r="AM558" s="117" t="s">
        <v>161</v>
      </c>
      <c r="AN558" s="117" t="s">
        <v>1978</v>
      </c>
      <c r="AP558" s="117" t="n">
        <v>100004315</v>
      </c>
      <c r="AQ558" s="118" t="n">
        <v>43583</v>
      </c>
      <c r="AR558" s="118" t="n">
        <v>43583</v>
      </c>
      <c r="AS558" s="117" t="n">
        <v>0.487314814814815</v>
      </c>
      <c r="AT558" s="117" t="n">
        <v>0</v>
      </c>
      <c r="AU558" s="117" t="n">
        <v>0</v>
      </c>
      <c r="AX558" s="117" t="n">
        <v>4</v>
      </c>
    </row>
    <row r="559" s="132" customFormat="true" ht="13.8" hidden="true" customHeight="false" outlineLevel="0" collapsed="false">
      <c r="A559" s="132" t="n">
        <v>1000</v>
      </c>
      <c r="B559" s="132" t="s">
        <v>1962</v>
      </c>
      <c r="C559" s="132" t="n">
        <v>100013850</v>
      </c>
      <c r="E559" s="132" t="s">
        <v>1921</v>
      </c>
      <c r="F559" s="132" t="n">
        <v>1106</v>
      </c>
      <c r="G559" s="132" t="n">
        <v>2019</v>
      </c>
      <c r="H559" s="132" t="n">
        <v>1</v>
      </c>
      <c r="I559" s="133" t="n">
        <v>43585</v>
      </c>
      <c r="J559" s="133" t="n">
        <v>43585</v>
      </c>
      <c r="K559" s="134" t="n">
        <v>189092.68</v>
      </c>
      <c r="L559" s="135" t="n">
        <f aca="false">K559-Q559+T559</f>
        <v>189092.68</v>
      </c>
      <c r="M559" s="132" t="s">
        <v>149</v>
      </c>
      <c r="N559" s="132" t="n">
        <v>189092.68</v>
      </c>
      <c r="O559" s="132" t="s">
        <v>149</v>
      </c>
      <c r="P559" s="132" t="n">
        <v>0</v>
      </c>
      <c r="Q559" s="132" t="n">
        <v>0</v>
      </c>
      <c r="R559" s="132" t="n">
        <v>189092.68</v>
      </c>
      <c r="S559" s="132" t="n">
        <v>0</v>
      </c>
      <c r="T559" s="132" t="n">
        <v>0</v>
      </c>
      <c r="U559" s="132" t="n">
        <v>304431</v>
      </c>
      <c r="V559" s="132" t="s">
        <v>2016</v>
      </c>
      <c r="Z559" s="132" t="n">
        <v>100013850</v>
      </c>
      <c r="AD559" s="132" t="n">
        <v>310300</v>
      </c>
      <c r="AE559" s="132" t="s">
        <v>1969</v>
      </c>
      <c r="AF559" s="132" t="n">
        <v>110000</v>
      </c>
      <c r="AG559" s="132" t="s">
        <v>1966</v>
      </c>
      <c r="AI559" s="132" t="n">
        <v>110000</v>
      </c>
      <c r="AJ559" s="132" t="s">
        <v>1966</v>
      </c>
      <c r="AK559" s="132" t="n">
        <v>0</v>
      </c>
      <c r="AL559" s="132" t="n">
        <v>9</v>
      </c>
      <c r="AM559" s="132" t="s">
        <v>161</v>
      </c>
      <c r="AN559" s="132" t="s">
        <v>1978</v>
      </c>
      <c r="AP559" s="132" t="n">
        <v>100013850</v>
      </c>
      <c r="AQ559" s="133" t="n">
        <v>43585</v>
      </c>
      <c r="AR559" s="133" t="n">
        <v>43587</v>
      </c>
      <c r="AS559" s="132" t="n">
        <v>0.651875</v>
      </c>
      <c r="AT559" s="132" t="n">
        <v>0</v>
      </c>
      <c r="AU559" s="132" t="n">
        <v>0</v>
      </c>
      <c r="AX559" s="132" t="n">
        <v>3</v>
      </c>
      <c r="ALU559" s="0"/>
      <c r="ALV559" s="0"/>
      <c r="ALW559" s="0"/>
      <c r="ALX559" s="0"/>
      <c r="ALY559" s="0"/>
      <c r="ALZ559" s="0"/>
      <c r="AMA559" s="0"/>
      <c r="AMB559" s="0"/>
      <c r="AMC559" s="0"/>
      <c r="AMD559" s="0"/>
      <c r="AME559" s="0"/>
      <c r="AMF559" s="0"/>
      <c r="AMG559" s="0"/>
      <c r="AMH559" s="0"/>
      <c r="AMI559" s="0"/>
      <c r="AMJ559" s="0"/>
    </row>
    <row r="560" s="106" customFormat="true" ht="13.8" hidden="true" customHeight="false" outlineLevel="0" collapsed="false">
      <c r="A560" s="106" t="n">
        <v>1000</v>
      </c>
      <c r="B560" s="106" t="s">
        <v>1962</v>
      </c>
      <c r="C560" s="106" t="n">
        <v>108442</v>
      </c>
      <c r="D560" s="106" t="s">
        <v>1432</v>
      </c>
      <c r="E560" s="106" t="s">
        <v>1970</v>
      </c>
      <c r="F560" s="106" t="n">
        <v>1109</v>
      </c>
      <c r="G560" s="106" t="n">
        <v>2019</v>
      </c>
      <c r="H560" s="106" t="n">
        <v>7</v>
      </c>
      <c r="I560" s="129" t="n">
        <v>43764</v>
      </c>
      <c r="J560" s="129" t="n">
        <v>43764</v>
      </c>
      <c r="K560" s="107" t="n">
        <v>1685495.9</v>
      </c>
      <c r="L560" s="130" t="n">
        <f aca="false">K560-Q560+T560</f>
        <v>1428386.36</v>
      </c>
      <c r="M560" s="106" t="s">
        <v>149</v>
      </c>
      <c r="N560" s="106" t="n">
        <v>1685495.9</v>
      </c>
      <c r="O560" s="106" t="s">
        <v>149</v>
      </c>
      <c r="P560" s="106" t="n">
        <v>0</v>
      </c>
      <c r="Q560" s="107" t="n">
        <v>257109.54</v>
      </c>
      <c r="R560" s="106" t="n">
        <v>1428386.36</v>
      </c>
      <c r="S560" s="106" t="n">
        <v>0</v>
      </c>
      <c r="T560" s="106" t="n">
        <v>0</v>
      </c>
      <c r="U560" s="106" t="n">
        <v>311155</v>
      </c>
      <c r="V560" s="106" t="s">
        <v>2022</v>
      </c>
      <c r="Z560" s="106" t="n">
        <v>61625</v>
      </c>
      <c r="AB560" s="106" t="s">
        <v>2303</v>
      </c>
      <c r="AD560" s="106" t="n">
        <v>110000</v>
      </c>
      <c r="AE560" s="106" t="s">
        <v>1966</v>
      </c>
      <c r="AF560" s="106" t="n">
        <v>501005</v>
      </c>
      <c r="AG560" s="106" t="s">
        <v>2033</v>
      </c>
      <c r="AI560" s="106" t="n">
        <v>501005</v>
      </c>
      <c r="AJ560" s="106" t="s">
        <v>2033</v>
      </c>
      <c r="AK560" s="106" t="n">
        <v>0</v>
      </c>
      <c r="AL560" s="106" t="n">
        <v>1</v>
      </c>
      <c r="AM560" s="106" t="s">
        <v>161</v>
      </c>
      <c r="AP560" s="106" t="n">
        <v>100143931</v>
      </c>
      <c r="AQ560" s="129" t="n">
        <v>43769</v>
      </c>
      <c r="AR560" s="129" t="n">
        <v>43764</v>
      </c>
      <c r="AS560" s="106" t="n">
        <v>0.535289351851852</v>
      </c>
      <c r="AT560" s="106" t="n">
        <v>0</v>
      </c>
      <c r="AU560" s="106" t="n">
        <v>0</v>
      </c>
      <c r="AX560" s="106" t="n">
        <v>1</v>
      </c>
      <c r="ALU560" s="0"/>
      <c r="ALV560" s="0"/>
      <c r="ALW560" s="0"/>
      <c r="ALX560" s="0"/>
      <c r="ALY560" s="0"/>
      <c r="ALZ560" s="0"/>
      <c r="AMA560" s="0"/>
      <c r="AMB560" s="0"/>
      <c r="AMC560" s="0"/>
      <c r="AMD560" s="0"/>
      <c r="AME560" s="0"/>
      <c r="AMF560" s="0"/>
      <c r="AMG560" s="0"/>
      <c r="AMH560" s="0"/>
      <c r="AMI560" s="0"/>
      <c r="AMJ560" s="0"/>
    </row>
    <row r="561" customFormat="false" ht="13.8" hidden="true" customHeight="false" outlineLevel="0" collapsed="false">
      <c r="A561" s="117" t="n">
        <v>1000</v>
      </c>
      <c r="B561" s="117" t="s">
        <v>1962</v>
      </c>
      <c r="C561" s="117" t="n">
        <v>1600000093</v>
      </c>
      <c r="E561" s="117" t="s">
        <v>1987</v>
      </c>
      <c r="F561" s="117" t="n">
        <v>1301</v>
      </c>
      <c r="G561" s="117" t="n">
        <v>2019</v>
      </c>
      <c r="H561" s="117" t="n">
        <v>3</v>
      </c>
      <c r="I561" s="118" t="n">
        <v>43645</v>
      </c>
      <c r="J561" s="118" t="n">
        <v>43645</v>
      </c>
      <c r="K561" s="119" t="n">
        <v>-224</v>
      </c>
      <c r="L561" s="128" t="n">
        <f aca="false">K561-Q561+T561</f>
        <v>-224</v>
      </c>
      <c r="M561" s="117" t="s">
        <v>149</v>
      </c>
      <c r="N561" s="117" t="n">
        <v>-224</v>
      </c>
      <c r="O561" s="117" t="s">
        <v>149</v>
      </c>
      <c r="P561" s="117" t="n">
        <v>-224</v>
      </c>
      <c r="Q561" s="117" t="n">
        <v>0</v>
      </c>
      <c r="R561" s="117" t="n">
        <v>-224</v>
      </c>
      <c r="S561" s="117" t="n">
        <v>0</v>
      </c>
      <c r="T561" s="117" t="n">
        <v>0</v>
      </c>
      <c r="U561" s="117" t="n">
        <v>312193</v>
      </c>
      <c r="V561" s="117" t="s">
        <v>1963</v>
      </c>
      <c r="X561" s="117" t="s">
        <v>2238</v>
      </c>
      <c r="Y561" s="117" t="s">
        <v>2164</v>
      </c>
      <c r="Z561" s="117" t="n">
        <v>1600000093</v>
      </c>
      <c r="AD561" s="117" t="n">
        <v>110000</v>
      </c>
      <c r="AE561" s="117" t="s">
        <v>1966</v>
      </c>
      <c r="AF561" s="117" t="n">
        <v>111201</v>
      </c>
      <c r="AG561" s="117" t="s">
        <v>2165</v>
      </c>
      <c r="AI561" s="117" t="n">
        <v>111201</v>
      </c>
      <c r="AJ561" s="117" t="s">
        <v>2165</v>
      </c>
      <c r="AK561" s="117" t="n">
        <v>0</v>
      </c>
      <c r="AL561" s="117" t="n">
        <v>14</v>
      </c>
      <c r="AM561" s="117" t="s">
        <v>225</v>
      </c>
      <c r="AP561" s="117" t="n">
        <v>100048554</v>
      </c>
      <c r="AQ561" s="118" t="n">
        <v>43646</v>
      </c>
      <c r="AR561" s="118" t="n">
        <v>43645</v>
      </c>
      <c r="AS561" s="117" t="n">
        <v>0.736967592592593</v>
      </c>
      <c r="AT561" s="117" t="n">
        <v>0</v>
      </c>
      <c r="AU561" s="117" t="n">
        <v>0</v>
      </c>
      <c r="AX561" s="117" t="n">
        <v>8</v>
      </c>
    </row>
    <row r="562" customFormat="false" ht="13.8" hidden="true" customHeight="false" outlineLevel="0" collapsed="false">
      <c r="A562" s="117" t="n">
        <v>1000</v>
      </c>
      <c r="B562" s="117" t="s">
        <v>1962</v>
      </c>
      <c r="C562" s="117" t="n">
        <v>1600000059</v>
      </c>
      <c r="D562" s="117" t="s">
        <v>2175</v>
      </c>
      <c r="E562" s="117" t="s">
        <v>1987</v>
      </c>
      <c r="F562" s="117" t="n">
        <v>1101</v>
      </c>
      <c r="G562" s="117" t="n">
        <v>2019</v>
      </c>
      <c r="H562" s="117" t="n">
        <v>2</v>
      </c>
      <c r="I562" s="118" t="n">
        <v>43616</v>
      </c>
      <c r="J562" s="118" t="n">
        <v>43616</v>
      </c>
      <c r="K562" s="119" t="n">
        <v>4268105.57</v>
      </c>
      <c r="L562" s="128" t="n">
        <f aca="false">K562-Q562+T562</f>
        <v>4268105.57</v>
      </c>
      <c r="M562" s="117" t="s">
        <v>149</v>
      </c>
      <c r="N562" s="117" t="n">
        <v>4268105.57</v>
      </c>
      <c r="O562" s="117" t="s">
        <v>149</v>
      </c>
      <c r="P562" s="117" t="n">
        <v>4268105.57</v>
      </c>
      <c r="Q562" s="117" t="n">
        <v>0</v>
      </c>
      <c r="R562" s="117" t="n">
        <v>4268105.57</v>
      </c>
      <c r="S562" s="117" t="n">
        <v>0</v>
      </c>
      <c r="T562" s="117" t="n">
        <v>0</v>
      </c>
      <c r="U562" s="117" t="n">
        <v>318999</v>
      </c>
      <c r="V562" s="117" t="s">
        <v>143</v>
      </c>
      <c r="X562" s="117" t="s">
        <v>2176</v>
      </c>
      <c r="Y562" s="117" t="s">
        <v>2176</v>
      </c>
      <c r="Z562" s="117" t="n">
        <v>1600000059</v>
      </c>
      <c r="AD562" s="117" t="n">
        <v>111105</v>
      </c>
      <c r="AE562" s="117" t="s">
        <v>1994</v>
      </c>
      <c r="AF562" s="117" t="n">
        <v>318999</v>
      </c>
      <c r="AG562" s="117" t="s">
        <v>143</v>
      </c>
      <c r="AI562" s="117" t="n">
        <v>318999</v>
      </c>
      <c r="AJ562" s="131" t="s">
        <v>143</v>
      </c>
      <c r="AK562" s="117" t="n">
        <v>0</v>
      </c>
      <c r="AL562" s="117" t="n">
        <v>9</v>
      </c>
      <c r="AM562" s="117" t="s">
        <v>161</v>
      </c>
      <c r="AN562" s="117" t="s">
        <v>1995</v>
      </c>
      <c r="AP562" s="117" t="n">
        <v>100039983</v>
      </c>
      <c r="AQ562" s="118" t="n">
        <v>43645</v>
      </c>
      <c r="AR562" s="118" t="n">
        <v>43618</v>
      </c>
      <c r="AS562" s="117" t="n">
        <v>0.616168981481482</v>
      </c>
      <c r="AT562" s="117" t="n">
        <v>0</v>
      </c>
      <c r="AU562" s="117" t="n">
        <v>0</v>
      </c>
      <c r="AX562" s="117" t="n">
        <v>1</v>
      </c>
    </row>
    <row r="563" customFormat="false" ht="13.8" hidden="true" customHeight="false" outlineLevel="0" collapsed="false">
      <c r="A563" s="117" t="n">
        <v>1000</v>
      </c>
      <c r="B563" s="117" t="s">
        <v>1962</v>
      </c>
      <c r="C563" s="117" t="n">
        <v>100020120</v>
      </c>
      <c r="E563" s="117" t="s">
        <v>1921</v>
      </c>
      <c r="F563" s="117" t="n">
        <v>1109</v>
      </c>
      <c r="G563" s="117" t="n">
        <v>2019</v>
      </c>
      <c r="H563" s="117" t="n">
        <v>2</v>
      </c>
      <c r="I563" s="118" t="n">
        <v>43611</v>
      </c>
      <c r="J563" s="118" t="n">
        <v>43611</v>
      </c>
      <c r="K563" s="119" t="n">
        <v>4085</v>
      </c>
      <c r="L563" s="128" t="n">
        <f aca="false">K563-Q563+T563</f>
        <v>4085</v>
      </c>
      <c r="M563" s="117" t="s">
        <v>149</v>
      </c>
      <c r="N563" s="117" t="n">
        <v>4085</v>
      </c>
      <c r="O563" s="117" t="s">
        <v>149</v>
      </c>
      <c r="P563" s="117" t="n">
        <v>0</v>
      </c>
      <c r="Q563" s="117" t="n">
        <v>0</v>
      </c>
      <c r="R563" s="117" t="n">
        <v>4085</v>
      </c>
      <c r="S563" s="117" t="n">
        <v>0</v>
      </c>
      <c r="T563" s="117" t="n">
        <v>0</v>
      </c>
      <c r="U563" s="117" t="n">
        <v>304431</v>
      </c>
      <c r="V563" s="117" t="s">
        <v>2016</v>
      </c>
      <c r="X563" s="117" t="s">
        <v>2304</v>
      </c>
      <c r="Z563" s="117" t="n">
        <v>2247</v>
      </c>
      <c r="AB563" s="117" t="s">
        <v>2043</v>
      </c>
      <c r="AD563" s="117" t="n">
        <v>110000</v>
      </c>
      <c r="AE563" s="117" t="s">
        <v>1966</v>
      </c>
      <c r="AF563" s="117" t="n">
        <v>110000</v>
      </c>
      <c r="AG563" s="117" t="s">
        <v>1966</v>
      </c>
      <c r="AI563" s="117" t="n">
        <v>110000</v>
      </c>
      <c r="AJ563" s="117" t="s">
        <v>1966</v>
      </c>
      <c r="AK563" s="117" t="n">
        <v>0</v>
      </c>
      <c r="AL563" s="117" t="n">
        <v>4</v>
      </c>
      <c r="AM563" s="117" t="s">
        <v>161</v>
      </c>
      <c r="AP563" s="117" t="n">
        <v>100048476</v>
      </c>
      <c r="AQ563" s="118" t="n">
        <v>43646</v>
      </c>
      <c r="AR563" s="118" t="n">
        <v>43611</v>
      </c>
      <c r="AS563" s="117" t="n">
        <v>0.714594907407407</v>
      </c>
      <c r="AT563" s="117" t="n">
        <v>0</v>
      </c>
      <c r="AU563" s="117" t="n">
        <v>0</v>
      </c>
      <c r="AX563" s="117" t="n">
        <v>1</v>
      </c>
    </row>
    <row r="564" customFormat="false" ht="13.8" hidden="true" customHeight="false" outlineLevel="0" collapsed="false">
      <c r="A564" s="117" t="n">
        <v>1000</v>
      </c>
      <c r="B564" s="117" t="s">
        <v>1962</v>
      </c>
      <c r="C564" s="117" t="n">
        <v>100039983</v>
      </c>
      <c r="E564" s="117" t="s">
        <v>1921</v>
      </c>
      <c r="F564" s="117" t="n">
        <v>1101</v>
      </c>
      <c r="G564" s="117" t="n">
        <v>2019</v>
      </c>
      <c r="H564" s="117" t="n">
        <v>3</v>
      </c>
      <c r="I564" s="118" t="n">
        <v>43645</v>
      </c>
      <c r="J564" s="118" t="n">
        <v>43645</v>
      </c>
      <c r="K564" s="119" t="n">
        <v>53618.71</v>
      </c>
      <c r="L564" s="128" t="n">
        <f aca="false">K564-Q564+T564</f>
        <v>53618.71</v>
      </c>
      <c r="M564" s="117" t="s">
        <v>149</v>
      </c>
      <c r="N564" s="117" t="n">
        <v>53618.71</v>
      </c>
      <c r="O564" s="117" t="s">
        <v>149</v>
      </c>
      <c r="P564" s="117" t="n">
        <v>0</v>
      </c>
      <c r="Q564" s="117" t="n">
        <v>0</v>
      </c>
      <c r="R564" s="117" t="n">
        <v>53618.71</v>
      </c>
      <c r="S564" s="117" t="n">
        <v>0</v>
      </c>
      <c r="T564" s="117" t="n">
        <v>0</v>
      </c>
      <c r="U564" s="117" t="n">
        <v>318999</v>
      </c>
      <c r="V564" s="117" t="s">
        <v>143</v>
      </c>
      <c r="X564" s="117" t="s">
        <v>1465</v>
      </c>
      <c r="Z564" s="117" t="n">
        <v>100039983</v>
      </c>
      <c r="AD564" s="117" t="n">
        <v>110000</v>
      </c>
      <c r="AE564" s="117" t="s">
        <v>1966</v>
      </c>
      <c r="AF564" s="117" t="n">
        <v>110000</v>
      </c>
      <c r="AG564" s="117" t="s">
        <v>1966</v>
      </c>
      <c r="AI564" s="117" t="n">
        <v>110000</v>
      </c>
      <c r="AJ564" s="117" t="s">
        <v>1966</v>
      </c>
      <c r="AK564" s="117" t="n">
        <v>0</v>
      </c>
      <c r="AL564" s="117" t="n">
        <v>4</v>
      </c>
      <c r="AM564" s="117" t="s">
        <v>161</v>
      </c>
      <c r="AP564" s="117" t="n">
        <v>100057912</v>
      </c>
      <c r="AQ564" s="118" t="n">
        <v>43677</v>
      </c>
      <c r="AR564" s="118" t="n">
        <v>43646</v>
      </c>
      <c r="AS564" s="117" t="n">
        <v>0.430601851851852</v>
      </c>
      <c r="AT564" s="117" t="n">
        <v>0</v>
      </c>
      <c r="AU564" s="117" t="n">
        <v>0</v>
      </c>
      <c r="AX564" s="117" t="n">
        <v>7</v>
      </c>
    </row>
    <row r="565" customFormat="false" ht="13.8" hidden="true" customHeight="false" outlineLevel="0" collapsed="false">
      <c r="A565" s="117" t="n">
        <v>1000</v>
      </c>
      <c r="B565" s="117" t="s">
        <v>1962</v>
      </c>
      <c r="C565" s="117" t="n">
        <v>100039091</v>
      </c>
      <c r="E565" s="117" t="s">
        <v>1921</v>
      </c>
      <c r="F565" s="117" t="n">
        <v>1101</v>
      </c>
      <c r="G565" s="117" t="n">
        <v>2019</v>
      </c>
      <c r="H565" s="117" t="n">
        <v>3</v>
      </c>
      <c r="I565" s="118" t="n">
        <v>43644</v>
      </c>
      <c r="J565" s="118" t="n">
        <v>43644</v>
      </c>
      <c r="K565" s="119" t="n">
        <v>649000</v>
      </c>
      <c r="L565" s="128" t="n">
        <f aca="false">K565-Q565+T565</f>
        <v>649000</v>
      </c>
      <c r="M565" s="117" t="s">
        <v>149</v>
      </c>
      <c r="N565" s="117" t="n">
        <v>649000</v>
      </c>
      <c r="O565" s="117" t="s">
        <v>149</v>
      </c>
      <c r="P565" s="117" t="n">
        <v>0</v>
      </c>
      <c r="Q565" s="117" t="n">
        <v>0</v>
      </c>
      <c r="R565" s="117" t="n">
        <v>649000</v>
      </c>
      <c r="S565" s="117" t="n">
        <v>0</v>
      </c>
      <c r="T565" s="117" t="n">
        <v>0</v>
      </c>
      <c r="U565" s="117" t="n">
        <v>309728</v>
      </c>
      <c r="V565" s="117" t="s">
        <v>1968</v>
      </c>
      <c r="X565" s="117" t="s">
        <v>1508</v>
      </c>
      <c r="Z565" s="117" t="n">
        <v>59184</v>
      </c>
      <c r="AB565" s="117" t="n">
        <v>2300049939</v>
      </c>
      <c r="AD565" s="117" t="n">
        <v>110000</v>
      </c>
      <c r="AE565" s="117" t="s">
        <v>1966</v>
      </c>
      <c r="AF565" s="117" t="n">
        <v>110000</v>
      </c>
      <c r="AG565" s="117" t="s">
        <v>1966</v>
      </c>
      <c r="AI565" s="117" t="n">
        <v>110000</v>
      </c>
      <c r="AJ565" s="117" t="s">
        <v>1966</v>
      </c>
      <c r="AK565" s="117" t="n">
        <v>0</v>
      </c>
      <c r="AL565" s="117" t="n">
        <v>4</v>
      </c>
      <c r="AM565" s="117" t="s">
        <v>161</v>
      </c>
      <c r="AP565" s="117" t="n">
        <v>100075998</v>
      </c>
      <c r="AQ565" s="118" t="n">
        <v>43703</v>
      </c>
      <c r="AR565" s="118" t="n">
        <v>43644</v>
      </c>
      <c r="AS565" s="117" t="n">
        <v>0.190081018518518</v>
      </c>
      <c r="AT565" s="117" t="n">
        <v>0</v>
      </c>
      <c r="AU565" s="117" t="n">
        <v>0</v>
      </c>
      <c r="AX565" s="117" t="n">
        <v>4</v>
      </c>
    </row>
    <row r="566" customFormat="false" ht="13.8" hidden="true" customHeight="false" outlineLevel="0" collapsed="false">
      <c r="A566" s="117" t="n">
        <v>1000</v>
      </c>
      <c r="B566" s="117" t="s">
        <v>1962</v>
      </c>
      <c r="C566" s="117" t="n">
        <v>100004317</v>
      </c>
      <c r="E566" s="117" t="s">
        <v>1921</v>
      </c>
      <c r="F566" s="117" t="n">
        <v>1109</v>
      </c>
      <c r="G566" s="117" t="n">
        <v>2019</v>
      </c>
      <c r="H566" s="117" t="n">
        <v>1</v>
      </c>
      <c r="I566" s="118" t="n">
        <v>43583</v>
      </c>
      <c r="J566" s="118" t="n">
        <v>43583</v>
      </c>
      <c r="K566" s="119" t="n">
        <v>2354996.8</v>
      </c>
      <c r="L566" s="128" t="n">
        <f aca="false">K566-Q566+T566</f>
        <v>2354996.8</v>
      </c>
      <c r="M566" s="117" t="s">
        <v>149</v>
      </c>
      <c r="N566" s="117" t="n">
        <v>2354996.8</v>
      </c>
      <c r="O566" s="117" t="s">
        <v>149</v>
      </c>
      <c r="P566" s="117" t="n">
        <v>0</v>
      </c>
      <c r="Q566" s="117" t="n">
        <v>0</v>
      </c>
      <c r="R566" s="117" t="n">
        <v>2354996.8</v>
      </c>
      <c r="S566" s="117" t="n">
        <v>0</v>
      </c>
      <c r="T566" s="117" t="n">
        <v>0</v>
      </c>
      <c r="U566" s="117" t="n">
        <v>305576</v>
      </c>
      <c r="V566" s="117" t="s">
        <v>1973</v>
      </c>
      <c r="X566" s="117" t="s">
        <v>1603</v>
      </c>
      <c r="Z566" s="117" t="n">
        <v>57637</v>
      </c>
      <c r="AB566" s="117" t="n">
        <v>4404331996</v>
      </c>
      <c r="AD566" s="117" t="n">
        <v>110000</v>
      </c>
      <c r="AE566" s="117" t="s">
        <v>1966</v>
      </c>
      <c r="AF566" s="117" t="n">
        <v>110000</v>
      </c>
      <c r="AG566" s="117" t="s">
        <v>1966</v>
      </c>
      <c r="AI566" s="117" t="n">
        <v>110000</v>
      </c>
      <c r="AJ566" s="117" t="s">
        <v>1966</v>
      </c>
      <c r="AK566" s="117" t="n">
        <v>0</v>
      </c>
      <c r="AL566" s="117" t="n">
        <v>4</v>
      </c>
      <c r="AM566" s="117" t="s">
        <v>161</v>
      </c>
      <c r="AP566" s="117" t="n">
        <v>100057905</v>
      </c>
      <c r="AQ566" s="118" t="n">
        <v>43677</v>
      </c>
      <c r="AR566" s="118" t="n">
        <v>43583</v>
      </c>
      <c r="AS566" s="117" t="n">
        <v>0.489409722222222</v>
      </c>
      <c r="AT566" s="117" t="n">
        <v>0</v>
      </c>
      <c r="AU566" s="117" t="n">
        <v>0</v>
      </c>
      <c r="AX566" s="117" t="n">
        <v>1</v>
      </c>
    </row>
    <row r="567" s="106" customFormat="true" ht="13.8" hidden="true" customHeight="false" outlineLevel="0" collapsed="false">
      <c r="A567" s="106" t="n">
        <v>1000</v>
      </c>
      <c r="B567" s="106" t="s">
        <v>1962</v>
      </c>
      <c r="C567" s="106" t="n">
        <v>101537</v>
      </c>
      <c r="D567" s="106" t="s">
        <v>1225</v>
      </c>
      <c r="E567" s="106" t="s">
        <v>1970</v>
      </c>
      <c r="F567" s="106" t="n">
        <v>1101</v>
      </c>
      <c r="G567" s="106" t="n">
        <v>2019</v>
      </c>
      <c r="H567" s="106" t="n">
        <v>2</v>
      </c>
      <c r="I567" s="129" t="n">
        <v>43598</v>
      </c>
      <c r="J567" s="129" t="n">
        <v>43598</v>
      </c>
      <c r="K567" s="107" t="n">
        <v>3136810.79</v>
      </c>
      <c r="L567" s="130" t="n">
        <f aca="false">K567-Q567+T567</f>
        <v>2658314.21</v>
      </c>
      <c r="M567" s="106" t="s">
        <v>149</v>
      </c>
      <c r="N567" s="106" t="n">
        <v>3136810.79</v>
      </c>
      <c r="O567" s="106" t="s">
        <v>149</v>
      </c>
      <c r="P567" s="106" t="n">
        <v>0</v>
      </c>
      <c r="Q567" s="107" t="n">
        <v>478496.58</v>
      </c>
      <c r="R567" s="106" t="n">
        <v>2658314.21</v>
      </c>
      <c r="S567" s="106" t="n">
        <v>0</v>
      </c>
      <c r="T567" s="106" t="n">
        <v>0</v>
      </c>
      <c r="U567" s="106" t="n">
        <v>318999</v>
      </c>
      <c r="V567" s="106" t="s">
        <v>143</v>
      </c>
      <c r="Z567" s="106" t="n">
        <v>101537</v>
      </c>
      <c r="AD567" s="106" t="n">
        <v>110000</v>
      </c>
      <c r="AE567" s="106" t="s">
        <v>1966</v>
      </c>
      <c r="AF567" s="106" t="n">
        <v>501040</v>
      </c>
      <c r="AG567" s="106" t="s">
        <v>2036</v>
      </c>
      <c r="AI567" s="106" t="n">
        <v>501040</v>
      </c>
      <c r="AJ567" s="106" t="s">
        <v>2036</v>
      </c>
      <c r="AK567" s="106" t="n">
        <v>0</v>
      </c>
      <c r="AL567" s="106" t="n">
        <v>1</v>
      </c>
      <c r="AM567" s="106" t="s">
        <v>161</v>
      </c>
      <c r="AP567" s="106" t="n">
        <v>100022980</v>
      </c>
      <c r="AQ567" s="129" t="n">
        <v>43616</v>
      </c>
      <c r="AR567" s="129" t="n">
        <v>43598</v>
      </c>
      <c r="AS567" s="106" t="n">
        <v>0.578217592592593</v>
      </c>
      <c r="AT567" s="106" t="n">
        <v>0</v>
      </c>
      <c r="AU567" s="106" t="n">
        <v>0</v>
      </c>
      <c r="AX567" s="106" t="n">
        <v>1</v>
      </c>
      <c r="ALU567" s="0"/>
      <c r="ALV567" s="0"/>
      <c r="ALW567" s="0"/>
      <c r="ALX567" s="0"/>
      <c r="ALY567" s="0"/>
      <c r="ALZ567" s="0"/>
      <c r="AMA567" s="0"/>
      <c r="AMB567" s="0"/>
      <c r="AMC567" s="0"/>
      <c r="AMD567" s="0"/>
      <c r="AME567" s="0"/>
      <c r="AMF567" s="0"/>
      <c r="AMG567" s="0"/>
      <c r="AMH567" s="0"/>
      <c r="AMI567" s="0"/>
      <c r="AMJ567" s="0"/>
    </row>
    <row r="568" s="106" customFormat="true" ht="13.8" hidden="true" customHeight="false" outlineLevel="0" collapsed="false">
      <c r="A568" s="106" t="n">
        <v>1000</v>
      </c>
      <c r="B568" s="106" t="s">
        <v>1962</v>
      </c>
      <c r="C568" s="106" t="n">
        <v>108470</v>
      </c>
      <c r="D568" s="106" t="s">
        <v>2305</v>
      </c>
      <c r="E568" s="106" t="s">
        <v>1970</v>
      </c>
      <c r="F568" s="106" t="n">
        <v>1109</v>
      </c>
      <c r="G568" s="106" t="n">
        <v>2019</v>
      </c>
      <c r="H568" s="106" t="n">
        <v>7</v>
      </c>
      <c r="I568" s="129" t="n">
        <v>43764</v>
      </c>
      <c r="J568" s="129" t="n">
        <v>43764</v>
      </c>
      <c r="K568" s="107" t="n">
        <v>2990371.32</v>
      </c>
      <c r="L568" s="130" t="n">
        <f aca="false">K568-Q568+T568</f>
        <v>2534212.98</v>
      </c>
      <c r="M568" s="106" t="s">
        <v>149</v>
      </c>
      <c r="N568" s="106" t="n">
        <v>2990371.32</v>
      </c>
      <c r="O568" s="106" t="s">
        <v>149</v>
      </c>
      <c r="P568" s="106" t="n">
        <v>0</v>
      </c>
      <c r="Q568" s="107" t="n">
        <v>456158.34</v>
      </c>
      <c r="R568" s="106" t="n">
        <v>2534212.98</v>
      </c>
      <c r="S568" s="106" t="n">
        <v>0</v>
      </c>
      <c r="T568" s="106" t="n">
        <v>0</v>
      </c>
      <c r="U568" s="106" t="n">
        <v>312193</v>
      </c>
      <c r="V568" s="106" t="s">
        <v>1963</v>
      </c>
      <c r="Z568" s="106" t="n">
        <v>60942</v>
      </c>
      <c r="AB568" s="106" t="s">
        <v>2124</v>
      </c>
      <c r="AD568" s="106" t="n">
        <v>110000</v>
      </c>
      <c r="AE568" s="106" t="s">
        <v>1966</v>
      </c>
      <c r="AF568" s="106" t="n">
        <v>501005</v>
      </c>
      <c r="AG568" s="106" t="s">
        <v>2033</v>
      </c>
      <c r="AI568" s="106" t="n">
        <v>501005</v>
      </c>
      <c r="AJ568" s="106" t="s">
        <v>2033</v>
      </c>
      <c r="AK568" s="106" t="n">
        <v>0</v>
      </c>
      <c r="AL568" s="106" t="n">
        <v>1</v>
      </c>
      <c r="AM568" s="106" t="s">
        <v>161</v>
      </c>
      <c r="AP568" s="106" t="n">
        <v>100141449</v>
      </c>
      <c r="AQ568" s="129" t="n">
        <v>43766</v>
      </c>
      <c r="AR568" s="129" t="n">
        <v>43764</v>
      </c>
      <c r="AS568" s="106" t="n">
        <v>0.694444444444444</v>
      </c>
      <c r="AT568" s="106" t="n">
        <v>0</v>
      </c>
      <c r="AU568" s="106" t="n">
        <v>0</v>
      </c>
      <c r="AX568" s="106" t="n">
        <v>1</v>
      </c>
      <c r="ALU568" s="0"/>
      <c r="ALV568" s="0"/>
      <c r="ALW568" s="0"/>
      <c r="ALX568" s="0"/>
      <c r="ALY568" s="0"/>
      <c r="ALZ568" s="0"/>
      <c r="AMA568" s="0"/>
      <c r="AMB568" s="0"/>
      <c r="AMC568" s="0"/>
      <c r="AMD568" s="0"/>
      <c r="AME568" s="0"/>
      <c r="AMF568" s="0"/>
      <c r="AMG568" s="0"/>
      <c r="AMH568" s="0"/>
      <c r="AMI568" s="0"/>
      <c r="AMJ568" s="0"/>
    </row>
    <row r="569" customFormat="false" ht="13.8" hidden="true" customHeight="false" outlineLevel="0" collapsed="false">
      <c r="A569" s="117" t="n">
        <v>1000</v>
      </c>
      <c r="B569" s="117" t="s">
        <v>1962</v>
      </c>
      <c r="C569" s="117" t="n">
        <v>100005105</v>
      </c>
      <c r="E569" s="117" t="s">
        <v>1921</v>
      </c>
      <c r="F569" s="117" t="n">
        <v>1109</v>
      </c>
      <c r="G569" s="117" t="n">
        <v>2019</v>
      </c>
      <c r="H569" s="117" t="n">
        <v>1</v>
      </c>
      <c r="I569" s="118" t="n">
        <v>43585</v>
      </c>
      <c r="J569" s="118" t="n">
        <v>43585</v>
      </c>
      <c r="K569" s="119" t="n">
        <v>0.36</v>
      </c>
      <c r="L569" s="128" t="n">
        <f aca="false">K569-Q569+T569</f>
        <v>0.36</v>
      </c>
      <c r="M569" s="117" t="s">
        <v>149</v>
      </c>
      <c r="N569" s="117" t="n">
        <v>0.36</v>
      </c>
      <c r="O569" s="117" t="s">
        <v>149</v>
      </c>
      <c r="P569" s="117" t="n">
        <v>0</v>
      </c>
      <c r="Q569" s="117" t="n">
        <v>0</v>
      </c>
      <c r="R569" s="117" t="n">
        <v>0.36</v>
      </c>
      <c r="S569" s="117" t="n">
        <v>0</v>
      </c>
      <c r="T569" s="117" t="n">
        <v>0</v>
      </c>
      <c r="U569" s="117" t="n">
        <v>312193</v>
      </c>
      <c r="V569" s="117" t="s">
        <v>1963</v>
      </c>
      <c r="Z569" s="117" t="n">
        <v>55901</v>
      </c>
      <c r="AB569" s="117" t="s">
        <v>2235</v>
      </c>
      <c r="AD569" s="117" t="n">
        <v>110000</v>
      </c>
      <c r="AE569" s="117" t="s">
        <v>1966</v>
      </c>
      <c r="AF569" s="117" t="n">
        <v>110000</v>
      </c>
      <c r="AG569" s="117" t="s">
        <v>1966</v>
      </c>
      <c r="AI569" s="117" t="n">
        <v>110000</v>
      </c>
      <c r="AJ569" s="117" t="s">
        <v>1966</v>
      </c>
      <c r="AK569" s="117" t="n">
        <v>0</v>
      </c>
      <c r="AL569" s="117" t="n">
        <v>4</v>
      </c>
      <c r="AM569" s="117" t="s">
        <v>161</v>
      </c>
      <c r="AP569" s="117" t="n">
        <v>100022447</v>
      </c>
      <c r="AQ569" s="118" t="n">
        <v>43616</v>
      </c>
      <c r="AR569" s="118" t="n">
        <v>43586</v>
      </c>
      <c r="AS569" s="117" t="n">
        <v>0.424085648148148</v>
      </c>
      <c r="AT569" s="117" t="n">
        <v>0</v>
      </c>
      <c r="AU569" s="117" t="n">
        <v>0</v>
      </c>
      <c r="AX569" s="117" t="n">
        <v>2</v>
      </c>
    </row>
    <row r="570" customFormat="false" ht="13.8" hidden="true" customHeight="false" outlineLevel="0" collapsed="false">
      <c r="A570" s="117" t="n">
        <v>1000</v>
      </c>
      <c r="B570" s="117" t="s">
        <v>1962</v>
      </c>
      <c r="C570" s="117" t="n">
        <v>100039106</v>
      </c>
      <c r="E570" s="117" t="s">
        <v>1921</v>
      </c>
      <c r="F570" s="117" t="n">
        <v>1108</v>
      </c>
      <c r="G570" s="117" t="n">
        <v>2019</v>
      </c>
      <c r="H570" s="117" t="n">
        <v>3</v>
      </c>
      <c r="I570" s="118" t="n">
        <v>43644</v>
      </c>
      <c r="J570" s="118" t="n">
        <v>43644</v>
      </c>
      <c r="K570" s="119" t="n">
        <v>-4044260.22</v>
      </c>
      <c r="L570" s="128" t="n">
        <f aca="false">K570-Q570+T570</f>
        <v>-4044260.22</v>
      </c>
      <c r="M570" s="117" t="s">
        <v>149</v>
      </c>
      <c r="N570" s="117" t="n">
        <v>-4044260.22</v>
      </c>
      <c r="O570" s="117" t="s">
        <v>149</v>
      </c>
      <c r="P570" s="117" t="n">
        <v>0</v>
      </c>
      <c r="Q570" s="117" t="n">
        <v>0</v>
      </c>
      <c r="R570" s="117" t="n">
        <v>-4044260.22</v>
      </c>
      <c r="S570" s="117" t="n">
        <v>0</v>
      </c>
      <c r="T570" s="117" t="n">
        <v>0</v>
      </c>
      <c r="U570" s="117" t="n">
        <v>312948</v>
      </c>
      <c r="V570" s="117" t="s">
        <v>1984</v>
      </c>
      <c r="Z570" s="117" t="n">
        <v>100039106</v>
      </c>
      <c r="AD570" s="117" t="n">
        <v>110000</v>
      </c>
      <c r="AE570" s="117" t="s">
        <v>1966</v>
      </c>
      <c r="AF570" s="117" t="n">
        <v>110000</v>
      </c>
      <c r="AG570" s="117" t="s">
        <v>1966</v>
      </c>
      <c r="AI570" s="117" t="n">
        <v>110000</v>
      </c>
      <c r="AJ570" s="117" t="s">
        <v>1966</v>
      </c>
      <c r="AK570" s="117" t="n">
        <v>0</v>
      </c>
      <c r="AL570" s="117" t="n">
        <v>17</v>
      </c>
      <c r="AM570" s="117" t="s">
        <v>225</v>
      </c>
      <c r="AP570" s="117" t="n">
        <v>100039106</v>
      </c>
      <c r="AQ570" s="118" t="n">
        <v>43644</v>
      </c>
      <c r="AR570" s="118" t="n">
        <v>43644</v>
      </c>
      <c r="AS570" s="117" t="n">
        <v>0.20212962962963</v>
      </c>
      <c r="AT570" s="117" t="n">
        <v>0</v>
      </c>
      <c r="AU570" s="117" t="n">
        <v>0</v>
      </c>
      <c r="AX570" s="117" t="n">
        <v>4</v>
      </c>
    </row>
    <row r="571" customFormat="false" ht="13.8" hidden="true" customHeight="false" outlineLevel="0" collapsed="false">
      <c r="A571" s="117" t="n">
        <v>1000</v>
      </c>
      <c r="B571" s="117" t="s">
        <v>1962</v>
      </c>
      <c r="C571" s="117" t="n">
        <v>100039983</v>
      </c>
      <c r="E571" s="117" t="s">
        <v>1921</v>
      </c>
      <c r="F571" s="117" t="n">
        <v>1101</v>
      </c>
      <c r="G571" s="117" t="n">
        <v>2019</v>
      </c>
      <c r="H571" s="117" t="n">
        <v>3</v>
      </c>
      <c r="I571" s="118" t="n">
        <v>43645</v>
      </c>
      <c r="J571" s="118" t="n">
        <v>43645</v>
      </c>
      <c r="K571" s="119" t="n">
        <v>1566408.81</v>
      </c>
      <c r="L571" s="128" t="n">
        <f aca="false">K571-Q571+T571</f>
        <v>1566408.81</v>
      </c>
      <c r="M571" s="117" t="s">
        <v>149</v>
      </c>
      <c r="N571" s="117" t="n">
        <v>1566408.81</v>
      </c>
      <c r="O571" s="117" t="s">
        <v>149</v>
      </c>
      <c r="P571" s="117" t="n">
        <v>0</v>
      </c>
      <c r="Q571" s="117" t="n">
        <v>0</v>
      </c>
      <c r="R571" s="117" t="n">
        <v>1566408.81</v>
      </c>
      <c r="S571" s="117" t="n">
        <v>0</v>
      </c>
      <c r="T571" s="117" t="n">
        <v>0</v>
      </c>
      <c r="U571" s="117" t="n">
        <v>318999</v>
      </c>
      <c r="V571" s="117" t="s">
        <v>143</v>
      </c>
      <c r="X571" s="117" t="s">
        <v>2242</v>
      </c>
      <c r="Z571" s="117" t="n">
        <v>100039983</v>
      </c>
      <c r="AD571" s="117" t="n">
        <v>110000</v>
      </c>
      <c r="AE571" s="117" t="s">
        <v>1966</v>
      </c>
      <c r="AF571" s="117" t="n">
        <v>110000</v>
      </c>
      <c r="AG571" s="117" t="s">
        <v>1966</v>
      </c>
      <c r="AI571" s="117" t="n">
        <v>110000</v>
      </c>
      <c r="AJ571" s="117" t="s">
        <v>1966</v>
      </c>
      <c r="AK571" s="117" t="n">
        <v>0</v>
      </c>
      <c r="AL571" s="117" t="n">
        <v>4</v>
      </c>
      <c r="AM571" s="117" t="s">
        <v>161</v>
      </c>
      <c r="AP571" s="117" t="n">
        <v>100082045</v>
      </c>
      <c r="AQ571" s="118" t="n">
        <v>43708</v>
      </c>
      <c r="AR571" s="118" t="n">
        <v>43646</v>
      </c>
      <c r="AS571" s="117" t="n">
        <v>0.430601851851852</v>
      </c>
      <c r="AT571" s="117" t="n">
        <v>0</v>
      </c>
      <c r="AU571" s="117" t="n">
        <v>0</v>
      </c>
      <c r="AX571" s="117" t="n">
        <v>14</v>
      </c>
    </row>
    <row r="572" customFormat="false" ht="13.8" hidden="true" customHeight="false" outlineLevel="0" collapsed="false">
      <c r="A572" s="117" t="n">
        <v>1000</v>
      </c>
      <c r="B572" s="117" t="s">
        <v>1962</v>
      </c>
      <c r="C572" s="117" t="n">
        <v>100004389</v>
      </c>
      <c r="E572" s="117" t="s">
        <v>1921</v>
      </c>
      <c r="F572" s="117" t="n">
        <v>1108</v>
      </c>
      <c r="G572" s="117" t="n">
        <v>2019</v>
      </c>
      <c r="H572" s="117" t="n">
        <v>1</v>
      </c>
      <c r="I572" s="118" t="n">
        <v>43583</v>
      </c>
      <c r="J572" s="118" t="n">
        <v>43583</v>
      </c>
      <c r="K572" s="119" t="n">
        <v>0.5</v>
      </c>
      <c r="L572" s="128" t="n">
        <f aca="false">K572-Q572+T572</f>
        <v>0.5</v>
      </c>
      <c r="M572" s="117" t="s">
        <v>149</v>
      </c>
      <c r="N572" s="117" t="n">
        <v>0.5</v>
      </c>
      <c r="O572" s="117" t="s">
        <v>149</v>
      </c>
      <c r="P572" s="117" t="n">
        <v>0</v>
      </c>
      <c r="Q572" s="117" t="n">
        <v>0</v>
      </c>
      <c r="R572" s="117" t="n">
        <v>0.5</v>
      </c>
      <c r="S572" s="117" t="n">
        <v>0</v>
      </c>
      <c r="T572" s="117" t="n">
        <v>0</v>
      </c>
      <c r="U572" s="117" t="n">
        <v>318072</v>
      </c>
      <c r="V572" s="117" t="s">
        <v>2290</v>
      </c>
      <c r="Z572" s="117" t="n">
        <v>57158</v>
      </c>
      <c r="AB572" s="117" t="s">
        <v>2306</v>
      </c>
      <c r="AD572" s="117" t="n">
        <v>110000</v>
      </c>
      <c r="AE572" s="117" t="s">
        <v>1966</v>
      </c>
      <c r="AF572" s="117" t="n">
        <v>110000</v>
      </c>
      <c r="AG572" s="117" t="s">
        <v>1966</v>
      </c>
      <c r="AI572" s="117" t="n">
        <v>110000</v>
      </c>
      <c r="AJ572" s="117" t="s">
        <v>1966</v>
      </c>
      <c r="AK572" s="117" t="n">
        <v>0</v>
      </c>
      <c r="AL572" s="117" t="n">
        <v>4</v>
      </c>
      <c r="AM572" s="117" t="s">
        <v>161</v>
      </c>
      <c r="AP572" s="117" t="n">
        <v>100014559</v>
      </c>
      <c r="AQ572" s="118" t="n">
        <v>43585</v>
      </c>
      <c r="AR572" s="118" t="n">
        <v>43583</v>
      </c>
      <c r="AS572" s="117" t="n">
        <v>0.613969907407407</v>
      </c>
      <c r="AT572" s="117" t="n">
        <v>0</v>
      </c>
      <c r="AU572" s="117" t="n">
        <v>0</v>
      </c>
      <c r="AX572" s="117" t="n">
        <v>1</v>
      </c>
    </row>
    <row r="573" customFormat="false" ht="13.8" hidden="true" customHeight="false" outlineLevel="0" collapsed="false">
      <c r="A573" s="117" t="n">
        <v>1000</v>
      </c>
      <c r="B573" s="117" t="s">
        <v>1962</v>
      </c>
      <c r="C573" s="117" t="n">
        <v>100048609</v>
      </c>
      <c r="E573" s="117" t="s">
        <v>1921</v>
      </c>
      <c r="F573" s="117" t="n">
        <v>1109</v>
      </c>
      <c r="G573" s="117" t="n">
        <v>2019</v>
      </c>
      <c r="H573" s="117" t="n">
        <v>3</v>
      </c>
      <c r="I573" s="118" t="n">
        <v>43646</v>
      </c>
      <c r="J573" s="118" t="n">
        <v>43646</v>
      </c>
      <c r="K573" s="119" t="n">
        <v>-187065.11</v>
      </c>
      <c r="L573" s="128" t="n">
        <f aca="false">K573-Q573+T573</f>
        <v>-187065.11</v>
      </c>
      <c r="M573" s="117" t="s">
        <v>149</v>
      </c>
      <c r="N573" s="117" t="n">
        <v>-187065.11</v>
      </c>
      <c r="O573" s="117" t="s">
        <v>149</v>
      </c>
      <c r="P573" s="117" t="n">
        <v>0</v>
      </c>
      <c r="Q573" s="117" t="n">
        <v>0</v>
      </c>
      <c r="R573" s="117" t="n">
        <v>-187065.11</v>
      </c>
      <c r="S573" s="117" t="n">
        <v>0</v>
      </c>
      <c r="T573" s="117" t="n">
        <v>0</v>
      </c>
      <c r="U573" s="117" t="n">
        <v>318420</v>
      </c>
      <c r="V573" s="117" t="s">
        <v>2153</v>
      </c>
      <c r="Z573" s="117" t="n">
        <v>100048609</v>
      </c>
      <c r="AD573" s="117" t="n">
        <v>110000</v>
      </c>
      <c r="AE573" s="117" t="s">
        <v>1966</v>
      </c>
      <c r="AF573" s="117" t="n">
        <v>110000</v>
      </c>
      <c r="AG573" s="117" t="s">
        <v>1966</v>
      </c>
      <c r="AI573" s="117" t="n">
        <v>110000</v>
      </c>
      <c r="AJ573" s="117" t="s">
        <v>1966</v>
      </c>
      <c r="AK573" s="117" t="n">
        <v>0</v>
      </c>
      <c r="AL573" s="117" t="n">
        <v>17</v>
      </c>
      <c r="AM573" s="117" t="s">
        <v>225</v>
      </c>
      <c r="AP573" s="117" t="n">
        <v>100048609</v>
      </c>
      <c r="AQ573" s="118" t="n">
        <v>43646</v>
      </c>
      <c r="AR573" s="118" t="n">
        <v>43647</v>
      </c>
      <c r="AS573" s="117" t="n">
        <v>0.208842592592593</v>
      </c>
      <c r="AT573" s="117" t="n">
        <v>0</v>
      </c>
      <c r="AU573" s="117" t="n">
        <v>0</v>
      </c>
      <c r="AX573" s="117" t="n">
        <v>3</v>
      </c>
    </row>
    <row r="574" customFormat="false" ht="13.8" hidden="true" customHeight="false" outlineLevel="0" collapsed="false">
      <c r="A574" s="117" t="n">
        <v>1000</v>
      </c>
      <c r="B574" s="117" t="s">
        <v>1962</v>
      </c>
      <c r="C574" s="117" t="n">
        <v>100022447</v>
      </c>
      <c r="E574" s="117" t="s">
        <v>1921</v>
      </c>
      <c r="F574" s="117" t="n">
        <v>1109</v>
      </c>
      <c r="G574" s="117" t="n">
        <v>2019</v>
      </c>
      <c r="H574" s="117" t="n">
        <v>2</v>
      </c>
      <c r="I574" s="118" t="n">
        <v>43616</v>
      </c>
      <c r="J574" s="118" t="n">
        <v>43616</v>
      </c>
      <c r="K574" s="119" t="n">
        <v>-1654667.92</v>
      </c>
      <c r="L574" s="128" t="n">
        <f aca="false">K574-Q574+T574</f>
        <v>-1654667.92</v>
      </c>
      <c r="M574" s="117" t="s">
        <v>149</v>
      </c>
      <c r="N574" s="117" t="n">
        <v>-1654667.92</v>
      </c>
      <c r="O574" s="117" t="s">
        <v>149</v>
      </c>
      <c r="P574" s="117" t="n">
        <v>0</v>
      </c>
      <c r="Q574" s="117" t="n">
        <v>0</v>
      </c>
      <c r="R574" s="117" t="n">
        <v>-1654667.92</v>
      </c>
      <c r="S574" s="117" t="n">
        <v>0</v>
      </c>
      <c r="T574" s="117" t="n">
        <v>0</v>
      </c>
      <c r="U574" s="117" t="n">
        <v>312193</v>
      </c>
      <c r="V574" s="117" t="s">
        <v>1963</v>
      </c>
      <c r="Z574" s="117" t="n">
        <v>100022447</v>
      </c>
      <c r="AD574" s="117" t="n">
        <v>110000</v>
      </c>
      <c r="AE574" s="117" t="s">
        <v>1966</v>
      </c>
      <c r="AF574" s="117" t="n">
        <v>110000</v>
      </c>
      <c r="AG574" s="117" t="s">
        <v>1966</v>
      </c>
      <c r="AI574" s="117" t="n">
        <v>110000</v>
      </c>
      <c r="AJ574" s="117" t="s">
        <v>1966</v>
      </c>
      <c r="AK574" s="117" t="n">
        <v>0</v>
      </c>
      <c r="AL574" s="117" t="n">
        <v>17</v>
      </c>
      <c r="AM574" s="117" t="s">
        <v>225</v>
      </c>
      <c r="AP574" s="117" t="n">
        <v>100022447</v>
      </c>
      <c r="AQ574" s="118" t="n">
        <v>43616</v>
      </c>
      <c r="AR574" s="118" t="n">
        <v>43617</v>
      </c>
      <c r="AS574" s="117" t="n">
        <v>0.592361111111111</v>
      </c>
      <c r="AT574" s="117" t="n">
        <v>0</v>
      </c>
      <c r="AU574" s="117" t="n">
        <v>0</v>
      </c>
      <c r="AX574" s="117" t="n">
        <v>6</v>
      </c>
    </row>
    <row r="575" s="106" customFormat="true" ht="13.8" hidden="true" customHeight="false" outlineLevel="0" collapsed="false">
      <c r="A575" s="106" t="n">
        <v>1000</v>
      </c>
      <c r="B575" s="106" t="s">
        <v>1962</v>
      </c>
      <c r="C575" s="106" t="n">
        <v>103252</v>
      </c>
      <c r="D575" s="106" t="s">
        <v>1413</v>
      </c>
      <c r="E575" s="106" t="s">
        <v>1970</v>
      </c>
      <c r="F575" s="106" t="n">
        <v>1101</v>
      </c>
      <c r="G575" s="106" t="n">
        <v>2019</v>
      </c>
      <c r="H575" s="106" t="n">
        <v>3</v>
      </c>
      <c r="I575" s="129" t="n">
        <v>43633</v>
      </c>
      <c r="J575" s="129" t="n">
        <v>43633</v>
      </c>
      <c r="K575" s="107" t="n">
        <v>79137.34</v>
      </c>
      <c r="L575" s="130" t="n">
        <f aca="false">K575-Q575+T575</f>
        <v>67065.54</v>
      </c>
      <c r="M575" s="106" t="s">
        <v>149</v>
      </c>
      <c r="N575" s="106" t="n">
        <v>79137.34</v>
      </c>
      <c r="O575" s="106" t="s">
        <v>149</v>
      </c>
      <c r="P575" s="106" t="n">
        <v>0</v>
      </c>
      <c r="Q575" s="107" t="n">
        <v>12071.8</v>
      </c>
      <c r="R575" s="106" t="n">
        <v>67065.54</v>
      </c>
      <c r="S575" s="106" t="n">
        <v>0</v>
      </c>
      <c r="T575" s="106" t="n">
        <v>0</v>
      </c>
      <c r="U575" s="106" t="n">
        <v>318999</v>
      </c>
      <c r="V575" s="106" t="s">
        <v>143</v>
      </c>
      <c r="Z575" s="106" t="n">
        <v>103252</v>
      </c>
      <c r="AD575" s="106" t="n">
        <v>110000</v>
      </c>
      <c r="AE575" s="106" t="s">
        <v>1966</v>
      </c>
      <c r="AF575" s="106" t="n">
        <v>501040</v>
      </c>
      <c r="AG575" s="106" t="s">
        <v>2036</v>
      </c>
      <c r="AI575" s="106" t="n">
        <v>501040</v>
      </c>
      <c r="AJ575" s="106" t="s">
        <v>2036</v>
      </c>
      <c r="AK575" s="106" t="n">
        <v>0</v>
      </c>
      <c r="AL575" s="106" t="n">
        <v>1</v>
      </c>
      <c r="AM575" s="106" t="s">
        <v>161</v>
      </c>
      <c r="AP575" s="106" t="n">
        <v>100039983</v>
      </c>
      <c r="AQ575" s="129" t="n">
        <v>43645</v>
      </c>
      <c r="AR575" s="129" t="n">
        <v>43633</v>
      </c>
      <c r="AS575" s="106" t="n">
        <v>0.507847222222222</v>
      </c>
      <c r="AT575" s="106" t="n">
        <v>0</v>
      </c>
      <c r="AU575" s="106" t="n">
        <v>0</v>
      </c>
      <c r="AX575" s="106" t="n">
        <v>1</v>
      </c>
      <c r="ALU575" s="0"/>
      <c r="ALV575" s="0"/>
      <c r="ALW575" s="0"/>
      <c r="ALX575" s="0"/>
      <c r="ALY575" s="0"/>
      <c r="ALZ575" s="0"/>
      <c r="AMA575" s="0"/>
      <c r="AMB575" s="0"/>
      <c r="AMC575" s="0"/>
      <c r="AMD575" s="0"/>
      <c r="AME575" s="0"/>
      <c r="AMF575" s="0"/>
      <c r="AMG575" s="0"/>
      <c r="AMH575" s="0"/>
      <c r="AMI575" s="0"/>
      <c r="AMJ575" s="0"/>
    </row>
    <row r="576" customFormat="false" ht="13.8" hidden="true" customHeight="false" outlineLevel="0" collapsed="false">
      <c r="A576" s="117" t="n">
        <v>1000</v>
      </c>
      <c r="B576" s="117" t="s">
        <v>1962</v>
      </c>
      <c r="C576" s="117" t="n">
        <v>100014556</v>
      </c>
      <c r="D576" s="117" t="s">
        <v>2005</v>
      </c>
      <c r="E576" s="117" t="s">
        <v>1903</v>
      </c>
      <c r="F576" s="117" t="n">
        <v>1108</v>
      </c>
      <c r="G576" s="117" t="n">
        <v>2019</v>
      </c>
      <c r="H576" s="117" t="n">
        <v>1</v>
      </c>
      <c r="I576" s="118" t="n">
        <v>43587</v>
      </c>
      <c r="J576" s="118" t="n">
        <v>43585</v>
      </c>
      <c r="K576" s="119" t="n">
        <v>-0.4</v>
      </c>
      <c r="L576" s="128" t="n">
        <f aca="false">K576-Q576+T576</f>
        <v>-0.4</v>
      </c>
      <c r="M576" s="117" t="s">
        <v>149</v>
      </c>
      <c r="N576" s="117" t="n">
        <v>-0.4</v>
      </c>
      <c r="O576" s="117" t="s">
        <v>149</v>
      </c>
      <c r="P576" s="117" t="n">
        <v>0</v>
      </c>
      <c r="Q576" s="117" t="n">
        <v>0</v>
      </c>
      <c r="R576" s="117" t="n">
        <v>-0.4</v>
      </c>
      <c r="S576" s="117" t="n">
        <v>0</v>
      </c>
      <c r="T576" s="117" t="n">
        <v>0</v>
      </c>
      <c r="U576" s="117" t="n">
        <v>318064</v>
      </c>
      <c r="V576" s="117" t="s">
        <v>2206</v>
      </c>
      <c r="X576" s="117" t="s">
        <v>2307</v>
      </c>
      <c r="Y576" s="117" t="s">
        <v>2008</v>
      </c>
      <c r="Z576" s="117" t="n">
        <v>100014556</v>
      </c>
      <c r="AD576" s="117" t="n">
        <v>110000</v>
      </c>
      <c r="AE576" s="117" t="s">
        <v>1966</v>
      </c>
      <c r="AF576" s="117" t="n">
        <v>891305</v>
      </c>
      <c r="AG576" s="117" t="s">
        <v>2009</v>
      </c>
      <c r="AI576" s="117" t="n">
        <v>891305</v>
      </c>
      <c r="AJ576" s="117" t="s">
        <v>2009</v>
      </c>
      <c r="AK576" s="117" t="n">
        <v>0</v>
      </c>
      <c r="AL576" s="117" t="n">
        <v>17</v>
      </c>
      <c r="AM576" s="117" t="s">
        <v>225</v>
      </c>
      <c r="AP576" s="117" t="n">
        <v>100014556</v>
      </c>
      <c r="AQ576" s="118" t="n">
        <v>43585</v>
      </c>
      <c r="AR576" s="118" t="n">
        <v>43587</v>
      </c>
      <c r="AS576" s="117" t="n">
        <v>0.706145833333333</v>
      </c>
      <c r="AT576" s="117" t="n">
        <v>0</v>
      </c>
      <c r="AU576" s="117" t="n">
        <v>0</v>
      </c>
      <c r="AX576" s="117" t="n">
        <v>2</v>
      </c>
    </row>
    <row r="577" customFormat="false" ht="13.8" hidden="true" customHeight="false" outlineLevel="0" collapsed="false">
      <c r="A577" s="117" t="n">
        <v>1000</v>
      </c>
      <c r="B577" s="117" t="s">
        <v>1962</v>
      </c>
      <c r="C577" s="117" t="n">
        <v>1600000096</v>
      </c>
      <c r="E577" s="117" t="s">
        <v>1987</v>
      </c>
      <c r="F577" s="117" t="n">
        <v>1101</v>
      </c>
      <c r="G577" s="117" t="n">
        <v>2019</v>
      </c>
      <c r="H577" s="117" t="n">
        <v>3</v>
      </c>
      <c r="I577" s="118" t="n">
        <v>43645</v>
      </c>
      <c r="J577" s="118" t="n">
        <v>43645</v>
      </c>
      <c r="K577" s="119" t="n">
        <v>-8112</v>
      </c>
      <c r="L577" s="128" t="n">
        <f aca="false">K577-Q577+T577</f>
        <v>-8112</v>
      </c>
      <c r="M577" s="117" t="s">
        <v>149</v>
      </c>
      <c r="N577" s="117" t="n">
        <v>-8112</v>
      </c>
      <c r="O577" s="117" t="s">
        <v>149</v>
      </c>
      <c r="P577" s="117" t="n">
        <v>-8112</v>
      </c>
      <c r="Q577" s="117" t="n">
        <v>0</v>
      </c>
      <c r="R577" s="117" t="n">
        <v>-8112</v>
      </c>
      <c r="S577" s="117" t="n">
        <v>0</v>
      </c>
      <c r="T577" s="117" t="n">
        <v>0</v>
      </c>
      <c r="U577" s="117" t="n">
        <v>304431</v>
      </c>
      <c r="V577" s="117" t="s">
        <v>2016</v>
      </c>
      <c r="X577" s="117" t="s">
        <v>2308</v>
      </c>
      <c r="Y577" s="117" t="s">
        <v>2164</v>
      </c>
      <c r="Z577" s="117" t="n">
        <v>1600000096</v>
      </c>
      <c r="AD577" s="117" t="n">
        <v>110000</v>
      </c>
      <c r="AE577" s="117" t="s">
        <v>1966</v>
      </c>
      <c r="AF577" s="117" t="n">
        <v>111201</v>
      </c>
      <c r="AG577" s="117" t="s">
        <v>2165</v>
      </c>
      <c r="AI577" s="117" t="n">
        <v>111201</v>
      </c>
      <c r="AJ577" s="117" t="s">
        <v>2165</v>
      </c>
      <c r="AK577" s="117" t="n">
        <v>0</v>
      </c>
      <c r="AL577" s="117" t="n">
        <v>14</v>
      </c>
      <c r="AM577" s="117" t="s">
        <v>225</v>
      </c>
      <c r="AP577" s="117" t="n">
        <v>100048476</v>
      </c>
      <c r="AQ577" s="118" t="n">
        <v>43646</v>
      </c>
      <c r="AR577" s="118" t="n">
        <v>43645</v>
      </c>
      <c r="AS577" s="117" t="n">
        <v>0.743657407407408</v>
      </c>
      <c r="AT577" s="117" t="n">
        <v>0</v>
      </c>
      <c r="AU577" s="117" t="n">
        <v>0</v>
      </c>
      <c r="AX577" s="117" t="n">
        <v>14</v>
      </c>
    </row>
    <row r="578" s="106" customFormat="true" ht="13.8" hidden="true" customHeight="false" outlineLevel="0" collapsed="false">
      <c r="A578" s="106" t="n">
        <v>1000</v>
      </c>
      <c r="B578" s="106" t="s">
        <v>1962</v>
      </c>
      <c r="C578" s="106" t="n">
        <v>108490</v>
      </c>
      <c r="D578" s="106" t="s">
        <v>2309</v>
      </c>
      <c r="E578" s="106" t="s">
        <v>1970</v>
      </c>
      <c r="F578" s="106" t="n">
        <v>1109</v>
      </c>
      <c r="G578" s="106" t="n">
        <v>2019</v>
      </c>
      <c r="H578" s="106" t="n">
        <v>7</v>
      </c>
      <c r="I578" s="129" t="n">
        <v>43764</v>
      </c>
      <c r="J578" s="129" t="n">
        <v>43764</v>
      </c>
      <c r="K578" s="107" t="n">
        <v>455884.13</v>
      </c>
      <c r="L578" s="130" t="n">
        <f aca="false">K578-Q578+T578</f>
        <v>386342.48</v>
      </c>
      <c r="M578" s="106" t="s">
        <v>149</v>
      </c>
      <c r="N578" s="106" t="n">
        <v>455884.13</v>
      </c>
      <c r="O578" s="106" t="s">
        <v>149</v>
      </c>
      <c r="P578" s="106" t="n">
        <v>0</v>
      </c>
      <c r="Q578" s="107" t="n">
        <v>69541.65</v>
      </c>
      <c r="R578" s="106" t="n">
        <v>386342.48</v>
      </c>
      <c r="S578" s="106" t="n">
        <v>0</v>
      </c>
      <c r="T578" s="106" t="n">
        <v>0</v>
      </c>
      <c r="U578" s="106" t="n">
        <v>312193</v>
      </c>
      <c r="V578" s="106" t="s">
        <v>1963</v>
      </c>
      <c r="Z578" s="106" t="n">
        <v>60960</v>
      </c>
      <c r="AB578" s="106" t="s">
        <v>2124</v>
      </c>
      <c r="AD578" s="106" t="n">
        <v>110000</v>
      </c>
      <c r="AE578" s="106" t="s">
        <v>1966</v>
      </c>
      <c r="AF578" s="106" t="n">
        <v>501005</v>
      </c>
      <c r="AG578" s="106" t="s">
        <v>2033</v>
      </c>
      <c r="AI578" s="106" t="n">
        <v>501005</v>
      </c>
      <c r="AJ578" s="106" t="s">
        <v>2033</v>
      </c>
      <c r="AK578" s="106" t="n">
        <v>0</v>
      </c>
      <c r="AL578" s="106" t="n">
        <v>1</v>
      </c>
      <c r="AM578" s="106" t="s">
        <v>161</v>
      </c>
      <c r="AP578" s="106" t="n">
        <v>100141449</v>
      </c>
      <c r="AQ578" s="129" t="n">
        <v>43766</v>
      </c>
      <c r="AR578" s="129" t="n">
        <v>43764</v>
      </c>
      <c r="AS578" s="106" t="n">
        <v>0.733599537037037</v>
      </c>
      <c r="AT578" s="106" t="n">
        <v>0</v>
      </c>
      <c r="AU578" s="106" t="n">
        <v>0</v>
      </c>
      <c r="AX578" s="106" t="n">
        <v>1</v>
      </c>
      <c r="ALU578" s="0"/>
      <c r="ALV578" s="0"/>
      <c r="ALW578" s="0"/>
      <c r="ALX578" s="0"/>
      <c r="ALY578" s="0"/>
      <c r="ALZ578" s="0"/>
      <c r="AMA578" s="0"/>
      <c r="AMB578" s="0"/>
      <c r="AMC578" s="0"/>
      <c r="AMD578" s="0"/>
      <c r="AME578" s="0"/>
      <c r="AMF578" s="0"/>
      <c r="AMG578" s="0"/>
      <c r="AMH578" s="0"/>
      <c r="AMI578" s="0"/>
      <c r="AMJ578" s="0"/>
    </row>
    <row r="579" customFormat="false" ht="13.8" hidden="true" customHeight="false" outlineLevel="0" collapsed="false">
      <c r="A579" s="117" t="n">
        <v>1000</v>
      </c>
      <c r="B579" s="117" t="s">
        <v>1962</v>
      </c>
      <c r="C579" s="117" t="n">
        <v>1400001924</v>
      </c>
      <c r="E579" s="117" t="s">
        <v>1972</v>
      </c>
      <c r="F579" s="117" t="n">
        <v>1106</v>
      </c>
      <c r="G579" s="117" t="n">
        <v>2019</v>
      </c>
      <c r="H579" s="117" t="n">
        <v>2</v>
      </c>
      <c r="I579" s="118" t="n">
        <v>43609</v>
      </c>
      <c r="J579" s="118" t="n">
        <v>43609</v>
      </c>
      <c r="K579" s="119" t="n">
        <v>-4109350</v>
      </c>
      <c r="L579" s="128" t="n">
        <f aca="false">K579-Q579+T579</f>
        <v>-4109350</v>
      </c>
      <c r="M579" s="117" t="s">
        <v>149</v>
      </c>
      <c r="N579" s="117" t="n">
        <v>-4109350</v>
      </c>
      <c r="O579" s="117" t="s">
        <v>149</v>
      </c>
      <c r="P579" s="117" t="n">
        <v>0</v>
      </c>
      <c r="Q579" s="117" t="n">
        <v>0</v>
      </c>
      <c r="R579" s="117" t="n">
        <v>-4109350</v>
      </c>
      <c r="S579" s="117" t="n">
        <v>0</v>
      </c>
      <c r="T579" s="117" t="n">
        <v>0</v>
      </c>
      <c r="U579" s="117" t="n">
        <v>312193</v>
      </c>
      <c r="V579" s="117" t="s">
        <v>1963</v>
      </c>
      <c r="X579" s="117" t="s">
        <v>2310</v>
      </c>
      <c r="Y579" s="117" t="s">
        <v>2311</v>
      </c>
      <c r="Z579" s="117" t="n">
        <v>1400001924</v>
      </c>
      <c r="AC579" s="117" t="s">
        <v>1976</v>
      </c>
      <c r="AD579" s="117" t="n">
        <v>310300</v>
      </c>
      <c r="AE579" s="117" t="s">
        <v>1969</v>
      </c>
      <c r="AF579" s="117" t="n">
        <v>101105</v>
      </c>
      <c r="AG579" s="117" t="s">
        <v>1977</v>
      </c>
      <c r="AI579" s="117" t="n">
        <v>101105</v>
      </c>
      <c r="AJ579" s="117" t="s">
        <v>1977</v>
      </c>
      <c r="AK579" s="117" t="n">
        <v>0</v>
      </c>
      <c r="AL579" s="117" t="n">
        <v>19</v>
      </c>
      <c r="AM579" s="117" t="s">
        <v>225</v>
      </c>
      <c r="AN579" s="117" t="s">
        <v>1978</v>
      </c>
      <c r="AP579" s="117" t="n">
        <v>100022435</v>
      </c>
      <c r="AQ579" s="118" t="n">
        <v>43616</v>
      </c>
      <c r="AR579" s="118" t="n">
        <v>43613</v>
      </c>
      <c r="AS579" s="117" t="n">
        <v>0.660949074074074</v>
      </c>
      <c r="AT579" s="117" t="n">
        <v>0</v>
      </c>
      <c r="AU579" s="117" t="n">
        <v>0</v>
      </c>
      <c r="AX579" s="117" t="n">
        <v>2</v>
      </c>
    </row>
    <row r="580" customFormat="false" ht="13.8" hidden="true" customHeight="false" outlineLevel="0" collapsed="false">
      <c r="A580" s="117" t="n">
        <v>1000</v>
      </c>
      <c r="B580" s="117" t="s">
        <v>1962</v>
      </c>
      <c r="C580" s="117" t="n">
        <v>100005107</v>
      </c>
      <c r="E580" s="117" t="s">
        <v>1921</v>
      </c>
      <c r="F580" s="117" t="n">
        <v>1109</v>
      </c>
      <c r="G580" s="117" t="n">
        <v>2019</v>
      </c>
      <c r="H580" s="117" t="n">
        <v>1</v>
      </c>
      <c r="I580" s="118" t="n">
        <v>43585</v>
      </c>
      <c r="J580" s="118" t="n">
        <v>43585</v>
      </c>
      <c r="K580" s="119" t="n">
        <v>309431.4</v>
      </c>
      <c r="L580" s="128" t="n">
        <f aca="false">K580-Q580+T580</f>
        <v>309431.4</v>
      </c>
      <c r="M580" s="117" t="s">
        <v>149</v>
      </c>
      <c r="N580" s="117" t="n">
        <v>309431.4</v>
      </c>
      <c r="O580" s="117" t="s">
        <v>149</v>
      </c>
      <c r="P580" s="117" t="n">
        <v>0</v>
      </c>
      <c r="Q580" s="117" t="n">
        <v>0</v>
      </c>
      <c r="R580" s="117" t="n">
        <v>309431.4</v>
      </c>
      <c r="S580" s="117" t="n">
        <v>0</v>
      </c>
      <c r="T580" s="117" t="n">
        <v>0</v>
      </c>
      <c r="U580" s="117" t="n">
        <v>312193</v>
      </c>
      <c r="V580" s="117" t="s">
        <v>1963</v>
      </c>
      <c r="X580" s="117" t="s">
        <v>2010</v>
      </c>
      <c r="Z580" s="117" t="n">
        <v>2316</v>
      </c>
      <c r="AB580" s="117" t="s">
        <v>1965</v>
      </c>
      <c r="AD580" s="117" t="n">
        <v>110000</v>
      </c>
      <c r="AE580" s="117" t="s">
        <v>1966</v>
      </c>
      <c r="AF580" s="117" t="n">
        <v>110000</v>
      </c>
      <c r="AG580" s="117" t="s">
        <v>1966</v>
      </c>
      <c r="AI580" s="117" t="n">
        <v>110000</v>
      </c>
      <c r="AJ580" s="117" t="s">
        <v>1966</v>
      </c>
      <c r="AK580" s="117" t="n">
        <v>0</v>
      </c>
      <c r="AL580" s="117" t="n">
        <v>4</v>
      </c>
      <c r="AM580" s="117" t="s">
        <v>161</v>
      </c>
      <c r="AP580" s="117" t="n">
        <v>100022447</v>
      </c>
      <c r="AQ580" s="118" t="n">
        <v>43616</v>
      </c>
      <c r="AR580" s="118" t="n">
        <v>43586</v>
      </c>
      <c r="AS580" s="117" t="n">
        <v>0.427592592592593</v>
      </c>
      <c r="AT580" s="117" t="n">
        <v>0</v>
      </c>
      <c r="AU580" s="117" t="n">
        <v>0</v>
      </c>
      <c r="AX580" s="117" t="n">
        <v>3</v>
      </c>
    </row>
    <row r="581" customFormat="false" ht="13.8" hidden="true" customHeight="false" outlineLevel="0" collapsed="false">
      <c r="A581" s="117" t="n">
        <v>1000</v>
      </c>
      <c r="B581" s="117" t="s">
        <v>1962</v>
      </c>
      <c r="C581" s="117" t="n">
        <v>1400001715</v>
      </c>
      <c r="E581" s="117" t="s">
        <v>1972</v>
      </c>
      <c r="F581" s="117" t="n">
        <v>1106</v>
      </c>
      <c r="G581" s="117" t="n">
        <v>2019</v>
      </c>
      <c r="H581" s="117" t="n">
        <v>2</v>
      </c>
      <c r="I581" s="118" t="n">
        <v>43606</v>
      </c>
      <c r="J581" s="118" t="n">
        <v>43606</v>
      </c>
      <c r="K581" s="119" t="n">
        <v>-121118.98</v>
      </c>
      <c r="L581" s="128" t="n">
        <f aca="false">K581-Q581+T581</f>
        <v>-121118.98</v>
      </c>
      <c r="M581" s="117" t="s">
        <v>149</v>
      </c>
      <c r="N581" s="117" t="n">
        <v>-121118.98</v>
      </c>
      <c r="O581" s="117" t="s">
        <v>149</v>
      </c>
      <c r="P581" s="117" t="n">
        <v>0</v>
      </c>
      <c r="Q581" s="117" t="n">
        <v>0</v>
      </c>
      <c r="R581" s="117" t="n">
        <v>-121118.98</v>
      </c>
      <c r="S581" s="117" t="n">
        <v>0</v>
      </c>
      <c r="T581" s="117" t="n">
        <v>0</v>
      </c>
      <c r="U581" s="117" t="n">
        <v>312193</v>
      </c>
      <c r="V581" s="117" t="s">
        <v>1963</v>
      </c>
      <c r="X581" s="117" t="s">
        <v>2312</v>
      </c>
      <c r="Y581" s="117" t="s">
        <v>2313</v>
      </c>
      <c r="Z581" s="117" t="n">
        <v>1400001715</v>
      </c>
      <c r="AC581" s="117" t="s">
        <v>1976</v>
      </c>
      <c r="AD581" s="117" t="n">
        <v>310300</v>
      </c>
      <c r="AE581" s="117" t="s">
        <v>1969</v>
      </c>
      <c r="AF581" s="117" t="n">
        <v>101105</v>
      </c>
      <c r="AG581" s="117" t="s">
        <v>1977</v>
      </c>
      <c r="AI581" s="117" t="n">
        <v>101105</v>
      </c>
      <c r="AJ581" s="117" t="s">
        <v>1977</v>
      </c>
      <c r="AK581" s="117" t="n">
        <v>0</v>
      </c>
      <c r="AL581" s="117" t="n">
        <v>19</v>
      </c>
      <c r="AM581" s="117" t="s">
        <v>225</v>
      </c>
      <c r="AN581" s="117" t="s">
        <v>1978</v>
      </c>
      <c r="AP581" s="117" t="n">
        <v>100020142</v>
      </c>
      <c r="AQ581" s="118" t="n">
        <v>43611</v>
      </c>
      <c r="AR581" s="118" t="n">
        <v>43607</v>
      </c>
      <c r="AS581" s="117" t="n">
        <v>0.491493055555555</v>
      </c>
      <c r="AT581" s="117" t="n">
        <v>0</v>
      </c>
      <c r="AU581" s="117" t="n">
        <v>0</v>
      </c>
      <c r="AX581" s="117" t="n">
        <v>2</v>
      </c>
    </row>
    <row r="582" s="106" customFormat="true" ht="13.8" hidden="true" customHeight="false" outlineLevel="0" collapsed="false">
      <c r="A582" s="106" t="n">
        <v>1000</v>
      </c>
      <c r="B582" s="106" t="s">
        <v>1962</v>
      </c>
      <c r="C582" s="106" t="n">
        <v>102754</v>
      </c>
      <c r="D582" s="106" t="s">
        <v>2279</v>
      </c>
      <c r="E582" s="106" t="s">
        <v>1970</v>
      </c>
      <c r="F582" s="106" t="n">
        <v>1101</v>
      </c>
      <c r="G582" s="106" t="n">
        <v>2019</v>
      </c>
      <c r="H582" s="106" t="n">
        <v>3</v>
      </c>
      <c r="I582" s="129" t="n">
        <v>43623</v>
      </c>
      <c r="J582" s="129" t="n">
        <v>43623</v>
      </c>
      <c r="K582" s="107" t="n">
        <v>1431759.34</v>
      </c>
      <c r="L582" s="130" t="n">
        <f aca="false">K582-Q582+T582</f>
        <v>1213355.38</v>
      </c>
      <c r="M582" s="106" t="s">
        <v>149</v>
      </c>
      <c r="N582" s="106" t="n">
        <v>1431759.34</v>
      </c>
      <c r="O582" s="106" t="s">
        <v>149</v>
      </c>
      <c r="P582" s="106" t="n">
        <v>0</v>
      </c>
      <c r="Q582" s="107" t="n">
        <v>218403.96</v>
      </c>
      <c r="R582" s="106" t="n">
        <v>1213355.38</v>
      </c>
      <c r="S582" s="106" t="n">
        <v>0</v>
      </c>
      <c r="T582" s="106" t="n">
        <v>0</v>
      </c>
      <c r="U582" s="106" t="n">
        <v>318999</v>
      </c>
      <c r="V582" s="106" t="s">
        <v>143</v>
      </c>
      <c r="Z582" s="106" t="n">
        <v>102754</v>
      </c>
      <c r="AD582" s="106" t="n">
        <v>110000</v>
      </c>
      <c r="AE582" s="106" t="s">
        <v>1966</v>
      </c>
      <c r="AF582" s="106" t="n">
        <v>501040</v>
      </c>
      <c r="AG582" s="106" t="s">
        <v>2036</v>
      </c>
      <c r="AI582" s="106" t="n">
        <v>501040</v>
      </c>
      <c r="AJ582" s="106" t="s">
        <v>2036</v>
      </c>
      <c r="AK582" s="106" t="n">
        <v>0</v>
      </c>
      <c r="AL582" s="106" t="n">
        <v>1</v>
      </c>
      <c r="AM582" s="106" t="s">
        <v>161</v>
      </c>
      <c r="AP582" s="106" t="n">
        <v>100039983</v>
      </c>
      <c r="AQ582" s="129" t="n">
        <v>43645</v>
      </c>
      <c r="AR582" s="129" t="n">
        <v>43623</v>
      </c>
      <c r="AS582" s="106" t="n">
        <v>0.44369212962963</v>
      </c>
      <c r="AT582" s="106" t="n">
        <v>0</v>
      </c>
      <c r="AU582" s="106" t="n">
        <v>0</v>
      </c>
      <c r="AX582" s="106" t="n">
        <v>1</v>
      </c>
      <c r="ALU582" s="0"/>
      <c r="ALV582" s="0"/>
      <c r="ALW582" s="0"/>
      <c r="ALX582" s="0"/>
      <c r="ALY582" s="0"/>
      <c r="ALZ582" s="0"/>
      <c r="AMA582" s="0"/>
      <c r="AMB582" s="0"/>
      <c r="AMC582" s="0"/>
      <c r="AMD582" s="0"/>
      <c r="AME582" s="0"/>
      <c r="AMF582" s="0"/>
      <c r="AMG582" s="0"/>
      <c r="AMH582" s="0"/>
      <c r="AMI582" s="0"/>
      <c r="AMJ582" s="0"/>
    </row>
    <row r="583" customFormat="false" ht="13.8" hidden="true" customHeight="false" outlineLevel="0" collapsed="false">
      <c r="A583" s="117" t="n">
        <v>1000</v>
      </c>
      <c r="B583" s="117" t="s">
        <v>1962</v>
      </c>
      <c r="C583" s="117" t="n">
        <v>100005116</v>
      </c>
      <c r="E583" s="117" t="s">
        <v>1921</v>
      </c>
      <c r="F583" s="117" t="n">
        <v>1106</v>
      </c>
      <c r="G583" s="117" t="n">
        <v>2019</v>
      </c>
      <c r="H583" s="117" t="n">
        <v>1</v>
      </c>
      <c r="I583" s="118" t="n">
        <v>43585</v>
      </c>
      <c r="J583" s="118" t="n">
        <v>43585</v>
      </c>
      <c r="K583" s="119" t="n">
        <v>24225.04</v>
      </c>
      <c r="L583" s="128" t="n">
        <f aca="false">K583-Q583+T583</f>
        <v>24225.04</v>
      </c>
      <c r="M583" s="117" t="s">
        <v>149</v>
      </c>
      <c r="N583" s="117" t="n">
        <v>24225.04</v>
      </c>
      <c r="O583" s="117" t="s">
        <v>149</v>
      </c>
      <c r="P583" s="117" t="n">
        <v>0</v>
      </c>
      <c r="Q583" s="117" t="n">
        <v>0</v>
      </c>
      <c r="R583" s="117" t="n">
        <v>24225.04</v>
      </c>
      <c r="S583" s="117" t="n">
        <v>0</v>
      </c>
      <c r="T583" s="117" t="n">
        <v>0</v>
      </c>
      <c r="U583" s="117" t="n">
        <v>314258</v>
      </c>
      <c r="V583" s="117" t="s">
        <v>143</v>
      </c>
      <c r="Z583" s="117" t="n">
        <v>100005116</v>
      </c>
      <c r="AD583" s="117" t="n">
        <v>110000</v>
      </c>
      <c r="AE583" s="117" t="s">
        <v>1966</v>
      </c>
      <c r="AF583" s="117" t="n">
        <v>110000</v>
      </c>
      <c r="AG583" s="117" t="s">
        <v>1966</v>
      </c>
      <c r="AI583" s="117" t="n">
        <v>110000</v>
      </c>
      <c r="AJ583" s="117" t="s">
        <v>1966</v>
      </c>
      <c r="AK583" s="117" t="n">
        <v>0</v>
      </c>
      <c r="AL583" s="117" t="n">
        <v>7</v>
      </c>
      <c r="AM583" s="117" t="s">
        <v>161</v>
      </c>
      <c r="AP583" s="117" t="n">
        <v>100005116</v>
      </c>
      <c r="AQ583" s="118" t="n">
        <v>43585</v>
      </c>
      <c r="AR583" s="118" t="n">
        <v>43586</v>
      </c>
      <c r="AS583" s="117" t="n">
        <v>0.498969907407407</v>
      </c>
      <c r="AT583" s="117" t="n">
        <v>0</v>
      </c>
      <c r="AU583" s="117" t="n">
        <v>0</v>
      </c>
      <c r="AX583" s="117" t="n">
        <v>2</v>
      </c>
    </row>
    <row r="584" customFormat="false" ht="13.8" hidden="true" customHeight="false" outlineLevel="0" collapsed="false">
      <c r="A584" s="117" t="n">
        <v>1000</v>
      </c>
      <c r="B584" s="117" t="s">
        <v>1962</v>
      </c>
      <c r="C584" s="117" t="n">
        <v>100039091</v>
      </c>
      <c r="E584" s="117" t="s">
        <v>1921</v>
      </c>
      <c r="F584" s="117" t="n">
        <v>1101</v>
      </c>
      <c r="G584" s="117" t="n">
        <v>2019</v>
      </c>
      <c r="H584" s="117" t="n">
        <v>3</v>
      </c>
      <c r="I584" s="118" t="n">
        <v>43644</v>
      </c>
      <c r="J584" s="118" t="n">
        <v>43644</v>
      </c>
      <c r="K584" s="119" t="n">
        <v>826000</v>
      </c>
      <c r="L584" s="128" t="n">
        <f aca="false">K584-Q584+T584</f>
        <v>826000</v>
      </c>
      <c r="M584" s="117" t="s">
        <v>149</v>
      </c>
      <c r="N584" s="117" t="n">
        <v>826000</v>
      </c>
      <c r="O584" s="117" t="s">
        <v>149</v>
      </c>
      <c r="P584" s="117" t="n">
        <v>0</v>
      </c>
      <c r="Q584" s="117" t="n">
        <v>0</v>
      </c>
      <c r="R584" s="117" t="n">
        <v>826000</v>
      </c>
      <c r="S584" s="117" t="n">
        <v>0</v>
      </c>
      <c r="T584" s="117" t="n">
        <v>0</v>
      </c>
      <c r="U584" s="117" t="n">
        <v>309728</v>
      </c>
      <c r="V584" s="117" t="s">
        <v>1968</v>
      </c>
      <c r="X584" s="117" t="s">
        <v>1511</v>
      </c>
      <c r="Z584" s="117" t="n">
        <v>59184</v>
      </c>
      <c r="AB584" s="117" t="n">
        <v>2300049939</v>
      </c>
      <c r="AD584" s="117" t="n">
        <v>110000</v>
      </c>
      <c r="AE584" s="117" t="s">
        <v>1966</v>
      </c>
      <c r="AF584" s="117" t="n">
        <v>110000</v>
      </c>
      <c r="AG584" s="117" t="s">
        <v>1966</v>
      </c>
      <c r="AI584" s="117" t="n">
        <v>110000</v>
      </c>
      <c r="AJ584" s="117" t="s">
        <v>1966</v>
      </c>
      <c r="AK584" s="117" t="n">
        <v>0</v>
      </c>
      <c r="AL584" s="117" t="n">
        <v>4</v>
      </c>
      <c r="AM584" s="117" t="s">
        <v>161</v>
      </c>
      <c r="AP584" s="117" t="n">
        <v>100081981</v>
      </c>
      <c r="AQ584" s="118" t="n">
        <v>43708</v>
      </c>
      <c r="AR584" s="118" t="n">
        <v>43644</v>
      </c>
      <c r="AS584" s="117" t="n">
        <v>0.190081018518518</v>
      </c>
      <c r="AT584" s="117" t="n">
        <v>0</v>
      </c>
      <c r="AU584" s="117" t="n">
        <v>0</v>
      </c>
      <c r="AX584" s="117" t="n">
        <v>6</v>
      </c>
    </row>
    <row r="585" customFormat="false" ht="13.8" hidden="true" customHeight="false" outlineLevel="0" collapsed="false">
      <c r="A585" s="117" t="n">
        <v>1000</v>
      </c>
      <c r="B585" s="117" t="s">
        <v>1962</v>
      </c>
      <c r="C585" s="117" t="n">
        <v>100048555</v>
      </c>
      <c r="E585" s="117" t="s">
        <v>1921</v>
      </c>
      <c r="F585" s="117" t="n">
        <v>1101</v>
      </c>
      <c r="G585" s="117" t="n">
        <v>2019</v>
      </c>
      <c r="H585" s="117" t="n">
        <v>3</v>
      </c>
      <c r="I585" s="118" t="n">
        <v>43646</v>
      </c>
      <c r="J585" s="118" t="n">
        <v>43646</v>
      </c>
      <c r="K585" s="119" t="n">
        <v>-1303</v>
      </c>
      <c r="L585" s="128" t="n">
        <f aca="false">K585-Q585+T585</f>
        <v>-1303</v>
      </c>
      <c r="M585" s="117" t="s">
        <v>149</v>
      </c>
      <c r="N585" s="117" t="n">
        <v>-1303</v>
      </c>
      <c r="O585" s="117" t="s">
        <v>149</v>
      </c>
      <c r="P585" s="117" t="n">
        <v>0</v>
      </c>
      <c r="Q585" s="117" t="n">
        <v>0</v>
      </c>
      <c r="R585" s="117" t="n">
        <v>-1303</v>
      </c>
      <c r="S585" s="117" t="n">
        <v>0</v>
      </c>
      <c r="T585" s="117" t="n">
        <v>0</v>
      </c>
      <c r="U585" s="117" t="n">
        <v>312351</v>
      </c>
      <c r="V585" s="117" t="s">
        <v>2156</v>
      </c>
      <c r="Z585" s="117" t="n">
        <v>100048555</v>
      </c>
      <c r="AD585" s="117" t="n">
        <v>110000</v>
      </c>
      <c r="AE585" s="117" t="s">
        <v>1966</v>
      </c>
      <c r="AF585" s="117" t="n">
        <v>110000</v>
      </c>
      <c r="AG585" s="117" t="s">
        <v>1966</v>
      </c>
      <c r="AI585" s="117" t="n">
        <v>110000</v>
      </c>
      <c r="AJ585" s="117" t="s">
        <v>1966</v>
      </c>
      <c r="AK585" s="117" t="n">
        <v>0</v>
      </c>
      <c r="AL585" s="117" t="n">
        <v>17</v>
      </c>
      <c r="AM585" s="117" t="s">
        <v>225</v>
      </c>
      <c r="AP585" s="117" t="n">
        <v>100048555</v>
      </c>
      <c r="AQ585" s="118" t="n">
        <v>43646</v>
      </c>
      <c r="AR585" s="118" t="n">
        <v>43647</v>
      </c>
      <c r="AS585" s="117" t="n">
        <v>0.183784722222222</v>
      </c>
      <c r="AT585" s="117" t="n">
        <v>0</v>
      </c>
      <c r="AU585" s="117" t="n">
        <v>0</v>
      </c>
      <c r="AX585" s="117" t="n">
        <v>2</v>
      </c>
    </row>
    <row r="586" customFormat="false" ht="13.8" hidden="true" customHeight="false" outlineLevel="0" collapsed="false">
      <c r="A586" s="117" t="n">
        <v>1000</v>
      </c>
      <c r="B586" s="117" t="s">
        <v>1962</v>
      </c>
      <c r="C586" s="117" t="n">
        <v>1400002695</v>
      </c>
      <c r="E586" s="117" t="s">
        <v>1972</v>
      </c>
      <c r="F586" s="117" t="n">
        <v>1101</v>
      </c>
      <c r="G586" s="117" t="n">
        <v>2019</v>
      </c>
      <c r="H586" s="117" t="n">
        <v>3</v>
      </c>
      <c r="I586" s="118" t="n">
        <v>43627</v>
      </c>
      <c r="J586" s="118" t="n">
        <v>43627</v>
      </c>
      <c r="K586" s="119" t="n">
        <v>-13316974.72</v>
      </c>
      <c r="L586" s="128" t="n">
        <f aca="false">K586-Q586+T586</f>
        <v>-13316974.72</v>
      </c>
      <c r="M586" s="117" t="s">
        <v>149</v>
      </c>
      <c r="N586" s="117" t="n">
        <v>-13316974.72</v>
      </c>
      <c r="O586" s="117" t="s">
        <v>149</v>
      </c>
      <c r="P586" s="117" t="n">
        <v>0</v>
      </c>
      <c r="Q586" s="117" t="n">
        <v>0</v>
      </c>
      <c r="R586" s="117" t="n">
        <v>-13316974.72</v>
      </c>
      <c r="S586" s="117" t="n">
        <v>0</v>
      </c>
      <c r="T586" s="117" t="n">
        <v>0</v>
      </c>
      <c r="U586" s="117" t="n">
        <v>318999</v>
      </c>
      <c r="V586" s="117" t="s">
        <v>143</v>
      </c>
      <c r="X586" s="117" t="s">
        <v>2314</v>
      </c>
      <c r="Y586" s="117" t="s">
        <v>2315</v>
      </c>
      <c r="Z586" s="117" t="n">
        <v>1400002695</v>
      </c>
      <c r="AC586" s="117" t="s">
        <v>1976</v>
      </c>
      <c r="AD586" s="117" t="n">
        <v>310300</v>
      </c>
      <c r="AE586" s="117" t="s">
        <v>1969</v>
      </c>
      <c r="AF586" s="117" t="n">
        <v>101105</v>
      </c>
      <c r="AG586" s="117" t="s">
        <v>1977</v>
      </c>
      <c r="AI586" s="117" t="n">
        <v>101105</v>
      </c>
      <c r="AJ586" s="117" t="s">
        <v>1977</v>
      </c>
      <c r="AK586" s="117" t="n">
        <v>0</v>
      </c>
      <c r="AL586" s="117" t="n">
        <v>19</v>
      </c>
      <c r="AM586" s="117" t="s">
        <v>225</v>
      </c>
      <c r="AN586" s="117" t="s">
        <v>1978</v>
      </c>
      <c r="AP586" s="117" t="n">
        <v>100039982</v>
      </c>
      <c r="AQ586" s="118" t="n">
        <v>43645</v>
      </c>
      <c r="AR586" s="118" t="n">
        <v>43629</v>
      </c>
      <c r="AS586" s="117" t="n">
        <v>0.221099537037037</v>
      </c>
      <c r="AT586" s="117" t="n">
        <v>0</v>
      </c>
      <c r="AU586" s="117" t="n">
        <v>0</v>
      </c>
      <c r="AX586" s="117" t="n">
        <v>2</v>
      </c>
    </row>
    <row r="587" customFormat="false" ht="13.8" hidden="true" customHeight="false" outlineLevel="0" collapsed="false">
      <c r="A587" s="117" t="n">
        <v>1000</v>
      </c>
      <c r="B587" s="117" t="s">
        <v>1962</v>
      </c>
      <c r="C587" s="117" t="n">
        <v>100020154</v>
      </c>
      <c r="E587" s="117" t="s">
        <v>1921</v>
      </c>
      <c r="F587" s="117" t="n">
        <v>1109</v>
      </c>
      <c r="G587" s="117" t="n">
        <v>2019</v>
      </c>
      <c r="H587" s="117" t="n">
        <v>2</v>
      </c>
      <c r="I587" s="118" t="n">
        <v>43611</v>
      </c>
      <c r="J587" s="118" t="n">
        <v>43611</v>
      </c>
      <c r="K587" s="119" t="n">
        <v>-6815827.65</v>
      </c>
      <c r="L587" s="128" t="n">
        <f aca="false">K587-Q587+T587</f>
        <v>-6815827.65</v>
      </c>
      <c r="M587" s="117" t="s">
        <v>149</v>
      </c>
      <c r="N587" s="117" t="n">
        <v>-6815827.65</v>
      </c>
      <c r="O587" s="117" t="s">
        <v>149</v>
      </c>
      <c r="P587" s="117" t="n">
        <v>0</v>
      </c>
      <c r="Q587" s="117" t="n">
        <v>0</v>
      </c>
      <c r="R587" s="117" t="n">
        <v>-6815827.65</v>
      </c>
      <c r="S587" s="117" t="n">
        <v>0</v>
      </c>
      <c r="T587" s="117" t="n">
        <v>0</v>
      </c>
      <c r="U587" s="117" t="n">
        <v>313029</v>
      </c>
      <c r="V587" s="117" t="s">
        <v>143</v>
      </c>
      <c r="Z587" s="117" t="n">
        <v>100020154</v>
      </c>
      <c r="AD587" s="117" t="n">
        <v>110000</v>
      </c>
      <c r="AE587" s="117" t="s">
        <v>1966</v>
      </c>
      <c r="AF587" s="117" t="n">
        <v>110000</v>
      </c>
      <c r="AG587" s="117" t="s">
        <v>1966</v>
      </c>
      <c r="AI587" s="117" t="n">
        <v>110000</v>
      </c>
      <c r="AJ587" s="117" t="s">
        <v>1966</v>
      </c>
      <c r="AK587" s="117" t="n">
        <v>0</v>
      </c>
      <c r="AL587" s="117" t="n">
        <v>17</v>
      </c>
      <c r="AM587" s="117" t="s">
        <v>225</v>
      </c>
      <c r="AP587" s="117" t="n">
        <v>100020154</v>
      </c>
      <c r="AQ587" s="118" t="n">
        <v>43611</v>
      </c>
      <c r="AR587" s="118" t="n">
        <v>43611</v>
      </c>
      <c r="AS587" s="117" t="n">
        <v>0.772175925925926</v>
      </c>
      <c r="AT587" s="117" t="n">
        <v>0</v>
      </c>
      <c r="AU587" s="117" t="n">
        <v>0</v>
      </c>
      <c r="AX587" s="117" t="n">
        <v>4</v>
      </c>
    </row>
    <row r="588" customFormat="false" ht="13.8" hidden="true" customHeight="false" outlineLevel="0" collapsed="false">
      <c r="A588" s="117" t="n">
        <v>1000</v>
      </c>
      <c r="B588" s="117" t="s">
        <v>1962</v>
      </c>
      <c r="C588" s="117" t="n">
        <v>100004322</v>
      </c>
      <c r="E588" s="117" t="s">
        <v>1921</v>
      </c>
      <c r="F588" s="117" t="n">
        <v>1109</v>
      </c>
      <c r="G588" s="117" t="n">
        <v>2019</v>
      </c>
      <c r="H588" s="117" t="n">
        <v>1</v>
      </c>
      <c r="I588" s="118" t="n">
        <v>43583</v>
      </c>
      <c r="J588" s="118" t="n">
        <v>43583</v>
      </c>
      <c r="K588" s="119" t="n">
        <v>-8866142.78</v>
      </c>
      <c r="L588" s="128" t="n">
        <f aca="false">K588-Q588+T588</f>
        <v>-8866142.78</v>
      </c>
      <c r="M588" s="117" t="s">
        <v>149</v>
      </c>
      <c r="N588" s="117" t="n">
        <v>-8866142.78</v>
      </c>
      <c r="O588" s="117" t="s">
        <v>149</v>
      </c>
      <c r="P588" s="117" t="n">
        <v>0</v>
      </c>
      <c r="Q588" s="117" t="n">
        <v>0</v>
      </c>
      <c r="R588" s="117" t="n">
        <v>-8866142.78</v>
      </c>
      <c r="S588" s="117" t="n">
        <v>0</v>
      </c>
      <c r="T588" s="117" t="n">
        <v>0</v>
      </c>
      <c r="U588" s="117" t="n">
        <v>307259</v>
      </c>
      <c r="V588" s="117" t="s">
        <v>143</v>
      </c>
      <c r="Z588" s="117" t="n">
        <v>100004322</v>
      </c>
      <c r="AD588" s="117" t="n">
        <v>110000</v>
      </c>
      <c r="AE588" s="117" t="s">
        <v>1966</v>
      </c>
      <c r="AF588" s="117" t="n">
        <v>310300</v>
      </c>
      <c r="AG588" s="117" t="s">
        <v>1969</v>
      </c>
      <c r="AI588" s="117" t="n">
        <v>310300</v>
      </c>
      <c r="AJ588" s="117" t="s">
        <v>1969</v>
      </c>
      <c r="AK588" s="117" t="n">
        <v>0</v>
      </c>
      <c r="AL588" s="117" t="n">
        <v>17</v>
      </c>
      <c r="AM588" s="117" t="s">
        <v>225</v>
      </c>
      <c r="AP588" s="117" t="n">
        <v>100004322</v>
      </c>
      <c r="AQ588" s="118" t="n">
        <v>43583</v>
      </c>
      <c r="AR588" s="118" t="n">
        <v>43583</v>
      </c>
      <c r="AS588" s="117" t="n">
        <v>0.493321759259259</v>
      </c>
      <c r="AT588" s="117" t="n">
        <v>0</v>
      </c>
      <c r="AU588" s="117" t="n">
        <v>0</v>
      </c>
      <c r="AX588" s="117" t="n">
        <v>1</v>
      </c>
    </row>
    <row r="589" s="106" customFormat="true" ht="13.8" hidden="true" customHeight="false" outlineLevel="0" collapsed="false">
      <c r="A589" s="106" t="n">
        <v>1000</v>
      </c>
      <c r="B589" s="106" t="s">
        <v>1962</v>
      </c>
      <c r="C589" s="106" t="n">
        <v>101451</v>
      </c>
      <c r="D589" s="106" t="s">
        <v>1328</v>
      </c>
      <c r="E589" s="106" t="s">
        <v>1970</v>
      </c>
      <c r="F589" s="106" t="n">
        <v>1108</v>
      </c>
      <c r="G589" s="106" t="n">
        <v>2019</v>
      </c>
      <c r="H589" s="106" t="n">
        <v>2</v>
      </c>
      <c r="I589" s="129" t="n">
        <v>43595</v>
      </c>
      <c r="J589" s="129" t="n">
        <v>43595</v>
      </c>
      <c r="K589" s="107" t="n">
        <v>1253641.95</v>
      </c>
      <c r="L589" s="130" t="n">
        <f aca="false">K589-Q589+T589</f>
        <v>1062408.43</v>
      </c>
      <c r="M589" s="106" t="s">
        <v>149</v>
      </c>
      <c r="N589" s="106" t="n">
        <v>1253641.95</v>
      </c>
      <c r="O589" s="106" t="s">
        <v>149</v>
      </c>
      <c r="P589" s="106" t="n">
        <v>0</v>
      </c>
      <c r="Q589" s="107" t="n">
        <v>191233.52</v>
      </c>
      <c r="R589" s="106" t="n">
        <v>1062408.43</v>
      </c>
      <c r="S589" s="106" t="n">
        <v>0</v>
      </c>
      <c r="T589" s="106" t="n">
        <v>0</v>
      </c>
      <c r="U589" s="106" t="n">
        <v>306263</v>
      </c>
      <c r="V589" s="106" t="s">
        <v>2006</v>
      </c>
      <c r="Z589" s="106" t="n">
        <v>58335</v>
      </c>
      <c r="AB589" s="106" t="s">
        <v>2224</v>
      </c>
      <c r="AD589" s="106" t="n">
        <v>110000</v>
      </c>
      <c r="AE589" s="106" t="s">
        <v>1966</v>
      </c>
      <c r="AF589" s="106" t="n">
        <v>501005</v>
      </c>
      <c r="AG589" s="106" t="s">
        <v>2033</v>
      </c>
      <c r="AI589" s="106" t="n">
        <v>501005</v>
      </c>
      <c r="AJ589" s="106" t="s">
        <v>2033</v>
      </c>
      <c r="AK589" s="106" t="n">
        <v>0</v>
      </c>
      <c r="AL589" s="106" t="n">
        <v>1</v>
      </c>
      <c r="AM589" s="106" t="s">
        <v>161</v>
      </c>
      <c r="AP589" s="106" t="n">
        <v>100020122</v>
      </c>
      <c r="AQ589" s="129" t="n">
        <v>43611</v>
      </c>
      <c r="AR589" s="129" t="n">
        <v>43595</v>
      </c>
      <c r="AS589" s="106" t="n">
        <v>0.731631944444445</v>
      </c>
      <c r="AT589" s="106" t="n">
        <v>0</v>
      </c>
      <c r="AU589" s="106" t="n">
        <v>0</v>
      </c>
      <c r="AX589" s="106" t="n">
        <v>1</v>
      </c>
      <c r="ALU589" s="0"/>
      <c r="ALV589" s="0"/>
      <c r="ALW589" s="0"/>
      <c r="ALX589" s="0"/>
      <c r="ALY589" s="0"/>
      <c r="ALZ589" s="0"/>
      <c r="AMA589" s="0"/>
      <c r="AMB589" s="0"/>
      <c r="AMC589" s="0"/>
      <c r="AMD589" s="0"/>
      <c r="AME589" s="0"/>
      <c r="AMF589" s="0"/>
      <c r="AMG589" s="0"/>
      <c r="AMH589" s="0"/>
      <c r="AMI589" s="0"/>
      <c r="AMJ589" s="0"/>
    </row>
    <row r="590" customFormat="false" ht="13.8" hidden="true" customHeight="false" outlineLevel="0" collapsed="false">
      <c r="A590" s="117" t="n">
        <v>1000</v>
      </c>
      <c r="B590" s="117" t="s">
        <v>1962</v>
      </c>
      <c r="C590" s="117" t="n">
        <v>100004393</v>
      </c>
      <c r="E590" s="117" t="s">
        <v>1921</v>
      </c>
      <c r="F590" s="117" t="n">
        <v>1101</v>
      </c>
      <c r="G590" s="117" t="n">
        <v>2019</v>
      </c>
      <c r="H590" s="117" t="n">
        <v>1</v>
      </c>
      <c r="I590" s="118" t="n">
        <v>43583</v>
      </c>
      <c r="J590" s="118" t="n">
        <v>43583</v>
      </c>
      <c r="K590" s="119" t="n">
        <v>366824.77</v>
      </c>
      <c r="L590" s="128" t="n">
        <f aca="false">K590-Q590+T590</f>
        <v>366824.77</v>
      </c>
      <c r="M590" s="117" t="s">
        <v>149</v>
      </c>
      <c r="N590" s="117" t="n">
        <v>366824.77</v>
      </c>
      <c r="O590" s="117" t="s">
        <v>149</v>
      </c>
      <c r="P590" s="117" t="n">
        <v>0</v>
      </c>
      <c r="Q590" s="117" t="n">
        <v>0</v>
      </c>
      <c r="R590" s="117" t="n">
        <v>366824.77</v>
      </c>
      <c r="S590" s="117" t="n">
        <v>0</v>
      </c>
      <c r="T590" s="117" t="n">
        <v>0</v>
      </c>
      <c r="U590" s="117" t="n">
        <v>318169</v>
      </c>
      <c r="V590" s="117" t="s">
        <v>2158</v>
      </c>
      <c r="Z590" s="117" t="n">
        <v>100004393</v>
      </c>
      <c r="AD590" s="117" t="n">
        <v>310300</v>
      </c>
      <c r="AE590" s="117" t="s">
        <v>1969</v>
      </c>
      <c r="AF590" s="117" t="n">
        <v>110000</v>
      </c>
      <c r="AG590" s="117" t="s">
        <v>1966</v>
      </c>
      <c r="AI590" s="117" t="n">
        <v>110000</v>
      </c>
      <c r="AJ590" s="117" t="s">
        <v>1966</v>
      </c>
      <c r="AK590" s="117" t="n">
        <v>0</v>
      </c>
      <c r="AL590" s="117" t="n">
        <v>9</v>
      </c>
      <c r="AM590" s="117" t="s">
        <v>161</v>
      </c>
      <c r="AN590" s="117" t="s">
        <v>1978</v>
      </c>
      <c r="AP590" s="117" t="n">
        <v>100004393</v>
      </c>
      <c r="AQ590" s="118" t="n">
        <v>43583</v>
      </c>
      <c r="AR590" s="118" t="n">
        <v>43583</v>
      </c>
      <c r="AS590" s="117" t="n">
        <v>0.622928240740741</v>
      </c>
      <c r="AT590" s="117" t="n">
        <v>0</v>
      </c>
      <c r="AU590" s="117" t="n">
        <v>0</v>
      </c>
      <c r="AX590" s="117" t="n">
        <v>4</v>
      </c>
    </row>
    <row r="591" customFormat="false" ht="13.8" hidden="true" customHeight="false" outlineLevel="0" collapsed="false">
      <c r="A591" s="117" t="n">
        <v>1000</v>
      </c>
      <c r="B591" s="117" t="s">
        <v>1962</v>
      </c>
      <c r="C591" s="117" t="n">
        <v>100050529</v>
      </c>
      <c r="E591" s="117" t="s">
        <v>1921</v>
      </c>
      <c r="F591" s="117" t="n">
        <v>1108</v>
      </c>
      <c r="G591" s="117" t="n">
        <v>2019</v>
      </c>
      <c r="H591" s="117" t="n">
        <v>3</v>
      </c>
      <c r="I591" s="118" t="n">
        <v>43646</v>
      </c>
      <c r="J591" s="118" t="n">
        <v>43646</v>
      </c>
      <c r="K591" s="119" t="n">
        <v>-3949685.87</v>
      </c>
      <c r="L591" s="128" t="n">
        <f aca="false">K591-Q591+T591</f>
        <v>-3949685.87</v>
      </c>
      <c r="M591" s="117" t="s">
        <v>149</v>
      </c>
      <c r="N591" s="117" t="n">
        <v>-3949685.87</v>
      </c>
      <c r="O591" s="117" t="s">
        <v>149</v>
      </c>
      <c r="P591" s="117" t="n">
        <v>0</v>
      </c>
      <c r="Q591" s="117" t="n">
        <v>0</v>
      </c>
      <c r="R591" s="117" t="n">
        <v>-3949685.87</v>
      </c>
      <c r="S591" s="117" t="n">
        <v>0</v>
      </c>
      <c r="T591" s="117" t="n">
        <v>0</v>
      </c>
      <c r="U591" s="117" t="n">
        <v>306263</v>
      </c>
      <c r="V591" s="117" t="s">
        <v>2006</v>
      </c>
      <c r="Z591" s="117" t="n">
        <v>100050529</v>
      </c>
      <c r="AD591" s="117" t="n">
        <v>110000</v>
      </c>
      <c r="AE591" s="117" t="s">
        <v>1966</v>
      </c>
      <c r="AF591" s="117" t="n">
        <v>110000</v>
      </c>
      <c r="AG591" s="117" t="s">
        <v>1966</v>
      </c>
      <c r="AI591" s="117" t="n">
        <v>110000</v>
      </c>
      <c r="AJ591" s="117" t="s">
        <v>1966</v>
      </c>
      <c r="AK591" s="117" t="n">
        <v>0</v>
      </c>
      <c r="AL591" s="117" t="n">
        <v>17</v>
      </c>
      <c r="AM591" s="117" t="s">
        <v>225</v>
      </c>
      <c r="AP591" s="117" t="n">
        <v>100050529</v>
      </c>
      <c r="AQ591" s="118" t="n">
        <v>43646</v>
      </c>
      <c r="AR591" s="118" t="n">
        <v>43647</v>
      </c>
      <c r="AS591" s="117" t="n">
        <v>0.632777777777778</v>
      </c>
      <c r="AT591" s="117" t="n">
        <v>0</v>
      </c>
      <c r="AU591" s="117" t="n">
        <v>0</v>
      </c>
      <c r="AX591" s="117" t="n">
        <v>2</v>
      </c>
    </row>
    <row r="592" customFormat="false" ht="13.8" hidden="true" customHeight="false" outlineLevel="0" collapsed="false">
      <c r="A592" s="117" t="n">
        <v>1000</v>
      </c>
      <c r="B592" s="117" t="s">
        <v>1962</v>
      </c>
      <c r="C592" s="117" t="n">
        <v>100014559</v>
      </c>
      <c r="D592" s="117" t="s">
        <v>2005</v>
      </c>
      <c r="E592" s="117" t="s">
        <v>1903</v>
      </c>
      <c r="F592" s="117" t="n">
        <v>1108</v>
      </c>
      <c r="G592" s="117" t="n">
        <v>2019</v>
      </c>
      <c r="H592" s="117" t="n">
        <v>1</v>
      </c>
      <c r="I592" s="118" t="n">
        <v>43587</v>
      </c>
      <c r="J592" s="118" t="n">
        <v>43585</v>
      </c>
      <c r="K592" s="119" t="n">
        <v>-0.5</v>
      </c>
      <c r="L592" s="128" t="n">
        <f aca="false">K592-Q592+T592</f>
        <v>-0.5</v>
      </c>
      <c r="M592" s="117" t="s">
        <v>149</v>
      </c>
      <c r="N592" s="117" t="n">
        <v>-0.5</v>
      </c>
      <c r="O592" s="117" t="s">
        <v>149</v>
      </c>
      <c r="P592" s="117" t="n">
        <v>0</v>
      </c>
      <c r="Q592" s="117" t="n">
        <v>0</v>
      </c>
      <c r="R592" s="117" t="n">
        <v>-0.5</v>
      </c>
      <c r="S592" s="117" t="n">
        <v>0</v>
      </c>
      <c r="T592" s="117" t="n">
        <v>0</v>
      </c>
      <c r="U592" s="117" t="n">
        <v>318072</v>
      </c>
      <c r="V592" s="117" t="s">
        <v>2290</v>
      </c>
      <c r="X592" s="117" t="s">
        <v>2316</v>
      </c>
      <c r="Y592" s="117" t="s">
        <v>2008</v>
      </c>
      <c r="Z592" s="117" t="n">
        <v>100014559</v>
      </c>
      <c r="AD592" s="117" t="n">
        <v>110000</v>
      </c>
      <c r="AE592" s="117" t="s">
        <v>1966</v>
      </c>
      <c r="AF592" s="117" t="n">
        <v>891305</v>
      </c>
      <c r="AG592" s="117" t="s">
        <v>2009</v>
      </c>
      <c r="AI592" s="117" t="n">
        <v>891305</v>
      </c>
      <c r="AJ592" s="117" t="s">
        <v>2009</v>
      </c>
      <c r="AK592" s="117" t="n">
        <v>0</v>
      </c>
      <c r="AL592" s="117" t="n">
        <v>17</v>
      </c>
      <c r="AM592" s="117" t="s">
        <v>225</v>
      </c>
      <c r="AP592" s="117" t="n">
        <v>100014559</v>
      </c>
      <c r="AQ592" s="118" t="n">
        <v>43585</v>
      </c>
      <c r="AR592" s="118" t="n">
        <v>43587</v>
      </c>
      <c r="AS592" s="117" t="n">
        <v>0.706226851851852</v>
      </c>
      <c r="AT592" s="117" t="n">
        <v>0</v>
      </c>
      <c r="AU592" s="117" t="n">
        <v>0</v>
      </c>
      <c r="AX592" s="117" t="n">
        <v>2</v>
      </c>
    </row>
    <row r="593" customFormat="false" ht="13.8" hidden="true" customHeight="false" outlineLevel="0" collapsed="false">
      <c r="A593" s="117" t="n">
        <v>1000</v>
      </c>
      <c r="B593" s="117" t="s">
        <v>1962</v>
      </c>
      <c r="C593" s="117" t="n">
        <v>100022980</v>
      </c>
      <c r="E593" s="117" t="s">
        <v>1921</v>
      </c>
      <c r="F593" s="117" t="n">
        <v>1101</v>
      </c>
      <c r="G593" s="117" t="n">
        <v>2019</v>
      </c>
      <c r="H593" s="117" t="n">
        <v>2</v>
      </c>
      <c r="I593" s="118" t="n">
        <v>43616</v>
      </c>
      <c r="J593" s="118" t="n">
        <v>43616</v>
      </c>
      <c r="K593" s="119" t="n">
        <v>1279912.3</v>
      </c>
      <c r="L593" s="128" t="n">
        <f aca="false">K593-Q593+T593</f>
        <v>1279912.3</v>
      </c>
      <c r="M593" s="117" t="s">
        <v>149</v>
      </c>
      <c r="N593" s="117" t="n">
        <v>1279912.3</v>
      </c>
      <c r="O593" s="117" t="s">
        <v>149</v>
      </c>
      <c r="P593" s="117" t="n">
        <v>0</v>
      </c>
      <c r="Q593" s="117" t="n">
        <v>0</v>
      </c>
      <c r="R593" s="117" t="n">
        <v>1279912.3</v>
      </c>
      <c r="S593" s="117" t="n">
        <v>0</v>
      </c>
      <c r="T593" s="117" t="n">
        <v>0</v>
      </c>
      <c r="U593" s="117" t="n">
        <v>318999</v>
      </c>
      <c r="V593" s="117" t="s">
        <v>143</v>
      </c>
      <c r="X593" s="117" t="s">
        <v>1262</v>
      </c>
      <c r="Z593" s="117" t="n">
        <v>100022980</v>
      </c>
      <c r="AD593" s="117" t="n">
        <v>110000</v>
      </c>
      <c r="AE593" s="117" t="s">
        <v>1966</v>
      </c>
      <c r="AF593" s="117" t="n">
        <v>110000</v>
      </c>
      <c r="AG593" s="117" t="s">
        <v>1966</v>
      </c>
      <c r="AI593" s="117" t="n">
        <v>110000</v>
      </c>
      <c r="AJ593" s="117" t="s">
        <v>1966</v>
      </c>
      <c r="AK593" s="117" t="n">
        <v>0</v>
      </c>
      <c r="AL593" s="117" t="n">
        <v>4</v>
      </c>
      <c r="AM593" s="117" t="s">
        <v>161</v>
      </c>
      <c r="AP593" s="117" t="n">
        <v>100039982</v>
      </c>
      <c r="AQ593" s="118" t="n">
        <v>43645</v>
      </c>
      <c r="AR593" s="118" t="n">
        <v>43618</v>
      </c>
      <c r="AS593" s="117" t="n">
        <v>0.614305555555556</v>
      </c>
      <c r="AT593" s="117" t="n">
        <v>0</v>
      </c>
      <c r="AU593" s="117" t="n">
        <v>0</v>
      </c>
      <c r="AX593" s="117" t="n">
        <v>8</v>
      </c>
    </row>
    <row r="594" customFormat="false" ht="13.8" hidden="true" customHeight="false" outlineLevel="0" collapsed="false">
      <c r="A594" s="117" t="n">
        <v>1000</v>
      </c>
      <c r="B594" s="117" t="s">
        <v>1962</v>
      </c>
      <c r="C594" s="117" t="n">
        <v>100039103</v>
      </c>
      <c r="E594" s="117" t="s">
        <v>1921</v>
      </c>
      <c r="F594" s="117" t="n">
        <v>1109</v>
      </c>
      <c r="G594" s="117" t="n">
        <v>2019</v>
      </c>
      <c r="H594" s="117" t="n">
        <v>3</v>
      </c>
      <c r="I594" s="118" t="n">
        <v>43644</v>
      </c>
      <c r="J594" s="118" t="n">
        <v>43644</v>
      </c>
      <c r="K594" s="119" t="n">
        <v>423124.4</v>
      </c>
      <c r="L594" s="128" t="n">
        <f aca="false">K594-Q594+T594</f>
        <v>423124.4</v>
      </c>
      <c r="M594" s="117" t="s">
        <v>149</v>
      </c>
      <c r="N594" s="117" t="n">
        <v>423124.4</v>
      </c>
      <c r="O594" s="117" t="s">
        <v>149</v>
      </c>
      <c r="P594" s="117" t="n">
        <v>0</v>
      </c>
      <c r="Q594" s="117" t="n">
        <v>0</v>
      </c>
      <c r="R594" s="117" t="n">
        <v>423124.4</v>
      </c>
      <c r="S594" s="117" t="n">
        <v>0</v>
      </c>
      <c r="T594" s="117" t="n">
        <v>0</v>
      </c>
      <c r="U594" s="117" t="n">
        <v>312193</v>
      </c>
      <c r="V594" s="117" t="s">
        <v>1963</v>
      </c>
      <c r="X594" s="117" t="s">
        <v>2317</v>
      </c>
      <c r="Z594" s="117" t="n">
        <v>2316</v>
      </c>
      <c r="AB594" s="117" t="s">
        <v>1965</v>
      </c>
      <c r="AD594" s="117" t="n">
        <v>110000</v>
      </c>
      <c r="AE594" s="117" t="s">
        <v>1966</v>
      </c>
      <c r="AF594" s="117" t="n">
        <v>110000</v>
      </c>
      <c r="AG594" s="117" t="s">
        <v>1966</v>
      </c>
      <c r="AI594" s="117" t="n">
        <v>110000</v>
      </c>
      <c r="AJ594" s="117" t="s">
        <v>1966</v>
      </c>
      <c r="AK594" s="117" t="n">
        <v>0</v>
      </c>
      <c r="AL594" s="117" t="n">
        <v>4</v>
      </c>
      <c r="AM594" s="117" t="s">
        <v>161</v>
      </c>
      <c r="AP594" s="117" t="n">
        <v>100057890</v>
      </c>
      <c r="AQ594" s="118" t="n">
        <v>43677</v>
      </c>
      <c r="AR594" s="118" t="n">
        <v>43644</v>
      </c>
      <c r="AS594" s="117" t="n">
        <v>0.199340277777778</v>
      </c>
      <c r="AT594" s="117" t="n">
        <v>0</v>
      </c>
      <c r="AU594" s="117" t="n">
        <v>0</v>
      </c>
      <c r="AX594" s="117" t="n">
        <v>2</v>
      </c>
    </row>
    <row r="595" s="106" customFormat="true" ht="13.8" hidden="true" customHeight="false" outlineLevel="0" collapsed="false">
      <c r="A595" s="106" t="n">
        <v>1000</v>
      </c>
      <c r="B595" s="106" t="s">
        <v>1962</v>
      </c>
      <c r="C595" s="106" t="n">
        <v>103098</v>
      </c>
      <c r="D595" s="106" t="s">
        <v>1489</v>
      </c>
      <c r="E595" s="106" t="s">
        <v>1970</v>
      </c>
      <c r="F595" s="106" t="n">
        <v>1101</v>
      </c>
      <c r="G595" s="106" t="n">
        <v>2019</v>
      </c>
      <c r="H595" s="106" t="n">
        <v>3</v>
      </c>
      <c r="I595" s="129" t="n">
        <v>43629</v>
      </c>
      <c r="J595" s="129" t="n">
        <v>43629</v>
      </c>
      <c r="K595" s="107" t="n">
        <v>477900</v>
      </c>
      <c r="L595" s="130" t="n">
        <f aca="false">K595-Q595+T595</f>
        <v>405000</v>
      </c>
      <c r="M595" s="106" t="s">
        <v>149</v>
      </c>
      <c r="N595" s="106" t="n">
        <v>477900</v>
      </c>
      <c r="O595" s="106" t="s">
        <v>149</v>
      </c>
      <c r="P595" s="106" t="n">
        <v>0</v>
      </c>
      <c r="Q595" s="107" t="n">
        <v>72900</v>
      </c>
      <c r="R595" s="106" t="n">
        <v>405000</v>
      </c>
      <c r="S595" s="106" t="n">
        <v>0</v>
      </c>
      <c r="T595" s="106" t="n">
        <v>0</v>
      </c>
      <c r="U595" s="106" t="n">
        <v>309728</v>
      </c>
      <c r="V595" s="106" t="s">
        <v>1968</v>
      </c>
      <c r="Z595" s="106" t="n">
        <v>57072</v>
      </c>
      <c r="AB595" s="106" t="n">
        <v>2300049939</v>
      </c>
      <c r="AD595" s="106" t="n">
        <v>110000</v>
      </c>
      <c r="AE595" s="106" t="s">
        <v>1966</v>
      </c>
      <c r="AF595" s="106" t="n">
        <v>501000</v>
      </c>
      <c r="AG595" s="106" t="s">
        <v>2170</v>
      </c>
      <c r="AI595" s="106" t="n">
        <v>501000</v>
      </c>
      <c r="AJ595" s="106" t="s">
        <v>2170</v>
      </c>
      <c r="AK595" s="106" t="n">
        <v>0</v>
      </c>
      <c r="AL595" s="106" t="n">
        <v>1</v>
      </c>
      <c r="AM595" s="106" t="s">
        <v>161</v>
      </c>
      <c r="AP595" s="106" t="n">
        <v>100039091</v>
      </c>
      <c r="AQ595" s="129" t="n">
        <v>43644</v>
      </c>
      <c r="AR595" s="129" t="n">
        <v>43629</v>
      </c>
      <c r="AS595" s="106" t="n">
        <v>0.737569444444445</v>
      </c>
      <c r="AT595" s="106" t="n">
        <v>0</v>
      </c>
      <c r="AU595" s="106" t="n">
        <v>0</v>
      </c>
      <c r="AX595" s="106" t="n">
        <v>1</v>
      </c>
      <c r="ALU595" s="0"/>
      <c r="ALV595" s="0"/>
      <c r="ALW595" s="0"/>
      <c r="ALX595" s="0"/>
      <c r="ALY595" s="0"/>
      <c r="ALZ595" s="0"/>
      <c r="AMA595" s="0"/>
      <c r="AMB595" s="0"/>
      <c r="AMC595" s="0"/>
      <c r="AMD595" s="0"/>
      <c r="AME595" s="0"/>
      <c r="AMF595" s="0"/>
      <c r="AMG595" s="0"/>
      <c r="AMH595" s="0"/>
      <c r="AMI595" s="0"/>
      <c r="AMJ595" s="0"/>
    </row>
    <row r="596" customFormat="false" ht="13.8" hidden="true" customHeight="false" outlineLevel="0" collapsed="false">
      <c r="A596" s="117" t="n">
        <v>1000</v>
      </c>
      <c r="B596" s="117" t="s">
        <v>1962</v>
      </c>
      <c r="C596" s="117" t="n">
        <v>100004388</v>
      </c>
      <c r="E596" s="117" t="s">
        <v>1921</v>
      </c>
      <c r="F596" s="117" t="n">
        <v>1106</v>
      </c>
      <c r="G596" s="117" t="n">
        <v>2019</v>
      </c>
      <c r="H596" s="117" t="n">
        <v>1</v>
      </c>
      <c r="I596" s="118" t="n">
        <v>43583</v>
      </c>
      <c r="J596" s="118" t="n">
        <v>43583</v>
      </c>
      <c r="K596" s="119" t="n">
        <v>1164518</v>
      </c>
      <c r="L596" s="128" t="n">
        <f aca="false">K596-Q596+T596</f>
        <v>1164518</v>
      </c>
      <c r="M596" s="117" t="s">
        <v>149</v>
      </c>
      <c r="N596" s="117" t="n">
        <v>1164518</v>
      </c>
      <c r="O596" s="117" t="s">
        <v>149</v>
      </c>
      <c r="P596" s="117" t="n">
        <v>0</v>
      </c>
      <c r="Q596" s="117" t="n">
        <v>0</v>
      </c>
      <c r="R596" s="117" t="n">
        <v>1164518</v>
      </c>
      <c r="S596" s="117" t="n">
        <v>0</v>
      </c>
      <c r="T596" s="117" t="n">
        <v>0</v>
      </c>
      <c r="U596" s="117" t="n">
        <v>318064</v>
      </c>
      <c r="V596" s="117" t="s">
        <v>2206</v>
      </c>
      <c r="Z596" s="117" t="n">
        <v>100004388</v>
      </c>
      <c r="AD596" s="117" t="n">
        <v>310300</v>
      </c>
      <c r="AE596" s="117" t="s">
        <v>1969</v>
      </c>
      <c r="AF596" s="117" t="n">
        <v>110000</v>
      </c>
      <c r="AG596" s="117" t="s">
        <v>1966</v>
      </c>
      <c r="AI596" s="117" t="n">
        <v>110000</v>
      </c>
      <c r="AJ596" s="117" t="s">
        <v>1966</v>
      </c>
      <c r="AK596" s="117" t="n">
        <v>0</v>
      </c>
      <c r="AL596" s="117" t="n">
        <v>9</v>
      </c>
      <c r="AM596" s="117" t="s">
        <v>161</v>
      </c>
      <c r="AN596" s="117" t="s">
        <v>1978</v>
      </c>
      <c r="AP596" s="117" t="n">
        <v>100004388</v>
      </c>
      <c r="AQ596" s="118" t="n">
        <v>43583</v>
      </c>
      <c r="AR596" s="118" t="n">
        <v>43583</v>
      </c>
      <c r="AS596" s="117" t="n">
        <v>0.613657407407407</v>
      </c>
      <c r="AT596" s="117" t="n">
        <v>0</v>
      </c>
      <c r="AU596" s="117" t="n">
        <v>0</v>
      </c>
      <c r="AX596" s="117" t="n">
        <v>3</v>
      </c>
    </row>
    <row r="597" customFormat="false" ht="13.8" hidden="true" customHeight="false" outlineLevel="0" collapsed="false">
      <c r="A597" s="117" t="n">
        <v>1000</v>
      </c>
      <c r="B597" s="117" t="s">
        <v>1962</v>
      </c>
      <c r="C597" s="117" t="n">
        <v>100039091</v>
      </c>
      <c r="E597" s="117" t="s">
        <v>1921</v>
      </c>
      <c r="F597" s="117" t="n">
        <v>1101</v>
      </c>
      <c r="G597" s="117" t="n">
        <v>2019</v>
      </c>
      <c r="H597" s="117" t="n">
        <v>3</v>
      </c>
      <c r="I597" s="118" t="n">
        <v>43644</v>
      </c>
      <c r="J597" s="118" t="n">
        <v>43644</v>
      </c>
      <c r="K597" s="119" t="n">
        <v>649000</v>
      </c>
      <c r="L597" s="128" t="n">
        <f aca="false">K597-Q597+T597</f>
        <v>649000</v>
      </c>
      <c r="M597" s="117" t="s">
        <v>149</v>
      </c>
      <c r="N597" s="117" t="n">
        <v>649000</v>
      </c>
      <c r="O597" s="117" t="s">
        <v>149</v>
      </c>
      <c r="P597" s="117" t="n">
        <v>0</v>
      </c>
      <c r="Q597" s="117" t="n">
        <v>0</v>
      </c>
      <c r="R597" s="117" t="n">
        <v>649000</v>
      </c>
      <c r="S597" s="117" t="n">
        <v>0</v>
      </c>
      <c r="T597" s="117" t="n">
        <v>0</v>
      </c>
      <c r="U597" s="117" t="n">
        <v>309728</v>
      </c>
      <c r="V597" s="117" t="s">
        <v>1968</v>
      </c>
      <c r="X597" s="117" t="s">
        <v>1505</v>
      </c>
      <c r="Z597" s="117" t="n">
        <v>59184</v>
      </c>
      <c r="AB597" s="117" t="n">
        <v>2300049939</v>
      </c>
      <c r="AD597" s="117" t="n">
        <v>110000</v>
      </c>
      <c r="AE597" s="117" t="s">
        <v>1966</v>
      </c>
      <c r="AF597" s="117" t="n">
        <v>110000</v>
      </c>
      <c r="AG597" s="117" t="s">
        <v>1966</v>
      </c>
      <c r="AI597" s="117" t="n">
        <v>110000</v>
      </c>
      <c r="AJ597" s="117" t="s">
        <v>1966</v>
      </c>
      <c r="AK597" s="117" t="n">
        <v>0</v>
      </c>
      <c r="AL597" s="117" t="n">
        <v>4</v>
      </c>
      <c r="AM597" s="117" t="s">
        <v>161</v>
      </c>
      <c r="AP597" s="117" t="n">
        <v>100075998</v>
      </c>
      <c r="AQ597" s="118" t="n">
        <v>43703</v>
      </c>
      <c r="AR597" s="118" t="n">
        <v>43644</v>
      </c>
      <c r="AS597" s="117" t="n">
        <v>0.190081018518518</v>
      </c>
      <c r="AT597" s="117" t="n">
        <v>0</v>
      </c>
      <c r="AU597" s="117" t="n">
        <v>0</v>
      </c>
      <c r="AX597" s="117" t="n">
        <v>3</v>
      </c>
    </row>
    <row r="598" customFormat="false" ht="13.8" hidden="true" customHeight="false" outlineLevel="0" collapsed="false">
      <c r="A598" s="117" t="n">
        <v>1000</v>
      </c>
      <c r="B598" s="117" t="s">
        <v>1962</v>
      </c>
      <c r="C598" s="117" t="n">
        <v>100022446</v>
      </c>
      <c r="E598" s="117" t="s">
        <v>1921</v>
      </c>
      <c r="F598" s="117" t="n">
        <v>1108</v>
      </c>
      <c r="G598" s="117" t="n">
        <v>2019</v>
      </c>
      <c r="H598" s="117" t="n">
        <v>2</v>
      </c>
      <c r="I598" s="118" t="n">
        <v>43616</v>
      </c>
      <c r="J598" s="118" t="n">
        <v>43616</v>
      </c>
      <c r="K598" s="119" t="n">
        <v>-305436.16</v>
      </c>
      <c r="L598" s="128" t="n">
        <f aca="false">K598-Q598+T598</f>
        <v>-305436.16</v>
      </c>
      <c r="M598" s="117" t="s">
        <v>149</v>
      </c>
      <c r="N598" s="117" t="n">
        <v>-305436.16</v>
      </c>
      <c r="O598" s="117" t="s">
        <v>149</v>
      </c>
      <c r="P598" s="117" t="n">
        <v>0</v>
      </c>
      <c r="Q598" s="117" t="n">
        <v>0</v>
      </c>
      <c r="R598" s="117" t="n">
        <v>-305436.16</v>
      </c>
      <c r="S598" s="117" t="n">
        <v>0</v>
      </c>
      <c r="T598" s="117" t="n">
        <v>0</v>
      </c>
      <c r="U598" s="117" t="n">
        <v>312193</v>
      </c>
      <c r="V598" s="117" t="s">
        <v>1963</v>
      </c>
      <c r="Z598" s="117" t="n">
        <v>100022446</v>
      </c>
      <c r="AD598" s="117" t="n">
        <v>110000</v>
      </c>
      <c r="AE598" s="117" t="s">
        <v>1966</v>
      </c>
      <c r="AF598" s="117" t="n">
        <v>110000</v>
      </c>
      <c r="AG598" s="117" t="s">
        <v>1966</v>
      </c>
      <c r="AI598" s="117" t="n">
        <v>110000</v>
      </c>
      <c r="AJ598" s="117" t="s">
        <v>1966</v>
      </c>
      <c r="AK598" s="117" t="n">
        <v>0</v>
      </c>
      <c r="AL598" s="117" t="n">
        <v>17</v>
      </c>
      <c r="AM598" s="117" t="s">
        <v>225</v>
      </c>
      <c r="AP598" s="117" t="n">
        <v>100022446</v>
      </c>
      <c r="AQ598" s="118" t="n">
        <v>43616</v>
      </c>
      <c r="AR598" s="118" t="n">
        <v>43617</v>
      </c>
      <c r="AS598" s="117" t="n">
        <v>0.587256944444444</v>
      </c>
      <c r="AT598" s="117" t="n">
        <v>0</v>
      </c>
      <c r="AU598" s="117" t="n">
        <v>0</v>
      </c>
      <c r="AX598" s="117" t="n">
        <v>6</v>
      </c>
    </row>
    <row r="599" customFormat="false" ht="13.8" hidden="true" customHeight="false" outlineLevel="0" collapsed="false">
      <c r="A599" s="117" t="n">
        <v>1000</v>
      </c>
      <c r="B599" s="117" t="s">
        <v>1962</v>
      </c>
      <c r="C599" s="117" t="n">
        <v>100022449</v>
      </c>
      <c r="E599" s="117" t="s">
        <v>1921</v>
      </c>
      <c r="F599" s="117" t="n">
        <v>1101</v>
      </c>
      <c r="G599" s="117" t="n">
        <v>2019</v>
      </c>
      <c r="H599" s="117" t="n">
        <v>2</v>
      </c>
      <c r="I599" s="118" t="n">
        <v>43616</v>
      </c>
      <c r="J599" s="118" t="n">
        <v>43616</v>
      </c>
      <c r="K599" s="119" t="n">
        <v>-5851979.36</v>
      </c>
      <c r="L599" s="128" t="n">
        <f aca="false">K599-Q599+T599</f>
        <v>-5851979.36</v>
      </c>
      <c r="M599" s="117" t="s">
        <v>149</v>
      </c>
      <c r="N599" s="117" t="n">
        <v>-5851979.36</v>
      </c>
      <c r="O599" s="117" t="s">
        <v>149</v>
      </c>
      <c r="P599" s="117" t="n">
        <v>0</v>
      </c>
      <c r="Q599" s="117" t="n">
        <v>0</v>
      </c>
      <c r="R599" s="117" t="n">
        <v>-5851979.36</v>
      </c>
      <c r="S599" s="117" t="n">
        <v>0</v>
      </c>
      <c r="T599" s="117" t="n">
        <v>0</v>
      </c>
      <c r="U599" s="117" t="n">
        <v>312193</v>
      </c>
      <c r="V599" s="117" t="s">
        <v>1963</v>
      </c>
      <c r="Z599" s="117" t="n">
        <v>100022449</v>
      </c>
      <c r="AD599" s="117" t="n">
        <v>110000</v>
      </c>
      <c r="AE599" s="117" t="s">
        <v>1966</v>
      </c>
      <c r="AF599" s="117" t="n">
        <v>110000</v>
      </c>
      <c r="AG599" s="117" t="s">
        <v>1966</v>
      </c>
      <c r="AI599" s="117" t="n">
        <v>110000</v>
      </c>
      <c r="AJ599" s="117" t="s">
        <v>1966</v>
      </c>
      <c r="AK599" s="117" t="n">
        <v>0</v>
      </c>
      <c r="AL599" s="117" t="n">
        <v>17</v>
      </c>
      <c r="AM599" s="117" t="s">
        <v>225</v>
      </c>
      <c r="AP599" s="117" t="n">
        <v>100022449</v>
      </c>
      <c r="AQ599" s="118" t="n">
        <v>43616</v>
      </c>
      <c r="AR599" s="118" t="n">
        <v>43617</v>
      </c>
      <c r="AS599" s="117" t="n">
        <v>0.594490740740741</v>
      </c>
      <c r="AT599" s="117" t="n">
        <v>0</v>
      </c>
      <c r="AU599" s="117" t="n">
        <v>0</v>
      </c>
      <c r="AX599" s="117" t="n">
        <v>4</v>
      </c>
    </row>
    <row r="600" customFormat="false" ht="13.8" hidden="true" customHeight="false" outlineLevel="0" collapsed="false">
      <c r="A600" s="117" t="n">
        <v>1000</v>
      </c>
      <c r="B600" s="117" t="s">
        <v>1962</v>
      </c>
      <c r="C600" s="117" t="n">
        <v>1600000099</v>
      </c>
      <c r="E600" s="117" t="s">
        <v>1987</v>
      </c>
      <c r="F600" s="117" t="n">
        <v>1101</v>
      </c>
      <c r="G600" s="117" t="n">
        <v>2019</v>
      </c>
      <c r="H600" s="117" t="n">
        <v>3</v>
      </c>
      <c r="I600" s="118" t="n">
        <v>43645</v>
      </c>
      <c r="J600" s="118" t="n">
        <v>43645</v>
      </c>
      <c r="K600" s="119" t="n">
        <v>-1303</v>
      </c>
      <c r="L600" s="128" t="n">
        <f aca="false">K600-Q600+T600</f>
        <v>-1303</v>
      </c>
      <c r="M600" s="117" t="s">
        <v>149</v>
      </c>
      <c r="N600" s="117" t="n">
        <v>-1303</v>
      </c>
      <c r="O600" s="117" t="s">
        <v>149</v>
      </c>
      <c r="P600" s="117" t="n">
        <v>-1303</v>
      </c>
      <c r="Q600" s="117" t="n">
        <v>0</v>
      </c>
      <c r="R600" s="117" t="n">
        <v>-1303</v>
      </c>
      <c r="S600" s="117" t="n">
        <v>0</v>
      </c>
      <c r="T600" s="117" t="n">
        <v>0</v>
      </c>
      <c r="U600" s="117" t="n">
        <v>312351</v>
      </c>
      <c r="V600" s="117" t="s">
        <v>2156</v>
      </c>
      <c r="X600" s="117" t="s">
        <v>2318</v>
      </c>
      <c r="Y600" s="117" t="s">
        <v>2164</v>
      </c>
      <c r="Z600" s="117" t="n">
        <v>1600000099</v>
      </c>
      <c r="AD600" s="117" t="n">
        <v>110000</v>
      </c>
      <c r="AE600" s="117" t="s">
        <v>1966</v>
      </c>
      <c r="AF600" s="117" t="n">
        <v>111201</v>
      </c>
      <c r="AG600" s="117" t="s">
        <v>2165</v>
      </c>
      <c r="AI600" s="117" t="n">
        <v>111201</v>
      </c>
      <c r="AJ600" s="117" t="s">
        <v>2165</v>
      </c>
      <c r="AK600" s="117" t="n">
        <v>0</v>
      </c>
      <c r="AL600" s="117" t="n">
        <v>14</v>
      </c>
      <c r="AM600" s="117" t="s">
        <v>225</v>
      </c>
      <c r="AP600" s="117" t="n">
        <v>100048555</v>
      </c>
      <c r="AQ600" s="118" t="n">
        <v>43646</v>
      </c>
      <c r="AR600" s="118" t="n">
        <v>43645</v>
      </c>
      <c r="AS600" s="117" t="n">
        <v>0.747094907407407</v>
      </c>
      <c r="AT600" s="117" t="n">
        <v>0</v>
      </c>
      <c r="AU600" s="117" t="n">
        <v>0</v>
      </c>
      <c r="AX600" s="117" t="n">
        <v>5</v>
      </c>
    </row>
    <row r="601" customFormat="false" ht="13.8" hidden="true" customHeight="false" outlineLevel="0" collapsed="false">
      <c r="A601" s="117" t="n">
        <v>1000</v>
      </c>
      <c r="B601" s="117" t="s">
        <v>1962</v>
      </c>
      <c r="C601" s="117" t="n">
        <v>100020141</v>
      </c>
      <c r="E601" s="117" t="s">
        <v>1921</v>
      </c>
      <c r="F601" s="117" t="n">
        <v>1106</v>
      </c>
      <c r="G601" s="117" t="n">
        <v>2019</v>
      </c>
      <c r="H601" s="117" t="n">
        <v>2</v>
      </c>
      <c r="I601" s="118" t="n">
        <v>43611</v>
      </c>
      <c r="J601" s="118" t="n">
        <v>43611</v>
      </c>
      <c r="K601" s="119" t="n">
        <v>-1505680</v>
      </c>
      <c r="L601" s="128" t="n">
        <f aca="false">K601-Q601+T601</f>
        <v>-1505680</v>
      </c>
      <c r="M601" s="117" t="s">
        <v>149</v>
      </c>
      <c r="N601" s="117" t="n">
        <v>-1505680</v>
      </c>
      <c r="O601" s="117" t="s">
        <v>149</v>
      </c>
      <c r="P601" s="117" t="n">
        <v>-1505680</v>
      </c>
      <c r="Q601" s="117" t="n">
        <v>0</v>
      </c>
      <c r="R601" s="117" t="n">
        <v>-1505680</v>
      </c>
      <c r="S601" s="117" t="n">
        <v>0</v>
      </c>
      <c r="T601" s="117" t="n">
        <v>0</v>
      </c>
      <c r="U601" s="117" t="n">
        <v>312193</v>
      </c>
      <c r="V601" s="117" t="s">
        <v>1963</v>
      </c>
      <c r="X601" s="117" t="s">
        <v>2319</v>
      </c>
      <c r="Z601" s="117" t="n">
        <v>100020141</v>
      </c>
      <c r="AD601" s="117" t="n">
        <v>310300</v>
      </c>
      <c r="AE601" s="117" t="s">
        <v>1969</v>
      </c>
      <c r="AF601" s="117" t="n">
        <v>310300</v>
      </c>
      <c r="AG601" s="117" t="s">
        <v>1969</v>
      </c>
      <c r="AI601" s="117" t="n">
        <v>310300</v>
      </c>
      <c r="AJ601" s="117" t="s">
        <v>1969</v>
      </c>
      <c r="AK601" s="117" t="n">
        <v>0</v>
      </c>
      <c r="AL601" s="117" t="n">
        <v>19</v>
      </c>
      <c r="AM601" s="117" t="s">
        <v>225</v>
      </c>
      <c r="AN601" s="117" t="s">
        <v>1978</v>
      </c>
      <c r="AP601" s="117" t="n">
        <v>100020145</v>
      </c>
      <c r="AQ601" s="118" t="n">
        <v>43611</v>
      </c>
      <c r="AR601" s="118" t="n">
        <v>43611</v>
      </c>
      <c r="AS601" s="117" t="n">
        <v>0.746296296296296</v>
      </c>
      <c r="AT601" s="117" t="n">
        <v>0</v>
      </c>
      <c r="AU601" s="117" t="n">
        <v>0</v>
      </c>
      <c r="AX601" s="117" t="n">
        <v>1</v>
      </c>
    </row>
    <row r="602" customFormat="false" ht="13.8" hidden="true" customHeight="false" outlineLevel="0" collapsed="false">
      <c r="A602" s="117" t="n">
        <v>1000</v>
      </c>
      <c r="B602" s="117" t="s">
        <v>1962</v>
      </c>
      <c r="C602" s="117" t="n">
        <v>100020143</v>
      </c>
      <c r="E602" s="117" t="s">
        <v>1921</v>
      </c>
      <c r="F602" s="117" t="n">
        <v>1109</v>
      </c>
      <c r="G602" s="117" t="n">
        <v>2019</v>
      </c>
      <c r="H602" s="117" t="n">
        <v>2</v>
      </c>
      <c r="I602" s="118" t="n">
        <v>43611</v>
      </c>
      <c r="J602" s="118" t="n">
        <v>43611</v>
      </c>
      <c r="K602" s="119" t="n">
        <v>-67659.31</v>
      </c>
      <c r="L602" s="128" t="n">
        <f aca="false">K602-Q602+T602</f>
        <v>-67659.31</v>
      </c>
      <c r="M602" s="117" t="s">
        <v>149</v>
      </c>
      <c r="N602" s="117" t="n">
        <v>-67659.31</v>
      </c>
      <c r="O602" s="117" t="s">
        <v>149</v>
      </c>
      <c r="P602" s="117" t="n">
        <v>0</v>
      </c>
      <c r="Q602" s="117" t="n">
        <v>0</v>
      </c>
      <c r="R602" s="117" t="n">
        <v>-67659.31</v>
      </c>
      <c r="S602" s="117" t="n">
        <v>0</v>
      </c>
      <c r="T602" s="117" t="n">
        <v>0</v>
      </c>
      <c r="U602" s="117" t="n">
        <v>312193</v>
      </c>
      <c r="V602" s="117" t="s">
        <v>1963</v>
      </c>
      <c r="Z602" s="117" t="n">
        <v>100020143</v>
      </c>
      <c r="AD602" s="117" t="n">
        <v>110000</v>
      </c>
      <c r="AE602" s="117" t="s">
        <v>1966</v>
      </c>
      <c r="AF602" s="117" t="n">
        <v>110000</v>
      </c>
      <c r="AG602" s="117" t="s">
        <v>1966</v>
      </c>
      <c r="AI602" s="117" t="n">
        <v>110000</v>
      </c>
      <c r="AJ602" s="117" t="s">
        <v>1966</v>
      </c>
      <c r="AK602" s="117" t="n">
        <v>0</v>
      </c>
      <c r="AL602" s="117" t="n">
        <v>17</v>
      </c>
      <c r="AM602" s="117" t="s">
        <v>225</v>
      </c>
      <c r="AP602" s="117" t="n">
        <v>100020143</v>
      </c>
      <c r="AQ602" s="118" t="n">
        <v>43611</v>
      </c>
      <c r="AR602" s="118" t="n">
        <v>43611</v>
      </c>
      <c r="AS602" s="117" t="n">
        <v>0.749513888888889</v>
      </c>
      <c r="AT602" s="117" t="n">
        <v>0</v>
      </c>
      <c r="AU602" s="117" t="n">
        <v>0</v>
      </c>
      <c r="AX602" s="117" t="n">
        <v>2</v>
      </c>
    </row>
    <row r="603" s="132" customFormat="true" ht="13.8" hidden="true" customHeight="false" outlineLevel="0" collapsed="false">
      <c r="A603" s="132" t="n">
        <v>1000</v>
      </c>
      <c r="B603" s="132" t="s">
        <v>1962</v>
      </c>
      <c r="C603" s="132" t="n">
        <v>100013850</v>
      </c>
      <c r="E603" s="132" t="s">
        <v>1921</v>
      </c>
      <c r="F603" s="132" t="n">
        <v>1109</v>
      </c>
      <c r="G603" s="132" t="n">
        <v>2019</v>
      </c>
      <c r="H603" s="132" t="n">
        <v>1</v>
      </c>
      <c r="I603" s="133" t="n">
        <v>43585</v>
      </c>
      <c r="J603" s="133" t="n">
        <v>43585</v>
      </c>
      <c r="K603" s="134" t="n">
        <v>-190541.68</v>
      </c>
      <c r="L603" s="135" t="n">
        <f aca="false">K603-Q603+T603</f>
        <v>-190541.68</v>
      </c>
      <c r="M603" s="132" t="s">
        <v>149</v>
      </c>
      <c r="N603" s="132" t="n">
        <v>-190541.68</v>
      </c>
      <c r="O603" s="132" t="s">
        <v>149</v>
      </c>
      <c r="P603" s="132" t="n">
        <v>0</v>
      </c>
      <c r="Q603" s="132" t="n">
        <v>0</v>
      </c>
      <c r="R603" s="132" t="n">
        <v>-190541.68</v>
      </c>
      <c r="S603" s="132" t="n">
        <v>0</v>
      </c>
      <c r="T603" s="132" t="n">
        <v>0</v>
      </c>
      <c r="U603" s="132" t="n">
        <v>304431</v>
      </c>
      <c r="V603" s="132" t="s">
        <v>2016</v>
      </c>
      <c r="Z603" s="132" t="n">
        <v>100013850</v>
      </c>
      <c r="AD603" s="132" t="n">
        <v>110000</v>
      </c>
      <c r="AE603" s="132" t="s">
        <v>1966</v>
      </c>
      <c r="AF603" s="132" t="n">
        <v>110000</v>
      </c>
      <c r="AG603" s="132" t="s">
        <v>1966</v>
      </c>
      <c r="AI603" s="132" t="n">
        <v>110000</v>
      </c>
      <c r="AJ603" s="132" t="s">
        <v>1966</v>
      </c>
      <c r="AK603" s="132" t="n">
        <v>0</v>
      </c>
      <c r="AL603" s="132" t="n">
        <v>17</v>
      </c>
      <c r="AM603" s="132" t="s">
        <v>225</v>
      </c>
      <c r="AP603" s="132" t="n">
        <v>100013850</v>
      </c>
      <c r="AQ603" s="133" t="n">
        <v>43585</v>
      </c>
      <c r="AR603" s="133" t="n">
        <v>43587</v>
      </c>
      <c r="AS603" s="132" t="n">
        <v>0.651875</v>
      </c>
      <c r="AT603" s="132" t="n">
        <v>0</v>
      </c>
      <c r="AU603" s="132" t="n">
        <v>0</v>
      </c>
      <c r="AX603" s="132" t="n">
        <v>2</v>
      </c>
      <c r="ALU603" s="0"/>
      <c r="ALV603" s="0"/>
      <c r="ALW603" s="0"/>
      <c r="ALX603" s="0"/>
      <c r="ALY603" s="0"/>
      <c r="ALZ603" s="0"/>
      <c r="AMA603" s="0"/>
      <c r="AMB603" s="0"/>
      <c r="AMC603" s="0"/>
      <c r="AMD603" s="0"/>
      <c r="AME603" s="0"/>
      <c r="AMF603" s="0"/>
      <c r="AMG603" s="0"/>
      <c r="AMH603" s="0"/>
      <c r="AMI603" s="0"/>
      <c r="AMJ603" s="0"/>
    </row>
    <row r="604" customFormat="false" ht="13.8" hidden="true" customHeight="false" outlineLevel="0" collapsed="false">
      <c r="A604" s="117" t="n">
        <v>1000</v>
      </c>
      <c r="B604" s="117" t="s">
        <v>1962</v>
      </c>
      <c r="C604" s="117" t="n">
        <v>1400000493</v>
      </c>
      <c r="E604" s="117" t="s">
        <v>1972</v>
      </c>
      <c r="F604" s="117" t="n">
        <v>1106</v>
      </c>
      <c r="G604" s="117" t="n">
        <v>2019</v>
      </c>
      <c r="H604" s="117" t="n">
        <v>1</v>
      </c>
      <c r="I604" s="118" t="n">
        <v>43572</v>
      </c>
      <c r="J604" s="118" t="n">
        <v>43572</v>
      </c>
      <c r="K604" s="119" t="n">
        <v>-110831.38</v>
      </c>
      <c r="L604" s="128" t="n">
        <f aca="false">K604-Q604+T604</f>
        <v>-110831.38</v>
      </c>
      <c r="M604" s="117" t="s">
        <v>149</v>
      </c>
      <c r="N604" s="117" t="n">
        <v>-110831.38</v>
      </c>
      <c r="O604" s="117" t="s">
        <v>149</v>
      </c>
      <c r="P604" s="117" t="n">
        <v>0</v>
      </c>
      <c r="Q604" s="117" t="n">
        <v>0</v>
      </c>
      <c r="R604" s="117" t="n">
        <v>-110831.38</v>
      </c>
      <c r="S604" s="117" t="n">
        <v>0</v>
      </c>
      <c r="T604" s="117" t="n">
        <v>0</v>
      </c>
      <c r="U604" s="117" t="n">
        <v>312193</v>
      </c>
      <c r="V604" s="117" t="s">
        <v>1963</v>
      </c>
      <c r="X604" s="117" t="s">
        <v>2320</v>
      </c>
      <c r="Y604" s="117" t="s">
        <v>2321</v>
      </c>
      <c r="Z604" s="117" t="n">
        <v>1400000493</v>
      </c>
      <c r="AC604" s="117" t="s">
        <v>1976</v>
      </c>
      <c r="AD604" s="117" t="n">
        <v>310300</v>
      </c>
      <c r="AE604" s="117" t="s">
        <v>1969</v>
      </c>
      <c r="AF604" s="117" t="n">
        <v>101105</v>
      </c>
      <c r="AG604" s="117" t="s">
        <v>1977</v>
      </c>
      <c r="AI604" s="117" t="n">
        <v>101105</v>
      </c>
      <c r="AJ604" s="117" t="s">
        <v>1977</v>
      </c>
      <c r="AK604" s="117" t="n">
        <v>0</v>
      </c>
      <c r="AL604" s="117" t="n">
        <v>19</v>
      </c>
      <c r="AM604" s="117" t="s">
        <v>225</v>
      </c>
      <c r="AN604" s="117" t="s">
        <v>1978</v>
      </c>
      <c r="AP604" s="117" t="n">
        <v>100005105</v>
      </c>
      <c r="AQ604" s="118" t="n">
        <v>43585</v>
      </c>
      <c r="AR604" s="118" t="n">
        <v>43573</v>
      </c>
      <c r="AS604" s="117" t="n">
        <v>0.759212962962963</v>
      </c>
      <c r="AT604" s="117" t="n">
        <v>0</v>
      </c>
      <c r="AU604" s="117" t="n">
        <v>0</v>
      </c>
      <c r="AX604" s="117" t="n">
        <v>2</v>
      </c>
    </row>
    <row r="605" customFormat="false" ht="13.8" hidden="true" customHeight="false" outlineLevel="0" collapsed="false">
      <c r="A605" s="117" t="n">
        <v>1000</v>
      </c>
      <c r="B605" s="117" t="s">
        <v>1962</v>
      </c>
      <c r="C605" s="117" t="n">
        <v>1600000126</v>
      </c>
      <c r="D605" s="117" t="s">
        <v>2166</v>
      </c>
      <c r="E605" s="117" t="s">
        <v>1987</v>
      </c>
      <c r="F605" s="117" t="n">
        <v>1106</v>
      </c>
      <c r="G605" s="117" t="n">
        <v>2019</v>
      </c>
      <c r="H605" s="117" t="n">
        <v>3</v>
      </c>
      <c r="I605" s="118" t="n">
        <v>43646</v>
      </c>
      <c r="J605" s="118" t="n">
        <v>43646</v>
      </c>
      <c r="K605" s="119" t="n">
        <v>-70</v>
      </c>
      <c r="L605" s="128" t="n">
        <f aca="false">K605-Q605+T605</f>
        <v>-70</v>
      </c>
      <c r="M605" s="117" t="s">
        <v>149</v>
      </c>
      <c r="N605" s="117" t="n">
        <v>-70</v>
      </c>
      <c r="O605" s="117" t="s">
        <v>149</v>
      </c>
      <c r="P605" s="117" t="n">
        <v>-70</v>
      </c>
      <c r="Q605" s="117" t="n">
        <v>0</v>
      </c>
      <c r="R605" s="117" t="n">
        <v>-70</v>
      </c>
      <c r="S605" s="117" t="n">
        <v>0</v>
      </c>
      <c r="T605" s="117" t="n">
        <v>0</v>
      </c>
      <c r="U605" s="117" t="n">
        <v>312351</v>
      </c>
      <c r="V605" s="117" t="s">
        <v>2156</v>
      </c>
      <c r="X605" s="117" t="s">
        <v>2157</v>
      </c>
      <c r="Y605" s="117" t="s">
        <v>2167</v>
      </c>
      <c r="Z605" s="117" t="n">
        <v>1600000126</v>
      </c>
      <c r="AD605" s="117" t="n">
        <v>310300</v>
      </c>
      <c r="AE605" s="117" t="s">
        <v>1969</v>
      </c>
      <c r="AF605" s="117" t="n">
        <v>312351</v>
      </c>
      <c r="AG605" s="117" t="s">
        <v>2156</v>
      </c>
      <c r="AI605" s="117" t="n">
        <v>312351</v>
      </c>
      <c r="AJ605" s="131" t="s">
        <v>2156</v>
      </c>
      <c r="AK605" s="117" t="n">
        <v>0</v>
      </c>
      <c r="AL605" s="117" t="n">
        <v>19</v>
      </c>
      <c r="AM605" s="117" t="s">
        <v>225</v>
      </c>
      <c r="AN605" s="117" t="s">
        <v>1978</v>
      </c>
      <c r="AR605" s="118" t="n">
        <v>43647</v>
      </c>
      <c r="AS605" s="117" t="n">
        <v>0.756342592592593</v>
      </c>
      <c r="AT605" s="117" t="n">
        <v>0</v>
      </c>
      <c r="AU605" s="117" t="n">
        <v>0</v>
      </c>
      <c r="AX605" s="117" t="n">
        <v>2</v>
      </c>
    </row>
    <row r="606" customFormat="false" ht="13.8" hidden="true" customHeight="false" outlineLevel="0" collapsed="false">
      <c r="A606" s="117" t="n">
        <v>1000</v>
      </c>
      <c r="B606" s="117" t="s">
        <v>1962</v>
      </c>
      <c r="C606" s="117" t="n">
        <v>100050988</v>
      </c>
      <c r="E606" s="117" t="s">
        <v>1921</v>
      </c>
      <c r="F606" s="117" t="n">
        <v>1101</v>
      </c>
      <c r="G606" s="117" t="n">
        <v>2019</v>
      </c>
      <c r="H606" s="117" t="n">
        <v>3</v>
      </c>
      <c r="I606" s="118" t="n">
        <v>43646</v>
      </c>
      <c r="J606" s="118" t="n">
        <v>43646</v>
      </c>
      <c r="K606" s="119" t="n">
        <v>70</v>
      </c>
      <c r="L606" s="128" t="n">
        <f aca="false">K606-Q606+T606</f>
        <v>70</v>
      </c>
      <c r="M606" s="117" t="s">
        <v>149</v>
      </c>
      <c r="N606" s="117" t="n">
        <v>70</v>
      </c>
      <c r="O606" s="117" t="s">
        <v>149</v>
      </c>
      <c r="P606" s="117" t="n">
        <v>0</v>
      </c>
      <c r="Q606" s="117" t="n">
        <v>0</v>
      </c>
      <c r="R606" s="117" t="n">
        <v>70</v>
      </c>
      <c r="S606" s="117" t="n">
        <v>0</v>
      </c>
      <c r="T606" s="117" t="n">
        <v>0</v>
      </c>
      <c r="U606" s="117" t="n">
        <v>312351</v>
      </c>
      <c r="V606" s="117" t="s">
        <v>2156</v>
      </c>
      <c r="Z606" s="117" t="n">
        <v>100050988</v>
      </c>
      <c r="AD606" s="117" t="n">
        <v>110000</v>
      </c>
      <c r="AE606" s="117" t="s">
        <v>1966</v>
      </c>
      <c r="AF606" s="117" t="n">
        <v>110000</v>
      </c>
      <c r="AG606" s="117" t="s">
        <v>1966</v>
      </c>
      <c r="AI606" s="117" t="n">
        <v>110000</v>
      </c>
      <c r="AJ606" s="117" t="s">
        <v>1966</v>
      </c>
      <c r="AK606" s="117" t="n">
        <v>0</v>
      </c>
      <c r="AL606" s="117" t="n">
        <v>7</v>
      </c>
      <c r="AM606" s="117" t="s">
        <v>161</v>
      </c>
      <c r="AP606" s="117" t="n">
        <v>100050988</v>
      </c>
      <c r="AQ606" s="118" t="n">
        <v>43646</v>
      </c>
      <c r="AR606" s="118" t="n">
        <v>43647</v>
      </c>
      <c r="AS606" s="117" t="n">
        <v>0.756828703703704</v>
      </c>
      <c r="AT606" s="117" t="n">
        <v>0</v>
      </c>
      <c r="AU606" s="117" t="n">
        <v>0</v>
      </c>
      <c r="AX606" s="117" t="n">
        <v>1</v>
      </c>
    </row>
    <row r="607" customFormat="false" ht="13.8" hidden="true" customHeight="false" outlineLevel="0" collapsed="false">
      <c r="A607" s="117" t="n">
        <v>1000</v>
      </c>
      <c r="B607" s="117" t="s">
        <v>1962</v>
      </c>
      <c r="C607" s="117" t="n">
        <v>100020120</v>
      </c>
      <c r="E607" s="117" t="s">
        <v>1921</v>
      </c>
      <c r="F607" s="117" t="n">
        <v>1109</v>
      </c>
      <c r="G607" s="117" t="n">
        <v>2019</v>
      </c>
      <c r="H607" s="117" t="n">
        <v>2</v>
      </c>
      <c r="I607" s="118" t="n">
        <v>43611</v>
      </c>
      <c r="J607" s="118" t="n">
        <v>43611</v>
      </c>
      <c r="K607" s="119" t="n">
        <v>-241003.2</v>
      </c>
      <c r="L607" s="128" t="n">
        <f aca="false">K607-Q607+T607</f>
        <v>-241003.2</v>
      </c>
      <c r="M607" s="117" t="s">
        <v>149</v>
      </c>
      <c r="N607" s="117" t="n">
        <v>-241003.2</v>
      </c>
      <c r="O607" s="117" t="s">
        <v>149</v>
      </c>
      <c r="P607" s="117" t="n">
        <v>0</v>
      </c>
      <c r="Q607" s="117" t="n">
        <v>0</v>
      </c>
      <c r="R607" s="117" t="n">
        <v>-241003.2</v>
      </c>
      <c r="S607" s="117" t="n">
        <v>0</v>
      </c>
      <c r="T607" s="117" t="n">
        <v>0</v>
      </c>
      <c r="U607" s="117" t="n">
        <v>304431</v>
      </c>
      <c r="V607" s="117" t="s">
        <v>2016</v>
      </c>
      <c r="Z607" s="117" t="n">
        <v>100020120</v>
      </c>
      <c r="AD607" s="117" t="n">
        <v>110000</v>
      </c>
      <c r="AE607" s="117" t="s">
        <v>1966</v>
      </c>
      <c r="AF607" s="117" t="n">
        <v>110000</v>
      </c>
      <c r="AG607" s="117" t="s">
        <v>1966</v>
      </c>
      <c r="AI607" s="117" t="n">
        <v>110000</v>
      </c>
      <c r="AJ607" s="117" t="s">
        <v>1966</v>
      </c>
      <c r="AK607" s="117" t="n">
        <v>0</v>
      </c>
      <c r="AL607" s="117" t="n">
        <v>17</v>
      </c>
      <c r="AM607" s="117" t="s">
        <v>225</v>
      </c>
      <c r="AP607" s="117" t="n">
        <v>100020120</v>
      </c>
      <c r="AQ607" s="118" t="n">
        <v>43611</v>
      </c>
      <c r="AR607" s="118" t="n">
        <v>43611</v>
      </c>
      <c r="AS607" s="117" t="n">
        <v>0.714594907407407</v>
      </c>
      <c r="AT607" s="117" t="n">
        <v>0</v>
      </c>
      <c r="AU607" s="117" t="n">
        <v>0</v>
      </c>
      <c r="AX607" s="117" t="n">
        <v>2</v>
      </c>
    </row>
    <row r="608" s="106" customFormat="true" ht="13.8" hidden="true" customHeight="false" outlineLevel="0" collapsed="false">
      <c r="A608" s="106" t="n">
        <v>1000</v>
      </c>
      <c r="B608" s="106" t="s">
        <v>1962</v>
      </c>
      <c r="C608" s="106" t="n">
        <v>101651</v>
      </c>
      <c r="D608" s="106" t="s">
        <v>1361</v>
      </c>
      <c r="E608" s="106" t="s">
        <v>1970</v>
      </c>
      <c r="F608" s="106" t="n">
        <v>1101</v>
      </c>
      <c r="G608" s="106" t="n">
        <v>2019</v>
      </c>
      <c r="H608" s="106" t="n">
        <v>2</v>
      </c>
      <c r="I608" s="129" t="n">
        <v>43600</v>
      </c>
      <c r="J608" s="129" t="n">
        <v>43600</v>
      </c>
      <c r="K608" s="107" t="n">
        <v>979078.39</v>
      </c>
      <c r="L608" s="130" t="n">
        <f aca="false">K608-Q608+T608</f>
        <v>829727.45</v>
      </c>
      <c r="M608" s="106" t="s">
        <v>149</v>
      </c>
      <c r="N608" s="106" t="n">
        <v>979078.39</v>
      </c>
      <c r="O608" s="106" t="s">
        <v>149</v>
      </c>
      <c r="P608" s="106" t="n">
        <v>0</v>
      </c>
      <c r="Q608" s="107" t="n">
        <v>149350.94</v>
      </c>
      <c r="R608" s="106" t="n">
        <v>829727.45</v>
      </c>
      <c r="S608" s="106" t="n">
        <v>0</v>
      </c>
      <c r="T608" s="106" t="n">
        <v>0</v>
      </c>
      <c r="U608" s="106" t="n">
        <v>318999</v>
      </c>
      <c r="V608" s="106" t="s">
        <v>143</v>
      </c>
      <c r="Z608" s="106" t="n">
        <v>101651</v>
      </c>
      <c r="AD608" s="106" t="n">
        <v>110000</v>
      </c>
      <c r="AE608" s="106" t="s">
        <v>1966</v>
      </c>
      <c r="AF608" s="106" t="n">
        <v>501040</v>
      </c>
      <c r="AG608" s="106" t="s">
        <v>2036</v>
      </c>
      <c r="AI608" s="106" t="n">
        <v>501040</v>
      </c>
      <c r="AJ608" s="106" t="s">
        <v>2036</v>
      </c>
      <c r="AK608" s="106" t="n">
        <v>0</v>
      </c>
      <c r="AL608" s="106" t="n">
        <v>1</v>
      </c>
      <c r="AM608" s="106" t="s">
        <v>161</v>
      </c>
      <c r="AP608" s="106" t="n">
        <v>100022980</v>
      </c>
      <c r="AQ608" s="129" t="n">
        <v>43616</v>
      </c>
      <c r="AR608" s="129" t="n">
        <v>43600</v>
      </c>
      <c r="AS608" s="106" t="n">
        <v>0.654155092592593</v>
      </c>
      <c r="AT608" s="106" t="n">
        <v>0</v>
      </c>
      <c r="AU608" s="106" t="n">
        <v>0</v>
      </c>
      <c r="AX608" s="106" t="n">
        <v>1</v>
      </c>
      <c r="ALU608" s="0"/>
      <c r="ALV608" s="0"/>
      <c r="ALW608" s="0"/>
      <c r="ALX608" s="0"/>
      <c r="ALY608" s="0"/>
      <c r="ALZ608" s="0"/>
      <c r="AMA608" s="0"/>
      <c r="AMB608" s="0"/>
      <c r="AMC608" s="0"/>
      <c r="AMD608" s="0"/>
      <c r="AME608" s="0"/>
      <c r="AMF608" s="0"/>
      <c r="AMG608" s="0"/>
      <c r="AMH608" s="0"/>
      <c r="AMI608" s="0"/>
      <c r="AMJ608" s="0"/>
    </row>
    <row r="609" customFormat="false" ht="13.8" hidden="true" customHeight="false" outlineLevel="0" collapsed="false">
      <c r="A609" s="117" t="n">
        <v>1000</v>
      </c>
      <c r="B609" s="117" t="s">
        <v>1962</v>
      </c>
      <c r="C609" s="117" t="n">
        <v>100022980</v>
      </c>
      <c r="E609" s="117" t="s">
        <v>1921</v>
      </c>
      <c r="F609" s="117" t="n">
        <v>1101</v>
      </c>
      <c r="G609" s="117" t="n">
        <v>2019</v>
      </c>
      <c r="H609" s="117" t="n">
        <v>2</v>
      </c>
      <c r="I609" s="118" t="n">
        <v>43616</v>
      </c>
      <c r="J609" s="118" t="n">
        <v>43616</v>
      </c>
      <c r="K609" s="119" t="n">
        <v>2666289.17</v>
      </c>
      <c r="L609" s="128" t="n">
        <f aca="false">K609-Q609+T609</f>
        <v>2666289.17</v>
      </c>
      <c r="M609" s="117" t="s">
        <v>149</v>
      </c>
      <c r="N609" s="117" t="n">
        <v>2666289.17</v>
      </c>
      <c r="O609" s="117" t="s">
        <v>149</v>
      </c>
      <c r="P609" s="117" t="n">
        <v>0</v>
      </c>
      <c r="Q609" s="117" t="n">
        <v>0</v>
      </c>
      <c r="R609" s="117" t="n">
        <v>2666289.17</v>
      </c>
      <c r="S609" s="117" t="n">
        <v>0</v>
      </c>
      <c r="T609" s="117" t="n">
        <v>0</v>
      </c>
      <c r="U609" s="117" t="n">
        <v>318999</v>
      </c>
      <c r="V609" s="117" t="s">
        <v>143</v>
      </c>
      <c r="X609" s="117" t="s">
        <v>1225</v>
      </c>
      <c r="Z609" s="117" t="n">
        <v>100022980</v>
      </c>
      <c r="AD609" s="117" t="n">
        <v>110000</v>
      </c>
      <c r="AE609" s="117" t="s">
        <v>1966</v>
      </c>
      <c r="AF609" s="117" t="n">
        <v>110000</v>
      </c>
      <c r="AG609" s="117" t="s">
        <v>1966</v>
      </c>
      <c r="AI609" s="117" t="n">
        <v>110000</v>
      </c>
      <c r="AJ609" s="117" t="s">
        <v>1966</v>
      </c>
      <c r="AK609" s="117" t="n">
        <v>0</v>
      </c>
      <c r="AL609" s="117" t="n">
        <v>4</v>
      </c>
      <c r="AM609" s="117" t="s">
        <v>161</v>
      </c>
      <c r="AP609" s="117" t="n">
        <v>100039982</v>
      </c>
      <c r="AQ609" s="118" t="n">
        <v>43645</v>
      </c>
      <c r="AR609" s="118" t="n">
        <v>43618</v>
      </c>
      <c r="AS609" s="117" t="n">
        <v>0.614305555555556</v>
      </c>
      <c r="AT609" s="117" t="n">
        <v>0</v>
      </c>
      <c r="AU609" s="117" t="n">
        <v>0</v>
      </c>
      <c r="AX609" s="117" t="n">
        <v>10</v>
      </c>
    </row>
    <row r="610" customFormat="false" ht="13.8" hidden="true" customHeight="false" outlineLevel="0" collapsed="false">
      <c r="A610" s="117" t="n">
        <v>1000</v>
      </c>
      <c r="B610" s="117" t="s">
        <v>1962</v>
      </c>
      <c r="C610" s="117" t="n">
        <v>1600000014</v>
      </c>
      <c r="D610" s="117" t="s">
        <v>2205</v>
      </c>
      <c r="E610" s="117" t="s">
        <v>1987</v>
      </c>
      <c r="F610" s="117" t="n">
        <v>1106</v>
      </c>
      <c r="G610" s="117" t="n">
        <v>2019</v>
      </c>
      <c r="H610" s="117" t="n">
        <v>1</v>
      </c>
      <c r="I610" s="118" t="n">
        <v>43578</v>
      </c>
      <c r="J610" s="118" t="n">
        <v>43578</v>
      </c>
      <c r="K610" s="119" t="n">
        <v>-974532</v>
      </c>
      <c r="L610" s="128" t="n">
        <f aca="false">K610-Q610+T610</f>
        <v>-974532</v>
      </c>
      <c r="M610" s="117" t="s">
        <v>149</v>
      </c>
      <c r="N610" s="117" t="n">
        <v>-974532</v>
      </c>
      <c r="O610" s="117" t="s">
        <v>149</v>
      </c>
      <c r="P610" s="117" t="n">
        <v>-974532</v>
      </c>
      <c r="Q610" s="117" t="n">
        <v>0</v>
      </c>
      <c r="R610" s="117" t="n">
        <v>-974532</v>
      </c>
      <c r="S610" s="117" t="n">
        <v>0</v>
      </c>
      <c r="T610" s="117" t="n">
        <v>0</v>
      </c>
      <c r="U610" s="117" t="n">
        <v>318072</v>
      </c>
      <c r="V610" s="117" t="s">
        <v>2290</v>
      </c>
      <c r="X610" s="117" t="s">
        <v>2207</v>
      </c>
      <c r="Y610" s="117" t="s">
        <v>2208</v>
      </c>
      <c r="Z610" s="117" t="n">
        <v>1600000014</v>
      </c>
      <c r="AD610" s="117" t="n">
        <v>310300</v>
      </c>
      <c r="AE610" s="117" t="s">
        <v>1969</v>
      </c>
      <c r="AF610" s="117" t="n">
        <v>101105</v>
      </c>
      <c r="AG610" s="117" t="s">
        <v>1977</v>
      </c>
      <c r="AI610" s="117" t="n">
        <v>101105</v>
      </c>
      <c r="AJ610" s="117" t="s">
        <v>1977</v>
      </c>
      <c r="AK610" s="117" t="n">
        <v>0</v>
      </c>
      <c r="AL610" s="117" t="n">
        <v>19</v>
      </c>
      <c r="AM610" s="117" t="s">
        <v>225</v>
      </c>
      <c r="AN610" s="117" t="s">
        <v>1978</v>
      </c>
      <c r="AP610" s="117" t="n">
        <v>100004389</v>
      </c>
      <c r="AQ610" s="118" t="n">
        <v>43583</v>
      </c>
      <c r="AR610" s="118" t="n">
        <v>43581</v>
      </c>
      <c r="AS610" s="117" t="n">
        <v>0.464884259259259</v>
      </c>
      <c r="AT610" s="117" t="n">
        <v>0</v>
      </c>
      <c r="AU610" s="117" t="n">
        <v>0</v>
      </c>
      <c r="AX610" s="117" t="n">
        <v>2</v>
      </c>
    </row>
    <row r="611" customFormat="false" ht="13.8" hidden="true" customHeight="false" outlineLevel="0" collapsed="false">
      <c r="A611" s="117" t="n">
        <v>1000</v>
      </c>
      <c r="B611" s="117" t="s">
        <v>1962</v>
      </c>
      <c r="C611" s="117" t="n">
        <v>100004389</v>
      </c>
      <c r="E611" s="117" t="s">
        <v>1921</v>
      </c>
      <c r="F611" s="117" t="n">
        <v>1108</v>
      </c>
      <c r="G611" s="117" t="n">
        <v>2019</v>
      </c>
      <c r="H611" s="117" t="n">
        <v>1</v>
      </c>
      <c r="I611" s="118" t="n">
        <v>43583</v>
      </c>
      <c r="J611" s="118" t="n">
        <v>43583</v>
      </c>
      <c r="K611" s="119" t="n">
        <v>-974532.5</v>
      </c>
      <c r="L611" s="128" t="n">
        <f aca="false">K611-Q611+T611</f>
        <v>-974532.5</v>
      </c>
      <c r="M611" s="117" t="s">
        <v>149</v>
      </c>
      <c r="N611" s="117" t="n">
        <v>-974532.5</v>
      </c>
      <c r="O611" s="117" t="s">
        <v>149</v>
      </c>
      <c r="P611" s="117" t="n">
        <v>0</v>
      </c>
      <c r="Q611" s="117" t="n">
        <v>0</v>
      </c>
      <c r="R611" s="117" t="n">
        <v>-974532.5</v>
      </c>
      <c r="S611" s="117" t="n">
        <v>0</v>
      </c>
      <c r="T611" s="117" t="n">
        <v>0</v>
      </c>
      <c r="U611" s="117" t="n">
        <v>318072</v>
      </c>
      <c r="V611" s="117" t="s">
        <v>2290</v>
      </c>
      <c r="Z611" s="117" t="n">
        <v>100004389</v>
      </c>
      <c r="AD611" s="117" t="n">
        <v>110000</v>
      </c>
      <c r="AE611" s="117" t="s">
        <v>1966</v>
      </c>
      <c r="AF611" s="117" t="n">
        <v>110000</v>
      </c>
      <c r="AG611" s="117" t="s">
        <v>1966</v>
      </c>
      <c r="AI611" s="117" t="n">
        <v>110000</v>
      </c>
      <c r="AJ611" s="117" t="s">
        <v>1966</v>
      </c>
      <c r="AK611" s="117" t="n">
        <v>0</v>
      </c>
      <c r="AL611" s="117" t="n">
        <v>17</v>
      </c>
      <c r="AM611" s="117" t="s">
        <v>225</v>
      </c>
      <c r="AP611" s="117" t="n">
        <v>100004389</v>
      </c>
      <c r="AQ611" s="118" t="n">
        <v>43583</v>
      </c>
      <c r="AR611" s="118" t="n">
        <v>43583</v>
      </c>
      <c r="AS611" s="117" t="n">
        <v>0.613969907407407</v>
      </c>
      <c r="AT611" s="117" t="n">
        <v>0</v>
      </c>
      <c r="AU611" s="117" t="n">
        <v>0</v>
      </c>
      <c r="AX611" s="117" t="n">
        <v>2</v>
      </c>
    </row>
    <row r="612" customFormat="false" ht="13.8" hidden="true" customHeight="false" outlineLevel="0" collapsed="false">
      <c r="A612" s="117" t="n">
        <v>1000</v>
      </c>
      <c r="B612" s="117" t="s">
        <v>1962</v>
      </c>
      <c r="C612" s="117" t="n">
        <v>100004316</v>
      </c>
      <c r="E612" s="117" t="s">
        <v>1921</v>
      </c>
      <c r="F612" s="117" t="n">
        <v>1109</v>
      </c>
      <c r="G612" s="117" t="n">
        <v>2019</v>
      </c>
      <c r="H612" s="117" t="n">
        <v>1</v>
      </c>
      <c r="I612" s="118" t="n">
        <v>43583</v>
      </c>
      <c r="J612" s="118" t="n">
        <v>43583</v>
      </c>
      <c r="K612" s="119" t="n">
        <v>-241003.2</v>
      </c>
      <c r="L612" s="128" t="n">
        <f aca="false">K612-Q612+T612</f>
        <v>-241003.2</v>
      </c>
      <c r="M612" s="117" t="s">
        <v>149</v>
      </c>
      <c r="N612" s="117" t="n">
        <v>-241003.2</v>
      </c>
      <c r="O612" s="117" t="s">
        <v>149</v>
      </c>
      <c r="P612" s="117" t="n">
        <v>0</v>
      </c>
      <c r="Q612" s="117" t="n">
        <v>0</v>
      </c>
      <c r="R612" s="117" t="n">
        <v>-241003.2</v>
      </c>
      <c r="S612" s="117" t="n">
        <v>0</v>
      </c>
      <c r="T612" s="117" t="n">
        <v>0</v>
      </c>
      <c r="U612" s="117" t="n">
        <v>304431</v>
      </c>
      <c r="V612" s="117" t="s">
        <v>2016</v>
      </c>
      <c r="Z612" s="117" t="n">
        <v>100004316</v>
      </c>
      <c r="AD612" s="117" t="n">
        <v>110000</v>
      </c>
      <c r="AE612" s="117" t="s">
        <v>1966</v>
      </c>
      <c r="AF612" s="117" t="n">
        <v>110000</v>
      </c>
      <c r="AG612" s="117" t="s">
        <v>1966</v>
      </c>
      <c r="AI612" s="117" t="n">
        <v>110000</v>
      </c>
      <c r="AJ612" s="117" t="s">
        <v>1966</v>
      </c>
      <c r="AK612" s="117" t="n">
        <v>0</v>
      </c>
      <c r="AL612" s="117" t="n">
        <v>17</v>
      </c>
      <c r="AM612" s="117" t="s">
        <v>225</v>
      </c>
      <c r="AP612" s="117" t="n">
        <v>100004316</v>
      </c>
      <c r="AQ612" s="118" t="n">
        <v>43583</v>
      </c>
      <c r="AR612" s="118" t="n">
        <v>43583</v>
      </c>
      <c r="AS612" s="117" t="n">
        <v>0.488043981481482</v>
      </c>
      <c r="AT612" s="117" t="n">
        <v>0</v>
      </c>
      <c r="AU612" s="117" t="n">
        <v>0</v>
      </c>
      <c r="AX612" s="117" t="n">
        <v>2</v>
      </c>
    </row>
    <row r="613" customFormat="false" ht="13.8" hidden="true" customHeight="false" outlineLevel="0" collapsed="false">
      <c r="A613" s="117" t="n">
        <v>1000</v>
      </c>
      <c r="B613" s="117" t="s">
        <v>1962</v>
      </c>
      <c r="C613" s="117" t="n">
        <v>100005116</v>
      </c>
      <c r="E613" s="117" t="s">
        <v>1921</v>
      </c>
      <c r="F613" s="117" t="n">
        <v>1108</v>
      </c>
      <c r="G613" s="117" t="n">
        <v>2019</v>
      </c>
      <c r="H613" s="117" t="n">
        <v>1</v>
      </c>
      <c r="I613" s="118" t="n">
        <v>43585</v>
      </c>
      <c r="J613" s="118" t="n">
        <v>43585</v>
      </c>
      <c r="K613" s="119" t="n">
        <v>3696.66</v>
      </c>
      <c r="L613" s="128" t="n">
        <f aca="false">K613-Q613+T613</f>
        <v>3696.66</v>
      </c>
      <c r="M613" s="117" t="s">
        <v>149</v>
      </c>
      <c r="N613" s="117" t="n">
        <v>3696.66</v>
      </c>
      <c r="O613" s="117" t="s">
        <v>149</v>
      </c>
      <c r="P613" s="117" t="n">
        <v>0</v>
      </c>
      <c r="Q613" s="117" t="n">
        <v>0</v>
      </c>
      <c r="R613" s="117" t="n">
        <v>3696.66</v>
      </c>
      <c r="S613" s="117" t="n">
        <v>0</v>
      </c>
      <c r="T613" s="117" t="n">
        <v>0</v>
      </c>
      <c r="U613" s="117" t="n">
        <v>314258</v>
      </c>
      <c r="V613" s="117" t="s">
        <v>143</v>
      </c>
      <c r="X613" s="117" t="s">
        <v>2322</v>
      </c>
      <c r="Z613" s="117" t="n">
        <v>2249</v>
      </c>
      <c r="AB613" s="117" t="s">
        <v>2234</v>
      </c>
      <c r="AD613" s="117" t="n">
        <v>110000</v>
      </c>
      <c r="AE613" s="117" t="s">
        <v>1966</v>
      </c>
      <c r="AF613" s="117" t="n">
        <v>110000</v>
      </c>
      <c r="AG613" s="117" t="s">
        <v>1966</v>
      </c>
      <c r="AI613" s="117" t="n">
        <v>110000</v>
      </c>
      <c r="AJ613" s="117" t="s">
        <v>1966</v>
      </c>
      <c r="AK613" s="117" t="n">
        <v>0</v>
      </c>
      <c r="AL613" s="117" t="n">
        <v>4</v>
      </c>
      <c r="AM613" s="117" t="s">
        <v>161</v>
      </c>
      <c r="AR613" s="118" t="n">
        <v>43586</v>
      </c>
      <c r="AS613" s="117" t="n">
        <v>0.498969907407407</v>
      </c>
      <c r="AT613" s="117" t="n">
        <v>0</v>
      </c>
      <c r="AU613" s="117" t="n">
        <v>0</v>
      </c>
      <c r="AX613" s="117" t="n">
        <v>1</v>
      </c>
    </row>
    <row r="614" customFormat="false" ht="13.8" hidden="true" customHeight="false" outlineLevel="0" collapsed="false">
      <c r="A614" s="117" t="n">
        <v>1000</v>
      </c>
      <c r="B614" s="117" t="s">
        <v>1962</v>
      </c>
      <c r="C614" s="117" t="n">
        <v>1600000029</v>
      </c>
      <c r="D614" s="117" t="s">
        <v>2323</v>
      </c>
      <c r="E614" s="117" t="s">
        <v>1987</v>
      </c>
      <c r="F614" s="117" t="n">
        <v>1106</v>
      </c>
      <c r="G614" s="117" t="n">
        <v>2019</v>
      </c>
      <c r="H614" s="117" t="n">
        <v>1</v>
      </c>
      <c r="I614" s="118" t="n">
        <v>43585</v>
      </c>
      <c r="J614" s="118" t="n">
        <v>43585</v>
      </c>
      <c r="K614" s="119" t="n">
        <v>-258.94</v>
      </c>
      <c r="L614" s="128" t="n">
        <f aca="false">K614-Q614+T614</f>
        <v>-258.94</v>
      </c>
      <c r="M614" s="117" t="s">
        <v>149</v>
      </c>
      <c r="N614" s="117" t="n">
        <v>-258.94</v>
      </c>
      <c r="O614" s="117" t="s">
        <v>149</v>
      </c>
      <c r="P614" s="117" t="n">
        <v>-258.94</v>
      </c>
      <c r="Q614" s="117" t="n">
        <v>0</v>
      </c>
      <c r="R614" s="117" t="n">
        <v>-258.94</v>
      </c>
      <c r="S614" s="117" t="n">
        <v>0</v>
      </c>
      <c r="T614" s="117" t="n">
        <v>0</v>
      </c>
      <c r="U614" s="117" t="n">
        <v>306546</v>
      </c>
      <c r="V614" s="117" t="s">
        <v>2177</v>
      </c>
      <c r="X614" s="117" t="s">
        <v>2324</v>
      </c>
      <c r="Y614" s="117" t="s">
        <v>2325</v>
      </c>
      <c r="Z614" s="117" t="n">
        <v>1600000029</v>
      </c>
      <c r="AD614" s="117" t="n">
        <v>110000</v>
      </c>
      <c r="AE614" s="117" t="s">
        <v>1966</v>
      </c>
      <c r="AF614" s="117" t="n">
        <v>891305</v>
      </c>
      <c r="AG614" s="117" t="s">
        <v>2009</v>
      </c>
      <c r="AI614" s="117" t="n">
        <v>891305</v>
      </c>
      <c r="AJ614" s="117" t="s">
        <v>2009</v>
      </c>
      <c r="AK614" s="117" t="n">
        <v>0</v>
      </c>
      <c r="AL614" s="117" t="n">
        <v>14</v>
      </c>
      <c r="AM614" s="117" t="s">
        <v>225</v>
      </c>
      <c r="AP614" s="117" t="n">
        <v>100015899</v>
      </c>
      <c r="AQ614" s="118" t="n">
        <v>43585</v>
      </c>
      <c r="AR614" s="118" t="n">
        <v>43587</v>
      </c>
      <c r="AS614" s="117" t="n">
        <v>0.763668981481482</v>
      </c>
      <c r="AT614" s="117" t="n">
        <v>0</v>
      </c>
      <c r="AU614" s="117" t="n">
        <v>0</v>
      </c>
      <c r="AX614" s="117" t="n">
        <v>2</v>
      </c>
    </row>
    <row r="615" customFormat="false" ht="13.8" hidden="true" customHeight="false" outlineLevel="0" collapsed="false">
      <c r="A615" s="117" t="n">
        <v>1000</v>
      </c>
      <c r="B615" s="117" t="s">
        <v>1962</v>
      </c>
      <c r="C615" s="117" t="n">
        <v>100005246</v>
      </c>
      <c r="E615" s="117" t="s">
        <v>1921</v>
      </c>
      <c r="F615" s="117" t="n">
        <v>1101</v>
      </c>
      <c r="G615" s="117" t="n">
        <v>2019</v>
      </c>
      <c r="H615" s="117" t="n">
        <v>1</v>
      </c>
      <c r="I615" s="118" t="n">
        <v>43585</v>
      </c>
      <c r="J615" s="118" t="n">
        <v>43585</v>
      </c>
      <c r="K615" s="119" t="n">
        <v>536187.32</v>
      </c>
      <c r="L615" s="128" t="n">
        <f aca="false">K615-Q615+T615</f>
        <v>536187.32</v>
      </c>
      <c r="M615" s="117" t="s">
        <v>149</v>
      </c>
      <c r="N615" s="117" t="n">
        <v>536187.32</v>
      </c>
      <c r="O615" s="117" t="s">
        <v>149</v>
      </c>
      <c r="P615" s="117" t="n">
        <v>0</v>
      </c>
      <c r="Q615" s="117" t="n">
        <v>0</v>
      </c>
      <c r="R615" s="117" t="n">
        <v>536187.32</v>
      </c>
      <c r="S615" s="117" t="n">
        <v>0</v>
      </c>
      <c r="T615" s="117" t="n">
        <v>0</v>
      </c>
      <c r="U615" s="117" t="n">
        <v>318999</v>
      </c>
      <c r="V615" s="117" t="s">
        <v>143</v>
      </c>
      <c r="X615" s="117" t="s">
        <v>1457</v>
      </c>
      <c r="Z615" s="117" t="n">
        <v>100005246</v>
      </c>
      <c r="AD615" s="117" t="n">
        <v>110000</v>
      </c>
      <c r="AE615" s="117" t="s">
        <v>1966</v>
      </c>
      <c r="AF615" s="117" t="n">
        <v>110000</v>
      </c>
      <c r="AG615" s="117" t="s">
        <v>1966</v>
      </c>
      <c r="AI615" s="117" t="n">
        <v>110000</v>
      </c>
      <c r="AJ615" s="117" t="s">
        <v>1966</v>
      </c>
      <c r="AK615" s="117" t="n">
        <v>0</v>
      </c>
      <c r="AL615" s="117" t="n">
        <v>4</v>
      </c>
      <c r="AM615" s="117" t="s">
        <v>161</v>
      </c>
      <c r="AP615" s="117" t="n">
        <v>100022980</v>
      </c>
      <c r="AQ615" s="118" t="n">
        <v>43616</v>
      </c>
      <c r="AR615" s="118" t="n">
        <v>43586</v>
      </c>
      <c r="AS615" s="117" t="n">
        <v>0.596921296296296</v>
      </c>
      <c r="AT615" s="117" t="n">
        <v>0</v>
      </c>
      <c r="AU615" s="117" t="n">
        <v>0</v>
      </c>
      <c r="AX615" s="117" t="n">
        <v>1</v>
      </c>
    </row>
    <row r="616" customFormat="false" ht="13.8" hidden="true" customHeight="false" outlineLevel="0" collapsed="false">
      <c r="A616" s="117" t="n">
        <v>1000</v>
      </c>
      <c r="B616" s="117" t="s">
        <v>1962</v>
      </c>
      <c r="C616" s="117" t="n">
        <v>100048476</v>
      </c>
      <c r="E616" s="117" t="s">
        <v>1921</v>
      </c>
      <c r="F616" s="117" t="n">
        <v>1101</v>
      </c>
      <c r="G616" s="117" t="n">
        <v>2019</v>
      </c>
      <c r="H616" s="117" t="n">
        <v>3</v>
      </c>
      <c r="I616" s="118" t="n">
        <v>43646</v>
      </c>
      <c r="J616" s="118" t="n">
        <v>43646</v>
      </c>
      <c r="K616" s="119" t="n">
        <v>47525</v>
      </c>
      <c r="L616" s="128" t="n">
        <f aca="false">K616-Q616+T616</f>
        <v>47525</v>
      </c>
      <c r="M616" s="117" t="s">
        <v>149</v>
      </c>
      <c r="N616" s="117" t="n">
        <v>47525</v>
      </c>
      <c r="O616" s="117" t="s">
        <v>149</v>
      </c>
      <c r="P616" s="117" t="n">
        <v>0</v>
      </c>
      <c r="Q616" s="117" t="n">
        <v>0</v>
      </c>
      <c r="R616" s="117" t="n">
        <v>47525</v>
      </c>
      <c r="S616" s="117" t="n">
        <v>0</v>
      </c>
      <c r="T616" s="117" t="n">
        <v>0</v>
      </c>
      <c r="U616" s="117" t="n">
        <v>304431</v>
      </c>
      <c r="V616" s="117" t="s">
        <v>2016</v>
      </c>
      <c r="Z616" s="117" t="n">
        <v>100048476</v>
      </c>
      <c r="AD616" s="117" t="n">
        <v>110000</v>
      </c>
      <c r="AE616" s="117" t="s">
        <v>1966</v>
      </c>
      <c r="AF616" s="117" t="n">
        <v>310300</v>
      </c>
      <c r="AG616" s="117" t="s">
        <v>1969</v>
      </c>
      <c r="AI616" s="117" t="n">
        <v>310300</v>
      </c>
      <c r="AJ616" s="117" t="s">
        <v>1969</v>
      </c>
      <c r="AK616" s="117" t="n">
        <v>0</v>
      </c>
      <c r="AL616" s="117" t="n">
        <v>7</v>
      </c>
      <c r="AM616" s="117" t="s">
        <v>161</v>
      </c>
      <c r="AP616" s="117" t="n">
        <v>100048476</v>
      </c>
      <c r="AQ616" s="118" t="n">
        <v>43646</v>
      </c>
      <c r="AR616" s="118" t="n">
        <v>43647</v>
      </c>
      <c r="AS616" s="117" t="n">
        <v>0.165833333333333</v>
      </c>
      <c r="AT616" s="117" t="n">
        <v>0</v>
      </c>
      <c r="AU616" s="117" t="n">
        <v>0</v>
      </c>
      <c r="AX616" s="117" t="n">
        <v>2</v>
      </c>
    </row>
    <row r="617" customFormat="false" ht="13.8" hidden="true" customHeight="false" outlineLevel="0" collapsed="false">
      <c r="A617" s="117" t="n">
        <v>1000</v>
      </c>
      <c r="B617" s="117" t="s">
        <v>1962</v>
      </c>
      <c r="C617" s="117" t="n">
        <v>100031512</v>
      </c>
      <c r="E617" s="117" t="s">
        <v>1921</v>
      </c>
      <c r="F617" s="117" t="n">
        <v>1106</v>
      </c>
      <c r="G617" s="117" t="n">
        <v>2019</v>
      </c>
      <c r="H617" s="117" t="n">
        <v>2</v>
      </c>
      <c r="I617" s="118" t="n">
        <v>43616</v>
      </c>
      <c r="J617" s="118" t="n">
        <v>43616</v>
      </c>
      <c r="K617" s="119" t="n">
        <v>-24225.04</v>
      </c>
      <c r="L617" s="128" t="n">
        <f aca="false">K617-Q617+T617</f>
        <v>-24225.04</v>
      </c>
      <c r="M617" s="117" t="s">
        <v>149</v>
      </c>
      <c r="N617" s="117" t="n">
        <v>-24225.04</v>
      </c>
      <c r="O617" s="117" t="s">
        <v>149</v>
      </c>
      <c r="P617" s="117" t="n">
        <v>0</v>
      </c>
      <c r="Q617" s="117" t="n">
        <v>0</v>
      </c>
      <c r="R617" s="117" t="n">
        <v>-24225.04</v>
      </c>
      <c r="S617" s="117" t="n">
        <v>0</v>
      </c>
      <c r="T617" s="117" t="n">
        <v>0</v>
      </c>
      <c r="U617" s="117" t="n">
        <v>314258</v>
      </c>
      <c r="V617" s="117" t="s">
        <v>143</v>
      </c>
      <c r="Z617" s="117" t="n">
        <v>100031512</v>
      </c>
      <c r="AD617" s="117" t="n">
        <v>111105</v>
      </c>
      <c r="AE617" s="117" t="s">
        <v>1994</v>
      </c>
      <c r="AF617" s="117" t="n">
        <v>110000</v>
      </c>
      <c r="AG617" s="117" t="s">
        <v>1966</v>
      </c>
      <c r="AI617" s="117" t="n">
        <v>110000</v>
      </c>
      <c r="AJ617" s="117" t="s">
        <v>1966</v>
      </c>
      <c r="AK617" s="117" t="n">
        <v>0</v>
      </c>
      <c r="AL617" s="117" t="n">
        <v>19</v>
      </c>
      <c r="AM617" s="117" t="s">
        <v>225</v>
      </c>
      <c r="AN617" s="117" t="s">
        <v>1995</v>
      </c>
      <c r="AP617" s="117" t="n">
        <v>100031512</v>
      </c>
      <c r="AQ617" s="118" t="n">
        <v>43616</v>
      </c>
      <c r="AR617" s="118" t="n">
        <v>43619</v>
      </c>
      <c r="AS617" s="117" t="n">
        <v>0.465694444444444</v>
      </c>
      <c r="AT617" s="117" t="n">
        <v>0</v>
      </c>
      <c r="AU617" s="117" t="n">
        <v>0</v>
      </c>
      <c r="AX617" s="117" t="n">
        <v>5</v>
      </c>
    </row>
    <row r="618" s="106" customFormat="true" ht="13.8" hidden="true" customHeight="false" outlineLevel="0" collapsed="false">
      <c r="A618" s="106" t="n">
        <v>1000</v>
      </c>
      <c r="B618" s="106" t="s">
        <v>1962</v>
      </c>
      <c r="C618" s="106" t="n">
        <v>101553</v>
      </c>
      <c r="D618" s="106" t="s">
        <v>2326</v>
      </c>
      <c r="E618" s="106" t="s">
        <v>1970</v>
      </c>
      <c r="F618" s="106" t="n">
        <v>1101</v>
      </c>
      <c r="G618" s="106" t="n">
        <v>2019</v>
      </c>
      <c r="H618" s="106" t="n">
        <v>2</v>
      </c>
      <c r="I618" s="129" t="n">
        <v>43598</v>
      </c>
      <c r="J618" s="129" t="n">
        <v>43598</v>
      </c>
      <c r="K618" s="107" t="n">
        <v>2558613.57</v>
      </c>
      <c r="L618" s="130" t="n">
        <f aca="false">K618-Q618+T618</f>
        <v>2168316.57</v>
      </c>
      <c r="M618" s="106" t="s">
        <v>149</v>
      </c>
      <c r="N618" s="107" t="n">
        <v>2558613.57</v>
      </c>
      <c r="O618" s="106" t="s">
        <v>149</v>
      </c>
      <c r="P618" s="106" t="n">
        <v>0</v>
      </c>
      <c r="Q618" s="107" t="n">
        <v>390297</v>
      </c>
      <c r="R618" s="107" t="n">
        <v>2168316.57</v>
      </c>
      <c r="S618" s="106" t="n">
        <v>0</v>
      </c>
      <c r="T618" s="106" t="n">
        <v>0</v>
      </c>
      <c r="U618" s="106" t="n">
        <v>318999</v>
      </c>
      <c r="V618" s="106" t="s">
        <v>143</v>
      </c>
      <c r="Z618" s="106" t="n">
        <v>101553</v>
      </c>
      <c r="AD618" s="106" t="n">
        <v>110000</v>
      </c>
      <c r="AE618" s="106" t="s">
        <v>1966</v>
      </c>
      <c r="AF618" s="106" t="n">
        <v>501040</v>
      </c>
      <c r="AG618" s="106" t="s">
        <v>2036</v>
      </c>
      <c r="AI618" s="106" t="n">
        <v>501040</v>
      </c>
      <c r="AJ618" s="106" t="s">
        <v>2036</v>
      </c>
      <c r="AK618" s="106" t="n">
        <v>0</v>
      </c>
      <c r="AL618" s="106" t="n">
        <v>1</v>
      </c>
      <c r="AM618" s="106" t="s">
        <v>161</v>
      </c>
      <c r="AP618" s="106" t="n">
        <v>100022980</v>
      </c>
      <c r="AQ618" s="129" t="n">
        <v>43616</v>
      </c>
      <c r="AR618" s="129" t="n">
        <v>43598</v>
      </c>
      <c r="AS618" s="106" t="n">
        <v>0.714467592592593</v>
      </c>
      <c r="AT618" s="106" t="n">
        <v>0</v>
      </c>
      <c r="AU618" s="106" t="n">
        <v>0</v>
      </c>
      <c r="AX618" s="106" t="n">
        <v>1</v>
      </c>
      <c r="ALU618" s="0"/>
      <c r="ALV618" s="0"/>
      <c r="ALW618" s="0"/>
      <c r="ALX618" s="0"/>
      <c r="ALY618" s="0"/>
      <c r="ALZ618" s="0"/>
      <c r="AMA618" s="0"/>
      <c r="AMB618" s="0"/>
      <c r="AMC618" s="0"/>
      <c r="AMD618" s="0"/>
      <c r="AME618" s="0"/>
      <c r="AMF618" s="0"/>
      <c r="AMG618" s="0"/>
      <c r="AMH618" s="0"/>
      <c r="AMI618" s="0"/>
      <c r="AMJ618" s="0"/>
    </row>
    <row r="619" customFormat="false" ht="13.8" hidden="true" customHeight="false" outlineLevel="0" collapsed="false">
      <c r="A619" s="117" t="n">
        <v>1000</v>
      </c>
      <c r="B619" s="117" t="s">
        <v>1962</v>
      </c>
      <c r="C619" s="117" t="n">
        <v>100020154</v>
      </c>
      <c r="E619" s="117" t="s">
        <v>1921</v>
      </c>
      <c r="F619" s="117" t="n">
        <v>1109</v>
      </c>
      <c r="G619" s="117" t="n">
        <v>2019</v>
      </c>
      <c r="H619" s="117" t="n">
        <v>2</v>
      </c>
      <c r="I619" s="118" t="n">
        <v>43611</v>
      </c>
      <c r="J619" s="118" t="n">
        <v>43611</v>
      </c>
      <c r="K619" s="119" t="n">
        <v>672600</v>
      </c>
      <c r="L619" s="128" t="n">
        <f aca="false">K619-Q619+T619</f>
        <v>672600</v>
      </c>
      <c r="M619" s="117" t="s">
        <v>149</v>
      </c>
      <c r="N619" s="117" t="n">
        <v>672600</v>
      </c>
      <c r="O619" s="117" t="s">
        <v>149</v>
      </c>
      <c r="P619" s="117" t="n">
        <v>0</v>
      </c>
      <c r="Q619" s="117" t="n">
        <v>0</v>
      </c>
      <c r="R619" s="117" t="n">
        <v>672600</v>
      </c>
      <c r="S619" s="117" t="n">
        <v>0</v>
      </c>
      <c r="T619" s="117" t="n">
        <v>0</v>
      </c>
      <c r="U619" s="117" t="n">
        <v>313029</v>
      </c>
      <c r="V619" s="117" t="s">
        <v>143</v>
      </c>
      <c r="X619" s="117" t="s">
        <v>2327</v>
      </c>
      <c r="Z619" s="117" t="n">
        <v>58229</v>
      </c>
      <c r="AB619" s="117" t="s">
        <v>2328</v>
      </c>
      <c r="AD619" s="117" t="n">
        <v>110000</v>
      </c>
      <c r="AE619" s="117" t="s">
        <v>1966</v>
      </c>
      <c r="AF619" s="117" t="n">
        <v>110000</v>
      </c>
      <c r="AG619" s="117" t="s">
        <v>1966</v>
      </c>
      <c r="AI619" s="117" t="n">
        <v>110000</v>
      </c>
      <c r="AJ619" s="117" t="s">
        <v>1966</v>
      </c>
      <c r="AK619" s="117" t="n">
        <v>0</v>
      </c>
      <c r="AL619" s="117" t="n">
        <v>4</v>
      </c>
      <c r="AM619" s="117" t="s">
        <v>161</v>
      </c>
      <c r="AP619" s="117" t="n">
        <v>100055956</v>
      </c>
      <c r="AQ619" s="118" t="n">
        <v>43671</v>
      </c>
      <c r="AR619" s="118" t="n">
        <v>43611</v>
      </c>
      <c r="AS619" s="117" t="n">
        <v>0.772175925925926</v>
      </c>
      <c r="AT619" s="117" t="n">
        <v>0</v>
      </c>
      <c r="AU619" s="117" t="n">
        <v>0</v>
      </c>
      <c r="AX619" s="117" t="n">
        <v>1</v>
      </c>
    </row>
    <row r="620" customFormat="false" ht="13.8" hidden="true" customHeight="false" outlineLevel="0" collapsed="false">
      <c r="A620" s="117" t="n">
        <v>1000</v>
      </c>
      <c r="B620" s="117" t="s">
        <v>1962</v>
      </c>
      <c r="C620" s="117" t="n">
        <v>100004347</v>
      </c>
      <c r="E620" s="117" t="s">
        <v>1921</v>
      </c>
      <c r="F620" s="117" t="n">
        <v>1106</v>
      </c>
      <c r="G620" s="117" t="n">
        <v>2019</v>
      </c>
      <c r="H620" s="117" t="n">
        <v>1</v>
      </c>
      <c r="I620" s="118" t="n">
        <v>43583</v>
      </c>
      <c r="J620" s="118" t="n">
        <v>43583</v>
      </c>
      <c r="K620" s="119" t="n">
        <v>5121003.34</v>
      </c>
      <c r="L620" s="128" t="n">
        <f aca="false">K620-Q620+T620</f>
        <v>5121003.34</v>
      </c>
      <c r="M620" s="117" t="s">
        <v>149</v>
      </c>
      <c r="N620" s="117" t="n">
        <v>5121003.34</v>
      </c>
      <c r="O620" s="117" t="s">
        <v>149</v>
      </c>
      <c r="P620" s="117" t="n">
        <v>0</v>
      </c>
      <c r="Q620" s="117" t="n">
        <v>0</v>
      </c>
      <c r="R620" s="117" t="n">
        <v>5121003.34</v>
      </c>
      <c r="S620" s="117" t="n">
        <v>0</v>
      </c>
      <c r="T620" s="117" t="n">
        <v>0</v>
      </c>
      <c r="U620" s="117" t="n">
        <v>313029</v>
      </c>
      <c r="V620" s="117" t="s">
        <v>143</v>
      </c>
      <c r="Z620" s="117" t="n">
        <v>100004347</v>
      </c>
      <c r="AD620" s="117" t="n">
        <v>310300</v>
      </c>
      <c r="AE620" s="117" t="s">
        <v>1969</v>
      </c>
      <c r="AF620" s="117" t="n">
        <v>110000</v>
      </c>
      <c r="AG620" s="117" t="s">
        <v>1966</v>
      </c>
      <c r="AI620" s="117" t="n">
        <v>110000</v>
      </c>
      <c r="AJ620" s="117" t="s">
        <v>1966</v>
      </c>
      <c r="AK620" s="117" t="n">
        <v>0</v>
      </c>
      <c r="AL620" s="117" t="n">
        <v>9</v>
      </c>
      <c r="AM620" s="117" t="s">
        <v>161</v>
      </c>
      <c r="AN620" s="117" t="s">
        <v>1978</v>
      </c>
      <c r="AP620" s="117" t="n">
        <v>100004347</v>
      </c>
      <c r="AQ620" s="118" t="n">
        <v>43583</v>
      </c>
      <c r="AR620" s="118" t="n">
        <v>43583</v>
      </c>
      <c r="AS620" s="117" t="n">
        <v>0.577916666666667</v>
      </c>
      <c r="AT620" s="117" t="n">
        <v>0</v>
      </c>
      <c r="AU620" s="117" t="n">
        <v>0</v>
      </c>
      <c r="AX620" s="117" t="n">
        <v>2</v>
      </c>
    </row>
    <row r="621" s="106" customFormat="true" ht="13.8" hidden="true" customHeight="false" outlineLevel="0" collapsed="false">
      <c r="A621" s="106" t="n">
        <v>1000</v>
      </c>
      <c r="B621" s="106" t="s">
        <v>1962</v>
      </c>
      <c r="C621" s="106" t="n">
        <v>104005</v>
      </c>
      <c r="D621" s="106" t="s">
        <v>2192</v>
      </c>
      <c r="E621" s="106" t="s">
        <v>1970</v>
      </c>
      <c r="F621" s="106" t="n">
        <v>1101</v>
      </c>
      <c r="G621" s="106" t="n">
        <v>2019</v>
      </c>
      <c r="H621" s="106" t="n">
        <v>3</v>
      </c>
      <c r="I621" s="129" t="n">
        <v>43645</v>
      </c>
      <c r="J621" s="129" t="n">
        <v>43645</v>
      </c>
      <c r="K621" s="107" t="n">
        <v>652491.73</v>
      </c>
      <c r="L621" s="130" t="n">
        <f aca="false">K621-Q621+T621</f>
        <v>552959.07</v>
      </c>
      <c r="M621" s="106" t="s">
        <v>149</v>
      </c>
      <c r="N621" s="106" t="n">
        <v>652491.73</v>
      </c>
      <c r="O621" s="106" t="s">
        <v>149</v>
      </c>
      <c r="P621" s="106" t="n">
        <v>0</v>
      </c>
      <c r="Q621" s="107" t="n">
        <v>99532.66</v>
      </c>
      <c r="R621" s="106" t="n">
        <v>552959.07</v>
      </c>
      <c r="S621" s="106" t="n">
        <v>0</v>
      </c>
      <c r="T621" s="106" t="n">
        <v>0</v>
      </c>
      <c r="U621" s="106" t="n">
        <v>318999</v>
      </c>
      <c r="V621" s="106" t="s">
        <v>143</v>
      </c>
      <c r="Z621" s="106" t="n">
        <v>104005</v>
      </c>
      <c r="AD621" s="106" t="n">
        <v>110000</v>
      </c>
      <c r="AE621" s="106" t="s">
        <v>1966</v>
      </c>
      <c r="AF621" s="106" t="n">
        <v>501040</v>
      </c>
      <c r="AG621" s="106" t="s">
        <v>2036</v>
      </c>
      <c r="AI621" s="106" t="n">
        <v>501040</v>
      </c>
      <c r="AJ621" s="106" t="s">
        <v>2036</v>
      </c>
      <c r="AK621" s="106" t="n">
        <v>0</v>
      </c>
      <c r="AL621" s="106" t="n">
        <v>1</v>
      </c>
      <c r="AM621" s="106" t="s">
        <v>161</v>
      </c>
      <c r="AP621" s="106" t="n">
        <v>100039983</v>
      </c>
      <c r="AQ621" s="129" t="n">
        <v>43645</v>
      </c>
      <c r="AR621" s="129" t="n">
        <v>43645</v>
      </c>
      <c r="AS621" s="106" t="n">
        <v>0.498842592592593</v>
      </c>
      <c r="AT621" s="106" t="n">
        <v>0</v>
      </c>
      <c r="AU621" s="106" t="n">
        <v>0</v>
      </c>
      <c r="AX621" s="106" t="n">
        <v>1</v>
      </c>
      <c r="ALU621" s="0"/>
      <c r="ALV621" s="0"/>
      <c r="ALW621" s="0"/>
      <c r="ALX621" s="0"/>
      <c r="ALY621" s="0"/>
      <c r="ALZ621" s="0"/>
      <c r="AMA621" s="0"/>
      <c r="AMB621" s="0"/>
      <c r="AMC621" s="0"/>
      <c r="AMD621" s="0"/>
      <c r="AME621" s="0"/>
      <c r="AMF621" s="0"/>
      <c r="AMG621" s="0"/>
      <c r="AMH621" s="0"/>
      <c r="AMI621" s="0"/>
      <c r="AMJ621" s="0"/>
    </row>
    <row r="622" s="106" customFormat="true" ht="13.8" hidden="true" customHeight="false" outlineLevel="0" collapsed="false">
      <c r="A622" s="106" t="n">
        <v>1000</v>
      </c>
      <c r="B622" s="106" t="s">
        <v>1962</v>
      </c>
      <c r="C622" s="106" t="n">
        <v>102990</v>
      </c>
      <c r="D622" s="106" t="s">
        <v>1465</v>
      </c>
      <c r="E622" s="106" t="s">
        <v>1970</v>
      </c>
      <c r="F622" s="106" t="n">
        <v>1101</v>
      </c>
      <c r="G622" s="106" t="n">
        <v>2019</v>
      </c>
      <c r="H622" s="106" t="n">
        <v>3</v>
      </c>
      <c r="I622" s="129" t="n">
        <v>43627</v>
      </c>
      <c r="J622" s="129" t="n">
        <v>43627</v>
      </c>
      <c r="K622" s="107" t="n">
        <v>63080.84</v>
      </c>
      <c r="L622" s="130" t="n">
        <f aca="false">K622-Q622+T622</f>
        <v>53458.32</v>
      </c>
      <c r="M622" s="106" t="s">
        <v>149</v>
      </c>
      <c r="N622" s="106" t="n">
        <v>63080.84</v>
      </c>
      <c r="O622" s="106" t="s">
        <v>149</v>
      </c>
      <c r="P622" s="106" t="n">
        <v>0</v>
      </c>
      <c r="Q622" s="107" t="n">
        <v>9622.52</v>
      </c>
      <c r="R622" s="106" t="n">
        <v>53458.32</v>
      </c>
      <c r="S622" s="106" t="n">
        <v>0</v>
      </c>
      <c r="T622" s="106" t="n">
        <v>0</v>
      </c>
      <c r="U622" s="106" t="n">
        <v>318999</v>
      </c>
      <c r="V622" s="106" t="s">
        <v>143</v>
      </c>
      <c r="Z622" s="106" t="n">
        <v>102990</v>
      </c>
      <c r="AD622" s="106" t="n">
        <v>110000</v>
      </c>
      <c r="AE622" s="106" t="s">
        <v>1966</v>
      </c>
      <c r="AF622" s="106" t="n">
        <v>501040</v>
      </c>
      <c r="AG622" s="106" t="s">
        <v>2036</v>
      </c>
      <c r="AI622" s="106" t="n">
        <v>501040</v>
      </c>
      <c r="AJ622" s="106" t="s">
        <v>2036</v>
      </c>
      <c r="AK622" s="106" t="n">
        <v>0</v>
      </c>
      <c r="AL622" s="106" t="n">
        <v>1</v>
      </c>
      <c r="AM622" s="106" t="s">
        <v>161</v>
      </c>
      <c r="AP622" s="106" t="n">
        <v>100039983</v>
      </c>
      <c r="AQ622" s="129" t="n">
        <v>43645</v>
      </c>
      <c r="AR622" s="129" t="n">
        <v>43627</v>
      </c>
      <c r="AS622" s="106" t="n">
        <v>0.694988425925926</v>
      </c>
      <c r="AT622" s="106" t="n">
        <v>0</v>
      </c>
      <c r="AU622" s="106" t="n">
        <v>0</v>
      </c>
      <c r="AX622" s="106" t="n">
        <v>1</v>
      </c>
      <c r="ALU622" s="0"/>
      <c r="ALV622" s="0"/>
      <c r="ALW622" s="0"/>
      <c r="ALX622" s="0"/>
      <c r="ALY622" s="0"/>
      <c r="ALZ622" s="0"/>
      <c r="AMA622" s="0"/>
      <c r="AMB622" s="0"/>
      <c r="AMC622" s="0"/>
      <c r="AMD622" s="0"/>
      <c r="AME622" s="0"/>
      <c r="AMF622" s="0"/>
      <c r="AMG622" s="0"/>
      <c r="AMH622" s="0"/>
      <c r="AMI622" s="0"/>
      <c r="AMJ622" s="0"/>
    </row>
    <row r="623" customFormat="false" ht="13.8" hidden="true" customHeight="false" outlineLevel="0" collapsed="false">
      <c r="A623" s="117" t="n">
        <v>1000</v>
      </c>
      <c r="B623" s="117" t="s">
        <v>1962</v>
      </c>
      <c r="C623" s="117" t="n">
        <v>100039983</v>
      </c>
      <c r="E623" s="117" t="s">
        <v>1921</v>
      </c>
      <c r="F623" s="117" t="n">
        <v>1101</v>
      </c>
      <c r="G623" s="117" t="n">
        <v>2019</v>
      </c>
      <c r="H623" s="117" t="n">
        <v>3</v>
      </c>
      <c r="I623" s="118" t="n">
        <v>43645</v>
      </c>
      <c r="J623" s="118" t="n">
        <v>43645</v>
      </c>
      <c r="K623" s="119" t="n">
        <v>958471.25</v>
      </c>
      <c r="L623" s="128" t="n">
        <f aca="false">K623-Q623+T623</f>
        <v>958471.25</v>
      </c>
      <c r="M623" s="117" t="s">
        <v>149</v>
      </c>
      <c r="N623" s="117" t="n">
        <v>958471.25</v>
      </c>
      <c r="O623" s="117" t="s">
        <v>149</v>
      </c>
      <c r="P623" s="117" t="n">
        <v>0</v>
      </c>
      <c r="Q623" s="117" t="n">
        <v>0</v>
      </c>
      <c r="R623" s="117" t="n">
        <v>958471.25</v>
      </c>
      <c r="S623" s="117" t="n">
        <v>0</v>
      </c>
      <c r="T623" s="117" t="n">
        <v>0</v>
      </c>
      <c r="U623" s="117" t="n">
        <v>318999</v>
      </c>
      <c r="V623" s="117" t="s">
        <v>143</v>
      </c>
      <c r="X623" s="117" t="s">
        <v>2187</v>
      </c>
      <c r="Z623" s="117" t="n">
        <v>100039983</v>
      </c>
      <c r="AD623" s="117" t="n">
        <v>110000</v>
      </c>
      <c r="AE623" s="117" t="s">
        <v>1966</v>
      </c>
      <c r="AF623" s="117" t="n">
        <v>110000</v>
      </c>
      <c r="AG623" s="117" t="s">
        <v>1966</v>
      </c>
      <c r="AI623" s="117" t="n">
        <v>110000</v>
      </c>
      <c r="AJ623" s="117" t="s">
        <v>1966</v>
      </c>
      <c r="AK623" s="117" t="n">
        <v>0</v>
      </c>
      <c r="AL623" s="117" t="n">
        <v>4</v>
      </c>
      <c r="AM623" s="117" t="s">
        <v>161</v>
      </c>
      <c r="AP623" s="117" t="n">
        <v>100082045</v>
      </c>
      <c r="AQ623" s="118" t="n">
        <v>43708</v>
      </c>
      <c r="AR623" s="118" t="n">
        <v>43646</v>
      </c>
      <c r="AS623" s="117" t="n">
        <v>0.430601851851852</v>
      </c>
      <c r="AT623" s="117" t="n">
        <v>0</v>
      </c>
      <c r="AU623" s="117" t="n">
        <v>0</v>
      </c>
      <c r="AX623" s="117" t="n">
        <v>5</v>
      </c>
    </row>
    <row r="624" s="106" customFormat="true" ht="13.8" hidden="true" customHeight="false" outlineLevel="0" collapsed="false">
      <c r="A624" s="106" t="n">
        <v>1000</v>
      </c>
      <c r="B624" s="106" t="s">
        <v>1962</v>
      </c>
      <c r="C624" s="106" t="n">
        <v>108492</v>
      </c>
      <c r="D624" s="106" t="s">
        <v>2329</v>
      </c>
      <c r="E624" s="106" t="s">
        <v>1970</v>
      </c>
      <c r="F624" s="106" t="n">
        <v>1109</v>
      </c>
      <c r="G624" s="106" t="n">
        <v>2019</v>
      </c>
      <c r="H624" s="106" t="n">
        <v>7</v>
      </c>
      <c r="I624" s="129" t="n">
        <v>43764</v>
      </c>
      <c r="J624" s="129" t="n">
        <v>43764</v>
      </c>
      <c r="K624" s="107" t="n">
        <v>1386400.99</v>
      </c>
      <c r="L624" s="130" t="n">
        <f aca="false">K624-Q624+T624</f>
        <v>1174916.09</v>
      </c>
      <c r="M624" s="106" t="s">
        <v>149</v>
      </c>
      <c r="N624" s="106" t="n">
        <v>1386400.99</v>
      </c>
      <c r="O624" s="106" t="s">
        <v>149</v>
      </c>
      <c r="P624" s="106" t="n">
        <v>0</v>
      </c>
      <c r="Q624" s="107" t="n">
        <v>211484.9</v>
      </c>
      <c r="R624" s="106" t="n">
        <v>1174916.09</v>
      </c>
      <c r="S624" s="106" t="n">
        <v>0</v>
      </c>
      <c r="T624" s="106" t="n">
        <v>0</v>
      </c>
      <c r="U624" s="106" t="n">
        <v>312193</v>
      </c>
      <c r="V624" s="106" t="s">
        <v>1963</v>
      </c>
      <c r="Z624" s="106" t="n">
        <v>60963</v>
      </c>
      <c r="AB624" s="106" t="s">
        <v>2124</v>
      </c>
      <c r="AD624" s="106" t="n">
        <v>110000</v>
      </c>
      <c r="AE624" s="106" t="s">
        <v>1966</v>
      </c>
      <c r="AF624" s="106" t="n">
        <v>501005</v>
      </c>
      <c r="AG624" s="106" t="s">
        <v>2033</v>
      </c>
      <c r="AI624" s="106" t="n">
        <v>501005</v>
      </c>
      <c r="AJ624" s="106" t="s">
        <v>2033</v>
      </c>
      <c r="AK624" s="106" t="n">
        <v>0</v>
      </c>
      <c r="AL624" s="106" t="n">
        <v>1</v>
      </c>
      <c r="AM624" s="106" t="s">
        <v>161</v>
      </c>
      <c r="AP624" s="106" t="n">
        <v>100141449</v>
      </c>
      <c r="AQ624" s="129" t="n">
        <v>43766</v>
      </c>
      <c r="AR624" s="129" t="n">
        <v>43764</v>
      </c>
      <c r="AS624" s="106" t="n">
        <v>0.734814814814815</v>
      </c>
      <c r="AT624" s="106" t="n">
        <v>0</v>
      </c>
      <c r="AU624" s="106" t="n">
        <v>0</v>
      </c>
      <c r="AX624" s="106" t="n">
        <v>1</v>
      </c>
      <c r="ALU624" s="0"/>
      <c r="ALV624" s="0"/>
      <c r="ALW624" s="0"/>
      <c r="ALX624" s="0"/>
      <c r="ALY624" s="0"/>
      <c r="ALZ624" s="0"/>
      <c r="AMA624" s="0"/>
      <c r="AMB624" s="0"/>
      <c r="AMC624" s="0"/>
      <c r="AMD624" s="0"/>
      <c r="AME624" s="0"/>
      <c r="AMF624" s="0"/>
      <c r="AMG624" s="0"/>
      <c r="AMH624" s="0"/>
      <c r="AMI624" s="0"/>
      <c r="AMJ624" s="0"/>
    </row>
    <row r="625" s="106" customFormat="true" ht="13.8" hidden="true" customHeight="false" outlineLevel="0" collapsed="false">
      <c r="A625" s="106" t="n">
        <v>1000</v>
      </c>
      <c r="B625" s="106" t="s">
        <v>1962</v>
      </c>
      <c r="C625" s="106" t="n">
        <v>101880</v>
      </c>
      <c r="D625" s="106" t="s">
        <v>1259</v>
      </c>
      <c r="E625" s="106" t="s">
        <v>1970</v>
      </c>
      <c r="F625" s="106" t="n">
        <v>1101</v>
      </c>
      <c r="G625" s="106" t="n">
        <v>2019</v>
      </c>
      <c r="H625" s="106" t="n">
        <v>2</v>
      </c>
      <c r="I625" s="129" t="n">
        <v>43606</v>
      </c>
      <c r="J625" s="129" t="n">
        <v>43606</v>
      </c>
      <c r="K625" s="107" t="n">
        <v>1293865.81</v>
      </c>
      <c r="L625" s="130" t="n">
        <f aca="false">K625-Q625+T625</f>
        <v>1096496.45</v>
      </c>
      <c r="M625" s="106" t="s">
        <v>149</v>
      </c>
      <c r="N625" s="106" t="n">
        <v>1293865.81</v>
      </c>
      <c r="O625" s="106" t="s">
        <v>149</v>
      </c>
      <c r="P625" s="106" t="n">
        <v>0</v>
      </c>
      <c r="Q625" s="107" t="n">
        <v>197369.36</v>
      </c>
      <c r="R625" s="106" t="n">
        <v>1096496.45</v>
      </c>
      <c r="S625" s="106" t="n">
        <v>0</v>
      </c>
      <c r="T625" s="106" t="n">
        <v>0</v>
      </c>
      <c r="U625" s="106" t="n">
        <v>318999</v>
      </c>
      <c r="V625" s="106" t="s">
        <v>143</v>
      </c>
      <c r="Z625" s="106" t="n">
        <v>101880</v>
      </c>
      <c r="AD625" s="106" t="n">
        <v>110000</v>
      </c>
      <c r="AE625" s="106" t="s">
        <v>1966</v>
      </c>
      <c r="AF625" s="106" t="n">
        <v>501040</v>
      </c>
      <c r="AG625" s="106" t="s">
        <v>2036</v>
      </c>
      <c r="AI625" s="106" t="n">
        <v>501040</v>
      </c>
      <c r="AJ625" s="106" t="s">
        <v>2036</v>
      </c>
      <c r="AK625" s="106" t="n">
        <v>0</v>
      </c>
      <c r="AL625" s="106" t="n">
        <v>1</v>
      </c>
      <c r="AM625" s="106" t="s">
        <v>161</v>
      </c>
      <c r="AP625" s="106" t="n">
        <v>100022980</v>
      </c>
      <c r="AQ625" s="129" t="n">
        <v>43616</v>
      </c>
      <c r="AR625" s="129" t="n">
        <v>43606</v>
      </c>
      <c r="AS625" s="106" t="n">
        <v>0.418368055555556</v>
      </c>
      <c r="AT625" s="106" t="n">
        <v>0</v>
      </c>
      <c r="AU625" s="106" t="n">
        <v>0</v>
      </c>
      <c r="AX625" s="106" t="n">
        <v>1</v>
      </c>
      <c r="ALU625" s="0"/>
      <c r="ALV625" s="0"/>
      <c r="ALW625" s="0"/>
      <c r="ALX625" s="0"/>
      <c r="ALY625" s="0"/>
      <c r="ALZ625" s="0"/>
      <c r="AMA625" s="0"/>
      <c r="AMB625" s="0"/>
      <c r="AMC625" s="0"/>
      <c r="AMD625" s="0"/>
      <c r="AME625" s="0"/>
      <c r="AMF625" s="0"/>
      <c r="AMG625" s="0"/>
      <c r="AMH625" s="0"/>
      <c r="AMI625" s="0"/>
      <c r="AMJ625" s="0"/>
    </row>
    <row r="626" customFormat="false" ht="13.8" hidden="true" customHeight="false" outlineLevel="0" collapsed="false">
      <c r="A626" s="117" t="n">
        <v>1000</v>
      </c>
      <c r="B626" s="117" t="s">
        <v>1962</v>
      </c>
      <c r="C626" s="117" t="n">
        <v>1400000150</v>
      </c>
      <c r="E626" s="117" t="s">
        <v>1972</v>
      </c>
      <c r="F626" s="117" t="n">
        <v>1101</v>
      </c>
      <c r="G626" s="117" t="n">
        <v>2019</v>
      </c>
      <c r="H626" s="117" t="n">
        <v>1</v>
      </c>
      <c r="I626" s="118" t="n">
        <v>43560</v>
      </c>
      <c r="J626" s="118" t="n">
        <v>43560</v>
      </c>
      <c r="K626" s="119" t="n">
        <v>-366824.77</v>
      </c>
      <c r="L626" s="128" t="n">
        <f aca="false">K626-Q626+T626</f>
        <v>-366824.77</v>
      </c>
      <c r="M626" s="117" t="s">
        <v>149</v>
      </c>
      <c r="N626" s="117" t="n">
        <v>-366824.77</v>
      </c>
      <c r="O626" s="117" t="s">
        <v>149</v>
      </c>
      <c r="P626" s="117" t="n">
        <v>0</v>
      </c>
      <c r="Q626" s="117" t="n">
        <v>0</v>
      </c>
      <c r="R626" s="117" t="n">
        <v>-366824.77</v>
      </c>
      <c r="S626" s="117" t="n">
        <v>0</v>
      </c>
      <c r="T626" s="117" t="n">
        <v>0</v>
      </c>
      <c r="U626" s="117" t="n">
        <v>318169</v>
      </c>
      <c r="V626" s="117" t="s">
        <v>2158</v>
      </c>
      <c r="X626" s="117" t="s">
        <v>2330</v>
      </c>
      <c r="Y626" s="117" t="s">
        <v>2331</v>
      </c>
      <c r="Z626" s="117" t="n">
        <v>1400000150</v>
      </c>
      <c r="AC626" s="117" t="s">
        <v>1976</v>
      </c>
      <c r="AD626" s="117" t="n">
        <v>310300</v>
      </c>
      <c r="AE626" s="117" t="s">
        <v>1969</v>
      </c>
      <c r="AF626" s="117" t="n">
        <v>101105</v>
      </c>
      <c r="AG626" s="117" t="s">
        <v>1977</v>
      </c>
      <c r="AI626" s="117" t="n">
        <v>101105</v>
      </c>
      <c r="AJ626" s="117" t="s">
        <v>1977</v>
      </c>
      <c r="AK626" s="117" t="n">
        <v>0</v>
      </c>
      <c r="AL626" s="117" t="n">
        <v>19</v>
      </c>
      <c r="AM626" s="117" t="s">
        <v>225</v>
      </c>
      <c r="AN626" s="117" t="s">
        <v>1978</v>
      </c>
      <c r="AP626" s="117" t="n">
        <v>100004393</v>
      </c>
      <c r="AQ626" s="118" t="n">
        <v>43583</v>
      </c>
      <c r="AR626" s="118" t="n">
        <v>43563</v>
      </c>
      <c r="AS626" s="117" t="n">
        <v>0.52625</v>
      </c>
      <c r="AT626" s="117" t="n">
        <v>0</v>
      </c>
      <c r="AU626" s="117" t="n">
        <v>0</v>
      </c>
      <c r="AX626" s="117" t="n">
        <v>2</v>
      </c>
    </row>
    <row r="627" customFormat="false" ht="13.8" hidden="true" customHeight="false" outlineLevel="0" collapsed="false">
      <c r="A627" s="117" t="n">
        <v>1000</v>
      </c>
      <c r="B627" s="117" t="s">
        <v>1962</v>
      </c>
      <c r="C627" s="117" t="n">
        <v>100005104</v>
      </c>
      <c r="E627" s="117" t="s">
        <v>1921</v>
      </c>
      <c r="F627" s="117" t="n">
        <v>1108</v>
      </c>
      <c r="G627" s="117" t="n">
        <v>2019</v>
      </c>
      <c r="H627" s="117" t="n">
        <v>1</v>
      </c>
      <c r="I627" s="118" t="n">
        <v>43585</v>
      </c>
      <c r="J627" s="118" t="n">
        <v>43585</v>
      </c>
      <c r="K627" s="119" t="n">
        <v>-495895</v>
      </c>
      <c r="L627" s="128" t="n">
        <f aca="false">K627-Q627+T627</f>
        <v>-495895</v>
      </c>
      <c r="M627" s="117" t="s">
        <v>149</v>
      </c>
      <c r="N627" s="117" t="n">
        <v>-495895</v>
      </c>
      <c r="O627" s="117" t="s">
        <v>149</v>
      </c>
      <c r="P627" s="117" t="n">
        <v>0</v>
      </c>
      <c r="Q627" s="117" t="n">
        <v>0</v>
      </c>
      <c r="R627" s="117" t="n">
        <v>-495895</v>
      </c>
      <c r="S627" s="117" t="n">
        <v>0</v>
      </c>
      <c r="T627" s="117" t="n">
        <v>0</v>
      </c>
      <c r="U627" s="117" t="n">
        <v>312193</v>
      </c>
      <c r="V627" s="117" t="s">
        <v>1963</v>
      </c>
      <c r="Z627" s="117" t="n">
        <v>100005104</v>
      </c>
      <c r="AD627" s="117" t="n">
        <v>110000</v>
      </c>
      <c r="AE627" s="117" t="s">
        <v>1966</v>
      </c>
      <c r="AF627" s="117" t="n">
        <v>110000</v>
      </c>
      <c r="AG627" s="117" t="s">
        <v>1966</v>
      </c>
      <c r="AI627" s="117" t="n">
        <v>110000</v>
      </c>
      <c r="AJ627" s="117" t="s">
        <v>1966</v>
      </c>
      <c r="AK627" s="117" t="n">
        <v>0</v>
      </c>
      <c r="AL627" s="117" t="n">
        <v>17</v>
      </c>
      <c r="AM627" s="117" t="s">
        <v>225</v>
      </c>
      <c r="AP627" s="117" t="n">
        <v>100005104</v>
      </c>
      <c r="AQ627" s="118" t="n">
        <v>43585</v>
      </c>
      <c r="AR627" s="118" t="n">
        <v>43586</v>
      </c>
      <c r="AS627" s="117" t="n">
        <v>0.418055555555556</v>
      </c>
      <c r="AT627" s="117" t="n">
        <v>0</v>
      </c>
      <c r="AU627" s="117" t="n">
        <v>0</v>
      </c>
      <c r="AX627" s="117" t="n">
        <v>7</v>
      </c>
    </row>
    <row r="628" customFormat="false" ht="13.8" hidden="true" customHeight="false" outlineLevel="0" collapsed="false">
      <c r="A628" s="117" t="n">
        <v>1000</v>
      </c>
      <c r="B628" s="117" t="s">
        <v>1962</v>
      </c>
      <c r="C628" s="117" t="n">
        <v>1400000532</v>
      </c>
      <c r="E628" s="117" t="s">
        <v>1972</v>
      </c>
      <c r="F628" s="117" t="n">
        <v>1106</v>
      </c>
      <c r="G628" s="117" t="n">
        <v>2019</v>
      </c>
      <c r="H628" s="117" t="n">
        <v>1</v>
      </c>
      <c r="I628" s="118" t="n">
        <v>43573</v>
      </c>
      <c r="J628" s="118" t="n">
        <v>43573</v>
      </c>
      <c r="K628" s="119" t="n">
        <v>-5355346.56</v>
      </c>
      <c r="L628" s="128" t="n">
        <f aca="false">K628-Q628+T628</f>
        <v>-5355346.56</v>
      </c>
      <c r="M628" s="117" t="s">
        <v>149</v>
      </c>
      <c r="N628" s="117" t="n">
        <v>-5355346.56</v>
      </c>
      <c r="O628" s="117" t="s">
        <v>149</v>
      </c>
      <c r="P628" s="117" t="n">
        <v>0</v>
      </c>
      <c r="Q628" s="117" t="n">
        <v>0</v>
      </c>
      <c r="R628" s="117" t="n">
        <v>-5355346.56</v>
      </c>
      <c r="S628" s="117" t="n">
        <v>0</v>
      </c>
      <c r="T628" s="117" t="n">
        <v>0</v>
      </c>
      <c r="U628" s="117" t="n">
        <v>307259</v>
      </c>
      <c r="V628" s="117" t="s">
        <v>143</v>
      </c>
      <c r="X628" s="117" t="s">
        <v>2332</v>
      </c>
      <c r="Y628" s="117" t="s">
        <v>2333</v>
      </c>
      <c r="Z628" s="117" t="n">
        <v>1400000532</v>
      </c>
      <c r="AC628" s="117" t="s">
        <v>1976</v>
      </c>
      <c r="AD628" s="117" t="n">
        <v>310300</v>
      </c>
      <c r="AE628" s="117" t="s">
        <v>1969</v>
      </c>
      <c r="AF628" s="117" t="n">
        <v>101105</v>
      </c>
      <c r="AG628" s="117" t="s">
        <v>1977</v>
      </c>
      <c r="AI628" s="117" t="n">
        <v>101105</v>
      </c>
      <c r="AJ628" s="117" t="s">
        <v>1977</v>
      </c>
      <c r="AK628" s="117" t="n">
        <v>0</v>
      </c>
      <c r="AL628" s="117" t="n">
        <v>19</v>
      </c>
      <c r="AM628" s="117" t="s">
        <v>225</v>
      </c>
      <c r="AN628" s="117" t="s">
        <v>1978</v>
      </c>
      <c r="AP628" s="117" t="n">
        <v>100004322</v>
      </c>
      <c r="AQ628" s="118" t="n">
        <v>43583</v>
      </c>
      <c r="AR628" s="118" t="n">
        <v>43574</v>
      </c>
      <c r="AS628" s="117" t="n">
        <v>0.650590277777778</v>
      </c>
      <c r="AT628" s="117" t="n">
        <v>0</v>
      </c>
      <c r="AU628" s="117" t="n">
        <v>0</v>
      </c>
      <c r="AX628" s="117" t="n">
        <v>2</v>
      </c>
    </row>
    <row r="629" customFormat="false" ht="13.8" hidden="true" customHeight="false" outlineLevel="0" collapsed="false">
      <c r="A629" s="117" t="n">
        <v>1000</v>
      </c>
      <c r="B629" s="117" t="s">
        <v>1962</v>
      </c>
      <c r="C629" s="117" t="n">
        <v>100022981</v>
      </c>
      <c r="E629" s="117" t="s">
        <v>1921</v>
      </c>
      <c r="F629" s="117" t="n">
        <v>1101</v>
      </c>
      <c r="G629" s="117" t="n">
        <v>2019</v>
      </c>
      <c r="H629" s="117" t="n">
        <v>2</v>
      </c>
      <c r="I629" s="118" t="n">
        <v>43616</v>
      </c>
      <c r="J629" s="118" t="n">
        <v>43616</v>
      </c>
      <c r="K629" s="119" t="n">
        <v>-4268105.57</v>
      </c>
      <c r="L629" s="128" t="n">
        <f aca="false">K629-Q629+T629</f>
        <v>-4268105.57</v>
      </c>
      <c r="M629" s="117" t="s">
        <v>149</v>
      </c>
      <c r="N629" s="117" t="n">
        <v>-4268105.57</v>
      </c>
      <c r="O629" s="117" t="s">
        <v>149</v>
      </c>
      <c r="P629" s="117" t="n">
        <v>0</v>
      </c>
      <c r="Q629" s="117" t="n">
        <v>0</v>
      </c>
      <c r="R629" s="117" t="n">
        <v>-4268105.57</v>
      </c>
      <c r="S629" s="117" t="n">
        <v>0</v>
      </c>
      <c r="T629" s="117" t="n">
        <v>0</v>
      </c>
      <c r="U629" s="117" t="n">
        <v>318999</v>
      </c>
      <c r="V629" s="117" t="s">
        <v>143</v>
      </c>
      <c r="Z629" s="117" t="n">
        <v>100022981</v>
      </c>
      <c r="AD629" s="117" t="n">
        <v>110000</v>
      </c>
      <c r="AE629" s="117" t="s">
        <v>1966</v>
      </c>
      <c r="AF629" s="117" t="n">
        <v>110000</v>
      </c>
      <c r="AG629" s="117" t="s">
        <v>1966</v>
      </c>
      <c r="AI629" s="117" t="n">
        <v>110000</v>
      </c>
      <c r="AJ629" s="117" t="s">
        <v>1966</v>
      </c>
      <c r="AK629" s="117" t="n">
        <v>0</v>
      </c>
      <c r="AL629" s="117" t="n">
        <v>17</v>
      </c>
      <c r="AM629" s="117" t="s">
        <v>225</v>
      </c>
      <c r="AP629" s="117" t="n">
        <v>100022981</v>
      </c>
      <c r="AQ629" s="118" t="n">
        <v>43616</v>
      </c>
      <c r="AR629" s="118" t="n">
        <v>43618</v>
      </c>
      <c r="AS629" s="117" t="n">
        <v>0.616678240740741</v>
      </c>
      <c r="AT629" s="117" t="n">
        <v>0</v>
      </c>
      <c r="AU629" s="117" t="n">
        <v>0</v>
      </c>
      <c r="AX629" s="117" t="n">
        <v>2</v>
      </c>
    </row>
    <row r="630" customFormat="false" ht="13.8" hidden="true" customHeight="false" outlineLevel="0" collapsed="false">
      <c r="A630" s="117" t="n">
        <v>1000</v>
      </c>
      <c r="B630" s="117" t="s">
        <v>1962</v>
      </c>
      <c r="C630" s="117" t="n">
        <v>100020145</v>
      </c>
      <c r="E630" s="117" t="s">
        <v>1921</v>
      </c>
      <c r="F630" s="117" t="n">
        <v>1106</v>
      </c>
      <c r="G630" s="117" t="n">
        <v>2019</v>
      </c>
      <c r="H630" s="117" t="n">
        <v>2</v>
      </c>
      <c r="I630" s="118" t="n">
        <v>43611</v>
      </c>
      <c r="J630" s="118" t="n">
        <v>43611</v>
      </c>
      <c r="K630" s="119" t="n">
        <v>-1505680</v>
      </c>
      <c r="L630" s="128" t="n">
        <f aca="false">K630-Q630+T630</f>
        <v>-1505680</v>
      </c>
      <c r="M630" s="117" t="s">
        <v>149</v>
      </c>
      <c r="N630" s="117" t="n">
        <v>-1505680</v>
      </c>
      <c r="O630" s="117" t="s">
        <v>149</v>
      </c>
      <c r="P630" s="117" t="n">
        <v>0</v>
      </c>
      <c r="Q630" s="117" t="n">
        <v>0</v>
      </c>
      <c r="R630" s="117" t="n">
        <v>-1505680</v>
      </c>
      <c r="S630" s="117" t="n">
        <v>0</v>
      </c>
      <c r="T630" s="117" t="n">
        <v>0</v>
      </c>
      <c r="U630" s="117" t="n">
        <v>312193</v>
      </c>
      <c r="V630" s="117" t="s">
        <v>1963</v>
      </c>
      <c r="Z630" s="117" t="n">
        <v>100020145</v>
      </c>
      <c r="AD630" s="117" t="n">
        <v>110000</v>
      </c>
      <c r="AE630" s="117" t="s">
        <v>1966</v>
      </c>
      <c r="AF630" s="117" t="n">
        <v>310300</v>
      </c>
      <c r="AG630" s="117" t="s">
        <v>1969</v>
      </c>
      <c r="AI630" s="117" t="n">
        <v>310300</v>
      </c>
      <c r="AJ630" s="117" t="s">
        <v>1969</v>
      </c>
      <c r="AK630" s="117" t="n">
        <v>0</v>
      </c>
      <c r="AL630" s="117" t="n">
        <v>17</v>
      </c>
      <c r="AM630" s="117" t="s">
        <v>225</v>
      </c>
      <c r="AP630" s="117" t="n">
        <v>100020145</v>
      </c>
      <c r="AQ630" s="118" t="n">
        <v>43611</v>
      </c>
      <c r="AR630" s="118" t="n">
        <v>43611</v>
      </c>
      <c r="AS630" s="117" t="n">
        <v>0.755451388888889</v>
      </c>
      <c r="AT630" s="117" t="n">
        <v>0</v>
      </c>
      <c r="AU630" s="117" t="n">
        <v>0</v>
      </c>
      <c r="AX630" s="117" t="n">
        <v>1</v>
      </c>
    </row>
    <row r="631" customFormat="false" ht="13.8" hidden="true" customHeight="false" outlineLevel="0" collapsed="false">
      <c r="A631" s="117" t="n">
        <v>1000</v>
      </c>
      <c r="B631" s="117" t="s">
        <v>1962</v>
      </c>
      <c r="C631" s="117" t="n">
        <v>1400002288</v>
      </c>
      <c r="E631" s="117" t="s">
        <v>1972</v>
      </c>
      <c r="F631" s="117" t="n">
        <v>1101</v>
      </c>
      <c r="G631" s="117" t="n">
        <v>2019</v>
      </c>
      <c r="H631" s="117" t="n">
        <v>2</v>
      </c>
      <c r="I631" s="118" t="n">
        <v>43612</v>
      </c>
      <c r="J631" s="118" t="n">
        <v>43612</v>
      </c>
      <c r="K631" s="119" t="n">
        <v>-391567.81</v>
      </c>
      <c r="L631" s="128" t="n">
        <f aca="false">K631-Q631+T631</f>
        <v>-391567.81</v>
      </c>
      <c r="M631" s="117" t="s">
        <v>149</v>
      </c>
      <c r="N631" s="117" t="n">
        <v>-391567.81</v>
      </c>
      <c r="O631" s="117" t="s">
        <v>149</v>
      </c>
      <c r="P631" s="117" t="n">
        <v>0</v>
      </c>
      <c r="Q631" s="117" t="n">
        <v>0</v>
      </c>
      <c r="R631" s="117" t="n">
        <v>-391567.81</v>
      </c>
      <c r="S631" s="117" t="n">
        <v>0</v>
      </c>
      <c r="T631" s="117" t="n">
        <v>0</v>
      </c>
      <c r="U631" s="117" t="n">
        <v>314258</v>
      </c>
      <c r="V631" s="117" t="s">
        <v>143</v>
      </c>
      <c r="X631" s="117" t="s">
        <v>2334</v>
      </c>
      <c r="Y631" s="117" t="s">
        <v>2335</v>
      </c>
      <c r="Z631" s="117" t="n">
        <v>1400002288</v>
      </c>
      <c r="AC631" s="117" t="s">
        <v>1976</v>
      </c>
      <c r="AD631" s="117" t="n">
        <v>310300</v>
      </c>
      <c r="AE631" s="117" t="s">
        <v>1969</v>
      </c>
      <c r="AF631" s="117" t="n">
        <v>101105</v>
      </c>
      <c r="AG631" s="117" t="s">
        <v>1977</v>
      </c>
      <c r="AI631" s="117" t="n">
        <v>101105</v>
      </c>
      <c r="AJ631" s="117" t="s">
        <v>1977</v>
      </c>
      <c r="AK631" s="117" t="n">
        <v>0</v>
      </c>
      <c r="AL631" s="117" t="n">
        <v>19</v>
      </c>
      <c r="AM631" s="117" t="s">
        <v>225</v>
      </c>
      <c r="AN631" s="117" t="s">
        <v>1978</v>
      </c>
      <c r="AP631" s="117" t="n">
        <v>100031512</v>
      </c>
      <c r="AQ631" s="118" t="n">
        <v>43616</v>
      </c>
      <c r="AR631" s="118" t="n">
        <v>43619</v>
      </c>
      <c r="AS631" s="117" t="n">
        <v>0.453657407407407</v>
      </c>
      <c r="AT631" s="117" t="n">
        <v>0</v>
      </c>
      <c r="AU631" s="117" t="n">
        <v>0</v>
      </c>
      <c r="AX631" s="117" t="n">
        <v>2</v>
      </c>
    </row>
    <row r="632" customFormat="false" ht="13.8" hidden="true" customHeight="false" outlineLevel="0" collapsed="false">
      <c r="A632" s="117" t="n">
        <v>1000</v>
      </c>
      <c r="B632" s="117" t="s">
        <v>1962</v>
      </c>
      <c r="C632" s="117" t="n">
        <v>100022446</v>
      </c>
      <c r="E632" s="117" t="s">
        <v>1921</v>
      </c>
      <c r="F632" s="117" t="n">
        <v>1108</v>
      </c>
      <c r="G632" s="117" t="n">
        <v>2019</v>
      </c>
      <c r="H632" s="117" t="n">
        <v>2</v>
      </c>
      <c r="I632" s="118" t="n">
        <v>43616</v>
      </c>
      <c r="J632" s="118" t="n">
        <v>43616</v>
      </c>
      <c r="K632" s="119" t="n">
        <v>5641</v>
      </c>
      <c r="L632" s="128" t="n">
        <f aca="false">K632-Q632+T632</f>
        <v>5641</v>
      </c>
      <c r="M632" s="117" t="s">
        <v>149</v>
      </c>
      <c r="N632" s="117" t="n">
        <v>5641</v>
      </c>
      <c r="O632" s="117" t="s">
        <v>149</v>
      </c>
      <c r="P632" s="117" t="n">
        <v>0</v>
      </c>
      <c r="Q632" s="117" t="n">
        <v>0</v>
      </c>
      <c r="R632" s="117" t="n">
        <v>5641</v>
      </c>
      <c r="S632" s="117" t="n">
        <v>0</v>
      </c>
      <c r="T632" s="117" t="n">
        <v>0</v>
      </c>
      <c r="U632" s="117" t="n">
        <v>312193</v>
      </c>
      <c r="V632" s="117" t="s">
        <v>1963</v>
      </c>
      <c r="X632" s="117" t="s">
        <v>2336</v>
      </c>
      <c r="Z632" s="117" t="n">
        <v>2346</v>
      </c>
      <c r="AB632" s="117" t="s">
        <v>2031</v>
      </c>
      <c r="AD632" s="117" t="n">
        <v>110000</v>
      </c>
      <c r="AE632" s="117" t="s">
        <v>1966</v>
      </c>
      <c r="AF632" s="117" t="n">
        <v>110000</v>
      </c>
      <c r="AG632" s="117" t="s">
        <v>1966</v>
      </c>
      <c r="AI632" s="117" t="n">
        <v>110000</v>
      </c>
      <c r="AJ632" s="117" t="s">
        <v>1966</v>
      </c>
      <c r="AK632" s="117" t="n">
        <v>0</v>
      </c>
      <c r="AL632" s="117" t="n">
        <v>4</v>
      </c>
      <c r="AM632" s="117" t="s">
        <v>161</v>
      </c>
      <c r="AP632" s="117" t="n">
        <v>100173563</v>
      </c>
      <c r="AQ632" s="118" t="n">
        <v>43799</v>
      </c>
      <c r="AR632" s="118" t="n">
        <v>43617</v>
      </c>
      <c r="AS632" s="117" t="n">
        <v>0.587256944444444</v>
      </c>
      <c r="AT632" s="117" t="n">
        <v>0</v>
      </c>
      <c r="AU632" s="117" t="n">
        <v>0</v>
      </c>
      <c r="AX632" s="117" t="n">
        <v>1</v>
      </c>
    </row>
    <row r="633" s="106" customFormat="true" ht="13.8" hidden="true" customHeight="false" outlineLevel="0" collapsed="false">
      <c r="A633" s="106" t="n">
        <v>1000</v>
      </c>
      <c r="B633" s="106" t="s">
        <v>1962</v>
      </c>
      <c r="C633" s="106" t="n">
        <v>108494</v>
      </c>
      <c r="D633" s="106" t="s">
        <v>2337</v>
      </c>
      <c r="E633" s="106" t="s">
        <v>1970</v>
      </c>
      <c r="F633" s="106" t="n">
        <v>1109</v>
      </c>
      <c r="G633" s="106" t="n">
        <v>2019</v>
      </c>
      <c r="H633" s="106" t="n">
        <v>7</v>
      </c>
      <c r="I633" s="129" t="n">
        <v>43764</v>
      </c>
      <c r="J633" s="129" t="n">
        <v>43764</v>
      </c>
      <c r="K633" s="107" t="n">
        <v>1050269.35</v>
      </c>
      <c r="L633" s="130" t="n">
        <f aca="false">K633-Q633+T633</f>
        <v>890058.77</v>
      </c>
      <c r="M633" s="106" t="s">
        <v>149</v>
      </c>
      <c r="N633" s="106" t="n">
        <v>1050269.35</v>
      </c>
      <c r="O633" s="106" t="s">
        <v>149</v>
      </c>
      <c r="P633" s="106" t="n">
        <v>0</v>
      </c>
      <c r="Q633" s="107" t="n">
        <v>160210.58</v>
      </c>
      <c r="R633" s="106" t="n">
        <v>890058.77</v>
      </c>
      <c r="S633" s="106" t="n">
        <v>0</v>
      </c>
      <c r="T633" s="106" t="n">
        <v>0</v>
      </c>
      <c r="U633" s="106" t="n">
        <v>312193</v>
      </c>
      <c r="V633" s="106" t="s">
        <v>1963</v>
      </c>
      <c r="Z633" s="106" t="n">
        <v>60964</v>
      </c>
      <c r="AB633" s="106" t="s">
        <v>2124</v>
      </c>
      <c r="AD633" s="106" t="n">
        <v>110000</v>
      </c>
      <c r="AE633" s="106" t="s">
        <v>1966</v>
      </c>
      <c r="AF633" s="106" t="n">
        <v>501005</v>
      </c>
      <c r="AG633" s="106" t="s">
        <v>2033</v>
      </c>
      <c r="AI633" s="106" t="n">
        <v>501005</v>
      </c>
      <c r="AJ633" s="106" t="s">
        <v>2033</v>
      </c>
      <c r="AK633" s="106" t="n">
        <v>0</v>
      </c>
      <c r="AL633" s="106" t="n">
        <v>1</v>
      </c>
      <c r="AM633" s="106" t="s">
        <v>161</v>
      </c>
      <c r="AP633" s="106" t="n">
        <v>100141449</v>
      </c>
      <c r="AQ633" s="129" t="n">
        <v>43766</v>
      </c>
      <c r="AR633" s="129" t="n">
        <v>43764</v>
      </c>
      <c r="AS633" s="106" t="n">
        <v>0.737800925925926</v>
      </c>
      <c r="AT633" s="106" t="n">
        <v>0</v>
      </c>
      <c r="AU633" s="106" t="n">
        <v>0</v>
      </c>
      <c r="AX633" s="106" t="n">
        <v>1</v>
      </c>
      <c r="ALU633" s="0"/>
      <c r="ALV633" s="0"/>
      <c r="ALW633" s="0"/>
      <c r="ALX633" s="0"/>
      <c r="ALY633" s="0"/>
      <c r="ALZ633" s="0"/>
      <c r="AMA633" s="0"/>
      <c r="AMB633" s="0"/>
      <c r="AMC633" s="0"/>
      <c r="AMD633" s="0"/>
      <c r="AME633" s="0"/>
      <c r="AMF633" s="0"/>
      <c r="AMG633" s="0"/>
      <c r="AMH633" s="0"/>
      <c r="AMI633" s="0"/>
      <c r="AMJ633" s="0"/>
    </row>
    <row r="634" customFormat="false" ht="13.8" hidden="true" customHeight="false" outlineLevel="0" collapsed="false">
      <c r="A634" s="117" t="n">
        <v>1000</v>
      </c>
      <c r="B634" s="117" t="s">
        <v>1962</v>
      </c>
      <c r="C634" s="117" t="n">
        <v>100022446</v>
      </c>
      <c r="E634" s="117" t="s">
        <v>1921</v>
      </c>
      <c r="F634" s="117" t="n">
        <v>1109</v>
      </c>
      <c r="G634" s="117" t="n">
        <v>2019</v>
      </c>
      <c r="H634" s="117" t="n">
        <v>2</v>
      </c>
      <c r="I634" s="118" t="n">
        <v>43616</v>
      </c>
      <c r="J634" s="118" t="n">
        <v>43616</v>
      </c>
      <c r="K634" s="119" t="n">
        <v>8118</v>
      </c>
      <c r="L634" s="128" t="n">
        <f aca="false">K634-Q634+T634</f>
        <v>8118</v>
      </c>
      <c r="M634" s="117" t="s">
        <v>149</v>
      </c>
      <c r="N634" s="117" t="n">
        <v>8118</v>
      </c>
      <c r="O634" s="117" t="s">
        <v>149</v>
      </c>
      <c r="P634" s="117" t="n">
        <v>0</v>
      </c>
      <c r="Q634" s="117" t="n">
        <v>0</v>
      </c>
      <c r="R634" s="117" t="n">
        <v>8118</v>
      </c>
      <c r="S634" s="117" t="n">
        <v>0</v>
      </c>
      <c r="T634" s="117" t="n">
        <v>0</v>
      </c>
      <c r="U634" s="117" t="n">
        <v>312193</v>
      </c>
      <c r="V634" s="117" t="s">
        <v>1963</v>
      </c>
      <c r="X634" s="117" t="s">
        <v>2338</v>
      </c>
      <c r="Z634" s="117" t="n">
        <v>2316</v>
      </c>
      <c r="AB634" s="117" t="s">
        <v>1965</v>
      </c>
      <c r="AD634" s="117" t="n">
        <v>110000</v>
      </c>
      <c r="AE634" s="117" t="s">
        <v>1966</v>
      </c>
      <c r="AF634" s="117" t="n">
        <v>110000</v>
      </c>
      <c r="AG634" s="117" t="s">
        <v>1966</v>
      </c>
      <c r="AI634" s="117" t="n">
        <v>110000</v>
      </c>
      <c r="AJ634" s="117" t="s">
        <v>1966</v>
      </c>
      <c r="AK634" s="117" t="n">
        <v>0</v>
      </c>
      <c r="AL634" s="117" t="n">
        <v>4</v>
      </c>
      <c r="AM634" s="117" t="s">
        <v>161</v>
      </c>
      <c r="AP634" s="117" t="n">
        <v>100173563</v>
      </c>
      <c r="AQ634" s="118" t="n">
        <v>43799</v>
      </c>
      <c r="AR634" s="118" t="n">
        <v>43617</v>
      </c>
      <c r="AS634" s="117" t="n">
        <v>0.587256944444444</v>
      </c>
      <c r="AT634" s="117" t="n">
        <v>0</v>
      </c>
      <c r="AU634" s="117" t="n">
        <v>0</v>
      </c>
      <c r="AX634" s="117" t="n">
        <v>2</v>
      </c>
    </row>
    <row r="635" s="106" customFormat="true" ht="13.8" hidden="true" customHeight="false" outlineLevel="0" collapsed="false">
      <c r="A635" s="106" t="n">
        <v>1000</v>
      </c>
      <c r="B635" s="106" t="s">
        <v>1962</v>
      </c>
      <c r="C635" s="106" t="n">
        <v>102648</v>
      </c>
      <c r="D635" s="106" t="s">
        <v>2271</v>
      </c>
      <c r="E635" s="106" t="s">
        <v>1970</v>
      </c>
      <c r="F635" s="106" t="n">
        <v>1108</v>
      </c>
      <c r="G635" s="106" t="n">
        <v>2019</v>
      </c>
      <c r="H635" s="106" t="n">
        <v>3</v>
      </c>
      <c r="I635" s="129" t="n">
        <v>43620</v>
      </c>
      <c r="J635" s="129" t="n">
        <v>43620</v>
      </c>
      <c r="K635" s="107" t="n">
        <v>2342452.06</v>
      </c>
      <c r="L635" s="130" t="n">
        <f aca="false">K635-Q635+T635</f>
        <v>1985128.86</v>
      </c>
      <c r="M635" s="106" t="s">
        <v>149</v>
      </c>
      <c r="N635" s="106" t="n">
        <v>2342452.06</v>
      </c>
      <c r="O635" s="106" t="s">
        <v>149</v>
      </c>
      <c r="P635" s="106" t="n">
        <v>0</v>
      </c>
      <c r="Q635" s="107" t="n">
        <v>357323.2</v>
      </c>
      <c r="R635" s="106" t="n">
        <v>1985128.86</v>
      </c>
      <c r="S635" s="106" t="n">
        <v>0</v>
      </c>
      <c r="T635" s="106" t="n">
        <v>0</v>
      </c>
      <c r="U635" s="106" t="n">
        <v>318999</v>
      </c>
      <c r="V635" s="106" t="s">
        <v>143</v>
      </c>
      <c r="Z635" s="106" t="n">
        <v>102648</v>
      </c>
      <c r="AD635" s="106" t="n">
        <v>110000</v>
      </c>
      <c r="AE635" s="106" t="s">
        <v>1966</v>
      </c>
      <c r="AF635" s="106" t="n">
        <v>501040</v>
      </c>
      <c r="AG635" s="106" t="s">
        <v>2036</v>
      </c>
      <c r="AI635" s="106" t="n">
        <v>501040</v>
      </c>
      <c r="AJ635" s="106" t="s">
        <v>2036</v>
      </c>
      <c r="AK635" s="106" t="n">
        <v>0</v>
      </c>
      <c r="AL635" s="106" t="n">
        <v>1</v>
      </c>
      <c r="AM635" s="106" t="s">
        <v>161</v>
      </c>
      <c r="AP635" s="106" t="n">
        <v>100039983</v>
      </c>
      <c r="AQ635" s="129" t="n">
        <v>43645</v>
      </c>
      <c r="AR635" s="129" t="n">
        <v>43620</v>
      </c>
      <c r="AS635" s="106" t="n">
        <v>0.622615740740741</v>
      </c>
      <c r="AT635" s="106" t="n">
        <v>0</v>
      </c>
      <c r="AU635" s="106" t="n">
        <v>0</v>
      </c>
      <c r="AX635" s="106" t="n">
        <v>1</v>
      </c>
      <c r="ALU635" s="0"/>
      <c r="ALV635" s="0"/>
      <c r="ALW635" s="0"/>
      <c r="ALX635" s="0"/>
      <c r="ALY635" s="0"/>
      <c r="ALZ635" s="0"/>
      <c r="AMA635" s="0"/>
      <c r="AMB635" s="0"/>
      <c r="AMC635" s="0"/>
      <c r="AMD635" s="0"/>
      <c r="AME635" s="0"/>
      <c r="AMF635" s="0"/>
      <c r="AMG635" s="0"/>
      <c r="AMH635" s="0"/>
      <c r="AMI635" s="0"/>
      <c r="AMJ635" s="0"/>
    </row>
    <row r="636" s="106" customFormat="true" ht="13.8" hidden="true" customHeight="false" outlineLevel="0" collapsed="false">
      <c r="A636" s="106" t="n">
        <v>1000</v>
      </c>
      <c r="B636" s="106" t="s">
        <v>1962</v>
      </c>
      <c r="C636" s="106" t="n">
        <v>101574</v>
      </c>
      <c r="D636" s="106" t="s">
        <v>1217</v>
      </c>
      <c r="E636" s="106" t="s">
        <v>1970</v>
      </c>
      <c r="F636" s="106" t="n">
        <v>1101</v>
      </c>
      <c r="G636" s="106" t="n">
        <v>2019</v>
      </c>
      <c r="H636" s="106" t="n">
        <v>2</v>
      </c>
      <c r="I636" s="129" t="n">
        <v>43599</v>
      </c>
      <c r="J636" s="129" t="n">
        <v>43599</v>
      </c>
      <c r="K636" s="107" t="n">
        <v>1462606.45</v>
      </c>
      <c r="L636" s="130" t="n">
        <f aca="false">K636-Q636+T636</f>
        <v>1239496.97</v>
      </c>
      <c r="M636" s="106" t="s">
        <v>149</v>
      </c>
      <c r="N636" s="106" t="n">
        <v>1462606.45</v>
      </c>
      <c r="O636" s="106" t="s">
        <v>149</v>
      </c>
      <c r="P636" s="106" t="n">
        <v>0</v>
      </c>
      <c r="Q636" s="107" t="n">
        <v>223109.48</v>
      </c>
      <c r="R636" s="106" t="n">
        <v>1239496.97</v>
      </c>
      <c r="S636" s="106" t="n">
        <v>0</v>
      </c>
      <c r="T636" s="106" t="n">
        <v>0</v>
      </c>
      <c r="U636" s="106" t="n">
        <v>318999</v>
      </c>
      <c r="V636" s="106" t="s">
        <v>143</v>
      </c>
      <c r="Z636" s="106" t="n">
        <v>101574</v>
      </c>
      <c r="AD636" s="106" t="n">
        <v>110000</v>
      </c>
      <c r="AE636" s="106" t="s">
        <v>1966</v>
      </c>
      <c r="AF636" s="106" t="n">
        <v>501040</v>
      </c>
      <c r="AG636" s="106" t="s">
        <v>2036</v>
      </c>
      <c r="AI636" s="106" t="n">
        <v>501040</v>
      </c>
      <c r="AJ636" s="106" t="s">
        <v>2036</v>
      </c>
      <c r="AK636" s="106" t="n">
        <v>0</v>
      </c>
      <c r="AL636" s="106" t="n">
        <v>1</v>
      </c>
      <c r="AM636" s="106" t="s">
        <v>161</v>
      </c>
      <c r="AP636" s="106" t="n">
        <v>100022980</v>
      </c>
      <c r="AQ636" s="129" t="n">
        <v>43616</v>
      </c>
      <c r="AR636" s="129" t="n">
        <v>43599</v>
      </c>
      <c r="AS636" s="106" t="n">
        <v>0.459560185185185</v>
      </c>
      <c r="AT636" s="106" t="n">
        <v>0</v>
      </c>
      <c r="AU636" s="106" t="n">
        <v>0</v>
      </c>
      <c r="AX636" s="106" t="n">
        <v>1</v>
      </c>
      <c r="ALU636" s="0"/>
      <c r="ALV636" s="0"/>
      <c r="ALW636" s="0"/>
      <c r="ALX636" s="0"/>
      <c r="ALY636" s="0"/>
      <c r="ALZ636" s="0"/>
      <c r="AMA636" s="0"/>
      <c r="AMB636" s="0"/>
      <c r="AMC636" s="0"/>
      <c r="AMD636" s="0"/>
      <c r="AME636" s="0"/>
      <c r="AMF636" s="0"/>
      <c r="AMG636" s="0"/>
      <c r="AMH636" s="0"/>
      <c r="AMI636" s="0"/>
      <c r="AMJ636" s="0"/>
    </row>
    <row r="637" customFormat="false" ht="13.8" hidden="true" customHeight="false" outlineLevel="0" collapsed="false">
      <c r="A637" s="117" t="n">
        <v>1000</v>
      </c>
      <c r="B637" s="117" t="s">
        <v>1962</v>
      </c>
      <c r="C637" s="117" t="n">
        <v>100020120</v>
      </c>
      <c r="E637" s="117" t="s">
        <v>1921</v>
      </c>
      <c r="F637" s="117" t="n">
        <v>1101</v>
      </c>
      <c r="G637" s="117" t="n">
        <v>2019</v>
      </c>
      <c r="H637" s="117" t="n">
        <v>2</v>
      </c>
      <c r="I637" s="118" t="n">
        <v>43611</v>
      </c>
      <c r="J637" s="118" t="n">
        <v>43611</v>
      </c>
      <c r="K637" s="119" t="n">
        <v>236918.2</v>
      </c>
      <c r="L637" s="128" t="n">
        <f aca="false">K637-Q637+T637</f>
        <v>236918.2</v>
      </c>
      <c r="M637" s="117" t="s">
        <v>149</v>
      </c>
      <c r="N637" s="117" t="n">
        <v>236918.2</v>
      </c>
      <c r="O637" s="117" t="s">
        <v>149</v>
      </c>
      <c r="P637" s="117" t="n">
        <v>0</v>
      </c>
      <c r="Q637" s="117" t="n">
        <v>0</v>
      </c>
      <c r="R637" s="117" t="n">
        <v>236918.2</v>
      </c>
      <c r="S637" s="117" t="n">
        <v>0</v>
      </c>
      <c r="T637" s="117" t="n">
        <v>0</v>
      </c>
      <c r="U637" s="117" t="n">
        <v>304431</v>
      </c>
      <c r="V637" s="117" t="s">
        <v>2016</v>
      </c>
      <c r="Z637" s="117" t="n">
        <v>100020120</v>
      </c>
      <c r="AD637" s="117" t="n">
        <v>310300</v>
      </c>
      <c r="AE637" s="117" t="s">
        <v>1969</v>
      </c>
      <c r="AF637" s="117" t="n">
        <v>110000</v>
      </c>
      <c r="AG637" s="117" t="s">
        <v>1966</v>
      </c>
      <c r="AI637" s="117" t="n">
        <v>110000</v>
      </c>
      <c r="AJ637" s="117" t="s">
        <v>1966</v>
      </c>
      <c r="AK637" s="117" t="n">
        <v>0</v>
      </c>
      <c r="AL637" s="117" t="n">
        <v>9</v>
      </c>
      <c r="AM637" s="117" t="s">
        <v>161</v>
      </c>
      <c r="AN637" s="117" t="s">
        <v>1978</v>
      </c>
      <c r="AP637" s="117" t="n">
        <v>100020120</v>
      </c>
      <c r="AQ637" s="118" t="n">
        <v>43611</v>
      </c>
      <c r="AR637" s="118" t="n">
        <v>43611</v>
      </c>
      <c r="AS637" s="117" t="n">
        <v>0.714594907407407</v>
      </c>
      <c r="AT637" s="117" t="n">
        <v>0</v>
      </c>
      <c r="AU637" s="117" t="n">
        <v>0</v>
      </c>
      <c r="AX637" s="117" t="n">
        <v>3</v>
      </c>
    </row>
    <row r="638" customFormat="false" ht="13.8" hidden="true" customHeight="false" outlineLevel="0" collapsed="false">
      <c r="A638" s="117" t="n">
        <v>1000</v>
      </c>
      <c r="B638" s="117" t="s">
        <v>1962</v>
      </c>
      <c r="C638" s="117" t="n">
        <v>100022980</v>
      </c>
      <c r="E638" s="117" t="s">
        <v>1921</v>
      </c>
      <c r="F638" s="117" t="n">
        <v>1101</v>
      </c>
      <c r="G638" s="117" t="n">
        <v>2019</v>
      </c>
      <c r="H638" s="117" t="n">
        <v>2</v>
      </c>
      <c r="I638" s="118" t="n">
        <v>43616</v>
      </c>
      <c r="J638" s="118" t="n">
        <v>43616</v>
      </c>
      <c r="K638" s="119" t="n">
        <v>4268105.57</v>
      </c>
      <c r="L638" s="128" t="n">
        <f aca="false">K638-Q638+T638</f>
        <v>4268105.57</v>
      </c>
      <c r="M638" s="117" t="s">
        <v>149</v>
      </c>
      <c r="N638" s="117" t="n">
        <v>4268105.57</v>
      </c>
      <c r="O638" s="117" t="s">
        <v>149</v>
      </c>
      <c r="P638" s="117" t="n">
        <v>0</v>
      </c>
      <c r="Q638" s="117" t="n">
        <v>0</v>
      </c>
      <c r="R638" s="117" t="n">
        <v>4268105.57</v>
      </c>
      <c r="S638" s="117" t="n">
        <v>0</v>
      </c>
      <c r="T638" s="117" t="n">
        <v>0</v>
      </c>
      <c r="U638" s="117" t="n">
        <v>318999</v>
      </c>
      <c r="V638" s="117" t="s">
        <v>143</v>
      </c>
      <c r="X638" s="117" t="s">
        <v>2176</v>
      </c>
      <c r="Z638" s="117" t="n">
        <v>100022980</v>
      </c>
      <c r="AD638" s="117" t="n">
        <v>110000</v>
      </c>
      <c r="AE638" s="117" t="s">
        <v>1966</v>
      </c>
      <c r="AF638" s="117" t="n">
        <v>110000</v>
      </c>
      <c r="AG638" s="117" t="s">
        <v>1966</v>
      </c>
      <c r="AI638" s="117" t="n">
        <v>110000</v>
      </c>
      <c r="AJ638" s="117" t="s">
        <v>1966</v>
      </c>
      <c r="AK638" s="117" t="n">
        <v>0</v>
      </c>
      <c r="AL638" s="117" t="n">
        <v>4</v>
      </c>
      <c r="AM638" s="117" t="s">
        <v>161</v>
      </c>
      <c r="AP638" s="117" t="n">
        <v>100022981</v>
      </c>
      <c r="AQ638" s="118" t="n">
        <v>43616</v>
      </c>
      <c r="AR638" s="118" t="n">
        <v>43618</v>
      </c>
      <c r="AS638" s="117" t="n">
        <v>0.614305555555556</v>
      </c>
      <c r="AT638" s="117" t="n">
        <v>0</v>
      </c>
      <c r="AU638" s="117" t="n">
        <v>0</v>
      </c>
      <c r="AX638" s="117" t="n">
        <v>20</v>
      </c>
    </row>
    <row r="639" customFormat="false" ht="13.8" hidden="true" customHeight="false" outlineLevel="0" collapsed="false">
      <c r="A639" s="117" t="n">
        <v>1000</v>
      </c>
      <c r="B639" s="117" t="s">
        <v>1962</v>
      </c>
      <c r="C639" s="117" t="n">
        <v>100022980</v>
      </c>
      <c r="E639" s="117" t="s">
        <v>1921</v>
      </c>
      <c r="F639" s="117" t="n">
        <v>1101</v>
      </c>
      <c r="G639" s="117" t="n">
        <v>2019</v>
      </c>
      <c r="H639" s="117" t="n">
        <v>2</v>
      </c>
      <c r="I639" s="118" t="n">
        <v>43616</v>
      </c>
      <c r="J639" s="118" t="n">
        <v>43616</v>
      </c>
      <c r="K639" s="119" t="n">
        <v>2174821.53</v>
      </c>
      <c r="L639" s="128" t="n">
        <f aca="false">K639-Q639+T639</f>
        <v>2174821.53</v>
      </c>
      <c r="M639" s="117" t="s">
        <v>149</v>
      </c>
      <c r="N639" s="117" t="n">
        <v>2174821.53</v>
      </c>
      <c r="O639" s="117" t="s">
        <v>149</v>
      </c>
      <c r="P639" s="117" t="n">
        <v>0</v>
      </c>
      <c r="Q639" s="117" t="n">
        <v>0</v>
      </c>
      <c r="R639" s="117" t="n">
        <v>2174821.53</v>
      </c>
      <c r="S639" s="117" t="n">
        <v>0</v>
      </c>
      <c r="T639" s="117" t="n">
        <v>0</v>
      </c>
      <c r="U639" s="117" t="n">
        <v>318999</v>
      </c>
      <c r="V639" s="117" t="s">
        <v>143</v>
      </c>
      <c r="X639" s="117" t="s">
        <v>2326</v>
      </c>
      <c r="Z639" s="117" t="n">
        <v>100022980</v>
      </c>
      <c r="AD639" s="117" t="n">
        <v>110000</v>
      </c>
      <c r="AE639" s="117" t="s">
        <v>1966</v>
      </c>
      <c r="AF639" s="117" t="n">
        <v>110000</v>
      </c>
      <c r="AG639" s="117" t="s">
        <v>1966</v>
      </c>
      <c r="AI639" s="117" t="n">
        <v>110000</v>
      </c>
      <c r="AJ639" s="117" t="s">
        <v>1966</v>
      </c>
      <c r="AK639" s="117" t="n">
        <v>0</v>
      </c>
      <c r="AL639" s="117" t="n">
        <v>4</v>
      </c>
      <c r="AM639" s="117" t="s">
        <v>161</v>
      </c>
      <c r="AP639" s="117" t="n">
        <v>100082045</v>
      </c>
      <c r="AQ639" s="118" t="n">
        <v>43708</v>
      </c>
      <c r="AR639" s="118" t="n">
        <v>43618</v>
      </c>
      <c r="AS639" s="117" t="n">
        <v>0.614305555555556</v>
      </c>
      <c r="AT639" s="117" t="n">
        <v>0</v>
      </c>
      <c r="AU639" s="117" t="n">
        <v>0</v>
      </c>
      <c r="AX639" s="117" t="n">
        <v>11</v>
      </c>
    </row>
    <row r="640" customFormat="false" ht="13.8" hidden="true" customHeight="false" outlineLevel="0" collapsed="false">
      <c r="A640" s="117" t="n">
        <v>1000</v>
      </c>
      <c r="B640" s="117" t="s">
        <v>1962</v>
      </c>
      <c r="C640" s="117" t="n">
        <v>1400000196</v>
      </c>
      <c r="E640" s="117" t="s">
        <v>1972</v>
      </c>
      <c r="F640" s="117" t="n">
        <v>1101</v>
      </c>
      <c r="G640" s="117" t="n">
        <v>2019</v>
      </c>
      <c r="H640" s="117" t="n">
        <v>1</v>
      </c>
      <c r="I640" s="118" t="n">
        <v>43563</v>
      </c>
      <c r="J640" s="118" t="n">
        <v>43563</v>
      </c>
      <c r="K640" s="119" t="n">
        <v>-966445.92</v>
      </c>
      <c r="L640" s="128" t="n">
        <f aca="false">K640-Q640+T640</f>
        <v>-966445.92</v>
      </c>
      <c r="M640" s="117" t="s">
        <v>149</v>
      </c>
      <c r="N640" s="117" t="n">
        <v>-966445.92</v>
      </c>
      <c r="O640" s="117" t="s">
        <v>149</v>
      </c>
      <c r="P640" s="117" t="n">
        <v>0</v>
      </c>
      <c r="Q640" s="117" t="n">
        <v>0</v>
      </c>
      <c r="R640" s="117" t="n">
        <v>-966445.92</v>
      </c>
      <c r="S640" s="117" t="n">
        <v>0</v>
      </c>
      <c r="T640" s="117" t="n">
        <v>0</v>
      </c>
      <c r="U640" s="117" t="n">
        <v>304431</v>
      </c>
      <c r="V640" s="117" t="s">
        <v>2016</v>
      </c>
      <c r="X640" s="117" t="s">
        <v>2339</v>
      </c>
      <c r="Y640" s="117" t="s">
        <v>2340</v>
      </c>
      <c r="Z640" s="117" t="n">
        <v>1400000196</v>
      </c>
      <c r="AC640" s="117" t="s">
        <v>1976</v>
      </c>
      <c r="AD640" s="117" t="n">
        <v>310300</v>
      </c>
      <c r="AE640" s="117" t="s">
        <v>1969</v>
      </c>
      <c r="AF640" s="117" t="n">
        <v>101105</v>
      </c>
      <c r="AG640" s="117" t="s">
        <v>1977</v>
      </c>
      <c r="AI640" s="117" t="n">
        <v>101105</v>
      </c>
      <c r="AJ640" s="117" t="s">
        <v>1977</v>
      </c>
      <c r="AK640" s="117" t="n">
        <v>0</v>
      </c>
      <c r="AL640" s="117" t="n">
        <v>19</v>
      </c>
      <c r="AM640" s="117" t="s">
        <v>225</v>
      </c>
      <c r="AN640" s="117" t="s">
        <v>1978</v>
      </c>
      <c r="AP640" s="117" t="n">
        <v>100004315</v>
      </c>
      <c r="AQ640" s="118" t="n">
        <v>43583</v>
      </c>
      <c r="AR640" s="118" t="n">
        <v>43564</v>
      </c>
      <c r="AS640" s="117" t="n">
        <v>0.694618055555556</v>
      </c>
      <c r="AT640" s="117" t="n">
        <v>0</v>
      </c>
      <c r="AU640" s="117" t="n">
        <v>0</v>
      </c>
      <c r="AX640" s="117" t="n">
        <v>2</v>
      </c>
    </row>
    <row r="641" customFormat="false" ht="13.8" hidden="true" customHeight="false" outlineLevel="0" collapsed="false">
      <c r="A641" s="117" t="n">
        <v>1000</v>
      </c>
      <c r="B641" s="117" t="s">
        <v>1962</v>
      </c>
      <c r="C641" s="117" t="n">
        <v>100005105</v>
      </c>
      <c r="E641" s="117" t="s">
        <v>1921</v>
      </c>
      <c r="F641" s="117" t="n">
        <v>1109</v>
      </c>
      <c r="G641" s="117" t="n">
        <v>2019</v>
      </c>
      <c r="H641" s="117" t="n">
        <v>1</v>
      </c>
      <c r="I641" s="118" t="n">
        <v>43585</v>
      </c>
      <c r="J641" s="118" t="n">
        <v>43585</v>
      </c>
      <c r="K641" s="119" t="n">
        <v>-128799.6</v>
      </c>
      <c r="L641" s="128" t="n">
        <f aca="false">K641-Q641+T641</f>
        <v>-128799.6</v>
      </c>
      <c r="M641" s="117" t="s">
        <v>149</v>
      </c>
      <c r="N641" s="117" t="n">
        <v>-128799.6</v>
      </c>
      <c r="O641" s="117" t="s">
        <v>149</v>
      </c>
      <c r="P641" s="117" t="n">
        <v>0</v>
      </c>
      <c r="Q641" s="117" t="n">
        <v>0</v>
      </c>
      <c r="R641" s="117" t="n">
        <v>-128799.6</v>
      </c>
      <c r="S641" s="117" t="n">
        <v>0</v>
      </c>
      <c r="T641" s="117" t="n">
        <v>0</v>
      </c>
      <c r="U641" s="117" t="n">
        <v>312193</v>
      </c>
      <c r="V641" s="117" t="s">
        <v>1963</v>
      </c>
      <c r="Z641" s="117" t="n">
        <v>100005105</v>
      </c>
      <c r="AD641" s="117" t="n">
        <v>110000</v>
      </c>
      <c r="AE641" s="117" t="s">
        <v>1966</v>
      </c>
      <c r="AF641" s="117" t="n">
        <v>110000</v>
      </c>
      <c r="AG641" s="117" t="s">
        <v>1966</v>
      </c>
      <c r="AI641" s="117" t="n">
        <v>110000</v>
      </c>
      <c r="AJ641" s="117" t="s">
        <v>1966</v>
      </c>
      <c r="AK641" s="117" t="n">
        <v>0</v>
      </c>
      <c r="AL641" s="117" t="n">
        <v>17</v>
      </c>
      <c r="AM641" s="117" t="s">
        <v>225</v>
      </c>
      <c r="AP641" s="117" t="n">
        <v>100005105</v>
      </c>
      <c r="AQ641" s="118" t="n">
        <v>43585</v>
      </c>
      <c r="AR641" s="118" t="n">
        <v>43586</v>
      </c>
      <c r="AS641" s="117" t="n">
        <v>0.424085648148148</v>
      </c>
      <c r="AT641" s="117" t="n">
        <v>0</v>
      </c>
      <c r="AU641" s="117" t="n">
        <v>0</v>
      </c>
      <c r="AX641" s="117" t="n">
        <v>4</v>
      </c>
    </row>
    <row r="642" customFormat="false" ht="13.8" hidden="true" customHeight="false" outlineLevel="0" collapsed="false">
      <c r="A642" s="117" t="n">
        <v>1000</v>
      </c>
      <c r="B642" s="117" t="s">
        <v>1962</v>
      </c>
      <c r="C642" s="117" t="n">
        <v>100020152</v>
      </c>
      <c r="E642" s="117" t="s">
        <v>1921</v>
      </c>
      <c r="F642" s="117" t="n">
        <v>1108</v>
      </c>
      <c r="G642" s="117" t="n">
        <v>2019</v>
      </c>
      <c r="H642" s="117" t="n">
        <v>2</v>
      </c>
      <c r="I642" s="118" t="n">
        <v>43611</v>
      </c>
      <c r="J642" s="118" t="n">
        <v>43611</v>
      </c>
      <c r="K642" s="119" t="n">
        <v>340506.08</v>
      </c>
      <c r="L642" s="128" t="n">
        <f aca="false">K642-Q642+T642</f>
        <v>340506.08</v>
      </c>
      <c r="M642" s="117" t="s">
        <v>149</v>
      </c>
      <c r="N642" s="117" t="n">
        <v>340506.08</v>
      </c>
      <c r="O642" s="117" t="s">
        <v>149</v>
      </c>
      <c r="P642" s="117" t="n">
        <v>0</v>
      </c>
      <c r="Q642" s="117" t="n">
        <v>0</v>
      </c>
      <c r="R642" s="117" t="n">
        <v>340506.08</v>
      </c>
      <c r="S642" s="117" t="n">
        <v>0</v>
      </c>
      <c r="T642" s="117" t="n">
        <v>0</v>
      </c>
      <c r="U642" s="117" t="n">
        <v>312948</v>
      </c>
      <c r="V642" s="117" t="s">
        <v>1984</v>
      </c>
      <c r="X642" s="117" t="s">
        <v>2079</v>
      </c>
      <c r="Z642" s="117" t="n">
        <v>58353</v>
      </c>
      <c r="AB642" s="117" t="s">
        <v>2080</v>
      </c>
      <c r="AD642" s="117" t="n">
        <v>110000</v>
      </c>
      <c r="AE642" s="117" t="s">
        <v>1966</v>
      </c>
      <c r="AF642" s="117" t="n">
        <v>110000</v>
      </c>
      <c r="AG642" s="117" t="s">
        <v>1966</v>
      </c>
      <c r="AI642" s="117" t="n">
        <v>110000</v>
      </c>
      <c r="AJ642" s="117" t="s">
        <v>1966</v>
      </c>
      <c r="AK642" s="117" t="n">
        <v>0</v>
      </c>
      <c r="AL642" s="117" t="n">
        <v>4</v>
      </c>
      <c r="AM642" s="117" t="s">
        <v>161</v>
      </c>
      <c r="AP642" s="117" t="n">
        <v>100058213</v>
      </c>
      <c r="AQ642" s="118" t="n">
        <v>43677</v>
      </c>
      <c r="AR642" s="118" t="n">
        <v>43611</v>
      </c>
      <c r="AS642" s="117" t="n">
        <v>0.770474537037037</v>
      </c>
      <c r="AT642" s="117" t="n">
        <v>0</v>
      </c>
      <c r="AU642" s="117" t="n">
        <v>0</v>
      </c>
      <c r="AX642" s="117" t="n">
        <v>1</v>
      </c>
    </row>
    <row r="643" customFormat="false" ht="13.8" hidden="true" customHeight="false" outlineLevel="0" collapsed="false">
      <c r="A643" s="117" t="n">
        <v>1000</v>
      </c>
      <c r="B643" s="117" t="s">
        <v>1962</v>
      </c>
      <c r="C643" s="117" t="n">
        <v>1400000099</v>
      </c>
      <c r="E643" s="117" t="s">
        <v>1972</v>
      </c>
      <c r="F643" s="117" t="n">
        <v>1101</v>
      </c>
      <c r="G643" s="117" t="n">
        <v>2019</v>
      </c>
      <c r="H643" s="117" t="n">
        <v>1</v>
      </c>
      <c r="I643" s="118" t="n">
        <v>43559</v>
      </c>
      <c r="J643" s="118" t="n">
        <v>43559</v>
      </c>
      <c r="K643" s="119" t="n">
        <v>-3218706.64</v>
      </c>
      <c r="L643" s="128" t="n">
        <f aca="false">K643-Q643+T643</f>
        <v>-3218706.64</v>
      </c>
      <c r="M643" s="117" t="s">
        <v>149</v>
      </c>
      <c r="N643" s="117" t="n">
        <v>-3218706.64</v>
      </c>
      <c r="O643" s="117" t="s">
        <v>149</v>
      </c>
      <c r="P643" s="117" t="n">
        <v>0</v>
      </c>
      <c r="Q643" s="117" t="n">
        <v>0</v>
      </c>
      <c r="R643" s="117" t="n">
        <v>-3218706.64</v>
      </c>
      <c r="S643" s="117" t="n">
        <v>0</v>
      </c>
      <c r="T643" s="117" t="n">
        <v>0</v>
      </c>
      <c r="U643" s="117" t="n">
        <v>312193</v>
      </c>
      <c r="V643" s="117" t="s">
        <v>1963</v>
      </c>
      <c r="X643" s="117" t="s">
        <v>2341</v>
      </c>
      <c r="Y643" s="117" t="s">
        <v>2342</v>
      </c>
      <c r="Z643" s="117" t="n">
        <v>1400000099</v>
      </c>
      <c r="AC643" s="117" t="s">
        <v>1976</v>
      </c>
      <c r="AD643" s="117" t="n">
        <v>310300</v>
      </c>
      <c r="AE643" s="117" t="s">
        <v>1969</v>
      </c>
      <c r="AF643" s="117" t="n">
        <v>101105</v>
      </c>
      <c r="AG643" s="117" t="s">
        <v>1977</v>
      </c>
      <c r="AI643" s="117" t="n">
        <v>101105</v>
      </c>
      <c r="AJ643" s="117" t="s">
        <v>1977</v>
      </c>
      <c r="AK643" s="117" t="n">
        <v>0</v>
      </c>
      <c r="AL643" s="117" t="n">
        <v>19</v>
      </c>
      <c r="AM643" s="117" t="s">
        <v>225</v>
      </c>
      <c r="AN643" s="117" t="s">
        <v>1978</v>
      </c>
      <c r="AP643" s="117" t="n">
        <v>100005104</v>
      </c>
      <c r="AQ643" s="118" t="n">
        <v>43585</v>
      </c>
      <c r="AR643" s="118" t="n">
        <v>43560</v>
      </c>
      <c r="AS643" s="117" t="n">
        <v>0.615578703703704</v>
      </c>
      <c r="AT643" s="117" t="n">
        <v>0</v>
      </c>
      <c r="AU643" s="117" t="n">
        <v>0</v>
      </c>
      <c r="AX643" s="117" t="n">
        <v>2</v>
      </c>
    </row>
    <row r="644" customFormat="false" ht="13.8" hidden="true" customHeight="false" outlineLevel="0" collapsed="false">
      <c r="A644" s="117" t="n">
        <v>1000</v>
      </c>
      <c r="B644" s="117" t="s">
        <v>1962</v>
      </c>
      <c r="C644" s="117" t="n">
        <v>100022980</v>
      </c>
      <c r="E644" s="117" t="s">
        <v>1921</v>
      </c>
      <c r="F644" s="117" t="n">
        <v>1101</v>
      </c>
      <c r="G644" s="117" t="n">
        <v>2019</v>
      </c>
      <c r="H644" s="117" t="n">
        <v>2</v>
      </c>
      <c r="I644" s="118" t="n">
        <v>43616</v>
      </c>
      <c r="J644" s="118" t="n">
        <v>43616</v>
      </c>
      <c r="K644" s="119" t="n">
        <v>831894.31</v>
      </c>
      <c r="L644" s="128" t="n">
        <f aca="false">K644-Q644+T644</f>
        <v>831894.31</v>
      </c>
      <c r="M644" s="117" t="s">
        <v>149</v>
      </c>
      <c r="N644" s="117" t="n">
        <v>831894.31</v>
      </c>
      <c r="O644" s="117" t="s">
        <v>149</v>
      </c>
      <c r="P644" s="117" t="n">
        <v>0</v>
      </c>
      <c r="Q644" s="117" t="n">
        <v>0</v>
      </c>
      <c r="R644" s="117" t="n">
        <v>831894.31</v>
      </c>
      <c r="S644" s="117" t="n">
        <v>0</v>
      </c>
      <c r="T644" s="117" t="n">
        <v>0</v>
      </c>
      <c r="U644" s="117" t="n">
        <v>318999</v>
      </c>
      <c r="V644" s="117" t="s">
        <v>143</v>
      </c>
      <c r="X644" s="117" t="s">
        <v>1299</v>
      </c>
      <c r="Z644" s="117" t="n">
        <v>100022980</v>
      </c>
      <c r="AD644" s="117" t="n">
        <v>110000</v>
      </c>
      <c r="AE644" s="117" t="s">
        <v>1966</v>
      </c>
      <c r="AF644" s="117" t="n">
        <v>110000</v>
      </c>
      <c r="AG644" s="117" t="s">
        <v>1966</v>
      </c>
      <c r="AI644" s="117" t="n">
        <v>110000</v>
      </c>
      <c r="AJ644" s="117" t="s">
        <v>1966</v>
      </c>
      <c r="AK644" s="117" t="n">
        <v>0</v>
      </c>
      <c r="AL644" s="117" t="n">
        <v>4</v>
      </c>
      <c r="AM644" s="117" t="s">
        <v>161</v>
      </c>
      <c r="AP644" s="117" t="n">
        <v>100039982</v>
      </c>
      <c r="AQ644" s="118" t="n">
        <v>43645</v>
      </c>
      <c r="AR644" s="118" t="n">
        <v>43618</v>
      </c>
      <c r="AS644" s="117" t="n">
        <v>0.614305555555556</v>
      </c>
      <c r="AT644" s="117" t="n">
        <v>0</v>
      </c>
      <c r="AU644" s="117" t="n">
        <v>0</v>
      </c>
      <c r="AX644" s="117" t="n">
        <v>5</v>
      </c>
    </row>
    <row r="645" s="106" customFormat="true" ht="13.8" hidden="true" customHeight="false" outlineLevel="0" collapsed="false">
      <c r="A645" s="106" t="n">
        <v>1000</v>
      </c>
      <c r="B645" s="106" t="s">
        <v>1962</v>
      </c>
      <c r="C645" s="106" t="n">
        <v>108507</v>
      </c>
      <c r="D645" s="106" t="s">
        <v>2343</v>
      </c>
      <c r="E645" s="106" t="s">
        <v>1970</v>
      </c>
      <c r="F645" s="106" t="n">
        <v>1109</v>
      </c>
      <c r="G645" s="106" t="n">
        <v>2019</v>
      </c>
      <c r="H645" s="106" t="n">
        <v>7</v>
      </c>
      <c r="I645" s="129" t="n">
        <v>43764</v>
      </c>
      <c r="J645" s="129" t="n">
        <v>43764</v>
      </c>
      <c r="K645" s="107" t="n">
        <v>1424503.08</v>
      </c>
      <c r="L645" s="130" t="n">
        <f aca="false">K645-Q645+T645</f>
        <v>1207206</v>
      </c>
      <c r="M645" s="106" t="s">
        <v>149</v>
      </c>
      <c r="N645" s="106" t="n">
        <v>1424503.08</v>
      </c>
      <c r="O645" s="106" t="s">
        <v>149</v>
      </c>
      <c r="P645" s="106" t="n">
        <v>0</v>
      </c>
      <c r="Q645" s="107" t="n">
        <v>217297.08</v>
      </c>
      <c r="R645" s="106" t="n">
        <v>1207206</v>
      </c>
      <c r="S645" s="106" t="n">
        <v>0</v>
      </c>
      <c r="T645" s="106" t="n">
        <v>0</v>
      </c>
      <c r="U645" s="106" t="n">
        <v>312193</v>
      </c>
      <c r="V645" s="106" t="s">
        <v>1963</v>
      </c>
      <c r="Z645" s="106" t="n">
        <v>60958</v>
      </c>
      <c r="AB645" s="106" t="s">
        <v>2124</v>
      </c>
      <c r="AD645" s="106" t="n">
        <v>110000</v>
      </c>
      <c r="AE645" s="106" t="s">
        <v>1966</v>
      </c>
      <c r="AF645" s="106" t="n">
        <v>501005</v>
      </c>
      <c r="AG645" s="106" t="s">
        <v>2033</v>
      </c>
      <c r="AI645" s="106" t="n">
        <v>501005</v>
      </c>
      <c r="AJ645" s="106" t="s">
        <v>2033</v>
      </c>
      <c r="AK645" s="106" t="n">
        <v>0</v>
      </c>
      <c r="AL645" s="106" t="n">
        <v>1</v>
      </c>
      <c r="AM645" s="106" t="s">
        <v>161</v>
      </c>
      <c r="AP645" s="106" t="n">
        <v>100141449</v>
      </c>
      <c r="AQ645" s="129" t="n">
        <v>43766</v>
      </c>
      <c r="AR645" s="129" t="n">
        <v>43764</v>
      </c>
      <c r="AS645" s="106" t="n">
        <v>0.849027777777778</v>
      </c>
      <c r="AT645" s="106" t="n">
        <v>0</v>
      </c>
      <c r="AU645" s="106" t="n">
        <v>0</v>
      </c>
      <c r="AX645" s="106" t="n">
        <v>1</v>
      </c>
      <c r="ALU645" s="0"/>
      <c r="ALV645" s="0"/>
      <c r="ALW645" s="0"/>
      <c r="ALX645" s="0"/>
      <c r="ALY645" s="0"/>
      <c r="ALZ645" s="0"/>
      <c r="AMA645" s="0"/>
      <c r="AMB645" s="0"/>
      <c r="AMC645" s="0"/>
      <c r="AMD645" s="0"/>
      <c r="AME645" s="0"/>
      <c r="AMF645" s="0"/>
      <c r="AMG645" s="0"/>
      <c r="AMH645" s="0"/>
      <c r="AMI645" s="0"/>
      <c r="AMJ645" s="0"/>
    </row>
    <row r="646" customFormat="false" ht="13.8" hidden="true" customHeight="false" outlineLevel="0" collapsed="false">
      <c r="A646" s="117" t="n">
        <v>1000</v>
      </c>
      <c r="B646" s="117" t="s">
        <v>1962</v>
      </c>
      <c r="C646" s="117" t="n">
        <v>100022449</v>
      </c>
      <c r="E646" s="117" t="s">
        <v>1921</v>
      </c>
      <c r="F646" s="117" t="n">
        <v>1108</v>
      </c>
      <c r="G646" s="117" t="n">
        <v>2019</v>
      </c>
      <c r="H646" s="117" t="n">
        <v>2</v>
      </c>
      <c r="I646" s="118" t="n">
        <v>43616</v>
      </c>
      <c r="J646" s="118" t="n">
        <v>43616</v>
      </c>
      <c r="K646" s="119" t="n">
        <v>542372.84</v>
      </c>
      <c r="L646" s="128" t="n">
        <f aca="false">K646-Q646+T646</f>
        <v>542372.84</v>
      </c>
      <c r="M646" s="117" t="s">
        <v>149</v>
      </c>
      <c r="N646" s="117" t="n">
        <v>542372.84</v>
      </c>
      <c r="O646" s="117" t="s">
        <v>149</v>
      </c>
      <c r="P646" s="117" t="n">
        <v>0</v>
      </c>
      <c r="Q646" s="117" t="n">
        <v>0</v>
      </c>
      <c r="R646" s="117" t="n">
        <v>542372.84</v>
      </c>
      <c r="S646" s="117" t="n">
        <v>0</v>
      </c>
      <c r="T646" s="117" t="n">
        <v>0</v>
      </c>
      <c r="U646" s="117" t="n">
        <v>312193</v>
      </c>
      <c r="V646" s="117" t="s">
        <v>1963</v>
      </c>
      <c r="X646" s="117" t="s">
        <v>2344</v>
      </c>
      <c r="Z646" s="117" t="n">
        <v>2346</v>
      </c>
      <c r="AB646" s="117" t="s">
        <v>2031</v>
      </c>
      <c r="AD646" s="117" t="n">
        <v>110000</v>
      </c>
      <c r="AE646" s="117" t="s">
        <v>1966</v>
      </c>
      <c r="AF646" s="117" t="n">
        <v>110000</v>
      </c>
      <c r="AG646" s="117" t="s">
        <v>1966</v>
      </c>
      <c r="AI646" s="117" t="n">
        <v>110000</v>
      </c>
      <c r="AJ646" s="117" t="s">
        <v>1966</v>
      </c>
      <c r="AK646" s="117" t="n">
        <v>0</v>
      </c>
      <c r="AL646" s="117" t="n">
        <v>4</v>
      </c>
      <c r="AM646" s="117" t="s">
        <v>161</v>
      </c>
      <c r="AP646" s="117" t="n">
        <v>100057890</v>
      </c>
      <c r="AQ646" s="118" t="n">
        <v>43677</v>
      </c>
      <c r="AR646" s="118" t="n">
        <v>43617</v>
      </c>
      <c r="AS646" s="117" t="n">
        <v>0.594490740740741</v>
      </c>
      <c r="AT646" s="117" t="n">
        <v>0</v>
      </c>
      <c r="AU646" s="117" t="n">
        <v>0</v>
      </c>
      <c r="AX646" s="117" t="n">
        <v>3</v>
      </c>
    </row>
    <row r="647" customFormat="false" ht="13.8" hidden="true" customHeight="false" outlineLevel="0" collapsed="false">
      <c r="A647" s="117" t="n">
        <v>1000</v>
      </c>
      <c r="B647" s="117" t="s">
        <v>1962</v>
      </c>
      <c r="C647" s="117" t="n">
        <v>1600000096</v>
      </c>
      <c r="E647" s="117" t="s">
        <v>1987</v>
      </c>
      <c r="F647" s="117" t="n">
        <v>1101</v>
      </c>
      <c r="G647" s="117" t="n">
        <v>2019</v>
      </c>
      <c r="H647" s="117" t="n">
        <v>3</v>
      </c>
      <c r="I647" s="118" t="n">
        <v>43645</v>
      </c>
      <c r="J647" s="118" t="n">
        <v>43645</v>
      </c>
      <c r="K647" s="119" t="n">
        <v>-8248</v>
      </c>
      <c r="L647" s="128" t="n">
        <f aca="false">K647-Q647+T647</f>
        <v>-8248</v>
      </c>
      <c r="M647" s="117" t="s">
        <v>149</v>
      </c>
      <c r="N647" s="117" t="n">
        <v>-8248</v>
      </c>
      <c r="O647" s="117" t="s">
        <v>149</v>
      </c>
      <c r="P647" s="117" t="n">
        <v>-8248</v>
      </c>
      <c r="Q647" s="117" t="n">
        <v>0</v>
      </c>
      <c r="R647" s="117" t="n">
        <v>-8248</v>
      </c>
      <c r="S647" s="117" t="n">
        <v>0</v>
      </c>
      <c r="T647" s="117" t="n">
        <v>0</v>
      </c>
      <c r="U647" s="117" t="n">
        <v>304431</v>
      </c>
      <c r="V647" s="117" t="s">
        <v>2016</v>
      </c>
      <c r="X647" s="117" t="s">
        <v>2345</v>
      </c>
      <c r="Y647" s="117" t="s">
        <v>2164</v>
      </c>
      <c r="Z647" s="117" t="n">
        <v>1600000096</v>
      </c>
      <c r="AD647" s="117" t="n">
        <v>110000</v>
      </c>
      <c r="AE647" s="117" t="s">
        <v>1966</v>
      </c>
      <c r="AF647" s="117" t="n">
        <v>111201</v>
      </c>
      <c r="AG647" s="117" t="s">
        <v>2165</v>
      </c>
      <c r="AI647" s="117" t="n">
        <v>111201</v>
      </c>
      <c r="AJ647" s="117" t="s">
        <v>2165</v>
      </c>
      <c r="AK647" s="117" t="n">
        <v>0</v>
      </c>
      <c r="AL647" s="117" t="n">
        <v>14</v>
      </c>
      <c r="AM647" s="117" t="s">
        <v>225</v>
      </c>
      <c r="AP647" s="117" t="n">
        <v>100048476</v>
      </c>
      <c r="AQ647" s="118" t="n">
        <v>43646</v>
      </c>
      <c r="AR647" s="118" t="n">
        <v>43645</v>
      </c>
      <c r="AS647" s="117" t="n">
        <v>0.743657407407408</v>
      </c>
      <c r="AT647" s="117" t="n">
        <v>0</v>
      </c>
      <c r="AU647" s="117" t="n">
        <v>0</v>
      </c>
      <c r="AX647" s="117" t="n">
        <v>13</v>
      </c>
    </row>
    <row r="648" customFormat="false" ht="13.8" hidden="true" customHeight="false" outlineLevel="0" collapsed="false">
      <c r="A648" s="117" t="n">
        <v>1000</v>
      </c>
      <c r="B648" s="117" t="s">
        <v>1962</v>
      </c>
      <c r="C648" s="117" t="n">
        <v>100005104</v>
      </c>
      <c r="E648" s="117" t="s">
        <v>1921</v>
      </c>
      <c r="F648" s="117" t="n">
        <v>1108</v>
      </c>
      <c r="G648" s="117" t="n">
        <v>2019</v>
      </c>
      <c r="H648" s="117" t="n">
        <v>1</v>
      </c>
      <c r="I648" s="118" t="n">
        <v>43585</v>
      </c>
      <c r="J648" s="118" t="n">
        <v>43585</v>
      </c>
      <c r="K648" s="119" t="n">
        <v>8405</v>
      </c>
      <c r="L648" s="128" t="n">
        <f aca="false">K648-Q648+T648</f>
        <v>8405</v>
      </c>
      <c r="M648" s="117" t="s">
        <v>149</v>
      </c>
      <c r="N648" s="117" t="n">
        <v>8405</v>
      </c>
      <c r="O648" s="117" t="s">
        <v>149</v>
      </c>
      <c r="P648" s="117" t="n">
        <v>0</v>
      </c>
      <c r="Q648" s="117" t="n">
        <v>0</v>
      </c>
      <c r="R648" s="117" t="n">
        <v>8405</v>
      </c>
      <c r="S648" s="117" t="n">
        <v>0</v>
      </c>
      <c r="T648" s="117" t="n">
        <v>0</v>
      </c>
      <c r="U648" s="117" t="n">
        <v>312193</v>
      </c>
      <c r="V648" s="117" t="s">
        <v>1963</v>
      </c>
      <c r="X648" s="117" t="s">
        <v>2346</v>
      </c>
      <c r="Z648" s="117" t="n">
        <v>2346</v>
      </c>
      <c r="AB648" s="117" t="s">
        <v>2031</v>
      </c>
      <c r="AD648" s="117" t="n">
        <v>110000</v>
      </c>
      <c r="AE648" s="117" t="s">
        <v>1966</v>
      </c>
      <c r="AF648" s="117" t="n">
        <v>110000</v>
      </c>
      <c r="AG648" s="117" t="s">
        <v>1966</v>
      </c>
      <c r="AI648" s="117" t="n">
        <v>110000</v>
      </c>
      <c r="AJ648" s="117" t="s">
        <v>1966</v>
      </c>
      <c r="AK648" s="117" t="n">
        <v>0</v>
      </c>
      <c r="AL648" s="117" t="n">
        <v>4</v>
      </c>
      <c r="AM648" s="117" t="s">
        <v>161</v>
      </c>
      <c r="AP648" s="117" t="n">
        <v>100173563</v>
      </c>
      <c r="AQ648" s="118" t="n">
        <v>43799</v>
      </c>
      <c r="AR648" s="118" t="n">
        <v>43586</v>
      </c>
      <c r="AS648" s="117" t="n">
        <v>0.418055555555556</v>
      </c>
      <c r="AT648" s="117" t="n">
        <v>0</v>
      </c>
      <c r="AU648" s="117" t="n">
        <v>0</v>
      </c>
      <c r="AX648" s="117" t="n">
        <v>2</v>
      </c>
    </row>
    <row r="649" customFormat="false" ht="13.8" hidden="true" customHeight="false" outlineLevel="0" collapsed="false">
      <c r="A649" s="117" t="n">
        <v>1000</v>
      </c>
      <c r="B649" s="117" t="s">
        <v>1962</v>
      </c>
      <c r="C649" s="117" t="n">
        <v>100004317</v>
      </c>
      <c r="E649" s="117" t="s">
        <v>1921</v>
      </c>
      <c r="F649" s="117" t="n">
        <v>1106</v>
      </c>
      <c r="G649" s="117" t="n">
        <v>2019</v>
      </c>
      <c r="H649" s="117" t="n">
        <v>1</v>
      </c>
      <c r="I649" s="118" t="n">
        <v>43583</v>
      </c>
      <c r="J649" s="118" t="n">
        <v>43583</v>
      </c>
      <c r="K649" s="119" t="n">
        <v>2643731</v>
      </c>
      <c r="L649" s="128" t="n">
        <f aca="false">K649-Q649+T649</f>
        <v>2643731</v>
      </c>
      <c r="M649" s="117" t="s">
        <v>149</v>
      </c>
      <c r="N649" s="117" t="n">
        <v>2643731</v>
      </c>
      <c r="O649" s="117" t="s">
        <v>149</v>
      </c>
      <c r="P649" s="117" t="n">
        <v>0</v>
      </c>
      <c r="Q649" s="117" t="n">
        <v>0</v>
      </c>
      <c r="R649" s="117" t="n">
        <v>2643731</v>
      </c>
      <c r="S649" s="117" t="n">
        <v>0</v>
      </c>
      <c r="T649" s="117" t="n">
        <v>0</v>
      </c>
      <c r="U649" s="117" t="n">
        <v>305576</v>
      </c>
      <c r="V649" s="117" t="s">
        <v>1973</v>
      </c>
      <c r="Z649" s="117" t="n">
        <v>100004317</v>
      </c>
      <c r="AD649" s="117" t="n">
        <v>310300</v>
      </c>
      <c r="AE649" s="117" t="s">
        <v>1969</v>
      </c>
      <c r="AF649" s="117" t="n">
        <v>110000</v>
      </c>
      <c r="AG649" s="117" t="s">
        <v>1966</v>
      </c>
      <c r="AI649" s="117" t="n">
        <v>110000</v>
      </c>
      <c r="AJ649" s="117" t="s">
        <v>1966</v>
      </c>
      <c r="AK649" s="117" t="n">
        <v>0</v>
      </c>
      <c r="AL649" s="117" t="n">
        <v>9</v>
      </c>
      <c r="AM649" s="117" t="s">
        <v>161</v>
      </c>
      <c r="AN649" s="117" t="s">
        <v>1978</v>
      </c>
      <c r="AP649" s="117" t="n">
        <v>100004317</v>
      </c>
      <c r="AQ649" s="118" t="n">
        <v>43583</v>
      </c>
      <c r="AR649" s="118" t="n">
        <v>43583</v>
      </c>
      <c r="AS649" s="117" t="n">
        <v>0.489409722222222</v>
      </c>
      <c r="AT649" s="117" t="n">
        <v>0</v>
      </c>
      <c r="AU649" s="117" t="n">
        <v>0</v>
      </c>
      <c r="AX649" s="117" t="n">
        <v>4</v>
      </c>
    </row>
    <row r="650" customFormat="false" ht="13.8" hidden="true" customHeight="false" outlineLevel="0" collapsed="false">
      <c r="A650" s="117" t="n">
        <v>1000</v>
      </c>
      <c r="B650" s="117" t="s">
        <v>1962</v>
      </c>
      <c r="C650" s="117" t="n">
        <v>100004315</v>
      </c>
      <c r="E650" s="117" t="s">
        <v>1921</v>
      </c>
      <c r="F650" s="117" t="n">
        <v>1106</v>
      </c>
      <c r="G650" s="117" t="n">
        <v>2019</v>
      </c>
      <c r="H650" s="117" t="n">
        <v>1</v>
      </c>
      <c r="I650" s="118" t="n">
        <v>43583</v>
      </c>
      <c r="J650" s="118" t="n">
        <v>43583</v>
      </c>
      <c r="K650" s="119" t="n">
        <v>4466620.63</v>
      </c>
      <c r="L650" s="128" t="n">
        <f aca="false">K650-Q650+T650</f>
        <v>4466620.63</v>
      </c>
      <c r="M650" s="117" t="s">
        <v>149</v>
      </c>
      <c r="N650" s="117" t="n">
        <v>4466620.63</v>
      </c>
      <c r="O650" s="117" t="s">
        <v>149</v>
      </c>
      <c r="P650" s="117" t="n">
        <v>0</v>
      </c>
      <c r="Q650" s="117" t="n">
        <v>0</v>
      </c>
      <c r="R650" s="117" t="n">
        <v>4466620.63</v>
      </c>
      <c r="S650" s="117" t="n">
        <v>0</v>
      </c>
      <c r="T650" s="117" t="n">
        <v>0</v>
      </c>
      <c r="U650" s="117" t="n">
        <v>304431</v>
      </c>
      <c r="V650" s="117" t="s">
        <v>2016</v>
      </c>
      <c r="Z650" s="117" t="n">
        <v>100004315</v>
      </c>
      <c r="AD650" s="117" t="n">
        <v>310300</v>
      </c>
      <c r="AE650" s="117" t="s">
        <v>1969</v>
      </c>
      <c r="AF650" s="117" t="n">
        <v>110000</v>
      </c>
      <c r="AG650" s="117" t="s">
        <v>1966</v>
      </c>
      <c r="AI650" s="117" t="n">
        <v>110000</v>
      </c>
      <c r="AJ650" s="117" t="s">
        <v>1966</v>
      </c>
      <c r="AK650" s="117" t="n">
        <v>0</v>
      </c>
      <c r="AL650" s="117" t="n">
        <v>9</v>
      </c>
      <c r="AM650" s="117" t="s">
        <v>161</v>
      </c>
      <c r="AN650" s="117" t="s">
        <v>1978</v>
      </c>
      <c r="AP650" s="117" t="n">
        <v>100004315</v>
      </c>
      <c r="AQ650" s="118" t="n">
        <v>43583</v>
      </c>
      <c r="AR650" s="118" t="n">
        <v>43583</v>
      </c>
      <c r="AS650" s="117" t="n">
        <v>0.487314814814815</v>
      </c>
      <c r="AT650" s="117" t="n">
        <v>0</v>
      </c>
      <c r="AU650" s="117" t="n">
        <v>0</v>
      </c>
      <c r="AX650" s="117" t="n">
        <v>5</v>
      </c>
    </row>
    <row r="651" customFormat="false" ht="13.8" hidden="true" customHeight="false" outlineLevel="0" collapsed="false">
      <c r="A651" s="117" t="n">
        <v>1000</v>
      </c>
      <c r="B651" s="117" t="s">
        <v>1962</v>
      </c>
      <c r="C651" s="117" t="n">
        <v>100022447</v>
      </c>
      <c r="E651" s="117" t="s">
        <v>1921</v>
      </c>
      <c r="F651" s="117" t="n">
        <v>1101</v>
      </c>
      <c r="G651" s="117" t="n">
        <v>2019</v>
      </c>
      <c r="H651" s="117" t="n">
        <v>2</v>
      </c>
      <c r="I651" s="118" t="n">
        <v>43616</v>
      </c>
      <c r="J651" s="118" t="n">
        <v>43616</v>
      </c>
      <c r="K651" s="119" t="n">
        <v>1568372.28</v>
      </c>
      <c r="L651" s="128" t="n">
        <f aca="false">K651-Q651+T651</f>
        <v>1568372.28</v>
      </c>
      <c r="M651" s="117" t="s">
        <v>149</v>
      </c>
      <c r="N651" s="117" t="n">
        <v>1568372.28</v>
      </c>
      <c r="O651" s="117" t="s">
        <v>149</v>
      </c>
      <c r="P651" s="117" t="n">
        <v>0</v>
      </c>
      <c r="Q651" s="117" t="n">
        <v>0</v>
      </c>
      <c r="R651" s="117" t="n">
        <v>1568372.28</v>
      </c>
      <c r="S651" s="117" t="n">
        <v>0</v>
      </c>
      <c r="T651" s="117" t="n">
        <v>0</v>
      </c>
      <c r="U651" s="117" t="n">
        <v>312193</v>
      </c>
      <c r="V651" s="117" t="s">
        <v>1963</v>
      </c>
      <c r="Z651" s="117" t="n">
        <v>100022447</v>
      </c>
      <c r="AD651" s="117" t="n">
        <v>310300</v>
      </c>
      <c r="AE651" s="117" t="s">
        <v>1969</v>
      </c>
      <c r="AF651" s="117" t="n">
        <v>110000</v>
      </c>
      <c r="AG651" s="117" t="s">
        <v>1966</v>
      </c>
      <c r="AI651" s="117" t="n">
        <v>110000</v>
      </c>
      <c r="AJ651" s="117" t="s">
        <v>1966</v>
      </c>
      <c r="AK651" s="117" t="n">
        <v>0</v>
      </c>
      <c r="AL651" s="117" t="n">
        <v>9</v>
      </c>
      <c r="AM651" s="117" t="s">
        <v>161</v>
      </c>
      <c r="AN651" s="117" t="s">
        <v>1978</v>
      </c>
      <c r="AP651" s="117" t="n">
        <v>100022447</v>
      </c>
      <c r="AQ651" s="118" t="n">
        <v>43616</v>
      </c>
      <c r="AR651" s="118" t="n">
        <v>43617</v>
      </c>
      <c r="AS651" s="117" t="n">
        <v>0.592361111111111</v>
      </c>
      <c r="AT651" s="117" t="n">
        <v>0</v>
      </c>
      <c r="AU651" s="117" t="n">
        <v>0</v>
      </c>
      <c r="AX651" s="117" t="n">
        <v>7</v>
      </c>
    </row>
    <row r="652" customFormat="false" ht="13.8" hidden="true" customHeight="false" outlineLevel="0" collapsed="false">
      <c r="A652" s="117" t="n">
        <v>1000</v>
      </c>
      <c r="B652" s="117" t="s">
        <v>1962</v>
      </c>
      <c r="C652" s="117" t="n">
        <v>1600000018</v>
      </c>
      <c r="D652" s="117" t="s">
        <v>2175</v>
      </c>
      <c r="E652" s="117" t="s">
        <v>1987</v>
      </c>
      <c r="F652" s="117" t="n">
        <v>1106</v>
      </c>
      <c r="G652" s="117" t="n">
        <v>2019</v>
      </c>
      <c r="H652" s="117" t="n">
        <v>1</v>
      </c>
      <c r="I652" s="118" t="n">
        <v>43584</v>
      </c>
      <c r="J652" s="118" t="n">
        <v>43584</v>
      </c>
      <c r="K652" s="119" t="n">
        <v>-24225.04</v>
      </c>
      <c r="L652" s="128" t="n">
        <f aca="false">K652-Q652+T652</f>
        <v>-24225.04</v>
      </c>
      <c r="M652" s="117" t="s">
        <v>149</v>
      </c>
      <c r="N652" s="117" t="n">
        <v>-24225.04</v>
      </c>
      <c r="O652" s="117" t="s">
        <v>149</v>
      </c>
      <c r="P652" s="117" t="n">
        <v>-24225.04</v>
      </c>
      <c r="Q652" s="117" t="n">
        <v>0</v>
      </c>
      <c r="R652" s="117" t="n">
        <v>-24225.04</v>
      </c>
      <c r="S652" s="117" t="n">
        <v>0</v>
      </c>
      <c r="T652" s="117" t="n">
        <v>0</v>
      </c>
      <c r="U652" s="117" t="n">
        <v>314258</v>
      </c>
      <c r="V652" s="117" t="s">
        <v>143</v>
      </c>
      <c r="X652" s="117" t="s">
        <v>2176</v>
      </c>
      <c r="Y652" s="117" t="s">
        <v>2176</v>
      </c>
      <c r="Z652" s="117" t="n">
        <v>1600000018</v>
      </c>
      <c r="AD652" s="117" t="n">
        <v>110000</v>
      </c>
      <c r="AE652" s="117" t="s">
        <v>1966</v>
      </c>
      <c r="AF652" s="117" t="n">
        <v>314258</v>
      </c>
      <c r="AG652" s="117" t="s">
        <v>143</v>
      </c>
      <c r="AI652" s="117" t="n">
        <v>314258</v>
      </c>
      <c r="AJ652" s="131" t="s">
        <v>143</v>
      </c>
      <c r="AK652" s="117" t="n">
        <v>0</v>
      </c>
      <c r="AL652" s="117" t="n">
        <v>14</v>
      </c>
      <c r="AM652" s="117" t="s">
        <v>225</v>
      </c>
      <c r="AP652" s="117" t="n">
        <v>100005116</v>
      </c>
      <c r="AQ652" s="118" t="n">
        <v>43585</v>
      </c>
      <c r="AR652" s="118" t="n">
        <v>43586</v>
      </c>
      <c r="AS652" s="117" t="n">
        <v>0.498333333333333</v>
      </c>
      <c r="AT652" s="117" t="n">
        <v>0</v>
      </c>
      <c r="AU652" s="117" t="n">
        <v>0</v>
      </c>
      <c r="AX652" s="117" t="n">
        <v>2</v>
      </c>
    </row>
    <row r="653" customFormat="false" ht="13.8" hidden="true" customHeight="false" outlineLevel="0" collapsed="false">
      <c r="A653" s="117" t="n">
        <v>1000</v>
      </c>
      <c r="B653" s="117" t="s">
        <v>1962</v>
      </c>
      <c r="C653" s="117" t="n">
        <v>100022980</v>
      </c>
      <c r="E653" s="117" t="s">
        <v>1921</v>
      </c>
      <c r="F653" s="117" t="n">
        <v>1101</v>
      </c>
      <c r="G653" s="117" t="n">
        <v>2019</v>
      </c>
      <c r="H653" s="117" t="n">
        <v>2</v>
      </c>
      <c r="I653" s="118" t="n">
        <v>43616</v>
      </c>
      <c r="J653" s="118" t="n">
        <v>43616</v>
      </c>
      <c r="K653" s="119" t="n">
        <v>1189130.2</v>
      </c>
      <c r="L653" s="128" t="n">
        <f aca="false">K653-Q653+T653</f>
        <v>1189130.2</v>
      </c>
      <c r="M653" s="117" t="s">
        <v>149</v>
      </c>
      <c r="N653" s="117" t="n">
        <v>1189130.2</v>
      </c>
      <c r="O653" s="117" t="s">
        <v>149</v>
      </c>
      <c r="P653" s="117" t="n">
        <v>0</v>
      </c>
      <c r="Q653" s="117" t="n">
        <v>0</v>
      </c>
      <c r="R653" s="117" t="n">
        <v>1189130.2</v>
      </c>
      <c r="S653" s="117" t="n">
        <v>0</v>
      </c>
      <c r="T653" s="117" t="n">
        <v>0</v>
      </c>
      <c r="U653" s="117" t="n">
        <v>318999</v>
      </c>
      <c r="V653" s="117" t="s">
        <v>143</v>
      </c>
      <c r="X653" s="117" t="s">
        <v>2188</v>
      </c>
      <c r="Z653" s="117" t="n">
        <v>100022980</v>
      </c>
      <c r="AD653" s="117" t="n">
        <v>110000</v>
      </c>
      <c r="AE653" s="117" t="s">
        <v>1966</v>
      </c>
      <c r="AF653" s="117" t="n">
        <v>110000</v>
      </c>
      <c r="AG653" s="117" t="s">
        <v>1966</v>
      </c>
      <c r="AI653" s="117" t="n">
        <v>110000</v>
      </c>
      <c r="AJ653" s="117" t="s">
        <v>1966</v>
      </c>
      <c r="AK653" s="117" t="n">
        <v>0</v>
      </c>
      <c r="AL653" s="117" t="n">
        <v>4</v>
      </c>
      <c r="AM653" s="117" t="s">
        <v>161</v>
      </c>
      <c r="AP653" s="117" t="n">
        <v>100082045</v>
      </c>
      <c r="AQ653" s="118" t="n">
        <v>43708</v>
      </c>
      <c r="AR653" s="118" t="n">
        <v>43618</v>
      </c>
      <c r="AS653" s="117" t="n">
        <v>0.614305555555556</v>
      </c>
      <c r="AT653" s="117" t="n">
        <v>0</v>
      </c>
      <c r="AU653" s="117" t="n">
        <v>0</v>
      </c>
      <c r="AX653" s="117" t="n">
        <v>17</v>
      </c>
    </row>
    <row r="654" s="106" customFormat="true" ht="13.8" hidden="true" customHeight="false" outlineLevel="0" collapsed="false">
      <c r="A654" s="106" t="n">
        <v>1000</v>
      </c>
      <c r="B654" s="106" t="s">
        <v>1962</v>
      </c>
      <c r="C654" s="106" t="n">
        <v>102193</v>
      </c>
      <c r="D654" s="106" t="s">
        <v>1301</v>
      </c>
      <c r="E654" s="106" t="s">
        <v>1970</v>
      </c>
      <c r="F654" s="106" t="n">
        <v>1101</v>
      </c>
      <c r="G654" s="106" t="n">
        <v>2019</v>
      </c>
      <c r="H654" s="106" t="n">
        <v>2</v>
      </c>
      <c r="I654" s="129" t="n">
        <v>43612</v>
      </c>
      <c r="J654" s="129" t="n">
        <v>43612</v>
      </c>
      <c r="K654" s="107" t="n">
        <v>1640176.3</v>
      </c>
      <c r="L654" s="130" t="n">
        <f aca="false">K654-Q654+T654</f>
        <v>1389979.9</v>
      </c>
      <c r="M654" s="106" t="s">
        <v>149</v>
      </c>
      <c r="N654" s="106" t="n">
        <v>1640176.3</v>
      </c>
      <c r="O654" s="106" t="s">
        <v>149</v>
      </c>
      <c r="P654" s="106" t="n">
        <v>0</v>
      </c>
      <c r="Q654" s="107" t="n">
        <v>250196.4</v>
      </c>
      <c r="R654" s="106" t="n">
        <v>1389979.9</v>
      </c>
      <c r="S654" s="106" t="n">
        <v>0</v>
      </c>
      <c r="T654" s="106" t="n">
        <v>0</v>
      </c>
      <c r="U654" s="106" t="n">
        <v>318999</v>
      </c>
      <c r="V654" s="106" t="s">
        <v>143</v>
      </c>
      <c r="Z654" s="106" t="n">
        <v>102193</v>
      </c>
      <c r="AD654" s="106" t="n">
        <v>110000</v>
      </c>
      <c r="AE654" s="106" t="s">
        <v>1966</v>
      </c>
      <c r="AF654" s="106" t="n">
        <v>501040</v>
      </c>
      <c r="AG654" s="106" t="s">
        <v>2036</v>
      </c>
      <c r="AI654" s="106" t="n">
        <v>501040</v>
      </c>
      <c r="AJ654" s="106" t="s">
        <v>2036</v>
      </c>
      <c r="AK654" s="106" t="n">
        <v>0</v>
      </c>
      <c r="AL654" s="106" t="n">
        <v>1</v>
      </c>
      <c r="AM654" s="106" t="s">
        <v>161</v>
      </c>
      <c r="AP654" s="106" t="n">
        <v>100022980</v>
      </c>
      <c r="AQ654" s="129" t="n">
        <v>43616</v>
      </c>
      <c r="AR654" s="129" t="n">
        <v>43612</v>
      </c>
      <c r="AS654" s="106" t="n">
        <v>0.612719907407407</v>
      </c>
      <c r="AT654" s="106" t="n">
        <v>0</v>
      </c>
      <c r="AU654" s="106" t="n">
        <v>0</v>
      </c>
      <c r="AX654" s="106" t="n">
        <v>1</v>
      </c>
      <c r="ALU654" s="0"/>
      <c r="ALV654" s="0"/>
      <c r="ALW654" s="0"/>
      <c r="ALX654" s="0"/>
      <c r="ALY654" s="0"/>
      <c r="ALZ654" s="0"/>
      <c r="AMA654" s="0"/>
      <c r="AMB654" s="0"/>
      <c r="AMC654" s="0"/>
      <c r="AMD654" s="0"/>
      <c r="AME654" s="0"/>
      <c r="AMF654" s="0"/>
      <c r="AMG654" s="0"/>
      <c r="AMH654" s="0"/>
      <c r="AMI654" s="0"/>
      <c r="AMJ654" s="0"/>
    </row>
    <row r="655" s="106" customFormat="true" ht="13.8" hidden="true" customHeight="false" outlineLevel="0" collapsed="false">
      <c r="A655" s="106" t="n">
        <v>1000</v>
      </c>
      <c r="B655" s="106" t="s">
        <v>1962</v>
      </c>
      <c r="C655" s="106" t="n">
        <v>101141</v>
      </c>
      <c r="D655" s="106" t="s">
        <v>2182</v>
      </c>
      <c r="E655" s="106" t="s">
        <v>1970</v>
      </c>
      <c r="F655" s="106" t="n">
        <v>1108</v>
      </c>
      <c r="G655" s="106" t="n">
        <v>2019</v>
      </c>
      <c r="H655" s="106" t="n">
        <v>1</v>
      </c>
      <c r="I655" s="129" t="n">
        <v>43585</v>
      </c>
      <c r="J655" s="129" t="n">
        <v>43585</v>
      </c>
      <c r="K655" s="107" t="n">
        <v>305436.16</v>
      </c>
      <c r="L655" s="130" t="n">
        <f aca="false">K655-Q655+T655</f>
        <v>258844.2</v>
      </c>
      <c r="M655" s="106" t="s">
        <v>149</v>
      </c>
      <c r="N655" s="106" t="n">
        <v>305436.16</v>
      </c>
      <c r="O655" s="106" t="s">
        <v>149</v>
      </c>
      <c r="P655" s="106" t="n">
        <v>0</v>
      </c>
      <c r="Q655" s="107" t="n">
        <v>46591.96</v>
      </c>
      <c r="R655" s="106" t="n">
        <v>258844.2</v>
      </c>
      <c r="S655" s="106" t="n">
        <v>0</v>
      </c>
      <c r="T655" s="106" t="n">
        <v>0</v>
      </c>
      <c r="U655" s="106" t="n">
        <v>312193</v>
      </c>
      <c r="V655" s="106" t="s">
        <v>1963</v>
      </c>
      <c r="Z655" s="106" t="n">
        <v>2346</v>
      </c>
      <c r="AB655" s="106" t="s">
        <v>2031</v>
      </c>
      <c r="AD655" s="106" t="n">
        <v>110000</v>
      </c>
      <c r="AE655" s="106" t="s">
        <v>1966</v>
      </c>
      <c r="AF655" s="106" t="n">
        <v>501020</v>
      </c>
      <c r="AG655" s="106" t="s">
        <v>1971</v>
      </c>
      <c r="AI655" s="106" t="n">
        <v>501020</v>
      </c>
      <c r="AJ655" s="106" t="s">
        <v>1971</v>
      </c>
      <c r="AK655" s="106" t="n">
        <v>0</v>
      </c>
      <c r="AL655" s="106" t="n">
        <v>1</v>
      </c>
      <c r="AM655" s="106" t="s">
        <v>161</v>
      </c>
      <c r="AP655" s="106" t="n">
        <v>100005107</v>
      </c>
      <c r="AQ655" s="129" t="n">
        <v>43585</v>
      </c>
      <c r="AR655" s="129" t="n">
        <v>43585</v>
      </c>
      <c r="AS655" s="106" t="n">
        <v>0.728159722222222</v>
      </c>
      <c r="AT655" s="106" t="n">
        <v>0</v>
      </c>
      <c r="AU655" s="106" t="n">
        <v>0</v>
      </c>
      <c r="AX655" s="106" t="n">
        <v>1</v>
      </c>
      <c r="ALU655" s="0"/>
      <c r="ALV655" s="0"/>
      <c r="ALW655" s="0"/>
      <c r="ALX655" s="0"/>
      <c r="ALY655" s="0"/>
      <c r="ALZ655" s="0"/>
      <c r="AMA655" s="0"/>
      <c r="AMB655" s="0"/>
      <c r="AMC655" s="0"/>
      <c r="AMD655" s="0"/>
      <c r="AME655" s="0"/>
      <c r="AMF655" s="0"/>
      <c r="AMG655" s="0"/>
      <c r="AMH655" s="0"/>
      <c r="AMI655" s="0"/>
      <c r="AMJ655" s="0"/>
    </row>
    <row r="656" customFormat="false" ht="13.8" hidden="true" customHeight="false" outlineLevel="0" collapsed="false">
      <c r="A656" s="117" t="n">
        <v>1000</v>
      </c>
      <c r="B656" s="117" t="s">
        <v>1962</v>
      </c>
      <c r="C656" s="117" t="n">
        <v>100005104</v>
      </c>
      <c r="E656" s="117" t="s">
        <v>1921</v>
      </c>
      <c r="F656" s="117" t="n">
        <v>1101</v>
      </c>
      <c r="G656" s="117" t="n">
        <v>2019</v>
      </c>
      <c r="H656" s="117" t="n">
        <v>1</v>
      </c>
      <c r="I656" s="118" t="n">
        <v>43585</v>
      </c>
      <c r="J656" s="118" t="n">
        <v>43585</v>
      </c>
      <c r="K656" s="119" t="n">
        <v>3218706.64</v>
      </c>
      <c r="L656" s="128" t="n">
        <f aca="false">K656-Q656+T656</f>
        <v>3218706.64</v>
      </c>
      <c r="M656" s="117" t="s">
        <v>149</v>
      </c>
      <c r="N656" s="117" t="n">
        <v>3218706.64</v>
      </c>
      <c r="O656" s="117" t="s">
        <v>149</v>
      </c>
      <c r="P656" s="117" t="n">
        <v>0</v>
      </c>
      <c r="Q656" s="117" t="n">
        <v>0</v>
      </c>
      <c r="R656" s="117" t="n">
        <v>3218706.64</v>
      </c>
      <c r="S656" s="117" t="n">
        <v>0</v>
      </c>
      <c r="T656" s="117" t="n">
        <v>0</v>
      </c>
      <c r="U656" s="117" t="n">
        <v>312193</v>
      </c>
      <c r="V656" s="117" t="s">
        <v>1963</v>
      </c>
      <c r="Z656" s="117" t="n">
        <v>100005104</v>
      </c>
      <c r="AD656" s="117" t="n">
        <v>310300</v>
      </c>
      <c r="AE656" s="117" t="s">
        <v>1969</v>
      </c>
      <c r="AF656" s="117" t="n">
        <v>110000</v>
      </c>
      <c r="AG656" s="117" t="s">
        <v>1966</v>
      </c>
      <c r="AI656" s="117" t="n">
        <v>110000</v>
      </c>
      <c r="AJ656" s="117" t="s">
        <v>1966</v>
      </c>
      <c r="AK656" s="117" t="n">
        <v>0</v>
      </c>
      <c r="AL656" s="117" t="n">
        <v>9</v>
      </c>
      <c r="AM656" s="117" t="s">
        <v>161</v>
      </c>
      <c r="AN656" s="117" t="s">
        <v>1978</v>
      </c>
      <c r="AP656" s="117" t="n">
        <v>100005104</v>
      </c>
      <c r="AQ656" s="118" t="n">
        <v>43585</v>
      </c>
      <c r="AR656" s="118" t="n">
        <v>43586</v>
      </c>
      <c r="AS656" s="117" t="n">
        <v>0.418055555555556</v>
      </c>
      <c r="AT656" s="117" t="n">
        <v>0</v>
      </c>
      <c r="AU656" s="117" t="n">
        <v>0</v>
      </c>
      <c r="AX656" s="117" t="n">
        <v>10</v>
      </c>
    </row>
    <row r="657" s="106" customFormat="true" ht="13.8" hidden="true" customHeight="false" outlineLevel="0" collapsed="false">
      <c r="A657" s="106" t="n">
        <v>1000</v>
      </c>
      <c r="B657" s="106" t="s">
        <v>1962</v>
      </c>
      <c r="C657" s="106" t="n">
        <v>103538</v>
      </c>
      <c r="D657" s="106" t="s">
        <v>1319</v>
      </c>
      <c r="E657" s="106" t="s">
        <v>1970</v>
      </c>
      <c r="F657" s="106" t="n">
        <v>1101</v>
      </c>
      <c r="G657" s="106" t="n">
        <v>2019</v>
      </c>
      <c r="H657" s="106" t="n">
        <v>3</v>
      </c>
      <c r="I657" s="129" t="n">
        <v>43637</v>
      </c>
      <c r="J657" s="129" t="n">
        <v>43637</v>
      </c>
      <c r="K657" s="107" t="n">
        <v>1971071.16</v>
      </c>
      <c r="L657" s="130" t="n">
        <f aca="false">K657-Q657+T657</f>
        <v>1670399.28</v>
      </c>
      <c r="M657" s="106" t="s">
        <v>149</v>
      </c>
      <c r="N657" s="106" t="n">
        <v>1971071.16</v>
      </c>
      <c r="O657" s="106" t="s">
        <v>149</v>
      </c>
      <c r="P657" s="106" t="n">
        <v>0</v>
      </c>
      <c r="Q657" s="107" t="n">
        <v>300671.88</v>
      </c>
      <c r="R657" s="106" t="n">
        <v>1670399.28</v>
      </c>
      <c r="S657" s="106" t="n">
        <v>0</v>
      </c>
      <c r="T657" s="106" t="n">
        <v>0</v>
      </c>
      <c r="U657" s="106" t="n">
        <v>318999</v>
      </c>
      <c r="V657" s="106" t="s">
        <v>143</v>
      </c>
      <c r="Z657" s="106" t="n">
        <v>2388</v>
      </c>
      <c r="AB657" s="106" t="s">
        <v>2019</v>
      </c>
      <c r="AD657" s="106" t="n">
        <v>110000</v>
      </c>
      <c r="AE657" s="106" t="s">
        <v>1966</v>
      </c>
      <c r="AF657" s="106" t="n">
        <v>501020</v>
      </c>
      <c r="AG657" s="106" t="s">
        <v>1971</v>
      </c>
      <c r="AI657" s="106" t="n">
        <v>501020</v>
      </c>
      <c r="AJ657" s="106" t="s">
        <v>1971</v>
      </c>
      <c r="AK657" s="106" t="n">
        <v>0</v>
      </c>
      <c r="AL657" s="106" t="n">
        <v>1</v>
      </c>
      <c r="AM657" s="106" t="s">
        <v>161</v>
      </c>
      <c r="AP657" s="106" t="n">
        <v>100050545</v>
      </c>
      <c r="AQ657" s="129" t="n">
        <v>43646</v>
      </c>
      <c r="AR657" s="129" t="n">
        <v>43637</v>
      </c>
      <c r="AS657" s="106" t="n">
        <v>0.668333333333333</v>
      </c>
      <c r="AT657" s="106" t="n">
        <v>0</v>
      </c>
      <c r="AU657" s="106" t="n">
        <v>0</v>
      </c>
      <c r="AX657" s="106" t="n">
        <v>1</v>
      </c>
      <c r="ALU657" s="0"/>
      <c r="ALV657" s="0"/>
      <c r="ALW657" s="0"/>
      <c r="ALX657" s="0"/>
      <c r="ALY657" s="0"/>
      <c r="ALZ657" s="0"/>
      <c r="AMA657" s="0"/>
      <c r="AMB657" s="0"/>
      <c r="AMC657" s="0"/>
      <c r="AMD657" s="0"/>
      <c r="AME657" s="0"/>
      <c r="AMF657" s="0"/>
      <c r="AMG657" s="0"/>
      <c r="AMH657" s="0"/>
      <c r="AMI657" s="0"/>
      <c r="AMJ657" s="0"/>
    </row>
    <row r="658" s="106" customFormat="true" ht="13.8" hidden="true" customHeight="false" outlineLevel="0" collapsed="false">
      <c r="A658" s="106" t="n">
        <v>1000</v>
      </c>
      <c r="B658" s="106" t="s">
        <v>1962</v>
      </c>
      <c r="C658" s="106" t="n">
        <v>102489</v>
      </c>
      <c r="D658" s="106" t="s">
        <v>2344</v>
      </c>
      <c r="E658" s="106" t="s">
        <v>1970</v>
      </c>
      <c r="F658" s="106" t="n">
        <v>1108</v>
      </c>
      <c r="G658" s="106" t="n">
        <v>2019</v>
      </c>
      <c r="H658" s="106" t="n">
        <v>2</v>
      </c>
      <c r="I658" s="129" t="n">
        <v>43616</v>
      </c>
      <c r="J658" s="129" t="n">
        <v>43616</v>
      </c>
      <c r="K658" s="107" t="n">
        <v>542372.84</v>
      </c>
      <c r="L658" s="130" t="n">
        <f aca="false">K658-Q658+T658</f>
        <v>459638</v>
      </c>
      <c r="M658" s="106" t="s">
        <v>149</v>
      </c>
      <c r="N658" s="106" t="n">
        <v>542372.84</v>
      </c>
      <c r="O658" s="106" t="s">
        <v>149</v>
      </c>
      <c r="P658" s="106" t="n">
        <v>0</v>
      </c>
      <c r="Q658" s="107" t="n">
        <v>82734.84</v>
      </c>
      <c r="R658" s="106" t="n">
        <v>459638</v>
      </c>
      <c r="S658" s="106" t="n">
        <v>0</v>
      </c>
      <c r="T658" s="106" t="n">
        <v>0</v>
      </c>
      <c r="U658" s="106" t="n">
        <v>312193</v>
      </c>
      <c r="V658" s="106" t="s">
        <v>1963</v>
      </c>
      <c r="Z658" s="106" t="n">
        <v>2346</v>
      </c>
      <c r="AB658" s="106" t="s">
        <v>2031</v>
      </c>
      <c r="AD658" s="106" t="n">
        <v>110000</v>
      </c>
      <c r="AE658" s="106" t="s">
        <v>1966</v>
      </c>
      <c r="AF658" s="106" t="n">
        <v>501020</v>
      </c>
      <c r="AG658" s="106" t="s">
        <v>1971</v>
      </c>
      <c r="AI658" s="106" t="n">
        <v>501020</v>
      </c>
      <c r="AJ658" s="106" t="s">
        <v>1971</v>
      </c>
      <c r="AK658" s="106" t="n">
        <v>0</v>
      </c>
      <c r="AL658" s="106" t="n">
        <v>1</v>
      </c>
      <c r="AM658" s="106" t="s">
        <v>161</v>
      </c>
      <c r="AP658" s="106" t="n">
        <v>100022449</v>
      </c>
      <c r="AQ658" s="129" t="n">
        <v>43616</v>
      </c>
      <c r="AR658" s="129" t="n">
        <v>43616</v>
      </c>
      <c r="AS658" s="106" t="n">
        <v>0.594965277777778</v>
      </c>
      <c r="AT658" s="106" t="n">
        <v>0</v>
      </c>
      <c r="AU658" s="106" t="n">
        <v>0</v>
      </c>
      <c r="AX658" s="106" t="n">
        <v>1</v>
      </c>
      <c r="ALU658" s="0"/>
      <c r="ALV658" s="0"/>
      <c r="ALW658" s="0"/>
      <c r="ALX658" s="0"/>
      <c r="ALY658" s="0"/>
      <c r="ALZ658" s="0"/>
      <c r="AMA658" s="0"/>
      <c r="AMB658" s="0"/>
      <c r="AMC658" s="0"/>
      <c r="AMD658" s="0"/>
      <c r="AME658" s="0"/>
      <c r="AMF658" s="0"/>
      <c r="AMG658" s="0"/>
      <c r="AMH658" s="0"/>
      <c r="AMI658" s="0"/>
      <c r="AMJ658" s="0"/>
    </row>
    <row r="659" customFormat="false" ht="13.8" hidden="true" customHeight="false" outlineLevel="0" collapsed="false">
      <c r="A659" s="117" t="n">
        <v>1000</v>
      </c>
      <c r="B659" s="117" t="s">
        <v>1962</v>
      </c>
      <c r="C659" s="117" t="n">
        <v>100005116</v>
      </c>
      <c r="E659" s="117" t="s">
        <v>1921</v>
      </c>
      <c r="F659" s="117" t="n">
        <v>1108</v>
      </c>
      <c r="G659" s="117" t="n">
        <v>2019</v>
      </c>
      <c r="H659" s="117" t="n">
        <v>1</v>
      </c>
      <c r="I659" s="118" t="n">
        <v>43585</v>
      </c>
      <c r="J659" s="118" t="n">
        <v>43585</v>
      </c>
      <c r="K659" s="119" t="n">
        <v>-242257.04</v>
      </c>
      <c r="L659" s="128" t="n">
        <f aca="false">K659-Q659+T659</f>
        <v>-242257.04</v>
      </c>
      <c r="M659" s="117" t="s">
        <v>149</v>
      </c>
      <c r="N659" s="117" t="n">
        <v>-242257.04</v>
      </c>
      <c r="O659" s="117" t="s">
        <v>149</v>
      </c>
      <c r="P659" s="117" t="n">
        <v>0</v>
      </c>
      <c r="Q659" s="117" t="n">
        <v>0</v>
      </c>
      <c r="R659" s="117" t="n">
        <v>-242257.04</v>
      </c>
      <c r="S659" s="117" t="n">
        <v>0</v>
      </c>
      <c r="T659" s="117" t="n">
        <v>0</v>
      </c>
      <c r="U659" s="117" t="n">
        <v>314258</v>
      </c>
      <c r="V659" s="117" t="s">
        <v>143</v>
      </c>
      <c r="Z659" s="117" t="n">
        <v>100005116</v>
      </c>
      <c r="AD659" s="117" t="n">
        <v>110000</v>
      </c>
      <c r="AE659" s="117" t="s">
        <v>1966</v>
      </c>
      <c r="AF659" s="117" t="n">
        <v>110000</v>
      </c>
      <c r="AG659" s="117" t="s">
        <v>1966</v>
      </c>
      <c r="AI659" s="117" t="n">
        <v>110000</v>
      </c>
      <c r="AJ659" s="117" t="s">
        <v>1966</v>
      </c>
      <c r="AK659" s="117" t="n">
        <v>0</v>
      </c>
      <c r="AL659" s="117" t="n">
        <v>17</v>
      </c>
      <c r="AM659" s="117" t="s">
        <v>225</v>
      </c>
      <c r="AP659" s="117" t="n">
        <v>100005116</v>
      </c>
      <c r="AQ659" s="118" t="n">
        <v>43585</v>
      </c>
      <c r="AR659" s="118" t="n">
        <v>43586</v>
      </c>
      <c r="AS659" s="117" t="n">
        <v>0.498969907407407</v>
      </c>
      <c r="AT659" s="117" t="n">
        <v>0</v>
      </c>
      <c r="AU659" s="117" t="n">
        <v>0</v>
      </c>
      <c r="AX659" s="117" t="n">
        <v>3</v>
      </c>
    </row>
    <row r="660" customFormat="false" ht="13.8" hidden="true" customHeight="false" outlineLevel="0" collapsed="false">
      <c r="A660" s="117" t="n">
        <v>1000</v>
      </c>
      <c r="B660" s="117" t="s">
        <v>1962</v>
      </c>
      <c r="C660" s="117" t="n">
        <v>100022435</v>
      </c>
      <c r="E660" s="117" t="s">
        <v>1921</v>
      </c>
      <c r="F660" s="117" t="n">
        <v>1108</v>
      </c>
      <c r="G660" s="117" t="n">
        <v>2019</v>
      </c>
      <c r="H660" s="117" t="n">
        <v>2</v>
      </c>
      <c r="I660" s="118" t="n">
        <v>43616</v>
      </c>
      <c r="J660" s="118" t="n">
        <v>43616</v>
      </c>
      <c r="K660" s="119" t="n">
        <v>-386845.3</v>
      </c>
      <c r="L660" s="128" t="n">
        <f aca="false">K660-Q660+T660</f>
        <v>-386845.3</v>
      </c>
      <c r="M660" s="117" t="s">
        <v>149</v>
      </c>
      <c r="N660" s="117" t="n">
        <v>-386845.3</v>
      </c>
      <c r="O660" s="117" t="s">
        <v>149</v>
      </c>
      <c r="P660" s="117" t="n">
        <v>0</v>
      </c>
      <c r="Q660" s="117" t="n">
        <v>0</v>
      </c>
      <c r="R660" s="117" t="n">
        <v>-386845.3</v>
      </c>
      <c r="S660" s="117" t="n">
        <v>0</v>
      </c>
      <c r="T660" s="117" t="n">
        <v>0</v>
      </c>
      <c r="U660" s="117" t="n">
        <v>312193</v>
      </c>
      <c r="V660" s="117" t="s">
        <v>1963</v>
      </c>
      <c r="Z660" s="117" t="n">
        <v>100022435</v>
      </c>
      <c r="AD660" s="117" t="n">
        <v>110000</v>
      </c>
      <c r="AE660" s="117" t="s">
        <v>1966</v>
      </c>
      <c r="AF660" s="117" t="n">
        <v>110000</v>
      </c>
      <c r="AG660" s="117" t="s">
        <v>1966</v>
      </c>
      <c r="AI660" s="117" t="n">
        <v>110000</v>
      </c>
      <c r="AJ660" s="117" t="s">
        <v>1966</v>
      </c>
      <c r="AK660" s="117" t="n">
        <v>0</v>
      </c>
      <c r="AL660" s="117" t="n">
        <v>17</v>
      </c>
      <c r="AM660" s="117" t="s">
        <v>225</v>
      </c>
      <c r="AP660" s="117" t="n">
        <v>100022435</v>
      </c>
      <c r="AQ660" s="118" t="n">
        <v>43616</v>
      </c>
      <c r="AR660" s="118" t="n">
        <v>43617</v>
      </c>
      <c r="AS660" s="117" t="n">
        <v>0.582719907407407</v>
      </c>
      <c r="AT660" s="117" t="n">
        <v>0</v>
      </c>
      <c r="AU660" s="117" t="n">
        <v>0</v>
      </c>
      <c r="AX660" s="117" t="n">
        <v>2</v>
      </c>
    </row>
    <row r="661" customFormat="false" ht="13.8" hidden="true" customHeight="false" outlineLevel="0" collapsed="false">
      <c r="A661" s="117" t="n">
        <v>1000</v>
      </c>
      <c r="B661" s="117" t="s">
        <v>1962</v>
      </c>
      <c r="C661" s="117" t="n">
        <v>1400002689</v>
      </c>
      <c r="E661" s="117" t="s">
        <v>1972</v>
      </c>
      <c r="F661" s="117" t="n">
        <v>1101</v>
      </c>
      <c r="G661" s="117" t="n">
        <v>2019</v>
      </c>
      <c r="H661" s="117" t="n">
        <v>3</v>
      </c>
      <c r="I661" s="118" t="n">
        <v>43622</v>
      </c>
      <c r="J661" s="118" t="n">
        <v>43622</v>
      </c>
      <c r="K661" s="119" t="n">
        <v>-1101628.9</v>
      </c>
      <c r="L661" s="128" t="n">
        <f aca="false">K661-Q661+T661</f>
        <v>-1101628.9</v>
      </c>
      <c r="M661" s="117" t="s">
        <v>149</v>
      </c>
      <c r="N661" s="117" t="n">
        <v>-1101628.9</v>
      </c>
      <c r="O661" s="117" t="s">
        <v>149</v>
      </c>
      <c r="P661" s="117" t="n">
        <v>0</v>
      </c>
      <c r="Q661" s="117" t="n">
        <v>0</v>
      </c>
      <c r="R661" s="117" t="n">
        <v>-1101628.9</v>
      </c>
      <c r="S661" s="117" t="n">
        <v>0</v>
      </c>
      <c r="T661" s="117" t="n">
        <v>0</v>
      </c>
      <c r="U661" s="117" t="n">
        <v>318999</v>
      </c>
      <c r="V661" s="117" t="s">
        <v>143</v>
      </c>
      <c r="X661" s="117" t="s">
        <v>2347</v>
      </c>
      <c r="Y661" s="117" t="s">
        <v>2348</v>
      </c>
      <c r="Z661" s="117" t="n">
        <v>1400002689</v>
      </c>
      <c r="AC661" s="117" t="s">
        <v>1976</v>
      </c>
      <c r="AD661" s="117" t="n">
        <v>310300</v>
      </c>
      <c r="AE661" s="117" t="s">
        <v>1969</v>
      </c>
      <c r="AF661" s="117" t="n">
        <v>101105</v>
      </c>
      <c r="AG661" s="117" t="s">
        <v>1977</v>
      </c>
      <c r="AI661" s="117" t="n">
        <v>101105</v>
      </c>
      <c r="AJ661" s="117" t="s">
        <v>1977</v>
      </c>
      <c r="AK661" s="117" t="n">
        <v>0</v>
      </c>
      <c r="AL661" s="117" t="n">
        <v>19</v>
      </c>
      <c r="AM661" s="117" t="s">
        <v>225</v>
      </c>
      <c r="AN661" s="117" t="s">
        <v>1978</v>
      </c>
      <c r="AP661" s="117" t="n">
        <v>100039982</v>
      </c>
      <c r="AQ661" s="118" t="n">
        <v>43645</v>
      </c>
      <c r="AR661" s="118" t="n">
        <v>43629</v>
      </c>
      <c r="AS661" s="117" t="n">
        <v>0.221064814814815</v>
      </c>
      <c r="AT661" s="117" t="n">
        <v>0</v>
      </c>
      <c r="AU661" s="117" t="n">
        <v>0</v>
      </c>
      <c r="AX661" s="117" t="n">
        <v>2</v>
      </c>
    </row>
    <row r="662" customFormat="false" ht="13.8" hidden="true" customHeight="false" outlineLevel="0" collapsed="false">
      <c r="A662" s="117" t="n">
        <v>1000</v>
      </c>
      <c r="B662" s="117" t="s">
        <v>1962</v>
      </c>
      <c r="C662" s="117" t="n">
        <v>100199799</v>
      </c>
      <c r="E662" s="117" t="s">
        <v>1921</v>
      </c>
      <c r="F662" s="117" t="n">
        <v>1112</v>
      </c>
      <c r="G662" s="117" t="n">
        <v>2019</v>
      </c>
      <c r="H662" s="117" t="n">
        <v>9</v>
      </c>
      <c r="I662" s="118" t="n">
        <v>43830</v>
      </c>
      <c r="J662" s="118" t="n">
        <v>43830</v>
      </c>
      <c r="K662" s="119" t="n">
        <v>29877.6</v>
      </c>
      <c r="L662" s="128" t="n">
        <f aca="false">K662-Q662+T662</f>
        <v>29877.6</v>
      </c>
      <c r="M662" s="117" t="s">
        <v>149</v>
      </c>
      <c r="N662" s="117" t="n">
        <v>29877.6</v>
      </c>
      <c r="O662" s="117" t="s">
        <v>149</v>
      </c>
      <c r="P662" s="117" t="n">
        <v>0</v>
      </c>
      <c r="Q662" s="117" t="n">
        <v>0</v>
      </c>
      <c r="R662" s="117" t="n">
        <v>29877.6</v>
      </c>
      <c r="S662" s="117" t="n">
        <v>0</v>
      </c>
      <c r="T662" s="117" t="n">
        <v>0</v>
      </c>
      <c r="U662" s="117" t="n">
        <v>312193</v>
      </c>
      <c r="V662" s="117" t="s">
        <v>1963</v>
      </c>
      <c r="X662" s="117" t="s">
        <v>2349</v>
      </c>
      <c r="Z662" s="117" t="n">
        <v>62195</v>
      </c>
      <c r="AB662" s="117" t="s">
        <v>2350</v>
      </c>
      <c r="AD662" s="117" t="n">
        <v>110000</v>
      </c>
      <c r="AE662" s="117" t="s">
        <v>1966</v>
      </c>
      <c r="AF662" s="117" t="n">
        <v>110000</v>
      </c>
      <c r="AG662" s="117" t="s">
        <v>1966</v>
      </c>
      <c r="AI662" s="117" t="n">
        <v>110000</v>
      </c>
      <c r="AJ662" s="117" t="s">
        <v>1966</v>
      </c>
      <c r="AK662" s="117" t="n">
        <v>0</v>
      </c>
      <c r="AL662" s="117" t="n">
        <v>4</v>
      </c>
      <c r="AM662" s="117" t="s">
        <v>161</v>
      </c>
      <c r="AR662" s="118" t="n">
        <v>43830</v>
      </c>
      <c r="AS662" s="117" t="n">
        <v>0.279467592592593</v>
      </c>
      <c r="AT662" s="117" t="n">
        <v>0</v>
      </c>
      <c r="AU662" s="117" t="n">
        <v>0</v>
      </c>
      <c r="AX662" s="117" t="n">
        <v>15</v>
      </c>
    </row>
    <row r="663" customFormat="false" ht="13.8" hidden="true" customHeight="false" outlineLevel="0" collapsed="false">
      <c r="A663" s="117" t="n">
        <v>1000</v>
      </c>
      <c r="B663" s="117" t="s">
        <v>1962</v>
      </c>
      <c r="C663" s="117" t="n">
        <v>100194025</v>
      </c>
      <c r="E663" s="117" t="s">
        <v>1921</v>
      </c>
      <c r="F663" s="117" t="n">
        <v>1112</v>
      </c>
      <c r="G663" s="117" t="n">
        <v>2019</v>
      </c>
      <c r="H663" s="117" t="n">
        <v>9</v>
      </c>
      <c r="I663" s="118" t="n">
        <v>43824</v>
      </c>
      <c r="J663" s="118" t="n">
        <v>43824</v>
      </c>
      <c r="K663" s="119" t="n">
        <v>112834.67</v>
      </c>
      <c r="L663" s="128" t="n">
        <f aca="false">K663-Q663+T663</f>
        <v>112834.67</v>
      </c>
      <c r="M663" s="117" t="s">
        <v>149</v>
      </c>
      <c r="N663" s="117" t="n">
        <v>112834.67</v>
      </c>
      <c r="O663" s="117" t="s">
        <v>149</v>
      </c>
      <c r="P663" s="117" t="n">
        <v>0</v>
      </c>
      <c r="Q663" s="117" t="n">
        <v>0</v>
      </c>
      <c r="R663" s="117" t="n">
        <v>112834.67</v>
      </c>
      <c r="S663" s="117" t="n">
        <v>0</v>
      </c>
      <c r="T663" s="117" t="n">
        <v>0</v>
      </c>
      <c r="U663" s="117" t="n">
        <v>312193</v>
      </c>
      <c r="V663" s="117" t="s">
        <v>1963</v>
      </c>
      <c r="X663" s="117" t="s">
        <v>2351</v>
      </c>
      <c r="Z663" s="117" t="n">
        <v>62146</v>
      </c>
      <c r="AB663" s="117" t="s">
        <v>2350</v>
      </c>
      <c r="AD663" s="117" t="n">
        <v>110000</v>
      </c>
      <c r="AE663" s="117" t="s">
        <v>1966</v>
      </c>
      <c r="AF663" s="117" t="n">
        <v>110000</v>
      </c>
      <c r="AG663" s="117" t="s">
        <v>1966</v>
      </c>
      <c r="AI663" s="117" t="n">
        <v>110000</v>
      </c>
      <c r="AJ663" s="117" t="s">
        <v>1966</v>
      </c>
      <c r="AK663" s="117" t="n">
        <v>0</v>
      </c>
      <c r="AL663" s="117" t="n">
        <v>4</v>
      </c>
      <c r="AM663" s="117" t="s">
        <v>161</v>
      </c>
      <c r="AR663" s="118" t="n">
        <v>43824</v>
      </c>
      <c r="AS663" s="117" t="n">
        <v>0.371284722222222</v>
      </c>
      <c r="AT663" s="117" t="n">
        <v>0</v>
      </c>
      <c r="AU663" s="117" t="n">
        <v>0</v>
      </c>
      <c r="AX663" s="117" t="n">
        <v>16</v>
      </c>
    </row>
    <row r="664" customFormat="false" ht="13.8" hidden="true" customHeight="false" outlineLevel="0" collapsed="false">
      <c r="A664" s="117" t="n">
        <v>1000</v>
      </c>
      <c r="B664" s="117" t="s">
        <v>1962</v>
      </c>
      <c r="C664" s="117" t="n">
        <v>100173564</v>
      </c>
      <c r="E664" s="117" t="s">
        <v>1921</v>
      </c>
      <c r="F664" s="117" t="n">
        <v>1108</v>
      </c>
      <c r="G664" s="117" t="n">
        <v>2019</v>
      </c>
      <c r="H664" s="117" t="n">
        <v>8</v>
      </c>
      <c r="I664" s="118" t="n">
        <v>43799</v>
      </c>
      <c r="J664" s="118" t="n">
        <v>43799</v>
      </c>
      <c r="K664" s="119" t="n">
        <v>-6321011.36</v>
      </c>
      <c r="L664" s="128" t="n">
        <f aca="false">K664-Q664+T664</f>
        <v>-6321011.36</v>
      </c>
      <c r="M664" s="117" t="s">
        <v>149</v>
      </c>
      <c r="N664" s="117" t="n">
        <v>-6321011.36</v>
      </c>
      <c r="O664" s="117" t="s">
        <v>149</v>
      </c>
      <c r="P664" s="117" t="n">
        <v>0</v>
      </c>
      <c r="Q664" s="117" t="n">
        <v>0</v>
      </c>
      <c r="R664" s="117" t="n">
        <v>-6321011.36</v>
      </c>
      <c r="S664" s="117" t="n">
        <v>0</v>
      </c>
      <c r="T664" s="117" t="n">
        <v>0</v>
      </c>
      <c r="U664" s="117" t="n">
        <v>312193</v>
      </c>
      <c r="V664" s="117" t="s">
        <v>1963</v>
      </c>
      <c r="Z664" s="117" t="n">
        <v>100173564</v>
      </c>
      <c r="AD664" s="117" t="n">
        <v>110000</v>
      </c>
      <c r="AE664" s="117" t="s">
        <v>1966</v>
      </c>
      <c r="AF664" s="117" t="n">
        <v>110000</v>
      </c>
      <c r="AG664" s="117" t="s">
        <v>1966</v>
      </c>
      <c r="AI664" s="117" t="n">
        <v>110000</v>
      </c>
      <c r="AJ664" s="117" t="s">
        <v>1966</v>
      </c>
      <c r="AK664" s="117" t="n">
        <v>0</v>
      </c>
      <c r="AL664" s="117" t="n">
        <v>17</v>
      </c>
      <c r="AM664" s="117" t="s">
        <v>225</v>
      </c>
      <c r="AP664" s="117" t="n">
        <v>100173564</v>
      </c>
      <c r="AQ664" s="118" t="n">
        <v>43799</v>
      </c>
      <c r="AR664" s="118" t="n">
        <v>43800</v>
      </c>
      <c r="AS664" s="117" t="n">
        <v>0.649189814814815</v>
      </c>
      <c r="AT664" s="117" t="n">
        <v>0</v>
      </c>
      <c r="AU664" s="117" t="n">
        <v>0</v>
      </c>
      <c r="AX664" s="117" t="n">
        <v>26</v>
      </c>
    </row>
    <row r="665" customFormat="false" ht="13.8" hidden="true" customHeight="false" outlineLevel="0" collapsed="false">
      <c r="A665" s="117" t="n">
        <v>1000</v>
      </c>
      <c r="B665" s="117" t="s">
        <v>1962</v>
      </c>
      <c r="C665" s="117" t="n">
        <v>100141449</v>
      </c>
      <c r="E665" s="117" t="s">
        <v>1921</v>
      </c>
      <c r="F665" s="117" t="n">
        <v>1109</v>
      </c>
      <c r="G665" s="117" t="n">
        <v>2019</v>
      </c>
      <c r="H665" s="117" t="n">
        <v>7</v>
      </c>
      <c r="I665" s="118" t="n">
        <v>43766</v>
      </c>
      <c r="J665" s="118" t="n">
        <v>43766</v>
      </c>
      <c r="K665" s="119" t="n">
        <v>208812.8</v>
      </c>
      <c r="L665" s="128" t="n">
        <f aca="false">K665-Q665+T665</f>
        <v>208812.8</v>
      </c>
      <c r="M665" s="117" t="s">
        <v>149</v>
      </c>
      <c r="N665" s="117" t="n">
        <v>208812.8</v>
      </c>
      <c r="O665" s="117" t="s">
        <v>149</v>
      </c>
      <c r="P665" s="117" t="n">
        <v>0</v>
      </c>
      <c r="Q665" s="117" t="n">
        <v>0</v>
      </c>
      <c r="R665" s="117" t="n">
        <v>208812.8</v>
      </c>
      <c r="S665" s="117" t="n">
        <v>0</v>
      </c>
      <c r="T665" s="117" t="n">
        <v>0</v>
      </c>
      <c r="U665" s="117" t="n">
        <v>312193</v>
      </c>
      <c r="V665" s="117" t="s">
        <v>1963</v>
      </c>
      <c r="X665" s="117" t="s">
        <v>1857</v>
      </c>
      <c r="Z665" s="117" t="n">
        <v>60958</v>
      </c>
      <c r="AB665" s="117" t="s">
        <v>2124</v>
      </c>
      <c r="AD665" s="117" t="n">
        <v>110000</v>
      </c>
      <c r="AE665" s="117" t="s">
        <v>1966</v>
      </c>
      <c r="AF665" s="117" t="n">
        <v>110000</v>
      </c>
      <c r="AG665" s="117" t="s">
        <v>1966</v>
      </c>
      <c r="AI665" s="117" t="n">
        <v>110000</v>
      </c>
      <c r="AJ665" s="117" t="s">
        <v>1966</v>
      </c>
      <c r="AK665" s="117" t="n">
        <v>0</v>
      </c>
      <c r="AL665" s="117" t="n">
        <v>4</v>
      </c>
      <c r="AM665" s="117" t="s">
        <v>161</v>
      </c>
      <c r="AR665" s="118" t="n">
        <v>43766</v>
      </c>
      <c r="AS665" s="117" t="n">
        <v>0.371388888888889</v>
      </c>
      <c r="AT665" s="117" t="n">
        <v>0</v>
      </c>
      <c r="AU665" s="117" t="n">
        <v>0</v>
      </c>
      <c r="AX665" s="117" t="n">
        <v>4</v>
      </c>
    </row>
    <row r="666" customFormat="false" ht="13.8" hidden="true" customHeight="false" outlineLevel="0" collapsed="false">
      <c r="A666" s="117" t="n">
        <v>1000</v>
      </c>
      <c r="B666" s="117" t="s">
        <v>1962</v>
      </c>
      <c r="C666" s="117" t="n">
        <v>100173530</v>
      </c>
      <c r="E666" s="117" t="s">
        <v>1921</v>
      </c>
      <c r="F666" s="117" t="n">
        <v>1101</v>
      </c>
      <c r="G666" s="117" t="n">
        <v>2019</v>
      </c>
      <c r="H666" s="117" t="n">
        <v>8</v>
      </c>
      <c r="I666" s="118" t="n">
        <v>43799</v>
      </c>
      <c r="J666" s="118" t="n">
        <v>43799</v>
      </c>
      <c r="K666" s="119" t="n">
        <v>2421257.56</v>
      </c>
      <c r="L666" s="128" t="n">
        <f aca="false">K666-Q666+T666</f>
        <v>2421257.56</v>
      </c>
      <c r="M666" s="117" t="s">
        <v>149</v>
      </c>
      <c r="N666" s="117" t="n">
        <v>2421257.56</v>
      </c>
      <c r="O666" s="117" t="s">
        <v>149</v>
      </c>
      <c r="P666" s="117" t="n">
        <v>0</v>
      </c>
      <c r="Q666" s="117" t="n">
        <v>0</v>
      </c>
      <c r="R666" s="117" t="n">
        <v>2421257.56</v>
      </c>
      <c r="S666" s="117" t="n">
        <v>0</v>
      </c>
      <c r="T666" s="117" t="n">
        <v>0</v>
      </c>
      <c r="U666" s="117" t="n">
        <v>312193</v>
      </c>
      <c r="V666" s="117" t="s">
        <v>1963</v>
      </c>
      <c r="Z666" s="117" t="n">
        <v>100173530</v>
      </c>
      <c r="AD666" s="117" t="n">
        <v>310300</v>
      </c>
      <c r="AE666" s="117" t="s">
        <v>1969</v>
      </c>
      <c r="AF666" s="117" t="n">
        <v>110000</v>
      </c>
      <c r="AG666" s="117" t="s">
        <v>1966</v>
      </c>
      <c r="AI666" s="117" t="n">
        <v>110000</v>
      </c>
      <c r="AJ666" s="117" t="s">
        <v>1966</v>
      </c>
      <c r="AK666" s="117" t="n">
        <v>0</v>
      </c>
      <c r="AL666" s="117" t="n">
        <v>9</v>
      </c>
      <c r="AM666" s="117" t="s">
        <v>161</v>
      </c>
      <c r="AN666" s="117" t="s">
        <v>1978</v>
      </c>
      <c r="AP666" s="117" t="n">
        <v>100173530</v>
      </c>
      <c r="AQ666" s="118" t="n">
        <v>43799</v>
      </c>
      <c r="AR666" s="118" t="n">
        <v>43800</v>
      </c>
      <c r="AS666" s="117" t="n">
        <v>0.629131944444444</v>
      </c>
      <c r="AT666" s="117" t="n">
        <v>0</v>
      </c>
      <c r="AU666" s="117" t="n">
        <v>0</v>
      </c>
      <c r="AX666" s="117" t="n">
        <v>9</v>
      </c>
    </row>
    <row r="667" customFormat="false" ht="13.8" hidden="true" customHeight="false" outlineLevel="0" collapsed="false">
      <c r="A667" s="117" t="n">
        <v>1000</v>
      </c>
      <c r="B667" s="117" t="s">
        <v>1962</v>
      </c>
      <c r="C667" s="117" t="n">
        <v>1600000403</v>
      </c>
      <c r="D667" s="117" t="s">
        <v>2352</v>
      </c>
      <c r="E667" s="117" t="s">
        <v>1987</v>
      </c>
      <c r="F667" s="117" t="n">
        <v>1106</v>
      </c>
      <c r="G667" s="117" t="n">
        <v>2019</v>
      </c>
      <c r="H667" s="117" t="n">
        <v>9</v>
      </c>
      <c r="I667" s="118" t="n">
        <v>43830</v>
      </c>
      <c r="J667" s="118" t="n">
        <v>43830</v>
      </c>
      <c r="K667" s="119" t="n">
        <v>-34692</v>
      </c>
      <c r="L667" s="128" t="n">
        <f aca="false">K667-Q667+T667</f>
        <v>-34692</v>
      </c>
      <c r="M667" s="117" t="s">
        <v>149</v>
      </c>
      <c r="N667" s="117" t="n">
        <v>-34692</v>
      </c>
      <c r="O667" s="117" t="s">
        <v>149</v>
      </c>
      <c r="P667" s="117" t="n">
        <v>-34692</v>
      </c>
      <c r="Q667" s="117" t="n">
        <v>0</v>
      </c>
      <c r="R667" s="117" t="n">
        <v>-34692</v>
      </c>
      <c r="S667" s="117" t="n">
        <v>0</v>
      </c>
      <c r="T667" s="117" t="n">
        <v>0</v>
      </c>
      <c r="U667" s="117" t="n">
        <v>312193</v>
      </c>
      <c r="V667" s="117" t="s">
        <v>1963</v>
      </c>
      <c r="X667" s="117" t="s">
        <v>2353</v>
      </c>
      <c r="Y667" s="117" t="s">
        <v>1898</v>
      </c>
      <c r="Z667" s="117" t="n">
        <v>1600000403</v>
      </c>
      <c r="AD667" s="117" t="n">
        <v>310300</v>
      </c>
      <c r="AE667" s="117" t="s">
        <v>1969</v>
      </c>
      <c r="AF667" s="117" t="n">
        <v>312193</v>
      </c>
      <c r="AG667" s="117" t="s">
        <v>1963</v>
      </c>
      <c r="AI667" s="117" t="n">
        <v>312193</v>
      </c>
      <c r="AJ667" s="131" t="s">
        <v>1963</v>
      </c>
      <c r="AK667" s="117" t="n">
        <v>0</v>
      </c>
      <c r="AL667" s="117" t="n">
        <v>19</v>
      </c>
      <c r="AM667" s="117" t="s">
        <v>225</v>
      </c>
      <c r="AN667" s="117" t="s">
        <v>1978</v>
      </c>
      <c r="AP667" s="117" t="n">
        <v>100210304</v>
      </c>
      <c r="AQ667" s="118" t="n">
        <v>43830</v>
      </c>
      <c r="AR667" s="118" t="n">
        <v>43831</v>
      </c>
      <c r="AS667" s="117" t="n">
        <v>0.409108796296296</v>
      </c>
      <c r="AT667" s="117" t="n">
        <v>0</v>
      </c>
      <c r="AU667" s="117" t="n">
        <v>0</v>
      </c>
      <c r="AX667" s="117" t="n">
        <v>2</v>
      </c>
    </row>
    <row r="668" customFormat="false" ht="13.8" hidden="true" customHeight="false" outlineLevel="0" collapsed="false">
      <c r="A668" s="117" t="n">
        <v>1000</v>
      </c>
      <c r="B668" s="117" t="s">
        <v>1962</v>
      </c>
      <c r="C668" s="117" t="n">
        <v>1600000315</v>
      </c>
      <c r="D668" s="117" t="s">
        <v>2354</v>
      </c>
      <c r="E668" s="117" t="s">
        <v>1987</v>
      </c>
      <c r="F668" s="117" t="n">
        <v>1101</v>
      </c>
      <c r="G668" s="117" t="n">
        <v>2019</v>
      </c>
      <c r="H668" s="117" t="n">
        <v>8</v>
      </c>
      <c r="I668" s="118" t="n">
        <v>43798</v>
      </c>
      <c r="J668" s="118" t="n">
        <v>43798</v>
      </c>
      <c r="K668" s="119" t="n">
        <v>-7408</v>
      </c>
      <c r="L668" s="128" t="n">
        <f aca="false">K668-Q668+T668</f>
        <v>-7408</v>
      </c>
      <c r="M668" s="117" t="s">
        <v>149</v>
      </c>
      <c r="N668" s="117" t="n">
        <v>-7408</v>
      </c>
      <c r="O668" s="117" t="s">
        <v>149</v>
      </c>
      <c r="P668" s="117" t="n">
        <v>-7408</v>
      </c>
      <c r="Q668" s="117" t="n">
        <v>0</v>
      </c>
      <c r="R668" s="117" t="n">
        <v>-7408</v>
      </c>
      <c r="S668" s="117" t="n">
        <v>0</v>
      </c>
      <c r="T668" s="117" t="n">
        <v>0</v>
      </c>
      <c r="U668" s="117" t="n">
        <v>312193</v>
      </c>
      <c r="V668" s="117" t="s">
        <v>1963</v>
      </c>
      <c r="X668" s="117" t="s">
        <v>2355</v>
      </c>
      <c r="Y668" s="117" t="s">
        <v>2354</v>
      </c>
      <c r="Z668" s="117" t="n">
        <v>1600000315</v>
      </c>
      <c r="AD668" s="117" t="n">
        <v>310300</v>
      </c>
      <c r="AE668" s="117" t="s">
        <v>1969</v>
      </c>
      <c r="AF668" s="117" t="n">
        <v>111201</v>
      </c>
      <c r="AG668" s="117" t="s">
        <v>2165</v>
      </c>
      <c r="AI668" s="117" t="n">
        <v>111201</v>
      </c>
      <c r="AJ668" s="117" t="s">
        <v>2165</v>
      </c>
      <c r="AK668" s="117" t="n">
        <v>0</v>
      </c>
      <c r="AL668" s="117" t="n">
        <v>19</v>
      </c>
      <c r="AM668" s="117" t="s">
        <v>225</v>
      </c>
      <c r="AN668" s="117" t="s">
        <v>1978</v>
      </c>
      <c r="AP668" s="117" t="n">
        <v>100173563</v>
      </c>
      <c r="AQ668" s="118" t="n">
        <v>43799</v>
      </c>
      <c r="AR668" s="118" t="n">
        <v>43798</v>
      </c>
      <c r="AS668" s="117" t="n">
        <v>0.954837962962963</v>
      </c>
      <c r="AT668" s="117" t="n">
        <v>0</v>
      </c>
      <c r="AU668" s="117" t="n">
        <v>0</v>
      </c>
      <c r="AX668" s="117" t="n">
        <v>30</v>
      </c>
    </row>
    <row r="669" customFormat="false" ht="13.8" hidden="false" customHeight="false" outlineLevel="0" collapsed="false">
      <c r="A669" s="117" t="n">
        <v>1000</v>
      </c>
      <c r="B669" s="117" t="s">
        <v>1962</v>
      </c>
      <c r="C669" s="117" t="n">
        <v>100173604</v>
      </c>
      <c r="E669" s="117" t="s">
        <v>1921</v>
      </c>
      <c r="F669" s="117" t="n">
        <v>1101</v>
      </c>
      <c r="G669" s="117" t="n">
        <v>2019</v>
      </c>
      <c r="H669" s="117" t="n">
        <v>8</v>
      </c>
      <c r="I669" s="118" t="n">
        <v>43799</v>
      </c>
      <c r="J669" s="118" t="n">
        <v>43799</v>
      </c>
      <c r="K669" s="119" t="n">
        <v>2075013.48</v>
      </c>
      <c r="L669" s="128" t="n">
        <f aca="false">K669-Q669+T669</f>
        <v>2075013.48</v>
      </c>
      <c r="M669" s="117" t="s">
        <v>149</v>
      </c>
      <c r="N669" s="117" t="n">
        <v>2075013.48</v>
      </c>
      <c r="O669" s="117" t="s">
        <v>149</v>
      </c>
      <c r="P669" s="117" t="n">
        <v>0</v>
      </c>
      <c r="Q669" s="117" t="n">
        <v>0</v>
      </c>
      <c r="R669" s="117" t="n">
        <v>2075013.48</v>
      </c>
      <c r="S669" s="117" t="n">
        <v>0</v>
      </c>
      <c r="T669" s="117" t="n">
        <v>0</v>
      </c>
      <c r="U669" s="117" t="n">
        <v>318999</v>
      </c>
      <c r="V669" s="117" t="s">
        <v>143</v>
      </c>
      <c r="Z669" s="117" t="n">
        <v>100173604</v>
      </c>
      <c r="AD669" s="117" t="n">
        <v>310300</v>
      </c>
      <c r="AE669" s="117" t="s">
        <v>1969</v>
      </c>
      <c r="AF669" s="117" t="n">
        <v>110000</v>
      </c>
      <c r="AG669" s="117" t="s">
        <v>1966</v>
      </c>
      <c r="AI669" s="117" t="n">
        <v>110000</v>
      </c>
      <c r="AJ669" s="117" t="s">
        <v>1966</v>
      </c>
      <c r="AK669" s="117" t="n">
        <v>0</v>
      </c>
      <c r="AL669" s="117" t="n">
        <v>9</v>
      </c>
      <c r="AM669" s="117" t="s">
        <v>161</v>
      </c>
      <c r="AN669" s="117" t="s">
        <v>1978</v>
      </c>
      <c r="AP669" s="117" t="n">
        <v>100173604</v>
      </c>
      <c r="AQ669" s="118" t="n">
        <v>43799</v>
      </c>
      <c r="AR669" s="118" t="n">
        <v>43800</v>
      </c>
      <c r="AS669" s="117" t="n">
        <v>0.705775462962963</v>
      </c>
      <c r="AT669" s="117" t="n">
        <v>0</v>
      </c>
      <c r="AU669" s="117" t="n">
        <v>0</v>
      </c>
      <c r="AX669" s="117" t="n">
        <v>5</v>
      </c>
    </row>
    <row r="670" customFormat="false" ht="13.8" hidden="true" customHeight="false" outlineLevel="0" collapsed="false">
      <c r="A670" s="117" t="n">
        <v>1000</v>
      </c>
      <c r="B670" s="117" t="s">
        <v>1962</v>
      </c>
      <c r="C670" s="117" t="n">
        <v>1600000288</v>
      </c>
      <c r="D670" s="117" t="s">
        <v>2356</v>
      </c>
      <c r="E670" s="117" t="s">
        <v>1987</v>
      </c>
      <c r="F670" s="117" t="n">
        <v>1101</v>
      </c>
      <c r="G670" s="117" t="n">
        <v>2019</v>
      </c>
      <c r="H670" s="117" t="n">
        <v>8</v>
      </c>
      <c r="I670" s="118" t="n">
        <v>43795</v>
      </c>
      <c r="J670" s="118" t="n">
        <v>43795</v>
      </c>
      <c r="K670" s="119" t="n">
        <v>-9542</v>
      </c>
      <c r="L670" s="128" t="n">
        <f aca="false">K670-Q670+T670</f>
        <v>-9542</v>
      </c>
      <c r="M670" s="117" t="s">
        <v>149</v>
      </c>
      <c r="N670" s="117" t="n">
        <v>-9542</v>
      </c>
      <c r="O670" s="117" t="s">
        <v>149</v>
      </c>
      <c r="P670" s="117" t="n">
        <v>-9542</v>
      </c>
      <c r="Q670" s="117" t="n">
        <v>0</v>
      </c>
      <c r="R670" s="117" t="n">
        <v>-9542</v>
      </c>
      <c r="S670" s="117" t="n">
        <v>0</v>
      </c>
      <c r="T670" s="117" t="n">
        <v>0</v>
      </c>
      <c r="U670" s="117" t="n">
        <v>312193</v>
      </c>
      <c r="V670" s="117" t="s">
        <v>1963</v>
      </c>
      <c r="X670" s="117" t="s">
        <v>2357</v>
      </c>
      <c r="Y670" s="117" t="s">
        <v>2358</v>
      </c>
      <c r="Z670" s="117" t="n">
        <v>1600000288</v>
      </c>
      <c r="AD670" s="117" t="n">
        <v>310300</v>
      </c>
      <c r="AE670" s="117" t="s">
        <v>1969</v>
      </c>
      <c r="AF670" s="117" t="n">
        <v>111201</v>
      </c>
      <c r="AG670" s="117" t="s">
        <v>2165</v>
      </c>
      <c r="AI670" s="117" t="n">
        <v>111201</v>
      </c>
      <c r="AJ670" s="117" t="s">
        <v>2165</v>
      </c>
      <c r="AK670" s="117" t="n">
        <v>0</v>
      </c>
      <c r="AL670" s="117" t="n">
        <v>19</v>
      </c>
      <c r="AM670" s="117" t="s">
        <v>225</v>
      </c>
      <c r="AN670" s="117" t="s">
        <v>1978</v>
      </c>
      <c r="AP670" s="117" t="n">
        <v>100173563</v>
      </c>
      <c r="AQ670" s="118" t="n">
        <v>43799</v>
      </c>
      <c r="AR670" s="118" t="n">
        <v>43795</v>
      </c>
      <c r="AS670" s="117" t="n">
        <v>0.285</v>
      </c>
      <c r="AT670" s="117" t="n">
        <v>0</v>
      </c>
      <c r="AU670" s="117" t="n">
        <v>0</v>
      </c>
      <c r="AX670" s="117" t="n">
        <v>24</v>
      </c>
    </row>
    <row r="671" customFormat="false" ht="13.8" hidden="true" customHeight="false" outlineLevel="0" collapsed="false">
      <c r="A671" s="117" t="n">
        <v>1000</v>
      </c>
      <c r="B671" s="117" t="s">
        <v>1962</v>
      </c>
      <c r="C671" s="117" t="n">
        <v>100210304</v>
      </c>
      <c r="E671" s="117" t="s">
        <v>1921</v>
      </c>
      <c r="F671" s="117" t="n">
        <v>1106</v>
      </c>
      <c r="G671" s="117" t="n">
        <v>2019</v>
      </c>
      <c r="H671" s="117" t="n">
        <v>9</v>
      </c>
      <c r="I671" s="118" t="n">
        <v>43830</v>
      </c>
      <c r="J671" s="118" t="n">
        <v>43830</v>
      </c>
      <c r="K671" s="119" t="n">
        <v>1833308.2</v>
      </c>
      <c r="L671" s="128" t="n">
        <f aca="false">K671-Q671+T671</f>
        <v>1833308.2</v>
      </c>
      <c r="M671" s="117" t="s">
        <v>149</v>
      </c>
      <c r="N671" s="117" t="n">
        <v>1833308.2</v>
      </c>
      <c r="O671" s="117" t="s">
        <v>149</v>
      </c>
      <c r="P671" s="117" t="n">
        <v>0</v>
      </c>
      <c r="Q671" s="117" t="n">
        <v>0</v>
      </c>
      <c r="R671" s="117" t="n">
        <v>1833308.2</v>
      </c>
      <c r="S671" s="117" t="n">
        <v>0</v>
      </c>
      <c r="T671" s="117" t="n">
        <v>0</v>
      </c>
      <c r="U671" s="117" t="n">
        <v>312193</v>
      </c>
      <c r="V671" s="117" t="s">
        <v>1963</v>
      </c>
      <c r="Z671" s="117" t="n">
        <v>100210304</v>
      </c>
      <c r="AD671" s="117" t="n">
        <v>310300</v>
      </c>
      <c r="AE671" s="117" t="s">
        <v>1969</v>
      </c>
      <c r="AF671" s="117" t="n">
        <v>110000</v>
      </c>
      <c r="AG671" s="117" t="s">
        <v>1966</v>
      </c>
      <c r="AI671" s="117" t="n">
        <v>110000</v>
      </c>
      <c r="AJ671" s="117" t="s">
        <v>1966</v>
      </c>
      <c r="AK671" s="117" t="n">
        <v>0</v>
      </c>
      <c r="AL671" s="117" t="n">
        <v>9</v>
      </c>
      <c r="AM671" s="117" t="s">
        <v>161</v>
      </c>
      <c r="AN671" s="117" t="s">
        <v>1978</v>
      </c>
      <c r="AP671" s="117" t="n">
        <v>100210304</v>
      </c>
      <c r="AQ671" s="118" t="n">
        <v>43830</v>
      </c>
      <c r="AR671" s="118" t="n">
        <v>43831</v>
      </c>
      <c r="AS671" s="117" t="n">
        <v>0.411388888888889</v>
      </c>
      <c r="AT671" s="117" t="n">
        <v>0</v>
      </c>
      <c r="AU671" s="117" t="n">
        <v>0</v>
      </c>
      <c r="AX671" s="117" t="n">
        <v>6</v>
      </c>
    </row>
    <row r="672" customFormat="false" ht="13.8" hidden="true" customHeight="false" outlineLevel="0" collapsed="false">
      <c r="A672" s="117" t="n">
        <v>1000</v>
      </c>
      <c r="B672" s="117" t="s">
        <v>1962</v>
      </c>
      <c r="C672" s="117" t="n">
        <v>1400008874</v>
      </c>
      <c r="E672" s="117" t="s">
        <v>1972</v>
      </c>
      <c r="F672" s="117" t="n">
        <v>1101</v>
      </c>
      <c r="G672" s="117" t="n">
        <v>2019</v>
      </c>
      <c r="H672" s="117" t="n">
        <v>9</v>
      </c>
      <c r="I672" s="118" t="n">
        <v>43810</v>
      </c>
      <c r="J672" s="118" t="n">
        <v>43810</v>
      </c>
      <c r="K672" s="119" t="n">
        <v>-817451.64</v>
      </c>
      <c r="L672" s="128" t="n">
        <f aca="false">K672-Q672+T672</f>
        <v>-817451.64</v>
      </c>
      <c r="M672" s="117" t="s">
        <v>149</v>
      </c>
      <c r="N672" s="117" t="n">
        <v>-817451.64</v>
      </c>
      <c r="O672" s="117" t="s">
        <v>149</v>
      </c>
      <c r="P672" s="117" t="n">
        <v>0</v>
      </c>
      <c r="Q672" s="117" t="n">
        <v>0</v>
      </c>
      <c r="R672" s="117" t="n">
        <v>-817451.64</v>
      </c>
      <c r="S672" s="117" t="n">
        <v>0</v>
      </c>
      <c r="T672" s="117" t="n">
        <v>0</v>
      </c>
      <c r="U672" s="117" t="n">
        <v>318999</v>
      </c>
      <c r="V672" s="117" t="s">
        <v>143</v>
      </c>
      <c r="X672" s="117" t="s">
        <v>2359</v>
      </c>
      <c r="Y672" s="117" t="s">
        <v>2360</v>
      </c>
      <c r="Z672" s="117" t="n">
        <v>1400008874</v>
      </c>
      <c r="AC672" s="117" t="s">
        <v>1976</v>
      </c>
      <c r="AD672" s="117" t="n">
        <v>310300</v>
      </c>
      <c r="AE672" s="117" t="s">
        <v>1969</v>
      </c>
      <c r="AF672" s="117" t="n">
        <v>101105</v>
      </c>
      <c r="AG672" s="117" t="s">
        <v>1977</v>
      </c>
      <c r="AI672" s="117" t="n">
        <v>101105</v>
      </c>
      <c r="AJ672" s="117" t="s">
        <v>1977</v>
      </c>
      <c r="AK672" s="117" t="n">
        <v>0</v>
      </c>
      <c r="AL672" s="117" t="n">
        <v>19</v>
      </c>
      <c r="AM672" s="117" t="s">
        <v>225</v>
      </c>
      <c r="AN672" s="117" t="s">
        <v>1978</v>
      </c>
      <c r="AP672" s="117" t="n">
        <v>100198535</v>
      </c>
      <c r="AQ672" s="118" t="n">
        <v>43828</v>
      </c>
      <c r="AR672" s="118" t="n">
        <v>43825</v>
      </c>
      <c r="AS672" s="117" t="n">
        <v>0.465011574074074</v>
      </c>
      <c r="AT672" s="117" t="n">
        <v>0</v>
      </c>
      <c r="AU672" s="117" t="n">
        <v>0</v>
      </c>
      <c r="AX672" s="117" t="n">
        <v>2</v>
      </c>
    </row>
    <row r="673" customFormat="false" ht="13.8" hidden="true" customHeight="false" outlineLevel="0" collapsed="false">
      <c r="A673" s="117" t="n">
        <v>1000</v>
      </c>
      <c r="B673" s="117" t="s">
        <v>1962</v>
      </c>
      <c r="C673" s="117" t="n">
        <v>100199799</v>
      </c>
      <c r="E673" s="117" t="s">
        <v>1921</v>
      </c>
      <c r="F673" s="117" t="n">
        <v>1112</v>
      </c>
      <c r="G673" s="117" t="n">
        <v>2019</v>
      </c>
      <c r="H673" s="117" t="n">
        <v>9</v>
      </c>
      <c r="I673" s="118" t="n">
        <v>43830</v>
      </c>
      <c r="J673" s="118" t="n">
        <v>43830</v>
      </c>
      <c r="K673" s="119" t="n">
        <v>989.62</v>
      </c>
      <c r="L673" s="128" t="n">
        <f aca="false">K673-Q673+T673</f>
        <v>989.62</v>
      </c>
      <c r="M673" s="117" t="s">
        <v>149</v>
      </c>
      <c r="N673" s="117" t="n">
        <v>989.62</v>
      </c>
      <c r="O673" s="117" t="s">
        <v>149</v>
      </c>
      <c r="P673" s="117" t="n">
        <v>0</v>
      </c>
      <c r="Q673" s="117" t="n">
        <v>0</v>
      </c>
      <c r="R673" s="117" t="n">
        <v>989.62</v>
      </c>
      <c r="S673" s="117" t="n">
        <v>0</v>
      </c>
      <c r="T673" s="117" t="n">
        <v>0</v>
      </c>
      <c r="U673" s="117" t="n">
        <v>312193</v>
      </c>
      <c r="V673" s="117" t="s">
        <v>1963</v>
      </c>
      <c r="X673" s="117" t="s">
        <v>2361</v>
      </c>
      <c r="Z673" s="117" t="n">
        <v>62391</v>
      </c>
      <c r="AB673" s="117" t="s">
        <v>2362</v>
      </c>
      <c r="AD673" s="117" t="n">
        <v>110000</v>
      </c>
      <c r="AE673" s="117" t="s">
        <v>1966</v>
      </c>
      <c r="AF673" s="117" t="n">
        <v>110000</v>
      </c>
      <c r="AG673" s="117" t="s">
        <v>1966</v>
      </c>
      <c r="AI673" s="117" t="n">
        <v>110000</v>
      </c>
      <c r="AJ673" s="117" t="s">
        <v>1966</v>
      </c>
      <c r="AK673" s="117" t="n">
        <v>0</v>
      </c>
      <c r="AL673" s="117" t="n">
        <v>4</v>
      </c>
      <c r="AM673" s="117" t="s">
        <v>161</v>
      </c>
      <c r="AR673" s="118" t="n">
        <v>43830</v>
      </c>
      <c r="AS673" s="117" t="n">
        <v>0.279467592592593</v>
      </c>
      <c r="AT673" s="117" t="n">
        <v>0</v>
      </c>
      <c r="AU673" s="117" t="n">
        <v>0</v>
      </c>
      <c r="AX673" s="117" t="n">
        <v>24</v>
      </c>
    </row>
    <row r="674" customFormat="false" ht="13.8" hidden="true" customHeight="false" outlineLevel="0" collapsed="false">
      <c r="A674" s="117" t="n">
        <v>1000</v>
      </c>
      <c r="B674" s="117" t="s">
        <v>1962</v>
      </c>
      <c r="C674" s="117" t="n">
        <v>1600000288</v>
      </c>
      <c r="D674" s="117" t="s">
        <v>2356</v>
      </c>
      <c r="E674" s="117" t="s">
        <v>1987</v>
      </c>
      <c r="F674" s="117" t="n">
        <v>1101</v>
      </c>
      <c r="G674" s="117" t="n">
        <v>2019</v>
      </c>
      <c r="H674" s="117" t="n">
        <v>8</v>
      </c>
      <c r="I674" s="118" t="n">
        <v>43795</v>
      </c>
      <c r="J674" s="118" t="n">
        <v>43795</v>
      </c>
      <c r="K674" s="119" t="n">
        <v>-10736</v>
      </c>
      <c r="L674" s="128" t="n">
        <f aca="false">K674-Q674+T674</f>
        <v>-10736</v>
      </c>
      <c r="M674" s="117" t="s">
        <v>149</v>
      </c>
      <c r="N674" s="117" t="n">
        <v>-10736</v>
      </c>
      <c r="O674" s="117" t="s">
        <v>149</v>
      </c>
      <c r="P674" s="117" t="n">
        <v>-10736</v>
      </c>
      <c r="Q674" s="117" t="n">
        <v>0</v>
      </c>
      <c r="R674" s="117" t="n">
        <v>-10736</v>
      </c>
      <c r="S674" s="117" t="n">
        <v>0</v>
      </c>
      <c r="T674" s="117" t="n">
        <v>0</v>
      </c>
      <c r="U674" s="117" t="n">
        <v>312193</v>
      </c>
      <c r="V674" s="117" t="s">
        <v>1963</v>
      </c>
      <c r="X674" s="117" t="s">
        <v>2363</v>
      </c>
      <c r="Y674" s="117" t="s">
        <v>2358</v>
      </c>
      <c r="Z674" s="117" t="n">
        <v>1600000288</v>
      </c>
      <c r="AD674" s="117" t="n">
        <v>310300</v>
      </c>
      <c r="AE674" s="117" t="s">
        <v>1969</v>
      </c>
      <c r="AF674" s="117" t="n">
        <v>111201</v>
      </c>
      <c r="AG674" s="117" t="s">
        <v>2165</v>
      </c>
      <c r="AI674" s="117" t="n">
        <v>111201</v>
      </c>
      <c r="AJ674" s="117" t="s">
        <v>2165</v>
      </c>
      <c r="AK674" s="117" t="n">
        <v>0</v>
      </c>
      <c r="AL674" s="117" t="n">
        <v>19</v>
      </c>
      <c r="AM674" s="117" t="s">
        <v>225</v>
      </c>
      <c r="AN674" s="117" t="s">
        <v>1978</v>
      </c>
      <c r="AP674" s="117" t="n">
        <v>100173563</v>
      </c>
      <c r="AQ674" s="118" t="n">
        <v>43799</v>
      </c>
      <c r="AR674" s="118" t="n">
        <v>43795</v>
      </c>
      <c r="AS674" s="117" t="n">
        <v>0.285</v>
      </c>
      <c r="AT674" s="117" t="n">
        <v>0</v>
      </c>
      <c r="AU674" s="117" t="n">
        <v>0</v>
      </c>
      <c r="AX674" s="117" t="n">
        <v>22</v>
      </c>
    </row>
    <row r="675" s="106" customFormat="true" ht="13.8" hidden="true" customHeight="false" outlineLevel="0" collapsed="false">
      <c r="A675" s="106" t="n">
        <v>1000</v>
      </c>
      <c r="B675" s="106" t="s">
        <v>1962</v>
      </c>
      <c r="C675" s="106" t="n">
        <v>110864</v>
      </c>
      <c r="D675" s="106" t="s">
        <v>2364</v>
      </c>
      <c r="E675" s="106" t="s">
        <v>1970</v>
      </c>
      <c r="F675" s="106" t="n">
        <v>1112</v>
      </c>
      <c r="G675" s="106" t="n">
        <v>2019</v>
      </c>
      <c r="H675" s="106" t="n">
        <v>9</v>
      </c>
      <c r="I675" s="129" t="n">
        <v>43828</v>
      </c>
      <c r="J675" s="129" t="n">
        <v>43828</v>
      </c>
      <c r="K675" s="107" t="n">
        <v>1105081.8</v>
      </c>
      <c r="L675" s="130" t="n">
        <f aca="false">K675-Q675+T675</f>
        <v>936510</v>
      </c>
      <c r="M675" s="106" t="s">
        <v>149</v>
      </c>
      <c r="N675" s="106" t="n">
        <v>1105081.8</v>
      </c>
      <c r="O675" s="106" t="s">
        <v>149</v>
      </c>
      <c r="P675" s="106" t="n">
        <v>0</v>
      </c>
      <c r="Q675" s="107" t="n">
        <v>168571.8</v>
      </c>
      <c r="R675" s="106" t="n">
        <v>936510</v>
      </c>
      <c r="S675" s="106" t="n">
        <v>0</v>
      </c>
      <c r="T675" s="106" t="n">
        <v>0</v>
      </c>
      <c r="U675" s="106" t="n">
        <v>312193</v>
      </c>
      <c r="V675" s="106" t="s">
        <v>1963</v>
      </c>
      <c r="Z675" s="106" t="n">
        <v>62396</v>
      </c>
      <c r="AB675" s="106" t="s">
        <v>2362</v>
      </c>
      <c r="AD675" s="106" t="n">
        <v>110000</v>
      </c>
      <c r="AE675" s="106" t="s">
        <v>1966</v>
      </c>
      <c r="AF675" s="106" t="n">
        <v>501005</v>
      </c>
      <c r="AG675" s="106" t="s">
        <v>2033</v>
      </c>
      <c r="AI675" s="106" t="n">
        <v>501005</v>
      </c>
      <c r="AJ675" s="106" t="s">
        <v>2033</v>
      </c>
      <c r="AK675" s="106" t="n">
        <v>0</v>
      </c>
      <c r="AL675" s="106" t="n">
        <v>1</v>
      </c>
      <c r="AM675" s="106" t="s">
        <v>161</v>
      </c>
      <c r="AP675" s="106" t="n">
        <v>100199799</v>
      </c>
      <c r="AQ675" s="129" t="n">
        <v>43830</v>
      </c>
      <c r="AR675" s="129" t="n">
        <v>43828</v>
      </c>
      <c r="AS675" s="106" t="n">
        <v>0.703391203703704</v>
      </c>
      <c r="AT675" s="106" t="n">
        <v>0</v>
      </c>
      <c r="AU675" s="106" t="n">
        <v>0</v>
      </c>
      <c r="AX675" s="106" t="n">
        <v>1</v>
      </c>
      <c r="ALU675" s="0"/>
      <c r="ALV675" s="0"/>
      <c r="ALW675" s="0"/>
      <c r="ALX675" s="0"/>
      <c r="ALY675" s="0"/>
      <c r="ALZ675" s="0"/>
      <c r="AMA675" s="0"/>
      <c r="AMB675" s="0"/>
      <c r="AMC675" s="0"/>
      <c r="AMD675" s="0"/>
      <c r="AME675" s="0"/>
      <c r="AMF675" s="0"/>
      <c r="AMG675" s="0"/>
      <c r="AMH675" s="0"/>
      <c r="AMI675" s="0"/>
      <c r="AMJ675" s="0"/>
    </row>
    <row r="676" customFormat="false" ht="13.8" hidden="true" customHeight="false" outlineLevel="0" collapsed="false">
      <c r="A676" s="117" t="n">
        <v>1000</v>
      </c>
      <c r="B676" s="117" t="s">
        <v>1962</v>
      </c>
      <c r="C676" s="117" t="n">
        <v>1600000315</v>
      </c>
      <c r="D676" s="117" t="s">
        <v>2354</v>
      </c>
      <c r="E676" s="117" t="s">
        <v>1987</v>
      </c>
      <c r="F676" s="117" t="n">
        <v>1101</v>
      </c>
      <c r="G676" s="117" t="n">
        <v>2019</v>
      </c>
      <c r="H676" s="117" t="n">
        <v>8</v>
      </c>
      <c r="I676" s="118" t="n">
        <v>43798</v>
      </c>
      <c r="J676" s="118" t="n">
        <v>43798</v>
      </c>
      <c r="K676" s="119" t="n">
        <v>-10569</v>
      </c>
      <c r="L676" s="128" t="n">
        <f aca="false">K676-Q676+T676</f>
        <v>-10569</v>
      </c>
      <c r="M676" s="117" t="s">
        <v>149</v>
      </c>
      <c r="N676" s="117" t="n">
        <v>-10569</v>
      </c>
      <c r="O676" s="117" t="s">
        <v>149</v>
      </c>
      <c r="P676" s="117" t="n">
        <v>-10569</v>
      </c>
      <c r="Q676" s="117" t="n">
        <v>0</v>
      </c>
      <c r="R676" s="117" t="n">
        <v>-10569</v>
      </c>
      <c r="S676" s="117" t="n">
        <v>0</v>
      </c>
      <c r="T676" s="117" t="n">
        <v>0</v>
      </c>
      <c r="U676" s="117" t="n">
        <v>312193</v>
      </c>
      <c r="V676" s="117" t="s">
        <v>1963</v>
      </c>
      <c r="X676" s="117" t="s">
        <v>2365</v>
      </c>
      <c r="Y676" s="117" t="s">
        <v>2354</v>
      </c>
      <c r="Z676" s="117" t="n">
        <v>1600000315</v>
      </c>
      <c r="AD676" s="117" t="n">
        <v>310300</v>
      </c>
      <c r="AE676" s="117" t="s">
        <v>1969</v>
      </c>
      <c r="AF676" s="117" t="n">
        <v>111201</v>
      </c>
      <c r="AG676" s="117" t="s">
        <v>2165</v>
      </c>
      <c r="AI676" s="117" t="n">
        <v>111201</v>
      </c>
      <c r="AJ676" s="117" t="s">
        <v>2165</v>
      </c>
      <c r="AK676" s="117" t="n">
        <v>0</v>
      </c>
      <c r="AL676" s="117" t="n">
        <v>19</v>
      </c>
      <c r="AM676" s="117" t="s">
        <v>225</v>
      </c>
      <c r="AN676" s="117" t="s">
        <v>1978</v>
      </c>
      <c r="AP676" s="117" t="n">
        <v>100173563</v>
      </c>
      <c r="AQ676" s="118" t="n">
        <v>43799</v>
      </c>
      <c r="AR676" s="118" t="n">
        <v>43798</v>
      </c>
      <c r="AS676" s="117" t="n">
        <v>0.954837962962963</v>
      </c>
      <c r="AT676" s="117" t="n">
        <v>0</v>
      </c>
      <c r="AU676" s="117" t="n">
        <v>0</v>
      </c>
      <c r="AX676" s="117" t="n">
        <v>24</v>
      </c>
    </row>
    <row r="677" customFormat="false" ht="13.8" hidden="true" customHeight="false" outlineLevel="0" collapsed="false">
      <c r="A677" s="117" t="n">
        <v>1000</v>
      </c>
      <c r="B677" s="117" t="s">
        <v>1962</v>
      </c>
      <c r="C677" s="117" t="n">
        <v>1600000315</v>
      </c>
      <c r="D677" s="117" t="s">
        <v>2354</v>
      </c>
      <c r="E677" s="117" t="s">
        <v>1987</v>
      </c>
      <c r="F677" s="117" t="n">
        <v>1101</v>
      </c>
      <c r="G677" s="117" t="n">
        <v>2019</v>
      </c>
      <c r="H677" s="117" t="n">
        <v>8</v>
      </c>
      <c r="I677" s="118" t="n">
        <v>43798</v>
      </c>
      <c r="J677" s="118" t="n">
        <v>43798</v>
      </c>
      <c r="K677" s="119" t="n">
        <v>-9702</v>
      </c>
      <c r="L677" s="128" t="n">
        <f aca="false">K677-Q677+T677</f>
        <v>-9702</v>
      </c>
      <c r="M677" s="117" t="s">
        <v>149</v>
      </c>
      <c r="N677" s="117" t="n">
        <v>-9702</v>
      </c>
      <c r="O677" s="117" t="s">
        <v>149</v>
      </c>
      <c r="P677" s="117" t="n">
        <v>-9702</v>
      </c>
      <c r="Q677" s="117" t="n">
        <v>0</v>
      </c>
      <c r="R677" s="117" t="n">
        <v>-9702</v>
      </c>
      <c r="S677" s="117" t="n">
        <v>0</v>
      </c>
      <c r="T677" s="117" t="n">
        <v>0</v>
      </c>
      <c r="U677" s="117" t="n">
        <v>312193</v>
      </c>
      <c r="V677" s="117" t="s">
        <v>1963</v>
      </c>
      <c r="X677" s="117" t="s">
        <v>2366</v>
      </c>
      <c r="Y677" s="117" t="s">
        <v>2354</v>
      </c>
      <c r="Z677" s="117" t="n">
        <v>1600000315</v>
      </c>
      <c r="AD677" s="117" t="n">
        <v>310300</v>
      </c>
      <c r="AE677" s="117" t="s">
        <v>1969</v>
      </c>
      <c r="AF677" s="117" t="n">
        <v>111201</v>
      </c>
      <c r="AG677" s="117" t="s">
        <v>2165</v>
      </c>
      <c r="AI677" s="117" t="n">
        <v>111201</v>
      </c>
      <c r="AJ677" s="117" t="s">
        <v>2165</v>
      </c>
      <c r="AK677" s="117" t="n">
        <v>0</v>
      </c>
      <c r="AL677" s="117" t="n">
        <v>19</v>
      </c>
      <c r="AM677" s="117" t="s">
        <v>225</v>
      </c>
      <c r="AN677" s="117" t="s">
        <v>1978</v>
      </c>
      <c r="AP677" s="117" t="n">
        <v>100173563</v>
      </c>
      <c r="AQ677" s="118" t="n">
        <v>43799</v>
      </c>
      <c r="AR677" s="118" t="n">
        <v>43798</v>
      </c>
      <c r="AS677" s="117" t="n">
        <v>0.954837962962963</v>
      </c>
      <c r="AT677" s="117" t="n">
        <v>0</v>
      </c>
      <c r="AU677" s="117" t="n">
        <v>0</v>
      </c>
      <c r="AX677" s="117" t="n">
        <v>28</v>
      </c>
    </row>
    <row r="678" customFormat="false" ht="13.8" hidden="true" customHeight="false" outlineLevel="0" collapsed="false">
      <c r="A678" s="117" t="n">
        <v>1000</v>
      </c>
      <c r="B678" s="117" t="s">
        <v>1962</v>
      </c>
      <c r="C678" s="117" t="n">
        <v>100141419</v>
      </c>
      <c r="E678" s="117" t="s">
        <v>1921</v>
      </c>
      <c r="F678" s="117" t="n">
        <v>1109</v>
      </c>
      <c r="G678" s="117" t="n">
        <v>2019</v>
      </c>
      <c r="H678" s="117" t="n">
        <v>7</v>
      </c>
      <c r="I678" s="118" t="n">
        <v>43766</v>
      </c>
      <c r="J678" s="118" t="n">
        <v>43766</v>
      </c>
      <c r="K678" s="119" t="n">
        <v>2471455.09</v>
      </c>
      <c r="L678" s="128" t="n">
        <f aca="false">K678-Q678+T678</f>
        <v>2471455.09</v>
      </c>
      <c r="M678" s="117" t="s">
        <v>149</v>
      </c>
      <c r="N678" s="117" t="n">
        <v>2471455.09</v>
      </c>
      <c r="O678" s="117" t="s">
        <v>149</v>
      </c>
      <c r="P678" s="117" t="n">
        <v>0</v>
      </c>
      <c r="Q678" s="117" t="n">
        <v>0</v>
      </c>
      <c r="R678" s="117" t="n">
        <v>2471455.09</v>
      </c>
      <c r="S678" s="117" t="n">
        <v>0</v>
      </c>
      <c r="T678" s="117" t="n">
        <v>0</v>
      </c>
      <c r="U678" s="117" t="n">
        <v>305576</v>
      </c>
      <c r="V678" s="117" t="s">
        <v>1973</v>
      </c>
      <c r="X678" s="117" t="s">
        <v>1626</v>
      </c>
      <c r="Z678" s="117" t="n">
        <v>61356</v>
      </c>
      <c r="AB678" s="117" t="s">
        <v>2260</v>
      </c>
      <c r="AD678" s="117" t="n">
        <v>110000</v>
      </c>
      <c r="AE678" s="117" t="s">
        <v>1966</v>
      </c>
      <c r="AF678" s="117" t="n">
        <v>110000</v>
      </c>
      <c r="AG678" s="117" t="s">
        <v>1966</v>
      </c>
      <c r="AI678" s="117" t="n">
        <v>110000</v>
      </c>
      <c r="AJ678" s="117" t="s">
        <v>1966</v>
      </c>
      <c r="AK678" s="117" t="n">
        <v>0</v>
      </c>
      <c r="AL678" s="117" t="n">
        <v>4</v>
      </c>
      <c r="AM678" s="117" t="s">
        <v>161</v>
      </c>
      <c r="AP678" s="117" t="n">
        <v>100229115</v>
      </c>
      <c r="AQ678" s="118" t="n">
        <v>43856</v>
      </c>
      <c r="AR678" s="118" t="n">
        <v>43766</v>
      </c>
      <c r="AS678" s="117" t="n">
        <v>0.340451388888889</v>
      </c>
      <c r="AT678" s="117" t="n">
        <v>0</v>
      </c>
      <c r="AU678" s="117" t="n">
        <v>0</v>
      </c>
      <c r="AX678" s="117" t="n">
        <v>1</v>
      </c>
    </row>
    <row r="679" s="106" customFormat="true" ht="13.8" hidden="true" customHeight="false" outlineLevel="0" collapsed="false">
      <c r="A679" s="106" t="n">
        <v>1000</v>
      </c>
      <c r="B679" s="106" t="s">
        <v>1962</v>
      </c>
      <c r="C679" s="106" t="n">
        <v>110868</v>
      </c>
      <c r="D679" s="106" t="s">
        <v>2367</v>
      </c>
      <c r="E679" s="106" t="s">
        <v>1970</v>
      </c>
      <c r="F679" s="106" t="n">
        <v>1112</v>
      </c>
      <c r="G679" s="106" t="n">
        <v>2019</v>
      </c>
      <c r="H679" s="106" t="n">
        <v>9</v>
      </c>
      <c r="I679" s="129" t="n">
        <v>43828</v>
      </c>
      <c r="J679" s="129" t="n">
        <v>43828</v>
      </c>
      <c r="K679" s="107" t="n">
        <v>65516.91</v>
      </c>
      <c r="L679" s="130" t="n">
        <f aca="false">K679-Q679+T679</f>
        <v>55522.8</v>
      </c>
      <c r="M679" s="106" t="s">
        <v>149</v>
      </c>
      <c r="N679" s="106" t="n">
        <v>65516.91</v>
      </c>
      <c r="O679" s="106" t="s">
        <v>149</v>
      </c>
      <c r="P679" s="106" t="n">
        <v>0</v>
      </c>
      <c r="Q679" s="107" t="n">
        <v>9994.11</v>
      </c>
      <c r="R679" s="106" t="n">
        <v>55522.8</v>
      </c>
      <c r="S679" s="106" t="n">
        <v>0</v>
      </c>
      <c r="T679" s="106" t="n">
        <v>0</v>
      </c>
      <c r="U679" s="106" t="n">
        <v>312193</v>
      </c>
      <c r="V679" s="106" t="s">
        <v>1963</v>
      </c>
      <c r="Z679" s="106" t="n">
        <v>62197</v>
      </c>
      <c r="AB679" s="106" t="s">
        <v>2350</v>
      </c>
      <c r="AD679" s="106" t="n">
        <v>110000</v>
      </c>
      <c r="AE679" s="106" t="s">
        <v>1966</v>
      </c>
      <c r="AF679" s="106" t="n">
        <v>501005</v>
      </c>
      <c r="AG679" s="106" t="s">
        <v>2033</v>
      </c>
      <c r="AI679" s="106" t="n">
        <v>501005</v>
      </c>
      <c r="AJ679" s="106" t="s">
        <v>2033</v>
      </c>
      <c r="AK679" s="106" t="n">
        <v>0</v>
      </c>
      <c r="AL679" s="106" t="n">
        <v>1</v>
      </c>
      <c r="AM679" s="106" t="s">
        <v>161</v>
      </c>
      <c r="AP679" s="106" t="n">
        <v>100199799</v>
      </c>
      <c r="AQ679" s="129" t="n">
        <v>43830</v>
      </c>
      <c r="AR679" s="129" t="n">
        <v>43828</v>
      </c>
      <c r="AS679" s="106" t="n">
        <v>0.71275462962963</v>
      </c>
      <c r="AT679" s="106" t="n">
        <v>0</v>
      </c>
      <c r="AU679" s="106" t="n">
        <v>0</v>
      </c>
      <c r="AX679" s="106" t="n">
        <v>1</v>
      </c>
      <c r="ALU679" s="0"/>
      <c r="ALV679" s="0"/>
      <c r="ALW679" s="0"/>
      <c r="ALX679" s="0"/>
      <c r="ALY679" s="0"/>
      <c r="ALZ679" s="0"/>
      <c r="AMA679" s="0"/>
      <c r="AMB679" s="0"/>
      <c r="AMC679" s="0"/>
      <c r="AMD679" s="0"/>
      <c r="AME679" s="0"/>
      <c r="AMF679" s="0"/>
      <c r="AMG679" s="0"/>
      <c r="AMH679" s="0"/>
      <c r="AMI679" s="0"/>
      <c r="AMJ679" s="0"/>
    </row>
    <row r="680" customFormat="false" ht="13.8" hidden="true" customHeight="false" outlineLevel="0" collapsed="false">
      <c r="A680" s="117" t="n">
        <v>1000</v>
      </c>
      <c r="B680" s="117" t="s">
        <v>1962</v>
      </c>
      <c r="C680" s="117" t="n">
        <v>100199799</v>
      </c>
      <c r="E680" s="117" t="s">
        <v>1921</v>
      </c>
      <c r="F680" s="117" t="n">
        <v>1112</v>
      </c>
      <c r="G680" s="117" t="n">
        <v>2019</v>
      </c>
      <c r="H680" s="117" t="n">
        <v>9</v>
      </c>
      <c r="I680" s="118" t="n">
        <v>43830</v>
      </c>
      <c r="J680" s="118" t="n">
        <v>43830</v>
      </c>
      <c r="K680" s="119" t="n">
        <v>7856.44</v>
      </c>
      <c r="L680" s="128" t="n">
        <f aca="false">K680-Q680+T680</f>
        <v>7856.44</v>
      </c>
      <c r="M680" s="117" t="s">
        <v>149</v>
      </c>
      <c r="N680" s="117" t="n">
        <v>7856.44</v>
      </c>
      <c r="O680" s="117" t="s">
        <v>149</v>
      </c>
      <c r="P680" s="117" t="n">
        <v>0</v>
      </c>
      <c r="Q680" s="117" t="n">
        <v>0</v>
      </c>
      <c r="R680" s="117" t="n">
        <v>7856.44</v>
      </c>
      <c r="S680" s="117" t="n">
        <v>0</v>
      </c>
      <c r="T680" s="117" t="n">
        <v>0</v>
      </c>
      <c r="U680" s="117" t="n">
        <v>312193</v>
      </c>
      <c r="V680" s="117" t="s">
        <v>1963</v>
      </c>
      <c r="X680" s="117" t="s">
        <v>2368</v>
      </c>
      <c r="Z680" s="117" t="n">
        <v>62201</v>
      </c>
      <c r="AB680" s="117" t="s">
        <v>2350</v>
      </c>
      <c r="AD680" s="117" t="n">
        <v>110000</v>
      </c>
      <c r="AE680" s="117" t="s">
        <v>1966</v>
      </c>
      <c r="AF680" s="117" t="n">
        <v>110000</v>
      </c>
      <c r="AG680" s="117" t="s">
        <v>1966</v>
      </c>
      <c r="AI680" s="117" t="n">
        <v>110000</v>
      </c>
      <c r="AJ680" s="117" t="s">
        <v>1966</v>
      </c>
      <c r="AK680" s="117" t="n">
        <v>0</v>
      </c>
      <c r="AL680" s="117" t="n">
        <v>4</v>
      </c>
      <c r="AM680" s="117" t="s">
        <v>161</v>
      </c>
      <c r="AR680" s="118" t="n">
        <v>43830</v>
      </c>
      <c r="AS680" s="117" t="n">
        <v>0.279467592592593</v>
      </c>
      <c r="AT680" s="117" t="n">
        <v>0</v>
      </c>
      <c r="AU680" s="117" t="n">
        <v>0</v>
      </c>
      <c r="AX680" s="117" t="n">
        <v>28</v>
      </c>
    </row>
    <row r="681" customFormat="false" ht="13.8" hidden="true" customHeight="false" outlineLevel="0" collapsed="false">
      <c r="A681" s="117" t="n">
        <v>1000</v>
      </c>
      <c r="B681" s="117" t="s">
        <v>1962</v>
      </c>
      <c r="C681" s="117" t="n">
        <v>1400009243</v>
      </c>
      <c r="D681" s="117" t="s">
        <v>2369</v>
      </c>
      <c r="E681" s="117" t="s">
        <v>1972</v>
      </c>
      <c r="F681" s="117" t="n">
        <v>1112</v>
      </c>
      <c r="G681" s="117" t="n">
        <v>2019</v>
      </c>
      <c r="H681" s="117" t="n">
        <v>9</v>
      </c>
      <c r="I681" s="118" t="n">
        <v>43830</v>
      </c>
      <c r="J681" s="118" t="n">
        <v>43830</v>
      </c>
      <c r="K681" s="119" t="n">
        <v>-3300649.75</v>
      </c>
      <c r="L681" s="128" t="n">
        <f aca="false">K681-Q681+T681</f>
        <v>-3300649.75</v>
      </c>
      <c r="M681" s="117" t="s">
        <v>149</v>
      </c>
      <c r="N681" s="117" t="n">
        <v>-3300649.75</v>
      </c>
      <c r="O681" s="117" t="s">
        <v>149</v>
      </c>
      <c r="P681" s="117" t="n">
        <v>-3300649.75</v>
      </c>
      <c r="Q681" s="117" t="n">
        <v>0</v>
      </c>
      <c r="R681" s="117" t="n">
        <v>-3300649.75</v>
      </c>
      <c r="S681" s="117" t="n">
        <v>0</v>
      </c>
      <c r="T681" s="117" t="n">
        <v>0</v>
      </c>
      <c r="U681" s="117" t="n">
        <v>311155</v>
      </c>
      <c r="V681" s="117" t="s">
        <v>2022</v>
      </c>
      <c r="X681" s="117" t="s">
        <v>2370</v>
      </c>
      <c r="Y681" s="117" t="s">
        <v>2371</v>
      </c>
      <c r="Z681" s="117" t="n">
        <v>1400009243</v>
      </c>
      <c r="AC681" s="117" t="s">
        <v>1976</v>
      </c>
      <c r="AD681" s="117" t="n">
        <v>310300</v>
      </c>
      <c r="AE681" s="117" t="s">
        <v>1969</v>
      </c>
      <c r="AF681" s="117" t="n">
        <v>101105</v>
      </c>
      <c r="AG681" s="117" t="s">
        <v>1977</v>
      </c>
      <c r="AI681" s="117" t="n">
        <v>101105</v>
      </c>
      <c r="AJ681" s="117" t="s">
        <v>1977</v>
      </c>
      <c r="AK681" s="117" t="n">
        <v>0</v>
      </c>
      <c r="AL681" s="117" t="n">
        <v>19</v>
      </c>
      <c r="AM681" s="117" t="s">
        <v>225</v>
      </c>
      <c r="AN681" s="117" t="s">
        <v>1978</v>
      </c>
      <c r="AP681" s="117" t="n">
        <v>100210316</v>
      </c>
      <c r="AQ681" s="118" t="n">
        <v>43830</v>
      </c>
      <c r="AR681" s="118" t="n">
        <v>43831</v>
      </c>
      <c r="AS681" s="117" t="n">
        <v>0.441354166666667</v>
      </c>
      <c r="AT681" s="117" t="n">
        <v>0</v>
      </c>
      <c r="AU681" s="117" t="n">
        <v>0</v>
      </c>
      <c r="AX681" s="117" t="n">
        <v>2</v>
      </c>
    </row>
    <row r="682" customFormat="false" ht="13.8" hidden="true" customHeight="false" outlineLevel="0" collapsed="false">
      <c r="A682" s="117" t="n">
        <v>1000</v>
      </c>
      <c r="B682" s="117" t="s">
        <v>1962</v>
      </c>
      <c r="C682" s="117" t="n">
        <v>100173564</v>
      </c>
      <c r="E682" s="117" t="s">
        <v>1921</v>
      </c>
      <c r="F682" s="117" t="n">
        <v>1108</v>
      </c>
      <c r="G682" s="117" t="n">
        <v>2019</v>
      </c>
      <c r="H682" s="117" t="n">
        <v>8</v>
      </c>
      <c r="I682" s="118" t="n">
        <v>43799</v>
      </c>
      <c r="J682" s="118" t="n">
        <v>43799</v>
      </c>
      <c r="K682" s="119" t="n">
        <v>58820.64</v>
      </c>
      <c r="L682" s="128" t="n">
        <f aca="false">K682-Q682+T682</f>
        <v>58820.64</v>
      </c>
      <c r="M682" s="117" t="s">
        <v>149</v>
      </c>
      <c r="N682" s="117" t="n">
        <v>58820.64</v>
      </c>
      <c r="O682" s="117" t="s">
        <v>149</v>
      </c>
      <c r="P682" s="117" t="n">
        <v>0</v>
      </c>
      <c r="Q682" s="117" t="n">
        <v>0</v>
      </c>
      <c r="R682" s="117" t="n">
        <v>58820.64</v>
      </c>
      <c r="S682" s="117" t="n">
        <v>0</v>
      </c>
      <c r="T682" s="117" t="n">
        <v>0</v>
      </c>
      <c r="U682" s="117" t="n">
        <v>312193</v>
      </c>
      <c r="V682" s="117" t="s">
        <v>1963</v>
      </c>
      <c r="X682" s="117" t="s">
        <v>1651</v>
      </c>
      <c r="Z682" s="117" t="n">
        <v>61996</v>
      </c>
      <c r="AB682" s="117" t="s">
        <v>2109</v>
      </c>
      <c r="AD682" s="117" t="n">
        <v>110000</v>
      </c>
      <c r="AE682" s="117" t="s">
        <v>1966</v>
      </c>
      <c r="AF682" s="117" t="n">
        <v>110000</v>
      </c>
      <c r="AG682" s="117" t="s">
        <v>1966</v>
      </c>
      <c r="AI682" s="117" t="n">
        <v>110000</v>
      </c>
      <c r="AJ682" s="117" t="s">
        <v>1966</v>
      </c>
      <c r="AK682" s="117" t="n">
        <v>0</v>
      </c>
      <c r="AL682" s="117" t="n">
        <v>4</v>
      </c>
      <c r="AM682" s="117" t="s">
        <v>161</v>
      </c>
      <c r="AR682" s="118" t="n">
        <v>43800</v>
      </c>
      <c r="AS682" s="117" t="n">
        <v>0.649189814814815</v>
      </c>
      <c r="AT682" s="117" t="n">
        <v>0</v>
      </c>
      <c r="AU682" s="117" t="n">
        <v>0</v>
      </c>
      <c r="AX682" s="117" t="n">
        <v>23</v>
      </c>
    </row>
    <row r="683" customFormat="false" ht="13.8" hidden="true" customHeight="false" outlineLevel="0" collapsed="false">
      <c r="A683" s="117" t="n">
        <v>1000</v>
      </c>
      <c r="B683" s="117" t="s">
        <v>1962</v>
      </c>
      <c r="C683" s="117" t="n">
        <v>100194025</v>
      </c>
      <c r="E683" s="117" t="s">
        <v>1921</v>
      </c>
      <c r="F683" s="117" t="n">
        <v>1112</v>
      </c>
      <c r="G683" s="117" t="n">
        <v>2019</v>
      </c>
      <c r="H683" s="117" t="n">
        <v>9</v>
      </c>
      <c r="I683" s="118" t="n">
        <v>43824</v>
      </c>
      <c r="J683" s="118" t="n">
        <v>43824</v>
      </c>
      <c r="K683" s="119" t="n">
        <v>76261.04</v>
      </c>
      <c r="L683" s="128" t="n">
        <f aca="false">K683-Q683+T683</f>
        <v>76261.04</v>
      </c>
      <c r="M683" s="117" t="s">
        <v>149</v>
      </c>
      <c r="N683" s="117" t="n">
        <v>76261.04</v>
      </c>
      <c r="O683" s="117" t="s">
        <v>149</v>
      </c>
      <c r="P683" s="117" t="n">
        <v>0</v>
      </c>
      <c r="Q683" s="117" t="n">
        <v>0</v>
      </c>
      <c r="R683" s="117" t="n">
        <v>76261.04</v>
      </c>
      <c r="S683" s="117" t="n">
        <v>0</v>
      </c>
      <c r="T683" s="117" t="n">
        <v>0</v>
      </c>
      <c r="U683" s="117" t="n">
        <v>312193</v>
      </c>
      <c r="V683" s="117" t="s">
        <v>1963</v>
      </c>
      <c r="X683" s="117" t="s">
        <v>2372</v>
      </c>
      <c r="Z683" s="117" t="n">
        <v>62146</v>
      </c>
      <c r="AB683" s="117" t="s">
        <v>2350</v>
      </c>
      <c r="AD683" s="117" t="n">
        <v>110000</v>
      </c>
      <c r="AE683" s="117" t="s">
        <v>1966</v>
      </c>
      <c r="AF683" s="117" t="n">
        <v>110000</v>
      </c>
      <c r="AG683" s="117" t="s">
        <v>1966</v>
      </c>
      <c r="AI683" s="117" t="n">
        <v>110000</v>
      </c>
      <c r="AJ683" s="117" t="s">
        <v>1966</v>
      </c>
      <c r="AK683" s="117" t="n">
        <v>0</v>
      </c>
      <c r="AL683" s="117" t="n">
        <v>4</v>
      </c>
      <c r="AM683" s="117" t="s">
        <v>161</v>
      </c>
      <c r="AR683" s="118" t="n">
        <v>43824</v>
      </c>
      <c r="AS683" s="117" t="n">
        <v>0.371284722222222</v>
      </c>
      <c r="AT683" s="117" t="n">
        <v>0</v>
      </c>
      <c r="AU683" s="117" t="n">
        <v>0</v>
      </c>
      <c r="AX683" s="117" t="n">
        <v>18</v>
      </c>
    </row>
    <row r="684" customFormat="false" ht="13.8" hidden="true" customHeight="false" outlineLevel="0" collapsed="false">
      <c r="A684" s="117" t="n">
        <v>1000</v>
      </c>
      <c r="B684" s="117" t="s">
        <v>1962</v>
      </c>
      <c r="C684" s="117" t="n">
        <v>100173568</v>
      </c>
      <c r="E684" s="117" t="s">
        <v>1921</v>
      </c>
      <c r="F684" s="117" t="n">
        <v>1109</v>
      </c>
      <c r="G684" s="117" t="n">
        <v>2019</v>
      </c>
      <c r="H684" s="117" t="n">
        <v>8</v>
      </c>
      <c r="I684" s="118" t="n">
        <v>43799</v>
      </c>
      <c r="J684" s="118" t="n">
        <v>43799</v>
      </c>
      <c r="K684" s="119" t="n">
        <v>130106.8</v>
      </c>
      <c r="L684" s="128" t="n">
        <f aca="false">K684-Q684+T684</f>
        <v>130106.8</v>
      </c>
      <c r="M684" s="117" t="s">
        <v>149</v>
      </c>
      <c r="N684" s="117" t="n">
        <v>130106.8</v>
      </c>
      <c r="O684" s="117" t="s">
        <v>149</v>
      </c>
      <c r="P684" s="117" t="n">
        <v>0</v>
      </c>
      <c r="Q684" s="117" t="n">
        <v>0</v>
      </c>
      <c r="R684" s="117" t="n">
        <v>130106.8</v>
      </c>
      <c r="S684" s="117" t="n">
        <v>0</v>
      </c>
      <c r="T684" s="117" t="n">
        <v>0</v>
      </c>
      <c r="U684" s="117" t="n">
        <v>315113</v>
      </c>
      <c r="V684" s="117" t="s">
        <v>143</v>
      </c>
      <c r="X684" s="117" t="s">
        <v>1485</v>
      </c>
      <c r="Z684" s="117" t="n">
        <v>2511</v>
      </c>
      <c r="AB684" s="117" t="s">
        <v>2373</v>
      </c>
      <c r="AD684" s="117" t="n">
        <v>110000</v>
      </c>
      <c r="AE684" s="117" t="s">
        <v>1966</v>
      </c>
      <c r="AF684" s="117" t="n">
        <v>110000</v>
      </c>
      <c r="AG684" s="117" t="s">
        <v>1966</v>
      </c>
      <c r="AI684" s="117" t="n">
        <v>110000</v>
      </c>
      <c r="AJ684" s="117" t="s">
        <v>1966</v>
      </c>
      <c r="AK684" s="117" t="n">
        <v>0</v>
      </c>
      <c r="AL684" s="117" t="n">
        <v>4</v>
      </c>
      <c r="AM684" s="117" t="s">
        <v>161</v>
      </c>
      <c r="AR684" s="118" t="n">
        <v>43800</v>
      </c>
      <c r="AS684" s="117" t="n">
        <v>0.661851851851852</v>
      </c>
      <c r="AT684" s="117" t="n">
        <v>0</v>
      </c>
      <c r="AU684" s="117" t="n">
        <v>0</v>
      </c>
      <c r="AX684" s="117" t="n">
        <v>1</v>
      </c>
    </row>
    <row r="685" customFormat="false" ht="13.8" hidden="true" customHeight="false" outlineLevel="0" collapsed="false">
      <c r="A685" s="117" t="n">
        <v>1000</v>
      </c>
      <c r="B685" s="117" t="s">
        <v>1962</v>
      </c>
      <c r="C685" s="117" t="n">
        <v>100141449</v>
      </c>
      <c r="E685" s="117" t="s">
        <v>1921</v>
      </c>
      <c r="F685" s="117" t="n">
        <v>1109</v>
      </c>
      <c r="G685" s="117" t="n">
        <v>2019</v>
      </c>
      <c r="H685" s="117" t="n">
        <v>7</v>
      </c>
      <c r="I685" s="118" t="n">
        <v>43766</v>
      </c>
      <c r="J685" s="118" t="n">
        <v>43766</v>
      </c>
      <c r="K685" s="119" t="n">
        <v>2406925.11</v>
      </c>
      <c r="L685" s="128" t="n">
        <f aca="false">K685-Q685+T685</f>
        <v>2406925.11</v>
      </c>
      <c r="M685" s="117" t="s">
        <v>149</v>
      </c>
      <c r="N685" s="117" t="n">
        <v>2406925.11</v>
      </c>
      <c r="O685" s="117" t="s">
        <v>149</v>
      </c>
      <c r="P685" s="117" t="n">
        <v>0</v>
      </c>
      <c r="Q685" s="117" t="n">
        <v>0</v>
      </c>
      <c r="R685" s="117" t="n">
        <v>2406925.11</v>
      </c>
      <c r="S685" s="117" t="n">
        <v>0</v>
      </c>
      <c r="T685" s="117" t="n">
        <v>0</v>
      </c>
      <c r="U685" s="117" t="n">
        <v>312193</v>
      </c>
      <c r="V685" s="117" t="s">
        <v>1963</v>
      </c>
      <c r="X685" s="117" t="s">
        <v>1851</v>
      </c>
      <c r="Z685" s="117" t="n">
        <v>60942</v>
      </c>
      <c r="AB685" s="117" t="s">
        <v>2124</v>
      </c>
      <c r="AD685" s="117" t="n">
        <v>110000</v>
      </c>
      <c r="AE685" s="117" t="s">
        <v>1966</v>
      </c>
      <c r="AF685" s="117" t="n">
        <v>110000</v>
      </c>
      <c r="AG685" s="117" t="s">
        <v>1966</v>
      </c>
      <c r="AI685" s="117" t="n">
        <v>110000</v>
      </c>
      <c r="AJ685" s="117" t="s">
        <v>1966</v>
      </c>
      <c r="AK685" s="117" t="n">
        <v>0</v>
      </c>
      <c r="AL685" s="117" t="n">
        <v>4</v>
      </c>
      <c r="AM685" s="117" t="s">
        <v>161</v>
      </c>
      <c r="AR685" s="118" t="n">
        <v>43766</v>
      </c>
      <c r="AS685" s="117" t="n">
        <v>0.371388888888889</v>
      </c>
      <c r="AT685" s="117" t="n">
        <v>0</v>
      </c>
      <c r="AU685" s="117" t="n">
        <v>0</v>
      </c>
      <c r="AX685" s="117" t="n">
        <v>2</v>
      </c>
    </row>
    <row r="686" customFormat="false" ht="13.8" hidden="true" customHeight="false" outlineLevel="0" collapsed="false">
      <c r="A686" s="117" t="n">
        <v>1000</v>
      </c>
      <c r="B686" s="117" t="s">
        <v>1962</v>
      </c>
      <c r="C686" s="117" t="n">
        <v>100210316</v>
      </c>
      <c r="E686" s="117" t="s">
        <v>1921</v>
      </c>
      <c r="F686" s="117" t="n">
        <v>1109</v>
      </c>
      <c r="G686" s="117" t="n">
        <v>2019</v>
      </c>
      <c r="H686" s="117" t="n">
        <v>9</v>
      </c>
      <c r="I686" s="118" t="n">
        <v>43830</v>
      </c>
      <c r="J686" s="118" t="n">
        <v>43830</v>
      </c>
      <c r="K686" s="119" t="n">
        <v>70342.05</v>
      </c>
      <c r="L686" s="128" t="n">
        <f aca="false">K686-Q686+T686</f>
        <v>70342.05</v>
      </c>
      <c r="M686" s="117" t="s">
        <v>149</v>
      </c>
      <c r="N686" s="117" t="n">
        <v>70342.05</v>
      </c>
      <c r="O686" s="117" t="s">
        <v>149</v>
      </c>
      <c r="P686" s="117" t="n">
        <v>0</v>
      </c>
      <c r="Q686" s="117" t="n">
        <v>0</v>
      </c>
      <c r="R686" s="117" t="n">
        <v>70342.05</v>
      </c>
      <c r="S686" s="117" t="n">
        <v>0</v>
      </c>
      <c r="T686" s="117" t="n">
        <v>0</v>
      </c>
      <c r="U686" s="117" t="n">
        <v>311155</v>
      </c>
      <c r="V686" s="117" t="s">
        <v>2022</v>
      </c>
      <c r="X686" s="117" t="s">
        <v>2374</v>
      </c>
      <c r="Z686" s="117" t="n">
        <v>61625</v>
      </c>
      <c r="AB686" s="117" t="s">
        <v>2303</v>
      </c>
      <c r="AD686" s="117" t="n">
        <v>110000</v>
      </c>
      <c r="AE686" s="117" t="s">
        <v>1966</v>
      </c>
      <c r="AF686" s="117" t="n">
        <v>110000</v>
      </c>
      <c r="AG686" s="117" t="s">
        <v>1966</v>
      </c>
      <c r="AI686" s="117" t="n">
        <v>110000</v>
      </c>
      <c r="AJ686" s="117" t="s">
        <v>1966</v>
      </c>
      <c r="AK686" s="117" t="n">
        <v>0</v>
      </c>
      <c r="AL686" s="117" t="n">
        <v>4</v>
      </c>
      <c r="AM686" s="117" t="s">
        <v>161</v>
      </c>
      <c r="AP686" s="117" t="n">
        <v>100229130</v>
      </c>
      <c r="AQ686" s="118" t="n">
        <v>43856</v>
      </c>
      <c r="AR686" s="118" t="n">
        <v>43831</v>
      </c>
      <c r="AS686" s="117" t="n">
        <v>0.444108796296296</v>
      </c>
      <c r="AT686" s="117" t="n">
        <v>0</v>
      </c>
      <c r="AU686" s="117" t="n">
        <v>0</v>
      </c>
      <c r="AX686" s="117" t="n">
        <v>1</v>
      </c>
    </row>
    <row r="687" customFormat="false" ht="13.8" hidden="true" customHeight="false" outlineLevel="0" collapsed="false">
      <c r="A687" s="117" t="n">
        <v>1000</v>
      </c>
      <c r="B687" s="117" t="s">
        <v>1962</v>
      </c>
      <c r="C687" s="117" t="n">
        <v>100173566</v>
      </c>
      <c r="E687" s="117" t="s">
        <v>1921</v>
      </c>
      <c r="F687" s="117" t="n">
        <v>1101</v>
      </c>
      <c r="G687" s="117" t="n">
        <v>2019</v>
      </c>
      <c r="H687" s="117" t="n">
        <v>8</v>
      </c>
      <c r="I687" s="118" t="n">
        <v>43799</v>
      </c>
      <c r="J687" s="118" t="n">
        <v>43799</v>
      </c>
      <c r="K687" s="119" t="n">
        <v>-281897.7</v>
      </c>
      <c r="L687" s="128" t="n">
        <f aca="false">K687-Q687+T687</f>
        <v>-281897.7</v>
      </c>
      <c r="M687" s="117" t="s">
        <v>149</v>
      </c>
      <c r="N687" s="117" t="n">
        <v>-281897.7</v>
      </c>
      <c r="O687" s="117" t="s">
        <v>149</v>
      </c>
      <c r="P687" s="117" t="n">
        <v>0</v>
      </c>
      <c r="Q687" s="117" t="n">
        <v>0</v>
      </c>
      <c r="R687" s="117" t="n">
        <v>-281897.7</v>
      </c>
      <c r="S687" s="117" t="n">
        <v>0</v>
      </c>
      <c r="T687" s="117" t="n">
        <v>0</v>
      </c>
      <c r="U687" s="117" t="n">
        <v>315113</v>
      </c>
      <c r="V687" s="117" t="s">
        <v>143</v>
      </c>
      <c r="Z687" s="117" t="n">
        <v>100173566</v>
      </c>
      <c r="AD687" s="117" t="n">
        <v>111105</v>
      </c>
      <c r="AE687" s="117" t="s">
        <v>1994</v>
      </c>
      <c r="AF687" s="117" t="n">
        <v>110000</v>
      </c>
      <c r="AG687" s="117" t="s">
        <v>1966</v>
      </c>
      <c r="AI687" s="117" t="n">
        <v>110000</v>
      </c>
      <c r="AJ687" s="117" t="s">
        <v>1966</v>
      </c>
      <c r="AK687" s="117" t="n">
        <v>0</v>
      </c>
      <c r="AL687" s="117" t="n">
        <v>19</v>
      </c>
      <c r="AM687" s="117" t="s">
        <v>225</v>
      </c>
      <c r="AN687" s="117" t="s">
        <v>1995</v>
      </c>
      <c r="AP687" s="117" t="n">
        <v>100173566</v>
      </c>
      <c r="AQ687" s="118" t="n">
        <v>43799</v>
      </c>
      <c r="AR687" s="118" t="n">
        <v>43800</v>
      </c>
      <c r="AS687" s="117" t="n">
        <v>0.660671296296296</v>
      </c>
      <c r="AT687" s="117" t="n">
        <v>0</v>
      </c>
      <c r="AU687" s="117" t="n">
        <v>0</v>
      </c>
      <c r="AX687" s="117" t="n">
        <v>2</v>
      </c>
    </row>
    <row r="688" s="106" customFormat="true" ht="13.8" hidden="true" customHeight="false" outlineLevel="0" collapsed="false">
      <c r="A688" s="106" t="n">
        <v>1000</v>
      </c>
      <c r="B688" s="106" t="s">
        <v>1962</v>
      </c>
      <c r="C688" s="106" t="n">
        <v>110888</v>
      </c>
      <c r="D688" s="106" t="s">
        <v>2375</v>
      </c>
      <c r="E688" s="106" t="s">
        <v>1970</v>
      </c>
      <c r="F688" s="106" t="n">
        <v>1112</v>
      </c>
      <c r="G688" s="106" t="n">
        <v>2019</v>
      </c>
      <c r="H688" s="106" t="n">
        <v>9</v>
      </c>
      <c r="I688" s="129" t="n">
        <v>43828</v>
      </c>
      <c r="J688" s="129" t="n">
        <v>43828</v>
      </c>
      <c r="K688" s="107" t="n">
        <v>13253.76</v>
      </c>
      <c r="L688" s="130" t="n">
        <f aca="false">K688-Q688+T688</f>
        <v>11232</v>
      </c>
      <c r="M688" s="106" t="s">
        <v>149</v>
      </c>
      <c r="N688" s="106" t="n">
        <v>13253.76</v>
      </c>
      <c r="O688" s="106" t="s">
        <v>149</v>
      </c>
      <c r="P688" s="106" t="n">
        <v>0</v>
      </c>
      <c r="Q688" s="107" t="n">
        <v>2021.76</v>
      </c>
      <c r="R688" s="106" t="n">
        <v>11232</v>
      </c>
      <c r="S688" s="106" t="n">
        <v>0</v>
      </c>
      <c r="T688" s="106" t="n">
        <v>0</v>
      </c>
      <c r="U688" s="106" t="n">
        <v>312193</v>
      </c>
      <c r="V688" s="106" t="s">
        <v>1963</v>
      </c>
      <c r="Z688" s="106" t="n">
        <v>62394</v>
      </c>
      <c r="AB688" s="106" t="s">
        <v>2362</v>
      </c>
      <c r="AD688" s="106" t="n">
        <v>110000</v>
      </c>
      <c r="AE688" s="106" t="s">
        <v>1966</v>
      </c>
      <c r="AF688" s="106" t="n">
        <v>501005</v>
      </c>
      <c r="AG688" s="106" t="s">
        <v>2033</v>
      </c>
      <c r="AI688" s="106" t="n">
        <v>501005</v>
      </c>
      <c r="AJ688" s="106" t="s">
        <v>2033</v>
      </c>
      <c r="AK688" s="106" t="n">
        <v>0</v>
      </c>
      <c r="AL688" s="106" t="n">
        <v>1</v>
      </c>
      <c r="AM688" s="106" t="s">
        <v>161</v>
      </c>
      <c r="AP688" s="106" t="n">
        <v>100199799</v>
      </c>
      <c r="AQ688" s="129" t="n">
        <v>43830</v>
      </c>
      <c r="AR688" s="129" t="n">
        <v>43828</v>
      </c>
      <c r="AS688" s="106" t="n">
        <v>0.768506944444445</v>
      </c>
      <c r="AT688" s="106" t="n">
        <v>0</v>
      </c>
      <c r="AU688" s="106" t="n">
        <v>0</v>
      </c>
      <c r="AX688" s="106" t="n">
        <v>1</v>
      </c>
      <c r="ALU688" s="0"/>
      <c r="ALV688" s="0"/>
      <c r="ALW688" s="0"/>
      <c r="ALX688" s="0"/>
      <c r="ALY688" s="0"/>
      <c r="ALZ688" s="0"/>
      <c r="AMA688" s="0"/>
      <c r="AMB688" s="0"/>
      <c r="AMC688" s="0"/>
      <c r="AMD688" s="0"/>
      <c r="AME688" s="0"/>
      <c r="AMF688" s="0"/>
      <c r="AMG688" s="0"/>
      <c r="AMH688" s="0"/>
      <c r="AMI688" s="0"/>
      <c r="AMJ688" s="0"/>
    </row>
    <row r="689" s="106" customFormat="true" ht="13.8" hidden="true" customHeight="false" outlineLevel="0" collapsed="false">
      <c r="A689" s="106" t="n">
        <v>1000</v>
      </c>
      <c r="B689" s="106" t="s">
        <v>1962</v>
      </c>
      <c r="C689" s="106" t="n">
        <v>109741</v>
      </c>
      <c r="D689" s="106" t="s">
        <v>1642</v>
      </c>
      <c r="E689" s="106" t="s">
        <v>1970</v>
      </c>
      <c r="F689" s="106" t="n">
        <v>1108</v>
      </c>
      <c r="G689" s="106" t="n">
        <v>2019</v>
      </c>
      <c r="H689" s="106" t="n">
        <v>8</v>
      </c>
      <c r="I689" s="129" t="n">
        <v>43799</v>
      </c>
      <c r="J689" s="129" t="n">
        <v>43799</v>
      </c>
      <c r="K689" s="107" t="n">
        <v>78427.52</v>
      </c>
      <c r="L689" s="130" t="n">
        <f aca="false">K689-Q689+T689</f>
        <v>66464</v>
      </c>
      <c r="M689" s="106" t="s">
        <v>149</v>
      </c>
      <c r="N689" s="106" t="n">
        <v>78427.52</v>
      </c>
      <c r="O689" s="106" t="s">
        <v>149</v>
      </c>
      <c r="P689" s="106" t="n">
        <v>0</v>
      </c>
      <c r="Q689" s="107" t="n">
        <v>11963.52</v>
      </c>
      <c r="R689" s="106" t="n">
        <v>66464</v>
      </c>
      <c r="S689" s="106" t="n">
        <v>0</v>
      </c>
      <c r="T689" s="106" t="n">
        <v>0</v>
      </c>
      <c r="U689" s="106" t="n">
        <v>312193</v>
      </c>
      <c r="V689" s="106" t="s">
        <v>1963</v>
      </c>
      <c r="Z689" s="106" t="n">
        <v>61993</v>
      </c>
      <c r="AB689" s="106" t="s">
        <v>2109</v>
      </c>
      <c r="AD689" s="106" t="n">
        <v>110000</v>
      </c>
      <c r="AE689" s="106" t="s">
        <v>1966</v>
      </c>
      <c r="AF689" s="106" t="n">
        <v>501005</v>
      </c>
      <c r="AG689" s="106" t="s">
        <v>2033</v>
      </c>
      <c r="AI689" s="106" t="n">
        <v>501005</v>
      </c>
      <c r="AJ689" s="106" t="s">
        <v>2033</v>
      </c>
      <c r="AK689" s="106" t="n">
        <v>0</v>
      </c>
      <c r="AL689" s="106" t="n">
        <v>1</v>
      </c>
      <c r="AM689" s="106" t="s">
        <v>161</v>
      </c>
      <c r="AP689" s="106" t="n">
        <v>100173564</v>
      </c>
      <c r="AQ689" s="129" t="n">
        <v>43799</v>
      </c>
      <c r="AR689" s="129" t="n">
        <v>43799</v>
      </c>
      <c r="AS689" s="106" t="n">
        <v>0.750324074074074</v>
      </c>
      <c r="AT689" s="106" t="n">
        <v>0</v>
      </c>
      <c r="AU689" s="106" t="n">
        <v>0</v>
      </c>
      <c r="AX689" s="106" t="n">
        <v>1</v>
      </c>
      <c r="ALU689" s="0"/>
      <c r="ALV689" s="0"/>
      <c r="ALW689" s="0"/>
      <c r="ALX689" s="0"/>
      <c r="ALY689" s="0"/>
      <c r="ALZ689" s="0"/>
      <c r="AMA689" s="0"/>
      <c r="AMB689" s="0"/>
      <c r="AMC689" s="0"/>
      <c r="AMD689" s="0"/>
      <c r="AME689" s="0"/>
      <c r="AMF689" s="0"/>
      <c r="AMG689" s="0"/>
      <c r="AMH689" s="0"/>
      <c r="AMI689" s="0"/>
      <c r="AMJ689" s="0"/>
    </row>
    <row r="690" s="106" customFormat="true" ht="13.8" hidden="true" customHeight="false" outlineLevel="0" collapsed="false">
      <c r="A690" s="106" t="n">
        <v>1000</v>
      </c>
      <c r="B690" s="106" t="s">
        <v>1962</v>
      </c>
      <c r="C690" s="106" t="n">
        <v>110896</v>
      </c>
      <c r="D690" s="106" t="s">
        <v>2376</v>
      </c>
      <c r="E690" s="106" t="s">
        <v>1970</v>
      </c>
      <c r="F690" s="106" t="n">
        <v>1112</v>
      </c>
      <c r="G690" s="106" t="n">
        <v>2019</v>
      </c>
      <c r="H690" s="106" t="n">
        <v>9</v>
      </c>
      <c r="I690" s="129" t="n">
        <v>43828</v>
      </c>
      <c r="J690" s="129" t="n">
        <v>43828</v>
      </c>
      <c r="K690" s="107" t="n">
        <v>6426.28</v>
      </c>
      <c r="L690" s="130" t="n">
        <f aca="false">K690-Q690+T690</f>
        <v>5446</v>
      </c>
      <c r="M690" s="106" t="s">
        <v>149</v>
      </c>
      <c r="N690" s="106" t="n">
        <v>6426.28</v>
      </c>
      <c r="O690" s="106" t="s">
        <v>149</v>
      </c>
      <c r="P690" s="106" t="n">
        <v>0</v>
      </c>
      <c r="Q690" s="107" t="n">
        <v>980.28</v>
      </c>
      <c r="R690" s="106" t="n">
        <v>5446</v>
      </c>
      <c r="S690" s="106" t="n">
        <v>0</v>
      </c>
      <c r="T690" s="106" t="n">
        <v>0</v>
      </c>
      <c r="U690" s="106" t="n">
        <v>312193</v>
      </c>
      <c r="V690" s="106" t="s">
        <v>1963</v>
      </c>
      <c r="Z690" s="106" t="n">
        <v>62393</v>
      </c>
      <c r="AB690" s="106" t="s">
        <v>2350</v>
      </c>
      <c r="AD690" s="106" t="n">
        <v>110000</v>
      </c>
      <c r="AE690" s="106" t="s">
        <v>1966</v>
      </c>
      <c r="AF690" s="106" t="n">
        <v>501000</v>
      </c>
      <c r="AG690" s="106" t="s">
        <v>2170</v>
      </c>
      <c r="AI690" s="106" t="n">
        <v>501000</v>
      </c>
      <c r="AJ690" s="106" t="s">
        <v>2170</v>
      </c>
      <c r="AK690" s="106" t="n">
        <v>0</v>
      </c>
      <c r="AL690" s="106" t="n">
        <v>1</v>
      </c>
      <c r="AM690" s="106" t="s">
        <v>161</v>
      </c>
      <c r="AP690" s="106" t="n">
        <v>100199799</v>
      </c>
      <c r="AQ690" s="129" t="n">
        <v>43830</v>
      </c>
      <c r="AR690" s="129" t="n">
        <v>43828</v>
      </c>
      <c r="AS690" s="106" t="n">
        <v>0.792361111111111</v>
      </c>
      <c r="AT690" s="106" t="n">
        <v>0</v>
      </c>
      <c r="AU690" s="106" t="n">
        <v>0</v>
      </c>
      <c r="AX690" s="106" t="n">
        <v>1</v>
      </c>
      <c r="ALU690" s="0"/>
      <c r="ALV690" s="0"/>
      <c r="ALW690" s="0"/>
      <c r="ALX690" s="0"/>
      <c r="ALY690" s="0"/>
      <c r="ALZ690" s="0"/>
      <c r="AMA690" s="0"/>
      <c r="AMB690" s="0"/>
      <c r="AMC690" s="0"/>
      <c r="AMD690" s="0"/>
      <c r="AME690" s="0"/>
      <c r="AMF690" s="0"/>
      <c r="AMG690" s="0"/>
      <c r="AMH690" s="0"/>
      <c r="AMI690" s="0"/>
      <c r="AMJ690" s="0"/>
    </row>
    <row r="691" customFormat="false" ht="13.8" hidden="true" customHeight="false" outlineLevel="0" collapsed="false">
      <c r="A691" s="117" t="n">
        <v>1000</v>
      </c>
      <c r="B691" s="117" t="s">
        <v>1962</v>
      </c>
      <c r="C691" s="117" t="n">
        <v>100209795</v>
      </c>
      <c r="E691" s="117" t="s">
        <v>1921</v>
      </c>
      <c r="F691" s="117" t="n">
        <v>1109</v>
      </c>
      <c r="G691" s="117" t="n">
        <v>2019</v>
      </c>
      <c r="H691" s="117" t="n">
        <v>9</v>
      </c>
      <c r="I691" s="118" t="n">
        <v>43830</v>
      </c>
      <c r="J691" s="118" t="n">
        <v>43830</v>
      </c>
      <c r="K691" s="119" t="n">
        <v>-5168532.78</v>
      </c>
      <c r="L691" s="128" t="n">
        <f aca="false">K691-Q691+T691</f>
        <v>-5168532.78</v>
      </c>
      <c r="M691" s="117" t="s">
        <v>149</v>
      </c>
      <c r="N691" s="117" t="n">
        <v>-5168532.78</v>
      </c>
      <c r="O691" s="117" t="s">
        <v>149</v>
      </c>
      <c r="P691" s="117" t="n">
        <v>0</v>
      </c>
      <c r="Q691" s="117" t="n">
        <v>0</v>
      </c>
      <c r="R691" s="117" t="n">
        <v>-5168532.78</v>
      </c>
      <c r="S691" s="117" t="n">
        <v>0</v>
      </c>
      <c r="T691" s="117" t="n">
        <v>0</v>
      </c>
      <c r="U691" s="117" t="n">
        <v>309728</v>
      </c>
      <c r="V691" s="117" t="s">
        <v>1968</v>
      </c>
      <c r="Z691" s="117" t="n">
        <v>100209795</v>
      </c>
      <c r="AD691" s="117" t="n">
        <v>110000</v>
      </c>
      <c r="AE691" s="117" t="s">
        <v>1966</v>
      </c>
      <c r="AF691" s="117" t="n">
        <v>110000</v>
      </c>
      <c r="AG691" s="117" t="s">
        <v>1966</v>
      </c>
      <c r="AI691" s="117" t="n">
        <v>110000</v>
      </c>
      <c r="AJ691" s="117" t="s">
        <v>1966</v>
      </c>
      <c r="AK691" s="117" t="n">
        <v>0</v>
      </c>
      <c r="AL691" s="117" t="n">
        <v>17</v>
      </c>
      <c r="AM691" s="117" t="s">
        <v>225</v>
      </c>
      <c r="AP691" s="117" t="n">
        <v>100209795</v>
      </c>
      <c r="AQ691" s="118" t="n">
        <v>43830</v>
      </c>
      <c r="AR691" s="118" t="n">
        <v>43831</v>
      </c>
      <c r="AS691" s="117" t="n">
        <v>0.181446759259259</v>
      </c>
      <c r="AT691" s="117" t="n">
        <v>0</v>
      </c>
      <c r="AU691" s="117" t="n">
        <v>0</v>
      </c>
      <c r="AX691" s="117" t="n">
        <v>3</v>
      </c>
    </row>
    <row r="692" customFormat="false" ht="13.8" hidden="true" customHeight="false" outlineLevel="0" collapsed="false">
      <c r="A692" s="117" t="n">
        <v>1000</v>
      </c>
      <c r="B692" s="117" t="s">
        <v>1962</v>
      </c>
      <c r="C692" s="117" t="n">
        <v>100143931</v>
      </c>
      <c r="E692" s="117" t="s">
        <v>1921</v>
      </c>
      <c r="F692" s="117" t="n">
        <v>1109</v>
      </c>
      <c r="G692" s="117" t="n">
        <v>2019</v>
      </c>
      <c r="H692" s="117" t="n">
        <v>7</v>
      </c>
      <c r="I692" s="118" t="n">
        <v>43769</v>
      </c>
      <c r="J692" s="118" t="n">
        <v>43769</v>
      </c>
      <c r="K692" s="119" t="n">
        <v>1685495.9</v>
      </c>
      <c r="L692" s="128" t="n">
        <f aca="false">K692-Q692+T692</f>
        <v>1685495.9</v>
      </c>
      <c r="M692" s="117" t="s">
        <v>149</v>
      </c>
      <c r="N692" s="117" t="n">
        <v>1685495.9</v>
      </c>
      <c r="O692" s="117" t="s">
        <v>149</v>
      </c>
      <c r="P692" s="117" t="n">
        <v>0</v>
      </c>
      <c r="Q692" s="117" t="n">
        <v>0</v>
      </c>
      <c r="R692" s="117" t="n">
        <v>1685495.9</v>
      </c>
      <c r="S692" s="117" t="n">
        <v>0</v>
      </c>
      <c r="T692" s="117" t="n">
        <v>0</v>
      </c>
      <c r="U692" s="117" t="n">
        <v>311155</v>
      </c>
      <c r="V692" s="117" t="s">
        <v>2022</v>
      </c>
      <c r="X692" s="117" t="s">
        <v>1432</v>
      </c>
      <c r="Z692" s="117" t="n">
        <v>61625</v>
      </c>
      <c r="AB692" s="117" t="s">
        <v>2303</v>
      </c>
      <c r="AD692" s="117" t="n">
        <v>110000</v>
      </c>
      <c r="AE692" s="117" t="s">
        <v>1966</v>
      </c>
      <c r="AF692" s="117" t="n">
        <v>110000</v>
      </c>
      <c r="AG692" s="117" t="s">
        <v>1966</v>
      </c>
      <c r="AI692" s="117" t="n">
        <v>110000</v>
      </c>
      <c r="AJ692" s="117" t="s">
        <v>1966</v>
      </c>
      <c r="AK692" s="117" t="n">
        <v>0</v>
      </c>
      <c r="AL692" s="117" t="n">
        <v>4</v>
      </c>
      <c r="AM692" s="117" t="s">
        <v>161</v>
      </c>
      <c r="AP692" s="117" t="n">
        <v>100210316</v>
      </c>
      <c r="AQ692" s="118" t="n">
        <v>43830</v>
      </c>
      <c r="AR692" s="118" t="n">
        <v>43770</v>
      </c>
      <c r="AS692" s="117" t="n">
        <v>0.207824074074074</v>
      </c>
      <c r="AT692" s="117" t="n">
        <v>0</v>
      </c>
      <c r="AU692" s="117" t="n">
        <v>0</v>
      </c>
      <c r="AX692" s="117" t="n">
        <v>3</v>
      </c>
    </row>
    <row r="693" customFormat="false" ht="13.8" hidden="true" customHeight="false" outlineLevel="0" collapsed="false">
      <c r="A693" s="117" t="n">
        <v>1000</v>
      </c>
      <c r="B693" s="117" t="s">
        <v>1962</v>
      </c>
      <c r="C693" s="117" t="n">
        <v>100173333</v>
      </c>
      <c r="E693" s="117" t="s">
        <v>1921</v>
      </c>
      <c r="F693" s="117" t="n">
        <v>1109</v>
      </c>
      <c r="G693" s="117" t="n">
        <v>2019</v>
      </c>
      <c r="H693" s="117" t="n">
        <v>8</v>
      </c>
      <c r="I693" s="118" t="n">
        <v>43799</v>
      </c>
      <c r="J693" s="118" t="n">
        <v>43799</v>
      </c>
      <c r="K693" s="119" t="n">
        <v>-6325</v>
      </c>
      <c r="L693" s="128" t="n">
        <f aca="false">K693-Q693+T693</f>
        <v>-6325</v>
      </c>
      <c r="M693" s="117" t="s">
        <v>149</v>
      </c>
      <c r="N693" s="117" t="n">
        <v>-6325</v>
      </c>
      <c r="O693" s="117" t="s">
        <v>149</v>
      </c>
      <c r="P693" s="117" t="n">
        <v>0</v>
      </c>
      <c r="Q693" s="117" t="n">
        <v>0</v>
      </c>
      <c r="R693" s="117" t="n">
        <v>-6325</v>
      </c>
      <c r="S693" s="117" t="n">
        <v>0</v>
      </c>
      <c r="T693" s="117" t="n">
        <v>0</v>
      </c>
      <c r="U693" s="117" t="n">
        <v>318169</v>
      </c>
      <c r="V693" s="117" t="s">
        <v>2158</v>
      </c>
      <c r="Z693" s="117" t="n">
        <v>100173333</v>
      </c>
      <c r="AD693" s="117" t="n">
        <v>110000</v>
      </c>
      <c r="AE693" s="117" t="s">
        <v>1966</v>
      </c>
      <c r="AF693" s="117" t="n">
        <v>310300</v>
      </c>
      <c r="AG693" s="117" t="s">
        <v>1969</v>
      </c>
      <c r="AI693" s="117" t="n">
        <v>310300</v>
      </c>
      <c r="AJ693" s="117" t="s">
        <v>1969</v>
      </c>
      <c r="AK693" s="117" t="n">
        <v>0</v>
      </c>
      <c r="AL693" s="117" t="n">
        <v>17</v>
      </c>
      <c r="AM693" s="117" t="s">
        <v>225</v>
      </c>
      <c r="AP693" s="117" t="n">
        <v>100173333</v>
      </c>
      <c r="AQ693" s="118" t="n">
        <v>43799</v>
      </c>
      <c r="AR693" s="118" t="n">
        <v>43800</v>
      </c>
      <c r="AS693" s="117" t="n">
        <v>0.56599537037037</v>
      </c>
      <c r="AT693" s="117" t="n">
        <v>0</v>
      </c>
      <c r="AU693" s="117" t="n">
        <v>0</v>
      </c>
      <c r="AX693" s="117" t="n">
        <v>1</v>
      </c>
    </row>
    <row r="694" s="106" customFormat="true" ht="13.8" hidden="true" customHeight="false" outlineLevel="0" collapsed="false">
      <c r="A694" s="106" t="n">
        <v>1000</v>
      </c>
      <c r="B694" s="106" t="s">
        <v>1962</v>
      </c>
      <c r="C694" s="106" t="n">
        <v>110886</v>
      </c>
      <c r="D694" s="106" t="s">
        <v>2377</v>
      </c>
      <c r="E694" s="106" t="s">
        <v>1970</v>
      </c>
      <c r="F694" s="106" t="n">
        <v>1112</v>
      </c>
      <c r="G694" s="106" t="n">
        <v>2019</v>
      </c>
      <c r="H694" s="106" t="n">
        <v>9</v>
      </c>
      <c r="I694" s="129" t="n">
        <v>43828</v>
      </c>
      <c r="J694" s="129" t="n">
        <v>43828</v>
      </c>
      <c r="K694" s="107" t="n">
        <v>4576.7</v>
      </c>
      <c r="L694" s="130" t="n">
        <f aca="false">K694-Q694+T694</f>
        <v>3878.56</v>
      </c>
      <c r="M694" s="106" t="s">
        <v>149</v>
      </c>
      <c r="N694" s="106" t="n">
        <v>4576.7</v>
      </c>
      <c r="O694" s="106" t="s">
        <v>149</v>
      </c>
      <c r="P694" s="106" t="n">
        <v>0</v>
      </c>
      <c r="Q694" s="107" t="n">
        <v>698.14</v>
      </c>
      <c r="R694" s="106" t="n">
        <v>3878.56</v>
      </c>
      <c r="S694" s="106" t="n">
        <v>0</v>
      </c>
      <c r="T694" s="106" t="n">
        <v>0</v>
      </c>
      <c r="U694" s="106" t="n">
        <v>312193</v>
      </c>
      <c r="V694" s="106" t="s">
        <v>1963</v>
      </c>
      <c r="Z694" s="106" t="n">
        <v>62393</v>
      </c>
      <c r="AB694" s="106" t="s">
        <v>2350</v>
      </c>
      <c r="AD694" s="106" t="n">
        <v>110000</v>
      </c>
      <c r="AE694" s="106" t="s">
        <v>1966</v>
      </c>
      <c r="AF694" s="106" t="n">
        <v>501005</v>
      </c>
      <c r="AG694" s="106" t="s">
        <v>2033</v>
      </c>
      <c r="AI694" s="106" t="n">
        <v>501005</v>
      </c>
      <c r="AJ694" s="106" t="s">
        <v>2033</v>
      </c>
      <c r="AK694" s="106" t="n">
        <v>0</v>
      </c>
      <c r="AL694" s="106" t="n">
        <v>1</v>
      </c>
      <c r="AM694" s="106" t="s">
        <v>161</v>
      </c>
      <c r="AP694" s="106" t="n">
        <v>100199799</v>
      </c>
      <c r="AQ694" s="129" t="n">
        <v>43830</v>
      </c>
      <c r="AR694" s="129" t="n">
        <v>43828</v>
      </c>
      <c r="AS694" s="106" t="n">
        <v>0.762650462962963</v>
      </c>
      <c r="AT694" s="106" t="n">
        <v>0</v>
      </c>
      <c r="AU694" s="106" t="n">
        <v>0</v>
      </c>
      <c r="AX694" s="106" t="n">
        <v>1</v>
      </c>
      <c r="ALU694" s="0"/>
      <c r="ALV694" s="0"/>
      <c r="ALW694" s="0"/>
      <c r="ALX694" s="0"/>
      <c r="ALY694" s="0"/>
      <c r="ALZ694" s="0"/>
      <c r="AMA694" s="0"/>
      <c r="AMB694" s="0"/>
      <c r="AMC694" s="0"/>
      <c r="AMD694" s="0"/>
      <c r="AME694" s="0"/>
      <c r="AMF694" s="0"/>
      <c r="AMG694" s="0"/>
      <c r="AMH694" s="0"/>
      <c r="AMI694" s="0"/>
      <c r="AMJ694" s="0"/>
    </row>
    <row r="695" customFormat="false" ht="13.8" hidden="true" customHeight="false" outlineLevel="0" collapsed="false">
      <c r="A695" s="117" t="n">
        <v>1000</v>
      </c>
      <c r="B695" s="117" t="s">
        <v>1962</v>
      </c>
      <c r="C695" s="117" t="n">
        <v>100194020</v>
      </c>
      <c r="E695" s="117" t="s">
        <v>1921</v>
      </c>
      <c r="F695" s="117" t="n">
        <v>1101</v>
      </c>
      <c r="G695" s="117" t="n">
        <v>2019</v>
      </c>
      <c r="H695" s="117" t="n">
        <v>9</v>
      </c>
      <c r="I695" s="118" t="n">
        <v>43824</v>
      </c>
      <c r="J695" s="118" t="n">
        <v>43824</v>
      </c>
      <c r="K695" s="119" t="n">
        <v>-9550.06</v>
      </c>
      <c r="L695" s="128" t="n">
        <f aca="false">K695-Q695+T695</f>
        <v>-9550.06</v>
      </c>
      <c r="M695" s="117" t="s">
        <v>149</v>
      </c>
      <c r="N695" s="117" t="n">
        <v>-9550.06</v>
      </c>
      <c r="O695" s="117" t="s">
        <v>149</v>
      </c>
      <c r="P695" s="117" t="n">
        <v>-9550.06</v>
      </c>
      <c r="Q695" s="117" t="n">
        <v>0</v>
      </c>
      <c r="R695" s="117" t="n">
        <v>-9550.06</v>
      </c>
      <c r="S695" s="117" t="n">
        <v>0</v>
      </c>
      <c r="T695" s="117" t="n">
        <v>0</v>
      </c>
      <c r="U695" s="117" t="n">
        <v>304431</v>
      </c>
      <c r="V695" s="117" t="s">
        <v>2016</v>
      </c>
      <c r="X695" s="117" t="s">
        <v>2378</v>
      </c>
      <c r="Z695" s="117" t="n">
        <v>100194020</v>
      </c>
      <c r="AD695" s="117" t="n">
        <v>310300</v>
      </c>
      <c r="AE695" s="117" t="s">
        <v>1969</v>
      </c>
      <c r="AF695" s="117" t="n">
        <v>110000</v>
      </c>
      <c r="AG695" s="117" t="s">
        <v>1966</v>
      </c>
      <c r="AI695" s="117" t="n">
        <v>110000</v>
      </c>
      <c r="AJ695" s="117" t="s">
        <v>1966</v>
      </c>
      <c r="AK695" s="117" t="n">
        <v>0</v>
      </c>
      <c r="AL695" s="117" t="n">
        <v>19</v>
      </c>
      <c r="AM695" s="117" t="s">
        <v>225</v>
      </c>
      <c r="AN695" s="117" t="s">
        <v>1978</v>
      </c>
      <c r="AR695" s="118" t="n">
        <v>43824</v>
      </c>
      <c r="AS695" s="117" t="n">
        <v>0.357604166666667</v>
      </c>
      <c r="AT695" s="117" t="n">
        <v>0</v>
      </c>
      <c r="AU695" s="117" t="n">
        <v>0</v>
      </c>
      <c r="AX695" s="117" t="n">
        <v>2</v>
      </c>
    </row>
    <row r="696" customFormat="false" ht="13.8" hidden="false" customHeight="false" outlineLevel="0" collapsed="false">
      <c r="A696" s="117" t="n">
        <v>1000</v>
      </c>
      <c r="B696" s="117" t="s">
        <v>1962</v>
      </c>
      <c r="C696" s="117" t="n">
        <v>1400007425</v>
      </c>
      <c r="E696" s="117" t="s">
        <v>1972</v>
      </c>
      <c r="F696" s="117" t="n">
        <v>1101</v>
      </c>
      <c r="G696" s="117" t="n">
        <v>2019</v>
      </c>
      <c r="H696" s="117" t="n">
        <v>8</v>
      </c>
      <c r="I696" s="118" t="n">
        <v>43776</v>
      </c>
      <c r="J696" s="118" t="n">
        <v>43776</v>
      </c>
      <c r="K696" s="119" t="n">
        <v>-311252.02</v>
      </c>
      <c r="L696" s="128" t="n">
        <f aca="false">K696-Q696+T696</f>
        <v>-311252.02</v>
      </c>
      <c r="M696" s="117" t="s">
        <v>149</v>
      </c>
      <c r="N696" s="117" t="n">
        <v>-311252.02</v>
      </c>
      <c r="O696" s="117" t="s">
        <v>149</v>
      </c>
      <c r="P696" s="117" t="n">
        <v>0</v>
      </c>
      <c r="Q696" s="117" t="n">
        <v>0</v>
      </c>
      <c r="R696" s="117" t="n">
        <v>-311252.02</v>
      </c>
      <c r="S696" s="117" t="n">
        <v>0</v>
      </c>
      <c r="T696" s="117" t="n">
        <v>0</v>
      </c>
      <c r="U696" s="117" t="n">
        <v>318999</v>
      </c>
      <c r="V696" s="117" t="s">
        <v>143</v>
      </c>
      <c r="X696" s="117" t="s">
        <v>2379</v>
      </c>
      <c r="Y696" s="117" t="s">
        <v>2380</v>
      </c>
      <c r="Z696" s="117" t="n">
        <v>1400007425</v>
      </c>
      <c r="AC696" s="117" t="s">
        <v>1976</v>
      </c>
      <c r="AD696" s="117" t="n">
        <v>310300</v>
      </c>
      <c r="AE696" s="117" t="s">
        <v>1969</v>
      </c>
      <c r="AF696" s="117" t="n">
        <v>101105</v>
      </c>
      <c r="AG696" s="117" t="s">
        <v>1977</v>
      </c>
      <c r="AI696" s="117" t="n">
        <v>101105</v>
      </c>
      <c r="AJ696" s="117" t="s">
        <v>1977</v>
      </c>
      <c r="AK696" s="117" t="n">
        <v>0</v>
      </c>
      <c r="AL696" s="117" t="n">
        <v>19</v>
      </c>
      <c r="AM696" s="117" t="s">
        <v>225</v>
      </c>
      <c r="AN696" s="117" t="s">
        <v>1978</v>
      </c>
      <c r="AP696" s="117" t="n">
        <v>100173604</v>
      </c>
      <c r="AQ696" s="118" t="n">
        <v>43799</v>
      </c>
      <c r="AR696" s="118" t="n">
        <v>43777</v>
      </c>
      <c r="AS696" s="117" t="n">
        <v>0.603298611111111</v>
      </c>
      <c r="AT696" s="117" t="n">
        <v>0</v>
      </c>
      <c r="AU696" s="117" t="n">
        <v>0</v>
      </c>
      <c r="AX696" s="117" t="n">
        <v>2</v>
      </c>
    </row>
    <row r="697" customFormat="false" ht="13.8" hidden="true" customHeight="false" outlineLevel="0" collapsed="false">
      <c r="A697" s="117" t="n">
        <v>1000</v>
      </c>
      <c r="B697" s="117" t="s">
        <v>1962</v>
      </c>
      <c r="C697" s="117" t="n">
        <v>100210305</v>
      </c>
      <c r="E697" s="117" t="s">
        <v>1921</v>
      </c>
      <c r="F697" s="117" t="n">
        <v>1101</v>
      </c>
      <c r="G697" s="117" t="n">
        <v>2019</v>
      </c>
      <c r="H697" s="117" t="n">
        <v>9</v>
      </c>
      <c r="I697" s="118" t="n">
        <v>43830</v>
      </c>
      <c r="J697" s="118" t="n">
        <v>43830</v>
      </c>
      <c r="K697" s="119" t="n">
        <v>33512.38</v>
      </c>
      <c r="L697" s="128" t="n">
        <f aca="false">K697-Q697+T697</f>
        <v>33512.38</v>
      </c>
      <c r="M697" s="117" t="s">
        <v>149</v>
      </c>
      <c r="N697" s="117" t="n">
        <v>33512.38</v>
      </c>
      <c r="O697" s="117" t="s">
        <v>149</v>
      </c>
      <c r="P697" s="117" t="n">
        <v>0</v>
      </c>
      <c r="Q697" s="117" t="n">
        <v>0</v>
      </c>
      <c r="R697" s="117" t="n">
        <v>33512.38</v>
      </c>
      <c r="S697" s="117" t="n">
        <v>0</v>
      </c>
      <c r="T697" s="117" t="n">
        <v>0</v>
      </c>
      <c r="U697" s="117" t="n">
        <v>318999</v>
      </c>
      <c r="V697" s="117" t="s">
        <v>143</v>
      </c>
      <c r="X697" s="117" t="s">
        <v>2381</v>
      </c>
      <c r="Z697" s="117" t="n">
        <v>2388</v>
      </c>
      <c r="AB697" s="117" t="s">
        <v>2019</v>
      </c>
      <c r="AD697" s="117" t="n">
        <v>110000</v>
      </c>
      <c r="AE697" s="117" t="s">
        <v>1966</v>
      </c>
      <c r="AF697" s="117" t="n">
        <v>110000</v>
      </c>
      <c r="AG697" s="117" t="s">
        <v>1966</v>
      </c>
      <c r="AI697" s="117" t="n">
        <v>110000</v>
      </c>
      <c r="AJ697" s="117" t="s">
        <v>1966</v>
      </c>
      <c r="AK697" s="117" t="n">
        <v>0</v>
      </c>
      <c r="AL697" s="117" t="n">
        <v>4</v>
      </c>
      <c r="AM697" s="117" t="s">
        <v>161</v>
      </c>
      <c r="AR697" s="118" t="n">
        <v>43831</v>
      </c>
      <c r="AS697" s="117" t="n">
        <v>0.412951388888889</v>
      </c>
      <c r="AT697" s="117" t="n">
        <v>0</v>
      </c>
      <c r="AU697" s="117" t="n">
        <v>0</v>
      </c>
      <c r="AX697" s="117" t="n">
        <v>1</v>
      </c>
    </row>
    <row r="698" s="106" customFormat="true" ht="13.8" hidden="true" customHeight="false" outlineLevel="0" collapsed="false">
      <c r="A698" s="106" t="n">
        <v>1000</v>
      </c>
      <c r="B698" s="106" t="s">
        <v>1962</v>
      </c>
      <c r="C698" s="106" t="n">
        <v>110882</v>
      </c>
      <c r="D698" s="106" t="s">
        <v>2382</v>
      </c>
      <c r="E698" s="106" t="s">
        <v>1970</v>
      </c>
      <c r="F698" s="106" t="n">
        <v>1112</v>
      </c>
      <c r="G698" s="106" t="n">
        <v>2019</v>
      </c>
      <c r="H698" s="106" t="n">
        <v>9</v>
      </c>
      <c r="I698" s="129" t="n">
        <v>43828</v>
      </c>
      <c r="J698" s="129" t="n">
        <v>43828</v>
      </c>
      <c r="K698" s="107" t="n">
        <v>1166.34</v>
      </c>
      <c r="L698" s="130" t="n">
        <f aca="false">K698-Q698+T698</f>
        <v>988.42</v>
      </c>
      <c r="M698" s="106" t="s">
        <v>149</v>
      </c>
      <c r="N698" s="106" t="n">
        <v>1166.34</v>
      </c>
      <c r="O698" s="106" t="s">
        <v>149</v>
      </c>
      <c r="P698" s="106" t="n">
        <v>0</v>
      </c>
      <c r="Q698" s="107" t="n">
        <v>177.92</v>
      </c>
      <c r="R698" s="106" t="n">
        <v>988.42</v>
      </c>
      <c r="S698" s="106" t="n">
        <v>0</v>
      </c>
      <c r="T698" s="106" t="n">
        <v>0</v>
      </c>
      <c r="U698" s="106" t="n">
        <v>312193</v>
      </c>
      <c r="V698" s="106" t="s">
        <v>1963</v>
      </c>
      <c r="Z698" s="106" t="n">
        <v>62200</v>
      </c>
      <c r="AB698" s="106" t="s">
        <v>2362</v>
      </c>
      <c r="AD698" s="106" t="n">
        <v>110000</v>
      </c>
      <c r="AE698" s="106" t="s">
        <v>1966</v>
      </c>
      <c r="AF698" s="106" t="n">
        <v>501005</v>
      </c>
      <c r="AG698" s="106" t="s">
        <v>2033</v>
      </c>
      <c r="AI698" s="106" t="n">
        <v>501005</v>
      </c>
      <c r="AJ698" s="106" t="s">
        <v>2033</v>
      </c>
      <c r="AK698" s="106" t="n">
        <v>0</v>
      </c>
      <c r="AL698" s="106" t="n">
        <v>1</v>
      </c>
      <c r="AM698" s="106" t="s">
        <v>161</v>
      </c>
      <c r="AP698" s="106" t="n">
        <v>100199799</v>
      </c>
      <c r="AQ698" s="129" t="n">
        <v>43830</v>
      </c>
      <c r="AR698" s="129" t="n">
        <v>43828</v>
      </c>
      <c r="AS698" s="106" t="n">
        <v>0.749918981481482</v>
      </c>
      <c r="AT698" s="106" t="n">
        <v>0</v>
      </c>
      <c r="AU698" s="106" t="n">
        <v>0</v>
      </c>
      <c r="AX698" s="106" t="n">
        <v>1</v>
      </c>
      <c r="ALU698" s="0"/>
      <c r="ALV698" s="0"/>
      <c r="ALW698" s="0"/>
      <c r="ALX698" s="0"/>
      <c r="ALY698" s="0"/>
      <c r="ALZ698" s="0"/>
      <c r="AMA698" s="0"/>
      <c r="AMB698" s="0"/>
      <c r="AMC698" s="0"/>
      <c r="AMD698" s="0"/>
      <c r="AME698" s="0"/>
      <c r="AMF698" s="0"/>
      <c r="AMG698" s="0"/>
      <c r="AMH698" s="0"/>
      <c r="AMI698" s="0"/>
      <c r="AMJ698" s="0"/>
    </row>
    <row r="699" s="106" customFormat="true" ht="13.8" hidden="true" customHeight="false" outlineLevel="0" collapsed="false">
      <c r="A699" s="106" t="n">
        <v>1000</v>
      </c>
      <c r="B699" s="106" t="s">
        <v>1962</v>
      </c>
      <c r="C699" s="106" t="n">
        <v>109113</v>
      </c>
      <c r="D699" s="106" t="s">
        <v>1447</v>
      </c>
      <c r="E699" s="106" t="s">
        <v>1970</v>
      </c>
      <c r="F699" s="106" t="n">
        <v>1108</v>
      </c>
      <c r="G699" s="106" t="n">
        <v>2019</v>
      </c>
      <c r="H699" s="106" t="n">
        <v>8</v>
      </c>
      <c r="I699" s="129" t="n">
        <v>43788</v>
      </c>
      <c r="J699" s="129" t="n">
        <v>43788</v>
      </c>
      <c r="K699" s="107" t="n">
        <v>174427.12</v>
      </c>
      <c r="L699" s="130" t="n">
        <f aca="false">K699-Q699+T699</f>
        <v>147819.59</v>
      </c>
      <c r="M699" s="106" t="s">
        <v>149</v>
      </c>
      <c r="N699" s="106" t="n">
        <v>174427.12</v>
      </c>
      <c r="O699" s="106" t="s">
        <v>149</v>
      </c>
      <c r="P699" s="106" t="n">
        <v>0</v>
      </c>
      <c r="Q699" s="107" t="n">
        <v>26607.53</v>
      </c>
      <c r="R699" s="106" t="n">
        <v>147819.59</v>
      </c>
      <c r="S699" s="106" t="n">
        <v>0</v>
      </c>
      <c r="T699" s="106" t="n">
        <v>0</v>
      </c>
      <c r="U699" s="106" t="n">
        <v>312193</v>
      </c>
      <c r="V699" s="106" t="s">
        <v>1963</v>
      </c>
      <c r="Z699" s="106" t="n">
        <v>2460</v>
      </c>
      <c r="AB699" s="106" t="s">
        <v>2122</v>
      </c>
      <c r="AD699" s="106" t="n">
        <v>110000</v>
      </c>
      <c r="AE699" s="106" t="s">
        <v>1966</v>
      </c>
      <c r="AF699" s="106" t="n">
        <v>501020</v>
      </c>
      <c r="AG699" s="106" t="s">
        <v>1971</v>
      </c>
      <c r="AI699" s="106" t="n">
        <v>501020</v>
      </c>
      <c r="AJ699" s="106" t="s">
        <v>1971</v>
      </c>
      <c r="AK699" s="106" t="n">
        <v>0</v>
      </c>
      <c r="AL699" s="106" t="n">
        <v>1</v>
      </c>
      <c r="AM699" s="106" t="s">
        <v>161</v>
      </c>
      <c r="AP699" s="106" t="n">
        <v>100173564</v>
      </c>
      <c r="AQ699" s="129" t="n">
        <v>43799</v>
      </c>
      <c r="AR699" s="129" t="n">
        <v>43788</v>
      </c>
      <c r="AS699" s="106" t="n">
        <v>0.590543981481482</v>
      </c>
      <c r="AT699" s="106" t="n">
        <v>0</v>
      </c>
      <c r="AU699" s="106" t="n">
        <v>0</v>
      </c>
      <c r="AX699" s="106" t="n">
        <v>1</v>
      </c>
      <c r="ALU699" s="0"/>
      <c r="ALV699" s="0"/>
      <c r="ALW699" s="0"/>
      <c r="ALX699" s="0"/>
      <c r="ALY699" s="0"/>
      <c r="ALZ699" s="0"/>
      <c r="AMA699" s="0"/>
      <c r="AMB699" s="0"/>
      <c r="AMC699" s="0"/>
      <c r="AMD699" s="0"/>
      <c r="AME699" s="0"/>
      <c r="AMF699" s="0"/>
      <c r="AMG699" s="0"/>
      <c r="AMH699" s="0"/>
      <c r="AMI699" s="0"/>
      <c r="AMJ699" s="0"/>
    </row>
    <row r="700" s="106" customFormat="true" ht="13.8" hidden="true" customHeight="false" outlineLevel="0" collapsed="false">
      <c r="A700" s="106" t="n">
        <v>1000</v>
      </c>
      <c r="B700" s="106" t="s">
        <v>1962</v>
      </c>
      <c r="C700" s="106" t="n">
        <v>109744</v>
      </c>
      <c r="D700" s="106" t="s">
        <v>1651</v>
      </c>
      <c r="E700" s="106" t="s">
        <v>1970</v>
      </c>
      <c r="F700" s="106" t="n">
        <v>1108</v>
      </c>
      <c r="G700" s="106" t="n">
        <v>2019</v>
      </c>
      <c r="H700" s="106" t="n">
        <v>8</v>
      </c>
      <c r="I700" s="129" t="n">
        <v>43799</v>
      </c>
      <c r="J700" s="129" t="n">
        <v>43799</v>
      </c>
      <c r="K700" s="107" t="n">
        <v>58820.64</v>
      </c>
      <c r="L700" s="130" t="n">
        <f aca="false">K700-Q700+T700</f>
        <v>49848</v>
      </c>
      <c r="M700" s="106" t="s">
        <v>149</v>
      </c>
      <c r="N700" s="106" t="n">
        <v>58820.64</v>
      </c>
      <c r="O700" s="106" t="s">
        <v>149</v>
      </c>
      <c r="P700" s="106" t="n">
        <v>0</v>
      </c>
      <c r="Q700" s="107" t="n">
        <v>8972.64</v>
      </c>
      <c r="R700" s="106" t="n">
        <v>49848</v>
      </c>
      <c r="S700" s="106" t="n">
        <v>0</v>
      </c>
      <c r="T700" s="106" t="n">
        <v>0</v>
      </c>
      <c r="U700" s="106" t="n">
        <v>312193</v>
      </c>
      <c r="V700" s="106" t="s">
        <v>1963</v>
      </c>
      <c r="Z700" s="106" t="n">
        <v>61996</v>
      </c>
      <c r="AB700" s="106" t="s">
        <v>2109</v>
      </c>
      <c r="AD700" s="106" t="n">
        <v>110000</v>
      </c>
      <c r="AE700" s="106" t="s">
        <v>1966</v>
      </c>
      <c r="AF700" s="106" t="n">
        <v>501005</v>
      </c>
      <c r="AG700" s="106" t="s">
        <v>2033</v>
      </c>
      <c r="AI700" s="106" t="n">
        <v>501005</v>
      </c>
      <c r="AJ700" s="106" t="s">
        <v>2033</v>
      </c>
      <c r="AK700" s="106" t="n">
        <v>0</v>
      </c>
      <c r="AL700" s="106" t="n">
        <v>1</v>
      </c>
      <c r="AM700" s="106" t="s">
        <v>161</v>
      </c>
      <c r="AP700" s="106" t="n">
        <v>100173564</v>
      </c>
      <c r="AQ700" s="129" t="n">
        <v>43799</v>
      </c>
      <c r="AR700" s="129" t="n">
        <v>43799</v>
      </c>
      <c r="AS700" s="106" t="n">
        <v>0.753414351851852</v>
      </c>
      <c r="AT700" s="106" t="n">
        <v>0</v>
      </c>
      <c r="AU700" s="106" t="n">
        <v>0</v>
      </c>
      <c r="AX700" s="106" t="n">
        <v>1</v>
      </c>
      <c r="ALU700" s="0"/>
      <c r="ALV700" s="0"/>
      <c r="ALW700" s="0"/>
      <c r="ALX700" s="0"/>
      <c r="ALY700" s="0"/>
      <c r="ALZ700" s="0"/>
      <c r="AMA700" s="0"/>
      <c r="AMB700" s="0"/>
      <c r="AMC700" s="0"/>
      <c r="AMD700" s="0"/>
      <c r="AME700" s="0"/>
      <c r="AMF700" s="0"/>
      <c r="AMG700" s="0"/>
      <c r="AMH700" s="0"/>
      <c r="AMI700" s="0"/>
      <c r="AMJ700" s="0"/>
    </row>
    <row r="701" customFormat="false" ht="13.8" hidden="true" customHeight="false" outlineLevel="0" collapsed="false">
      <c r="A701" s="117" t="n">
        <v>1000</v>
      </c>
      <c r="B701" s="117" t="s">
        <v>1962</v>
      </c>
      <c r="C701" s="117" t="n">
        <v>1600000288</v>
      </c>
      <c r="D701" s="117" t="s">
        <v>2356</v>
      </c>
      <c r="E701" s="117" t="s">
        <v>1987</v>
      </c>
      <c r="F701" s="117" t="n">
        <v>1101</v>
      </c>
      <c r="G701" s="117" t="n">
        <v>2019</v>
      </c>
      <c r="H701" s="117" t="n">
        <v>8</v>
      </c>
      <c r="I701" s="118" t="n">
        <v>43795</v>
      </c>
      <c r="J701" s="118" t="n">
        <v>43795</v>
      </c>
      <c r="K701" s="119" t="n">
        <v>-8405</v>
      </c>
      <c r="L701" s="128" t="n">
        <f aca="false">K701-Q701+T701</f>
        <v>-8405</v>
      </c>
      <c r="M701" s="117" t="s">
        <v>149</v>
      </c>
      <c r="N701" s="117" t="n">
        <v>-8405</v>
      </c>
      <c r="O701" s="117" t="s">
        <v>149</v>
      </c>
      <c r="P701" s="117" t="n">
        <v>-8405</v>
      </c>
      <c r="Q701" s="117" t="n">
        <v>0</v>
      </c>
      <c r="R701" s="117" t="n">
        <v>-8405</v>
      </c>
      <c r="S701" s="117" t="n">
        <v>0</v>
      </c>
      <c r="T701" s="117" t="n">
        <v>0</v>
      </c>
      <c r="U701" s="117" t="n">
        <v>312193</v>
      </c>
      <c r="V701" s="117" t="s">
        <v>1963</v>
      </c>
      <c r="X701" s="117" t="s">
        <v>2383</v>
      </c>
      <c r="Y701" s="117" t="s">
        <v>2358</v>
      </c>
      <c r="Z701" s="117" t="n">
        <v>1600000288</v>
      </c>
      <c r="AD701" s="117" t="n">
        <v>310300</v>
      </c>
      <c r="AE701" s="117" t="s">
        <v>1969</v>
      </c>
      <c r="AF701" s="117" t="n">
        <v>111201</v>
      </c>
      <c r="AG701" s="117" t="s">
        <v>2165</v>
      </c>
      <c r="AI701" s="117" t="n">
        <v>111201</v>
      </c>
      <c r="AJ701" s="117" t="s">
        <v>2165</v>
      </c>
      <c r="AK701" s="117" t="n">
        <v>0</v>
      </c>
      <c r="AL701" s="117" t="n">
        <v>19</v>
      </c>
      <c r="AM701" s="117" t="s">
        <v>225</v>
      </c>
      <c r="AN701" s="117" t="s">
        <v>1978</v>
      </c>
      <c r="AP701" s="117" t="n">
        <v>100173563</v>
      </c>
      <c r="AQ701" s="118" t="n">
        <v>43799</v>
      </c>
      <c r="AR701" s="118" t="n">
        <v>43795</v>
      </c>
      <c r="AS701" s="117" t="n">
        <v>0.285</v>
      </c>
      <c r="AT701" s="117" t="n">
        <v>0</v>
      </c>
      <c r="AU701" s="117" t="n">
        <v>0</v>
      </c>
      <c r="AX701" s="117" t="n">
        <v>26</v>
      </c>
    </row>
    <row r="702" customFormat="false" ht="13.8" hidden="true" customHeight="false" outlineLevel="0" collapsed="false">
      <c r="A702" s="117" t="n">
        <v>1000</v>
      </c>
      <c r="B702" s="117" t="s">
        <v>1962</v>
      </c>
      <c r="C702" s="117" t="n">
        <v>100141449</v>
      </c>
      <c r="E702" s="117" t="s">
        <v>1921</v>
      </c>
      <c r="F702" s="117" t="n">
        <v>1109</v>
      </c>
      <c r="G702" s="117" t="n">
        <v>2019</v>
      </c>
      <c r="H702" s="117" t="n">
        <v>7</v>
      </c>
      <c r="I702" s="118" t="n">
        <v>43766</v>
      </c>
      <c r="J702" s="118" t="n">
        <v>43766</v>
      </c>
      <c r="K702" s="119" t="n">
        <v>4248</v>
      </c>
      <c r="L702" s="128" t="n">
        <f aca="false">K702-Q702+T702</f>
        <v>4248</v>
      </c>
      <c r="M702" s="117" t="s">
        <v>149</v>
      </c>
      <c r="N702" s="117" t="n">
        <v>4248</v>
      </c>
      <c r="O702" s="117" t="s">
        <v>149</v>
      </c>
      <c r="P702" s="117" t="n">
        <v>0</v>
      </c>
      <c r="Q702" s="117" t="n">
        <v>0</v>
      </c>
      <c r="R702" s="117" t="n">
        <v>4248</v>
      </c>
      <c r="S702" s="117" t="n">
        <v>0</v>
      </c>
      <c r="T702" s="117" t="n">
        <v>0</v>
      </c>
      <c r="U702" s="117" t="n">
        <v>312193</v>
      </c>
      <c r="V702" s="117" t="s">
        <v>1963</v>
      </c>
      <c r="X702" s="117" t="s">
        <v>1863</v>
      </c>
      <c r="Z702" s="117" t="n">
        <v>60963</v>
      </c>
      <c r="AB702" s="117" t="s">
        <v>2124</v>
      </c>
      <c r="AD702" s="117" t="n">
        <v>110000</v>
      </c>
      <c r="AE702" s="117" t="s">
        <v>1966</v>
      </c>
      <c r="AF702" s="117" t="n">
        <v>110000</v>
      </c>
      <c r="AG702" s="117" t="s">
        <v>1966</v>
      </c>
      <c r="AI702" s="117" t="n">
        <v>110000</v>
      </c>
      <c r="AJ702" s="117" t="s">
        <v>1966</v>
      </c>
      <c r="AK702" s="117" t="n">
        <v>0</v>
      </c>
      <c r="AL702" s="117" t="n">
        <v>4</v>
      </c>
      <c r="AM702" s="117" t="s">
        <v>161</v>
      </c>
      <c r="AR702" s="118" t="n">
        <v>43766</v>
      </c>
      <c r="AS702" s="117" t="n">
        <v>0.371388888888889</v>
      </c>
      <c r="AT702" s="117" t="n">
        <v>0</v>
      </c>
      <c r="AU702" s="117" t="n">
        <v>0</v>
      </c>
      <c r="AX702" s="117" t="n">
        <v>6</v>
      </c>
    </row>
    <row r="703" customFormat="false" ht="13.8" hidden="true" customHeight="false" outlineLevel="0" collapsed="false">
      <c r="A703" s="117" t="n">
        <v>1000</v>
      </c>
      <c r="B703" s="117" t="s">
        <v>1962</v>
      </c>
      <c r="C703" s="117" t="n">
        <v>100194026</v>
      </c>
      <c r="E703" s="117" t="s">
        <v>1921</v>
      </c>
      <c r="F703" s="117" t="n">
        <v>1101</v>
      </c>
      <c r="G703" s="117" t="n">
        <v>2019</v>
      </c>
      <c r="H703" s="117" t="n">
        <v>9</v>
      </c>
      <c r="I703" s="118" t="n">
        <v>43824</v>
      </c>
      <c r="J703" s="118" t="n">
        <v>43824</v>
      </c>
      <c r="K703" s="119" t="n">
        <v>1739403.83</v>
      </c>
      <c r="L703" s="128" t="n">
        <f aca="false">K703-Q703+T703</f>
        <v>1739403.83</v>
      </c>
      <c r="M703" s="117" t="s">
        <v>149</v>
      </c>
      <c r="N703" s="117" t="n">
        <v>1739403.83</v>
      </c>
      <c r="O703" s="117" t="s">
        <v>149</v>
      </c>
      <c r="P703" s="117" t="n">
        <v>0</v>
      </c>
      <c r="Q703" s="117" t="n">
        <v>0</v>
      </c>
      <c r="R703" s="117" t="n">
        <v>1739403.83</v>
      </c>
      <c r="S703" s="117" t="n">
        <v>0</v>
      </c>
      <c r="T703" s="117" t="n">
        <v>0</v>
      </c>
      <c r="U703" s="117" t="n">
        <v>313029</v>
      </c>
      <c r="V703" s="117" t="s">
        <v>143</v>
      </c>
      <c r="Z703" s="117" t="n">
        <v>100194026</v>
      </c>
      <c r="AD703" s="117" t="n">
        <v>310300</v>
      </c>
      <c r="AE703" s="117" t="s">
        <v>1969</v>
      </c>
      <c r="AF703" s="117" t="n">
        <v>110000</v>
      </c>
      <c r="AG703" s="117" t="s">
        <v>1966</v>
      </c>
      <c r="AI703" s="117" t="n">
        <v>110000</v>
      </c>
      <c r="AJ703" s="117" t="s">
        <v>1966</v>
      </c>
      <c r="AK703" s="117" t="n">
        <v>0</v>
      </c>
      <c r="AL703" s="117" t="n">
        <v>9</v>
      </c>
      <c r="AM703" s="117" t="s">
        <v>161</v>
      </c>
      <c r="AN703" s="117" t="s">
        <v>1978</v>
      </c>
      <c r="AP703" s="117" t="n">
        <v>100194026</v>
      </c>
      <c r="AQ703" s="118" t="n">
        <v>43824</v>
      </c>
      <c r="AR703" s="118" t="n">
        <v>43824</v>
      </c>
      <c r="AS703" s="117" t="n">
        <v>0.372615740740741</v>
      </c>
      <c r="AT703" s="117" t="n">
        <v>0</v>
      </c>
      <c r="AU703" s="117" t="n">
        <v>0</v>
      </c>
      <c r="AX703" s="117" t="n">
        <v>3</v>
      </c>
    </row>
    <row r="704" s="106" customFormat="true" ht="13.8" hidden="true" customHeight="false" outlineLevel="0" collapsed="false">
      <c r="A704" s="106" t="n">
        <v>1000</v>
      </c>
      <c r="B704" s="106" t="s">
        <v>1962</v>
      </c>
      <c r="C704" s="106" t="n">
        <v>110415</v>
      </c>
      <c r="D704" s="106" t="s">
        <v>2384</v>
      </c>
      <c r="E704" s="106" t="s">
        <v>1970</v>
      </c>
      <c r="F704" s="106" t="n">
        <v>1112</v>
      </c>
      <c r="G704" s="106" t="n">
        <v>2019</v>
      </c>
      <c r="H704" s="106" t="n">
        <v>9</v>
      </c>
      <c r="I704" s="129" t="n">
        <v>43820</v>
      </c>
      <c r="J704" s="129" t="n">
        <v>43820</v>
      </c>
      <c r="K704" s="107" t="n">
        <v>36613.61</v>
      </c>
      <c r="L704" s="130" t="n">
        <f aca="false">K704-Q704+T704</f>
        <v>31028.48</v>
      </c>
      <c r="M704" s="106" t="s">
        <v>149</v>
      </c>
      <c r="N704" s="106" t="n">
        <v>36613.61</v>
      </c>
      <c r="O704" s="106" t="s">
        <v>149</v>
      </c>
      <c r="P704" s="106" t="n">
        <v>0</v>
      </c>
      <c r="Q704" s="107" t="n">
        <v>5585.13</v>
      </c>
      <c r="R704" s="106" t="n">
        <v>31028.48</v>
      </c>
      <c r="S704" s="106" t="n">
        <v>0</v>
      </c>
      <c r="T704" s="106" t="n">
        <v>0</v>
      </c>
      <c r="U704" s="106" t="n">
        <v>312193</v>
      </c>
      <c r="V704" s="106" t="s">
        <v>1963</v>
      </c>
      <c r="Z704" s="106" t="n">
        <v>62150</v>
      </c>
      <c r="AB704" s="106" t="s">
        <v>2350</v>
      </c>
      <c r="AD704" s="106" t="n">
        <v>110000</v>
      </c>
      <c r="AE704" s="106" t="s">
        <v>1966</v>
      </c>
      <c r="AF704" s="106" t="n">
        <v>501005</v>
      </c>
      <c r="AG704" s="106" t="s">
        <v>2033</v>
      </c>
      <c r="AI704" s="106" t="n">
        <v>501005</v>
      </c>
      <c r="AJ704" s="106" t="s">
        <v>2033</v>
      </c>
      <c r="AK704" s="106" t="n">
        <v>0</v>
      </c>
      <c r="AL704" s="106" t="n">
        <v>1</v>
      </c>
      <c r="AM704" s="106" t="s">
        <v>161</v>
      </c>
      <c r="AP704" s="106" t="n">
        <v>100194025</v>
      </c>
      <c r="AQ704" s="129" t="n">
        <v>43824</v>
      </c>
      <c r="AR704" s="129" t="n">
        <v>43820</v>
      </c>
      <c r="AS704" s="106" t="n">
        <v>0.608368055555556</v>
      </c>
      <c r="AT704" s="106" t="n">
        <v>0</v>
      </c>
      <c r="AU704" s="106" t="n">
        <v>0</v>
      </c>
      <c r="AX704" s="106" t="n">
        <v>1</v>
      </c>
      <c r="ALU704" s="0"/>
      <c r="ALV704" s="0"/>
      <c r="ALW704" s="0"/>
      <c r="ALX704" s="0"/>
      <c r="ALY704" s="0"/>
      <c r="ALZ704" s="0"/>
      <c r="AMA704" s="0"/>
      <c r="AMB704" s="0"/>
      <c r="AMC704" s="0"/>
      <c r="AMD704" s="0"/>
      <c r="AME704" s="0"/>
      <c r="AMF704" s="0"/>
      <c r="AMG704" s="0"/>
      <c r="AMH704" s="0"/>
      <c r="AMI704" s="0"/>
      <c r="AMJ704" s="0"/>
    </row>
    <row r="705" customFormat="false" ht="13.8" hidden="true" customHeight="false" outlineLevel="0" collapsed="false">
      <c r="A705" s="117" t="n">
        <v>1000</v>
      </c>
      <c r="B705" s="117" t="s">
        <v>1962</v>
      </c>
      <c r="C705" s="117" t="n">
        <v>100199799</v>
      </c>
      <c r="E705" s="117" t="s">
        <v>1921</v>
      </c>
      <c r="F705" s="117" t="n">
        <v>1112</v>
      </c>
      <c r="G705" s="117" t="n">
        <v>2019</v>
      </c>
      <c r="H705" s="117" t="n">
        <v>9</v>
      </c>
      <c r="I705" s="118" t="n">
        <v>43830</v>
      </c>
      <c r="J705" s="118" t="n">
        <v>43830</v>
      </c>
      <c r="K705" s="119" t="n">
        <v>45946.37</v>
      </c>
      <c r="L705" s="128" t="n">
        <f aca="false">K705-Q705+T705</f>
        <v>45946.37</v>
      </c>
      <c r="M705" s="117" t="s">
        <v>149</v>
      </c>
      <c r="N705" s="117" t="n">
        <v>45946.37</v>
      </c>
      <c r="O705" s="117" t="s">
        <v>149</v>
      </c>
      <c r="P705" s="117" t="n">
        <v>0</v>
      </c>
      <c r="Q705" s="117" t="n">
        <v>0</v>
      </c>
      <c r="R705" s="117" t="n">
        <v>45946.37</v>
      </c>
      <c r="S705" s="117" t="n">
        <v>0</v>
      </c>
      <c r="T705" s="117" t="n">
        <v>0</v>
      </c>
      <c r="U705" s="117" t="n">
        <v>312193</v>
      </c>
      <c r="V705" s="117" t="s">
        <v>1963</v>
      </c>
      <c r="X705" s="117" t="s">
        <v>2385</v>
      </c>
      <c r="Z705" s="117" t="n">
        <v>62396</v>
      </c>
      <c r="AB705" s="117" t="s">
        <v>2362</v>
      </c>
      <c r="AD705" s="117" t="n">
        <v>110000</v>
      </c>
      <c r="AE705" s="117" t="s">
        <v>1966</v>
      </c>
      <c r="AF705" s="117" t="n">
        <v>110000</v>
      </c>
      <c r="AG705" s="117" t="s">
        <v>1966</v>
      </c>
      <c r="AI705" s="117" t="n">
        <v>110000</v>
      </c>
      <c r="AJ705" s="117" t="s">
        <v>1966</v>
      </c>
      <c r="AK705" s="117" t="n">
        <v>0</v>
      </c>
      <c r="AL705" s="117" t="n">
        <v>4</v>
      </c>
      <c r="AM705" s="117" t="s">
        <v>161</v>
      </c>
      <c r="AR705" s="118" t="n">
        <v>43830</v>
      </c>
      <c r="AS705" s="117" t="n">
        <v>0.279467592592593</v>
      </c>
      <c r="AT705" s="117" t="n">
        <v>0</v>
      </c>
      <c r="AU705" s="117" t="n">
        <v>0</v>
      </c>
      <c r="AX705" s="117" t="n">
        <v>11</v>
      </c>
    </row>
    <row r="706" customFormat="false" ht="13.8" hidden="true" customHeight="false" outlineLevel="0" collapsed="false">
      <c r="A706" s="117" t="n">
        <v>1000</v>
      </c>
      <c r="B706" s="117" t="s">
        <v>1962</v>
      </c>
      <c r="C706" s="117" t="n">
        <v>100173564</v>
      </c>
      <c r="E706" s="117" t="s">
        <v>1921</v>
      </c>
      <c r="F706" s="117" t="n">
        <v>1108</v>
      </c>
      <c r="G706" s="117" t="n">
        <v>2019</v>
      </c>
      <c r="H706" s="117" t="n">
        <v>8</v>
      </c>
      <c r="I706" s="118" t="n">
        <v>43799</v>
      </c>
      <c r="J706" s="118" t="n">
        <v>43799</v>
      </c>
      <c r="K706" s="119" t="n">
        <v>779582.24</v>
      </c>
      <c r="L706" s="128" t="n">
        <f aca="false">K706-Q706+T706</f>
        <v>779582.24</v>
      </c>
      <c r="M706" s="117" t="s">
        <v>149</v>
      </c>
      <c r="N706" s="117" t="n">
        <v>779582.24</v>
      </c>
      <c r="O706" s="117" t="s">
        <v>149</v>
      </c>
      <c r="P706" s="117" t="n">
        <v>0</v>
      </c>
      <c r="Q706" s="117" t="n">
        <v>0</v>
      </c>
      <c r="R706" s="117" t="n">
        <v>779582.24</v>
      </c>
      <c r="S706" s="117" t="n">
        <v>0</v>
      </c>
      <c r="T706" s="117" t="n">
        <v>0</v>
      </c>
      <c r="U706" s="117" t="n">
        <v>312193</v>
      </c>
      <c r="V706" s="117" t="s">
        <v>1963</v>
      </c>
      <c r="X706" s="117" t="s">
        <v>1681</v>
      </c>
      <c r="Z706" s="117" t="n">
        <v>61993</v>
      </c>
      <c r="AB706" s="117" t="s">
        <v>2109</v>
      </c>
      <c r="AD706" s="117" t="n">
        <v>110000</v>
      </c>
      <c r="AE706" s="117" t="s">
        <v>1966</v>
      </c>
      <c r="AF706" s="117" t="n">
        <v>110000</v>
      </c>
      <c r="AG706" s="117" t="s">
        <v>1966</v>
      </c>
      <c r="AI706" s="117" t="n">
        <v>110000</v>
      </c>
      <c r="AJ706" s="117" t="s">
        <v>1966</v>
      </c>
      <c r="AK706" s="117" t="n">
        <v>0</v>
      </c>
      <c r="AL706" s="117" t="n">
        <v>4</v>
      </c>
      <c r="AM706" s="117" t="s">
        <v>161</v>
      </c>
      <c r="AR706" s="118" t="n">
        <v>43800</v>
      </c>
      <c r="AS706" s="117" t="n">
        <v>0.649189814814815</v>
      </c>
      <c r="AT706" s="117" t="n">
        <v>0</v>
      </c>
      <c r="AU706" s="117" t="n">
        <v>0</v>
      </c>
      <c r="AX706" s="117" t="n">
        <v>15</v>
      </c>
    </row>
    <row r="707" s="106" customFormat="true" ht="13.8" hidden="true" customHeight="false" outlineLevel="0" collapsed="false">
      <c r="A707" s="106" t="n">
        <v>1000</v>
      </c>
      <c r="B707" s="106" t="s">
        <v>1962</v>
      </c>
      <c r="C707" s="106" t="n">
        <v>110421</v>
      </c>
      <c r="D707" s="106" t="s">
        <v>1723</v>
      </c>
      <c r="E707" s="106" t="s">
        <v>1970</v>
      </c>
      <c r="F707" s="106" t="n">
        <v>1112</v>
      </c>
      <c r="G707" s="106" t="n">
        <v>2019</v>
      </c>
      <c r="H707" s="106" t="n">
        <v>9</v>
      </c>
      <c r="I707" s="129" t="n">
        <v>43820</v>
      </c>
      <c r="J707" s="129" t="n">
        <v>43820</v>
      </c>
      <c r="K707" s="107" t="n">
        <v>232648.8</v>
      </c>
      <c r="L707" s="130" t="n">
        <f aca="false">K707-Q707+T707</f>
        <v>197160</v>
      </c>
      <c r="M707" s="106" t="s">
        <v>149</v>
      </c>
      <c r="N707" s="106" t="n">
        <v>232648.8</v>
      </c>
      <c r="O707" s="106" t="s">
        <v>149</v>
      </c>
      <c r="P707" s="106" t="n">
        <v>0</v>
      </c>
      <c r="Q707" s="107" t="n">
        <v>35488.8</v>
      </c>
      <c r="R707" s="106" t="n">
        <v>197160</v>
      </c>
      <c r="S707" s="106" t="n">
        <v>0</v>
      </c>
      <c r="T707" s="106" t="n">
        <v>0</v>
      </c>
      <c r="U707" s="106" t="n">
        <v>312193</v>
      </c>
      <c r="V707" s="106" t="s">
        <v>1963</v>
      </c>
      <c r="Z707" s="106" t="n">
        <v>62194</v>
      </c>
      <c r="AB707" s="106" t="s">
        <v>2362</v>
      </c>
      <c r="AD707" s="106" t="n">
        <v>110000</v>
      </c>
      <c r="AE707" s="106" t="s">
        <v>1966</v>
      </c>
      <c r="AF707" s="106" t="n">
        <v>501005</v>
      </c>
      <c r="AG707" s="106" t="s">
        <v>2033</v>
      </c>
      <c r="AI707" s="106" t="n">
        <v>501005</v>
      </c>
      <c r="AJ707" s="106" t="s">
        <v>2033</v>
      </c>
      <c r="AK707" s="106" t="n">
        <v>0</v>
      </c>
      <c r="AL707" s="106" t="n">
        <v>1</v>
      </c>
      <c r="AM707" s="106" t="s">
        <v>161</v>
      </c>
      <c r="AP707" s="106" t="n">
        <v>100194025</v>
      </c>
      <c r="AQ707" s="129" t="n">
        <v>43824</v>
      </c>
      <c r="AR707" s="129" t="n">
        <v>43820</v>
      </c>
      <c r="AS707" s="106" t="n">
        <v>0.620914351851852</v>
      </c>
      <c r="AT707" s="106" t="n">
        <v>0</v>
      </c>
      <c r="AU707" s="106" t="n">
        <v>0</v>
      </c>
      <c r="AX707" s="106" t="n">
        <v>1</v>
      </c>
      <c r="ALU707" s="0"/>
      <c r="ALV707" s="0"/>
      <c r="ALW707" s="0"/>
      <c r="ALX707" s="0"/>
      <c r="ALY707" s="0"/>
      <c r="ALZ707" s="0"/>
      <c r="AMA707" s="0"/>
      <c r="AMB707" s="0"/>
      <c r="AMC707" s="0"/>
      <c r="AMD707" s="0"/>
      <c r="AME707" s="0"/>
      <c r="AMF707" s="0"/>
      <c r="AMG707" s="0"/>
      <c r="AMH707" s="0"/>
      <c r="AMI707" s="0"/>
      <c r="AMJ707" s="0"/>
    </row>
    <row r="708" s="106" customFormat="true" ht="13.8" hidden="true" customHeight="false" outlineLevel="0" collapsed="false">
      <c r="A708" s="106" t="n">
        <v>1000</v>
      </c>
      <c r="B708" s="106" t="s">
        <v>1962</v>
      </c>
      <c r="C708" s="106" t="n">
        <v>108508</v>
      </c>
      <c r="D708" s="106" t="s">
        <v>2386</v>
      </c>
      <c r="E708" s="106" t="s">
        <v>1970</v>
      </c>
      <c r="F708" s="106" t="n">
        <v>1109</v>
      </c>
      <c r="G708" s="106" t="n">
        <v>2019</v>
      </c>
      <c r="H708" s="106" t="n">
        <v>7</v>
      </c>
      <c r="I708" s="129" t="n">
        <v>43764</v>
      </c>
      <c r="J708" s="129" t="n">
        <v>43764</v>
      </c>
      <c r="K708" s="107" t="n">
        <v>2271501.31</v>
      </c>
      <c r="L708" s="130" t="n">
        <f aca="false">K708-Q708+T708</f>
        <v>1925001.12</v>
      </c>
      <c r="M708" s="106" t="s">
        <v>149</v>
      </c>
      <c r="N708" s="106" t="n">
        <v>2271501.31</v>
      </c>
      <c r="O708" s="106" t="s">
        <v>149</v>
      </c>
      <c r="P708" s="106" t="n">
        <v>0</v>
      </c>
      <c r="Q708" s="107" t="n">
        <v>346500.19</v>
      </c>
      <c r="R708" s="106" t="n">
        <v>1925001.12</v>
      </c>
      <c r="S708" s="106" t="n">
        <v>0</v>
      </c>
      <c r="T708" s="106" t="n">
        <v>0</v>
      </c>
      <c r="U708" s="106" t="n">
        <v>312193</v>
      </c>
      <c r="V708" s="106" t="s">
        <v>1963</v>
      </c>
      <c r="Z708" s="106" t="n">
        <v>60963</v>
      </c>
      <c r="AB708" s="106" t="s">
        <v>2124</v>
      </c>
      <c r="AD708" s="106" t="n">
        <v>110000</v>
      </c>
      <c r="AE708" s="106" t="s">
        <v>1966</v>
      </c>
      <c r="AF708" s="106" t="n">
        <v>501005</v>
      </c>
      <c r="AG708" s="106" t="s">
        <v>2033</v>
      </c>
      <c r="AI708" s="106" t="n">
        <v>501005</v>
      </c>
      <c r="AJ708" s="106" t="s">
        <v>2033</v>
      </c>
      <c r="AK708" s="106" t="n">
        <v>0</v>
      </c>
      <c r="AL708" s="106" t="n">
        <v>1</v>
      </c>
      <c r="AM708" s="106" t="s">
        <v>161</v>
      </c>
      <c r="AP708" s="106" t="n">
        <v>100141449</v>
      </c>
      <c r="AQ708" s="129" t="n">
        <v>43766</v>
      </c>
      <c r="AR708" s="129" t="n">
        <v>43764</v>
      </c>
      <c r="AS708" s="106" t="n">
        <v>0.849513888888889</v>
      </c>
      <c r="AT708" s="106" t="n">
        <v>0</v>
      </c>
      <c r="AU708" s="106" t="n">
        <v>0</v>
      </c>
      <c r="AX708" s="106" t="n">
        <v>1</v>
      </c>
      <c r="ALU708" s="0"/>
      <c r="ALV708" s="0"/>
      <c r="ALW708" s="0"/>
      <c r="ALX708" s="0"/>
      <c r="ALY708" s="0"/>
      <c r="ALZ708" s="0"/>
      <c r="AMA708" s="0"/>
      <c r="AMB708" s="0"/>
      <c r="AMC708" s="0"/>
      <c r="AMD708" s="0"/>
      <c r="AME708" s="0"/>
      <c r="AMF708" s="0"/>
      <c r="AMG708" s="0"/>
      <c r="AMH708" s="0"/>
      <c r="AMI708" s="0"/>
      <c r="AMJ708" s="0"/>
    </row>
    <row r="709" customFormat="false" ht="13.8" hidden="true" customHeight="false" outlineLevel="0" collapsed="false">
      <c r="A709" s="117" t="n">
        <v>1000</v>
      </c>
      <c r="B709" s="117" t="s">
        <v>1962</v>
      </c>
      <c r="C709" s="117" t="n">
        <v>1600000304</v>
      </c>
      <c r="D709" s="117" t="s">
        <v>2354</v>
      </c>
      <c r="E709" s="117" t="s">
        <v>1987</v>
      </c>
      <c r="F709" s="117" t="n">
        <v>1101</v>
      </c>
      <c r="G709" s="117" t="n">
        <v>2019</v>
      </c>
      <c r="H709" s="117" t="n">
        <v>8</v>
      </c>
      <c r="I709" s="118" t="n">
        <v>43797</v>
      </c>
      <c r="J709" s="118" t="n">
        <v>43797</v>
      </c>
      <c r="K709" s="119" t="n">
        <v>-6336</v>
      </c>
      <c r="L709" s="128" t="n">
        <f aca="false">K709-Q709+T709</f>
        <v>-6336</v>
      </c>
      <c r="M709" s="117" t="s">
        <v>149</v>
      </c>
      <c r="N709" s="117" t="n">
        <v>-6336</v>
      </c>
      <c r="O709" s="117" t="s">
        <v>149</v>
      </c>
      <c r="P709" s="117" t="n">
        <v>-6336</v>
      </c>
      <c r="Q709" s="117" t="n">
        <v>0</v>
      </c>
      <c r="R709" s="117" t="n">
        <v>-6336</v>
      </c>
      <c r="S709" s="117" t="n">
        <v>0</v>
      </c>
      <c r="T709" s="117" t="n">
        <v>0</v>
      </c>
      <c r="U709" s="117" t="n">
        <v>304431</v>
      </c>
      <c r="V709" s="117" t="s">
        <v>2016</v>
      </c>
      <c r="X709" s="117" t="s">
        <v>2387</v>
      </c>
      <c r="Y709" s="117" t="s">
        <v>2388</v>
      </c>
      <c r="Z709" s="117" t="n">
        <v>1600000304</v>
      </c>
      <c r="AD709" s="117" t="n">
        <v>310300</v>
      </c>
      <c r="AE709" s="117" t="s">
        <v>1969</v>
      </c>
      <c r="AF709" s="117" t="n">
        <v>111201</v>
      </c>
      <c r="AG709" s="117" t="s">
        <v>2165</v>
      </c>
      <c r="AI709" s="117" t="n">
        <v>111201</v>
      </c>
      <c r="AJ709" s="117" t="s">
        <v>2165</v>
      </c>
      <c r="AK709" s="117" t="n">
        <v>0</v>
      </c>
      <c r="AL709" s="117" t="n">
        <v>19</v>
      </c>
      <c r="AM709" s="117" t="s">
        <v>225</v>
      </c>
      <c r="AN709" s="117" t="s">
        <v>1978</v>
      </c>
      <c r="AP709" s="117" t="n">
        <v>100173526</v>
      </c>
      <c r="AQ709" s="118" t="n">
        <v>43799</v>
      </c>
      <c r="AR709" s="118" t="n">
        <v>43797</v>
      </c>
      <c r="AS709" s="117" t="n">
        <v>0.241840277777778</v>
      </c>
      <c r="AT709" s="117" t="n">
        <v>0</v>
      </c>
      <c r="AU709" s="117" t="n">
        <v>0</v>
      </c>
      <c r="AX709" s="117" t="n">
        <v>6</v>
      </c>
    </row>
    <row r="710" customFormat="false" ht="13.8" hidden="true" customHeight="false" outlineLevel="0" collapsed="false">
      <c r="A710" s="117" t="n">
        <v>1000</v>
      </c>
      <c r="B710" s="117" t="s">
        <v>1962</v>
      </c>
      <c r="C710" s="117" t="n">
        <v>1600000315</v>
      </c>
      <c r="D710" s="117" t="s">
        <v>2354</v>
      </c>
      <c r="E710" s="117" t="s">
        <v>1987</v>
      </c>
      <c r="F710" s="117" t="n">
        <v>1101</v>
      </c>
      <c r="G710" s="117" t="n">
        <v>2019</v>
      </c>
      <c r="H710" s="117" t="n">
        <v>8</v>
      </c>
      <c r="I710" s="118" t="n">
        <v>43798</v>
      </c>
      <c r="J710" s="118" t="n">
        <v>43798</v>
      </c>
      <c r="K710" s="119" t="n">
        <v>-5695</v>
      </c>
      <c r="L710" s="128" t="n">
        <f aca="false">K710-Q710+T710</f>
        <v>-5695</v>
      </c>
      <c r="M710" s="117" t="s">
        <v>149</v>
      </c>
      <c r="N710" s="117" t="n">
        <v>-5695</v>
      </c>
      <c r="O710" s="117" t="s">
        <v>149</v>
      </c>
      <c r="P710" s="117" t="n">
        <v>-5695</v>
      </c>
      <c r="Q710" s="117" t="n">
        <v>0</v>
      </c>
      <c r="R710" s="117" t="n">
        <v>-5695</v>
      </c>
      <c r="S710" s="117" t="n">
        <v>0</v>
      </c>
      <c r="T710" s="117" t="n">
        <v>0</v>
      </c>
      <c r="U710" s="117" t="n">
        <v>312193</v>
      </c>
      <c r="V710" s="117" t="s">
        <v>1963</v>
      </c>
      <c r="X710" s="117" t="s">
        <v>2389</v>
      </c>
      <c r="Y710" s="117" t="s">
        <v>2354</v>
      </c>
      <c r="Z710" s="117" t="n">
        <v>1600000315</v>
      </c>
      <c r="AD710" s="117" t="n">
        <v>310300</v>
      </c>
      <c r="AE710" s="117" t="s">
        <v>1969</v>
      </c>
      <c r="AF710" s="117" t="n">
        <v>111201</v>
      </c>
      <c r="AG710" s="117" t="s">
        <v>2165</v>
      </c>
      <c r="AI710" s="117" t="n">
        <v>111201</v>
      </c>
      <c r="AJ710" s="117" t="s">
        <v>2165</v>
      </c>
      <c r="AK710" s="117" t="n">
        <v>0</v>
      </c>
      <c r="AL710" s="117" t="n">
        <v>19</v>
      </c>
      <c r="AM710" s="117" t="s">
        <v>225</v>
      </c>
      <c r="AN710" s="117" t="s">
        <v>1978</v>
      </c>
      <c r="AR710" s="118" t="n">
        <v>43798</v>
      </c>
      <c r="AS710" s="117" t="n">
        <v>0.954837962962963</v>
      </c>
      <c r="AT710" s="117" t="n">
        <v>0</v>
      </c>
      <c r="AU710" s="117" t="n">
        <v>0</v>
      </c>
      <c r="AX710" s="117" t="n">
        <v>25</v>
      </c>
    </row>
    <row r="711" customFormat="false" ht="13.8" hidden="true" customHeight="false" outlineLevel="0" collapsed="false">
      <c r="A711" s="117" t="n">
        <v>1000</v>
      </c>
      <c r="B711" s="117" t="s">
        <v>1962</v>
      </c>
      <c r="C711" s="117" t="n">
        <v>100141419</v>
      </c>
      <c r="E711" s="117" t="s">
        <v>1921</v>
      </c>
      <c r="F711" s="117" t="n">
        <v>1109</v>
      </c>
      <c r="G711" s="117" t="n">
        <v>2019</v>
      </c>
      <c r="H711" s="117" t="n">
        <v>7</v>
      </c>
      <c r="I711" s="118" t="n">
        <v>43766</v>
      </c>
      <c r="J711" s="118" t="n">
        <v>43766</v>
      </c>
      <c r="K711" s="119" t="n">
        <v>-11126992.75</v>
      </c>
      <c r="L711" s="128" t="n">
        <f aca="false">K711-Q711+T711</f>
        <v>-11126992.75</v>
      </c>
      <c r="M711" s="117" t="s">
        <v>149</v>
      </c>
      <c r="N711" s="117" t="n">
        <v>-11126992.75</v>
      </c>
      <c r="O711" s="117" t="s">
        <v>149</v>
      </c>
      <c r="P711" s="117" t="n">
        <v>0</v>
      </c>
      <c r="Q711" s="117" t="n">
        <v>0</v>
      </c>
      <c r="R711" s="117" t="n">
        <v>-11126992.75</v>
      </c>
      <c r="S711" s="117" t="n">
        <v>0</v>
      </c>
      <c r="T711" s="117" t="n">
        <v>0</v>
      </c>
      <c r="U711" s="117" t="n">
        <v>305576</v>
      </c>
      <c r="V711" s="117" t="s">
        <v>1973</v>
      </c>
      <c r="Z711" s="117" t="n">
        <v>100141419</v>
      </c>
      <c r="AD711" s="117" t="n">
        <v>110000</v>
      </c>
      <c r="AE711" s="117" t="s">
        <v>1966</v>
      </c>
      <c r="AF711" s="117" t="n">
        <v>110000</v>
      </c>
      <c r="AG711" s="117" t="s">
        <v>1966</v>
      </c>
      <c r="AI711" s="117" t="n">
        <v>110000</v>
      </c>
      <c r="AJ711" s="117" t="s">
        <v>1966</v>
      </c>
      <c r="AK711" s="117" t="n">
        <v>0</v>
      </c>
      <c r="AL711" s="117" t="n">
        <v>17</v>
      </c>
      <c r="AM711" s="117" t="s">
        <v>225</v>
      </c>
      <c r="AP711" s="117" t="n">
        <v>100141419</v>
      </c>
      <c r="AQ711" s="118" t="n">
        <v>43766</v>
      </c>
      <c r="AR711" s="118" t="n">
        <v>43766</v>
      </c>
      <c r="AS711" s="117" t="n">
        <v>0.340451388888889</v>
      </c>
      <c r="AT711" s="117" t="n">
        <v>0</v>
      </c>
      <c r="AU711" s="117" t="n">
        <v>0</v>
      </c>
      <c r="AX711" s="117" t="n">
        <v>6</v>
      </c>
    </row>
    <row r="712" s="106" customFormat="true" ht="13.8" hidden="true" customHeight="false" outlineLevel="0" collapsed="false">
      <c r="A712" s="106" t="n">
        <v>1000</v>
      </c>
      <c r="B712" s="106" t="s">
        <v>1962</v>
      </c>
      <c r="C712" s="106" t="n">
        <v>110412</v>
      </c>
      <c r="D712" s="106" t="s">
        <v>2372</v>
      </c>
      <c r="E712" s="106" t="s">
        <v>1970</v>
      </c>
      <c r="F712" s="106" t="n">
        <v>1112</v>
      </c>
      <c r="G712" s="106" t="n">
        <v>2019</v>
      </c>
      <c r="H712" s="106" t="n">
        <v>9</v>
      </c>
      <c r="I712" s="129" t="n">
        <v>43820</v>
      </c>
      <c r="J712" s="129" t="n">
        <v>43820</v>
      </c>
      <c r="K712" s="107" t="n">
        <v>76261.04</v>
      </c>
      <c r="L712" s="130" t="n">
        <f aca="false">K712-Q712+T712</f>
        <v>64628</v>
      </c>
      <c r="M712" s="106" t="s">
        <v>149</v>
      </c>
      <c r="N712" s="106" t="n">
        <v>76261.04</v>
      </c>
      <c r="O712" s="106" t="s">
        <v>149</v>
      </c>
      <c r="P712" s="106" t="n">
        <v>0</v>
      </c>
      <c r="Q712" s="107" t="n">
        <v>11633.04</v>
      </c>
      <c r="R712" s="106" t="n">
        <v>64628</v>
      </c>
      <c r="S712" s="106" t="n">
        <v>0</v>
      </c>
      <c r="T712" s="106" t="n">
        <v>0</v>
      </c>
      <c r="U712" s="106" t="n">
        <v>312193</v>
      </c>
      <c r="V712" s="106" t="s">
        <v>1963</v>
      </c>
      <c r="Z712" s="106" t="n">
        <v>62146</v>
      </c>
      <c r="AB712" s="106" t="s">
        <v>2350</v>
      </c>
      <c r="AD712" s="106" t="n">
        <v>110000</v>
      </c>
      <c r="AE712" s="106" t="s">
        <v>1966</v>
      </c>
      <c r="AF712" s="106" t="n">
        <v>501000</v>
      </c>
      <c r="AG712" s="106" t="s">
        <v>2170</v>
      </c>
      <c r="AI712" s="106" t="n">
        <v>501000</v>
      </c>
      <c r="AJ712" s="106" t="s">
        <v>2170</v>
      </c>
      <c r="AK712" s="106" t="n">
        <v>0</v>
      </c>
      <c r="AL712" s="106" t="n">
        <v>1</v>
      </c>
      <c r="AM712" s="106" t="s">
        <v>161</v>
      </c>
      <c r="AP712" s="106" t="n">
        <v>100194025</v>
      </c>
      <c r="AQ712" s="129" t="n">
        <v>43824</v>
      </c>
      <c r="AR712" s="129" t="n">
        <v>43820</v>
      </c>
      <c r="AS712" s="106" t="n">
        <v>0.600381944444445</v>
      </c>
      <c r="AT712" s="106" t="n">
        <v>0</v>
      </c>
      <c r="AU712" s="106" t="n">
        <v>0</v>
      </c>
      <c r="AX712" s="106" t="n">
        <v>1</v>
      </c>
      <c r="ALU712" s="0"/>
      <c r="ALV712" s="0"/>
      <c r="ALW712" s="0"/>
      <c r="ALX712" s="0"/>
      <c r="ALY712" s="0"/>
      <c r="ALZ712" s="0"/>
      <c r="AMA712" s="0"/>
      <c r="AMB712" s="0"/>
      <c r="AMC712" s="0"/>
      <c r="AMD712" s="0"/>
      <c r="AME712" s="0"/>
      <c r="AMF712" s="0"/>
      <c r="AMG712" s="0"/>
      <c r="AMH712" s="0"/>
      <c r="AMI712" s="0"/>
      <c r="AMJ712" s="0"/>
    </row>
    <row r="713" customFormat="false" ht="13.8" hidden="true" customHeight="false" outlineLevel="0" collapsed="false">
      <c r="A713" s="117" t="n">
        <v>1000</v>
      </c>
      <c r="B713" s="117" t="s">
        <v>1962</v>
      </c>
      <c r="C713" s="117" t="n">
        <v>100194020</v>
      </c>
      <c r="E713" s="117" t="s">
        <v>1921</v>
      </c>
      <c r="F713" s="117" t="n">
        <v>1109</v>
      </c>
      <c r="G713" s="117" t="n">
        <v>2019</v>
      </c>
      <c r="H713" s="117" t="n">
        <v>9</v>
      </c>
      <c r="I713" s="118" t="n">
        <v>43824</v>
      </c>
      <c r="J713" s="118" t="n">
        <v>43824</v>
      </c>
      <c r="K713" s="119" t="n">
        <v>-24433.94</v>
      </c>
      <c r="L713" s="128" t="n">
        <f aca="false">K713-Q713+T713</f>
        <v>-24433.94</v>
      </c>
      <c r="M713" s="117" t="s">
        <v>149</v>
      </c>
      <c r="N713" s="117" t="n">
        <v>-24433.94</v>
      </c>
      <c r="O713" s="117" t="s">
        <v>149</v>
      </c>
      <c r="P713" s="117" t="n">
        <v>0</v>
      </c>
      <c r="Q713" s="117" t="n">
        <v>0</v>
      </c>
      <c r="R713" s="117" t="n">
        <v>-24433.94</v>
      </c>
      <c r="S713" s="117" t="n">
        <v>0</v>
      </c>
      <c r="T713" s="117" t="n">
        <v>0</v>
      </c>
      <c r="U713" s="117" t="n">
        <v>304431</v>
      </c>
      <c r="V713" s="117" t="s">
        <v>2016</v>
      </c>
      <c r="Z713" s="117" t="n">
        <v>100194020</v>
      </c>
      <c r="AD713" s="117" t="n">
        <v>110000</v>
      </c>
      <c r="AE713" s="117" t="s">
        <v>1966</v>
      </c>
      <c r="AF713" s="117" t="n">
        <v>110000</v>
      </c>
      <c r="AG713" s="117" t="s">
        <v>1966</v>
      </c>
      <c r="AI713" s="117" t="n">
        <v>110000</v>
      </c>
      <c r="AJ713" s="117" t="s">
        <v>1966</v>
      </c>
      <c r="AK713" s="117" t="n">
        <v>0</v>
      </c>
      <c r="AL713" s="117" t="n">
        <v>17</v>
      </c>
      <c r="AM713" s="117" t="s">
        <v>225</v>
      </c>
      <c r="AP713" s="117" t="n">
        <v>100194020</v>
      </c>
      <c r="AQ713" s="118" t="n">
        <v>43824</v>
      </c>
      <c r="AR713" s="118" t="n">
        <v>43824</v>
      </c>
      <c r="AS713" s="117" t="n">
        <v>0.357604166666667</v>
      </c>
      <c r="AT713" s="117" t="n">
        <v>0</v>
      </c>
      <c r="AU713" s="117" t="n">
        <v>0</v>
      </c>
      <c r="AX713" s="117" t="n">
        <v>3</v>
      </c>
    </row>
    <row r="714" customFormat="false" ht="13.8" hidden="true" customHeight="false" outlineLevel="0" collapsed="false">
      <c r="A714" s="117" t="n">
        <v>1000</v>
      </c>
      <c r="B714" s="117" t="s">
        <v>1962</v>
      </c>
      <c r="C714" s="117" t="n">
        <v>100141416</v>
      </c>
      <c r="E714" s="117" t="s">
        <v>1921</v>
      </c>
      <c r="F714" s="117" t="n">
        <v>1109</v>
      </c>
      <c r="G714" s="117" t="n">
        <v>2019</v>
      </c>
      <c r="H714" s="117" t="n">
        <v>7</v>
      </c>
      <c r="I714" s="118" t="n">
        <v>43766</v>
      </c>
      <c r="J714" s="118" t="n">
        <v>43766</v>
      </c>
      <c r="K714" s="119" t="n">
        <v>-288228.34</v>
      </c>
      <c r="L714" s="128" t="n">
        <f aca="false">K714-Q714+T714</f>
        <v>-288228.34</v>
      </c>
      <c r="M714" s="117" t="s">
        <v>149</v>
      </c>
      <c r="N714" s="117" t="n">
        <v>-288228.34</v>
      </c>
      <c r="O714" s="117" t="s">
        <v>149</v>
      </c>
      <c r="P714" s="117" t="n">
        <v>0</v>
      </c>
      <c r="Q714" s="117" t="n">
        <v>0</v>
      </c>
      <c r="R714" s="117" t="n">
        <v>-288228.34</v>
      </c>
      <c r="S714" s="117" t="n">
        <v>0</v>
      </c>
      <c r="T714" s="117" t="n">
        <v>0</v>
      </c>
      <c r="U714" s="117" t="n">
        <v>304431</v>
      </c>
      <c r="V714" s="117" t="s">
        <v>2016</v>
      </c>
      <c r="Z714" s="117" t="n">
        <v>100141416</v>
      </c>
      <c r="AD714" s="117" t="n">
        <v>110000</v>
      </c>
      <c r="AE714" s="117" t="s">
        <v>1966</v>
      </c>
      <c r="AF714" s="117" t="n">
        <v>110000</v>
      </c>
      <c r="AG714" s="117" t="s">
        <v>1966</v>
      </c>
      <c r="AI714" s="117" t="n">
        <v>110000</v>
      </c>
      <c r="AJ714" s="117" t="s">
        <v>1966</v>
      </c>
      <c r="AK714" s="117" t="n">
        <v>0</v>
      </c>
      <c r="AL714" s="117" t="n">
        <v>17</v>
      </c>
      <c r="AM714" s="117" t="s">
        <v>225</v>
      </c>
      <c r="AP714" s="117" t="n">
        <v>100141416</v>
      </c>
      <c r="AQ714" s="118" t="n">
        <v>43766</v>
      </c>
      <c r="AR714" s="118" t="n">
        <v>43766</v>
      </c>
      <c r="AS714" s="117" t="n">
        <v>0.331469907407407</v>
      </c>
      <c r="AT714" s="117" t="n">
        <v>0</v>
      </c>
      <c r="AU714" s="117" t="n">
        <v>0</v>
      </c>
      <c r="AX714" s="117" t="n">
        <v>3</v>
      </c>
    </row>
    <row r="715" customFormat="false" ht="13.8" hidden="true" customHeight="false" outlineLevel="0" collapsed="false">
      <c r="A715" s="117" t="n">
        <v>1000</v>
      </c>
      <c r="B715" s="117" t="s">
        <v>1962</v>
      </c>
      <c r="C715" s="117" t="n">
        <v>100199799</v>
      </c>
      <c r="E715" s="117" t="s">
        <v>1921</v>
      </c>
      <c r="F715" s="117" t="n">
        <v>1112</v>
      </c>
      <c r="G715" s="117" t="n">
        <v>2019</v>
      </c>
      <c r="H715" s="117" t="n">
        <v>9</v>
      </c>
      <c r="I715" s="118" t="n">
        <v>43830</v>
      </c>
      <c r="J715" s="118" t="n">
        <v>43830</v>
      </c>
      <c r="K715" s="119" t="n">
        <v>115261.22</v>
      </c>
      <c r="L715" s="128" t="n">
        <f aca="false">K715-Q715+T715</f>
        <v>115261.22</v>
      </c>
      <c r="M715" s="117" t="s">
        <v>149</v>
      </c>
      <c r="N715" s="117" t="n">
        <v>115261.22</v>
      </c>
      <c r="O715" s="117" t="s">
        <v>149</v>
      </c>
      <c r="P715" s="117" t="n">
        <v>0</v>
      </c>
      <c r="Q715" s="117" t="n">
        <v>0</v>
      </c>
      <c r="R715" s="117" t="n">
        <v>115261.22</v>
      </c>
      <c r="S715" s="117" t="n">
        <v>0</v>
      </c>
      <c r="T715" s="117" t="n">
        <v>0</v>
      </c>
      <c r="U715" s="117" t="n">
        <v>312193</v>
      </c>
      <c r="V715" s="117" t="s">
        <v>1963</v>
      </c>
      <c r="X715" s="117" t="s">
        <v>2390</v>
      </c>
      <c r="Z715" s="117" t="n">
        <v>62199</v>
      </c>
      <c r="AB715" s="117" t="s">
        <v>2350</v>
      </c>
      <c r="AD715" s="117" t="n">
        <v>110000</v>
      </c>
      <c r="AE715" s="117" t="s">
        <v>1966</v>
      </c>
      <c r="AF715" s="117" t="n">
        <v>110000</v>
      </c>
      <c r="AG715" s="117" t="s">
        <v>1966</v>
      </c>
      <c r="AI715" s="117" t="n">
        <v>110000</v>
      </c>
      <c r="AJ715" s="117" t="s">
        <v>1966</v>
      </c>
      <c r="AK715" s="117" t="n">
        <v>0</v>
      </c>
      <c r="AL715" s="117" t="n">
        <v>4</v>
      </c>
      <c r="AM715" s="117" t="s">
        <v>161</v>
      </c>
      <c r="AR715" s="118" t="n">
        <v>43830</v>
      </c>
      <c r="AS715" s="117" t="n">
        <v>0.279467592592593</v>
      </c>
      <c r="AT715" s="117" t="n">
        <v>0</v>
      </c>
      <c r="AU715" s="117" t="n">
        <v>0</v>
      </c>
      <c r="AX715" s="117" t="n">
        <v>20</v>
      </c>
    </row>
    <row r="716" s="106" customFormat="true" ht="13.8" hidden="true" customHeight="false" outlineLevel="0" collapsed="false">
      <c r="A716" s="106" t="n">
        <v>1000</v>
      </c>
      <c r="B716" s="106" t="s">
        <v>1962</v>
      </c>
      <c r="C716" s="106" t="n">
        <v>110423</v>
      </c>
      <c r="D716" s="106" t="s">
        <v>1729</v>
      </c>
      <c r="E716" s="106" t="s">
        <v>1970</v>
      </c>
      <c r="F716" s="106" t="n">
        <v>1112</v>
      </c>
      <c r="G716" s="106" t="n">
        <v>2019</v>
      </c>
      <c r="H716" s="106" t="n">
        <v>9</v>
      </c>
      <c r="I716" s="129" t="n">
        <v>43820</v>
      </c>
      <c r="J716" s="129" t="n">
        <v>43820</v>
      </c>
      <c r="K716" s="107" t="n">
        <v>697946.4</v>
      </c>
      <c r="L716" s="130" t="n">
        <f aca="false">K716-Q716+T716</f>
        <v>591480</v>
      </c>
      <c r="M716" s="106" t="s">
        <v>149</v>
      </c>
      <c r="N716" s="106" t="n">
        <v>697946.4</v>
      </c>
      <c r="O716" s="106" t="s">
        <v>149</v>
      </c>
      <c r="P716" s="106" t="n">
        <v>0</v>
      </c>
      <c r="Q716" s="107" t="n">
        <v>106466.4</v>
      </c>
      <c r="R716" s="106" t="n">
        <v>591480</v>
      </c>
      <c r="S716" s="106" t="n">
        <v>0</v>
      </c>
      <c r="T716" s="106" t="n">
        <v>0</v>
      </c>
      <c r="U716" s="106" t="n">
        <v>312193</v>
      </c>
      <c r="V716" s="106" t="s">
        <v>1963</v>
      </c>
      <c r="Z716" s="106" t="n">
        <v>62198</v>
      </c>
      <c r="AB716" s="106" t="s">
        <v>2362</v>
      </c>
      <c r="AD716" s="106" t="n">
        <v>110000</v>
      </c>
      <c r="AE716" s="106" t="s">
        <v>1966</v>
      </c>
      <c r="AF716" s="106" t="n">
        <v>501005</v>
      </c>
      <c r="AG716" s="106" t="s">
        <v>2033</v>
      </c>
      <c r="AI716" s="106" t="n">
        <v>501005</v>
      </c>
      <c r="AJ716" s="106" t="s">
        <v>2033</v>
      </c>
      <c r="AK716" s="106" t="n">
        <v>0</v>
      </c>
      <c r="AL716" s="106" t="n">
        <v>1</v>
      </c>
      <c r="AM716" s="106" t="s">
        <v>161</v>
      </c>
      <c r="AP716" s="106" t="n">
        <v>100194025</v>
      </c>
      <c r="AQ716" s="129" t="n">
        <v>43824</v>
      </c>
      <c r="AR716" s="129" t="n">
        <v>43820</v>
      </c>
      <c r="AS716" s="106" t="n">
        <v>0.624849537037037</v>
      </c>
      <c r="AT716" s="106" t="n">
        <v>0</v>
      </c>
      <c r="AU716" s="106" t="n">
        <v>0</v>
      </c>
      <c r="AX716" s="106" t="n">
        <v>1</v>
      </c>
      <c r="ALU716" s="0"/>
      <c r="ALV716" s="0"/>
      <c r="ALW716" s="0"/>
      <c r="ALX716" s="0"/>
      <c r="ALY716" s="0"/>
      <c r="ALZ716" s="0"/>
      <c r="AMA716" s="0"/>
      <c r="AMB716" s="0"/>
      <c r="AMC716" s="0"/>
      <c r="AMD716" s="0"/>
      <c r="AME716" s="0"/>
      <c r="AMF716" s="0"/>
      <c r="AMG716" s="0"/>
      <c r="AMH716" s="0"/>
      <c r="AMI716" s="0"/>
      <c r="AMJ716" s="0"/>
    </row>
    <row r="717" s="106" customFormat="true" ht="13.8" hidden="true" customHeight="false" outlineLevel="0" collapsed="false">
      <c r="A717" s="106" t="n">
        <v>1000</v>
      </c>
      <c r="B717" s="106" t="s">
        <v>1962</v>
      </c>
      <c r="C717" s="106" t="n">
        <v>108509</v>
      </c>
      <c r="D717" s="106" t="s">
        <v>2391</v>
      </c>
      <c r="E717" s="106" t="s">
        <v>1970</v>
      </c>
      <c r="F717" s="106" t="n">
        <v>1109</v>
      </c>
      <c r="G717" s="106" t="n">
        <v>2019</v>
      </c>
      <c r="H717" s="106" t="n">
        <v>7</v>
      </c>
      <c r="I717" s="129" t="n">
        <v>43764</v>
      </c>
      <c r="J717" s="129" t="n">
        <v>43764</v>
      </c>
      <c r="K717" s="107" t="n">
        <v>1670602.32</v>
      </c>
      <c r="L717" s="130" t="n">
        <f aca="false">K717-Q717+T717</f>
        <v>1415764.68</v>
      </c>
      <c r="M717" s="106" t="s">
        <v>149</v>
      </c>
      <c r="N717" s="106" t="n">
        <v>1670602.32</v>
      </c>
      <c r="O717" s="106" t="s">
        <v>149</v>
      </c>
      <c r="P717" s="106" t="n">
        <v>0</v>
      </c>
      <c r="Q717" s="107" t="n">
        <v>254837.64</v>
      </c>
      <c r="R717" s="106" t="n">
        <v>1415764.68</v>
      </c>
      <c r="S717" s="106" t="n">
        <v>0</v>
      </c>
      <c r="T717" s="106" t="n">
        <v>0</v>
      </c>
      <c r="U717" s="106" t="n">
        <v>312193</v>
      </c>
      <c r="V717" s="106" t="s">
        <v>1963</v>
      </c>
      <c r="Z717" s="106" t="n">
        <v>60964</v>
      </c>
      <c r="AB717" s="106" t="s">
        <v>2124</v>
      </c>
      <c r="AD717" s="106" t="n">
        <v>110000</v>
      </c>
      <c r="AE717" s="106" t="s">
        <v>1966</v>
      </c>
      <c r="AF717" s="106" t="n">
        <v>501005</v>
      </c>
      <c r="AG717" s="106" t="s">
        <v>2033</v>
      </c>
      <c r="AI717" s="106" t="n">
        <v>501005</v>
      </c>
      <c r="AJ717" s="106" t="s">
        <v>2033</v>
      </c>
      <c r="AK717" s="106" t="n">
        <v>0</v>
      </c>
      <c r="AL717" s="106" t="n">
        <v>1</v>
      </c>
      <c r="AM717" s="106" t="s">
        <v>161</v>
      </c>
      <c r="AP717" s="106" t="n">
        <v>100141449</v>
      </c>
      <c r="AQ717" s="129" t="n">
        <v>43766</v>
      </c>
      <c r="AR717" s="129" t="n">
        <v>43764</v>
      </c>
      <c r="AS717" s="106" t="n">
        <v>0.849895833333333</v>
      </c>
      <c r="AT717" s="106" t="n">
        <v>0</v>
      </c>
      <c r="AU717" s="106" t="n">
        <v>0</v>
      </c>
      <c r="AX717" s="106" t="n">
        <v>1</v>
      </c>
      <c r="ALU717" s="0"/>
      <c r="ALV717" s="0"/>
      <c r="ALW717" s="0"/>
      <c r="ALX717" s="0"/>
      <c r="ALY717" s="0"/>
      <c r="ALZ717" s="0"/>
      <c r="AMA717" s="0"/>
      <c r="AMB717" s="0"/>
      <c r="AMC717" s="0"/>
      <c r="AMD717" s="0"/>
      <c r="AME717" s="0"/>
      <c r="AMF717" s="0"/>
      <c r="AMG717" s="0"/>
      <c r="AMH717" s="0"/>
      <c r="AMI717" s="0"/>
      <c r="AMJ717" s="0"/>
    </row>
    <row r="718" s="106" customFormat="true" ht="13.8" hidden="true" customHeight="false" outlineLevel="0" collapsed="false">
      <c r="A718" s="106" t="n">
        <v>1000</v>
      </c>
      <c r="B718" s="106" t="s">
        <v>1962</v>
      </c>
      <c r="C718" s="106" t="n">
        <v>108594</v>
      </c>
      <c r="D718" s="106" t="s">
        <v>1156</v>
      </c>
      <c r="E718" s="106" t="s">
        <v>1970</v>
      </c>
      <c r="F718" s="106" t="n">
        <v>1109</v>
      </c>
      <c r="G718" s="106" t="n">
        <v>2019</v>
      </c>
      <c r="H718" s="106" t="n">
        <v>7</v>
      </c>
      <c r="I718" s="129" t="n">
        <v>43769</v>
      </c>
      <c r="J718" s="129" t="n">
        <v>43769</v>
      </c>
      <c r="K718" s="107" t="n">
        <v>2407200</v>
      </c>
      <c r="L718" s="130" t="n">
        <f aca="false">K718-Q718+T718</f>
        <v>2040000</v>
      </c>
      <c r="M718" s="106" t="s">
        <v>149</v>
      </c>
      <c r="N718" s="106" t="n">
        <v>2407200</v>
      </c>
      <c r="O718" s="106" t="s">
        <v>149</v>
      </c>
      <c r="P718" s="106" t="n">
        <v>0</v>
      </c>
      <c r="Q718" s="107" t="n">
        <v>367200</v>
      </c>
      <c r="R718" s="106" t="n">
        <v>2040000</v>
      </c>
      <c r="S718" s="106" t="n">
        <v>0</v>
      </c>
      <c r="T718" s="106" t="n">
        <v>0</v>
      </c>
      <c r="U718" s="106" t="n">
        <v>311155</v>
      </c>
      <c r="V718" s="106" t="s">
        <v>2022</v>
      </c>
      <c r="Z718" s="106" t="n">
        <v>60514</v>
      </c>
      <c r="AB718" s="106" t="s">
        <v>2392</v>
      </c>
      <c r="AD718" s="106" t="n">
        <v>110000</v>
      </c>
      <c r="AE718" s="106" t="s">
        <v>1966</v>
      </c>
      <c r="AF718" s="106" t="n">
        <v>501005</v>
      </c>
      <c r="AG718" s="106" t="s">
        <v>2033</v>
      </c>
      <c r="AI718" s="106" t="n">
        <v>501005</v>
      </c>
      <c r="AJ718" s="106" t="s">
        <v>2033</v>
      </c>
      <c r="AK718" s="106" t="n">
        <v>0</v>
      </c>
      <c r="AL718" s="106" t="n">
        <v>1</v>
      </c>
      <c r="AM718" s="106" t="s">
        <v>161</v>
      </c>
      <c r="AP718" s="106" t="n">
        <v>100143931</v>
      </c>
      <c r="AQ718" s="129" t="n">
        <v>43769</v>
      </c>
      <c r="AR718" s="129" t="n">
        <v>43769</v>
      </c>
      <c r="AS718" s="106" t="n">
        <v>0.484965277777778</v>
      </c>
      <c r="AT718" s="106" t="n">
        <v>0</v>
      </c>
      <c r="AU718" s="106" t="n">
        <v>0</v>
      </c>
      <c r="AX718" s="106" t="n">
        <v>1</v>
      </c>
      <c r="ALU718" s="0"/>
      <c r="ALV718" s="0"/>
      <c r="ALW718" s="0"/>
      <c r="ALX718" s="0"/>
      <c r="ALY718" s="0"/>
      <c r="ALZ718" s="0"/>
      <c r="AMA718" s="0"/>
      <c r="AMB718" s="0"/>
      <c r="AMC718" s="0"/>
      <c r="AMD718" s="0"/>
      <c r="AME718" s="0"/>
      <c r="AMF718" s="0"/>
      <c r="AMG718" s="0"/>
      <c r="AMH718" s="0"/>
      <c r="AMI718" s="0"/>
      <c r="AMJ718" s="0"/>
    </row>
    <row r="719" customFormat="false" ht="13.8" hidden="true" customHeight="false" outlineLevel="0" collapsed="false">
      <c r="A719" s="117" t="n">
        <v>1000</v>
      </c>
      <c r="B719" s="117" t="s">
        <v>1962</v>
      </c>
      <c r="C719" s="117" t="n">
        <v>100199799</v>
      </c>
      <c r="E719" s="117" t="s">
        <v>1921</v>
      </c>
      <c r="F719" s="117" t="n">
        <v>1112</v>
      </c>
      <c r="G719" s="117" t="n">
        <v>2019</v>
      </c>
      <c r="H719" s="117" t="n">
        <v>9</v>
      </c>
      <c r="I719" s="118" t="n">
        <v>43830</v>
      </c>
      <c r="J719" s="118" t="n">
        <v>43830</v>
      </c>
      <c r="K719" s="119" t="n">
        <v>55832.88</v>
      </c>
      <c r="L719" s="128" t="n">
        <f aca="false">K719-Q719+T719</f>
        <v>55832.88</v>
      </c>
      <c r="M719" s="117" t="s">
        <v>149</v>
      </c>
      <c r="N719" s="117" t="n">
        <v>55832.88</v>
      </c>
      <c r="O719" s="117" t="s">
        <v>149</v>
      </c>
      <c r="P719" s="117" t="n">
        <v>0</v>
      </c>
      <c r="Q719" s="117" t="n">
        <v>0</v>
      </c>
      <c r="R719" s="117" t="n">
        <v>55832.88</v>
      </c>
      <c r="S719" s="117" t="n">
        <v>0</v>
      </c>
      <c r="T719" s="117" t="n">
        <v>0</v>
      </c>
      <c r="U719" s="117" t="n">
        <v>312193</v>
      </c>
      <c r="V719" s="117" t="s">
        <v>1963</v>
      </c>
      <c r="X719" s="117" t="s">
        <v>2393</v>
      </c>
      <c r="Z719" s="117" t="n">
        <v>62395</v>
      </c>
      <c r="AB719" s="117" t="s">
        <v>2350</v>
      </c>
      <c r="AD719" s="117" t="n">
        <v>110000</v>
      </c>
      <c r="AE719" s="117" t="s">
        <v>1966</v>
      </c>
      <c r="AF719" s="117" t="n">
        <v>110000</v>
      </c>
      <c r="AG719" s="117" t="s">
        <v>1966</v>
      </c>
      <c r="AI719" s="117" t="n">
        <v>110000</v>
      </c>
      <c r="AJ719" s="117" t="s">
        <v>1966</v>
      </c>
      <c r="AK719" s="117" t="n">
        <v>0</v>
      </c>
      <c r="AL719" s="117" t="n">
        <v>4</v>
      </c>
      <c r="AM719" s="117" t="s">
        <v>161</v>
      </c>
      <c r="AR719" s="118" t="n">
        <v>43830</v>
      </c>
      <c r="AS719" s="117" t="n">
        <v>0.279467592592593</v>
      </c>
      <c r="AT719" s="117" t="n">
        <v>0</v>
      </c>
      <c r="AU719" s="117" t="n">
        <v>0</v>
      </c>
      <c r="AX719" s="117" t="n">
        <v>30</v>
      </c>
    </row>
    <row r="720" customFormat="false" ht="13.8" hidden="true" customHeight="false" outlineLevel="0" collapsed="false">
      <c r="A720" s="117" t="n">
        <v>1000</v>
      </c>
      <c r="B720" s="117" t="s">
        <v>1962</v>
      </c>
      <c r="C720" s="117" t="n">
        <v>100143928</v>
      </c>
      <c r="E720" s="117" t="s">
        <v>1921</v>
      </c>
      <c r="F720" s="117" t="n">
        <v>1109</v>
      </c>
      <c r="G720" s="117" t="n">
        <v>2019</v>
      </c>
      <c r="H720" s="117" t="n">
        <v>7</v>
      </c>
      <c r="I720" s="118" t="n">
        <v>43769</v>
      </c>
      <c r="J720" s="118" t="n">
        <v>43769</v>
      </c>
      <c r="K720" s="119" t="n">
        <v>-255509.38</v>
      </c>
      <c r="L720" s="128" t="n">
        <f aca="false">K720-Q720+T720</f>
        <v>-255509.38</v>
      </c>
      <c r="M720" s="117" t="s">
        <v>149</v>
      </c>
      <c r="N720" s="117" t="n">
        <v>-255509.38</v>
      </c>
      <c r="O720" s="117" t="s">
        <v>149</v>
      </c>
      <c r="P720" s="117" t="n">
        <v>0</v>
      </c>
      <c r="Q720" s="117" t="n">
        <v>0</v>
      </c>
      <c r="R720" s="117" t="n">
        <v>-255509.38</v>
      </c>
      <c r="S720" s="117" t="n">
        <v>0</v>
      </c>
      <c r="T720" s="117" t="n">
        <v>0</v>
      </c>
      <c r="U720" s="117" t="n">
        <v>310187</v>
      </c>
      <c r="V720" s="117" t="s">
        <v>2394</v>
      </c>
      <c r="Z720" s="117" t="n">
        <v>100143928</v>
      </c>
      <c r="AD720" s="117" t="n">
        <v>110000</v>
      </c>
      <c r="AE720" s="117" t="s">
        <v>1966</v>
      </c>
      <c r="AF720" s="117" t="n">
        <v>110000</v>
      </c>
      <c r="AG720" s="117" t="s">
        <v>1966</v>
      </c>
      <c r="AI720" s="117" t="n">
        <v>110000</v>
      </c>
      <c r="AJ720" s="117" t="s">
        <v>1966</v>
      </c>
      <c r="AK720" s="117" t="n">
        <v>0</v>
      </c>
      <c r="AL720" s="117" t="n">
        <v>17</v>
      </c>
      <c r="AM720" s="117" t="s">
        <v>225</v>
      </c>
      <c r="AP720" s="117" t="n">
        <v>100143928</v>
      </c>
      <c r="AQ720" s="118" t="n">
        <v>43769</v>
      </c>
      <c r="AR720" s="118" t="n">
        <v>43770</v>
      </c>
      <c r="AS720" s="117" t="n">
        <v>0.203842592592593</v>
      </c>
      <c r="AT720" s="117" t="n">
        <v>0</v>
      </c>
      <c r="AU720" s="117" t="n">
        <v>0</v>
      </c>
      <c r="AX720" s="117" t="n">
        <v>2</v>
      </c>
    </row>
    <row r="721" customFormat="false" ht="13.8" hidden="true" customHeight="false" outlineLevel="0" collapsed="false">
      <c r="A721" s="117" t="n">
        <v>1000</v>
      </c>
      <c r="B721" s="117" t="s">
        <v>1962</v>
      </c>
      <c r="C721" s="117" t="n">
        <v>1400009239</v>
      </c>
      <c r="D721" s="117" t="s">
        <v>2395</v>
      </c>
      <c r="E721" s="117" t="s">
        <v>1972</v>
      </c>
      <c r="F721" s="117" t="n">
        <v>1106</v>
      </c>
      <c r="G721" s="117" t="n">
        <v>2019</v>
      </c>
      <c r="H721" s="117" t="n">
        <v>9</v>
      </c>
      <c r="I721" s="118" t="n">
        <v>43830</v>
      </c>
      <c r="J721" s="118" t="n">
        <v>43830</v>
      </c>
      <c r="K721" s="119" t="n">
        <v>-1798616.2</v>
      </c>
      <c r="L721" s="128" t="n">
        <f aca="false">K721-Q721+T721</f>
        <v>-1798616.2</v>
      </c>
      <c r="M721" s="117" t="s">
        <v>149</v>
      </c>
      <c r="N721" s="117" t="n">
        <v>-1798616.2</v>
      </c>
      <c r="O721" s="117" t="s">
        <v>149</v>
      </c>
      <c r="P721" s="117" t="n">
        <v>-1798616.2</v>
      </c>
      <c r="Q721" s="117" t="n">
        <v>0</v>
      </c>
      <c r="R721" s="117" t="n">
        <v>-1798616.2</v>
      </c>
      <c r="S721" s="117" t="n">
        <v>0</v>
      </c>
      <c r="T721" s="117" t="n">
        <v>0</v>
      </c>
      <c r="U721" s="117" t="n">
        <v>312193</v>
      </c>
      <c r="V721" s="117" t="s">
        <v>1963</v>
      </c>
      <c r="X721" s="117" t="s">
        <v>2396</v>
      </c>
      <c r="Y721" s="117" t="s">
        <v>2397</v>
      </c>
      <c r="Z721" s="117" t="n">
        <v>1400009239</v>
      </c>
      <c r="AC721" s="117" t="s">
        <v>1976</v>
      </c>
      <c r="AD721" s="117" t="n">
        <v>310300</v>
      </c>
      <c r="AE721" s="117" t="s">
        <v>1969</v>
      </c>
      <c r="AF721" s="117" t="n">
        <v>101105</v>
      </c>
      <c r="AG721" s="117" t="s">
        <v>1977</v>
      </c>
      <c r="AI721" s="117" t="n">
        <v>101105</v>
      </c>
      <c r="AJ721" s="117" t="s">
        <v>1977</v>
      </c>
      <c r="AK721" s="117" t="n">
        <v>0</v>
      </c>
      <c r="AL721" s="117" t="n">
        <v>19</v>
      </c>
      <c r="AM721" s="117" t="s">
        <v>225</v>
      </c>
      <c r="AN721" s="117" t="s">
        <v>1978</v>
      </c>
      <c r="AP721" s="117" t="n">
        <v>100210304</v>
      </c>
      <c r="AQ721" s="118" t="n">
        <v>43830</v>
      </c>
      <c r="AR721" s="118" t="n">
        <v>43831</v>
      </c>
      <c r="AS721" s="117" t="n">
        <v>0.401643518518519</v>
      </c>
      <c r="AT721" s="117" t="n">
        <v>0</v>
      </c>
      <c r="AU721" s="117" t="n">
        <v>0</v>
      </c>
      <c r="AX721" s="117" t="n">
        <v>3</v>
      </c>
    </row>
    <row r="722" customFormat="false" ht="13.8" hidden="true" customHeight="false" outlineLevel="0" collapsed="false">
      <c r="A722" s="117" t="n">
        <v>1000</v>
      </c>
      <c r="B722" s="117" t="s">
        <v>1962</v>
      </c>
      <c r="C722" s="117" t="n">
        <v>100141419</v>
      </c>
      <c r="E722" s="117" t="s">
        <v>1921</v>
      </c>
      <c r="F722" s="117" t="n">
        <v>1109</v>
      </c>
      <c r="G722" s="117" t="n">
        <v>2019</v>
      </c>
      <c r="H722" s="117" t="n">
        <v>7</v>
      </c>
      <c r="I722" s="118" t="n">
        <v>43766</v>
      </c>
      <c r="J722" s="118" t="n">
        <v>43766</v>
      </c>
      <c r="K722" s="119" t="n">
        <v>2221397.2</v>
      </c>
      <c r="L722" s="128" t="n">
        <f aca="false">K722-Q722+T722</f>
        <v>2221397.2</v>
      </c>
      <c r="M722" s="117" t="s">
        <v>149</v>
      </c>
      <c r="N722" s="117" t="n">
        <v>2221397.2</v>
      </c>
      <c r="O722" s="117" t="s">
        <v>149</v>
      </c>
      <c r="P722" s="117" t="n">
        <v>0</v>
      </c>
      <c r="Q722" s="117" t="n">
        <v>0</v>
      </c>
      <c r="R722" s="117" t="n">
        <v>2221397.2</v>
      </c>
      <c r="S722" s="117" t="n">
        <v>0</v>
      </c>
      <c r="T722" s="117" t="n">
        <v>0</v>
      </c>
      <c r="U722" s="117" t="n">
        <v>305576</v>
      </c>
      <c r="V722" s="117" t="s">
        <v>1973</v>
      </c>
      <c r="X722" s="117" t="s">
        <v>1398</v>
      </c>
      <c r="Z722" s="117" t="n">
        <v>61494</v>
      </c>
      <c r="AB722" s="117" t="s">
        <v>2278</v>
      </c>
      <c r="AD722" s="117" t="n">
        <v>110000</v>
      </c>
      <c r="AE722" s="117" t="s">
        <v>1966</v>
      </c>
      <c r="AF722" s="117" t="n">
        <v>110000</v>
      </c>
      <c r="AG722" s="117" t="s">
        <v>1966</v>
      </c>
      <c r="AI722" s="117" t="n">
        <v>110000</v>
      </c>
      <c r="AJ722" s="117" t="s">
        <v>1966</v>
      </c>
      <c r="AK722" s="117" t="n">
        <v>0</v>
      </c>
      <c r="AL722" s="117" t="n">
        <v>4</v>
      </c>
      <c r="AM722" s="117" t="s">
        <v>161</v>
      </c>
      <c r="AP722" s="117" t="n">
        <v>100199787</v>
      </c>
      <c r="AQ722" s="118" t="n">
        <v>43829</v>
      </c>
      <c r="AR722" s="118" t="n">
        <v>43766</v>
      </c>
      <c r="AS722" s="117" t="n">
        <v>0.340451388888889</v>
      </c>
      <c r="AT722" s="117" t="n">
        <v>0</v>
      </c>
      <c r="AU722" s="117" t="n">
        <v>0</v>
      </c>
      <c r="AX722" s="117" t="n">
        <v>5</v>
      </c>
    </row>
    <row r="723" customFormat="false" ht="13.8" hidden="true" customHeight="false" outlineLevel="0" collapsed="false">
      <c r="A723" s="117" t="n">
        <v>1000</v>
      </c>
      <c r="B723" s="117" t="s">
        <v>1962</v>
      </c>
      <c r="C723" s="117" t="n">
        <v>1600000288</v>
      </c>
      <c r="D723" s="117" t="s">
        <v>2356</v>
      </c>
      <c r="E723" s="117" t="s">
        <v>1987</v>
      </c>
      <c r="F723" s="117" t="n">
        <v>1101</v>
      </c>
      <c r="G723" s="117" t="n">
        <v>2019</v>
      </c>
      <c r="H723" s="117" t="n">
        <v>8</v>
      </c>
      <c r="I723" s="118" t="n">
        <v>43795</v>
      </c>
      <c r="J723" s="118" t="n">
        <v>43795</v>
      </c>
      <c r="K723" s="119" t="n">
        <v>-2739</v>
      </c>
      <c r="L723" s="128" t="n">
        <f aca="false">K723-Q723+T723</f>
        <v>-2739</v>
      </c>
      <c r="M723" s="117" t="s">
        <v>149</v>
      </c>
      <c r="N723" s="117" t="n">
        <v>-2739</v>
      </c>
      <c r="O723" s="117" t="s">
        <v>149</v>
      </c>
      <c r="P723" s="117" t="n">
        <v>-2739</v>
      </c>
      <c r="Q723" s="117" t="n">
        <v>0</v>
      </c>
      <c r="R723" s="117" t="n">
        <v>-2739</v>
      </c>
      <c r="S723" s="117" t="n">
        <v>0</v>
      </c>
      <c r="T723" s="117" t="n">
        <v>0</v>
      </c>
      <c r="U723" s="117" t="n">
        <v>312193</v>
      </c>
      <c r="V723" s="117" t="s">
        <v>1963</v>
      </c>
      <c r="X723" s="117" t="s">
        <v>2398</v>
      </c>
      <c r="Y723" s="117" t="s">
        <v>2358</v>
      </c>
      <c r="Z723" s="117" t="n">
        <v>1600000288</v>
      </c>
      <c r="AD723" s="117" t="n">
        <v>310300</v>
      </c>
      <c r="AE723" s="117" t="s">
        <v>1969</v>
      </c>
      <c r="AF723" s="117" t="n">
        <v>111201</v>
      </c>
      <c r="AG723" s="117" t="s">
        <v>2165</v>
      </c>
      <c r="AI723" s="117" t="n">
        <v>111201</v>
      </c>
      <c r="AJ723" s="117" t="s">
        <v>2165</v>
      </c>
      <c r="AK723" s="117" t="n">
        <v>0</v>
      </c>
      <c r="AL723" s="117" t="n">
        <v>19</v>
      </c>
      <c r="AM723" s="117" t="s">
        <v>225</v>
      </c>
      <c r="AN723" s="117" t="s">
        <v>1978</v>
      </c>
      <c r="AP723" s="117" t="n">
        <v>100173563</v>
      </c>
      <c r="AQ723" s="118" t="n">
        <v>43799</v>
      </c>
      <c r="AR723" s="118" t="n">
        <v>43795</v>
      </c>
      <c r="AS723" s="117" t="n">
        <v>0.285</v>
      </c>
      <c r="AT723" s="117" t="n">
        <v>0</v>
      </c>
      <c r="AU723" s="117" t="n">
        <v>0</v>
      </c>
      <c r="AX723" s="117" t="n">
        <v>31</v>
      </c>
    </row>
    <row r="724" customFormat="false" ht="13.8" hidden="true" customHeight="false" outlineLevel="0" collapsed="false">
      <c r="A724" s="117" t="n">
        <v>1000</v>
      </c>
      <c r="B724" s="117" t="s">
        <v>1962</v>
      </c>
      <c r="C724" s="117" t="n">
        <v>1600000315</v>
      </c>
      <c r="D724" s="117" t="s">
        <v>2354</v>
      </c>
      <c r="E724" s="117" t="s">
        <v>1987</v>
      </c>
      <c r="F724" s="117" t="n">
        <v>1101</v>
      </c>
      <c r="G724" s="117" t="n">
        <v>2019</v>
      </c>
      <c r="H724" s="117" t="n">
        <v>8</v>
      </c>
      <c r="I724" s="118" t="n">
        <v>43798</v>
      </c>
      <c r="J724" s="118" t="n">
        <v>43798</v>
      </c>
      <c r="K724" s="119" t="n">
        <v>-7854</v>
      </c>
      <c r="L724" s="128" t="n">
        <f aca="false">K724-Q724+T724</f>
        <v>-7854</v>
      </c>
      <c r="M724" s="117" t="s">
        <v>149</v>
      </c>
      <c r="N724" s="117" t="n">
        <v>-7854</v>
      </c>
      <c r="O724" s="117" t="s">
        <v>149</v>
      </c>
      <c r="P724" s="117" t="n">
        <v>-7854</v>
      </c>
      <c r="Q724" s="117" t="n">
        <v>0</v>
      </c>
      <c r="R724" s="117" t="n">
        <v>-7854</v>
      </c>
      <c r="S724" s="117" t="n">
        <v>0</v>
      </c>
      <c r="T724" s="117" t="n">
        <v>0</v>
      </c>
      <c r="U724" s="117" t="n">
        <v>312193</v>
      </c>
      <c r="V724" s="117" t="s">
        <v>1963</v>
      </c>
      <c r="X724" s="117" t="s">
        <v>2399</v>
      </c>
      <c r="Y724" s="117" t="s">
        <v>2354</v>
      </c>
      <c r="Z724" s="117" t="n">
        <v>1600000315</v>
      </c>
      <c r="AD724" s="117" t="n">
        <v>310300</v>
      </c>
      <c r="AE724" s="117" t="s">
        <v>1969</v>
      </c>
      <c r="AF724" s="117" t="n">
        <v>111201</v>
      </c>
      <c r="AG724" s="117" t="s">
        <v>2165</v>
      </c>
      <c r="AI724" s="117" t="n">
        <v>111201</v>
      </c>
      <c r="AJ724" s="117" t="s">
        <v>2165</v>
      </c>
      <c r="AK724" s="117" t="n">
        <v>0</v>
      </c>
      <c r="AL724" s="117" t="n">
        <v>19</v>
      </c>
      <c r="AM724" s="117" t="s">
        <v>225</v>
      </c>
      <c r="AN724" s="117" t="s">
        <v>1978</v>
      </c>
      <c r="AP724" s="117" t="n">
        <v>100173563</v>
      </c>
      <c r="AQ724" s="118" t="n">
        <v>43799</v>
      </c>
      <c r="AR724" s="118" t="n">
        <v>43798</v>
      </c>
      <c r="AS724" s="117" t="n">
        <v>0.954837962962963</v>
      </c>
      <c r="AT724" s="117" t="n">
        <v>0</v>
      </c>
      <c r="AU724" s="117" t="n">
        <v>0</v>
      </c>
      <c r="AX724" s="117" t="n">
        <v>34</v>
      </c>
    </row>
    <row r="725" s="106" customFormat="true" ht="13.8" hidden="true" customHeight="false" outlineLevel="0" collapsed="false">
      <c r="A725" s="106" t="n">
        <v>1000</v>
      </c>
      <c r="B725" s="106" t="s">
        <v>1962</v>
      </c>
      <c r="C725" s="106" t="n">
        <v>108625</v>
      </c>
      <c r="D725" s="106" t="s">
        <v>2400</v>
      </c>
      <c r="E725" s="106" t="s">
        <v>1970</v>
      </c>
      <c r="F725" s="106" t="n">
        <v>1109</v>
      </c>
      <c r="G725" s="106" t="n">
        <v>2019</v>
      </c>
      <c r="H725" s="106" t="n">
        <v>7</v>
      </c>
      <c r="I725" s="129" t="n">
        <v>43769</v>
      </c>
      <c r="J725" s="129" t="n">
        <v>43769</v>
      </c>
      <c r="K725" s="107" t="n">
        <v>255509.38</v>
      </c>
      <c r="L725" s="130" t="n">
        <f aca="false">K725-Q725+T725</f>
        <v>216533.38</v>
      </c>
      <c r="M725" s="106" t="s">
        <v>149</v>
      </c>
      <c r="N725" s="106" t="n">
        <v>255509.38</v>
      </c>
      <c r="O725" s="106" t="s">
        <v>149</v>
      </c>
      <c r="P725" s="106" t="n">
        <v>0</v>
      </c>
      <c r="Q725" s="107" t="n">
        <v>38976</v>
      </c>
      <c r="R725" s="106" t="n">
        <v>216533.38</v>
      </c>
      <c r="S725" s="106" t="n">
        <v>0</v>
      </c>
      <c r="T725" s="106" t="n">
        <v>0</v>
      </c>
      <c r="U725" s="106" t="n">
        <v>310187</v>
      </c>
      <c r="V725" s="106" t="s">
        <v>2394</v>
      </c>
      <c r="Z725" s="106" t="n">
        <v>61379</v>
      </c>
      <c r="AB725" s="106" t="s">
        <v>2401</v>
      </c>
      <c r="AD725" s="106" t="n">
        <v>110000</v>
      </c>
      <c r="AE725" s="106" t="s">
        <v>1966</v>
      </c>
      <c r="AF725" s="106" t="n">
        <v>501005</v>
      </c>
      <c r="AG725" s="106" t="s">
        <v>2033</v>
      </c>
      <c r="AI725" s="106" t="n">
        <v>501005</v>
      </c>
      <c r="AJ725" s="106" t="s">
        <v>2033</v>
      </c>
      <c r="AK725" s="106" t="n">
        <v>0</v>
      </c>
      <c r="AL725" s="106" t="n">
        <v>1</v>
      </c>
      <c r="AM725" s="106" t="s">
        <v>161</v>
      </c>
      <c r="AP725" s="106" t="n">
        <v>100143928</v>
      </c>
      <c r="AQ725" s="129" t="n">
        <v>43769</v>
      </c>
      <c r="AR725" s="129" t="n">
        <v>43769</v>
      </c>
      <c r="AS725" s="106" t="n">
        <v>0.738229166666667</v>
      </c>
      <c r="AT725" s="106" t="n">
        <v>0</v>
      </c>
      <c r="AU725" s="106" t="n">
        <v>0</v>
      </c>
      <c r="AX725" s="106" t="n">
        <v>1</v>
      </c>
      <c r="ALU725" s="0"/>
      <c r="ALV725" s="0"/>
      <c r="ALW725" s="0"/>
      <c r="ALX725" s="0"/>
      <c r="ALY725" s="0"/>
      <c r="ALZ725" s="0"/>
      <c r="AMA725" s="0"/>
      <c r="AMB725" s="0"/>
      <c r="AMC725" s="0"/>
      <c r="AMD725" s="0"/>
      <c r="AME725" s="0"/>
      <c r="AMF725" s="0"/>
      <c r="AMG725" s="0"/>
      <c r="AMH725" s="0"/>
      <c r="AMI725" s="0"/>
      <c r="AMJ725" s="0"/>
    </row>
    <row r="726" customFormat="false" ht="13.8" hidden="true" customHeight="false" outlineLevel="0" collapsed="false">
      <c r="A726" s="117" t="n">
        <v>1000</v>
      </c>
      <c r="B726" s="117" t="s">
        <v>1962</v>
      </c>
      <c r="C726" s="117" t="n">
        <v>100199787</v>
      </c>
      <c r="E726" s="117" t="s">
        <v>1921</v>
      </c>
      <c r="F726" s="117" t="n">
        <v>1109</v>
      </c>
      <c r="G726" s="117" t="n">
        <v>2019</v>
      </c>
      <c r="H726" s="117" t="n">
        <v>9</v>
      </c>
      <c r="I726" s="118" t="n">
        <v>43829</v>
      </c>
      <c r="J726" s="118" t="n">
        <v>43829</v>
      </c>
      <c r="K726" s="119" t="n">
        <v>-2221397.2</v>
      </c>
      <c r="L726" s="128" t="n">
        <f aca="false">K726-Q726+T726</f>
        <v>-2221397.2</v>
      </c>
      <c r="M726" s="117" t="s">
        <v>149</v>
      </c>
      <c r="N726" s="117" t="n">
        <v>-2221397.2</v>
      </c>
      <c r="O726" s="117" t="s">
        <v>149</v>
      </c>
      <c r="P726" s="117" t="n">
        <v>0</v>
      </c>
      <c r="Q726" s="117" t="n">
        <v>0</v>
      </c>
      <c r="R726" s="117" t="n">
        <v>-2221397.2</v>
      </c>
      <c r="S726" s="117" t="n">
        <v>0</v>
      </c>
      <c r="T726" s="117" t="n">
        <v>0</v>
      </c>
      <c r="U726" s="117" t="n">
        <v>305576</v>
      </c>
      <c r="V726" s="117" t="s">
        <v>1973</v>
      </c>
      <c r="Z726" s="117" t="n">
        <v>100199787</v>
      </c>
      <c r="AD726" s="117" t="n">
        <v>110000</v>
      </c>
      <c r="AE726" s="117" t="s">
        <v>1966</v>
      </c>
      <c r="AF726" s="117" t="n">
        <v>310300</v>
      </c>
      <c r="AG726" s="117" t="s">
        <v>1969</v>
      </c>
      <c r="AI726" s="117" t="n">
        <v>310300</v>
      </c>
      <c r="AJ726" s="117" t="s">
        <v>1969</v>
      </c>
      <c r="AK726" s="117" t="n">
        <v>0</v>
      </c>
      <c r="AL726" s="117" t="n">
        <v>17</v>
      </c>
      <c r="AM726" s="117" t="s">
        <v>225</v>
      </c>
      <c r="AP726" s="117" t="n">
        <v>100199787</v>
      </c>
      <c r="AQ726" s="118" t="n">
        <v>43829</v>
      </c>
      <c r="AR726" s="118" t="n">
        <v>43830</v>
      </c>
      <c r="AS726" s="117" t="n">
        <v>0.264189814814815</v>
      </c>
      <c r="AT726" s="117" t="n">
        <v>0</v>
      </c>
      <c r="AU726" s="117" t="n">
        <v>0</v>
      </c>
      <c r="AX726" s="117" t="n">
        <v>1</v>
      </c>
    </row>
    <row r="727" customFormat="false" ht="13.8" hidden="true" customHeight="false" outlineLevel="0" collapsed="false">
      <c r="A727" s="117" t="n">
        <v>1000</v>
      </c>
      <c r="B727" s="117" t="s">
        <v>1962</v>
      </c>
      <c r="C727" s="117" t="n">
        <v>1400008154</v>
      </c>
      <c r="E727" s="117" t="s">
        <v>1972</v>
      </c>
      <c r="F727" s="117" t="n">
        <v>1101</v>
      </c>
      <c r="G727" s="117" t="n">
        <v>2019</v>
      </c>
      <c r="H727" s="117" t="n">
        <v>8</v>
      </c>
      <c r="I727" s="118" t="n">
        <v>43798</v>
      </c>
      <c r="J727" s="118" t="n">
        <v>43798</v>
      </c>
      <c r="K727" s="119" t="n">
        <v>-440540.73</v>
      </c>
      <c r="L727" s="128" t="n">
        <f aca="false">K727-Q727+T727</f>
        <v>-440540.73</v>
      </c>
      <c r="M727" s="117" t="s">
        <v>149</v>
      </c>
      <c r="N727" s="117" t="n">
        <v>-440540.73</v>
      </c>
      <c r="O727" s="117" t="s">
        <v>149</v>
      </c>
      <c r="P727" s="117" t="n">
        <v>0</v>
      </c>
      <c r="Q727" s="117" t="n">
        <v>0</v>
      </c>
      <c r="R727" s="117" t="n">
        <v>-440540.73</v>
      </c>
      <c r="S727" s="117" t="n">
        <v>0</v>
      </c>
      <c r="T727" s="117" t="n">
        <v>0</v>
      </c>
      <c r="U727" s="117" t="n">
        <v>315113</v>
      </c>
      <c r="V727" s="117" t="s">
        <v>143</v>
      </c>
      <c r="X727" s="117" t="s">
        <v>2402</v>
      </c>
      <c r="Y727" s="117" t="s">
        <v>2402</v>
      </c>
      <c r="Z727" s="117" t="n">
        <v>1400008154</v>
      </c>
      <c r="AC727" s="117" t="s">
        <v>1976</v>
      </c>
      <c r="AD727" s="117" t="n">
        <v>310300</v>
      </c>
      <c r="AE727" s="117" t="s">
        <v>1969</v>
      </c>
      <c r="AF727" s="117" t="n">
        <v>101105</v>
      </c>
      <c r="AG727" s="117" t="s">
        <v>1977</v>
      </c>
      <c r="AI727" s="117" t="n">
        <v>101105</v>
      </c>
      <c r="AJ727" s="117" t="s">
        <v>1977</v>
      </c>
      <c r="AK727" s="117" t="n">
        <v>0</v>
      </c>
      <c r="AL727" s="117" t="n">
        <v>19</v>
      </c>
      <c r="AM727" s="117" t="s">
        <v>225</v>
      </c>
      <c r="AN727" s="117" t="s">
        <v>1978</v>
      </c>
      <c r="AP727" s="117" t="n">
        <v>100173566</v>
      </c>
      <c r="AQ727" s="118" t="n">
        <v>43799</v>
      </c>
      <c r="AR727" s="118" t="n">
        <v>43799</v>
      </c>
      <c r="AS727" s="117" t="n">
        <v>0.359016203703704</v>
      </c>
      <c r="AT727" s="117" t="n">
        <v>0</v>
      </c>
      <c r="AU727" s="117" t="n">
        <v>0</v>
      </c>
      <c r="AX727" s="117" t="n">
        <v>2</v>
      </c>
    </row>
    <row r="728" s="106" customFormat="true" ht="13.8" hidden="true" customHeight="false" outlineLevel="0" collapsed="false">
      <c r="A728" s="106" t="n">
        <v>1000</v>
      </c>
      <c r="B728" s="106" t="s">
        <v>1962</v>
      </c>
      <c r="C728" s="106" t="n">
        <v>110887</v>
      </c>
      <c r="D728" s="106" t="s">
        <v>2403</v>
      </c>
      <c r="E728" s="106" t="s">
        <v>1970</v>
      </c>
      <c r="F728" s="106" t="n">
        <v>1112</v>
      </c>
      <c r="G728" s="106" t="n">
        <v>2019</v>
      </c>
      <c r="H728" s="106" t="n">
        <v>9</v>
      </c>
      <c r="I728" s="129" t="n">
        <v>43828</v>
      </c>
      <c r="J728" s="129" t="n">
        <v>43828</v>
      </c>
      <c r="K728" s="107" t="n">
        <v>8492.93</v>
      </c>
      <c r="L728" s="130" t="n">
        <f aca="false">K728-Q728+T728</f>
        <v>7197.4</v>
      </c>
      <c r="M728" s="106" t="s">
        <v>149</v>
      </c>
      <c r="N728" s="106" t="n">
        <v>8492.93</v>
      </c>
      <c r="O728" s="106" t="s">
        <v>149</v>
      </c>
      <c r="P728" s="106" t="n">
        <v>0</v>
      </c>
      <c r="Q728" s="107" t="n">
        <v>1295.53</v>
      </c>
      <c r="R728" s="106" t="n">
        <v>7197.4</v>
      </c>
      <c r="S728" s="106" t="n">
        <v>0</v>
      </c>
      <c r="T728" s="106" t="n">
        <v>0</v>
      </c>
      <c r="U728" s="106" t="n">
        <v>312193</v>
      </c>
      <c r="V728" s="106" t="s">
        <v>1963</v>
      </c>
      <c r="Z728" s="106" t="n">
        <v>62393</v>
      </c>
      <c r="AB728" s="106" t="s">
        <v>2350</v>
      </c>
      <c r="AD728" s="106" t="n">
        <v>110000</v>
      </c>
      <c r="AE728" s="106" t="s">
        <v>1966</v>
      </c>
      <c r="AF728" s="106" t="n">
        <v>501005</v>
      </c>
      <c r="AG728" s="106" t="s">
        <v>2033</v>
      </c>
      <c r="AI728" s="106" t="n">
        <v>501005</v>
      </c>
      <c r="AJ728" s="106" t="s">
        <v>2033</v>
      </c>
      <c r="AK728" s="106" t="n">
        <v>0</v>
      </c>
      <c r="AL728" s="106" t="n">
        <v>1</v>
      </c>
      <c r="AM728" s="106" t="s">
        <v>161</v>
      </c>
      <c r="AP728" s="106" t="n">
        <v>100199799</v>
      </c>
      <c r="AQ728" s="129" t="n">
        <v>43830</v>
      </c>
      <c r="AR728" s="129" t="n">
        <v>43828</v>
      </c>
      <c r="AS728" s="106" t="n">
        <v>0.765358796296296</v>
      </c>
      <c r="AT728" s="106" t="n">
        <v>0</v>
      </c>
      <c r="AU728" s="106" t="n">
        <v>0</v>
      </c>
      <c r="AX728" s="106" t="n">
        <v>1</v>
      </c>
      <c r="ALU728" s="0"/>
      <c r="ALV728" s="0"/>
      <c r="ALW728" s="0"/>
      <c r="ALX728" s="0"/>
      <c r="ALY728" s="0"/>
      <c r="ALZ728" s="0"/>
      <c r="AMA728" s="0"/>
      <c r="AMB728" s="0"/>
      <c r="AMC728" s="0"/>
      <c r="AMD728" s="0"/>
      <c r="AME728" s="0"/>
      <c r="AMF728" s="0"/>
      <c r="AMG728" s="0"/>
      <c r="AMH728" s="0"/>
      <c r="AMI728" s="0"/>
      <c r="AMJ728" s="0"/>
    </row>
    <row r="729" customFormat="false" ht="13.8" hidden="true" customHeight="false" outlineLevel="0" collapsed="false">
      <c r="A729" s="117" t="n">
        <v>1000</v>
      </c>
      <c r="B729" s="117" t="s">
        <v>1962</v>
      </c>
      <c r="C729" s="117" t="n">
        <v>100210316</v>
      </c>
      <c r="E729" s="117" t="s">
        <v>1921</v>
      </c>
      <c r="F729" s="117" t="n">
        <v>1112</v>
      </c>
      <c r="G729" s="117" t="n">
        <v>2019</v>
      </c>
      <c r="H729" s="117" t="n">
        <v>9</v>
      </c>
      <c r="I729" s="118" t="n">
        <v>43830</v>
      </c>
      <c r="J729" s="118" t="n">
        <v>43830</v>
      </c>
      <c r="K729" s="119" t="n">
        <v>3300649.75</v>
      </c>
      <c r="L729" s="128" t="n">
        <f aca="false">K729-Q729+T729</f>
        <v>3300649.75</v>
      </c>
      <c r="M729" s="117" t="s">
        <v>149</v>
      </c>
      <c r="N729" s="117" t="n">
        <v>3300649.75</v>
      </c>
      <c r="O729" s="117" t="s">
        <v>149</v>
      </c>
      <c r="P729" s="117" t="n">
        <v>0</v>
      </c>
      <c r="Q729" s="117" t="n">
        <v>0</v>
      </c>
      <c r="R729" s="117" t="n">
        <v>3300649.75</v>
      </c>
      <c r="S729" s="117" t="n">
        <v>0</v>
      </c>
      <c r="T729" s="117" t="n">
        <v>0</v>
      </c>
      <c r="U729" s="117" t="n">
        <v>311155</v>
      </c>
      <c r="V729" s="117" t="s">
        <v>2022</v>
      </c>
      <c r="Z729" s="117" t="n">
        <v>100210316</v>
      </c>
      <c r="AD729" s="117" t="n">
        <v>310300</v>
      </c>
      <c r="AE729" s="117" t="s">
        <v>1969</v>
      </c>
      <c r="AF729" s="117" t="n">
        <v>110000</v>
      </c>
      <c r="AG729" s="117" t="s">
        <v>1966</v>
      </c>
      <c r="AI729" s="117" t="n">
        <v>110000</v>
      </c>
      <c r="AJ729" s="117" t="s">
        <v>1966</v>
      </c>
      <c r="AK729" s="117" t="n">
        <v>0</v>
      </c>
      <c r="AL729" s="117" t="n">
        <v>9</v>
      </c>
      <c r="AM729" s="117" t="s">
        <v>161</v>
      </c>
      <c r="AN729" s="117" t="s">
        <v>1978</v>
      </c>
      <c r="AP729" s="117" t="n">
        <v>100210316</v>
      </c>
      <c r="AQ729" s="118" t="n">
        <v>43830</v>
      </c>
      <c r="AR729" s="118" t="n">
        <v>43831</v>
      </c>
      <c r="AS729" s="117" t="n">
        <v>0.444108796296296</v>
      </c>
      <c r="AT729" s="117" t="n">
        <v>0</v>
      </c>
      <c r="AU729" s="117" t="n">
        <v>0</v>
      </c>
      <c r="AX729" s="117" t="n">
        <v>3</v>
      </c>
    </row>
    <row r="730" customFormat="false" ht="13.8" hidden="true" customHeight="false" outlineLevel="0" collapsed="false">
      <c r="A730" s="117" t="n">
        <v>1000</v>
      </c>
      <c r="B730" s="117" t="s">
        <v>1962</v>
      </c>
      <c r="C730" s="117" t="n">
        <v>100143915</v>
      </c>
      <c r="E730" s="117" t="s">
        <v>1921</v>
      </c>
      <c r="F730" s="117" t="n">
        <v>1106</v>
      </c>
      <c r="G730" s="117" t="n">
        <v>2019</v>
      </c>
      <c r="H730" s="117" t="n">
        <v>7</v>
      </c>
      <c r="I730" s="118" t="n">
        <v>43769</v>
      </c>
      <c r="J730" s="118" t="n">
        <v>43769</v>
      </c>
      <c r="K730" s="119" t="n">
        <v>1592.6</v>
      </c>
      <c r="L730" s="128" t="n">
        <f aca="false">K730-Q730+T730</f>
        <v>1592.6</v>
      </c>
      <c r="M730" s="117" t="s">
        <v>149</v>
      </c>
      <c r="N730" s="117" t="n">
        <v>1592.6</v>
      </c>
      <c r="O730" s="117" t="s">
        <v>149</v>
      </c>
      <c r="P730" s="117" t="n">
        <v>0</v>
      </c>
      <c r="Q730" s="117" t="n">
        <v>0</v>
      </c>
      <c r="R730" s="117" t="n">
        <v>1592.6</v>
      </c>
      <c r="S730" s="117" t="n">
        <v>0</v>
      </c>
      <c r="T730" s="117" t="n">
        <v>0</v>
      </c>
      <c r="U730" s="117" t="n">
        <v>304431</v>
      </c>
      <c r="V730" s="117" t="s">
        <v>2016</v>
      </c>
      <c r="Z730" s="117" t="n">
        <v>100143915</v>
      </c>
      <c r="AD730" s="117" t="n">
        <v>310300</v>
      </c>
      <c r="AE730" s="117" t="s">
        <v>1969</v>
      </c>
      <c r="AF730" s="117" t="n">
        <v>110000</v>
      </c>
      <c r="AG730" s="117" t="s">
        <v>1966</v>
      </c>
      <c r="AI730" s="117" t="n">
        <v>110000</v>
      </c>
      <c r="AJ730" s="117" t="s">
        <v>1966</v>
      </c>
      <c r="AK730" s="117" t="n">
        <v>0</v>
      </c>
      <c r="AL730" s="117" t="n">
        <v>9</v>
      </c>
      <c r="AM730" s="117" t="s">
        <v>161</v>
      </c>
      <c r="AN730" s="117" t="s">
        <v>1978</v>
      </c>
      <c r="AP730" s="117" t="n">
        <v>100143915</v>
      </c>
      <c r="AQ730" s="118" t="n">
        <v>43769</v>
      </c>
      <c r="AR730" s="118" t="n">
        <v>43770</v>
      </c>
      <c r="AS730" s="117" t="n">
        <v>0.188275462962963</v>
      </c>
      <c r="AT730" s="117" t="n">
        <v>0</v>
      </c>
      <c r="AU730" s="117" t="n">
        <v>0</v>
      </c>
      <c r="AX730" s="117" t="n">
        <v>5</v>
      </c>
    </row>
    <row r="731" s="106" customFormat="true" ht="13.8" hidden="true" customHeight="false" outlineLevel="0" collapsed="false">
      <c r="A731" s="106" t="n">
        <v>1000</v>
      </c>
      <c r="B731" s="106" t="s">
        <v>1962</v>
      </c>
      <c r="C731" s="106" t="n">
        <v>107704</v>
      </c>
      <c r="D731" s="106" t="s">
        <v>2404</v>
      </c>
      <c r="E731" s="106" t="s">
        <v>1970</v>
      </c>
      <c r="F731" s="106" t="n">
        <v>1101</v>
      </c>
      <c r="G731" s="106" t="n">
        <v>2019</v>
      </c>
      <c r="H731" s="106" t="n">
        <v>7</v>
      </c>
      <c r="I731" s="129" t="n">
        <v>43747</v>
      </c>
      <c r="J731" s="129" t="n">
        <v>43747</v>
      </c>
      <c r="K731" s="107" t="n">
        <v>70003.45</v>
      </c>
      <c r="L731" s="130" t="n">
        <f aca="false">K731-Q731+T731</f>
        <v>59324.95</v>
      </c>
      <c r="M731" s="106" t="s">
        <v>149</v>
      </c>
      <c r="N731" s="106" t="n">
        <v>70003.45</v>
      </c>
      <c r="O731" s="106" t="s">
        <v>149</v>
      </c>
      <c r="P731" s="106" t="n">
        <v>0</v>
      </c>
      <c r="Q731" s="107" t="n">
        <v>10678.5</v>
      </c>
      <c r="R731" s="107" t="n">
        <v>59324.95</v>
      </c>
      <c r="S731" s="106" t="n">
        <v>0</v>
      </c>
      <c r="T731" s="106" t="n">
        <v>0</v>
      </c>
      <c r="U731" s="106" t="n">
        <v>318999</v>
      </c>
      <c r="V731" s="106" t="s">
        <v>143</v>
      </c>
      <c r="Z731" s="106" t="n">
        <v>61350</v>
      </c>
      <c r="AB731" s="106" t="n">
        <v>2300050954</v>
      </c>
      <c r="AD731" s="106" t="n">
        <v>110000</v>
      </c>
      <c r="AE731" s="106" t="s">
        <v>1966</v>
      </c>
      <c r="AF731" s="106" t="n">
        <v>501000</v>
      </c>
      <c r="AG731" s="106" t="s">
        <v>2170</v>
      </c>
      <c r="AI731" s="106" t="n">
        <v>501000</v>
      </c>
      <c r="AJ731" s="106" t="s">
        <v>2170</v>
      </c>
      <c r="AK731" s="106" t="n">
        <v>0</v>
      </c>
      <c r="AL731" s="106" t="n">
        <v>1</v>
      </c>
      <c r="AM731" s="106" t="s">
        <v>161</v>
      </c>
      <c r="AP731" s="106" t="n">
        <v>100141514</v>
      </c>
      <c r="AQ731" s="129" t="n">
        <v>43766</v>
      </c>
      <c r="AR731" s="129" t="n">
        <v>43748</v>
      </c>
      <c r="AS731" s="106" t="n">
        <v>0.713946759259259</v>
      </c>
      <c r="AT731" s="106" t="n">
        <v>0</v>
      </c>
      <c r="AU731" s="106" t="n">
        <v>0</v>
      </c>
      <c r="AX731" s="106" t="n">
        <v>1</v>
      </c>
      <c r="ALU731" s="0"/>
      <c r="ALV731" s="0"/>
      <c r="ALW731" s="0"/>
      <c r="ALX731" s="0"/>
      <c r="ALY731" s="0"/>
      <c r="ALZ731" s="0"/>
      <c r="AMA731" s="0"/>
      <c r="AMB731" s="0"/>
      <c r="AMC731" s="0"/>
      <c r="AMD731" s="0"/>
      <c r="AME731" s="0"/>
      <c r="AMF731" s="0"/>
      <c r="AMG731" s="0"/>
      <c r="AMH731" s="0"/>
      <c r="AMI731" s="0"/>
      <c r="AMJ731" s="0"/>
    </row>
    <row r="732" customFormat="false" ht="13.8" hidden="true" customHeight="false" outlineLevel="0" collapsed="false">
      <c r="A732" s="117" t="n">
        <v>1000</v>
      </c>
      <c r="B732" s="117" t="s">
        <v>1962</v>
      </c>
      <c r="C732" s="117" t="n">
        <v>100141449</v>
      </c>
      <c r="E732" s="117" t="s">
        <v>1921</v>
      </c>
      <c r="F732" s="117" t="n">
        <v>1109</v>
      </c>
      <c r="G732" s="117" t="n">
        <v>2019</v>
      </c>
      <c r="H732" s="117" t="n">
        <v>7</v>
      </c>
      <c r="I732" s="118" t="n">
        <v>43766</v>
      </c>
      <c r="J732" s="118" t="n">
        <v>43766</v>
      </c>
      <c r="K732" s="119" t="n">
        <v>83260.8</v>
      </c>
      <c r="L732" s="128" t="n">
        <f aca="false">K732-Q732+T732</f>
        <v>83260.8</v>
      </c>
      <c r="M732" s="117" t="s">
        <v>149</v>
      </c>
      <c r="N732" s="117" t="n">
        <v>83260.8</v>
      </c>
      <c r="O732" s="117" t="s">
        <v>149</v>
      </c>
      <c r="P732" s="117" t="n">
        <v>0</v>
      </c>
      <c r="Q732" s="117" t="n">
        <v>0</v>
      </c>
      <c r="R732" s="117" t="n">
        <v>83260.8</v>
      </c>
      <c r="S732" s="117" t="n">
        <v>0</v>
      </c>
      <c r="T732" s="117" t="n">
        <v>0</v>
      </c>
      <c r="U732" s="117" t="n">
        <v>312193</v>
      </c>
      <c r="V732" s="117" t="s">
        <v>1963</v>
      </c>
      <c r="X732" s="117" t="s">
        <v>1819</v>
      </c>
      <c r="Z732" s="117" t="n">
        <v>60959</v>
      </c>
      <c r="AB732" s="117" t="s">
        <v>2124</v>
      </c>
      <c r="AD732" s="117" t="n">
        <v>110000</v>
      </c>
      <c r="AE732" s="117" t="s">
        <v>1966</v>
      </c>
      <c r="AF732" s="117" t="n">
        <v>110000</v>
      </c>
      <c r="AG732" s="117" t="s">
        <v>1966</v>
      </c>
      <c r="AI732" s="117" t="n">
        <v>110000</v>
      </c>
      <c r="AJ732" s="117" t="s">
        <v>1966</v>
      </c>
      <c r="AK732" s="117" t="n">
        <v>0</v>
      </c>
      <c r="AL732" s="117" t="n">
        <v>4</v>
      </c>
      <c r="AM732" s="117" t="s">
        <v>161</v>
      </c>
      <c r="AR732" s="118" t="n">
        <v>43766</v>
      </c>
      <c r="AS732" s="117" t="n">
        <v>0.371388888888889</v>
      </c>
      <c r="AT732" s="117" t="n">
        <v>0</v>
      </c>
      <c r="AU732" s="117" t="n">
        <v>0</v>
      </c>
      <c r="AX732" s="117" t="n">
        <v>12</v>
      </c>
    </row>
    <row r="733" customFormat="false" ht="13.8" hidden="true" customHeight="false" outlineLevel="0" collapsed="false">
      <c r="A733" s="117" t="n">
        <v>1000</v>
      </c>
      <c r="B733" s="117" t="s">
        <v>1962</v>
      </c>
      <c r="C733" s="117" t="n">
        <v>100141449</v>
      </c>
      <c r="E733" s="117" t="s">
        <v>1921</v>
      </c>
      <c r="F733" s="117" t="n">
        <v>1109</v>
      </c>
      <c r="G733" s="117" t="n">
        <v>2019</v>
      </c>
      <c r="H733" s="117" t="n">
        <v>7</v>
      </c>
      <c r="I733" s="118" t="n">
        <v>43766</v>
      </c>
      <c r="J733" s="118" t="n">
        <v>43766</v>
      </c>
      <c r="K733" s="119" t="n">
        <v>8496</v>
      </c>
      <c r="L733" s="128" t="n">
        <f aca="false">K733-Q733+T733</f>
        <v>8496</v>
      </c>
      <c r="M733" s="117" t="s">
        <v>149</v>
      </c>
      <c r="N733" s="117" t="n">
        <v>8496</v>
      </c>
      <c r="O733" s="117" t="s">
        <v>149</v>
      </c>
      <c r="P733" s="117" t="n">
        <v>0</v>
      </c>
      <c r="Q733" s="117" t="n">
        <v>0</v>
      </c>
      <c r="R733" s="117" t="n">
        <v>8496</v>
      </c>
      <c r="S733" s="117" t="n">
        <v>0</v>
      </c>
      <c r="T733" s="117" t="n">
        <v>0</v>
      </c>
      <c r="U733" s="117" t="n">
        <v>312193</v>
      </c>
      <c r="V733" s="117" t="s">
        <v>1963</v>
      </c>
      <c r="X733" s="117" t="s">
        <v>1854</v>
      </c>
      <c r="Z733" s="117" t="n">
        <v>60958</v>
      </c>
      <c r="AB733" s="117" t="s">
        <v>2124</v>
      </c>
      <c r="AD733" s="117" t="n">
        <v>110000</v>
      </c>
      <c r="AE733" s="117" t="s">
        <v>1966</v>
      </c>
      <c r="AF733" s="117" t="n">
        <v>110000</v>
      </c>
      <c r="AG733" s="117" t="s">
        <v>1966</v>
      </c>
      <c r="AI733" s="117" t="n">
        <v>110000</v>
      </c>
      <c r="AJ733" s="117" t="s">
        <v>1966</v>
      </c>
      <c r="AK733" s="117" t="n">
        <v>0</v>
      </c>
      <c r="AL733" s="117" t="n">
        <v>4</v>
      </c>
      <c r="AM733" s="117" t="s">
        <v>161</v>
      </c>
      <c r="AR733" s="118" t="n">
        <v>43766</v>
      </c>
      <c r="AS733" s="117" t="n">
        <v>0.371388888888889</v>
      </c>
      <c r="AT733" s="117" t="n">
        <v>0</v>
      </c>
      <c r="AU733" s="117" t="n">
        <v>0</v>
      </c>
      <c r="AX733" s="117" t="n">
        <v>3</v>
      </c>
    </row>
    <row r="734" customFormat="false" ht="13.8" hidden="true" customHeight="false" outlineLevel="0" collapsed="false">
      <c r="A734" s="117" t="n">
        <v>1000</v>
      </c>
      <c r="B734" s="117" t="s">
        <v>1962</v>
      </c>
      <c r="C734" s="117" t="n">
        <v>100197095</v>
      </c>
      <c r="E734" s="117" t="s">
        <v>1921</v>
      </c>
      <c r="F734" s="117" t="n">
        <v>1109</v>
      </c>
      <c r="G734" s="117" t="n">
        <v>2019</v>
      </c>
      <c r="H734" s="117" t="n">
        <v>9</v>
      </c>
      <c r="I734" s="118" t="n">
        <v>43827</v>
      </c>
      <c r="J734" s="118" t="n">
        <v>43827</v>
      </c>
      <c r="K734" s="119" t="n">
        <v>-3370991.8</v>
      </c>
      <c r="L734" s="128" t="n">
        <f aca="false">K734-Q734+T734</f>
        <v>-3370991.8</v>
      </c>
      <c r="M734" s="117" t="s">
        <v>149</v>
      </c>
      <c r="N734" s="117" t="n">
        <v>-3370991.8</v>
      </c>
      <c r="O734" s="117" t="s">
        <v>149</v>
      </c>
      <c r="P734" s="117" t="n">
        <v>0</v>
      </c>
      <c r="Q734" s="117" t="n">
        <v>0</v>
      </c>
      <c r="R734" s="117" t="n">
        <v>-3370991.8</v>
      </c>
      <c r="S734" s="117" t="n">
        <v>0</v>
      </c>
      <c r="T734" s="117" t="n">
        <v>0</v>
      </c>
      <c r="U734" s="117" t="n">
        <v>311155</v>
      </c>
      <c r="V734" s="117" t="s">
        <v>2022</v>
      </c>
      <c r="Z734" s="117" t="n">
        <v>100197095</v>
      </c>
      <c r="AD734" s="117" t="n">
        <v>110000</v>
      </c>
      <c r="AE734" s="117" t="s">
        <v>1966</v>
      </c>
      <c r="AF734" s="117" t="n">
        <v>110000</v>
      </c>
      <c r="AG734" s="117" t="s">
        <v>1966</v>
      </c>
      <c r="AI734" s="117" t="n">
        <v>110000</v>
      </c>
      <c r="AJ734" s="117" t="s">
        <v>1966</v>
      </c>
      <c r="AK734" s="117" t="n">
        <v>0</v>
      </c>
      <c r="AL734" s="117" t="n">
        <v>17</v>
      </c>
      <c r="AM734" s="117" t="s">
        <v>225</v>
      </c>
      <c r="AP734" s="117" t="n">
        <v>100197095</v>
      </c>
      <c r="AQ734" s="118" t="n">
        <v>43827</v>
      </c>
      <c r="AR734" s="118" t="n">
        <v>43827</v>
      </c>
      <c r="AS734" s="117" t="n">
        <v>0.351099537037037</v>
      </c>
      <c r="AT734" s="117" t="n">
        <v>0</v>
      </c>
      <c r="AU734" s="117" t="n">
        <v>0</v>
      </c>
      <c r="AX734" s="117" t="n">
        <v>2</v>
      </c>
    </row>
    <row r="735" customFormat="false" ht="13.8" hidden="true" customHeight="false" outlineLevel="0" collapsed="false">
      <c r="A735" s="117" t="n">
        <v>1000</v>
      </c>
      <c r="B735" s="117" t="s">
        <v>1962</v>
      </c>
      <c r="C735" s="117" t="n">
        <v>100141449</v>
      </c>
      <c r="E735" s="117" t="s">
        <v>1921</v>
      </c>
      <c r="F735" s="117" t="n">
        <v>1109</v>
      </c>
      <c r="G735" s="117" t="n">
        <v>2019</v>
      </c>
      <c r="H735" s="117" t="n">
        <v>7</v>
      </c>
      <c r="I735" s="118" t="n">
        <v>43766</v>
      </c>
      <c r="J735" s="118" t="n">
        <v>43766</v>
      </c>
      <c r="K735" s="119" t="n">
        <v>1050269.35</v>
      </c>
      <c r="L735" s="128" t="n">
        <f aca="false">K735-Q735+T735</f>
        <v>1050269.35</v>
      </c>
      <c r="M735" s="117" t="s">
        <v>149</v>
      </c>
      <c r="N735" s="117" t="n">
        <v>1050269.35</v>
      </c>
      <c r="O735" s="117" t="s">
        <v>149</v>
      </c>
      <c r="P735" s="117" t="n">
        <v>0</v>
      </c>
      <c r="Q735" s="117" t="n">
        <v>0</v>
      </c>
      <c r="R735" s="117" t="n">
        <v>1050269.35</v>
      </c>
      <c r="S735" s="117" t="n">
        <v>0</v>
      </c>
      <c r="T735" s="117" t="n">
        <v>0</v>
      </c>
      <c r="U735" s="117" t="n">
        <v>312193</v>
      </c>
      <c r="V735" s="117" t="s">
        <v>1963</v>
      </c>
      <c r="X735" s="117" t="s">
        <v>2337</v>
      </c>
      <c r="Z735" s="117" t="n">
        <v>60964</v>
      </c>
      <c r="AB735" s="117" t="s">
        <v>2124</v>
      </c>
      <c r="AD735" s="117" t="n">
        <v>110000</v>
      </c>
      <c r="AE735" s="117" t="s">
        <v>1966</v>
      </c>
      <c r="AF735" s="117" t="n">
        <v>110000</v>
      </c>
      <c r="AG735" s="117" t="s">
        <v>1966</v>
      </c>
      <c r="AI735" s="117" t="n">
        <v>110000</v>
      </c>
      <c r="AJ735" s="117" t="s">
        <v>1966</v>
      </c>
      <c r="AK735" s="117" t="n">
        <v>0</v>
      </c>
      <c r="AL735" s="117" t="n">
        <v>4</v>
      </c>
      <c r="AM735" s="117" t="s">
        <v>161</v>
      </c>
      <c r="AR735" s="118" t="n">
        <v>43766</v>
      </c>
      <c r="AS735" s="117" t="n">
        <v>0.371388888888889</v>
      </c>
      <c r="AT735" s="117" t="n">
        <v>0</v>
      </c>
      <c r="AU735" s="117" t="n">
        <v>0</v>
      </c>
      <c r="AX735" s="117" t="n">
        <v>25</v>
      </c>
    </row>
    <row r="736" s="106" customFormat="true" ht="13.8" hidden="true" customHeight="false" outlineLevel="0" collapsed="false">
      <c r="A736" s="106" t="n">
        <v>1000</v>
      </c>
      <c r="B736" s="106" t="s">
        <v>1962</v>
      </c>
      <c r="C736" s="106" t="n">
        <v>109745</v>
      </c>
      <c r="D736" s="106" t="s">
        <v>1654</v>
      </c>
      <c r="E736" s="106" t="s">
        <v>1970</v>
      </c>
      <c r="F736" s="106" t="n">
        <v>1108</v>
      </c>
      <c r="G736" s="106" t="n">
        <v>2019</v>
      </c>
      <c r="H736" s="106" t="n">
        <v>8</v>
      </c>
      <c r="I736" s="129" t="n">
        <v>43799</v>
      </c>
      <c r="J736" s="129" t="n">
        <v>43799</v>
      </c>
      <c r="K736" s="107" t="n">
        <v>15340</v>
      </c>
      <c r="L736" s="130" t="n">
        <f aca="false">K736-Q736+T736</f>
        <v>13000</v>
      </c>
      <c r="M736" s="106" t="s">
        <v>149</v>
      </c>
      <c r="N736" s="106" t="n">
        <v>15340</v>
      </c>
      <c r="O736" s="106" t="s">
        <v>149</v>
      </c>
      <c r="P736" s="106" t="n">
        <v>0</v>
      </c>
      <c r="Q736" s="107" t="n">
        <v>2340</v>
      </c>
      <c r="R736" s="106" t="n">
        <v>13000</v>
      </c>
      <c r="S736" s="106" t="n">
        <v>0</v>
      </c>
      <c r="T736" s="106" t="n">
        <v>0</v>
      </c>
      <c r="U736" s="106" t="n">
        <v>312193</v>
      </c>
      <c r="V736" s="106" t="s">
        <v>1963</v>
      </c>
      <c r="Z736" s="106" t="n">
        <v>61997</v>
      </c>
      <c r="AB736" s="106" t="s">
        <v>2109</v>
      </c>
      <c r="AD736" s="106" t="n">
        <v>110000</v>
      </c>
      <c r="AE736" s="106" t="s">
        <v>1966</v>
      </c>
      <c r="AF736" s="106" t="n">
        <v>501000</v>
      </c>
      <c r="AG736" s="106" t="s">
        <v>2170</v>
      </c>
      <c r="AI736" s="106" t="n">
        <v>501000</v>
      </c>
      <c r="AJ736" s="106" t="s">
        <v>2170</v>
      </c>
      <c r="AK736" s="106" t="n">
        <v>0</v>
      </c>
      <c r="AL736" s="106" t="n">
        <v>1</v>
      </c>
      <c r="AM736" s="106" t="s">
        <v>161</v>
      </c>
      <c r="AP736" s="106" t="n">
        <v>100173564</v>
      </c>
      <c r="AQ736" s="129" t="n">
        <v>43799</v>
      </c>
      <c r="AR736" s="129" t="n">
        <v>43799</v>
      </c>
      <c r="AS736" s="106" t="n">
        <v>0.754513888888889</v>
      </c>
      <c r="AT736" s="106" t="n">
        <v>0</v>
      </c>
      <c r="AU736" s="106" t="n">
        <v>0</v>
      </c>
      <c r="AX736" s="106" t="n">
        <v>1</v>
      </c>
      <c r="ALU736" s="0"/>
      <c r="ALV736" s="0"/>
      <c r="ALW736" s="0"/>
      <c r="ALX736" s="0"/>
      <c r="ALY736" s="0"/>
      <c r="ALZ736" s="0"/>
      <c r="AMA736" s="0"/>
      <c r="AMB736" s="0"/>
      <c r="AMC736" s="0"/>
      <c r="AMD736" s="0"/>
      <c r="AME736" s="0"/>
      <c r="AMF736" s="0"/>
      <c r="AMG736" s="0"/>
      <c r="AMH736" s="0"/>
      <c r="AMI736" s="0"/>
      <c r="AMJ736" s="0"/>
    </row>
    <row r="737" customFormat="false" ht="13.8" hidden="true" customHeight="false" outlineLevel="0" collapsed="false">
      <c r="A737" s="117" t="n">
        <v>1000</v>
      </c>
      <c r="B737" s="117" t="s">
        <v>1962</v>
      </c>
      <c r="C737" s="117" t="n">
        <v>100141449</v>
      </c>
      <c r="E737" s="117" t="s">
        <v>1921</v>
      </c>
      <c r="F737" s="117" t="n">
        <v>1109</v>
      </c>
      <c r="G737" s="117" t="n">
        <v>2019</v>
      </c>
      <c r="H737" s="117" t="n">
        <v>7</v>
      </c>
      <c r="I737" s="118" t="n">
        <v>43766</v>
      </c>
      <c r="J737" s="118" t="n">
        <v>43766</v>
      </c>
      <c r="K737" s="119" t="n">
        <v>1545361.16</v>
      </c>
      <c r="L737" s="128" t="n">
        <f aca="false">K737-Q737+T737</f>
        <v>1545361.16</v>
      </c>
      <c r="M737" s="117" t="s">
        <v>149</v>
      </c>
      <c r="N737" s="117" t="n">
        <v>1545361.16</v>
      </c>
      <c r="O737" s="117" t="s">
        <v>149</v>
      </c>
      <c r="P737" s="117" t="n">
        <v>0</v>
      </c>
      <c r="Q737" s="117" t="n">
        <v>0</v>
      </c>
      <c r="R737" s="117" t="n">
        <v>1545361.16</v>
      </c>
      <c r="S737" s="117" t="n">
        <v>0</v>
      </c>
      <c r="T737" s="117" t="n">
        <v>0</v>
      </c>
      <c r="U737" s="117" t="n">
        <v>312193</v>
      </c>
      <c r="V737" s="117" t="s">
        <v>1963</v>
      </c>
      <c r="X737" s="117" t="s">
        <v>1845</v>
      </c>
      <c r="Z737" s="117" t="n">
        <v>60959</v>
      </c>
      <c r="AB737" s="117" t="s">
        <v>2124</v>
      </c>
      <c r="AD737" s="117" t="n">
        <v>110000</v>
      </c>
      <c r="AE737" s="117" t="s">
        <v>1966</v>
      </c>
      <c r="AF737" s="117" t="n">
        <v>110000</v>
      </c>
      <c r="AG737" s="117" t="s">
        <v>1966</v>
      </c>
      <c r="AI737" s="117" t="n">
        <v>110000</v>
      </c>
      <c r="AJ737" s="117" t="s">
        <v>1966</v>
      </c>
      <c r="AK737" s="117" t="n">
        <v>0</v>
      </c>
      <c r="AL737" s="117" t="n">
        <v>4</v>
      </c>
      <c r="AM737" s="117" t="s">
        <v>161</v>
      </c>
      <c r="AR737" s="118" t="n">
        <v>43766</v>
      </c>
      <c r="AS737" s="117" t="n">
        <v>0.371388888888889</v>
      </c>
      <c r="AT737" s="117" t="n">
        <v>0</v>
      </c>
      <c r="AU737" s="117" t="n">
        <v>0</v>
      </c>
      <c r="AX737" s="117" t="n">
        <v>10</v>
      </c>
    </row>
    <row r="738" customFormat="false" ht="13.8" hidden="true" customHeight="false" outlineLevel="0" collapsed="false">
      <c r="A738" s="117" t="n">
        <v>1000</v>
      </c>
      <c r="B738" s="117" t="s">
        <v>1962</v>
      </c>
      <c r="C738" s="117" t="n">
        <v>1600000315</v>
      </c>
      <c r="D738" s="117" t="s">
        <v>2354</v>
      </c>
      <c r="E738" s="117" t="s">
        <v>1987</v>
      </c>
      <c r="F738" s="117" t="n">
        <v>1101</v>
      </c>
      <c r="G738" s="117" t="n">
        <v>2019</v>
      </c>
      <c r="H738" s="117" t="n">
        <v>8</v>
      </c>
      <c r="I738" s="118" t="n">
        <v>43798</v>
      </c>
      <c r="J738" s="118" t="n">
        <v>43798</v>
      </c>
      <c r="K738" s="119" t="n">
        <v>-7336</v>
      </c>
      <c r="L738" s="128" t="n">
        <f aca="false">K738-Q738+T738</f>
        <v>-7336</v>
      </c>
      <c r="M738" s="117" t="s">
        <v>149</v>
      </c>
      <c r="N738" s="117" t="n">
        <v>-7336</v>
      </c>
      <c r="O738" s="117" t="s">
        <v>149</v>
      </c>
      <c r="P738" s="117" t="n">
        <v>-7336</v>
      </c>
      <c r="Q738" s="117" t="n">
        <v>0</v>
      </c>
      <c r="R738" s="117" t="n">
        <v>-7336</v>
      </c>
      <c r="S738" s="117" t="n">
        <v>0</v>
      </c>
      <c r="T738" s="117" t="n">
        <v>0</v>
      </c>
      <c r="U738" s="117" t="n">
        <v>312193</v>
      </c>
      <c r="V738" s="117" t="s">
        <v>1963</v>
      </c>
      <c r="X738" s="117" t="s">
        <v>2405</v>
      </c>
      <c r="Y738" s="117" t="s">
        <v>2354</v>
      </c>
      <c r="Z738" s="117" t="n">
        <v>1600000315</v>
      </c>
      <c r="AD738" s="117" t="n">
        <v>310300</v>
      </c>
      <c r="AE738" s="117" t="s">
        <v>1969</v>
      </c>
      <c r="AF738" s="117" t="n">
        <v>111201</v>
      </c>
      <c r="AG738" s="117" t="s">
        <v>2165</v>
      </c>
      <c r="AI738" s="117" t="n">
        <v>111201</v>
      </c>
      <c r="AJ738" s="117" t="s">
        <v>2165</v>
      </c>
      <c r="AK738" s="117" t="n">
        <v>0</v>
      </c>
      <c r="AL738" s="117" t="n">
        <v>19</v>
      </c>
      <c r="AM738" s="117" t="s">
        <v>225</v>
      </c>
      <c r="AN738" s="117" t="s">
        <v>1978</v>
      </c>
      <c r="AP738" s="117" t="n">
        <v>100173563</v>
      </c>
      <c r="AQ738" s="118" t="n">
        <v>43799</v>
      </c>
      <c r="AR738" s="118" t="n">
        <v>43798</v>
      </c>
      <c r="AS738" s="117" t="n">
        <v>0.954837962962963</v>
      </c>
      <c r="AT738" s="117" t="n">
        <v>0</v>
      </c>
      <c r="AU738" s="117" t="n">
        <v>0</v>
      </c>
      <c r="AX738" s="117" t="n">
        <v>37</v>
      </c>
    </row>
    <row r="739" customFormat="false" ht="13.8" hidden="true" customHeight="false" outlineLevel="0" collapsed="false">
      <c r="A739" s="117" t="n">
        <v>1000</v>
      </c>
      <c r="B739" s="117" t="s">
        <v>1962</v>
      </c>
      <c r="C739" s="117" t="n">
        <v>100173526</v>
      </c>
      <c r="E739" s="117" t="s">
        <v>1921</v>
      </c>
      <c r="F739" s="117" t="n">
        <v>1109</v>
      </c>
      <c r="G739" s="117" t="n">
        <v>2019</v>
      </c>
      <c r="H739" s="117" t="n">
        <v>8</v>
      </c>
      <c r="I739" s="118" t="n">
        <v>43799</v>
      </c>
      <c r="J739" s="118" t="n">
        <v>43799</v>
      </c>
      <c r="K739" s="119" t="n">
        <v>24433.94</v>
      </c>
      <c r="L739" s="128" t="n">
        <f aca="false">K739-Q739+T739</f>
        <v>24433.94</v>
      </c>
      <c r="M739" s="117" t="s">
        <v>149</v>
      </c>
      <c r="N739" s="117" t="n">
        <v>24433.94</v>
      </c>
      <c r="O739" s="117" t="s">
        <v>149</v>
      </c>
      <c r="P739" s="117" t="n">
        <v>0</v>
      </c>
      <c r="Q739" s="117" t="n">
        <v>0</v>
      </c>
      <c r="R739" s="117" t="n">
        <v>24433.94</v>
      </c>
      <c r="S739" s="117" t="n">
        <v>0</v>
      </c>
      <c r="T739" s="117" t="n">
        <v>0</v>
      </c>
      <c r="U739" s="117" t="n">
        <v>304431</v>
      </c>
      <c r="V739" s="117" t="s">
        <v>2016</v>
      </c>
      <c r="X739" s="117" t="s">
        <v>1198</v>
      </c>
      <c r="Z739" s="117" t="n">
        <v>2417</v>
      </c>
      <c r="AB739" s="117" t="s">
        <v>2082</v>
      </c>
      <c r="AD739" s="117" t="n">
        <v>110000</v>
      </c>
      <c r="AE739" s="117" t="s">
        <v>1966</v>
      </c>
      <c r="AF739" s="117" t="n">
        <v>110000</v>
      </c>
      <c r="AG739" s="117" t="s">
        <v>1966</v>
      </c>
      <c r="AI739" s="117" t="n">
        <v>110000</v>
      </c>
      <c r="AJ739" s="117" t="s">
        <v>1966</v>
      </c>
      <c r="AK739" s="117" t="n">
        <v>0</v>
      </c>
      <c r="AL739" s="117" t="n">
        <v>4</v>
      </c>
      <c r="AM739" s="117" t="s">
        <v>161</v>
      </c>
      <c r="AP739" s="117" t="n">
        <v>100194020</v>
      </c>
      <c r="AQ739" s="118" t="n">
        <v>43824</v>
      </c>
      <c r="AR739" s="118" t="n">
        <v>43800</v>
      </c>
      <c r="AS739" s="117" t="n">
        <v>0.621331018518519</v>
      </c>
      <c r="AT739" s="117" t="n">
        <v>0</v>
      </c>
      <c r="AU739" s="117" t="n">
        <v>0</v>
      </c>
      <c r="AX739" s="117" t="n">
        <v>1</v>
      </c>
    </row>
    <row r="740" customFormat="false" ht="13.8" hidden="true" customHeight="false" outlineLevel="0" collapsed="false">
      <c r="A740" s="117" t="n">
        <v>1000</v>
      </c>
      <c r="B740" s="117" t="s">
        <v>1962</v>
      </c>
      <c r="C740" s="117" t="n">
        <v>100173530</v>
      </c>
      <c r="E740" s="117" t="s">
        <v>1921</v>
      </c>
      <c r="F740" s="117" t="n">
        <v>1109</v>
      </c>
      <c r="G740" s="117" t="n">
        <v>2019</v>
      </c>
      <c r="H740" s="117" t="n">
        <v>8</v>
      </c>
      <c r="I740" s="118" t="n">
        <v>43799</v>
      </c>
      <c r="J740" s="118" t="n">
        <v>43799</v>
      </c>
      <c r="K740" s="119" t="n">
        <v>-2394019.4</v>
      </c>
      <c r="L740" s="128" t="n">
        <f aca="false">K740-Q740+T740</f>
        <v>-2394019.4</v>
      </c>
      <c r="M740" s="117" t="s">
        <v>149</v>
      </c>
      <c r="N740" s="117" t="n">
        <v>-2394019.4</v>
      </c>
      <c r="O740" s="117" t="s">
        <v>149</v>
      </c>
      <c r="P740" s="117" t="n">
        <v>0</v>
      </c>
      <c r="Q740" s="117" t="n">
        <v>0</v>
      </c>
      <c r="R740" s="117" t="n">
        <v>-2394019.4</v>
      </c>
      <c r="S740" s="117" t="n">
        <v>0</v>
      </c>
      <c r="T740" s="117" t="n">
        <v>0</v>
      </c>
      <c r="U740" s="117" t="n">
        <v>312193</v>
      </c>
      <c r="V740" s="117" t="s">
        <v>1963</v>
      </c>
      <c r="Z740" s="117" t="n">
        <v>100173530</v>
      </c>
      <c r="AD740" s="117" t="n">
        <v>110000</v>
      </c>
      <c r="AE740" s="117" t="s">
        <v>1966</v>
      </c>
      <c r="AF740" s="117" t="n">
        <v>110000</v>
      </c>
      <c r="AG740" s="117" t="s">
        <v>1966</v>
      </c>
      <c r="AI740" s="117" t="n">
        <v>110000</v>
      </c>
      <c r="AJ740" s="117" t="s">
        <v>1966</v>
      </c>
      <c r="AK740" s="117" t="n">
        <v>0</v>
      </c>
      <c r="AL740" s="117" t="n">
        <v>17</v>
      </c>
      <c r="AM740" s="117" t="s">
        <v>225</v>
      </c>
      <c r="AP740" s="117" t="n">
        <v>100173530</v>
      </c>
      <c r="AQ740" s="118" t="n">
        <v>43799</v>
      </c>
      <c r="AR740" s="118" t="n">
        <v>43800</v>
      </c>
      <c r="AS740" s="117" t="n">
        <v>0.629131944444444</v>
      </c>
      <c r="AT740" s="117" t="n">
        <v>0</v>
      </c>
      <c r="AU740" s="117" t="n">
        <v>0</v>
      </c>
      <c r="AX740" s="117" t="n">
        <v>8</v>
      </c>
    </row>
    <row r="741" s="106" customFormat="true" ht="13.8" hidden="true" customHeight="false" outlineLevel="0" collapsed="false">
      <c r="A741" s="106" t="n">
        <v>1000</v>
      </c>
      <c r="B741" s="106" t="s">
        <v>1962</v>
      </c>
      <c r="C741" s="106" t="n">
        <v>108928</v>
      </c>
      <c r="D741" s="106" t="s">
        <v>1179</v>
      </c>
      <c r="E741" s="106" t="s">
        <v>1970</v>
      </c>
      <c r="F741" s="106" t="n">
        <v>1109</v>
      </c>
      <c r="G741" s="106" t="n">
        <v>2019</v>
      </c>
      <c r="H741" s="106" t="n">
        <v>8</v>
      </c>
      <c r="I741" s="129" t="n">
        <v>43782</v>
      </c>
      <c r="J741" s="129" t="n">
        <v>43782</v>
      </c>
      <c r="K741" s="107" t="n">
        <v>1970625.31</v>
      </c>
      <c r="L741" s="130" t="n">
        <f aca="false">K741-Q741+T741</f>
        <v>1670021.46</v>
      </c>
      <c r="M741" s="106" t="s">
        <v>149</v>
      </c>
      <c r="N741" s="106" t="n">
        <v>1970625.31</v>
      </c>
      <c r="O741" s="106" t="s">
        <v>149</v>
      </c>
      <c r="P741" s="106" t="n">
        <v>0</v>
      </c>
      <c r="Q741" s="107" t="n">
        <v>300603.85</v>
      </c>
      <c r="R741" s="106" t="n">
        <v>1670021.46</v>
      </c>
      <c r="S741" s="106" t="n">
        <v>0</v>
      </c>
      <c r="T741" s="106" t="n">
        <v>0</v>
      </c>
      <c r="U741" s="106" t="n">
        <v>307259</v>
      </c>
      <c r="V741" s="106" t="s">
        <v>143</v>
      </c>
      <c r="Z741" s="106" t="n">
        <v>61927</v>
      </c>
      <c r="AB741" s="106" t="s">
        <v>2406</v>
      </c>
      <c r="AD741" s="106" t="n">
        <v>110000</v>
      </c>
      <c r="AE741" s="106" t="s">
        <v>1966</v>
      </c>
      <c r="AF741" s="106" t="n">
        <v>501005</v>
      </c>
      <c r="AG741" s="106" t="s">
        <v>2033</v>
      </c>
      <c r="AI741" s="106" t="n">
        <v>501005</v>
      </c>
      <c r="AJ741" s="106" t="s">
        <v>2033</v>
      </c>
      <c r="AK741" s="106" t="n">
        <v>0</v>
      </c>
      <c r="AL741" s="106" t="n">
        <v>1</v>
      </c>
      <c r="AM741" s="106" t="s">
        <v>161</v>
      </c>
      <c r="AP741" s="106" t="n">
        <v>100162592</v>
      </c>
      <c r="AQ741" s="129" t="n">
        <v>43792</v>
      </c>
      <c r="AR741" s="129" t="n">
        <v>43782</v>
      </c>
      <c r="AS741" s="106" t="n">
        <v>0.701446759259259</v>
      </c>
      <c r="AT741" s="106" t="n">
        <v>0</v>
      </c>
      <c r="AU741" s="106" t="n">
        <v>0</v>
      </c>
      <c r="AX741" s="106" t="n">
        <v>1</v>
      </c>
      <c r="ALU741" s="0"/>
      <c r="ALV741" s="0"/>
      <c r="ALW741" s="0"/>
      <c r="ALX741" s="0"/>
      <c r="ALY741" s="0"/>
      <c r="ALZ741" s="0"/>
      <c r="AMA741" s="0"/>
      <c r="AMB741" s="0"/>
      <c r="AMC741" s="0"/>
      <c r="AMD741" s="0"/>
      <c r="AME741" s="0"/>
      <c r="AMF741" s="0"/>
      <c r="AMG741" s="0"/>
      <c r="AMH741" s="0"/>
      <c r="AMI741" s="0"/>
      <c r="AMJ741" s="0"/>
    </row>
    <row r="742" customFormat="false" ht="13.8" hidden="true" customHeight="false" outlineLevel="0" collapsed="false">
      <c r="A742" s="117" t="n">
        <v>1000</v>
      </c>
      <c r="B742" s="117" t="s">
        <v>1962</v>
      </c>
      <c r="C742" s="117" t="n">
        <v>1600000288</v>
      </c>
      <c r="D742" s="117" t="s">
        <v>2356</v>
      </c>
      <c r="E742" s="117" t="s">
        <v>1987</v>
      </c>
      <c r="F742" s="117" t="n">
        <v>1101</v>
      </c>
      <c r="G742" s="117" t="n">
        <v>2019</v>
      </c>
      <c r="H742" s="117" t="n">
        <v>8</v>
      </c>
      <c r="I742" s="118" t="n">
        <v>43795</v>
      </c>
      <c r="J742" s="118" t="n">
        <v>43795</v>
      </c>
      <c r="K742" s="119" t="n">
        <v>-9860</v>
      </c>
      <c r="L742" s="128" t="n">
        <f aca="false">K742-Q742+T742</f>
        <v>-9860</v>
      </c>
      <c r="M742" s="117" t="s">
        <v>149</v>
      </c>
      <c r="N742" s="117" t="n">
        <v>-9860</v>
      </c>
      <c r="O742" s="117" t="s">
        <v>149</v>
      </c>
      <c r="P742" s="117" t="n">
        <v>-9860</v>
      </c>
      <c r="Q742" s="117" t="n">
        <v>0</v>
      </c>
      <c r="R742" s="117" t="n">
        <v>-9860</v>
      </c>
      <c r="S742" s="117" t="n">
        <v>0</v>
      </c>
      <c r="T742" s="117" t="n">
        <v>0</v>
      </c>
      <c r="U742" s="117" t="n">
        <v>312193</v>
      </c>
      <c r="V742" s="117" t="s">
        <v>1963</v>
      </c>
      <c r="X742" s="117" t="s">
        <v>2407</v>
      </c>
      <c r="Y742" s="117" t="s">
        <v>2358</v>
      </c>
      <c r="Z742" s="117" t="n">
        <v>1600000288</v>
      </c>
      <c r="AD742" s="117" t="n">
        <v>310300</v>
      </c>
      <c r="AE742" s="117" t="s">
        <v>1969</v>
      </c>
      <c r="AF742" s="117" t="n">
        <v>111201</v>
      </c>
      <c r="AG742" s="117" t="s">
        <v>2165</v>
      </c>
      <c r="AI742" s="117" t="n">
        <v>111201</v>
      </c>
      <c r="AJ742" s="117" t="s">
        <v>2165</v>
      </c>
      <c r="AK742" s="117" t="n">
        <v>0</v>
      </c>
      <c r="AL742" s="117" t="n">
        <v>19</v>
      </c>
      <c r="AM742" s="117" t="s">
        <v>225</v>
      </c>
      <c r="AN742" s="117" t="s">
        <v>1978</v>
      </c>
      <c r="AP742" s="117" t="n">
        <v>100173563</v>
      </c>
      <c r="AQ742" s="118" t="n">
        <v>43799</v>
      </c>
      <c r="AR742" s="118" t="n">
        <v>43795</v>
      </c>
      <c r="AS742" s="117" t="n">
        <v>0.285</v>
      </c>
      <c r="AT742" s="117" t="n">
        <v>0</v>
      </c>
      <c r="AU742" s="117" t="n">
        <v>0</v>
      </c>
      <c r="AX742" s="117" t="n">
        <v>28</v>
      </c>
    </row>
    <row r="743" customFormat="false" ht="13.8" hidden="true" customHeight="false" outlineLevel="0" collapsed="false">
      <c r="A743" s="117" t="n">
        <v>1000</v>
      </c>
      <c r="B743" s="117" t="s">
        <v>1962</v>
      </c>
      <c r="C743" s="117" t="n">
        <v>100194025</v>
      </c>
      <c r="E743" s="117" t="s">
        <v>1921</v>
      </c>
      <c r="F743" s="117" t="n">
        <v>1112</v>
      </c>
      <c r="G743" s="117" t="n">
        <v>2019</v>
      </c>
      <c r="H743" s="117" t="n">
        <v>9</v>
      </c>
      <c r="I743" s="118" t="n">
        <v>43824</v>
      </c>
      <c r="J743" s="118" t="n">
        <v>43824</v>
      </c>
      <c r="K743" s="119" t="n">
        <v>40713.54</v>
      </c>
      <c r="L743" s="128" t="n">
        <f aca="false">K743-Q743+T743</f>
        <v>40713.54</v>
      </c>
      <c r="M743" s="117" t="s">
        <v>149</v>
      </c>
      <c r="N743" s="117" t="n">
        <v>40713.54</v>
      </c>
      <c r="O743" s="117" t="s">
        <v>149</v>
      </c>
      <c r="P743" s="117" t="n">
        <v>0</v>
      </c>
      <c r="Q743" s="117" t="n">
        <v>0</v>
      </c>
      <c r="R743" s="117" t="n">
        <v>40713.54</v>
      </c>
      <c r="S743" s="117" t="n">
        <v>0</v>
      </c>
      <c r="T743" s="117" t="n">
        <v>0</v>
      </c>
      <c r="U743" s="117" t="n">
        <v>312193</v>
      </c>
      <c r="V743" s="117" t="s">
        <v>1963</v>
      </c>
      <c r="X743" s="117" t="s">
        <v>1732</v>
      </c>
      <c r="Z743" s="117" t="n">
        <v>62200</v>
      </c>
      <c r="AB743" s="117" t="s">
        <v>2362</v>
      </c>
      <c r="AD743" s="117" t="n">
        <v>110000</v>
      </c>
      <c r="AE743" s="117" t="s">
        <v>1966</v>
      </c>
      <c r="AF743" s="117" t="n">
        <v>110000</v>
      </c>
      <c r="AG743" s="117" t="s">
        <v>1966</v>
      </c>
      <c r="AI743" s="117" t="n">
        <v>110000</v>
      </c>
      <c r="AJ743" s="117" t="s">
        <v>1966</v>
      </c>
      <c r="AK743" s="117" t="n">
        <v>0</v>
      </c>
      <c r="AL743" s="117" t="n">
        <v>4</v>
      </c>
      <c r="AM743" s="117" t="s">
        <v>161</v>
      </c>
      <c r="AR743" s="118" t="n">
        <v>43824</v>
      </c>
      <c r="AS743" s="117" t="n">
        <v>0.371284722222222</v>
      </c>
      <c r="AT743" s="117" t="n">
        <v>0</v>
      </c>
      <c r="AU743" s="117" t="n">
        <v>0</v>
      </c>
      <c r="AX743" s="117" t="n">
        <v>29</v>
      </c>
    </row>
    <row r="744" customFormat="false" ht="13.8" hidden="true" customHeight="false" outlineLevel="0" collapsed="false">
      <c r="A744" s="117" t="n">
        <v>1000</v>
      </c>
      <c r="B744" s="117" t="s">
        <v>1962</v>
      </c>
      <c r="C744" s="117" t="n">
        <v>100199799</v>
      </c>
      <c r="E744" s="117" t="s">
        <v>1921</v>
      </c>
      <c r="F744" s="117" t="n">
        <v>1112</v>
      </c>
      <c r="G744" s="117" t="n">
        <v>2019</v>
      </c>
      <c r="H744" s="117" t="n">
        <v>9</v>
      </c>
      <c r="I744" s="118" t="n">
        <v>43830</v>
      </c>
      <c r="J744" s="118" t="n">
        <v>43830</v>
      </c>
      <c r="K744" s="119" t="n">
        <v>39994.92</v>
      </c>
      <c r="L744" s="128" t="n">
        <f aca="false">K744-Q744+T744</f>
        <v>39994.92</v>
      </c>
      <c r="M744" s="117" t="s">
        <v>149</v>
      </c>
      <c r="N744" s="117" t="n">
        <v>39994.92</v>
      </c>
      <c r="O744" s="117" t="s">
        <v>149</v>
      </c>
      <c r="P744" s="117" t="n">
        <v>0</v>
      </c>
      <c r="Q744" s="117" t="n">
        <v>0</v>
      </c>
      <c r="R744" s="117" t="n">
        <v>39994.92</v>
      </c>
      <c r="S744" s="117" t="n">
        <v>0</v>
      </c>
      <c r="T744" s="117" t="n">
        <v>0</v>
      </c>
      <c r="U744" s="117" t="n">
        <v>312193</v>
      </c>
      <c r="V744" s="117" t="s">
        <v>1963</v>
      </c>
      <c r="X744" s="117" t="s">
        <v>2408</v>
      </c>
      <c r="Z744" s="117" t="n">
        <v>62197</v>
      </c>
      <c r="AB744" s="117" t="s">
        <v>2350</v>
      </c>
      <c r="AD744" s="117" t="n">
        <v>110000</v>
      </c>
      <c r="AE744" s="117" t="s">
        <v>1966</v>
      </c>
      <c r="AF744" s="117" t="n">
        <v>110000</v>
      </c>
      <c r="AG744" s="117" t="s">
        <v>1966</v>
      </c>
      <c r="AI744" s="117" t="n">
        <v>110000</v>
      </c>
      <c r="AJ744" s="117" t="s">
        <v>1966</v>
      </c>
      <c r="AK744" s="117" t="n">
        <v>0</v>
      </c>
      <c r="AL744" s="117" t="n">
        <v>4</v>
      </c>
      <c r="AM744" s="117" t="s">
        <v>161</v>
      </c>
      <c r="AR744" s="118" t="n">
        <v>43830</v>
      </c>
      <c r="AS744" s="117" t="n">
        <v>0.279467592592593</v>
      </c>
      <c r="AT744" s="117" t="n">
        <v>0</v>
      </c>
      <c r="AU744" s="117" t="n">
        <v>0</v>
      </c>
      <c r="AX744" s="117" t="n">
        <v>16</v>
      </c>
    </row>
    <row r="745" s="106" customFormat="true" ht="13.8" hidden="true" customHeight="false" outlineLevel="0" collapsed="false">
      <c r="A745" s="106" t="n">
        <v>1000</v>
      </c>
      <c r="B745" s="106" t="s">
        <v>1962</v>
      </c>
      <c r="C745" s="106" t="n">
        <v>109522</v>
      </c>
      <c r="D745" s="106" t="s">
        <v>2409</v>
      </c>
      <c r="E745" s="106" t="s">
        <v>1970</v>
      </c>
      <c r="F745" s="106" t="n">
        <v>1109</v>
      </c>
      <c r="G745" s="106" t="n">
        <v>2019</v>
      </c>
      <c r="H745" s="106" t="n">
        <v>8</v>
      </c>
      <c r="I745" s="129" t="n">
        <v>43797</v>
      </c>
      <c r="J745" s="129" t="n">
        <v>43797</v>
      </c>
      <c r="K745" s="107" t="n">
        <v>384680</v>
      </c>
      <c r="L745" s="130" t="n">
        <f aca="false">K745-Q745+T745</f>
        <v>326000</v>
      </c>
      <c r="M745" s="106" t="s">
        <v>149</v>
      </c>
      <c r="N745" s="106" t="n">
        <v>384680</v>
      </c>
      <c r="O745" s="106" t="s">
        <v>149</v>
      </c>
      <c r="P745" s="106" t="n">
        <v>0</v>
      </c>
      <c r="Q745" s="107" t="n">
        <v>58680</v>
      </c>
      <c r="R745" s="106" t="n">
        <v>326000</v>
      </c>
      <c r="S745" s="106" t="n">
        <v>0</v>
      </c>
      <c r="T745" s="106" t="n">
        <v>0</v>
      </c>
      <c r="U745" s="106" t="n">
        <v>313029</v>
      </c>
      <c r="V745" s="106" t="s">
        <v>143</v>
      </c>
      <c r="Z745" s="106" t="n">
        <v>62139</v>
      </c>
      <c r="AB745" s="106" t="s">
        <v>2410</v>
      </c>
      <c r="AD745" s="106" t="n">
        <v>110000</v>
      </c>
      <c r="AE745" s="106" t="s">
        <v>1966</v>
      </c>
      <c r="AF745" s="106" t="n">
        <v>501000</v>
      </c>
      <c r="AG745" s="106" t="s">
        <v>2170</v>
      </c>
      <c r="AI745" s="106" t="n">
        <v>501000</v>
      </c>
      <c r="AJ745" s="106" t="s">
        <v>2170</v>
      </c>
      <c r="AK745" s="106" t="n">
        <v>0</v>
      </c>
      <c r="AL745" s="106" t="n">
        <v>1</v>
      </c>
      <c r="AM745" s="106" t="s">
        <v>161</v>
      </c>
      <c r="AP745" s="106" t="n">
        <v>100172911</v>
      </c>
      <c r="AQ745" s="129" t="n">
        <v>43799</v>
      </c>
      <c r="AR745" s="129" t="n">
        <v>43797</v>
      </c>
      <c r="AS745" s="106" t="n">
        <v>0.622604166666667</v>
      </c>
      <c r="AT745" s="106" t="n">
        <v>0</v>
      </c>
      <c r="AU745" s="106" t="n">
        <v>0</v>
      </c>
      <c r="AX745" s="106" t="n">
        <v>1</v>
      </c>
      <c r="ALU745" s="0"/>
      <c r="ALV745" s="0"/>
      <c r="ALW745" s="0"/>
      <c r="ALX745" s="0"/>
      <c r="ALY745" s="0"/>
      <c r="ALZ745" s="0"/>
      <c r="AMA745" s="0"/>
      <c r="AMB745" s="0"/>
      <c r="AMC745" s="0"/>
      <c r="AMD745" s="0"/>
      <c r="AME745" s="0"/>
      <c r="AMF745" s="0"/>
      <c r="AMG745" s="0"/>
      <c r="AMH745" s="0"/>
      <c r="AMI745" s="0"/>
      <c r="AMJ745" s="0"/>
    </row>
    <row r="746" s="106" customFormat="true" ht="13.8" hidden="true" customHeight="false" outlineLevel="0" collapsed="false">
      <c r="A746" s="106" t="n">
        <v>1000</v>
      </c>
      <c r="B746" s="106" t="s">
        <v>1962</v>
      </c>
      <c r="C746" s="106" t="n">
        <v>101950</v>
      </c>
      <c r="D746" s="106" t="s">
        <v>2327</v>
      </c>
      <c r="E746" s="106" t="s">
        <v>1970</v>
      </c>
      <c r="F746" s="106" t="n">
        <v>1109</v>
      </c>
      <c r="G746" s="106" t="n">
        <v>2019</v>
      </c>
      <c r="H746" s="106" t="n">
        <v>2</v>
      </c>
      <c r="I746" s="129" t="n">
        <v>43607</v>
      </c>
      <c r="J746" s="129" t="n">
        <v>43607</v>
      </c>
      <c r="K746" s="107" t="n">
        <v>672600</v>
      </c>
      <c r="L746" s="130" t="n">
        <f aca="false">K746-Q746+T746</f>
        <v>570000</v>
      </c>
      <c r="M746" s="106" t="s">
        <v>149</v>
      </c>
      <c r="N746" s="107" t="n">
        <v>672600</v>
      </c>
      <c r="O746" s="106" t="s">
        <v>149</v>
      </c>
      <c r="P746" s="106" t="n">
        <v>0</v>
      </c>
      <c r="Q746" s="107" t="n">
        <v>102600</v>
      </c>
      <c r="R746" s="107" t="n">
        <v>570000</v>
      </c>
      <c r="S746" s="106" t="n">
        <v>0</v>
      </c>
      <c r="T746" s="106" t="n">
        <v>0</v>
      </c>
      <c r="U746" s="106" t="n">
        <v>313029</v>
      </c>
      <c r="V746" s="106" t="s">
        <v>143</v>
      </c>
      <c r="Z746" s="106" t="n">
        <v>58229</v>
      </c>
      <c r="AB746" s="106" t="s">
        <v>2328</v>
      </c>
      <c r="AD746" s="106" t="n">
        <v>110000</v>
      </c>
      <c r="AE746" s="106" t="s">
        <v>1966</v>
      </c>
      <c r="AF746" s="106" t="n">
        <v>501000</v>
      </c>
      <c r="AG746" s="106" t="s">
        <v>2170</v>
      </c>
      <c r="AI746" s="106" t="n">
        <v>501000</v>
      </c>
      <c r="AJ746" s="106" t="s">
        <v>2170</v>
      </c>
      <c r="AK746" s="106" t="n">
        <v>0</v>
      </c>
      <c r="AL746" s="106" t="n">
        <v>1</v>
      </c>
      <c r="AM746" s="106" t="s">
        <v>161</v>
      </c>
      <c r="AP746" s="106" t="n">
        <v>100020154</v>
      </c>
      <c r="AQ746" s="129" t="n">
        <v>43611</v>
      </c>
      <c r="AR746" s="129" t="n">
        <v>43607</v>
      </c>
      <c r="AS746" s="106" t="n">
        <v>0.672071759259259</v>
      </c>
      <c r="AT746" s="106" t="n">
        <v>0</v>
      </c>
      <c r="AU746" s="106" t="n">
        <v>0</v>
      </c>
      <c r="AX746" s="106" t="n">
        <v>1</v>
      </c>
      <c r="ALU746" s="0"/>
      <c r="ALV746" s="0"/>
      <c r="ALW746" s="0"/>
      <c r="ALX746" s="0"/>
      <c r="ALY746" s="0"/>
      <c r="ALZ746" s="0"/>
      <c r="AMA746" s="0"/>
      <c r="AMB746" s="0"/>
      <c r="AMC746" s="0"/>
      <c r="AMD746" s="0"/>
      <c r="AME746" s="0"/>
      <c r="AMF746" s="0"/>
      <c r="AMG746" s="0"/>
      <c r="AMH746" s="0"/>
      <c r="AMI746" s="0"/>
      <c r="AMJ746" s="0"/>
    </row>
    <row r="747" customFormat="false" ht="13.8" hidden="true" customHeight="false" outlineLevel="0" collapsed="false">
      <c r="A747" s="117" t="n">
        <v>1000</v>
      </c>
      <c r="B747" s="117" t="s">
        <v>1962</v>
      </c>
      <c r="C747" s="117" t="n">
        <v>100197100</v>
      </c>
      <c r="E747" s="117" t="s">
        <v>1921</v>
      </c>
      <c r="F747" s="117" t="n">
        <v>1108</v>
      </c>
      <c r="G747" s="117" t="n">
        <v>2019</v>
      </c>
      <c r="H747" s="117" t="n">
        <v>9</v>
      </c>
      <c r="I747" s="118" t="n">
        <v>43827</v>
      </c>
      <c r="J747" s="118" t="n">
        <v>43827</v>
      </c>
      <c r="K747" s="119" t="n">
        <v>-296377.53</v>
      </c>
      <c r="L747" s="128" t="n">
        <f aca="false">K747-Q747+T747</f>
        <v>-296377.53</v>
      </c>
      <c r="M747" s="117" t="s">
        <v>149</v>
      </c>
      <c r="N747" s="117" t="n">
        <v>-296377.53</v>
      </c>
      <c r="O747" s="117" t="s">
        <v>149</v>
      </c>
      <c r="P747" s="117" t="n">
        <v>0</v>
      </c>
      <c r="Q747" s="117" t="n">
        <v>0</v>
      </c>
      <c r="R747" s="117" t="n">
        <v>-296377.53</v>
      </c>
      <c r="S747" s="117" t="n">
        <v>0</v>
      </c>
      <c r="T747" s="117" t="n">
        <v>0</v>
      </c>
      <c r="U747" s="117" t="n">
        <v>312948</v>
      </c>
      <c r="V747" s="117" t="s">
        <v>1984</v>
      </c>
      <c r="Z747" s="117" t="n">
        <v>100197100</v>
      </c>
      <c r="AD747" s="117" t="n">
        <v>110000</v>
      </c>
      <c r="AE747" s="117" t="s">
        <v>1966</v>
      </c>
      <c r="AF747" s="117" t="n">
        <v>110000</v>
      </c>
      <c r="AG747" s="117" t="s">
        <v>1966</v>
      </c>
      <c r="AI747" s="117" t="n">
        <v>110000</v>
      </c>
      <c r="AJ747" s="117" t="s">
        <v>1966</v>
      </c>
      <c r="AK747" s="117" t="n">
        <v>0</v>
      </c>
      <c r="AL747" s="117" t="n">
        <v>17</v>
      </c>
      <c r="AM747" s="117" t="s">
        <v>225</v>
      </c>
      <c r="AP747" s="117" t="n">
        <v>100197100</v>
      </c>
      <c r="AQ747" s="118" t="n">
        <v>43827</v>
      </c>
      <c r="AR747" s="118" t="n">
        <v>43827</v>
      </c>
      <c r="AS747" s="117" t="n">
        <v>0.355752314814815</v>
      </c>
      <c r="AT747" s="117" t="n">
        <v>0</v>
      </c>
      <c r="AU747" s="117" t="n">
        <v>0</v>
      </c>
      <c r="AX747" s="117" t="n">
        <v>2</v>
      </c>
    </row>
    <row r="748" customFormat="false" ht="13.8" hidden="true" customHeight="false" outlineLevel="0" collapsed="false">
      <c r="A748" s="117" t="n">
        <v>1000</v>
      </c>
      <c r="B748" s="117" t="s">
        <v>1962</v>
      </c>
      <c r="C748" s="117" t="n">
        <v>100210304</v>
      </c>
      <c r="E748" s="117" t="s">
        <v>1921</v>
      </c>
      <c r="F748" s="117" t="n">
        <v>1109</v>
      </c>
      <c r="G748" s="117" t="n">
        <v>2019</v>
      </c>
      <c r="H748" s="117" t="n">
        <v>9</v>
      </c>
      <c r="I748" s="118" t="n">
        <v>43830</v>
      </c>
      <c r="J748" s="118" t="n">
        <v>43830</v>
      </c>
      <c r="K748" s="119" t="n">
        <v>-1864919.2</v>
      </c>
      <c r="L748" s="128" t="n">
        <f aca="false">K748-Q748+T748</f>
        <v>-1864919.2</v>
      </c>
      <c r="M748" s="117" t="s">
        <v>149</v>
      </c>
      <c r="N748" s="117" t="n">
        <v>-1864919.2</v>
      </c>
      <c r="O748" s="117" t="s">
        <v>149</v>
      </c>
      <c r="P748" s="117" t="n">
        <v>0</v>
      </c>
      <c r="Q748" s="117" t="n">
        <v>0</v>
      </c>
      <c r="R748" s="117" t="n">
        <v>-1864919.2</v>
      </c>
      <c r="S748" s="117" t="n">
        <v>0</v>
      </c>
      <c r="T748" s="117" t="n">
        <v>0</v>
      </c>
      <c r="U748" s="117" t="n">
        <v>312193</v>
      </c>
      <c r="V748" s="117" t="s">
        <v>1963</v>
      </c>
      <c r="Z748" s="117" t="n">
        <v>100210304</v>
      </c>
      <c r="AD748" s="117" t="n">
        <v>110000</v>
      </c>
      <c r="AE748" s="117" t="s">
        <v>1966</v>
      </c>
      <c r="AF748" s="117" t="n">
        <v>110000</v>
      </c>
      <c r="AG748" s="117" t="s">
        <v>1966</v>
      </c>
      <c r="AI748" s="117" t="n">
        <v>110000</v>
      </c>
      <c r="AJ748" s="117" t="s">
        <v>1966</v>
      </c>
      <c r="AK748" s="117" t="n">
        <v>0</v>
      </c>
      <c r="AL748" s="117" t="n">
        <v>17</v>
      </c>
      <c r="AM748" s="117" t="s">
        <v>225</v>
      </c>
      <c r="AP748" s="117" t="n">
        <v>100210304</v>
      </c>
      <c r="AQ748" s="118" t="n">
        <v>43830</v>
      </c>
      <c r="AR748" s="118" t="n">
        <v>43831</v>
      </c>
      <c r="AS748" s="117" t="n">
        <v>0.411388888888889</v>
      </c>
      <c r="AT748" s="117" t="n">
        <v>0</v>
      </c>
      <c r="AU748" s="117" t="n">
        <v>0</v>
      </c>
      <c r="AX748" s="117" t="n">
        <v>5</v>
      </c>
    </row>
    <row r="749" customFormat="false" ht="13.8" hidden="true" customHeight="false" outlineLevel="0" collapsed="false">
      <c r="A749" s="117" t="n">
        <v>1000</v>
      </c>
      <c r="B749" s="117" t="s">
        <v>1962</v>
      </c>
      <c r="C749" s="117" t="n">
        <v>100173605</v>
      </c>
      <c r="E749" s="117" t="s">
        <v>1921</v>
      </c>
      <c r="F749" s="117" t="n">
        <v>1101</v>
      </c>
      <c r="G749" s="117" t="n">
        <v>2019</v>
      </c>
      <c r="H749" s="117" t="n">
        <v>8</v>
      </c>
      <c r="I749" s="118" t="n">
        <v>43799</v>
      </c>
      <c r="J749" s="118" t="n">
        <v>43799</v>
      </c>
      <c r="K749" s="119" t="n">
        <v>-77674.99</v>
      </c>
      <c r="L749" s="128" t="n">
        <f aca="false">K749-Q749+T749</f>
        <v>-77674.99</v>
      </c>
      <c r="M749" s="117" t="s">
        <v>149</v>
      </c>
      <c r="N749" s="117" t="n">
        <v>-77674.99</v>
      </c>
      <c r="O749" s="117" t="s">
        <v>149</v>
      </c>
      <c r="P749" s="117" t="n">
        <v>0</v>
      </c>
      <c r="Q749" s="117" t="n">
        <v>0</v>
      </c>
      <c r="R749" s="117" t="n">
        <v>-77674.99</v>
      </c>
      <c r="S749" s="117" t="n">
        <v>0</v>
      </c>
      <c r="T749" s="117" t="n">
        <v>0</v>
      </c>
      <c r="U749" s="117" t="n">
        <v>318999</v>
      </c>
      <c r="V749" s="117" t="s">
        <v>143</v>
      </c>
      <c r="Z749" s="117" t="n">
        <v>100173605</v>
      </c>
      <c r="AD749" s="117" t="n">
        <v>110000</v>
      </c>
      <c r="AE749" s="117" t="s">
        <v>1966</v>
      </c>
      <c r="AF749" s="117" t="n">
        <v>310300</v>
      </c>
      <c r="AG749" s="117" t="s">
        <v>1969</v>
      </c>
      <c r="AI749" s="117" t="n">
        <v>310300</v>
      </c>
      <c r="AJ749" s="117" t="s">
        <v>1969</v>
      </c>
      <c r="AK749" s="117" t="n">
        <v>0</v>
      </c>
      <c r="AL749" s="117" t="n">
        <v>17</v>
      </c>
      <c r="AM749" s="117" t="s">
        <v>225</v>
      </c>
      <c r="AP749" s="117" t="n">
        <v>100173605</v>
      </c>
      <c r="AQ749" s="118" t="n">
        <v>43799</v>
      </c>
      <c r="AR749" s="118" t="n">
        <v>43800</v>
      </c>
      <c r="AS749" s="117" t="n">
        <v>0.706608796296296</v>
      </c>
      <c r="AT749" s="117" t="n">
        <v>0</v>
      </c>
      <c r="AU749" s="117" t="n">
        <v>0</v>
      </c>
      <c r="AX749" s="117" t="n">
        <v>2</v>
      </c>
    </row>
    <row r="750" customFormat="false" ht="13.8" hidden="true" customHeight="false" outlineLevel="0" collapsed="false">
      <c r="A750" s="117" t="n">
        <v>1000</v>
      </c>
      <c r="B750" s="117" t="s">
        <v>1962</v>
      </c>
      <c r="C750" s="117" t="n">
        <v>100197100</v>
      </c>
      <c r="E750" s="117" t="s">
        <v>1921</v>
      </c>
      <c r="F750" s="117" t="n">
        <v>1101</v>
      </c>
      <c r="G750" s="117" t="n">
        <v>2019</v>
      </c>
      <c r="H750" s="117" t="n">
        <v>9</v>
      </c>
      <c r="I750" s="118" t="n">
        <v>43827</v>
      </c>
      <c r="J750" s="118" t="n">
        <v>43827</v>
      </c>
      <c r="K750" s="119" t="n">
        <v>296339.2</v>
      </c>
      <c r="L750" s="128" t="n">
        <f aca="false">K750-Q750+T750</f>
        <v>296339.2</v>
      </c>
      <c r="M750" s="117" t="s">
        <v>149</v>
      </c>
      <c r="N750" s="117" t="n">
        <v>296339.2</v>
      </c>
      <c r="O750" s="117" t="s">
        <v>149</v>
      </c>
      <c r="P750" s="117" t="n">
        <v>0</v>
      </c>
      <c r="Q750" s="117" t="n">
        <v>0</v>
      </c>
      <c r="R750" s="117" t="n">
        <v>296339.2</v>
      </c>
      <c r="S750" s="117" t="n">
        <v>0</v>
      </c>
      <c r="T750" s="117" t="n">
        <v>0</v>
      </c>
      <c r="U750" s="117" t="n">
        <v>312948</v>
      </c>
      <c r="V750" s="117" t="s">
        <v>1984</v>
      </c>
      <c r="Z750" s="117" t="n">
        <v>100197100</v>
      </c>
      <c r="AD750" s="117" t="n">
        <v>310300</v>
      </c>
      <c r="AE750" s="117" t="s">
        <v>1969</v>
      </c>
      <c r="AF750" s="117" t="n">
        <v>110000</v>
      </c>
      <c r="AG750" s="117" t="s">
        <v>1966</v>
      </c>
      <c r="AI750" s="117" t="n">
        <v>110000</v>
      </c>
      <c r="AJ750" s="117" t="s">
        <v>1966</v>
      </c>
      <c r="AK750" s="117" t="n">
        <v>0</v>
      </c>
      <c r="AL750" s="117" t="n">
        <v>9</v>
      </c>
      <c r="AM750" s="117" t="s">
        <v>161</v>
      </c>
      <c r="AN750" s="117" t="s">
        <v>1978</v>
      </c>
      <c r="AP750" s="117" t="n">
        <v>100197100</v>
      </c>
      <c r="AQ750" s="118" t="n">
        <v>43827</v>
      </c>
      <c r="AR750" s="118" t="n">
        <v>43827</v>
      </c>
      <c r="AS750" s="117" t="n">
        <v>0.355752314814815</v>
      </c>
      <c r="AT750" s="117" t="n">
        <v>0</v>
      </c>
      <c r="AU750" s="117" t="n">
        <v>0</v>
      </c>
      <c r="AX750" s="117" t="n">
        <v>3</v>
      </c>
    </row>
    <row r="751" customFormat="false" ht="13.8" hidden="true" customHeight="false" outlineLevel="0" collapsed="false">
      <c r="A751" s="117" t="n">
        <v>1000</v>
      </c>
      <c r="B751" s="117" t="s">
        <v>1962</v>
      </c>
      <c r="C751" s="117" t="n">
        <v>100199799</v>
      </c>
      <c r="E751" s="117" t="s">
        <v>1921</v>
      </c>
      <c r="F751" s="117" t="n">
        <v>1112</v>
      </c>
      <c r="G751" s="117" t="n">
        <v>2019</v>
      </c>
      <c r="H751" s="117" t="n">
        <v>9</v>
      </c>
      <c r="I751" s="118" t="n">
        <v>43830</v>
      </c>
      <c r="J751" s="118" t="n">
        <v>43830</v>
      </c>
      <c r="K751" s="119" t="n">
        <v>49036.08</v>
      </c>
      <c r="L751" s="128" t="n">
        <f aca="false">K751-Q751+T751</f>
        <v>49036.08</v>
      </c>
      <c r="M751" s="117" t="s">
        <v>149</v>
      </c>
      <c r="N751" s="117" t="n">
        <v>49036.08</v>
      </c>
      <c r="O751" s="117" t="s">
        <v>149</v>
      </c>
      <c r="P751" s="117" t="n">
        <v>0</v>
      </c>
      <c r="Q751" s="117" t="n">
        <v>0</v>
      </c>
      <c r="R751" s="117" t="n">
        <v>49036.08</v>
      </c>
      <c r="S751" s="117" t="n">
        <v>0</v>
      </c>
      <c r="T751" s="117" t="n">
        <v>0</v>
      </c>
      <c r="U751" s="117" t="n">
        <v>312193</v>
      </c>
      <c r="V751" s="117" t="s">
        <v>1963</v>
      </c>
      <c r="X751" s="117" t="s">
        <v>2411</v>
      </c>
      <c r="Z751" s="117" t="n">
        <v>62191</v>
      </c>
      <c r="AB751" s="117" t="s">
        <v>2350</v>
      </c>
      <c r="AD751" s="117" t="n">
        <v>110000</v>
      </c>
      <c r="AE751" s="117" t="s">
        <v>1966</v>
      </c>
      <c r="AF751" s="117" t="n">
        <v>110000</v>
      </c>
      <c r="AG751" s="117" t="s">
        <v>1966</v>
      </c>
      <c r="AI751" s="117" t="n">
        <v>110000</v>
      </c>
      <c r="AJ751" s="117" t="s">
        <v>1966</v>
      </c>
      <c r="AK751" s="117" t="n">
        <v>0</v>
      </c>
      <c r="AL751" s="117" t="n">
        <v>4</v>
      </c>
      <c r="AM751" s="117" t="s">
        <v>161</v>
      </c>
      <c r="AR751" s="118" t="n">
        <v>43830</v>
      </c>
      <c r="AS751" s="117" t="n">
        <v>0.279467592592593</v>
      </c>
      <c r="AT751" s="117" t="n">
        <v>0</v>
      </c>
      <c r="AU751" s="117" t="n">
        <v>0</v>
      </c>
      <c r="AX751" s="117" t="n">
        <v>4</v>
      </c>
    </row>
    <row r="752" customFormat="false" ht="13.8" hidden="true" customHeight="false" outlineLevel="0" collapsed="false">
      <c r="A752" s="117" t="n">
        <v>1000</v>
      </c>
      <c r="B752" s="117" t="s">
        <v>1962</v>
      </c>
      <c r="C752" s="117" t="n">
        <v>100199799</v>
      </c>
      <c r="E752" s="117" t="s">
        <v>1921</v>
      </c>
      <c r="F752" s="117" t="n">
        <v>1112</v>
      </c>
      <c r="G752" s="117" t="n">
        <v>2019</v>
      </c>
      <c r="H752" s="117" t="n">
        <v>9</v>
      </c>
      <c r="I752" s="118" t="n">
        <v>43830</v>
      </c>
      <c r="J752" s="118" t="n">
        <v>43830</v>
      </c>
      <c r="K752" s="119" t="n">
        <v>7192.37</v>
      </c>
      <c r="L752" s="128" t="n">
        <f aca="false">K752-Q752+T752</f>
        <v>7192.37</v>
      </c>
      <c r="M752" s="117" t="s">
        <v>149</v>
      </c>
      <c r="N752" s="117" t="n">
        <v>7192.37</v>
      </c>
      <c r="O752" s="117" t="s">
        <v>149</v>
      </c>
      <c r="P752" s="117" t="n">
        <v>0</v>
      </c>
      <c r="Q752" s="117" t="n">
        <v>0</v>
      </c>
      <c r="R752" s="117" t="n">
        <v>7192.37</v>
      </c>
      <c r="S752" s="117" t="n">
        <v>0</v>
      </c>
      <c r="T752" s="117" t="n">
        <v>0</v>
      </c>
      <c r="U752" s="117" t="n">
        <v>312193</v>
      </c>
      <c r="V752" s="117" t="s">
        <v>1963</v>
      </c>
      <c r="X752" s="117" t="s">
        <v>2412</v>
      </c>
      <c r="Z752" s="117" t="n">
        <v>62196</v>
      </c>
      <c r="AB752" s="117" t="s">
        <v>2362</v>
      </c>
      <c r="AD752" s="117" t="n">
        <v>110000</v>
      </c>
      <c r="AE752" s="117" t="s">
        <v>1966</v>
      </c>
      <c r="AF752" s="117" t="n">
        <v>110000</v>
      </c>
      <c r="AG752" s="117" t="s">
        <v>1966</v>
      </c>
      <c r="AI752" s="117" t="n">
        <v>110000</v>
      </c>
      <c r="AJ752" s="117" t="s">
        <v>1966</v>
      </c>
      <c r="AK752" s="117" t="n">
        <v>0</v>
      </c>
      <c r="AL752" s="117" t="n">
        <v>4</v>
      </c>
      <c r="AM752" s="117" t="s">
        <v>161</v>
      </c>
      <c r="AR752" s="118" t="n">
        <v>43830</v>
      </c>
      <c r="AS752" s="117" t="n">
        <v>0.279467592592593</v>
      </c>
      <c r="AT752" s="117" t="n">
        <v>0</v>
      </c>
      <c r="AU752" s="117" t="n">
        <v>0</v>
      </c>
      <c r="AX752" s="117" t="n">
        <v>9</v>
      </c>
    </row>
    <row r="753" customFormat="false" ht="13.8" hidden="true" customHeight="false" outlineLevel="0" collapsed="false">
      <c r="A753" s="117" t="n">
        <v>1000</v>
      </c>
      <c r="B753" s="117" t="s">
        <v>1962</v>
      </c>
      <c r="C753" s="117" t="n">
        <v>100162620</v>
      </c>
      <c r="E753" s="117" t="s">
        <v>1921</v>
      </c>
      <c r="F753" s="117" t="n">
        <v>1108</v>
      </c>
      <c r="G753" s="117" t="n">
        <v>2019</v>
      </c>
      <c r="H753" s="117" t="n">
        <v>8</v>
      </c>
      <c r="I753" s="118" t="n">
        <v>43792</v>
      </c>
      <c r="J753" s="118" t="n">
        <v>43792</v>
      </c>
      <c r="K753" s="119" t="n">
        <v>501797.01</v>
      </c>
      <c r="L753" s="128" t="n">
        <f aca="false">K753-Q753+T753</f>
        <v>501797.01</v>
      </c>
      <c r="M753" s="117" t="s">
        <v>149</v>
      </c>
      <c r="N753" s="117" t="n">
        <v>501797.01</v>
      </c>
      <c r="O753" s="117" t="s">
        <v>149</v>
      </c>
      <c r="P753" s="117" t="n">
        <v>0</v>
      </c>
      <c r="Q753" s="117" t="n">
        <v>0</v>
      </c>
      <c r="R753" s="117" t="n">
        <v>501797.01</v>
      </c>
      <c r="S753" s="117" t="n">
        <v>0</v>
      </c>
      <c r="T753" s="117" t="n">
        <v>0</v>
      </c>
      <c r="U753" s="117" t="n">
        <v>313029</v>
      </c>
      <c r="V753" s="117" t="s">
        <v>143</v>
      </c>
      <c r="X753" s="117" t="s">
        <v>2413</v>
      </c>
      <c r="Z753" s="117" t="n">
        <v>2423</v>
      </c>
      <c r="AB753" s="117" t="s">
        <v>2414</v>
      </c>
      <c r="AD753" s="117" t="n">
        <v>110000</v>
      </c>
      <c r="AE753" s="117" t="s">
        <v>1966</v>
      </c>
      <c r="AF753" s="117" t="n">
        <v>110000</v>
      </c>
      <c r="AG753" s="117" t="s">
        <v>1966</v>
      </c>
      <c r="AI753" s="117" t="n">
        <v>110000</v>
      </c>
      <c r="AJ753" s="117" t="s">
        <v>1966</v>
      </c>
      <c r="AK753" s="117" t="n">
        <v>0</v>
      </c>
      <c r="AL753" s="117" t="n">
        <v>4</v>
      </c>
      <c r="AM753" s="117" t="s">
        <v>161</v>
      </c>
      <c r="AR753" s="118" t="n">
        <v>43792</v>
      </c>
      <c r="AS753" s="117" t="n">
        <v>0.671064814814815</v>
      </c>
      <c r="AT753" s="117" t="n">
        <v>0</v>
      </c>
      <c r="AU753" s="117" t="n">
        <v>0</v>
      </c>
      <c r="AX753" s="117" t="n">
        <v>1</v>
      </c>
    </row>
    <row r="754" customFormat="false" ht="13.8" hidden="true" customHeight="false" outlineLevel="0" collapsed="false">
      <c r="A754" s="117" t="n">
        <v>1000</v>
      </c>
      <c r="B754" s="117" t="s">
        <v>1962</v>
      </c>
      <c r="C754" s="117" t="n">
        <v>1600000300</v>
      </c>
      <c r="D754" s="117" t="s">
        <v>2354</v>
      </c>
      <c r="E754" s="117" t="s">
        <v>1987</v>
      </c>
      <c r="F754" s="117" t="n">
        <v>1101</v>
      </c>
      <c r="G754" s="117" t="n">
        <v>2019</v>
      </c>
      <c r="H754" s="117" t="n">
        <v>8</v>
      </c>
      <c r="I754" s="118" t="n">
        <v>43797</v>
      </c>
      <c r="J754" s="118" t="n">
        <v>43797</v>
      </c>
      <c r="K754" s="119" t="n">
        <v>-21924</v>
      </c>
      <c r="L754" s="128" t="n">
        <f aca="false">K754-Q754+T754</f>
        <v>-21924</v>
      </c>
      <c r="M754" s="117" t="s">
        <v>149</v>
      </c>
      <c r="N754" s="117" t="n">
        <v>-21924</v>
      </c>
      <c r="O754" s="117" t="s">
        <v>149</v>
      </c>
      <c r="P754" s="117" t="n">
        <v>-21924</v>
      </c>
      <c r="Q754" s="117" t="n">
        <v>0</v>
      </c>
      <c r="R754" s="117" t="n">
        <v>-21924</v>
      </c>
      <c r="S754" s="117" t="n">
        <v>0</v>
      </c>
      <c r="T754" s="117" t="n">
        <v>0</v>
      </c>
      <c r="U754" s="117" t="n">
        <v>318999</v>
      </c>
      <c r="V754" s="117" t="s">
        <v>143</v>
      </c>
      <c r="X754" s="117" t="s">
        <v>2415</v>
      </c>
      <c r="Y754" s="117" t="s">
        <v>2388</v>
      </c>
      <c r="Z754" s="117" t="n">
        <v>1600000300</v>
      </c>
      <c r="AD754" s="117" t="n">
        <v>310300</v>
      </c>
      <c r="AE754" s="117" t="s">
        <v>1969</v>
      </c>
      <c r="AF754" s="117" t="n">
        <v>111201</v>
      </c>
      <c r="AG754" s="117" t="s">
        <v>2165</v>
      </c>
      <c r="AI754" s="117" t="n">
        <v>111201</v>
      </c>
      <c r="AJ754" s="117" t="s">
        <v>2165</v>
      </c>
      <c r="AK754" s="117" t="n">
        <v>0</v>
      </c>
      <c r="AL754" s="117" t="n">
        <v>19</v>
      </c>
      <c r="AM754" s="117" t="s">
        <v>225</v>
      </c>
      <c r="AN754" s="117" t="s">
        <v>1978</v>
      </c>
      <c r="AP754" s="117" t="n">
        <v>100173605</v>
      </c>
      <c r="AQ754" s="118" t="n">
        <v>43799</v>
      </c>
      <c r="AR754" s="118" t="n">
        <v>43797</v>
      </c>
      <c r="AS754" s="117" t="n">
        <v>0.231458333333333</v>
      </c>
      <c r="AT754" s="117" t="n">
        <v>0</v>
      </c>
      <c r="AU754" s="117" t="n">
        <v>0</v>
      </c>
      <c r="AX754" s="117" t="n">
        <v>7</v>
      </c>
    </row>
    <row r="755" customFormat="false" ht="13.8" hidden="true" customHeight="false" outlineLevel="0" collapsed="false">
      <c r="A755" s="117" t="n">
        <v>1000</v>
      </c>
      <c r="B755" s="117" t="s">
        <v>1962</v>
      </c>
      <c r="C755" s="117" t="n">
        <v>100194025</v>
      </c>
      <c r="E755" s="117" t="s">
        <v>1921</v>
      </c>
      <c r="F755" s="117" t="n">
        <v>1112</v>
      </c>
      <c r="G755" s="117" t="n">
        <v>2019</v>
      </c>
      <c r="H755" s="117" t="n">
        <v>9</v>
      </c>
      <c r="I755" s="118" t="n">
        <v>43824</v>
      </c>
      <c r="J755" s="118" t="n">
        <v>43824</v>
      </c>
      <c r="K755" s="119" t="n">
        <v>34897.32</v>
      </c>
      <c r="L755" s="128" t="n">
        <f aca="false">K755-Q755+T755</f>
        <v>34897.32</v>
      </c>
      <c r="M755" s="117" t="s">
        <v>149</v>
      </c>
      <c r="N755" s="117" t="n">
        <v>34897.32</v>
      </c>
      <c r="O755" s="117" t="s">
        <v>149</v>
      </c>
      <c r="P755" s="117" t="n">
        <v>0</v>
      </c>
      <c r="Q755" s="117" t="n">
        <v>0</v>
      </c>
      <c r="R755" s="117" t="n">
        <v>34897.32</v>
      </c>
      <c r="S755" s="117" t="n">
        <v>0</v>
      </c>
      <c r="T755" s="117" t="n">
        <v>0</v>
      </c>
      <c r="U755" s="117" t="n">
        <v>312193</v>
      </c>
      <c r="V755" s="117" t="s">
        <v>1963</v>
      </c>
      <c r="X755" s="117" t="s">
        <v>1735</v>
      </c>
      <c r="Z755" s="117" t="n">
        <v>62391</v>
      </c>
      <c r="AB755" s="117" t="s">
        <v>2362</v>
      </c>
      <c r="AD755" s="117" t="n">
        <v>110000</v>
      </c>
      <c r="AE755" s="117" t="s">
        <v>1966</v>
      </c>
      <c r="AF755" s="117" t="n">
        <v>110000</v>
      </c>
      <c r="AG755" s="117" t="s">
        <v>1966</v>
      </c>
      <c r="AI755" s="117" t="n">
        <v>110000</v>
      </c>
      <c r="AJ755" s="117" t="s">
        <v>1966</v>
      </c>
      <c r="AK755" s="117" t="n">
        <v>0</v>
      </c>
      <c r="AL755" s="117" t="n">
        <v>4</v>
      </c>
      <c r="AM755" s="117" t="s">
        <v>161</v>
      </c>
      <c r="AR755" s="118" t="n">
        <v>43824</v>
      </c>
      <c r="AS755" s="117" t="n">
        <v>0.371284722222222</v>
      </c>
      <c r="AT755" s="117" t="n">
        <v>0</v>
      </c>
      <c r="AU755" s="117" t="n">
        <v>0</v>
      </c>
      <c r="AX755" s="117" t="n">
        <v>30</v>
      </c>
    </row>
    <row r="756" s="106" customFormat="true" ht="13.8" hidden="true" customHeight="false" outlineLevel="0" collapsed="false">
      <c r="A756" s="106" t="n">
        <v>1000</v>
      </c>
      <c r="B756" s="106" t="s">
        <v>1962</v>
      </c>
      <c r="C756" s="106" t="n">
        <v>109706</v>
      </c>
      <c r="D756" s="106" t="s">
        <v>2416</v>
      </c>
      <c r="E756" s="106" t="s">
        <v>1970</v>
      </c>
      <c r="F756" s="106" t="n">
        <v>1109</v>
      </c>
      <c r="G756" s="106" t="n">
        <v>2019</v>
      </c>
      <c r="H756" s="106" t="n">
        <v>8</v>
      </c>
      <c r="I756" s="129" t="n">
        <v>43799</v>
      </c>
      <c r="J756" s="129" t="n">
        <v>43799</v>
      </c>
      <c r="K756" s="107" t="n">
        <v>1309828.54</v>
      </c>
      <c r="L756" s="130" t="n">
        <f aca="false">K756-Q756+T756</f>
        <v>1110024.16</v>
      </c>
      <c r="M756" s="106" t="s">
        <v>149</v>
      </c>
      <c r="N756" s="106" t="n">
        <v>1309828.54</v>
      </c>
      <c r="O756" s="106" t="s">
        <v>149</v>
      </c>
      <c r="P756" s="106" t="n">
        <v>0</v>
      </c>
      <c r="Q756" s="107" t="n">
        <v>199804.38</v>
      </c>
      <c r="R756" s="106" t="n">
        <v>1110024.16</v>
      </c>
      <c r="S756" s="106" t="n">
        <v>0</v>
      </c>
      <c r="T756" s="106" t="n">
        <v>0</v>
      </c>
      <c r="U756" s="106" t="n">
        <v>315113</v>
      </c>
      <c r="V756" s="106" t="s">
        <v>143</v>
      </c>
      <c r="Z756" s="106" t="n">
        <v>62273</v>
      </c>
      <c r="AB756" s="106" t="s">
        <v>2417</v>
      </c>
      <c r="AD756" s="106" t="n">
        <v>110000</v>
      </c>
      <c r="AE756" s="106" t="s">
        <v>1966</v>
      </c>
      <c r="AF756" s="106" t="n">
        <v>501005</v>
      </c>
      <c r="AG756" s="106" t="s">
        <v>2033</v>
      </c>
      <c r="AI756" s="106" t="n">
        <v>501005</v>
      </c>
      <c r="AJ756" s="106" t="s">
        <v>2033</v>
      </c>
      <c r="AK756" s="106" t="n">
        <v>0</v>
      </c>
      <c r="AL756" s="106" t="n">
        <v>1</v>
      </c>
      <c r="AM756" s="106" t="s">
        <v>161</v>
      </c>
      <c r="AP756" s="106" t="n">
        <v>100173568</v>
      </c>
      <c r="AQ756" s="129" t="n">
        <v>43799</v>
      </c>
      <c r="AR756" s="129" t="n">
        <v>43799</v>
      </c>
      <c r="AS756" s="106" t="n">
        <v>0.553391203703704</v>
      </c>
      <c r="AT756" s="106" t="n">
        <v>0</v>
      </c>
      <c r="AU756" s="106" t="n">
        <v>0</v>
      </c>
      <c r="AX756" s="106" t="n">
        <v>1</v>
      </c>
      <c r="ALU756" s="0"/>
      <c r="ALV756" s="0"/>
      <c r="ALW756" s="0"/>
      <c r="ALX756" s="0"/>
      <c r="ALY756" s="0"/>
      <c r="ALZ756" s="0"/>
      <c r="AMA756" s="0"/>
      <c r="AMB756" s="0"/>
      <c r="AMC756" s="0"/>
      <c r="AMD756" s="0"/>
      <c r="AME756" s="0"/>
      <c r="AMF756" s="0"/>
      <c r="AMG756" s="0"/>
      <c r="AMH756" s="0"/>
      <c r="AMI756" s="0"/>
      <c r="AMJ756" s="0"/>
    </row>
    <row r="757" customFormat="false" ht="13.8" hidden="true" customHeight="false" outlineLevel="0" collapsed="false">
      <c r="A757" s="117" t="n">
        <v>1000</v>
      </c>
      <c r="B757" s="117" t="s">
        <v>1962</v>
      </c>
      <c r="C757" s="117" t="n">
        <v>1600000288</v>
      </c>
      <c r="D757" s="117" t="s">
        <v>2356</v>
      </c>
      <c r="E757" s="117" t="s">
        <v>1987</v>
      </c>
      <c r="F757" s="117" t="n">
        <v>1101</v>
      </c>
      <c r="G757" s="117" t="n">
        <v>2019</v>
      </c>
      <c r="H757" s="117" t="n">
        <v>8</v>
      </c>
      <c r="I757" s="118" t="n">
        <v>43795</v>
      </c>
      <c r="J757" s="118" t="n">
        <v>43795</v>
      </c>
      <c r="K757" s="119" t="n">
        <v>-2796</v>
      </c>
      <c r="L757" s="128" t="n">
        <f aca="false">K757-Q757+T757</f>
        <v>-2796</v>
      </c>
      <c r="M757" s="117" t="s">
        <v>149</v>
      </c>
      <c r="N757" s="117" t="n">
        <v>-2796</v>
      </c>
      <c r="O757" s="117" t="s">
        <v>149</v>
      </c>
      <c r="P757" s="117" t="n">
        <v>-2796</v>
      </c>
      <c r="Q757" s="117" t="n">
        <v>0</v>
      </c>
      <c r="R757" s="117" t="n">
        <v>-2796</v>
      </c>
      <c r="S757" s="117" t="n">
        <v>0</v>
      </c>
      <c r="T757" s="117" t="n">
        <v>0</v>
      </c>
      <c r="U757" s="117" t="n">
        <v>312193</v>
      </c>
      <c r="V757" s="117" t="s">
        <v>1963</v>
      </c>
      <c r="X757" s="117" t="s">
        <v>2418</v>
      </c>
      <c r="Y757" s="117" t="s">
        <v>2358</v>
      </c>
      <c r="Z757" s="117" t="n">
        <v>1600000288</v>
      </c>
      <c r="AD757" s="117" t="n">
        <v>310300</v>
      </c>
      <c r="AE757" s="117" t="s">
        <v>1969</v>
      </c>
      <c r="AF757" s="117" t="n">
        <v>111201</v>
      </c>
      <c r="AG757" s="117" t="s">
        <v>2165</v>
      </c>
      <c r="AI757" s="117" t="n">
        <v>111201</v>
      </c>
      <c r="AJ757" s="117" t="s">
        <v>2165</v>
      </c>
      <c r="AK757" s="117" t="n">
        <v>0</v>
      </c>
      <c r="AL757" s="117" t="n">
        <v>19</v>
      </c>
      <c r="AM757" s="117" t="s">
        <v>225</v>
      </c>
      <c r="AN757" s="117" t="s">
        <v>1978</v>
      </c>
      <c r="AP757" s="117" t="n">
        <v>100173563</v>
      </c>
      <c r="AQ757" s="118" t="n">
        <v>43799</v>
      </c>
      <c r="AR757" s="118" t="n">
        <v>43795</v>
      </c>
      <c r="AS757" s="117" t="n">
        <v>0.285</v>
      </c>
      <c r="AT757" s="117" t="n">
        <v>0</v>
      </c>
      <c r="AU757" s="117" t="n">
        <v>0</v>
      </c>
      <c r="AX757" s="117" t="n">
        <v>35</v>
      </c>
    </row>
    <row r="758" customFormat="false" ht="13.8" hidden="true" customHeight="false" outlineLevel="0" collapsed="false">
      <c r="A758" s="117" t="n">
        <v>1000</v>
      </c>
      <c r="B758" s="117" t="s">
        <v>1962</v>
      </c>
      <c r="C758" s="117" t="n">
        <v>100143915</v>
      </c>
      <c r="E758" s="117" t="s">
        <v>1921</v>
      </c>
      <c r="F758" s="117" t="n">
        <v>1109</v>
      </c>
      <c r="G758" s="117" t="n">
        <v>2019</v>
      </c>
      <c r="H758" s="117" t="n">
        <v>7</v>
      </c>
      <c r="I758" s="118" t="n">
        <v>43769</v>
      </c>
      <c r="J758" s="118" t="n">
        <v>43769</v>
      </c>
      <c r="K758" s="119" t="n">
        <v>-43547</v>
      </c>
      <c r="L758" s="128" t="n">
        <f aca="false">K758-Q758+T758</f>
        <v>-43547</v>
      </c>
      <c r="M758" s="117" t="s">
        <v>149</v>
      </c>
      <c r="N758" s="117" t="n">
        <v>-43547</v>
      </c>
      <c r="O758" s="117" t="s">
        <v>149</v>
      </c>
      <c r="P758" s="117" t="n">
        <v>0</v>
      </c>
      <c r="Q758" s="117" t="n">
        <v>0</v>
      </c>
      <c r="R758" s="117" t="n">
        <v>-43547</v>
      </c>
      <c r="S758" s="117" t="n">
        <v>0</v>
      </c>
      <c r="T758" s="117" t="n">
        <v>0</v>
      </c>
      <c r="U758" s="117" t="n">
        <v>304431</v>
      </c>
      <c r="V758" s="117" t="s">
        <v>2016</v>
      </c>
      <c r="Z758" s="117" t="n">
        <v>100143915</v>
      </c>
      <c r="AD758" s="117" t="n">
        <v>110000</v>
      </c>
      <c r="AE758" s="117" t="s">
        <v>1966</v>
      </c>
      <c r="AF758" s="117" t="n">
        <v>110000</v>
      </c>
      <c r="AG758" s="117" t="s">
        <v>1966</v>
      </c>
      <c r="AI758" s="117" t="n">
        <v>110000</v>
      </c>
      <c r="AJ758" s="117" t="s">
        <v>1966</v>
      </c>
      <c r="AK758" s="117" t="n">
        <v>0</v>
      </c>
      <c r="AL758" s="117" t="n">
        <v>17</v>
      </c>
      <c r="AM758" s="117" t="s">
        <v>225</v>
      </c>
      <c r="AP758" s="117" t="n">
        <v>100143915</v>
      </c>
      <c r="AQ758" s="118" t="n">
        <v>43769</v>
      </c>
      <c r="AR758" s="118" t="n">
        <v>43770</v>
      </c>
      <c r="AS758" s="117" t="n">
        <v>0.188275462962963</v>
      </c>
      <c r="AT758" s="117" t="n">
        <v>0</v>
      </c>
      <c r="AU758" s="117" t="n">
        <v>0</v>
      </c>
      <c r="AX758" s="117" t="n">
        <v>3</v>
      </c>
    </row>
    <row r="759" customFormat="false" ht="13.8" hidden="true" customHeight="false" outlineLevel="0" collapsed="false">
      <c r="A759" s="117" t="n">
        <v>1000</v>
      </c>
      <c r="B759" s="117" t="s">
        <v>1962</v>
      </c>
      <c r="C759" s="117" t="n">
        <v>100141416</v>
      </c>
      <c r="E759" s="117" t="s">
        <v>1921</v>
      </c>
      <c r="F759" s="117" t="n">
        <v>1109</v>
      </c>
      <c r="G759" s="117" t="n">
        <v>2019</v>
      </c>
      <c r="H759" s="117" t="n">
        <v>7</v>
      </c>
      <c r="I759" s="118" t="n">
        <v>43766</v>
      </c>
      <c r="J759" s="118" t="n">
        <v>43766</v>
      </c>
      <c r="K759" s="119" t="n">
        <v>2843</v>
      </c>
      <c r="L759" s="128" t="n">
        <f aca="false">K759-Q759+T759</f>
        <v>2843</v>
      </c>
      <c r="M759" s="117" t="s">
        <v>149</v>
      </c>
      <c r="N759" s="117" t="n">
        <v>2843</v>
      </c>
      <c r="O759" s="117" t="s">
        <v>149</v>
      </c>
      <c r="P759" s="117" t="n">
        <v>0</v>
      </c>
      <c r="Q759" s="117" t="n">
        <v>0</v>
      </c>
      <c r="R759" s="117" t="n">
        <v>2843</v>
      </c>
      <c r="S759" s="117" t="n">
        <v>0</v>
      </c>
      <c r="T759" s="117" t="n">
        <v>0</v>
      </c>
      <c r="U759" s="117" t="n">
        <v>304431</v>
      </c>
      <c r="V759" s="117" t="s">
        <v>2016</v>
      </c>
      <c r="X759" s="117" t="s">
        <v>2419</v>
      </c>
      <c r="Z759" s="117" t="n">
        <v>2447</v>
      </c>
      <c r="AB759" s="117" t="s">
        <v>2052</v>
      </c>
      <c r="AD759" s="117" t="n">
        <v>110000</v>
      </c>
      <c r="AE759" s="117" t="s">
        <v>1966</v>
      </c>
      <c r="AF759" s="117" t="n">
        <v>110000</v>
      </c>
      <c r="AG759" s="117" t="s">
        <v>1966</v>
      </c>
      <c r="AI759" s="117" t="n">
        <v>110000</v>
      </c>
      <c r="AJ759" s="117" t="s">
        <v>1966</v>
      </c>
      <c r="AK759" s="117" t="n">
        <v>0</v>
      </c>
      <c r="AL759" s="117" t="n">
        <v>4</v>
      </c>
      <c r="AM759" s="117" t="s">
        <v>161</v>
      </c>
      <c r="AP759" s="117" t="n">
        <v>100143915</v>
      </c>
      <c r="AQ759" s="118" t="n">
        <v>43769</v>
      </c>
      <c r="AR759" s="118" t="n">
        <v>43766</v>
      </c>
      <c r="AS759" s="117" t="n">
        <v>0.331469907407407</v>
      </c>
      <c r="AT759" s="117" t="n">
        <v>0</v>
      </c>
      <c r="AU759" s="117" t="n">
        <v>0</v>
      </c>
      <c r="AX759" s="117" t="n">
        <v>1</v>
      </c>
    </row>
    <row r="760" s="106" customFormat="true" ht="13.8" hidden="true" customHeight="false" outlineLevel="0" collapsed="false">
      <c r="A760" s="106" t="n">
        <v>1000</v>
      </c>
      <c r="B760" s="106" t="s">
        <v>1962</v>
      </c>
      <c r="C760" s="106" t="n">
        <v>110183</v>
      </c>
      <c r="D760" s="106" t="s">
        <v>2420</v>
      </c>
      <c r="E760" s="106" t="s">
        <v>1970</v>
      </c>
      <c r="F760" s="106" t="n">
        <v>1112</v>
      </c>
      <c r="G760" s="106" t="n">
        <v>2019</v>
      </c>
      <c r="H760" s="106" t="n">
        <v>9</v>
      </c>
      <c r="I760" s="129" t="n">
        <v>43813</v>
      </c>
      <c r="J760" s="129" t="n">
        <v>43813</v>
      </c>
      <c r="K760" s="107" t="n">
        <v>190524.26</v>
      </c>
      <c r="L760" s="130" t="n">
        <f aca="false">K760-Q760+T760</f>
        <v>161461.24</v>
      </c>
      <c r="M760" s="106" t="s">
        <v>149</v>
      </c>
      <c r="N760" s="106" t="n">
        <v>190524.26</v>
      </c>
      <c r="O760" s="106" t="s">
        <v>149</v>
      </c>
      <c r="P760" s="106" t="n">
        <v>0</v>
      </c>
      <c r="Q760" s="107" t="n">
        <v>29063.02</v>
      </c>
      <c r="R760" s="106" t="n">
        <v>161461.24</v>
      </c>
      <c r="S760" s="106" t="n">
        <v>0</v>
      </c>
      <c r="T760" s="106" t="n">
        <v>0</v>
      </c>
      <c r="U760" s="106" t="n">
        <v>312193</v>
      </c>
      <c r="V760" s="106" t="s">
        <v>1963</v>
      </c>
      <c r="Z760" s="106" t="n">
        <v>62147</v>
      </c>
      <c r="AB760" s="106" t="s">
        <v>2350</v>
      </c>
      <c r="AD760" s="106" t="n">
        <v>110000</v>
      </c>
      <c r="AE760" s="106" t="s">
        <v>1966</v>
      </c>
      <c r="AF760" s="106" t="n">
        <v>501005</v>
      </c>
      <c r="AG760" s="106" t="s">
        <v>2033</v>
      </c>
      <c r="AI760" s="106" t="n">
        <v>501005</v>
      </c>
      <c r="AJ760" s="106" t="s">
        <v>2033</v>
      </c>
      <c r="AK760" s="106" t="n">
        <v>0</v>
      </c>
      <c r="AL760" s="106" t="n">
        <v>1</v>
      </c>
      <c r="AM760" s="106" t="s">
        <v>161</v>
      </c>
      <c r="AP760" s="106" t="n">
        <v>100194025</v>
      </c>
      <c r="AQ760" s="129" t="n">
        <v>43824</v>
      </c>
      <c r="AR760" s="129" t="n">
        <v>43813</v>
      </c>
      <c r="AS760" s="106" t="n">
        <v>0.770162037037037</v>
      </c>
      <c r="AT760" s="106" t="n">
        <v>0</v>
      </c>
      <c r="AU760" s="106" t="n">
        <v>0</v>
      </c>
      <c r="AX760" s="106" t="n">
        <v>1</v>
      </c>
      <c r="ALU760" s="0"/>
      <c r="ALV760" s="0"/>
      <c r="ALW760" s="0"/>
      <c r="ALX760" s="0"/>
      <c r="ALY760" s="0"/>
      <c r="ALZ760" s="0"/>
      <c r="AMA760" s="0"/>
      <c r="AMB760" s="0"/>
      <c r="AMC760" s="0"/>
      <c r="AMD760" s="0"/>
      <c r="AME760" s="0"/>
      <c r="AMF760" s="0"/>
      <c r="AMG760" s="0"/>
      <c r="AMH760" s="0"/>
      <c r="AMI760" s="0"/>
      <c r="AMJ760" s="0"/>
    </row>
    <row r="761" s="106" customFormat="true" ht="13.8" hidden="true" customHeight="false" outlineLevel="0" collapsed="false">
      <c r="A761" s="106" t="n">
        <v>1000</v>
      </c>
      <c r="B761" s="106" t="s">
        <v>1962</v>
      </c>
      <c r="C761" s="106" t="n">
        <v>110006</v>
      </c>
      <c r="D761" s="106" t="s">
        <v>1272</v>
      </c>
      <c r="E761" s="106" t="s">
        <v>1970</v>
      </c>
      <c r="F761" s="106" t="n">
        <v>1109</v>
      </c>
      <c r="G761" s="106" t="n">
        <v>2019</v>
      </c>
      <c r="H761" s="106" t="n">
        <v>9</v>
      </c>
      <c r="I761" s="129" t="n">
        <v>43809</v>
      </c>
      <c r="J761" s="129" t="n">
        <v>43809</v>
      </c>
      <c r="K761" s="107" t="n">
        <v>1765280</v>
      </c>
      <c r="L761" s="130" t="n">
        <f aca="false">K761-Q761+T761</f>
        <v>1496000</v>
      </c>
      <c r="M761" s="106" t="s">
        <v>149</v>
      </c>
      <c r="N761" s="106" t="n">
        <v>1765280</v>
      </c>
      <c r="O761" s="106" t="s">
        <v>149</v>
      </c>
      <c r="P761" s="106" t="n">
        <v>0</v>
      </c>
      <c r="Q761" s="107" t="n">
        <v>269280</v>
      </c>
      <c r="R761" s="106" t="n">
        <v>1496000</v>
      </c>
      <c r="S761" s="106" t="n">
        <v>0</v>
      </c>
      <c r="T761" s="106" t="n">
        <v>0</v>
      </c>
      <c r="U761" s="106" t="n">
        <v>311155</v>
      </c>
      <c r="V761" s="106" t="s">
        <v>2022</v>
      </c>
      <c r="Z761" s="106" t="n">
        <v>62234</v>
      </c>
      <c r="AB761" s="106" t="s">
        <v>2421</v>
      </c>
      <c r="AD761" s="106" t="n">
        <v>110000</v>
      </c>
      <c r="AE761" s="106" t="s">
        <v>1966</v>
      </c>
      <c r="AF761" s="106" t="n">
        <v>501005</v>
      </c>
      <c r="AG761" s="106" t="s">
        <v>2033</v>
      </c>
      <c r="AI761" s="106" t="n">
        <v>501005</v>
      </c>
      <c r="AJ761" s="106" t="s">
        <v>2033</v>
      </c>
      <c r="AK761" s="106" t="n">
        <v>0</v>
      </c>
      <c r="AL761" s="106" t="n">
        <v>1</v>
      </c>
      <c r="AM761" s="106" t="s">
        <v>161</v>
      </c>
      <c r="AP761" s="106" t="n">
        <v>100190616</v>
      </c>
      <c r="AQ761" s="129" t="n">
        <v>43819</v>
      </c>
      <c r="AR761" s="129" t="n">
        <v>43809</v>
      </c>
      <c r="AS761" s="106" t="n">
        <v>0.745081018518519</v>
      </c>
      <c r="AT761" s="106" t="n">
        <v>0</v>
      </c>
      <c r="AU761" s="106" t="n">
        <v>0</v>
      </c>
      <c r="AX761" s="106" t="n">
        <v>1</v>
      </c>
      <c r="ALU761" s="0"/>
      <c r="ALV761" s="0"/>
      <c r="ALW761" s="0"/>
      <c r="ALX761" s="0"/>
      <c r="ALY761" s="0"/>
      <c r="ALZ761" s="0"/>
      <c r="AMA761" s="0"/>
      <c r="AMB761" s="0"/>
      <c r="AMC761" s="0"/>
      <c r="AMD761" s="0"/>
      <c r="AME761" s="0"/>
      <c r="AMF761" s="0"/>
      <c r="AMG761" s="0"/>
      <c r="AMH761" s="0"/>
      <c r="AMI761" s="0"/>
      <c r="AMJ761" s="0"/>
    </row>
    <row r="762" s="106" customFormat="true" ht="13.8" hidden="true" customHeight="false" outlineLevel="0" collapsed="false">
      <c r="A762" s="106" t="n">
        <v>1000</v>
      </c>
      <c r="B762" s="106" t="s">
        <v>1962</v>
      </c>
      <c r="C762" s="106" t="n">
        <v>110420</v>
      </c>
      <c r="D762" s="106" t="s">
        <v>1720</v>
      </c>
      <c r="E762" s="106" t="s">
        <v>1970</v>
      </c>
      <c r="F762" s="106" t="n">
        <v>1112</v>
      </c>
      <c r="G762" s="106" t="n">
        <v>2019</v>
      </c>
      <c r="H762" s="106" t="n">
        <v>9</v>
      </c>
      <c r="I762" s="129" t="n">
        <v>43820</v>
      </c>
      <c r="J762" s="129" t="n">
        <v>43820</v>
      </c>
      <c r="K762" s="107" t="n">
        <v>416829.1</v>
      </c>
      <c r="L762" s="130" t="n">
        <f aca="false">K762-Q762+T762</f>
        <v>353245</v>
      </c>
      <c r="M762" s="106" t="s">
        <v>149</v>
      </c>
      <c r="N762" s="106" t="n">
        <v>416829.1</v>
      </c>
      <c r="O762" s="106" t="s">
        <v>149</v>
      </c>
      <c r="P762" s="106" t="n">
        <v>0</v>
      </c>
      <c r="Q762" s="107" t="n">
        <v>63584.1</v>
      </c>
      <c r="R762" s="106" t="n">
        <v>353245</v>
      </c>
      <c r="S762" s="106" t="n">
        <v>0</v>
      </c>
      <c r="T762" s="106" t="n">
        <v>0</v>
      </c>
      <c r="U762" s="106" t="n">
        <v>312193</v>
      </c>
      <c r="V762" s="106" t="s">
        <v>1963</v>
      </c>
      <c r="Z762" s="106" t="n">
        <v>62190</v>
      </c>
      <c r="AB762" s="106" t="s">
        <v>2362</v>
      </c>
      <c r="AD762" s="106" t="n">
        <v>110000</v>
      </c>
      <c r="AE762" s="106" t="s">
        <v>1966</v>
      </c>
      <c r="AF762" s="106" t="n">
        <v>501005</v>
      </c>
      <c r="AG762" s="106" t="s">
        <v>2033</v>
      </c>
      <c r="AI762" s="106" t="n">
        <v>501005</v>
      </c>
      <c r="AJ762" s="106" t="s">
        <v>2033</v>
      </c>
      <c r="AK762" s="106" t="n">
        <v>0</v>
      </c>
      <c r="AL762" s="106" t="n">
        <v>1</v>
      </c>
      <c r="AM762" s="106" t="s">
        <v>161</v>
      </c>
      <c r="AP762" s="106" t="n">
        <v>100194025</v>
      </c>
      <c r="AQ762" s="129" t="n">
        <v>43824</v>
      </c>
      <c r="AR762" s="129" t="n">
        <v>43820</v>
      </c>
      <c r="AS762" s="106" t="n">
        <v>0.618877314814815</v>
      </c>
      <c r="AT762" s="106" t="n">
        <v>0</v>
      </c>
      <c r="AU762" s="106" t="n">
        <v>0</v>
      </c>
      <c r="AX762" s="106" t="n">
        <v>1</v>
      </c>
      <c r="ALU762" s="0"/>
      <c r="ALV762" s="0"/>
      <c r="ALW762" s="0"/>
      <c r="ALX762" s="0"/>
      <c r="ALY762" s="0"/>
      <c r="ALZ762" s="0"/>
      <c r="AMA762" s="0"/>
      <c r="AMB762" s="0"/>
      <c r="AMC762" s="0"/>
      <c r="AMD762" s="0"/>
      <c r="AME762" s="0"/>
      <c r="AMF762" s="0"/>
      <c r="AMG762" s="0"/>
      <c r="AMH762" s="0"/>
      <c r="AMI762" s="0"/>
      <c r="AMJ762" s="0"/>
    </row>
    <row r="763" s="106" customFormat="true" ht="13.8" hidden="true" customHeight="false" outlineLevel="0" collapsed="false">
      <c r="A763" s="106" t="n">
        <v>1000</v>
      </c>
      <c r="B763" s="106" t="s">
        <v>1962</v>
      </c>
      <c r="C763" s="106" t="n">
        <v>110220</v>
      </c>
      <c r="D763" s="106" t="s">
        <v>1234</v>
      </c>
      <c r="E763" s="106" t="s">
        <v>1970</v>
      </c>
      <c r="F763" s="106" t="n">
        <v>1109</v>
      </c>
      <c r="G763" s="106" t="n">
        <v>2019</v>
      </c>
      <c r="H763" s="106" t="n">
        <v>9</v>
      </c>
      <c r="I763" s="129" t="n">
        <v>43816</v>
      </c>
      <c r="J763" s="129" t="n">
        <v>43816</v>
      </c>
      <c r="K763" s="107" t="n">
        <v>1102632.68</v>
      </c>
      <c r="L763" s="130" t="n">
        <f aca="false">K763-Q763+T763</f>
        <v>934434.48</v>
      </c>
      <c r="M763" s="106" t="s">
        <v>149</v>
      </c>
      <c r="N763" s="106" t="n">
        <v>1102632.68</v>
      </c>
      <c r="O763" s="106" t="s">
        <v>149</v>
      </c>
      <c r="P763" s="106" t="n">
        <v>0</v>
      </c>
      <c r="Q763" s="107" t="n">
        <v>168198.2</v>
      </c>
      <c r="R763" s="106" t="n">
        <v>934434.48</v>
      </c>
      <c r="S763" s="106" t="n">
        <v>0</v>
      </c>
      <c r="T763" s="106" t="n">
        <v>0</v>
      </c>
      <c r="U763" s="106" t="n">
        <v>311155</v>
      </c>
      <c r="V763" s="106" t="s">
        <v>2022</v>
      </c>
      <c r="Z763" s="106" t="n">
        <v>62562</v>
      </c>
      <c r="AB763" s="106" t="s">
        <v>2422</v>
      </c>
      <c r="AD763" s="106" t="n">
        <v>110000</v>
      </c>
      <c r="AE763" s="106" t="s">
        <v>1966</v>
      </c>
      <c r="AF763" s="106" t="n">
        <v>501005</v>
      </c>
      <c r="AG763" s="106" t="s">
        <v>2033</v>
      </c>
      <c r="AI763" s="106" t="n">
        <v>501005</v>
      </c>
      <c r="AJ763" s="106" t="s">
        <v>2033</v>
      </c>
      <c r="AK763" s="106" t="n">
        <v>0</v>
      </c>
      <c r="AL763" s="106" t="n">
        <v>1</v>
      </c>
      <c r="AM763" s="106" t="s">
        <v>161</v>
      </c>
      <c r="AP763" s="106" t="n">
        <v>100190616</v>
      </c>
      <c r="AQ763" s="129" t="n">
        <v>43819</v>
      </c>
      <c r="AR763" s="129" t="n">
        <v>43816</v>
      </c>
      <c r="AS763" s="106" t="n">
        <v>0.415729166666667</v>
      </c>
      <c r="AT763" s="106" t="n">
        <v>0</v>
      </c>
      <c r="AU763" s="106" t="n">
        <v>0</v>
      </c>
      <c r="AX763" s="106" t="n">
        <v>1</v>
      </c>
      <c r="ALU763" s="0"/>
      <c r="ALV763" s="0"/>
      <c r="ALW763" s="0"/>
      <c r="ALX763" s="0"/>
      <c r="ALY763" s="0"/>
      <c r="ALZ763" s="0"/>
      <c r="AMA763" s="0"/>
      <c r="AMB763" s="0"/>
      <c r="AMC763" s="0"/>
      <c r="AMD763" s="0"/>
      <c r="AME763" s="0"/>
      <c r="AMF763" s="0"/>
      <c r="AMG763" s="0"/>
      <c r="AMH763" s="0"/>
      <c r="AMI763" s="0"/>
      <c r="AMJ763" s="0"/>
    </row>
    <row r="764" s="106" customFormat="true" ht="13.8" hidden="true" customHeight="false" outlineLevel="0" collapsed="false">
      <c r="A764" s="106" t="n">
        <v>1000</v>
      </c>
      <c r="B764" s="106" t="s">
        <v>1962</v>
      </c>
      <c r="C764" s="106" t="n">
        <v>110555</v>
      </c>
      <c r="D764" s="106" t="s">
        <v>1162</v>
      </c>
      <c r="E764" s="106" t="s">
        <v>1970</v>
      </c>
      <c r="F764" s="106" t="n">
        <v>1109</v>
      </c>
      <c r="G764" s="106" t="n">
        <v>2019</v>
      </c>
      <c r="H764" s="106" t="n">
        <v>9</v>
      </c>
      <c r="I764" s="129" t="n">
        <v>43824</v>
      </c>
      <c r="J764" s="129" t="n">
        <v>43824</v>
      </c>
      <c r="K764" s="107" t="n">
        <v>3370991.8</v>
      </c>
      <c r="L764" s="130" t="n">
        <f aca="false">K764-Q764+T764</f>
        <v>2856772.72</v>
      </c>
      <c r="M764" s="106" t="s">
        <v>149</v>
      </c>
      <c r="N764" s="106" t="n">
        <v>3370991.8</v>
      </c>
      <c r="O764" s="106" t="s">
        <v>149</v>
      </c>
      <c r="P764" s="106" t="n">
        <v>0</v>
      </c>
      <c r="Q764" s="107" t="n">
        <v>514219.08</v>
      </c>
      <c r="R764" s="106" t="n">
        <v>2856772.72</v>
      </c>
      <c r="S764" s="106" t="n">
        <v>0</v>
      </c>
      <c r="T764" s="106" t="n">
        <v>0</v>
      </c>
      <c r="U764" s="106" t="n">
        <v>311155</v>
      </c>
      <c r="V764" s="106" t="s">
        <v>2022</v>
      </c>
      <c r="Z764" s="106" t="n">
        <v>62745</v>
      </c>
      <c r="AB764" s="106" t="s">
        <v>2423</v>
      </c>
      <c r="AD764" s="106" t="n">
        <v>110000</v>
      </c>
      <c r="AE764" s="106" t="s">
        <v>1966</v>
      </c>
      <c r="AF764" s="106" t="n">
        <v>501005</v>
      </c>
      <c r="AG764" s="106" t="s">
        <v>2033</v>
      </c>
      <c r="AI764" s="106" t="n">
        <v>501005</v>
      </c>
      <c r="AJ764" s="106" t="s">
        <v>2033</v>
      </c>
      <c r="AK764" s="106" t="n">
        <v>0</v>
      </c>
      <c r="AL764" s="106" t="n">
        <v>1</v>
      </c>
      <c r="AM764" s="106" t="s">
        <v>161</v>
      </c>
      <c r="AP764" s="106" t="n">
        <v>100197095</v>
      </c>
      <c r="AQ764" s="129" t="n">
        <v>43827</v>
      </c>
      <c r="AR764" s="129" t="n">
        <v>43824</v>
      </c>
      <c r="AS764" s="106" t="n">
        <v>0.583194444444445</v>
      </c>
      <c r="AT764" s="106" t="n">
        <v>0</v>
      </c>
      <c r="AU764" s="106" t="n">
        <v>0</v>
      </c>
      <c r="AX764" s="106" t="n">
        <v>1</v>
      </c>
      <c r="ALU764" s="0"/>
      <c r="ALV764" s="0"/>
      <c r="ALW764" s="0"/>
      <c r="ALX764" s="0"/>
      <c r="ALY764" s="0"/>
      <c r="ALZ764" s="0"/>
      <c r="AMA764" s="0"/>
      <c r="AMB764" s="0"/>
      <c r="AMC764" s="0"/>
      <c r="AMD764" s="0"/>
      <c r="AME764" s="0"/>
      <c r="AMF764" s="0"/>
      <c r="AMG764" s="0"/>
      <c r="AMH764" s="0"/>
      <c r="AMI764" s="0"/>
      <c r="AMJ764" s="0"/>
    </row>
    <row r="765" customFormat="false" ht="13.8" hidden="true" customHeight="false" outlineLevel="0" collapsed="false">
      <c r="A765" s="117" t="n">
        <v>1000</v>
      </c>
      <c r="B765" s="117" t="s">
        <v>1962</v>
      </c>
      <c r="C765" s="117" t="n">
        <v>100141449</v>
      </c>
      <c r="E765" s="117" t="s">
        <v>1921</v>
      </c>
      <c r="F765" s="117" t="n">
        <v>1109</v>
      </c>
      <c r="G765" s="117" t="n">
        <v>2019</v>
      </c>
      <c r="H765" s="117" t="n">
        <v>7</v>
      </c>
      <c r="I765" s="118" t="n">
        <v>43766</v>
      </c>
      <c r="J765" s="118" t="n">
        <v>43766</v>
      </c>
      <c r="K765" s="119" t="n">
        <v>218064</v>
      </c>
      <c r="L765" s="128" t="n">
        <f aca="false">K765-Q765+T765</f>
        <v>218064</v>
      </c>
      <c r="M765" s="117" t="s">
        <v>149</v>
      </c>
      <c r="N765" s="117" t="n">
        <v>218064</v>
      </c>
      <c r="O765" s="117" t="s">
        <v>149</v>
      </c>
      <c r="P765" s="117" t="n">
        <v>0</v>
      </c>
      <c r="Q765" s="117" t="n">
        <v>0</v>
      </c>
      <c r="R765" s="117" t="n">
        <v>218064</v>
      </c>
      <c r="S765" s="117" t="n">
        <v>0</v>
      </c>
      <c r="T765" s="117" t="n">
        <v>0</v>
      </c>
      <c r="U765" s="117" t="n">
        <v>312193</v>
      </c>
      <c r="V765" s="117" t="s">
        <v>1963</v>
      </c>
      <c r="X765" s="117" t="s">
        <v>1869</v>
      </c>
      <c r="Z765" s="117" t="n">
        <v>60942</v>
      </c>
      <c r="AB765" s="117" t="s">
        <v>2124</v>
      </c>
      <c r="AD765" s="117" t="n">
        <v>110000</v>
      </c>
      <c r="AE765" s="117" t="s">
        <v>1966</v>
      </c>
      <c r="AF765" s="117" t="n">
        <v>110000</v>
      </c>
      <c r="AG765" s="117" t="s">
        <v>1966</v>
      </c>
      <c r="AI765" s="117" t="n">
        <v>110000</v>
      </c>
      <c r="AJ765" s="117" t="s">
        <v>1966</v>
      </c>
      <c r="AK765" s="117" t="n">
        <v>0</v>
      </c>
      <c r="AL765" s="117" t="n">
        <v>4</v>
      </c>
      <c r="AM765" s="117" t="s">
        <v>161</v>
      </c>
      <c r="AR765" s="118" t="n">
        <v>43766</v>
      </c>
      <c r="AS765" s="117" t="n">
        <v>0.371388888888889</v>
      </c>
      <c r="AT765" s="117" t="n">
        <v>0</v>
      </c>
      <c r="AU765" s="117" t="n">
        <v>0</v>
      </c>
      <c r="AX765" s="117" t="n">
        <v>1</v>
      </c>
    </row>
    <row r="766" customFormat="false" ht="13.8" hidden="true" customHeight="false" outlineLevel="0" collapsed="false">
      <c r="A766" s="117" t="n">
        <v>1000</v>
      </c>
      <c r="B766" s="117" t="s">
        <v>1962</v>
      </c>
      <c r="C766" s="117" t="n">
        <v>100173563</v>
      </c>
      <c r="E766" s="117" t="s">
        <v>1921</v>
      </c>
      <c r="F766" s="117" t="n">
        <v>1108</v>
      </c>
      <c r="G766" s="117" t="n">
        <v>2019</v>
      </c>
      <c r="H766" s="117" t="n">
        <v>8</v>
      </c>
      <c r="I766" s="118" t="n">
        <v>43799</v>
      </c>
      <c r="J766" s="118" t="n">
        <v>43799</v>
      </c>
      <c r="K766" s="119" t="n">
        <v>-25779</v>
      </c>
      <c r="L766" s="128" t="n">
        <f aca="false">K766-Q766+T766</f>
        <v>-25779</v>
      </c>
      <c r="M766" s="117" t="s">
        <v>149</v>
      </c>
      <c r="N766" s="117" t="n">
        <v>-25779</v>
      </c>
      <c r="O766" s="117" t="s">
        <v>149</v>
      </c>
      <c r="P766" s="117" t="n">
        <v>0</v>
      </c>
      <c r="Q766" s="117" t="n">
        <v>0</v>
      </c>
      <c r="R766" s="117" t="n">
        <v>-25779</v>
      </c>
      <c r="S766" s="117" t="n">
        <v>0</v>
      </c>
      <c r="T766" s="117" t="n">
        <v>0</v>
      </c>
      <c r="U766" s="117" t="n">
        <v>312193</v>
      </c>
      <c r="V766" s="117" t="s">
        <v>1963</v>
      </c>
      <c r="Z766" s="117" t="n">
        <v>100173563</v>
      </c>
      <c r="AD766" s="117" t="n">
        <v>110000</v>
      </c>
      <c r="AE766" s="117" t="s">
        <v>1966</v>
      </c>
      <c r="AF766" s="117" t="n">
        <v>310300</v>
      </c>
      <c r="AG766" s="117" t="s">
        <v>1969</v>
      </c>
      <c r="AI766" s="117" t="n">
        <v>310300</v>
      </c>
      <c r="AJ766" s="117" t="s">
        <v>1969</v>
      </c>
      <c r="AK766" s="117" t="n">
        <v>0</v>
      </c>
      <c r="AL766" s="117" t="n">
        <v>17</v>
      </c>
      <c r="AM766" s="117" t="s">
        <v>225</v>
      </c>
      <c r="AP766" s="117" t="n">
        <v>100173563</v>
      </c>
      <c r="AQ766" s="118" t="n">
        <v>43799</v>
      </c>
      <c r="AR766" s="118" t="n">
        <v>43800</v>
      </c>
      <c r="AS766" s="117" t="n">
        <v>0.641574074074074</v>
      </c>
      <c r="AT766" s="117" t="n">
        <v>0</v>
      </c>
      <c r="AU766" s="117" t="n">
        <v>0</v>
      </c>
      <c r="AX766" s="117" t="n">
        <v>4</v>
      </c>
    </row>
    <row r="767" customFormat="false" ht="13.8" hidden="true" customHeight="false" outlineLevel="0" collapsed="false">
      <c r="A767" s="117" t="n">
        <v>1000</v>
      </c>
      <c r="B767" s="117" t="s">
        <v>1962</v>
      </c>
      <c r="C767" s="117" t="n">
        <v>100194025</v>
      </c>
      <c r="E767" s="117" t="s">
        <v>1921</v>
      </c>
      <c r="F767" s="117" t="n">
        <v>1112</v>
      </c>
      <c r="G767" s="117" t="n">
        <v>2019</v>
      </c>
      <c r="H767" s="117" t="n">
        <v>9</v>
      </c>
      <c r="I767" s="118" t="n">
        <v>43824</v>
      </c>
      <c r="J767" s="118" t="n">
        <v>43824</v>
      </c>
      <c r="K767" s="119" t="n">
        <v>566112.08</v>
      </c>
      <c r="L767" s="128" t="n">
        <f aca="false">K767-Q767+T767</f>
        <v>566112.08</v>
      </c>
      <c r="M767" s="117" t="s">
        <v>149</v>
      </c>
      <c r="N767" s="117" t="n">
        <v>566112.08</v>
      </c>
      <c r="O767" s="117" t="s">
        <v>149</v>
      </c>
      <c r="P767" s="117" t="n">
        <v>0</v>
      </c>
      <c r="Q767" s="117" t="n">
        <v>0</v>
      </c>
      <c r="R767" s="117" t="n">
        <v>566112.08</v>
      </c>
      <c r="S767" s="117" t="n">
        <v>0</v>
      </c>
      <c r="T767" s="117" t="n">
        <v>0</v>
      </c>
      <c r="U767" s="117" t="n">
        <v>312193</v>
      </c>
      <c r="V767" s="117" t="s">
        <v>1963</v>
      </c>
      <c r="X767" s="117" t="s">
        <v>1764</v>
      </c>
      <c r="Z767" s="117" t="n">
        <v>62186</v>
      </c>
      <c r="AB767" s="117" t="s">
        <v>2362</v>
      </c>
      <c r="AD767" s="117" t="n">
        <v>110000</v>
      </c>
      <c r="AE767" s="117" t="s">
        <v>1966</v>
      </c>
      <c r="AF767" s="117" t="n">
        <v>110000</v>
      </c>
      <c r="AG767" s="117" t="s">
        <v>1966</v>
      </c>
      <c r="AI767" s="117" t="n">
        <v>110000</v>
      </c>
      <c r="AJ767" s="117" t="s">
        <v>1966</v>
      </c>
      <c r="AK767" s="117" t="n">
        <v>0</v>
      </c>
      <c r="AL767" s="117" t="n">
        <v>4</v>
      </c>
      <c r="AM767" s="117" t="s">
        <v>161</v>
      </c>
      <c r="AR767" s="118" t="n">
        <v>43824</v>
      </c>
      <c r="AS767" s="117" t="n">
        <v>0.371284722222222</v>
      </c>
      <c r="AT767" s="117" t="n">
        <v>0</v>
      </c>
      <c r="AU767" s="117" t="n">
        <v>0</v>
      </c>
      <c r="AX767" s="117" t="n">
        <v>1</v>
      </c>
    </row>
    <row r="768" s="106" customFormat="true" ht="13.8" hidden="true" customHeight="false" outlineLevel="0" collapsed="false">
      <c r="A768" s="106" t="n">
        <v>1000</v>
      </c>
      <c r="B768" s="106" t="s">
        <v>1962</v>
      </c>
      <c r="C768" s="106" t="n">
        <v>102810</v>
      </c>
      <c r="D768" s="106" t="s">
        <v>2244</v>
      </c>
      <c r="E768" s="106" t="s">
        <v>1970</v>
      </c>
      <c r="F768" s="106" t="n">
        <v>1101</v>
      </c>
      <c r="G768" s="106" t="n">
        <v>2019</v>
      </c>
      <c r="H768" s="106" t="n">
        <v>3</v>
      </c>
      <c r="I768" s="129" t="n">
        <v>43624</v>
      </c>
      <c r="J768" s="129" t="n">
        <v>43624</v>
      </c>
      <c r="K768" s="107" t="n">
        <v>1549683.81</v>
      </c>
      <c r="L768" s="130" t="n">
        <f aca="false">K768-Q768+T768</f>
        <v>1313291.37</v>
      </c>
      <c r="M768" s="106" t="s">
        <v>149</v>
      </c>
      <c r="N768" s="107" t="n">
        <v>1549683.81</v>
      </c>
      <c r="O768" s="106" t="s">
        <v>149</v>
      </c>
      <c r="P768" s="106" t="n">
        <v>0</v>
      </c>
      <c r="Q768" s="107" t="n">
        <v>236392.44</v>
      </c>
      <c r="R768" s="107" t="n">
        <v>1313291.37</v>
      </c>
      <c r="S768" s="106" t="n">
        <v>0</v>
      </c>
      <c r="T768" s="106" t="n">
        <v>0</v>
      </c>
      <c r="U768" s="106" t="n">
        <v>318999</v>
      </c>
      <c r="V768" s="106" t="s">
        <v>143</v>
      </c>
      <c r="Z768" s="106" t="n">
        <v>102810</v>
      </c>
      <c r="AD768" s="106" t="n">
        <v>110000</v>
      </c>
      <c r="AE768" s="106" t="s">
        <v>1966</v>
      </c>
      <c r="AF768" s="106" t="n">
        <v>501040</v>
      </c>
      <c r="AG768" s="106" t="s">
        <v>2036</v>
      </c>
      <c r="AI768" s="106" t="n">
        <v>501040</v>
      </c>
      <c r="AJ768" s="106" t="s">
        <v>2036</v>
      </c>
      <c r="AK768" s="106" t="n">
        <v>0</v>
      </c>
      <c r="AL768" s="106" t="n">
        <v>1</v>
      </c>
      <c r="AM768" s="106" t="s">
        <v>161</v>
      </c>
      <c r="AP768" s="106" t="n">
        <v>100039983</v>
      </c>
      <c r="AQ768" s="129" t="n">
        <v>43645</v>
      </c>
      <c r="AR768" s="129" t="n">
        <v>43624</v>
      </c>
      <c r="AS768" s="106" t="n">
        <v>0.634143518518519</v>
      </c>
      <c r="AT768" s="106" t="n">
        <v>0</v>
      </c>
      <c r="AU768" s="106" t="n">
        <v>0</v>
      </c>
      <c r="AX768" s="106" t="n">
        <v>1</v>
      </c>
      <c r="ALU768" s="0"/>
      <c r="ALV768" s="0"/>
      <c r="ALW768" s="0"/>
      <c r="ALX768" s="0"/>
      <c r="ALY768" s="0"/>
      <c r="ALZ768" s="0"/>
      <c r="AMA768" s="0"/>
      <c r="AMB768" s="0"/>
      <c r="AMC768" s="0"/>
      <c r="AMD768" s="0"/>
      <c r="AME768" s="0"/>
      <c r="AMF768" s="0"/>
      <c r="AMG768" s="0"/>
      <c r="AMH768" s="0"/>
      <c r="AMI768" s="0"/>
      <c r="AMJ768" s="0"/>
    </row>
    <row r="769" s="106" customFormat="true" ht="13.8" hidden="true" customHeight="false" outlineLevel="0" collapsed="false">
      <c r="A769" s="106" t="n">
        <v>1000</v>
      </c>
      <c r="B769" s="106" t="s">
        <v>1962</v>
      </c>
      <c r="C769" s="106" t="n">
        <v>108740</v>
      </c>
      <c r="D769" s="106" t="s">
        <v>2424</v>
      </c>
      <c r="E769" s="106" t="s">
        <v>1970</v>
      </c>
      <c r="F769" s="106" t="n">
        <v>1109</v>
      </c>
      <c r="G769" s="106" t="n">
        <v>2019</v>
      </c>
      <c r="H769" s="106" t="n">
        <v>8</v>
      </c>
      <c r="I769" s="129" t="n">
        <v>43775</v>
      </c>
      <c r="J769" s="129" t="n">
        <v>43775</v>
      </c>
      <c r="K769" s="107" t="n">
        <v>-55835.99</v>
      </c>
      <c r="L769" s="130" t="n">
        <f aca="false">K769-Q769+T769</f>
        <v>-55835.99</v>
      </c>
      <c r="M769" s="106" t="s">
        <v>149</v>
      </c>
      <c r="N769" s="107" t="n">
        <v>-55835.99</v>
      </c>
      <c r="O769" s="106" t="s">
        <v>149</v>
      </c>
      <c r="P769" s="106" t="n">
        <v>0</v>
      </c>
      <c r="Q769" s="107" t="n">
        <v>0</v>
      </c>
      <c r="R769" s="107" t="n">
        <v>-55835.99</v>
      </c>
      <c r="S769" s="106" t="n">
        <v>0</v>
      </c>
      <c r="T769" s="106" t="n">
        <v>0</v>
      </c>
      <c r="U769" s="106" t="n">
        <v>311155</v>
      </c>
      <c r="V769" s="106" t="s">
        <v>2022</v>
      </c>
      <c r="Z769" s="106" t="n">
        <v>60002543</v>
      </c>
      <c r="AB769" s="106" t="s">
        <v>2425</v>
      </c>
      <c r="AD769" s="106" t="n">
        <v>110000</v>
      </c>
      <c r="AE769" s="106" t="s">
        <v>1966</v>
      </c>
      <c r="AF769" s="106" t="n">
        <v>501005</v>
      </c>
      <c r="AG769" s="106" t="s">
        <v>2033</v>
      </c>
      <c r="AI769" s="106" t="n">
        <v>501005</v>
      </c>
      <c r="AJ769" s="106" t="s">
        <v>2033</v>
      </c>
      <c r="AK769" s="106" t="n">
        <v>0</v>
      </c>
      <c r="AL769" s="106" t="n">
        <v>11</v>
      </c>
      <c r="AM769" s="106" t="s">
        <v>225</v>
      </c>
      <c r="AP769" s="106" t="n">
        <v>100162609</v>
      </c>
      <c r="AQ769" s="129" t="n">
        <v>43792</v>
      </c>
      <c r="AR769" s="129" t="n">
        <v>43775</v>
      </c>
      <c r="AS769" s="106" t="n">
        <v>0.484398148148148</v>
      </c>
      <c r="AT769" s="106" t="n">
        <v>0</v>
      </c>
      <c r="AU769" s="106" t="n">
        <v>0</v>
      </c>
      <c r="AX769" s="106" t="n">
        <v>1</v>
      </c>
      <c r="ALU769" s="0"/>
      <c r="ALV769" s="0"/>
      <c r="ALW769" s="0"/>
      <c r="ALX769" s="0"/>
      <c r="ALY769" s="0"/>
      <c r="ALZ769" s="0"/>
      <c r="AMA769" s="0"/>
      <c r="AMB769" s="0"/>
      <c r="AMC769" s="0"/>
      <c r="AMD769" s="0"/>
      <c r="AME769" s="0"/>
      <c r="AMF769" s="0"/>
      <c r="AMG769" s="0"/>
      <c r="AMH769" s="0"/>
      <c r="AMI769" s="0"/>
      <c r="AMJ769" s="0"/>
    </row>
    <row r="770" customFormat="false" ht="13.8" hidden="true" customHeight="false" outlineLevel="0" collapsed="false">
      <c r="A770" s="117" t="n">
        <v>1000</v>
      </c>
      <c r="B770" s="117" t="s">
        <v>1962</v>
      </c>
      <c r="C770" s="117" t="n">
        <v>100173338</v>
      </c>
      <c r="E770" s="117" t="s">
        <v>1921</v>
      </c>
      <c r="F770" s="117" t="n">
        <v>1101</v>
      </c>
      <c r="G770" s="117" t="n">
        <v>2019</v>
      </c>
      <c r="H770" s="117" t="n">
        <v>8</v>
      </c>
      <c r="I770" s="118" t="n">
        <v>43799</v>
      </c>
      <c r="J770" s="118" t="n">
        <v>43799</v>
      </c>
      <c r="K770" s="119" t="n">
        <v>3013</v>
      </c>
      <c r="L770" s="128" t="n">
        <f aca="false">K770-Q770+T770</f>
        <v>3013</v>
      </c>
      <c r="M770" s="117" t="s">
        <v>149</v>
      </c>
      <c r="N770" s="117" t="n">
        <v>3013</v>
      </c>
      <c r="O770" s="117" t="s">
        <v>149</v>
      </c>
      <c r="P770" s="117" t="n">
        <v>0</v>
      </c>
      <c r="Q770" s="117" t="n">
        <v>0</v>
      </c>
      <c r="R770" s="117" t="n">
        <v>3013</v>
      </c>
      <c r="S770" s="117" t="n">
        <v>0</v>
      </c>
      <c r="T770" s="117" t="n">
        <v>0</v>
      </c>
      <c r="U770" s="117" t="n">
        <v>318420</v>
      </c>
      <c r="V770" s="117" t="s">
        <v>2153</v>
      </c>
      <c r="Z770" s="117" t="n">
        <v>100173338</v>
      </c>
      <c r="AD770" s="117" t="n">
        <v>310300</v>
      </c>
      <c r="AE770" s="117" t="s">
        <v>1969</v>
      </c>
      <c r="AF770" s="117" t="n">
        <v>110000</v>
      </c>
      <c r="AG770" s="117" t="s">
        <v>1966</v>
      </c>
      <c r="AI770" s="117" t="n">
        <v>110000</v>
      </c>
      <c r="AJ770" s="117" t="s">
        <v>1966</v>
      </c>
      <c r="AK770" s="117" t="n">
        <v>0</v>
      </c>
      <c r="AL770" s="117" t="n">
        <v>9</v>
      </c>
      <c r="AM770" s="117" t="s">
        <v>161</v>
      </c>
      <c r="AN770" s="117" t="s">
        <v>1978</v>
      </c>
      <c r="AP770" s="117" t="n">
        <v>100173338</v>
      </c>
      <c r="AQ770" s="118" t="n">
        <v>43799</v>
      </c>
      <c r="AR770" s="118" t="n">
        <v>43800</v>
      </c>
      <c r="AS770" s="117" t="n">
        <v>0.572488425925926</v>
      </c>
      <c r="AT770" s="117" t="n">
        <v>0</v>
      </c>
      <c r="AU770" s="117" t="n">
        <v>0</v>
      </c>
      <c r="AX770" s="117" t="n">
        <v>2</v>
      </c>
    </row>
    <row r="771" customFormat="false" ht="13.8" hidden="true" customHeight="false" outlineLevel="0" collapsed="false">
      <c r="A771" s="117" t="n">
        <v>1000</v>
      </c>
      <c r="B771" s="117" t="s">
        <v>1962</v>
      </c>
      <c r="C771" s="117" t="n">
        <v>100199799</v>
      </c>
      <c r="E771" s="117" t="s">
        <v>1921</v>
      </c>
      <c r="F771" s="117" t="n">
        <v>1112</v>
      </c>
      <c r="G771" s="117" t="n">
        <v>2019</v>
      </c>
      <c r="H771" s="117" t="n">
        <v>9</v>
      </c>
      <c r="I771" s="118" t="n">
        <v>43830</v>
      </c>
      <c r="J771" s="118" t="n">
        <v>43830</v>
      </c>
      <c r="K771" s="119" t="n">
        <v>1166.34</v>
      </c>
      <c r="L771" s="128" t="n">
        <f aca="false">K771-Q771+T771</f>
        <v>1166.34</v>
      </c>
      <c r="M771" s="117" t="s">
        <v>149</v>
      </c>
      <c r="N771" s="117" t="n">
        <v>1166.34</v>
      </c>
      <c r="O771" s="117" t="s">
        <v>149</v>
      </c>
      <c r="P771" s="117" t="n">
        <v>0</v>
      </c>
      <c r="Q771" s="117" t="n">
        <v>0</v>
      </c>
      <c r="R771" s="117" t="n">
        <v>1166.34</v>
      </c>
      <c r="S771" s="117" t="n">
        <v>0</v>
      </c>
      <c r="T771" s="117" t="n">
        <v>0</v>
      </c>
      <c r="U771" s="117" t="n">
        <v>312193</v>
      </c>
      <c r="V771" s="117" t="s">
        <v>1963</v>
      </c>
      <c r="X771" s="117" t="s">
        <v>2382</v>
      </c>
      <c r="Z771" s="117" t="n">
        <v>62200</v>
      </c>
      <c r="AB771" s="117" t="s">
        <v>2362</v>
      </c>
      <c r="AD771" s="117" t="n">
        <v>110000</v>
      </c>
      <c r="AE771" s="117" t="s">
        <v>1966</v>
      </c>
      <c r="AF771" s="117" t="n">
        <v>110000</v>
      </c>
      <c r="AG771" s="117" t="s">
        <v>1966</v>
      </c>
      <c r="AI771" s="117" t="n">
        <v>110000</v>
      </c>
      <c r="AJ771" s="117" t="s">
        <v>1966</v>
      </c>
      <c r="AK771" s="117" t="n">
        <v>0</v>
      </c>
      <c r="AL771" s="117" t="n">
        <v>4</v>
      </c>
      <c r="AM771" s="117" t="s">
        <v>161</v>
      </c>
      <c r="AR771" s="118" t="n">
        <v>43830</v>
      </c>
      <c r="AS771" s="117" t="n">
        <v>0.279467592592593</v>
      </c>
      <c r="AT771" s="117" t="n">
        <v>0</v>
      </c>
      <c r="AU771" s="117" t="n">
        <v>0</v>
      </c>
      <c r="AX771" s="117" t="n">
        <v>21</v>
      </c>
    </row>
    <row r="772" s="106" customFormat="true" ht="13.8" hidden="true" customHeight="false" outlineLevel="0" collapsed="false">
      <c r="A772" s="106" t="n">
        <v>1000</v>
      </c>
      <c r="B772" s="106" t="s">
        <v>1962</v>
      </c>
      <c r="C772" s="106" t="n">
        <v>110410</v>
      </c>
      <c r="D772" s="106" t="s">
        <v>2351</v>
      </c>
      <c r="E772" s="106" t="s">
        <v>1970</v>
      </c>
      <c r="F772" s="106" t="n">
        <v>1112</v>
      </c>
      <c r="G772" s="106" t="n">
        <v>2019</v>
      </c>
      <c r="H772" s="106" t="n">
        <v>9</v>
      </c>
      <c r="I772" s="129" t="n">
        <v>43820</v>
      </c>
      <c r="J772" s="129" t="n">
        <v>43820</v>
      </c>
      <c r="K772" s="107" t="n">
        <v>112834.67</v>
      </c>
      <c r="L772" s="130" t="n">
        <f aca="false">K772-Q772+T772</f>
        <v>95622.6</v>
      </c>
      <c r="M772" s="106" t="s">
        <v>149</v>
      </c>
      <c r="N772" s="106" t="n">
        <v>112834.67</v>
      </c>
      <c r="O772" s="106" t="s">
        <v>149</v>
      </c>
      <c r="P772" s="106" t="n">
        <v>0</v>
      </c>
      <c r="Q772" s="107" t="n">
        <v>17212.07</v>
      </c>
      <c r="R772" s="106" t="n">
        <v>95622.6</v>
      </c>
      <c r="S772" s="106" t="n">
        <v>0</v>
      </c>
      <c r="T772" s="106" t="n">
        <v>0</v>
      </c>
      <c r="U772" s="106" t="n">
        <v>312193</v>
      </c>
      <c r="V772" s="106" t="s">
        <v>1963</v>
      </c>
      <c r="Z772" s="106" t="n">
        <v>62146</v>
      </c>
      <c r="AB772" s="106" t="s">
        <v>2350</v>
      </c>
      <c r="AD772" s="106" t="n">
        <v>110000</v>
      </c>
      <c r="AE772" s="106" t="s">
        <v>1966</v>
      </c>
      <c r="AF772" s="106" t="n">
        <v>501005</v>
      </c>
      <c r="AG772" s="106" t="s">
        <v>2033</v>
      </c>
      <c r="AI772" s="106" t="n">
        <v>501005</v>
      </c>
      <c r="AJ772" s="106" t="s">
        <v>2033</v>
      </c>
      <c r="AK772" s="106" t="n">
        <v>0</v>
      </c>
      <c r="AL772" s="106" t="n">
        <v>1</v>
      </c>
      <c r="AM772" s="106" t="s">
        <v>161</v>
      </c>
      <c r="AP772" s="106" t="n">
        <v>100194025</v>
      </c>
      <c r="AQ772" s="129" t="n">
        <v>43824</v>
      </c>
      <c r="AR772" s="129" t="n">
        <v>43820</v>
      </c>
      <c r="AS772" s="106" t="n">
        <v>0.578703703703704</v>
      </c>
      <c r="AT772" s="106" t="n">
        <v>0</v>
      </c>
      <c r="AU772" s="106" t="n">
        <v>0</v>
      </c>
      <c r="AX772" s="106" t="n">
        <v>1</v>
      </c>
      <c r="ALU772" s="0"/>
      <c r="ALV772" s="0"/>
      <c r="ALW772" s="0"/>
      <c r="ALX772" s="0"/>
      <c r="ALY772" s="0"/>
      <c r="ALZ772" s="0"/>
      <c r="AMA772" s="0"/>
      <c r="AMB772" s="0"/>
      <c r="AMC772" s="0"/>
      <c r="AMD772" s="0"/>
      <c r="AME772" s="0"/>
      <c r="AMF772" s="0"/>
      <c r="AMG772" s="0"/>
      <c r="AMH772" s="0"/>
      <c r="AMI772" s="0"/>
      <c r="AMJ772" s="0"/>
    </row>
    <row r="773" customFormat="false" ht="13.8" hidden="true" customHeight="false" outlineLevel="0" collapsed="false">
      <c r="A773" s="117" t="n">
        <v>1000</v>
      </c>
      <c r="B773" s="117" t="s">
        <v>1962</v>
      </c>
      <c r="C773" s="117" t="n">
        <v>1600000300</v>
      </c>
      <c r="D773" s="117" t="s">
        <v>2354</v>
      </c>
      <c r="E773" s="117" t="s">
        <v>1987</v>
      </c>
      <c r="F773" s="117" t="n">
        <v>1101</v>
      </c>
      <c r="G773" s="117" t="n">
        <v>2019</v>
      </c>
      <c r="H773" s="117" t="n">
        <v>8</v>
      </c>
      <c r="I773" s="118" t="n">
        <v>43797</v>
      </c>
      <c r="J773" s="118" t="n">
        <v>43797</v>
      </c>
      <c r="K773" s="119" t="n">
        <v>-30068</v>
      </c>
      <c r="L773" s="128" t="n">
        <f aca="false">K773-Q773+T773</f>
        <v>-30068</v>
      </c>
      <c r="M773" s="117" t="s">
        <v>149</v>
      </c>
      <c r="N773" s="117" t="n">
        <v>-30068</v>
      </c>
      <c r="O773" s="117" t="s">
        <v>149</v>
      </c>
      <c r="P773" s="117" t="n">
        <v>-30068</v>
      </c>
      <c r="Q773" s="117" t="n">
        <v>0</v>
      </c>
      <c r="R773" s="117" t="n">
        <v>-30068</v>
      </c>
      <c r="S773" s="117" t="n">
        <v>0</v>
      </c>
      <c r="T773" s="117" t="n">
        <v>0</v>
      </c>
      <c r="U773" s="117" t="n">
        <v>318999</v>
      </c>
      <c r="V773" s="117" t="s">
        <v>143</v>
      </c>
      <c r="X773" s="117" t="s">
        <v>2426</v>
      </c>
      <c r="Y773" s="117" t="s">
        <v>2388</v>
      </c>
      <c r="Z773" s="117" t="n">
        <v>1600000300</v>
      </c>
      <c r="AD773" s="117" t="n">
        <v>310300</v>
      </c>
      <c r="AE773" s="117" t="s">
        <v>1969</v>
      </c>
      <c r="AF773" s="117" t="n">
        <v>111201</v>
      </c>
      <c r="AG773" s="117" t="s">
        <v>2165</v>
      </c>
      <c r="AI773" s="117" t="n">
        <v>111201</v>
      </c>
      <c r="AJ773" s="117" t="s">
        <v>2165</v>
      </c>
      <c r="AK773" s="117" t="n">
        <v>0</v>
      </c>
      <c r="AL773" s="117" t="n">
        <v>19</v>
      </c>
      <c r="AM773" s="117" t="s">
        <v>225</v>
      </c>
      <c r="AN773" s="117" t="s">
        <v>1978</v>
      </c>
      <c r="AP773" s="117" t="n">
        <v>100173605</v>
      </c>
      <c r="AQ773" s="118" t="n">
        <v>43799</v>
      </c>
      <c r="AR773" s="118" t="n">
        <v>43797</v>
      </c>
      <c r="AS773" s="117" t="n">
        <v>0.231458333333333</v>
      </c>
      <c r="AT773" s="117" t="n">
        <v>0</v>
      </c>
      <c r="AU773" s="117" t="n">
        <v>0</v>
      </c>
      <c r="AX773" s="117" t="n">
        <v>12</v>
      </c>
    </row>
    <row r="774" customFormat="false" ht="13.8" hidden="true" customHeight="false" outlineLevel="0" collapsed="false">
      <c r="A774" s="117" t="n">
        <v>1000</v>
      </c>
      <c r="B774" s="117" t="s">
        <v>1962</v>
      </c>
      <c r="C774" s="117" t="n">
        <v>1600000267</v>
      </c>
      <c r="D774" s="117" t="s">
        <v>2427</v>
      </c>
      <c r="E774" s="117" t="s">
        <v>1987</v>
      </c>
      <c r="F774" s="117" t="n">
        <v>1106</v>
      </c>
      <c r="G774" s="117" t="n">
        <v>2019</v>
      </c>
      <c r="H774" s="117" t="n">
        <v>7</v>
      </c>
      <c r="I774" s="118" t="n">
        <v>43769</v>
      </c>
      <c r="J774" s="118" t="n">
        <v>43769</v>
      </c>
      <c r="K774" s="119" t="n">
        <v>4466</v>
      </c>
      <c r="L774" s="128" t="n">
        <f aca="false">K774-Q774+T774</f>
        <v>4466</v>
      </c>
      <c r="M774" s="117" t="s">
        <v>149</v>
      </c>
      <c r="N774" s="117" t="n">
        <v>4466</v>
      </c>
      <c r="O774" s="117" t="s">
        <v>149</v>
      </c>
      <c r="P774" s="117" t="n">
        <v>4466</v>
      </c>
      <c r="Q774" s="117" t="n">
        <v>0</v>
      </c>
      <c r="R774" s="117" t="n">
        <v>4466</v>
      </c>
      <c r="S774" s="117" t="n">
        <v>0</v>
      </c>
      <c r="T774" s="117" t="n">
        <v>0</v>
      </c>
      <c r="U774" s="117" t="n">
        <v>312193</v>
      </c>
      <c r="V774" s="117" t="s">
        <v>1963</v>
      </c>
      <c r="X774" s="117" t="s">
        <v>2428</v>
      </c>
      <c r="Y774" s="117" t="s">
        <v>2428</v>
      </c>
      <c r="Z774" s="117" t="n">
        <v>1600000267</v>
      </c>
      <c r="AD774" s="117" t="n">
        <v>110000</v>
      </c>
      <c r="AE774" s="117" t="s">
        <v>1966</v>
      </c>
      <c r="AF774" s="117" t="n">
        <v>312193</v>
      </c>
      <c r="AG774" s="117" t="s">
        <v>1963</v>
      </c>
      <c r="AI774" s="117" t="n">
        <v>312193</v>
      </c>
      <c r="AJ774" s="131" t="s">
        <v>1963</v>
      </c>
      <c r="AK774" s="117" t="n">
        <v>0</v>
      </c>
      <c r="AL774" s="117" t="n">
        <v>4</v>
      </c>
      <c r="AM774" s="117" t="s">
        <v>161</v>
      </c>
      <c r="AP774" s="117" t="n">
        <v>100144402</v>
      </c>
      <c r="AQ774" s="118" t="n">
        <v>43769</v>
      </c>
      <c r="AR774" s="118" t="n">
        <v>43770</v>
      </c>
      <c r="AS774" s="117" t="n">
        <v>0.522673611111111</v>
      </c>
      <c r="AT774" s="117" t="n">
        <v>0</v>
      </c>
      <c r="AU774" s="117" t="n">
        <v>0</v>
      </c>
      <c r="AX774" s="117" t="n">
        <v>1</v>
      </c>
    </row>
    <row r="775" customFormat="false" ht="13.8" hidden="true" customHeight="false" outlineLevel="0" collapsed="false">
      <c r="A775" s="117" t="n">
        <v>1000</v>
      </c>
      <c r="B775" s="117" t="s">
        <v>1962</v>
      </c>
      <c r="C775" s="117" t="n">
        <v>100194025</v>
      </c>
      <c r="E775" s="117" t="s">
        <v>1921</v>
      </c>
      <c r="F775" s="117" t="n">
        <v>1112</v>
      </c>
      <c r="G775" s="117" t="n">
        <v>2019</v>
      </c>
      <c r="H775" s="117" t="n">
        <v>9</v>
      </c>
      <c r="I775" s="118" t="n">
        <v>43824</v>
      </c>
      <c r="J775" s="118" t="n">
        <v>43824</v>
      </c>
      <c r="K775" s="119" t="n">
        <v>232648.8</v>
      </c>
      <c r="L775" s="128" t="n">
        <f aca="false">K775-Q775+T775</f>
        <v>232648.8</v>
      </c>
      <c r="M775" s="117" t="s">
        <v>149</v>
      </c>
      <c r="N775" s="117" t="n">
        <v>232648.8</v>
      </c>
      <c r="O775" s="117" t="s">
        <v>149</v>
      </c>
      <c r="P775" s="117" t="n">
        <v>0</v>
      </c>
      <c r="Q775" s="117" t="n">
        <v>0</v>
      </c>
      <c r="R775" s="117" t="n">
        <v>232648.8</v>
      </c>
      <c r="S775" s="117" t="n">
        <v>0</v>
      </c>
      <c r="T775" s="117" t="n">
        <v>0</v>
      </c>
      <c r="U775" s="117" t="n">
        <v>312193</v>
      </c>
      <c r="V775" s="117" t="s">
        <v>1963</v>
      </c>
      <c r="X775" s="117" t="s">
        <v>1723</v>
      </c>
      <c r="Z775" s="117" t="n">
        <v>62194</v>
      </c>
      <c r="AB775" s="117" t="s">
        <v>2362</v>
      </c>
      <c r="AD775" s="117" t="n">
        <v>110000</v>
      </c>
      <c r="AE775" s="117" t="s">
        <v>1966</v>
      </c>
      <c r="AF775" s="117" t="n">
        <v>110000</v>
      </c>
      <c r="AG775" s="117" t="s">
        <v>1966</v>
      </c>
      <c r="AI775" s="117" t="n">
        <v>110000</v>
      </c>
      <c r="AJ775" s="117" t="s">
        <v>1966</v>
      </c>
      <c r="AK775" s="117" t="n">
        <v>0</v>
      </c>
      <c r="AL775" s="117" t="n">
        <v>4</v>
      </c>
      <c r="AM775" s="117" t="s">
        <v>161</v>
      </c>
      <c r="AR775" s="118" t="n">
        <v>43824</v>
      </c>
      <c r="AS775" s="117" t="n">
        <v>0.371284722222222</v>
      </c>
      <c r="AT775" s="117" t="n">
        <v>0</v>
      </c>
      <c r="AU775" s="117" t="n">
        <v>0</v>
      </c>
      <c r="AX775" s="117" t="n">
        <v>26</v>
      </c>
    </row>
    <row r="776" customFormat="false" ht="13.8" hidden="true" customHeight="false" outlineLevel="0" collapsed="false">
      <c r="A776" s="117" t="n">
        <v>1000</v>
      </c>
      <c r="B776" s="117" t="s">
        <v>1962</v>
      </c>
      <c r="C776" s="117" t="n">
        <v>100173526</v>
      </c>
      <c r="E776" s="117" t="s">
        <v>1921</v>
      </c>
      <c r="F776" s="117" t="n">
        <v>1109</v>
      </c>
      <c r="G776" s="117" t="n">
        <v>2019</v>
      </c>
      <c r="H776" s="117" t="n">
        <v>8</v>
      </c>
      <c r="I776" s="118" t="n">
        <v>43799</v>
      </c>
      <c r="J776" s="118" t="n">
        <v>43799</v>
      </c>
      <c r="K776" s="119" t="n">
        <v>-33996.94</v>
      </c>
      <c r="L776" s="128" t="n">
        <f aca="false">K776-Q776+T776</f>
        <v>-33996.94</v>
      </c>
      <c r="M776" s="117" t="s">
        <v>149</v>
      </c>
      <c r="N776" s="117" t="n">
        <v>-33996.94</v>
      </c>
      <c r="O776" s="117" t="s">
        <v>149</v>
      </c>
      <c r="P776" s="117" t="n">
        <v>0</v>
      </c>
      <c r="Q776" s="117" t="n">
        <v>0</v>
      </c>
      <c r="R776" s="117" t="n">
        <v>-33996.94</v>
      </c>
      <c r="S776" s="117" t="n">
        <v>0</v>
      </c>
      <c r="T776" s="117" t="n">
        <v>0</v>
      </c>
      <c r="U776" s="117" t="n">
        <v>304431</v>
      </c>
      <c r="V776" s="117" t="s">
        <v>2016</v>
      </c>
      <c r="Z776" s="117" t="n">
        <v>100173526</v>
      </c>
      <c r="AD776" s="117" t="n">
        <v>110000</v>
      </c>
      <c r="AE776" s="117" t="s">
        <v>1966</v>
      </c>
      <c r="AF776" s="117" t="n">
        <v>110000</v>
      </c>
      <c r="AG776" s="117" t="s">
        <v>1966</v>
      </c>
      <c r="AI776" s="117" t="n">
        <v>110000</v>
      </c>
      <c r="AJ776" s="117" t="s">
        <v>1966</v>
      </c>
      <c r="AK776" s="117" t="n">
        <v>0</v>
      </c>
      <c r="AL776" s="117" t="n">
        <v>17</v>
      </c>
      <c r="AM776" s="117" t="s">
        <v>225</v>
      </c>
      <c r="AP776" s="117" t="n">
        <v>100173526</v>
      </c>
      <c r="AQ776" s="118" t="n">
        <v>43799</v>
      </c>
      <c r="AR776" s="118" t="n">
        <v>43800</v>
      </c>
      <c r="AS776" s="117" t="n">
        <v>0.621331018518519</v>
      </c>
      <c r="AT776" s="117" t="n">
        <v>0</v>
      </c>
      <c r="AU776" s="117" t="n">
        <v>0</v>
      </c>
      <c r="AX776" s="117" t="n">
        <v>2</v>
      </c>
    </row>
    <row r="777" customFormat="false" ht="13.8" hidden="true" customHeight="false" outlineLevel="0" collapsed="false">
      <c r="A777" s="117" t="n">
        <v>1000</v>
      </c>
      <c r="B777" s="117" t="s">
        <v>1962</v>
      </c>
      <c r="C777" s="117" t="n">
        <v>1400007781</v>
      </c>
      <c r="E777" s="117" t="s">
        <v>1972</v>
      </c>
      <c r="F777" s="117" t="n">
        <v>1101</v>
      </c>
      <c r="G777" s="117" t="n">
        <v>2019</v>
      </c>
      <c r="H777" s="117" t="n">
        <v>8</v>
      </c>
      <c r="I777" s="118" t="n">
        <v>43789</v>
      </c>
      <c r="J777" s="118" t="n">
        <v>43789</v>
      </c>
      <c r="K777" s="119" t="n">
        <v>-2421257.56</v>
      </c>
      <c r="L777" s="128" t="n">
        <f aca="false">K777-Q777+T777</f>
        <v>-2421257.56</v>
      </c>
      <c r="M777" s="117" t="s">
        <v>149</v>
      </c>
      <c r="N777" s="117" t="n">
        <v>-2421257.56</v>
      </c>
      <c r="O777" s="117" t="s">
        <v>149</v>
      </c>
      <c r="P777" s="117" t="n">
        <v>0</v>
      </c>
      <c r="Q777" s="117" t="n">
        <v>0</v>
      </c>
      <c r="R777" s="117" t="n">
        <v>-2421257.56</v>
      </c>
      <c r="S777" s="117" t="n">
        <v>0</v>
      </c>
      <c r="T777" s="117" t="n">
        <v>0</v>
      </c>
      <c r="U777" s="117" t="n">
        <v>312193</v>
      </c>
      <c r="V777" s="117" t="s">
        <v>1963</v>
      </c>
      <c r="X777" s="117" t="s">
        <v>2429</v>
      </c>
      <c r="Y777" s="117" t="s">
        <v>2430</v>
      </c>
      <c r="Z777" s="117" t="n">
        <v>1400007781</v>
      </c>
      <c r="AC777" s="117" t="s">
        <v>1976</v>
      </c>
      <c r="AD777" s="117" t="n">
        <v>310300</v>
      </c>
      <c r="AE777" s="117" t="s">
        <v>1969</v>
      </c>
      <c r="AF777" s="117" t="n">
        <v>101105</v>
      </c>
      <c r="AG777" s="117" t="s">
        <v>1977</v>
      </c>
      <c r="AI777" s="117" t="n">
        <v>101105</v>
      </c>
      <c r="AJ777" s="117" t="s">
        <v>1977</v>
      </c>
      <c r="AK777" s="117" t="n">
        <v>0</v>
      </c>
      <c r="AL777" s="117" t="n">
        <v>19</v>
      </c>
      <c r="AM777" s="117" t="s">
        <v>225</v>
      </c>
      <c r="AN777" s="117" t="s">
        <v>1978</v>
      </c>
      <c r="AP777" s="117" t="n">
        <v>100173530</v>
      </c>
      <c r="AQ777" s="118" t="n">
        <v>43799</v>
      </c>
      <c r="AR777" s="118" t="n">
        <v>43790</v>
      </c>
      <c r="AS777" s="117" t="n">
        <v>0.460173611111111</v>
      </c>
      <c r="AT777" s="117" t="n">
        <v>0</v>
      </c>
      <c r="AU777" s="117" t="n">
        <v>0</v>
      </c>
      <c r="AX777" s="117" t="n">
        <v>2</v>
      </c>
    </row>
    <row r="778" customFormat="false" ht="13.8" hidden="true" customHeight="false" outlineLevel="0" collapsed="false">
      <c r="A778" s="117" t="n">
        <v>1000</v>
      </c>
      <c r="B778" s="117" t="s">
        <v>1962</v>
      </c>
      <c r="C778" s="117" t="n">
        <v>100194025</v>
      </c>
      <c r="E778" s="117" t="s">
        <v>1921</v>
      </c>
      <c r="F778" s="117" t="n">
        <v>1112</v>
      </c>
      <c r="G778" s="117" t="n">
        <v>2019</v>
      </c>
      <c r="H778" s="117" t="n">
        <v>9</v>
      </c>
      <c r="I778" s="118" t="n">
        <v>43824</v>
      </c>
      <c r="J778" s="118" t="n">
        <v>43824</v>
      </c>
      <c r="K778" s="119" t="n">
        <v>465297.6</v>
      </c>
      <c r="L778" s="128" t="n">
        <f aca="false">K778-Q778+T778</f>
        <v>465297.6</v>
      </c>
      <c r="M778" s="117" t="s">
        <v>149</v>
      </c>
      <c r="N778" s="117" t="n">
        <v>465297.6</v>
      </c>
      <c r="O778" s="117" t="s">
        <v>149</v>
      </c>
      <c r="P778" s="117" t="n">
        <v>0</v>
      </c>
      <c r="Q778" s="117" t="n">
        <v>0</v>
      </c>
      <c r="R778" s="117" t="n">
        <v>465297.6</v>
      </c>
      <c r="S778" s="117" t="n">
        <v>0</v>
      </c>
      <c r="T778" s="117" t="n">
        <v>0</v>
      </c>
      <c r="U778" s="117" t="n">
        <v>312193</v>
      </c>
      <c r="V778" s="117" t="s">
        <v>1963</v>
      </c>
      <c r="X778" s="117" t="s">
        <v>1779</v>
      </c>
      <c r="Z778" s="117" t="n">
        <v>62109</v>
      </c>
      <c r="AB778" s="117" t="s">
        <v>2362</v>
      </c>
      <c r="AD778" s="117" t="n">
        <v>110000</v>
      </c>
      <c r="AE778" s="117" t="s">
        <v>1966</v>
      </c>
      <c r="AF778" s="117" t="n">
        <v>110000</v>
      </c>
      <c r="AG778" s="117" t="s">
        <v>1966</v>
      </c>
      <c r="AI778" s="117" t="n">
        <v>110000</v>
      </c>
      <c r="AJ778" s="117" t="s">
        <v>1966</v>
      </c>
      <c r="AK778" s="117" t="n">
        <v>0</v>
      </c>
      <c r="AL778" s="117" t="n">
        <v>4</v>
      </c>
      <c r="AM778" s="117" t="s">
        <v>161</v>
      </c>
      <c r="AR778" s="118" t="n">
        <v>43824</v>
      </c>
      <c r="AS778" s="117" t="n">
        <v>0.371284722222222</v>
      </c>
      <c r="AT778" s="117" t="n">
        <v>0</v>
      </c>
      <c r="AU778" s="117" t="n">
        <v>0</v>
      </c>
      <c r="AX778" s="117" t="n">
        <v>6</v>
      </c>
    </row>
    <row r="779" s="106" customFormat="true" ht="13.8" hidden="true" customHeight="false" outlineLevel="0" collapsed="false">
      <c r="A779" s="106" t="n">
        <v>1000</v>
      </c>
      <c r="B779" s="106" t="s">
        <v>1962</v>
      </c>
      <c r="C779" s="106" t="n">
        <v>109638</v>
      </c>
      <c r="D779" s="106" t="s">
        <v>1663</v>
      </c>
      <c r="E779" s="106" t="s">
        <v>1970</v>
      </c>
      <c r="F779" s="106" t="n">
        <v>1108</v>
      </c>
      <c r="G779" s="106" t="n">
        <v>2019</v>
      </c>
      <c r="H779" s="106" t="n">
        <v>8</v>
      </c>
      <c r="I779" s="129" t="n">
        <v>43798</v>
      </c>
      <c r="J779" s="129" t="n">
        <v>43798</v>
      </c>
      <c r="K779" s="107" t="n">
        <v>234877.62</v>
      </c>
      <c r="L779" s="130" t="n">
        <f aca="false">K779-Q779+T779</f>
        <v>199048.82</v>
      </c>
      <c r="M779" s="106" t="s">
        <v>149</v>
      </c>
      <c r="N779" s="106" t="n">
        <v>234877.62</v>
      </c>
      <c r="O779" s="106" t="s">
        <v>149</v>
      </c>
      <c r="P779" s="106" t="n">
        <v>0</v>
      </c>
      <c r="Q779" s="107" t="n">
        <v>35828.8</v>
      </c>
      <c r="R779" s="106" t="n">
        <v>199048.82</v>
      </c>
      <c r="S779" s="106" t="n">
        <v>0</v>
      </c>
      <c r="T779" s="106" t="n">
        <v>0</v>
      </c>
      <c r="U779" s="106" t="n">
        <v>312193</v>
      </c>
      <c r="V779" s="106" t="s">
        <v>1963</v>
      </c>
      <c r="Z779" s="106" t="n">
        <v>61993</v>
      </c>
      <c r="AB779" s="106" t="s">
        <v>2109</v>
      </c>
      <c r="AD779" s="106" t="n">
        <v>110000</v>
      </c>
      <c r="AE779" s="106" t="s">
        <v>1966</v>
      </c>
      <c r="AF779" s="106" t="n">
        <v>501005</v>
      </c>
      <c r="AG779" s="106" t="s">
        <v>2033</v>
      </c>
      <c r="AI779" s="106" t="n">
        <v>501005</v>
      </c>
      <c r="AJ779" s="106" t="s">
        <v>2033</v>
      </c>
      <c r="AK779" s="106" t="n">
        <v>0</v>
      </c>
      <c r="AL779" s="106" t="n">
        <v>1</v>
      </c>
      <c r="AM779" s="106" t="s">
        <v>161</v>
      </c>
      <c r="AP779" s="106" t="n">
        <v>100173564</v>
      </c>
      <c r="AQ779" s="129" t="n">
        <v>43799</v>
      </c>
      <c r="AR779" s="129" t="n">
        <v>43798</v>
      </c>
      <c r="AS779" s="106" t="n">
        <v>0.75662037037037</v>
      </c>
      <c r="AT779" s="106" t="n">
        <v>0</v>
      </c>
      <c r="AU779" s="106" t="n">
        <v>0</v>
      </c>
      <c r="AX779" s="106" t="n">
        <v>1</v>
      </c>
      <c r="ALU779" s="0"/>
      <c r="ALV779" s="0"/>
      <c r="ALW779" s="0"/>
      <c r="ALX779" s="0"/>
      <c r="ALY779" s="0"/>
      <c r="ALZ779" s="0"/>
      <c r="AMA779" s="0"/>
      <c r="AMB779" s="0"/>
      <c r="AMC779" s="0"/>
      <c r="AMD779" s="0"/>
      <c r="AME779" s="0"/>
      <c r="AMF779" s="0"/>
      <c r="AMG779" s="0"/>
      <c r="AMH779" s="0"/>
      <c r="AMI779" s="0"/>
      <c r="AMJ779" s="0"/>
    </row>
    <row r="780" s="106" customFormat="true" ht="13.8" hidden="true" customHeight="false" outlineLevel="0" collapsed="false">
      <c r="A780" s="106" t="n">
        <v>1000</v>
      </c>
      <c r="B780" s="106" t="s">
        <v>1962</v>
      </c>
      <c r="C780" s="106" t="n">
        <v>110185</v>
      </c>
      <c r="D780" s="106" t="s">
        <v>1788</v>
      </c>
      <c r="E780" s="106" t="s">
        <v>1970</v>
      </c>
      <c r="F780" s="106" t="n">
        <v>1112</v>
      </c>
      <c r="G780" s="106" t="n">
        <v>2019</v>
      </c>
      <c r="H780" s="106" t="n">
        <v>9</v>
      </c>
      <c r="I780" s="129" t="n">
        <v>43813</v>
      </c>
      <c r="J780" s="129" t="n">
        <v>43813</v>
      </c>
      <c r="K780" s="107" t="n">
        <v>186186.11</v>
      </c>
      <c r="L780" s="130" t="n">
        <f aca="false">K780-Q780+T780</f>
        <v>157784.84</v>
      </c>
      <c r="M780" s="106" t="s">
        <v>149</v>
      </c>
      <c r="N780" s="106" t="n">
        <v>186186.11</v>
      </c>
      <c r="O780" s="106" t="s">
        <v>149</v>
      </c>
      <c r="P780" s="106" t="n">
        <v>0</v>
      </c>
      <c r="Q780" s="107" t="n">
        <v>28401.27</v>
      </c>
      <c r="R780" s="106" t="n">
        <v>157784.84</v>
      </c>
      <c r="S780" s="106" t="n">
        <v>0</v>
      </c>
      <c r="T780" s="106" t="n">
        <v>0</v>
      </c>
      <c r="U780" s="106" t="n">
        <v>312193</v>
      </c>
      <c r="V780" s="106" t="s">
        <v>1963</v>
      </c>
      <c r="Z780" s="106" t="n">
        <v>62186</v>
      </c>
      <c r="AB780" s="106" t="s">
        <v>2362</v>
      </c>
      <c r="AD780" s="106" t="n">
        <v>110000</v>
      </c>
      <c r="AE780" s="106" t="s">
        <v>1966</v>
      </c>
      <c r="AF780" s="106" t="n">
        <v>501005</v>
      </c>
      <c r="AG780" s="106" t="s">
        <v>2033</v>
      </c>
      <c r="AI780" s="106" t="n">
        <v>501005</v>
      </c>
      <c r="AJ780" s="106" t="s">
        <v>2033</v>
      </c>
      <c r="AK780" s="106" t="n">
        <v>0</v>
      </c>
      <c r="AL780" s="106" t="n">
        <v>1</v>
      </c>
      <c r="AM780" s="106" t="s">
        <v>161</v>
      </c>
      <c r="AP780" s="106" t="n">
        <v>100194025</v>
      </c>
      <c r="AQ780" s="129" t="n">
        <v>43824</v>
      </c>
      <c r="AR780" s="129" t="n">
        <v>43813</v>
      </c>
      <c r="AS780" s="106" t="n">
        <v>0.777928240740741</v>
      </c>
      <c r="AT780" s="106" t="n">
        <v>0</v>
      </c>
      <c r="AU780" s="106" t="n">
        <v>0</v>
      </c>
      <c r="AX780" s="106" t="n">
        <v>1</v>
      </c>
      <c r="ALU780" s="0"/>
      <c r="ALV780" s="0"/>
      <c r="ALW780" s="0"/>
      <c r="ALX780" s="0"/>
      <c r="ALY780" s="0"/>
      <c r="ALZ780" s="0"/>
      <c r="AMA780" s="0"/>
      <c r="AMB780" s="0"/>
      <c r="AMC780" s="0"/>
      <c r="AMD780" s="0"/>
      <c r="AME780" s="0"/>
      <c r="AMF780" s="0"/>
      <c r="AMG780" s="0"/>
      <c r="AMH780" s="0"/>
      <c r="AMI780" s="0"/>
      <c r="AMJ780" s="0"/>
    </row>
    <row r="781" customFormat="false" ht="13.8" hidden="true" customHeight="false" outlineLevel="0" collapsed="false">
      <c r="A781" s="117" t="n">
        <v>1000</v>
      </c>
      <c r="B781" s="117" t="s">
        <v>1962</v>
      </c>
      <c r="C781" s="117" t="n">
        <v>100194025</v>
      </c>
      <c r="E781" s="117" t="s">
        <v>1921</v>
      </c>
      <c r="F781" s="117" t="n">
        <v>1112</v>
      </c>
      <c r="G781" s="117" t="n">
        <v>2019</v>
      </c>
      <c r="H781" s="117" t="n">
        <v>9</v>
      </c>
      <c r="I781" s="118" t="n">
        <v>43824</v>
      </c>
      <c r="J781" s="118" t="n">
        <v>43824</v>
      </c>
      <c r="K781" s="119" t="n">
        <v>416829.1</v>
      </c>
      <c r="L781" s="128" t="n">
        <f aca="false">K781-Q781+T781</f>
        <v>416829.1</v>
      </c>
      <c r="M781" s="117" t="s">
        <v>149</v>
      </c>
      <c r="N781" s="117" t="n">
        <v>416829.1</v>
      </c>
      <c r="O781" s="117" t="s">
        <v>149</v>
      </c>
      <c r="P781" s="117" t="n">
        <v>0</v>
      </c>
      <c r="Q781" s="117" t="n">
        <v>0</v>
      </c>
      <c r="R781" s="117" t="n">
        <v>416829.1</v>
      </c>
      <c r="S781" s="117" t="n">
        <v>0</v>
      </c>
      <c r="T781" s="117" t="n">
        <v>0</v>
      </c>
      <c r="U781" s="117" t="n">
        <v>312193</v>
      </c>
      <c r="V781" s="117" t="s">
        <v>1963</v>
      </c>
      <c r="X781" s="117" t="s">
        <v>1720</v>
      </c>
      <c r="Z781" s="117" t="n">
        <v>62190</v>
      </c>
      <c r="AB781" s="117" t="s">
        <v>2362</v>
      </c>
      <c r="AD781" s="117" t="n">
        <v>110000</v>
      </c>
      <c r="AE781" s="117" t="s">
        <v>1966</v>
      </c>
      <c r="AF781" s="117" t="n">
        <v>110000</v>
      </c>
      <c r="AG781" s="117" t="s">
        <v>1966</v>
      </c>
      <c r="AI781" s="117" t="n">
        <v>110000</v>
      </c>
      <c r="AJ781" s="117" t="s">
        <v>1966</v>
      </c>
      <c r="AK781" s="117" t="n">
        <v>0</v>
      </c>
      <c r="AL781" s="117" t="n">
        <v>4</v>
      </c>
      <c r="AM781" s="117" t="s">
        <v>161</v>
      </c>
      <c r="AR781" s="118" t="n">
        <v>43824</v>
      </c>
      <c r="AS781" s="117" t="n">
        <v>0.371284722222222</v>
      </c>
      <c r="AT781" s="117" t="n">
        <v>0</v>
      </c>
      <c r="AU781" s="117" t="n">
        <v>0</v>
      </c>
      <c r="AX781" s="117" t="n">
        <v>25</v>
      </c>
    </row>
    <row r="782" customFormat="false" ht="13.8" hidden="true" customHeight="false" outlineLevel="0" collapsed="false">
      <c r="A782" s="117" t="n">
        <v>1000</v>
      </c>
      <c r="B782" s="117" t="s">
        <v>1962</v>
      </c>
      <c r="C782" s="117" t="n">
        <v>100173564</v>
      </c>
      <c r="E782" s="117" t="s">
        <v>1921</v>
      </c>
      <c r="F782" s="117" t="n">
        <v>1108</v>
      </c>
      <c r="G782" s="117" t="n">
        <v>2019</v>
      </c>
      <c r="H782" s="117" t="n">
        <v>8</v>
      </c>
      <c r="I782" s="118" t="n">
        <v>43799</v>
      </c>
      <c r="J782" s="118" t="n">
        <v>43799</v>
      </c>
      <c r="K782" s="119" t="n">
        <v>215143.5</v>
      </c>
      <c r="L782" s="128" t="n">
        <f aca="false">K782-Q782+T782</f>
        <v>215143.5</v>
      </c>
      <c r="M782" s="117" t="s">
        <v>149</v>
      </c>
      <c r="N782" s="117" t="n">
        <v>215143.5</v>
      </c>
      <c r="O782" s="117" t="s">
        <v>149</v>
      </c>
      <c r="P782" s="117" t="n">
        <v>0</v>
      </c>
      <c r="Q782" s="117" t="n">
        <v>0</v>
      </c>
      <c r="R782" s="117" t="n">
        <v>215143.5</v>
      </c>
      <c r="S782" s="117" t="n">
        <v>0</v>
      </c>
      <c r="T782" s="117" t="n">
        <v>0</v>
      </c>
      <c r="U782" s="117" t="n">
        <v>312193</v>
      </c>
      <c r="V782" s="117" t="s">
        <v>1963</v>
      </c>
      <c r="X782" s="117" t="s">
        <v>1672</v>
      </c>
      <c r="Z782" s="117" t="n">
        <v>61009</v>
      </c>
      <c r="AB782" s="117" t="s">
        <v>2109</v>
      </c>
      <c r="AD782" s="117" t="n">
        <v>110000</v>
      </c>
      <c r="AE782" s="117" t="s">
        <v>1966</v>
      </c>
      <c r="AF782" s="117" t="n">
        <v>110000</v>
      </c>
      <c r="AG782" s="117" t="s">
        <v>1966</v>
      </c>
      <c r="AI782" s="117" t="n">
        <v>110000</v>
      </c>
      <c r="AJ782" s="117" t="s">
        <v>1966</v>
      </c>
      <c r="AK782" s="117" t="n">
        <v>0</v>
      </c>
      <c r="AL782" s="117" t="n">
        <v>4</v>
      </c>
      <c r="AM782" s="117" t="s">
        <v>161</v>
      </c>
      <c r="AR782" s="118" t="n">
        <v>43800</v>
      </c>
      <c r="AS782" s="117" t="n">
        <v>0.649189814814815</v>
      </c>
      <c r="AT782" s="117" t="n">
        <v>0</v>
      </c>
      <c r="AU782" s="117" t="n">
        <v>0</v>
      </c>
      <c r="AX782" s="117" t="n">
        <v>12</v>
      </c>
    </row>
    <row r="783" customFormat="false" ht="13.8" hidden="true" customHeight="false" outlineLevel="0" collapsed="false">
      <c r="A783" s="117" t="n">
        <v>1000</v>
      </c>
      <c r="B783" s="117" t="s">
        <v>1962</v>
      </c>
      <c r="C783" s="117" t="n">
        <v>100173564</v>
      </c>
      <c r="E783" s="117" t="s">
        <v>1921</v>
      </c>
      <c r="F783" s="117" t="n">
        <v>1108</v>
      </c>
      <c r="G783" s="117" t="n">
        <v>2019</v>
      </c>
      <c r="H783" s="117" t="n">
        <v>8</v>
      </c>
      <c r="I783" s="118" t="n">
        <v>43799</v>
      </c>
      <c r="J783" s="118" t="n">
        <v>43799</v>
      </c>
      <c r="K783" s="119" t="n">
        <v>240685.9</v>
      </c>
      <c r="L783" s="128" t="n">
        <f aca="false">K783-Q783+T783</f>
        <v>240685.9</v>
      </c>
      <c r="M783" s="117" t="s">
        <v>149</v>
      </c>
      <c r="N783" s="117" t="n">
        <v>240685.9</v>
      </c>
      <c r="O783" s="117" t="s">
        <v>149</v>
      </c>
      <c r="P783" s="117" t="n">
        <v>0</v>
      </c>
      <c r="Q783" s="117" t="n">
        <v>0</v>
      </c>
      <c r="R783" s="117" t="n">
        <v>240685.9</v>
      </c>
      <c r="S783" s="117" t="n">
        <v>0</v>
      </c>
      <c r="T783" s="117" t="n">
        <v>0</v>
      </c>
      <c r="U783" s="117" t="n">
        <v>312193</v>
      </c>
      <c r="V783" s="117" t="s">
        <v>1963</v>
      </c>
      <c r="X783" s="117" t="s">
        <v>1660</v>
      </c>
      <c r="Z783" s="117" t="n">
        <v>61995</v>
      </c>
      <c r="AB783" s="117" t="s">
        <v>2109</v>
      </c>
      <c r="AD783" s="117" t="n">
        <v>110000</v>
      </c>
      <c r="AE783" s="117" t="s">
        <v>1966</v>
      </c>
      <c r="AF783" s="117" t="n">
        <v>110000</v>
      </c>
      <c r="AG783" s="117" t="s">
        <v>1966</v>
      </c>
      <c r="AI783" s="117" t="n">
        <v>110000</v>
      </c>
      <c r="AJ783" s="117" t="s">
        <v>1966</v>
      </c>
      <c r="AK783" s="117" t="n">
        <v>0</v>
      </c>
      <c r="AL783" s="117" t="n">
        <v>4</v>
      </c>
      <c r="AM783" s="117" t="s">
        <v>161</v>
      </c>
      <c r="AR783" s="118" t="n">
        <v>43800</v>
      </c>
      <c r="AS783" s="117" t="n">
        <v>0.649189814814815</v>
      </c>
      <c r="AT783" s="117" t="n">
        <v>0</v>
      </c>
      <c r="AU783" s="117" t="n">
        <v>0</v>
      </c>
      <c r="AX783" s="117" t="n">
        <v>8</v>
      </c>
    </row>
    <row r="784" customFormat="false" ht="13.8" hidden="true" customHeight="false" outlineLevel="0" collapsed="false">
      <c r="A784" s="117" t="n">
        <v>1000</v>
      </c>
      <c r="B784" s="117" t="s">
        <v>1962</v>
      </c>
      <c r="C784" s="117" t="n">
        <v>100198535</v>
      </c>
      <c r="E784" s="117" t="s">
        <v>1921</v>
      </c>
      <c r="F784" s="117" t="n">
        <v>1101</v>
      </c>
      <c r="G784" s="117" t="n">
        <v>2019</v>
      </c>
      <c r="H784" s="117" t="n">
        <v>9</v>
      </c>
      <c r="I784" s="118" t="n">
        <v>43828</v>
      </c>
      <c r="J784" s="118" t="n">
        <v>43828</v>
      </c>
      <c r="K784" s="119" t="n">
        <v>-728885.7</v>
      </c>
      <c r="L784" s="128" t="n">
        <f aca="false">K784-Q784+T784</f>
        <v>-728885.7</v>
      </c>
      <c r="M784" s="117" t="s">
        <v>149</v>
      </c>
      <c r="N784" s="117" t="n">
        <v>-728885.7</v>
      </c>
      <c r="O784" s="117" t="s">
        <v>149</v>
      </c>
      <c r="P784" s="117" t="n">
        <v>0</v>
      </c>
      <c r="Q784" s="117" t="n">
        <v>0</v>
      </c>
      <c r="R784" s="117" t="n">
        <v>-728885.7</v>
      </c>
      <c r="S784" s="117" t="n">
        <v>0</v>
      </c>
      <c r="T784" s="117" t="n">
        <v>0</v>
      </c>
      <c r="U784" s="117" t="n">
        <v>318999</v>
      </c>
      <c r="V784" s="117" t="s">
        <v>143</v>
      </c>
      <c r="Z784" s="117" t="n">
        <v>100198535</v>
      </c>
      <c r="AD784" s="117" t="n">
        <v>111105</v>
      </c>
      <c r="AE784" s="117" t="s">
        <v>1994</v>
      </c>
      <c r="AF784" s="117" t="n">
        <v>110000</v>
      </c>
      <c r="AG784" s="117" t="s">
        <v>1966</v>
      </c>
      <c r="AI784" s="117" t="n">
        <v>110000</v>
      </c>
      <c r="AJ784" s="117" t="s">
        <v>1966</v>
      </c>
      <c r="AK784" s="117" t="n">
        <v>0</v>
      </c>
      <c r="AL784" s="117" t="n">
        <v>19</v>
      </c>
      <c r="AM784" s="117" t="s">
        <v>225</v>
      </c>
      <c r="AN784" s="117" t="s">
        <v>1995</v>
      </c>
      <c r="AP784" s="117" t="n">
        <v>100198535</v>
      </c>
      <c r="AQ784" s="118" t="n">
        <v>43828</v>
      </c>
      <c r="AR784" s="118" t="n">
        <v>43828</v>
      </c>
      <c r="AS784" s="117" t="n">
        <v>0.725046296296296</v>
      </c>
      <c r="AT784" s="117" t="n">
        <v>0</v>
      </c>
      <c r="AU784" s="117" t="n">
        <v>0</v>
      </c>
      <c r="AX784" s="117" t="n">
        <v>4</v>
      </c>
    </row>
    <row r="785" s="106" customFormat="true" ht="13.8" hidden="true" customHeight="false" outlineLevel="0" collapsed="false">
      <c r="A785" s="106" t="n">
        <v>1000</v>
      </c>
      <c r="B785" s="106" t="s">
        <v>1962</v>
      </c>
      <c r="C785" s="106" t="n">
        <v>111420</v>
      </c>
      <c r="D785" s="106" t="s">
        <v>1278</v>
      </c>
      <c r="E785" s="106" t="s">
        <v>1970</v>
      </c>
      <c r="F785" s="106" t="n">
        <v>1109</v>
      </c>
      <c r="G785" s="106" t="n">
        <v>2019</v>
      </c>
      <c r="H785" s="106" t="n">
        <v>10</v>
      </c>
      <c r="I785" s="129" t="n">
        <v>43844</v>
      </c>
      <c r="J785" s="129" t="n">
        <v>43844</v>
      </c>
      <c r="K785" s="107" t="n">
        <v>2925134.33</v>
      </c>
      <c r="L785" s="130" t="n">
        <f aca="false">K785-Q785+T785</f>
        <v>2478927.39</v>
      </c>
      <c r="M785" s="106" t="s">
        <v>149</v>
      </c>
      <c r="N785" s="106" t="n">
        <v>2925134.33</v>
      </c>
      <c r="O785" s="106" t="s">
        <v>149</v>
      </c>
      <c r="P785" s="106" t="n">
        <v>0</v>
      </c>
      <c r="Q785" s="107" t="n">
        <v>446206.94</v>
      </c>
      <c r="R785" s="106" t="n">
        <v>2478927.39</v>
      </c>
      <c r="S785" s="106" t="n">
        <v>0</v>
      </c>
      <c r="T785" s="106" t="n">
        <v>0</v>
      </c>
      <c r="U785" s="106" t="n">
        <v>311155</v>
      </c>
      <c r="V785" s="106" t="s">
        <v>2022</v>
      </c>
      <c r="Z785" s="106" t="n">
        <v>63060</v>
      </c>
      <c r="AB785" s="106" t="s">
        <v>2431</v>
      </c>
      <c r="AD785" s="106" t="n">
        <v>110000</v>
      </c>
      <c r="AE785" s="106" t="s">
        <v>1966</v>
      </c>
      <c r="AF785" s="106" t="n">
        <v>501005</v>
      </c>
      <c r="AG785" s="106" t="s">
        <v>2033</v>
      </c>
      <c r="AI785" s="106" t="n">
        <v>501005</v>
      </c>
      <c r="AJ785" s="106" t="s">
        <v>2033</v>
      </c>
      <c r="AK785" s="106" t="n">
        <v>0</v>
      </c>
      <c r="AL785" s="106" t="n">
        <v>1</v>
      </c>
      <c r="AM785" s="106" t="s">
        <v>161</v>
      </c>
      <c r="AP785" s="106" t="n">
        <v>100229130</v>
      </c>
      <c r="AQ785" s="129" t="n">
        <v>43856</v>
      </c>
      <c r="AR785" s="129" t="n">
        <v>43844</v>
      </c>
      <c r="AS785" s="106" t="n">
        <v>0.751111111111111</v>
      </c>
      <c r="AT785" s="106" t="n">
        <v>0</v>
      </c>
      <c r="AU785" s="106" t="n">
        <v>0</v>
      </c>
      <c r="AX785" s="106" t="n">
        <v>1</v>
      </c>
      <c r="ALU785" s="0"/>
      <c r="ALV785" s="0"/>
      <c r="ALW785" s="0"/>
      <c r="ALX785" s="0"/>
      <c r="ALY785" s="0"/>
      <c r="ALZ785" s="0"/>
      <c r="AMA785" s="0"/>
      <c r="AMB785" s="0"/>
      <c r="AMC785" s="0"/>
      <c r="AMD785" s="0"/>
      <c r="AME785" s="0"/>
      <c r="AMF785" s="0"/>
      <c r="AMG785" s="0"/>
      <c r="AMH785" s="0"/>
      <c r="AMI785" s="0"/>
      <c r="AMJ785" s="0"/>
    </row>
    <row r="786" s="106" customFormat="true" ht="13.8" hidden="true" customHeight="false" outlineLevel="0" collapsed="false">
      <c r="A786" s="106" t="n">
        <v>1000</v>
      </c>
      <c r="B786" s="106" t="s">
        <v>1962</v>
      </c>
      <c r="C786" s="106" t="n">
        <v>110427</v>
      </c>
      <c r="D786" s="106" t="s">
        <v>1738</v>
      </c>
      <c r="E786" s="106" t="s">
        <v>1970</v>
      </c>
      <c r="F786" s="106" t="n">
        <v>1112</v>
      </c>
      <c r="G786" s="106" t="n">
        <v>2019</v>
      </c>
      <c r="H786" s="106" t="n">
        <v>9</v>
      </c>
      <c r="I786" s="129" t="n">
        <v>43820</v>
      </c>
      <c r="J786" s="129" t="n">
        <v>43820</v>
      </c>
      <c r="K786" s="107" t="n">
        <v>434277.76</v>
      </c>
      <c r="L786" s="130" t="n">
        <f aca="false">K786-Q786+T786</f>
        <v>368032</v>
      </c>
      <c r="M786" s="106" t="s">
        <v>149</v>
      </c>
      <c r="N786" s="106" t="n">
        <v>434277.76</v>
      </c>
      <c r="O786" s="106" t="s">
        <v>149</v>
      </c>
      <c r="P786" s="106" t="n">
        <v>0</v>
      </c>
      <c r="Q786" s="107" t="n">
        <v>66245.76</v>
      </c>
      <c r="R786" s="106" t="n">
        <v>368032</v>
      </c>
      <c r="S786" s="106" t="n">
        <v>0</v>
      </c>
      <c r="T786" s="106" t="n">
        <v>0</v>
      </c>
      <c r="U786" s="106" t="n">
        <v>312193</v>
      </c>
      <c r="V786" s="106" t="s">
        <v>1963</v>
      </c>
      <c r="Z786" s="106" t="n">
        <v>62394</v>
      </c>
      <c r="AB786" s="106" t="s">
        <v>2362</v>
      </c>
      <c r="AD786" s="106" t="n">
        <v>110000</v>
      </c>
      <c r="AE786" s="106" t="s">
        <v>1966</v>
      </c>
      <c r="AF786" s="106" t="n">
        <v>501005</v>
      </c>
      <c r="AG786" s="106" t="s">
        <v>2033</v>
      </c>
      <c r="AI786" s="106" t="n">
        <v>501005</v>
      </c>
      <c r="AJ786" s="106" t="s">
        <v>2033</v>
      </c>
      <c r="AK786" s="106" t="n">
        <v>0</v>
      </c>
      <c r="AL786" s="106" t="n">
        <v>1</v>
      </c>
      <c r="AM786" s="106" t="s">
        <v>161</v>
      </c>
      <c r="AP786" s="106" t="n">
        <v>100194025</v>
      </c>
      <c r="AQ786" s="129" t="n">
        <v>43824</v>
      </c>
      <c r="AR786" s="129" t="n">
        <v>43820</v>
      </c>
      <c r="AS786" s="106" t="n">
        <v>0.631631944444445</v>
      </c>
      <c r="AT786" s="106" t="n">
        <v>0</v>
      </c>
      <c r="AU786" s="106" t="n">
        <v>0</v>
      </c>
      <c r="AX786" s="106" t="n">
        <v>1</v>
      </c>
      <c r="ALU786" s="0"/>
      <c r="ALV786" s="0"/>
      <c r="ALW786" s="0"/>
      <c r="ALX786" s="0"/>
      <c r="ALY786" s="0"/>
      <c r="ALZ786" s="0"/>
      <c r="AMA786" s="0"/>
      <c r="AMB786" s="0"/>
      <c r="AMC786" s="0"/>
      <c r="AMD786" s="0"/>
      <c r="AME786" s="0"/>
      <c r="AMF786" s="0"/>
      <c r="AMG786" s="0"/>
      <c r="AMH786" s="0"/>
      <c r="AMI786" s="0"/>
      <c r="AMJ786" s="0"/>
    </row>
    <row r="787" customFormat="false" ht="13.8" hidden="true" customHeight="false" outlineLevel="0" collapsed="false">
      <c r="A787" s="117" t="n">
        <v>1000</v>
      </c>
      <c r="B787" s="117" t="s">
        <v>1962</v>
      </c>
      <c r="C787" s="117" t="n">
        <v>100194025</v>
      </c>
      <c r="E787" s="117" t="s">
        <v>1921</v>
      </c>
      <c r="F787" s="117" t="n">
        <v>1112</v>
      </c>
      <c r="G787" s="117" t="n">
        <v>2019</v>
      </c>
      <c r="H787" s="117" t="n">
        <v>9</v>
      </c>
      <c r="I787" s="118" t="n">
        <v>43824</v>
      </c>
      <c r="J787" s="118" t="n">
        <v>43824</v>
      </c>
      <c r="K787" s="119" t="n">
        <v>736721.2</v>
      </c>
      <c r="L787" s="128" t="n">
        <f aca="false">K787-Q787+T787</f>
        <v>736721.2</v>
      </c>
      <c r="M787" s="117" t="s">
        <v>149</v>
      </c>
      <c r="N787" s="117" t="n">
        <v>736721.2</v>
      </c>
      <c r="O787" s="117" t="s">
        <v>149</v>
      </c>
      <c r="P787" s="117" t="n">
        <v>0</v>
      </c>
      <c r="Q787" s="117" t="n">
        <v>0</v>
      </c>
      <c r="R787" s="117" t="n">
        <v>736721.2</v>
      </c>
      <c r="S787" s="117" t="n">
        <v>0</v>
      </c>
      <c r="T787" s="117" t="n">
        <v>0</v>
      </c>
      <c r="U787" s="117" t="n">
        <v>312193</v>
      </c>
      <c r="V787" s="117" t="s">
        <v>1963</v>
      </c>
      <c r="X787" s="117" t="s">
        <v>1785</v>
      </c>
      <c r="Z787" s="117" t="n">
        <v>62190</v>
      </c>
      <c r="AB787" s="117" t="s">
        <v>2362</v>
      </c>
      <c r="AD787" s="117" t="n">
        <v>110000</v>
      </c>
      <c r="AE787" s="117" t="s">
        <v>1966</v>
      </c>
      <c r="AF787" s="117" t="n">
        <v>110000</v>
      </c>
      <c r="AG787" s="117" t="s">
        <v>1966</v>
      </c>
      <c r="AI787" s="117" t="n">
        <v>110000</v>
      </c>
      <c r="AJ787" s="117" t="s">
        <v>1966</v>
      </c>
      <c r="AK787" s="117" t="n">
        <v>0</v>
      </c>
      <c r="AL787" s="117" t="n">
        <v>4</v>
      </c>
      <c r="AM787" s="117" t="s">
        <v>161</v>
      </c>
      <c r="AR787" s="118" t="n">
        <v>43824</v>
      </c>
      <c r="AS787" s="117" t="n">
        <v>0.371284722222222</v>
      </c>
      <c r="AT787" s="117" t="n">
        <v>0</v>
      </c>
      <c r="AU787" s="117" t="n">
        <v>0</v>
      </c>
      <c r="AX787" s="117" t="n">
        <v>12</v>
      </c>
    </row>
    <row r="788" customFormat="false" ht="13.8" hidden="true" customHeight="false" outlineLevel="0" collapsed="false">
      <c r="A788" s="117" t="n">
        <v>1000</v>
      </c>
      <c r="B788" s="117" t="s">
        <v>1962</v>
      </c>
      <c r="C788" s="117" t="n">
        <v>1600000288</v>
      </c>
      <c r="D788" s="117" t="s">
        <v>2356</v>
      </c>
      <c r="E788" s="117" t="s">
        <v>1987</v>
      </c>
      <c r="F788" s="117" t="n">
        <v>1101</v>
      </c>
      <c r="G788" s="117" t="n">
        <v>2019</v>
      </c>
      <c r="H788" s="117" t="n">
        <v>8</v>
      </c>
      <c r="I788" s="118" t="n">
        <v>43795</v>
      </c>
      <c r="J788" s="118" t="n">
        <v>43795</v>
      </c>
      <c r="K788" s="119" t="n">
        <v>-3145</v>
      </c>
      <c r="L788" s="128" t="n">
        <f aca="false">K788-Q788+T788</f>
        <v>-3145</v>
      </c>
      <c r="M788" s="117" t="s">
        <v>149</v>
      </c>
      <c r="N788" s="117" t="n">
        <v>-3145</v>
      </c>
      <c r="O788" s="117" t="s">
        <v>149</v>
      </c>
      <c r="P788" s="117" t="n">
        <v>-3145</v>
      </c>
      <c r="Q788" s="117" t="n">
        <v>0</v>
      </c>
      <c r="R788" s="117" t="n">
        <v>-3145</v>
      </c>
      <c r="S788" s="117" t="n">
        <v>0</v>
      </c>
      <c r="T788" s="117" t="n">
        <v>0</v>
      </c>
      <c r="U788" s="117" t="n">
        <v>312193</v>
      </c>
      <c r="V788" s="117" t="s">
        <v>1963</v>
      </c>
      <c r="X788" s="117" t="s">
        <v>2432</v>
      </c>
      <c r="Y788" s="117" t="s">
        <v>2358</v>
      </c>
      <c r="Z788" s="117" t="n">
        <v>1600000288</v>
      </c>
      <c r="AD788" s="117" t="n">
        <v>310300</v>
      </c>
      <c r="AE788" s="117" t="s">
        <v>1969</v>
      </c>
      <c r="AF788" s="117" t="n">
        <v>111201</v>
      </c>
      <c r="AG788" s="117" t="s">
        <v>2165</v>
      </c>
      <c r="AI788" s="117" t="n">
        <v>111201</v>
      </c>
      <c r="AJ788" s="117" t="s">
        <v>2165</v>
      </c>
      <c r="AK788" s="117" t="n">
        <v>0</v>
      </c>
      <c r="AL788" s="117" t="n">
        <v>19</v>
      </c>
      <c r="AM788" s="117" t="s">
        <v>225</v>
      </c>
      <c r="AN788" s="117" t="s">
        <v>1978</v>
      </c>
      <c r="AP788" s="117" t="n">
        <v>100173563</v>
      </c>
      <c r="AQ788" s="118" t="n">
        <v>43799</v>
      </c>
      <c r="AR788" s="118" t="n">
        <v>43795</v>
      </c>
      <c r="AS788" s="117" t="n">
        <v>0.285</v>
      </c>
      <c r="AT788" s="117" t="n">
        <v>0</v>
      </c>
      <c r="AU788" s="117" t="n">
        <v>0</v>
      </c>
      <c r="AX788" s="117" t="n">
        <v>38</v>
      </c>
    </row>
    <row r="789" s="106" customFormat="true" ht="13.8" hidden="true" customHeight="false" outlineLevel="0" collapsed="false">
      <c r="A789" s="106" t="n">
        <v>1000</v>
      </c>
      <c r="B789" s="106" t="s">
        <v>1962</v>
      </c>
      <c r="C789" s="106" t="n">
        <v>109738</v>
      </c>
      <c r="D789" s="106" t="s">
        <v>1631</v>
      </c>
      <c r="E789" s="106" t="s">
        <v>1970</v>
      </c>
      <c r="F789" s="106" t="n">
        <v>1108</v>
      </c>
      <c r="G789" s="106" t="n">
        <v>2019</v>
      </c>
      <c r="H789" s="106" t="n">
        <v>8</v>
      </c>
      <c r="I789" s="129" t="n">
        <v>43799</v>
      </c>
      <c r="J789" s="129" t="n">
        <v>43799</v>
      </c>
      <c r="K789" s="107" t="n">
        <v>383.5</v>
      </c>
      <c r="L789" s="130" t="n">
        <f aca="false">K789-Q789+T789</f>
        <v>325</v>
      </c>
      <c r="M789" s="106" t="s">
        <v>149</v>
      </c>
      <c r="N789" s="106" t="n">
        <v>383.5</v>
      </c>
      <c r="O789" s="106" t="s">
        <v>149</v>
      </c>
      <c r="P789" s="106" t="n">
        <v>0</v>
      </c>
      <c r="Q789" s="107" t="n">
        <v>58.5</v>
      </c>
      <c r="R789" s="106" t="n">
        <v>325</v>
      </c>
      <c r="S789" s="106" t="n">
        <v>0</v>
      </c>
      <c r="T789" s="106" t="n">
        <v>0</v>
      </c>
      <c r="U789" s="106" t="n">
        <v>312193</v>
      </c>
      <c r="V789" s="106" t="s">
        <v>1963</v>
      </c>
      <c r="Z789" s="106" t="n">
        <v>61009</v>
      </c>
      <c r="AB789" s="106" t="s">
        <v>2109</v>
      </c>
      <c r="AD789" s="106" t="n">
        <v>110000</v>
      </c>
      <c r="AE789" s="106" t="s">
        <v>1966</v>
      </c>
      <c r="AF789" s="106" t="n">
        <v>501000</v>
      </c>
      <c r="AG789" s="106" t="s">
        <v>2170</v>
      </c>
      <c r="AI789" s="106" t="n">
        <v>501000</v>
      </c>
      <c r="AJ789" s="106" t="s">
        <v>2170</v>
      </c>
      <c r="AK789" s="106" t="n">
        <v>0</v>
      </c>
      <c r="AL789" s="106" t="n">
        <v>1</v>
      </c>
      <c r="AM789" s="106" t="s">
        <v>161</v>
      </c>
      <c r="AP789" s="106" t="n">
        <v>100173564</v>
      </c>
      <c r="AQ789" s="129" t="n">
        <v>43799</v>
      </c>
      <c r="AR789" s="129" t="n">
        <v>43799</v>
      </c>
      <c r="AS789" s="106" t="n">
        <v>0.748773148148148</v>
      </c>
      <c r="AT789" s="106" t="n">
        <v>0</v>
      </c>
      <c r="AU789" s="106" t="n">
        <v>0</v>
      </c>
      <c r="AX789" s="106" t="n">
        <v>1</v>
      </c>
      <c r="ALU789" s="0"/>
      <c r="ALV789" s="0"/>
      <c r="ALW789" s="0"/>
      <c r="ALX789" s="0"/>
      <c r="ALY789" s="0"/>
      <c r="ALZ789" s="0"/>
      <c r="AMA789" s="0"/>
      <c r="AMB789" s="0"/>
      <c r="AMC789" s="0"/>
      <c r="AMD789" s="0"/>
      <c r="AME789" s="0"/>
      <c r="AMF789" s="0"/>
      <c r="AMG789" s="0"/>
      <c r="AMH789" s="0"/>
      <c r="AMI789" s="0"/>
      <c r="AMJ789" s="0"/>
    </row>
    <row r="790" customFormat="false" ht="13.8" hidden="true" customHeight="false" outlineLevel="0" collapsed="false">
      <c r="A790" s="117" t="n">
        <v>1000</v>
      </c>
      <c r="B790" s="117" t="s">
        <v>1962</v>
      </c>
      <c r="C790" s="117" t="n">
        <v>100172911</v>
      </c>
      <c r="E790" s="117" t="s">
        <v>1921</v>
      </c>
      <c r="F790" s="117" t="n">
        <v>1109</v>
      </c>
      <c r="G790" s="117" t="n">
        <v>2019</v>
      </c>
      <c r="H790" s="117" t="n">
        <v>8</v>
      </c>
      <c r="I790" s="118" t="n">
        <v>43799</v>
      </c>
      <c r="J790" s="118" t="n">
        <v>43799</v>
      </c>
      <c r="K790" s="119" t="n">
        <v>384680</v>
      </c>
      <c r="L790" s="128" t="n">
        <f aca="false">K790-Q790+T790</f>
        <v>384680</v>
      </c>
      <c r="M790" s="117" t="s">
        <v>149</v>
      </c>
      <c r="N790" s="117" t="n">
        <v>384680</v>
      </c>
      <c r="O790" s="117" t="s">
        <v>149</v>
      </c>
      <c r="P790" s="117" t="n">
        <v>0</v>
      </c>
      <c r="Q790" s="117" t="n">
        <v>0</v>
      </c>
      <c r="R790" s="117" t="n">
        <v>384680</v>
      </c>
      <c r="S790" s="117" t="n">
        <v>0</v>
      </c>
      <c r="T790" s="117" t="n">
        <v>0</v>
      </c>
      <c r="U790" s="117" t="n">
        <v>313029</v>
      </c>
      <c r="V790" s="117" t="s">
        <v>143</v>
      </c>
      <c r="X790" s="117" t="s">
        <v>2409</v>
      </c>
      <c r="Z790" s="117" t="n">
        <v>62139</v>
      </c>
      <c r="AB790" s="117" t="s">
        <v>2410</v>
      </c>
      <c r="AD790" s="117" t="n">
        <v>110000</v>
      </c>
      <c r="AE790" s="117" t="s">
        <v>1966</v>
      </c>
      <c r="AF790" s="117" t="n">
        <v>110000</v>
      </c>
      <c r="AG790" s="117" t="s">
        <v>1966</v>
      </c>
      <c r="AI790" s="117" t="n">
        <v>110000</v>
      </c>
      <c r="AJ790" s="117" t="s">
        <v>1966</v>
      </c>
      <c r="AK790" s="117" t="n">
        <v>0</v>
      </c>
      <c r="AL790" s="117" t="n">
        <v>4</v>
      </c>
      <c r="AM790" s="117" t="s">
        <v>161</v>
      </c>
      <c r="AP790" s="117" t="n">
        <v>100229154</v>
      </c>
      <c r="AQ790" s="118" t="n">
        <v>43856</v>
      </c>
      <c r="AR790" s="118" t="n">
        <v>43800</v>
      </c>
      <c r="AS790" s="117" t="n">
        <v>0.280706018518518</v>
      </c>
      <c r="AT790" s="117" t="n">
        <v>0</v>
      </c>
      <c r="AU790" s="117" t="n">
        <v>0</v>
      </c>
      <c r="AX790" s="117" t="n">
        <v>1</v>
      </c>
    </row>
    <row r="791" customFormat="false" ht="13.8" hidden="true" customHeight="false" outlineLevel="0" collapsed="false">
      <c r="A791" s="117" t="n">
        <v>1000</v>
      </c>
      <c r="B791" s="117" t="s">
        <v>1962</v>
      </c>
      <c r="C791" s="117" t="n">
        <v>1600000288</v>
      </c>
      <c r="D791" s="117" t="s">
        <v>2356</v>
      </c>
      <c r="E791" s="117" t="s">
        <v>1987</v>
      </c>
      <c r="F791" s="117" t="n">
        <v>1101</v>
      </c>
      <c r="G791" s="117" t="n">
        <v>2019</v>
      </c>
      <c r="H791" s="117" t="n">
        <v>8</v>
      </c>
      <c r="I791" s="118" t="n">
        <v>43795</v>
      </c>
      <c r="J791" s="118" t="n">
        <v>43795</v>
      </c>
      <c r="K791" s="119" t="n">
        <v>-25774</v>
      </c>
      <c r="L791" s="128" t="n">
        <f aca="false">K791-Q791+T791</f>
        <v>-25774</v>
      </c>
      <c r="M791" s="117" t="s">
        <v>149</v>
      </c>
      <c r="N791" s="117" t="n">
        <v>-25774</v>
      </c>
      <c r="O791" s="117" t="s">
        <v>149</v>
      </c>
      <c r="P791" s="117" t="n">
        <v>-25774</v>
      </c>
      <c r="Q791" s="117" t="n">
        <v>0</v>
      </c>
      <c r="R791" s="117" t="n">
        <v>-25774</v>
      </c>
      <c r="S791" s="117" t="n">
        <v>0</v>
      </c>
      <c r="T791" s="117" t="n">
        <v>0</v>
      </c>
      <c r="U791" s="117" t="n">
        <v>312193</v>
      </c>
      <c r="V791" s="117" t="s">
        <v>1963</v>
      </c>
      <c r="X791" s="117" t="s">
        <v>2433</v>
      </c>
      <c r="Y791" s="117" t="s">
        <v>2358</v>
      </c>
      <c r="Z791" s="117" t="n">
        <v>1600000288</v>
      </c>
      <c r="AD791" s="117" t="n">
        <v>310300</v>
      </c>
      <c r="AE791" s="117" t="s">
        <v>1969</v>
      </c>
      <c r="AF791" s="117" t="n">
        <v>111201</v>
      </c>
      <c r="AG791" s="117" t="s">
        <v>2165</v>
      </c>
      <c r="AI791" s="117" t="n">
        <v>111201</v>
      </c>
      <c r="AJ791" s="117" t="s">
        <v>2165</v>
      </c>
      <c r="AK791" s="117" t="n">
        <v>0</v>
      </c>
      <c r="AL791" s="117" t="n">
        <v>19</v>
      </c>
      <c r="AM791" s="117" t="s">
        <v>225</v>
      </c>
      <c r="AN791" s="117" t="s">
        <v>1978</v>
      </c>
      <c r="AP791" s="117" t="n">
        <v>100173563</v>
      </c>
      <c r="AQ791" s="118" t="n">
        <v>43799</v>
      </c>
      <c r="AR791" s="118" t="n">
        <v>43795</v>
      </c>
      <c r="AS791" s="117" t="n">
        <v>0.285</v>
      </c>
      <c r="AT791" s="117" t="n">
        <v>0</v>
      </c>
      <c r="AU791" s="117" t="n">
        <v>0</v>
      </c>
      <c r="AX791" s="117" t="n">
        <v>33</v>
      </c>
    </row>
    <row r="792" s="106" customFormat="true" ht="13.8" hidden="true" customHeight="false" outlineLevel="0" collapsed="false">
      <c r="A792" s="106" t="n">
        <v>1000</v>
      </c>
      <c r="B792" s="106" t="s">
        <v>1962</v>
      </c>
      <c r="C792" s="106" t="n">
        <v>109640</v>
      </c>
      <c r="D792" s="106" t="s">
        <v>1669</v>
      </c>
      <c r="E792" s="106" t="s">
        <v>1970</v>
      </c>
      <c r="F792" s="106" t="n">
        <v>1108</v>
      </c>
      <c r="G792" s="106" t="n">
        <v>2019</v>
      </c>
      <c r="H792" s="106" t="n">
        <v>8</v>
      </c>
      <c r="I792" s="129" t="n">
        <v>43798</v>
      </c>
      <c r="J792" s="129" t="n">
        <v>43798</v>
      </c>
      <c r="K792" s="107" t="n">
        <v>1344332.26</v>
      </c>
      <c r="L792" s="130" t="n">
        <f aca="false">K792-Q792+T792</f>
        <v>1139264.63</v>
      </c>
      <c r="M792" s="106" t="s">
        <v>149</v>
      </c>
      <c r="N792" s="106" t="n">
        <v>1344332.26</v>
      </c>
      <c r="O792" s="106" t="s">
        <v>149</v>
      </c>
      <c r="P792" s="106" t="n">
        <v>0</v>
      </c>
      <c r="Q792" s="107" t="n">
        <v>205067.63</v>
      </c>
      <c r="R792" s="106" t="n">
        <v>1139264.63</v>
      </c>
      <c r="S792" s="106" t="n">
        <v>0</v>
      </c>
      <c r="T792" s="106" t="n">
        <v>0</v>
      </c>
      <c r="U792" s="106" t="n">
        <v>312193</v>
      </c>
      <c r="V792" s="106" t="s">
        <v>1963</v>
      </c>
      <c r="Z792" s="106" t="n">
        <v>61242</v>
      </c>
      <c r="AB792" s="106" t="s">
        <v>2109</v>
      </c>
      <c r="AD792" s="106" t="n">
        <v>110000</v>
      </c>
      <c r="AE792" s="106" t="s">
        <v>1966</v>
      </c>
      <c r="AF792" s="106" t="n">
        <v>501005</v>
      </c>
      <c r="AG792" s="106" t="s">
        <v>2033</v>
      </c>
      <c r="AI792" s="106" t="n">
        <v>501005</v>
      </c>
      <c r="AJ792" s="106" t="s">
        <v>2033</v>
      </c>
      <c r="AK792" s="106" t="n">
        <v>0</v>
      </c>
      <c r="AL792" s="106" t="n">
        <v>1</v>
      </c>
      <c r="AM792" s="106" t="s">
        <v>161</v>
      </c>
      <c r="AP792" s="106" t="n">
        <v>100173564</v>
      </c>
      <c r="AQ792" s="129" t="n">
        <v>43799</v>
      </c>
      <c r="AR792" s="129" t="n">
        <v>43798</v>
      </c>
      <c r="AS792" s="106" t="n">
        <v>0.760034722222222</v>
      </c>
      <c r="AT792" s="106" t="n">
        <v>0</v>
      </c>
      <c r="AU792" s="106" t="n">
        <v>0</v>
      </c>
      <c r="AX792" s="106" t="n">
        <v>1</v>
      </c>
      <c r="ALU792" s="0"/>
      <c r="ALV792" s="0"/>
      <c r="ALW792" s="0"/>
      <c r="ALX792" s="0"/>
      <c r="ALY792" s="0"/>
      <c r="ALZ792" s="0"/>
      <c r="AMA792" s="0"/>
      <c r="AMB792" s="0"/>
      <c r="AMC792" s="0"/>
      <c r="AMD792" s="0"/>
      <c r="AME792" s="0"/>
      <c r="AMF792" s="0"/>
      <c r="AMG792" s="0"/>
      <c r="AMH792" s="0"/>
      <c r="AMI792" s="0"/>
      <c r="AMJ792" s="0"/>
    </row>
    <row r="793" customFormat="false" ht="13.8" hidden="true" customHeight="false" outlineLevel="0" collapsed="false">
      <c r="A793" s="117" t="n">
        <v>1000</v>
      </c>
      <c r="B793" s="117" t="s">
        <v>1962</v>
      </c>
      <c r="C793" s="117" t="n">
        <v>1600000315</v>
      </c>
      <c r="D793" s="117" t="s">
        <v>2354</v>
      </c>
      <c r="E793" s="117" t="s">
        <v>1987</v>
      </c>
      <c r="F793" s="117" t="n">
        <v>1101</v>
      </c>
      <c r="G793" s="117" t="n">
        <v>2019</v>
      </c>
      <c r="H793" s="117" t="n">
        <v>8</v>
      </c>
      <c r="I793" s="118" t="n">
        <v>43798</v>
      </c>
      <c r="J793" s="118" t="n">
        <v>43798</v>
      </c>
      <c r="K793" s="119" t="n">
        <v>-6917</v>
      </c>
      <c r="L793" s="128" t="n">
        <f aca="false">K793-Q793+T793</f>
        <v>-6917</v>
      </c>
      <c r="M793" s="117" t="s">
        <v>149</v>
      </c>
      <c r="N793" s="117" t="n">
        <v>-6917</v>
      </c>
      <c r="O793" s="117" t="s">
        <v>149</v>
      </c>
      <c r="P793" s="117" t="n">
        <v>-6917</v>
      </c>
      <c r="Q793" s="117" t="n">
        <v>0</v>
      </c>
      <c r="R793" s="117" t="n">
        <v>-6917</v>
      </c>
      <c r="S793" s="117" t="n">
        <v>0</v>
      </c>
      <c r="T793" s="117" t="n">
        <v>0</v>
      </c>
      <c r="U793" s="117" t="n">
        <v>312193</v>
      </c>
      <c r="V793" s="117" t="s">
        <v>1963</v>
      </c>
      <c r="X793" s="117" t="s">
        <v>2434</v>
      </c>
      <c r="Y793" s="117" t="s">
        <v>2354</v>
      </c>
      <c r="Z793" s="117" t="n">
        <v>1600000315</v>
      </c>
      <c r="AD793" s="117" t="n">
        <v>310300</v>
      </c>
      <c r="AE793" s="117" t="s">
        <v>1969</v>
      </c>
      <c r="AF793" s="117" t="n">
        <v>111201</v>
      </c>
      <c r="AG793" s="117" t="s">
        <v>2165</v>
      </c>
      <c r="AI793" s="117" t="n">
        <v>111201</v>
      </c>
      <c r="AJ793" s="117" t="s">
        <v>2165</v>
      </c>
      <c r="AK793" s="117" t="n">
        <v>0</v>
      </c>
      <c r="AL793" s="117" t="n">
        <v>19</v>
      </c>
      <c r="AM793" s="117" t="s">
        <v>225</v>
      </c>
      <c r="AN793" s="117" t="s">
        <v>1978</v>
      </c>
      <c r="AP793" s="117" t="n">
        <v>100173563</v>
      </c>
      <c r="AQ793" s="118" t="n">
        <v>43799</v>
      </c>
      <c r="AR793" s="118" t="n">
        <v>43798</v>
      </c>
      <c r="AS793" s="117" t="n">
        <v>0.954837962962963</v>
      </c>
      <c r="AT793" s="117" t="n">
        <v>0</v>
      </c>
      <c r="AU793" s="117" t="n">
        <v>0</v>
      </c>
      <c r="AX793" s="117" t="n">
        <v>38</v>
      </c>
    </row>
    <row r="794" customFormat="false" ht="13.8" hidden="true" customHeight="false" outlineLevel="0" collapsed="false">
      <c r="A794" s="117" t="n">
        <v>1000</v>
      </c>
      <c r="B794" s="117" t="s">
        <v>1962</v>
      </c>
      <c r="C794" s="117" t="n">
        <v>100194025</v>
      </c>
      <c r="E794" s="117" t="s">
        <v>1921</v>
      </c>
      <c r="F794" s="117" t="n">
        <v>1112</v>
      </c>
      <c r="G794" s="117" t="n">
        <v>2019</v>
      </c>
      <c r="H794" s="117" t="n">
        <v>9</v>
      </c>
      <c r="I794" s="118" t="n">
        <v>43824</v>
      </c>
      <c r="J794" s="118" t="n">
        <v>43824</v>
      </c>
      <c r="K794" s="119" t="n">
        <v>14314.06</v>
      </c>
      <c r="L794" s="128" t="n">
        <f aca="false">K794-Q794+T794</f>
        <v>14314.06</v>
      </c>
      <c r="M794" s="117" t="s">
        <v>149</v>
      </c>
      <c r="N794" s="117" t="n">
        <v>14314.06</v>
      </c>
      <c r="O794" s="117" t="s">
        <v>149</v>
      </c>
      <c r="P794" s="117" t="n">
        <v>0</v>
      </c>
      <c r="Q794" s="117" t="n">
        <v>0</v>
      </c>
      <c r="R794" s="117" t="n">
        <v>14314.06</v>
      </c>
      <c r="S794" s="117" t="n">
        <v>0</v>
      </c>
      <c r="T794" s="117" t="n">
        <v>0</v>
      </c>
      <c r="U794" s="117" t="n">
        <v>312193</v>
      </c>
      <c r="V794" s="117" t="s">
        <v>1963</v>
      </c>
      <c r="X794" s="117" t="s">
        <v>1708</v>
      </c>
      <c r="Z794" s="117" t="n">
        <v>62109</v>
      </c>
      <c r="AB794" s="117" t="s">
        <v>2362</v>
      </c>
      <c r="AD794" s="117" t="n">
        <v>110000</v>
      </c>
      <c r="AE794" s="117" t="s">
        <v>1966</v>
      </c>
      <c r="AF794" s="117" t="n">
        <v>110000</v>
      </c>
      <c r="AG794" s="117" t="s">
        <v>1966</v>
      </c>
      <c r="AI794" s="117" t="n">
        <v>110000</v>
      </c>
      <c r="AJ794" s="117" t="s">
        <v>1966</v>
      </c>
      <c r="AK794" s="117" t="n">
        <v>0</v>
      </c>
      <c r="AL794" s="117" t="n">
        <v>4</v>
      </c>
      <c r="AM794" s="117" t="s">
        <v>161</v>
      </c>
      <c r="AR794" s="118" t="n">
        <v>43824</v>
      </c>
      <c r="AS794" s="117" t="n">
        <v>0.371284722222222</v>
      </c>
      <c r="AT794" s="117" t="n">
        <v>0</v>
      </c>
      <c r="AU794" s="117" t="n">
        <v>0</v>
      </c>
      <c r="AX794" s="117" t="n">
        <v>17</v>
      </c>
    </row>
    <row r="795" customFormat="false" ht="13.8" hidden="true" customHeight="false" outlineLevel="0" collapsed="false">
      <c r="A795" s="117" t="n">
        <v>1000</v>
      </c>
      <c r="B795" s="117" t="s">
        <v>1962</v>
      </c>
      <c r="C795" s="117" t="n">
        <v>100173563</v>
      </c>
      <c r="E795" s="117" t="s">
        <v>1921</v>
      </c>
      <c r="F795" s="117" t="n">
        <v>1101</v>
      </c>
      <c r="G795" s="117" t="n">
        <v>2019</v>
      </c>
      <c r="H795" s="117" t="n">
        <v>8</v>
      </c>
      <c r="I795" s="118" t="n">
        <v>43799</v>
      </c>
      <c r="J795" s="118" t="n">
        <v>43799</v>
      </c>
      <c r="K795" s="119" t="n">
        <v>-0.08</v>
      </c>
      <c r="L795" s="128" t="n">
        <f aca="false">K795-Q795+T795</f>
        <v>-0.08</v>
      </c>
      <c r="M795" s="117" t="s">
        <v>149</v>
      </c>
      <c r="N795" s="117" t="n">
        <v>-0.08</v>
      </c>
      <c r="O795" s="117" t="s">
        <v>149</v>
      </c>
      <c r="P795" s="117" t="n">
        <v>0</v>
      </c>
      <c r="Q795" s="117" t="n">
        <v>0</v>
      </c>
      <c r="R795" s="117" t="n">
        <v>-0.08</v>
      </c>
      <c r="S795" s="117" t="n">
        <v>0</v>
      </c>
      <c r="T795" s="117" t="n">
        <v>0</v>
      </c>
      <c r="U795" s="117" t="n">
        <v>312193</v>
      </c>
      <c r="V795" s="117" t="s">
        <v>1963</v>
      </c>
      <c r="Z795" s="117" t="n">
        <v>100173563</v>
      </c>
      <c r="AD795" s="117" t="n">
        <v>310300</v>
      </c>
      <c r="AE795" s="117" t="s">
        <v>1969</v>
      </c>
      <c r="AF795" s="117" t="n">
        <v>310300</v>
      </c>
      <c r="AG795" s="117" t="s">
        <v>1969</v>
      </c>
      <c r="AI795" s="117" t="n">
        <v>310300</v>
      </c>
      <c r="AJ795" s="117" t="s">
        <v>1969</v>
      </c>
      <c r="AK795" s="117" t="n">
        <v>0</v>
      </c>
      <c r="AL795" s="117" t="n">
        <v>19</v>
      </c>
      <c r="AM795" s="117" t="s">
        <v>225</v>
      </c>
      <c r="AN795" s="117" t="s">
        <v>1978</v>
      </c>
      <c r="AR795" s="118" t="n">
        <v>43800</v>
      </c>
      <c r="AS795" s="117" t="n">
        <v>0.641574074074074</v>
      </c>
      <c r="AT795" s="117" t="n">
        <v>0</v>
      </c>
      <c r="AU795" s="117" t="n">
        <v>0</v>
      </c>
      <c r="AX795" s="117" t="n">
        <v>1</v>
      </c>
    </row>
    <row r="796" customFormat="false" ht="13.8" hidden="true" customHeight="false" outlineLevel="0" collapsed="false">
      <c r="A796" s="117" t="n">
        <v>1000</v>
      </c>
      <c r="B796" s="117" t="s">
        <v>1962</v>
      </c>
      <c r="C796" s="117" t="n">
        <v>100173526</v>
      </c>
      <c r="E796" s="117" t="s">
        <v>1921</v>
      </c>
      <c r="F796" s="117" t="n">
        <v>1101</v>
      </c>
      <c r="G796" s="117" t="n">
        <v>2019</v>
      </c>
      <c r="H796" s="117" t="n">
        <v>8</v>
      </c>
      <c r="I796" s="118" t="n">
        <v>43799</v>
      </c>
      <c r="J796" s="118" t="n">
        <v>43799</v>
      </c>
      <c r="K796" s="119" t="n">
        <v>9563</v>
      </c>
      <c r="L796" s="128" t="n">
        <f aca="false">K796-Q796+T796</f>
        <v>9563</v>
      </c>
      <c r="M796" s="117" t="s">
        <v>149</v>
      </c>
      <c r="N796" s="117" t="n">
        <v>9563</v>
      </c>
      <c r="O796" s="117" t="s">
        <v>149</v>
      </c>
      <c r="P796" s="117" t="n">
        <v>0</v>
      </c>
      <c r="Q796" s="117" t="n">
        <v>0</v>
      </c>
      <c r="R796" s="117" t="n">
        <v>9563</v>
      </c>
      <c r="S796" s="117" t="n">
        <v>0</v>
      </c>
      <c r="T796" s="117" t="n">
        <v>0</v>
      </c>
      <c r="U796" s="117" t="n">
        <v>304431</v>
      </c>
      <c r="V796" s="117" t="s">
        <v>2016</v>
      </c>
      <c r="Z796" s="117" t="n">
        <v>100173526</v>
      </c>
      <c r="AD796" s="117" t="n">
        <v>310300</v>
      </c>
      <c r="AE796" s="117" t="s">
        <v>1969</v>
      </c>
      <c r="AF796" s="117" t="n">
        <v>110000</v>
      </c>
      <c r="AG796" s="117" t="s">
        <v>1966</v>
      </c>
      <c r="AI796" s="117" t="n">
        <v>110000</v>
      </c>
      <c r="AJ796" s="117" t="s">
        <v>1966</v>
      </c>
      <c r="AK796" s="117" t="n">
        <v>0</v>
      </c>
      <c r="AL796" s="117" t="n">
        <v>9</v>
      </c>
      <c r="AM796" s="117" t="s">
        <v>161</v>
      </c>
      <c r="AN796" s="117" t="s">
        <v>1978</v>
      </c>
      <c r="AP796" s="117" t="n">
        <v>100173526</v>
      </c>
      <c r="AQ796" s="118" t="n">
        <v>43799</v>
      </c>
      <c r="AR796" s="118" t="n">
        <v>43800</v>
      </c>
      <c r="AS796" s="117" t="n">
        <v>0.621331018518519</v>
      </c>
      <c r="AT796" s="117" t="n">
        <v>0</v>
      </c>
      <c r="AU796" s="117" t="n">
        <v>0</v>
      </c>
      <c r="AX796" s="117" t="n">
        <v>3</v>
      </c>
    </row>
    <row r="797" customFormat="false" ht="13.8" hidden="true" customHeight="false" outlineLevel="0" collapsed="false">
      <c r="A797" s="117" t="n">
        <v>1000</v>
      </c>
      <c r="B797" s="117" t="s">
        <v>1962</v>
      </c>
      <c r="C797" s="117" t="n">
        <v>100194025</v>
      </c>
      <c r="E797" s="117" t="s">
        <v>1921</v>
      </c>
      <c r="F797" s="117" t="n">
        <v>1112</v>
      </c>
      <c r="G797" s="117" t="n">
        <v>2019</v>
      </c>
      <c r="H797" s="117" t="n">
        <v>9</v>
      </c>
      <c r="I797" s="118" t="n">
        <v>43824</v>
      </c>
      <c r="J797" s="118" t="n">
        <v>43824</v>
      </c>
      <c r="K797" s="119" t="n">
        <v>-6744339.05</v>
      </c>
      <c r="L797" s="128" t="n">
        <f aca="false">K797-Q797+T797</f>
        <v>-6744339.05</v>
      </c>
      <c r="M797" s="117" t="s">
        <v>149</v>
      </c>
      <c r="N797" s="117" t="n">
        <v>-6744339.05</v>
      </c>
      <c r="O797" s="117" t="s">
        <v>149</v>
      </c>
      <c r="P797" s="117" t="n">
        <v>0</v>
      </c>
      <c r="Q797" s="117" t="n">
        <v>0</v>
      </c>
      <c r="R797" s="117" t="n">
        <v>-6744339.05</v>
      </c>
      <c r="S797" s="117" t="n">
        <v>0</v>
      </c>
      <c r="T797" s="117" t="n">
        <v>0</v>
      </c>
      <c r="U797" s="117" t="n">
        <v>312193</v>
      </c>
      <c r="V797" s="117" t="s">
        <v>1963</v>
      </c>
      <c r="Z797" s="117" t="n">
        <v>100194025</v>
      </c>
      <c r="AD797" s="117" t="n">
        <v>110000</v>
      </c>
      <c r="AE797" s="117" t="s">
        <v>1966</v>
      </c>
      <c r="AF797" s="117" t="n">
        <v>110000</v>
      </c>
      <c r="AG797" s="117" t="s">
        <v>1966</v>
      </c>
      <c r="AI797" s="117" t="n">
        <v>110000</v>
      </c>
      <c r="AJ797" s="117" t="s">
        <v>1966</v>
      </c>
      <c r="AK797" s="117" t="n">
        <v>0</v>
      </c>
      <c r="AL797" s="117" t="n">
        <v>17</v>
      </c>
      <c r="AM797" s="117" t="s">
        <v>225</v>
      </c>
      <c r="AP797" s="117" t="n">
        <v>100194025</v>
      </c>
      <c r="AQ797" s="118" t="n">
        <v>43824</v>
      </c>
      <c r="AR797" s="118" t="n">
        <v>43824</v>
      </c>
      <c r="AS797" s="117" t="n">
        <v>0.371284722222222</v>
      </c>
      <c r="AT797" s="117" t="n">
        <v>0</v>
      </c>
      <c r="AU797" s="117" t="n">
        <v>0</v>
      </c>
      <c r="AX797" s="117" t="n">
        <v>33</v>
      </c>
    </row>
    <row r="798" s="106" customFormat="true" ht="13.8" hidden="true" customHeight="false" outlineLevel="0" collapsed="false">
      <c r="A798" s="106" t="n">
        <v>1000</v>
      </c>
      <c r="B798" s="106" t="s">
        <v>1962</v>
      </c>
      <c r="C798" s="106" t="n">
        <v>109742</v>
      </c>
      <c r="D798" s="106" t="s">
        <v>1645</v>
      </c>
      <c r="E798" s="106" t="s">
        <v>1970</v>
      </c>
      <c r="F798" s="106" t="n">
        <v>1108</v>
      </c>
      <c r="G798" s="106" t="n">
        <v>2019</v>
      </c>
      <c r="H798" s="106" t="n">
        <v>8</v>
      </c>
      <c r="I798" s="129" t="n">
        <v>43799</v>
      </c>
      <c r="J798" s="129" t="n">
        <v>43799</v>
      </c>
      <c r="K798" s="107" t="n">
        <v>69849.51</v>
      </c>
      <c r="L798" s="130" t="n">
        <f aca="false">K798-Q798+T798</f>
        <v>59194.5</v>
      </c>
      <c r="M798" s="106" t="s">
        <v>149</v>
      </c>
      <c r="N798" s="106" t="n">
        <v>69849.51</v>
      </c>
      <c r="O798" s="106" t="s">
        <v>149</v>
      </c>
      <c r="P798" s="106" t="n">
        <v>0</v>
      </c>
      <c r="Q798" s="107" t="n">
        <v>10655.01</v>
      </c>
      <c r="R798" s="106" t="n">
        <v>59194.5</v>
      </c>
      <c r="S798" s="106" t="n">
        <v>0</v>
      </c>
      <c r="T798" s="106" t="n">
        <v>0</v>
      </c>
      <c r="U798" s="106" t="n">
        <v>312193</v>
      </c>
      <c r="V798" s="106" t="s">
        <v>1963</v>
      </c>
      <c r="Z798" s="106" t="n">
        <v>61994</v>
      </c>
      <c r="AB798" s="106" t="s">
        <v>2109</v>
      </c>
      <c r="AD798" s="106" t="n">
        <v>110000</v>
      </c>
      <c r="AE798" s="106" t="s">
        <v>1966</v>
      </c>
      <c r="AF798" s="106" t="n">
        <v>501005</v>
      </c>
      <c r="AG798" s="106" t="s">
        <v>2033</v>
      </c>
      <c r="AI798" s="106" t="n">
        <v>501005</v>
      </c>
      <c r="AJ798" s="106" t="s">
        <v>2033</v>
      </c>
      <c r="AK798" s="106" t="n">
        <v>0</v>
      </c>
      <c r="AL798" s="106" t="n">
        <v>1</v>
      </c>
      <c r="AM798" s="106" t="s">
        <v>161</v>
      </c>
      <c r="AP798" s="106" t="n">
        <v>100173564</v>
      </c>
      <c r="AQ798" s="129" t="n">
        <v>43799</v>
      </c>
      <c r="AR798" s="129" t="n">
        <v>43799</v>
      </c>
      <c r="AS798" s="106" t="n">
        <v>0.750902777777778</v>
      </c>
      <c r="AT798" s="106" t="n">
        <v>0</v>
      </c>
      <c r="AU798" s="106" t="n">
        <v>0</v>
      </c>
      <c r="AX798" s="106" t="n">
        <v>1</v>
      </c>
      <c r="ALU798" s="0"/>
      <c r="ALV798" s="0"/>
      <c r="ALW798" s="0"/>
      <c r="ALX798" s="0"/>
      <c r="ALY798" s="0"/>
      <c r="ALZ798" s="0"/>
      <c r="AMA798" s="0"/>
      <c r="AMB798" s="0"/>
      <c r="AMC798" s="0"/>
      <c r="AMD798" s="0"/>
      <c r="AME798" s="0"/>
      <c r="AMF798" s="0"/>
      <c r="AMG798" s="0"/>
      <c r="AMH798" s="0"/>
      <c r="AMI798" s="0"/>
      <c r="AMJ798" s="0"/>
    </row>
    <row r="799" s="106" customFormat="true" ht="13.8" hidden="true" customHeight="false" outlineLevel="0" collapsed="false">
      <c r="A799" s="106" t="n">
        <v>1000</v>
      </c>
      <c r="B799" s="106" t="s">
        <v>1962</v>
      </c>
      <c r="C799" s="106" t="n">
        <v>110182</v>
      </c>
      <c r="D799" s="106" t="s">
        <v>2435</v>
      </c>
      <c r="E799" s="106" t="s">
        <v>1970</v>
      </c>
      <c r="F799" s="106" t="n">
        <v>1112</v>
      </c>
      <c r="G799" s="106" t="n">
        <v>2019</v>
      </c>
      <c r="H799" s="106" t="n">
        <v>9</v>
      </c>
      <c r="I799" s="129" t="n">
        <v>43813</v>
      </c>
      <c r="J799" s="129" t="n">
        <v>43813</v>
      </c>
      <c r="K799" s="107" t="n">
        <v>95478.52</v>
      </c>
      <c r="L799" s="130" t="n">
        <f aca="false">K799-Q799+T799</f>
        <v>80914</v>
      </c>
      <c r="M799" s="106" t="s">
        <v>149</v>
      </c>
      <c r="N799" s="106" t="n">
        <v>95478.52</v>
      </c>
      <c r="O799" s="106" t="s">
        <v>149</v>
      </c>
      <c r="P799" s="106" t="n">
        <v>0</v>
      </c>
      <c r="Q799" s="107" t="n">
        <v>14564.52</v>
      </c>
      <c r="R799" s="106" t="n">
        <v>80914</v>
      </c>
      <c r="S799" s="106" t="n">
        <v>0</v>
      </c>
      <c r="T799" s="106" t="n">
        <v>0</v>
      </c>
      <c r="U799" s="106" t="n">
        <v>312193</v>
      </c>
      <c r="V799" s="106" t="s">
        <v>1963</v>
      </c>
      <c r="Z799" s="106" t="n">
        <v>62147</v>
      </c>
      <c r="AB799" s="106" t="s">
        <v>2350</v>
      </c>
      <c r="AD799" s="106" t="n">
        <v>110000</v>
      </c>
      <c r="AE799" s="106" t="s">
        <v>1966</v>
      </c>
      <c r="AF799" s="106" t="n">
        <v>501000</v>
      </c>
      <c r="AG799" s="106" t="s">
        <v>2170</v>
      </c>
      <c r="AI799" s="106" t="n">
        <v>501000</v>
      </c>
      <c r="AJ799" s="106" t="s">
        <v>2170</v>
      </c>
      <c r="AK799" s="106" t="n">
        <v>0</v>
      </c>
      <c r="AL799" s="106" t="n">
        <v>1</v>
      </c>
      <c r="AM799" s="106" t="s">
        <v>161</v>
      </c>
      <c r="AP799" s="106" t="n">
        <v>100194025</v>
      </c>
      <c r="AQ799" s="129" t="n">
        <v>43824</v>
      </c>
      <c r="AR799" s="129" t="n">
        <v>43813</v>
      </c>
      <c r="AS799" s="106" t="n">
        <v>0.758217592592593</v>
      </c>
      <c r="AT799" s="106" t="n">
        <v>0</v>
      </c>
      <c r="AU799" s="106" t="n">
        <v>0</v>
      </c>
      <c r="AX799" s="106" t="n">
        <v>1</v>
      </c>
      <c r="ALU799" s="0"/>
      <c r="ALV799" s="0"/>
      <c r="ALW799" s="0"/>
      <c r="ALX799" s="0"/>
      <c r="ALY799" s="0"/>
      <c r="ALZ799" s="0"/>
      <c r="AMA799" s="0"/>
      <c r="AMB799" s="0"/>
      <c r="AMC799" s="0"/>
      <c r="AMD799" s="0"/>
      <c r="AME799" s="0"/>
      <c r="AMF799" s="0"/>
      <c r="AMG799" s="0"/>
      <c r="AMH799" s="0"/>
      <c r="AMI799" s="0"/>
      <c r="AMJ799" s="0"/>
    </row>
    <row r="800" s="106" customFormat="true" ht="13.8" hidden="true" customHeight="false" outlineLevel="0" collapsed="false">
      <c r="A800" s="106" t="n">
        <v>1000</v>
      </c>
      <c r="B800" s="106" t="s">
        <v>1962</v>
      </c>
      <c r="C800" s="106" t="n">
        <v>108334</v>
      </c>
      <c r="D800" s="106" t="s">
        <v>1626</v>
      </c>
      <c r="E800" s="106" t="s">
        <v>1970</v>
      </c>
      <c r="F800" s="106" t="n">
        <v>1109</v>
      </c>
      <c r="G800" s="106" t="n">
        <v>2019</v>
      </c>
      <c r="H800" s="106" t="n">
        <v>7</v>
      </c>
      <c r="I800" s="129" t="n">
        <v>43762</v>
      </c>
      <c r="J800" s="129" t="n">
        <v>43762</v>
      </c>
      <c r="K800" s="107" t="n">
        <v>2471455.09</v>
      </c>
      <c r="L800" s="130" t="n">
        <f aca="false">K800-Q800+T800</f>
        <v>2094453.45</v>
      </c>
      <c r="M800" s="106" t="s">
        <v>149</v>
      </c>
      <c r="N800" s="106" t="n">
        <v>2471455.09</v>
      </c>
      <c r="O800" s="106" t="s">
        <v>149</v>
      </c>
      <c r="P800" s="106" t="n">
        <v>0</v>
      </c>
      <c r="Q800" s="107" t="n">
        <v>377001.64</v>
      </c>
      <c r="R800" s="106" t="n">
        <v>2094453.45</v>
      </c>
      <c r="S800" s="106" t="n">
        <v>0</v>
      </c>
      <c r="T800" s="106" t="n">
        <v>0</v>
      </c>
      <c r="U800" s="106" t="n">
        <v>305576</v>
      </c>
      <c r="V800" s="106" t="s">
        <v>1973</v>
      </c>
      <c r="Z800" s="106" t="n">
        <v>61356</v>
      </c>
      <c r="AB800" s="106" t="s">
        <v>2260</v>
      </c>
      <c r="AD800" s="106" t="n">
        <v>110000</v>
      </c>
      <c r="AE800" s="106" t="s">
        <v>1966</v>
      </c>
      <c r="AF800" s="106" t="n">
        <v>501005</v>
      </c>
      <c r="AG800" s="106" t="s">
        <v>2033</v>
      </c>
      <c r="AI800" s="106" t="n">
        <v>501005</v>
      </c>
      <c r="AJ800" s="106" t="s">
        <v>2033</v>
      </c>
      <c r="AK800" s="106" t="n">
        <v>0</v>
      </c>
      <c r="AL800" s="106" t="n">
        <v>1</v>
      </c>
      <c r="AM800" s="106" t="s">
        <v>161</v>
      </c>
      <c r="AP800" s="106" t="n">
        <v>100141419</v>
      </c>
      <c r="AQ800" s="129" t="n">
        <v>43766</v>
      </c>
      <c r="AR800" s="129" t="n">
        <v>43762</v>
      </c>
      <c r="AS800" s="106" t="n">
        <v>0.795590277777778</v>
      </c>
      <c r="AT800" s="106" t="n">
        <v>0</v>
      </c>
      <c r="AU800" s="106" t="n">
        <v>0</v>
      </c>
      <c r="AX800" s="106" t="n">
        <v>1</v>
      </c>
      <c r="ALU800" s="0"/>
      <c r="ALV800" s="0"/>
      <c r="ALW800" s="0"/>
      <c r="ALX800" s="0"/>
      <c r="ALY800" s="0"/>
      <c r="ALZ800" s="0"/>
      <c r="AMA800" s="0"/>
      <c r="AMB800" s="0"/>
      <c r="AMC800" s="0"/>
      <c r="AMD800" s="0"/>
      <c r="AME800" s="0"/>
      <c r="AMF800" s="0"/>
      <c r="AMG800" s="0"/>
      <c r="AMH800" s="0"/>
      <c r="AMI800" s="0"/>
      <c r="AMJ800" s="0"/>
    </row>
    <row r="801" customFormat="false" ht="13.8" hidden="true" customHeight="false" outlineLevel="0" collapsed="false">
      <c r="A801" s="117" t="n">
        <v>1000</v>
      </c>
      <c r="B801" s="117" t="s">
        <v>1962</v>
      </c>
      <c r="C801" s="117" t="n">
        <v>100194025</v>
      </c>
      <c r="E801" s="117" t="s">
        <v>1921</v>
      </c>
      <c r="F801" s="117" t="n">
        <v>1112</v>
      </c>
      <c r="G801" s="117" t="n">
        <v>2019</v>
      </c>
      <c r="H801" s="117" t="n">
        <v>9</v>
      </c>
      <c r="I801" s="118" t="n">
        <v>43824</v>
      </c>
      <c r="J801" s="118" t="n">
        <v>43824</v>
      </c>
      <c r="K801" s="119" t="n">
        <v>240403.76</v>
      </c>
      <c r="L801" s="128" t="n">
        <f aca="false">K801-Q801+T801</f>
        <v>240403.76</v>
      </c>
      <c r="M801" s="117" t="s">
        <v>149</v>
      </c>
      <c r="N801" s="117" t="n">
        <v>240403.76</v>
      </c>
      <c r="O801" s="117" t="s">
        <v>149</v>
      </c>
      <c r="P801" s="117" t="n">
        <v>0</v>
      </c>
      <c r="Q801" s="117" t="n">
        <v>0</v>
      </c>
      <c r="R801" s="117" t="n">
        <v>240403.76</v>
      </c>
      <c r="S801" s="117" t="n">
        <v>0</v>
      </c>
      <c r="T801" s="117" t="n">
        <v>0</v>
      </c>
      <c r="U801" s="117" t="n">
        <v>312193</v>
      </c>
      <c r="V801" s="117" t="s">
        <v>1963</v>
      </c>
      <c r="X801" s="117" t="s">
        <v>1726</v>
      </c>
      <c r="Z801" s="117" t="n">
        <v>62196</v>
      </c>
      <c r="AB801" s="117" t="s">
        <v>2362</v>
      </c>
      <c r="AD801" s="117" t="n">
        <v>110000</v>
      </c>
      <c r="AE801" s="117" t="s">
        <v>1966</v>
      </c>
      <c r="AF801" s="117" t="n">
        <v>110000</v>
      </c>
      <c r="AG801" s="117" t="s">
        <v>1966</v>
      </c>
      <c r="AI801" s="117" t="n">
        <v>110000</v>
      </c>
      <c r="AJ801" s="117" t="s">
        <v>1966</v>
      </c>
      <c r="AK801" s="117" t="n">
        <v>0</v>
      </c>
      <c r="AL801" s="117" t="n">
        <v>4</v>
      </c>
      <c r="AM801" s="117" t="s">
        <v>161</v>
      </c>
      <c r="AR801" s="118" t="n">
        <v>43824</v>
      </c>
      <c r="AS801" s="117" t="n">
        <v>0.371284722222222</v>
      </c>
      <c r="AT801" s="117" t="n">
        <v>0</v>
      </c>
      <c r="AU801" s="117" t="n">
        <v>0</v>
      </c>
      <c r="AX801" s="117" t="n">
        <v>27</v>
      </c>
    </row>
    <row r="802" customFormat="false" ht="13.8" hidden="true" customHeight="false" outlineLevel="0" collapsed="false">
      <c r="A802" s="117" t="n">
        <v>1000</v>
      </c>
      <c r="B802" s="117" t="s">
        <v>1962</v>
      </c>
      <c r="C802" s="117" t="n">
        <v>100173568</v>
      </c>
      <c r="E802" s="117" t="s">
        <v>1921</v>
      </c>
      <c r="F802" s="117" t="n">
        <v>1109</v>
      </c>
      <c r="G802" s="117" t="n">
        <v>2019</v>
      </c>
      <c r="H802" s="117" t="n">
        <v>8</v>
      </c>
      <c r="I802" s="118" t="n">
        <v>43799</v>
      </c>
      <c r="J802" s="118" t="n">
        <v>43799</v>
      </c>
      <c r="K802" s="119" t="n">
        <v>1309828.54</v>
      </c>
      <c r="L802" s="128" t="n">
        <f aca="false">K802-Q802+T802</f>
        <v>1309828.54</v>
      </c>
      <c r="M802" s="117" t="s">
        <v>149</v>
      </c>
      <c r="N802" s="117" t="n">
        <v>1309828.54</v>
      </c>
      <c r="O802" s="117" t="s">
        <v>149</v>
      </c>
      <c r="P802" s="117" t="n">
        <v>0</v>
      </c>
      <c r="Q802" s="117" t="n">
        <v>0</v>
      </c>
      <c r="R802" s="117" t="n">
        <v>1309828.54</v>
      </c>
      <c r="S802" s="117" t="n">
        <v>0</v>
      </c>
      <c r="T802" s="117" t="n">
        <v>0</v>
      </c>
      <c r="U802" s="117" t="n">
        <v>315113</v>
      </c>
      <c r="V802" s="117" t="s">
        <v>143</v>
      </c>
      <c r="X802" s="117" t="s">
        <v>2416</v>
      </c>
      <c r="Z802" s="117" t="n">
        <v>62273</v>
      </c>
      <c r="AB802" s="117" t="s">
        <v>2417</v>
      </c>
      <c r="AD802" s="117" t="n">
        <v>110000</v>
      </c>
      <c r="AE802" s="117" t="s">
        <v>1966</v>
      </c>
      <c r="AF802" s="117" t="n">
        <v>110000</v>
      </c>
      <c r="AG802" s="117" t="s">
        <v>1966</v>
      </c>
      <c r="AI802" s="117" t="n">
        <v>110000</v>
      </c>
      <c r="AJ802" s="117" t="s">
        <v>1966</v>
      </c>
      <c r="AK802" s="117" t="n">
        <v>0</v>
      </c>
      <c r="AL802" s="117" t="n">
        <v>4</v>
      </c>
      <c r="AM802" s="117" t="s">
        <v>161</v>
      </c>
      <c r="AP802" s="117" t="n">
        <v>100229537</v>
      </c>
      <c r="AQ802" s="118" t="n">
        <v>43857</v>
      </c>
      <c r="AR802" s="118" t="n">
        <v>43800</v>
      </c>
      <c r="AS802" s="117" t="n">
        <v>0.661851851851852</v>
      </c>
      <c r="AT802" s="117" t="n">
        <v>0</v>
      </c>
      <c r="AU802" s="117" t="n">
        <v>0</v>
      </c>
      <c r="AX802" s="117" t="n">
        <v>2</v>
      </c>
    </row>
    <row r="803" customFormat="false" ht="13.8" hidden="true" customHeight="false" outlineLevel="0" collapsed="false">
      <c r="A803" s="117" t="n">
        <v>1000</v>
      </c>
      <c r="B803" s="117" t="s">
        <v>1962</v>
      </c>
      <c r="C803" s="117" t="n">
        <v>1600000288</v>
      </c>
      <c r="D803" s="117" t="s">
        <v>2356</v>
      </c>
      <c r="E803" s="117" t="s">
        <v>1987</v>
      </c>
      <c r="F803" s="117" t="n">
        <v>1101</v>
      </c>
      <c r="G803" s="117" t="n">
        <v>2019</v>
      </c>
      <c r="H803" s="117" t="n">
        <v>8</v>
      </c>
      <c r="I803" s="118" t="n">
        <v>43795</v>
      </c>
      <c r="J803" s="118" t="n">
        <v>43795</v>
      </c>
      <c r="K803" s="119" t="n">
        <v>-3597</v>
      </c>
      <c r="L803" s="128" t="n">
        <f aca="false">K803-Q803+T803</f>
        <v>-3597</v>
      </c>
      <c r="M803" s="117" t="s">
        <v>149</v>
      </c>
      <c r="N803" s="117" t="n">
        <v>-3597</v>
      </c>
      <c r="O803" s="117" t="s">
        <v>149</v>
      </c>
      <c r="P803" s="117" t="n">
        <v>-3597</v>
      </c>
      <c r="Q803" s="117" t="n">
        <v>0</v>
      </c>
      <c r="R803" s="117" t="n">
        <v>-3597</v>
      </c>
      <c r="S803" s="117" t="n">
        <v>0</v>
      </c>
      <c r="T803" s="117" t="n">
        <v>0</v>
      </c>
      <c r="U803" s="117" t="n">
        <v>312193</v>
      </c>
      <c r="V803" s="117" t="s">
        <v>1963</v>
      </c>
      <c r="X803" s="117" t="s">
        <v>2436</v>
      </c>
      <c r="Y803" s="117" t="s">
        <v>2358</v>
      </c>
      <c r="Z803" s="117" t="n">
        <v>1600000288</v>
      </c>
      <c r="AD803" s="117" t="n">
        <v>310300</v>
      </c>
      <c r="AE803" s="117" t="s">
        <v>1969</v>
      </c>
      <c r="AF803" s="117" t="n">
        <v>111201</v>
      </c>
      <c r="AG803" s="117" t="s">
        <v>2165</v>
      </c>
      <c r="AI803" s="117" t="n">
        <v>111201</v>
      </c>
      <c r="AJ803" s="117" t="s">
        <v>2165</v>
      </c>
      <c r="AK803" s="117" t="n">
        <v>0</v>
      </c>
      <c r="AL803" s="117" t="n">
        <v>19</v>
      </c>
      <c r="AM803" s="117" t="s">
        <v>225</v>
      </c>
      <c r="AN803" s="117" t="s">
        <v>1978</v>
      </c>
      <c r="AP803" s="117" t="n">
        <v>100173563</v>
      </c>
      <c r="AQ803" s="118" t="n">
        <v>43799</v>
      </c>
      <c r="AR803" s="118" t="n">
        <v>43795</v>
      </c>
      <c r="AS803" s="117" t="n">
        <v>0.285</v>
      </c>
      <c r="AT803" s="117" t="n">
        <v>0</v>
      </c>
      <c r="AU803" s="117" t="n">
        <v>0</v>
      </c>
      <c r="AX803" s="117" t="n">
        <v>39</v>
      </c>
    </row>
    <row r="804" s="106" customFormat="true" ht="13.8" hidden="true" customHeight="false" outlineLevel="0" collapsed="false">
      <c r="A804" s="106" t="n">
        <v>1000</v>
      </c>
      <c r="B804" s="106" t="s">
        <v>1962</v>
      </c>
      <c r="C804" s="106" t="n">
        <v>110177</v>
      </c>
      <c r="D804" s="106" t="s">
        <v>1782</v>
      </c>
      <c r="E804" s="106" t="s">
        <v>1970</v>
      </c>
      <c r="F804" s="106" t="n">
        <v>1112</v>
      </c>
      <c r="G804" s="106" t="n">
        <v>2019</v>
      </c>
      <c r="H804" s="106" t="n">
        <v>9</v>
      </c>
      <c r="I804" s="129" t="n">
        <v>43813</v>
      </c>
      <c r="J804" s="129" t="n">
        <v>43813</v>
      </c>
      <c r="K804" s="107" t="n">
        <v>189259.62</v>
      </c>
      <c r="L804" s="130" t="n">
        <f aca="false">K804-Q804+T804</f>
        <v>160389.51</v>
      </c>
      <c r="M804" s="106" t="s">
        <v>149</v>
      </c>
      <c r="N804" s="106" t="n">
        <v>189259.62</v>
      </c>
      <c r="O804" s="106" t="s">
        <v>149</v>
      </c>
      <c r="P804" s="106" t="n">
        <v>0</v>
      </c>
      <c r="Q804" s="107" t="n">
        <v>28870.11</v>
      </c>
      <c r="R804" s="106" t="n">
        <v>160389.51</v>
      </c>
      <c r="S804" s="106" t="n">
        <v>0</v>
      </c>
      <c r="T804" s="106" t="n">
        <v>0</v>
      </c>
      <c r="U804" s="106" t="n">
        <v>312193</v>
      </c>
      <c r="V804" s="106" t="s">
        <v>1963</v>
      </c>
      <c r="Z804" s="106" t="n">
        <v>62148</v>
      </c>
      <c r="AB804" s="106" t="s">
        <v>2362</v>
      </c>
      <c r="AD804" s="106" t="n">
        <v>110000</v>
      </c>
      <c r="AE804" s="106" t="s">
        <v>1966</v>
      </c>
      <c r="AF804" s="106" t="n">
        <v>501005</v>
      </c>
      <c r="AG804" s="106" t="s">
        <v>2033</v>
      </c>
      <c r="AI804" s="106" t="n">
        <v>501005</v>
      </c>
      <c r="AJ804" s="106" t="s">
        <v>2033</v>
      </c>
      <c r="AK804" s="106" t="n">
        <v>0</v>
      </c>
      <c r="AL804" s="106" t="n">
        <v>1</v>
      </c>
      <c r="AM804" s="106" t="s">
        <v>161</v>
      </c>
      <c r="AP804" s="106" t="n">
        <v>100194025</v>
      </c>
      <c r="AQ804" s="129" t="n">
        <v>43824</v>
      </c>
      <c r="AR804" s="129" t="n">
        <v>43813</v>
      </c>
      <c r="AS804" s="106" t="n">
        <v>0.744594907407407</v>
      </c>
      <c r="AT804" s="106" t="n">
        <v>0</v>
      </c>
      <c r="AU804" s="106" t="n">
        <v>0</v>
      </c>
      <c r="AX804" s="106" t="n">
        <v>1</v>
      </c>
      <c r="ALU804" s="0"/>
      <c r="ALV804" s="0"/>
      <c r="ALW804" s="0"/>
      <c r="ALX804" s="0"/>
      <c r="ALY804" s="0"/>
      <c r="ALZ804" s="0"/>
      <c r="AMA804" s="0"/>
      <c r="AMB804" s="0"/>
      <c r="AMC804" s="0"/>
      <c r="AMD804" s="0"/>
      <c r="AME804" s="0"/>
      <c r="AMF804" s="0"/>
      <c r="AMG804" s="0"/>
      <c r="AMH804" s="0"/>
      <c r="AMI804" s="0"/>
      <c r="AMJ804" s="0"/>
    </row>
    <row r="805" customFormat="false" ht="13.8" hidden="true" customHeight="false" outlineLevel="0" collapsed="false">
      <c r="A805" s="117" t="n">
        <v>1000</v>
      </c>
      <c r="B805" s="117" t="s">
        <v>1962</v>
      </c>
      <c r="C805" s="117" t="n">
        <v>100199799</v>
      </c>
      <c r="E805" s="117" t="s">
        <v>1921</v>
      </c>
      <c r="F805" s="117" t="n">
        <v>1112</v>
      </c>
      <c r="G805" s="117" t="n">
        <v>2019</v>
      </c>
      <c r="H805" s="117" t="n">
        <v>9</v>
      </c>
      <c r="I805" s="118" t="n">
        <v>43830</v>
      </c>
      <c r="J805" s="118" t="n">
        <v>43830</v>
      </c>
      <c r="K805" s="119" t="n">
        <v>91605.76</v>
      </c>
      <c r="L805" s="128" t="n">
        <f aca="false">K805-Q805+T805</f>
        <v>91605.76</v>
      </c>
      <c r="M805" s="117" t="s">
        <v>149</v>
      </c>
      <c r="N805" s="117" t="n">
        <v>91605.76</v>
      </c>
      <c r="O805" s="117" t="s">
        <v>149</v>
      </c>
      <c r="P805" s="117" t="n">
        <v>0</v>
      </c>
      <c r="Q805" s="117" t="n">
        <v>0</v>
      </c>
      <c r="R805" s="117" t="n">
        <v>91605.76</v>
      </c>
      <c r="S805" s="117" t="n">
        <v>0</v>
      </c>
      <c r="T805" s="117" t="n">
        <v>0</v>
      </c>
      <c r="U805" s="117" t="n">
        <v>312193</v>
      </c>
      <c r="V805" s="117" t="s">
        <v>1963</v>
      </c>
      <c r="X805" s="117" t="s">
        <v>2437</v>
      </c>
      <c r="Z805" s="117" t="n">
        <v>62397</v>
      </c>
      <c r="AB805" s="117" t="s">
        <v>2350</v>
      </c>
      <c r="AD805" s="117" t="n">
        <v>110000</v>
      </c>
      <c r="AE805" s="117" t="s">
        <v>1966</v>
      </c>
      <c r="AF805" s="117" t="n">
        <v>110000</v>
      </c>
      <c r="AG805" s="117" t="s">
        <v>1966</v>
      </c>
      <c r="AI805" s="117" t="n">
        <v>110000</v>
      </c>
      <c r="AJ805" s="117" t="s">
        <v>1966</v>
      </c>
      <c r="AK805" s="117" t="n">
        <v>0</v>
      </c>
      <c r="AL805" s="117" t="n">
        <v>4</v>
      </c>
      <c r="AM805" s="117" t="s">
        <v>161</v>
      </c>
      <c r="AR805" s="118" t="n">
        <v>43830</v>
      </c>
      <c r="AS805" s="117" t="n">
        <v>0.279467592592593</v>
      </c>
      <c r="AT805" s="117" t="n">
        <v>0</v>
      </c>
      <c r="AU805" s="117" t="n">
        <v>0</v>
      </c>
      <c r="AX805" s="117" t="n">
        <v>31</v>
      </c>
    </row>
    <row r="806" s="106" customFormat="true" ht="13.8" hidden="true" customHeight="false" outlineLevel="0" collapsed="false">
      <c r="A806" s="106" t="n">
        <v>1000</v>
      </c>
      <c r="B806" s="106" t="s">
        <v>1962</v>
      </c>
      <c r="C806" s="106" t="n">
        <v>111735</v>
      </c>
      <c r="D806" s="106" t="s">
        <v>1184</v>
      </c>
      <c r="E806" s="106" t="s">
        <v>1970</v>
      </c>
      <c r="F806" s="106" t="n">
        <v>1109</v>
      </c>
      <c r="G806" s="106" t="n">
        <v>2019</v>
      </c>
      <c r="H806" s="106" t="n">
        <v>10</v>
      </c>
      <c r="I806" s="129" t="n">
        <v>43853</v>
      </c>
      <c r="J806" s="129" t="n">
        <v>43853</v>
      </c>
      <c r="K806" s="107" t="n">
        <v>109858</v>
      </c>
      <c r="L806" s="130" t="n">
        <f aca="false">K806-Q806+T806</f>
        <v>93100</v>
      </c>
      <c r="M806" s="106" t="s">
        <v>149</v>
      </c>
      <c r="N806" s="106" t="n">
        <v>109858</v>
      </c>
      <c r="O806" s="106" t="s">
        <v>149</v>
      </c>
      <c r="P806" s="106" t="n">
        <v>0</v>
      </c>
      <c r="Q806" s="107" t="n">
        <v>16758</v>
      </c>
      <c r="R806" s="106" t="n">
        <v>93100</v>
      </c>
      <c r="S806" s="106" t="n">
        <v>0</v>
      </c>
      <c r="T806" s="106" t="n">
        <v>0</v>
      </c>
      <c r="U806" s="106" t="n">
        <v>305576</v>
      </c>
      <c r="V806" s="106" t="s">
        <v>1973</v>
      </c>
      <c r="Z806" s="106" t="n">
        <v>63209</v>
      </c>
      <c r="AB806" s="106" t="s">
        <v>2438</v>
      </c>
      <c r="AD806" s="106" t="n">
        <v>110000</v>
      </c>
      <c r="AE806" s="106" t="s">
        <v>1966</v>
      </c>
      <c r="AF806" s="106" t="n">
        <v>501005</v>
      </c>
      <c r="AG806" s="106" t="s">
        <v>2033</v>
      </c>
      <c r="AI806" s="106" t="n">
        <v>501005</v>
      </c>
      <c r="AJ806" s="106" t="s">
        <v>2033</v>
      </c>
      <c r="AK806" s="106" t="n">
        <v>0</v>
      </c>
      <c r="AL806" s="106" t="n">
        <v>1</v>
      </c>
      <c r="AM806" s="106" t="s">
        <v>161</v>
      </c>
      <c r="AP806" s="106" t="n">
        <v>100229115</v>
      </c>
      <c r="AQ806" s="129" t="n">
        <v>43856</v>
      </c>
      <c r="AR806" s="129" t="n">
        <v>43853</v>
      </c>
      <c r="AS806" s="106" t="n">
        <v>0.660266203703704</v>
      </c>
      <c r="AT806" s="106" t="n">
        <v>0</v>
      </c>
      <c r="AU806" s="106" t="n">
        <v>0</v>
      </c>
      <c r="AX806" s="106" t="n">
        <v>1</v>
      </c>
      <c r="ALU806" s="0"/>
      <c r="ALV806" s="0"/>
      <c r="ALW806" s="0"/>
      <c r="ALX806" s="0"/>
      <c r="ALY806" s="0"/>
      <c r="ALZ806" s="0"/>
      <c r="AMA806" s="0"/>
      <c r="AMB806" s="0"/>
      <c r="AMC806" s="0"/>
      <c r="AMD806" s="0"/>
      <c r="AME806" s="0"/>
      <c r="AMF806" s="0"/>
      <c r="AMG806" s="0"/>
      <c r="AMH806" s="0"/>
      <c r="AMI806" s="0"/>
      <c r="AMJ806" s="0"/>
    </row>
    <row r="807" customFormat="false" ht="13.8" hidden="true" customHeight="false" outlineLevel="0" collapsed="false">
      <c r="A807" s="117" t="n">
        <v>1000</v>
      </c>
      <c r="B807" s="117" t="s">
        <v>1962</v>
      </c>
      <c r="C807" s="117" t="n">
        <v>1600000267</v>
      </c>
      <c r="D807" s="117" t="s">
        <v>2427</v>
      </c>
      <c r="E807" s="117" t="s">
        <v>1987</v>
      </c>
      <c r="F807" s="117" t="n">
        <v>1106</v>
      </c>
      <c r="G807" s="117" t="n">
        <v>2019</v>
      </c>
      <c r="H807" s="117" t="n">
        <v>7</v>
      </c>
      <c r="I807" s="118" t="n">
        <v>43769</v>
      </c>
      <c r="J807" s="118" t="n">
        <v>43769</v>
      </c>
      <c r="K807" s="119" t="n">
        <v>-4018</v>
      </c>
      <c r="L807" s="128" t="n">
        <f aca="false">K807-Q807+T807</f>
        <v>-4018</v>
      </c>
      <c r="M807" s="117" t="s">
        <v>149</v>
      </c>
      <c r="N807" s="117" t="n">
        <v>-4018</v>
      </c>
      <c r="O807" s="117" t="s">
        <v>149</v>
      </c>
      <c r="P807" s="117" t="n">
        <v>-4018</v>
      </c>
      <c r="Q807" s="117" t="n">
        <v>0</v>
      </c>
      <c r="R807" s="117" t="n">
        <v>-4018</v>
      </c>
      <c r="S807" s="117" t="n">
        <v>0</v>
      </c>
      <c r="T807" s="117" t="n">
        <v>0</v>
      </c>
      <c r="U807" s="117" t="n">
        <v>312193</v>
      </c>
      <c r="V807" s="117" t="s">
        <v>1963</v>
      </c>
      <c r="X807" s="117" t="s">
        <v>2280</v>
      </c>
      <c r="Y807" s="117" t="s">
        <v>2428</v>
      </c>
      <c r="Z807" s="117" t="n">
        <v>1600000267</v>
      </c>
      <c r="AD807" s="117" t="n">
        <v>310300</v>
      </c>
      <c r="AE807" s="117" t="s">
        <v>1969</v>
      </c>
      <c r="AF807" s="117" t="n">
        <v>312193</v>
      </c>
      <c r="AG807" s="117" t="s">
        <v>1963</v>
      </c>
      <c r="AI807" s="117" t="n">
        <v>312193</v>
      </c>
      <c r="AJ807" s="131" t="s">
        <v>1963</v>
      </c>
      <c r="AK807" s="117" t="n">
        <v>0</v>
      </c>
      <c r="AL807" s="117" t="n">
        <v>19</v>
      </c>
      <c r="AM807" s="117" t="s">
        <v>225</v>
      </c>
      <c r="AN807" s="117" t="s">
        <v>1978</v>
      </c>
      <c r="AR807" s="118" t="n">
        <v>43770</v>
      </c>
      <c r="AS807" s="117" t="n">
        <v>0.522673611111111</v>
      </c>
      <c r="AT807" s="117" t="n">
        <v>0</v>
      </c>
      <c r="AU807" s="117" t="n">
        <v>0</v>
      </c>
      <c r="AX807" s="117" t="n">
        <v>3</v>
      </c>
    </row>
    <row r="808" customFormat="false" ht="13.8" hidden="true" customHeight="false" outlineLevel="0" collapsed="false">
      <c r="A808" s="117" t="n">
        <v>1000</v>
      </c>
      <c r="B808" s="117" t="s">
        <v>1962</v>
      </c>
      <c r="C808" s="117" t="n">
        <v>1600000304</v>
      </c>
      <c r="D808" s="117" t="s">
        <v>2354</v>
      </c>
      <c r="E808" s="117" t="s">
        <v>1987</v>
      </c>
      <c r="F808" s="117" t="n">
        <v>1101</v>
      </c>
      <c r="G808" s="117" t="n">
        <v>2019</v>
      </c>
      <c r="H808" s="117" t="n">
        <v>8</v>
      </c>
      <c r="I808" s="118" t="n">
        <v>43797</v>
      </c>
      <c r="J808" s="118" t="n">
        <v>43797</v>
      </c>
      <c r="K808" s="119" t="n">
        <v>-384</v>
      </c>
      <c r="L808" s="128" t="n">
        <f aca="false">K808-Q808+T808</f>
        <v>-384</v>
      </c>
      <c r="M808" s="117" t="s">
        <v>149</v>
      </c>
      <c r="N808" s="117" t="n">
        <v>-384</v>
      </c>
      <c r="O808" s="117" t="s">
        <v>149</v>
      </c>
      <c r="P808" s="117" t="n">
        <v>-384</v>
      </c>
      <c r="Q808" s="117" t="n">
        <v>0</v>
      </c>
      <c r="R808" s="117" t="n">
        <v>-384</v>
      </c>
      <c r="S808" s="117" t="n">
        <v>0</v>
      </c>
      <c r="T808" s="117" t="n">
        <v>0</v>
      </c>
      <c r="U808" s="117" t="n">
        <v>304431</v>
      </c>
      <c r="V808" s="117" t="s">
        <v>2016</v>
      </c>
      <c r="X808" s="117" t="s">
        <v>2439</v>
      </c>
      <c r="Y808" s="117" t="s">
        <v>2388</v>
      </c>
      <c r="Z808" s="117" t="n">
        <v>1600000304</v>
      </c>
      <c r="AD808" s="117" t="n">
        <v>310300</v>
      </c>
      <c r="AE808" s="117" t="s">
        <v>1969</v>
      </c>
      <c r="AF808" s="117" t="n">
        <v>111201</v>
      </c>
      <c r="AG808" s="117" t="s">
        <v>2165</v>
      </c>
      <c r="AI808" s="117" t="n">
        <v>111201</v>
      </c>
      <c r="AJ808" s="117" t="s">
        <v>2165</v>
      </c>
      <c r="AK808" s="117" t="n">
        <v>0</v>
      </c>
      <c r="AL808" s="117" t="n">
        <v>19</v>
      </c>
      <c r="AM808" s="117" t="s">
        <v>225</v>
      </c>
      <c r="AN808" s="117" t="s">
        <v>1978</v>
      </c>
      <c r="AP808" s="117" t="n">
        <v>100173526</v>
      </c>
      <c r="AQ808" s="118" t="n">
        <v>43799</v>
      </c>
      <c r="AR808" s="118" t="n">
        <v>43797</v>
      </c>
      <c r="AS808" s="117" t="n">
        <v>0.241840277777778</v>
      </c>
      <c r="AT808" s="117" t="n">
        <v>0</v>
      </c>
      <c r="AU808" s="117" t="n">
        <v>0</v>
      </c>
      <c r="AX808" s="117" t="n">
        <v>8</v>
      </c>
    </row>
    <row r="809" customFormat="false" ht="13.8" hidden="true" customHeight="false" outlineLevel="0" collapsed="false">
      <c r="A809" s="117" t="n">
        <v>1000</v>
      </c>
      <c r="B809" s="117" t="s">
        <v>1962</v>
      </c>
      <c r="C809" s="117" t="n">
        <v>1400009038</v>
      </c>
      <c r="E809" s="117" t="s">
        <v>1972</v>
      </c>
      <c r="F809" s="117" t="n">
        <v>1106</v>
      </c>
      <c r="G809" s="117" t="n">
        <v>2019</v>
      </c>
      <c r="H809" s="117" t="n">
        <v>9</v>
      </c>
      <c r="I809" s="118" t="n">
        <v>43826</v>
      </c>
      <c r="J809" s="118" t="n">
        <v>43826</v>
      </c>
      <c r="K809" s="119" t="n">
        <v>-2407200</v>
      </c>
      <c r="L809" s="128" t="n">
        <f aca="false">K809-Q809+T809</f>
        <v>-2407200</v>
      </c>
      <c r="M809" s="117" t="s">
        <v>149</v>
      </c>
      <c r="N809" s="117" t="n">
        <v>-2407200</v>
      </c>
      <c r="O809" s="117" t="s">
        <v>149</v>
      </c>
      <c r="P809" s="117" t="n">
        <v>0</v>
      </c>
      <c r="Q809" s="117" t="n">
        <v>0</v>
      </c>
      <c r="R809" s="117" t="n">
        <v>-2407200</v>
      </c>
      <c r="S809" s="117" t="n">
        <v>0</v>
      </c>
      <c r="T809" s="117" t="n">
        <v>0</v>
      </c>
      <c r="U809" s="117" t="n">
        <v>311155</v>
      </c>
      <c r="V809" s="117" t="s">
        <v>2022</v>
      </c>
      <c r="X809" s="117" t="s">
        <v>2440</v>
      </c>
      <c r="Y809" s="117" t="s">
        <v>2441</v>
      </c>
      <c r="Z809" s="117" t="n">
        <v>1400009038</v>
      </c>
      <c r="AC809" s="117" t="s">
        <v>1976</v>
      </c>
      <c r="AD809" s="117" t="n">
        <v>310300</v>
      </c>
      <c r="AE809" s="117" t="s">
        <v>1969</v>
      </c>
      <c r="AF809" s="117" t="n">
        <v>101105</v>
      </c>
      <c r="AG809" s="117" t="s">
        <v>1977</v>
      </c>
      <c r="AI809" s="117" t="n">
        <v>101105</v>
      </c>
      <c r="AJ809" s="117" t="s">
        <v>1977</v>
      </c>
      <c r="AK809" s="117" t="n">
        <v>0</v>
      </c>
      <c r="AL809" s="117" t="n">
        <v>19</v>
      </c>
      <c r="AM809" s="117" t="s">
        <v>225</v>
      </c>
      <c r="AN809" s="117" t="s">
        <v>1978</v>
      </c>
      <c r="AP809" s="117" t="n">
        <v>100199795</v>
      </c>
      <c r="AQ809" s="118" t="n">
        <v>43830</v>
      </c>
      <c r="AR809" s="118" t="n">
        <v>43829</v>
      </c>
      <c r="AS809" s="117" t="n">
        <v>0.516898148148148</v>
      </c>
      <c r="AT809" s="117" t="n">
        <v>0</v>
      </c>
      <c r="AU809" s="117" t="n">
        <v>0</v>
      </c>
      <c r="AX809" s="117" t="n">
        <v>2</v>
      </c>
    </row>
    <row r="810" customFormat="false" ht="13.8" hidden="true" customHeight="false" outlineLevel="0" collapsed="false">
      <c r="A810" s="117" t="n">
        <v>1000</v>
      </c>
      <c r="B810" s="117" t="s">
        <v>1962</v>
      </c>
      <c r="C810" s="117" t="n">
        <v>1600000288</v>
      </c>
      <c r="D810" s="117" t="s">
        <v>2356</v>
      </c>
      <c r="E810" s="117" t="s">
        <v>1987</v>
      </c>
      <c r="F810" s="117" t="n">
        <v>1101</v>
      </c>
      <c r="G810" s="117" t="n">
        <v>2019</v>
      </c>
      <c r="H810" s="117" t="n">
        <v>8</v>
      </c>
      <c r="I810" s="118" t="n">
        <v>43795</v>
      </c>
      <c r="J810" s="118" t="n">
        <v>43795</v>
      </c>
      <c r="K810" s="119" t="n">
        <v>-8900</v>
      </c>
      <c r="L810" s="128" t="n">
        <f aca="false">K810-Q810+T810</f>
        <v>-8900</v>
      </c>
      <c r="M810" s="117" t="s">
        <v>149</v>
      </c>
      <c r="N810" s="117" t="n">
        <v>-8900</v>
      </c>
      <c r="O810" s="117" t="s">
        <v>149</v>
      </c>
      <c r="P810" s="117" t="n">
        <v>-8900</v>
      </c>
      <c r="Q810" s="117" t="n">
        <v>0</v>
      </c>
      <c r="R810" s="117" t="n">
        <v>-8900</v>
      </c>
      <c r="S810" s="117" t="n">
        <v>0</v>
      </c>
      <c r="T810" s="117" t="n">
        <v>0</v>
      </c>
      <c r="U810" s="117" t="n">
        <v>312193</v>
      </c>
      <c r="V810" s="117" t="s">
        <v>1963</v>
      </c>
      <c r="X810" s="117" t="s">
        <v>2442</v>
      </c>
      <c r="Y810" s="117" t="s">
        <v>2358</v>
      </c>
      <c r="Z810" s="117" t="n">
        <v>1600000288</v>
      </c>
      <c r="AD810" s="117" t="n">
        <v>310300</v>
      </c>
      <c r="AE810" s="117" t="s">
        <v>1969</v>
      </c>
      <c r="AF810" s="117" t="n">
        <v>111201</v>
      </c>
      <c r="AG810" s="117" t="s">
        <v>2165</v>
      </c>
      <c r="AI810" s="117" t="n">
        <v>111201</v>
      </c>
      <c r="AJ810" s="117" t="s">
        <v>2165</v>
      </c>
      <c r="AK810" s="117" t="n">
        <v>0</v>
      </c>
      <c r="AL810" s="117" t="n">
        <v>19</v>
      </c>
      <c r="AM810" s="117" t="s">
        <v>225</v>
      </c>
      <c r="AN810" s="117" t="s">
        <v>1978</v>
      </c>
      <c r="AP810" s="117" t="n">
        <v>100173563</v>
      </c>
      <c r="AQ810" s="118" t="n">
        <v>43799</v>
      </c>
      <c r="AR810" s="118" t="n">
        <v>43795</v>
      </c>
      <c r="AS810" s="117" t="n">
        <v>0.285</v>
      </c>
      <c r="AT810" s="117" t="n">
        <v>0</v>
      </c>
      <c r="AU810" s="117" t="n">
        <v>0</v>
      </c>
      <c r="AX810" s="117" t="n">
        <v>32</v>
      </c>
    </row>
    <row r="811" customFormat="false" ht="13.8" hidden="true" customHeight="false" outlineLevel="0" collapsed="false">
      <c r="A811" s="117" t="n">
        <v>1000</v>
      </c>
      <c r="B811" s="117" t="s">
        <v>1962</v>
      </c>
      <c r="C811" s="117" t="n">
        <v>100194025</v>
      </c>
      <c r="E811" s="117" t="s">
        <v>1921</v>
      </c>
      <c r="F811" s="117" t="n">
        <v>1112</v>
      </c>
      <c r="G811" s="117" t="n">
        <v>2019</v>
      </c>
      <c r="H811" s="117" t="n">
        <v>9</v>
      </c>
      <c r="I811" s="118" t="n">
        <v>43824</v>
      </c>
      <c r="J811" s="118" t="n">
        <v>43824</v>
      </c>
      <c r="K811" s="119" t="n">
        <v>92084.84</v>
      </c>
      <c r="L811" s="128" t="n">
        <f aca="false">K811-Q811+T811</f>
        <v>92084.84</v>
      </c>
      <c r="M811" s="117" t="s">
        <v>149</v>
      </c>
      <c r="N811" s="117" t="n">
        <v>92084.84</v>
      </c>
      <c r="O811" s="117" t="s">
        <v>149</v>
      </c>
      <c r="P811" s="117" t="n">
        <v>0</v>
      </c>
      <c r="Q811" s="117" t="n">
        <v>0</v>
      </c>
      <c r="R811" s="117" t="n">
        <v>92084.84</v>
      </c>
      <c r="S811" s="117" t="n">
        <v>0</v>
      </c>
      <c r="T811" s="117" t="n">
        <v>0</v>
      </c>
      <c r="U811" s="117" t="n">
        <v>312193</v>
      </c>
      <c r="V811" s="117" t="s">
        <v>1963</v>
      </c>
      <c r="X811" s="117" t="s">
        <v>2443</v>
      </c>
      <c r="Z811" s="117" t="n">
        <v>62187</v>
      </c>
      <c r="AB811" s="117" t="s">
        <v>2350</v>
      </c>
      <c r="AD811" s="117" t="n">
        <v>110000</v>
      </c>
      <c r="AE811" s="117" t="s">
        <v>1966</v>
      </c>
      <c r="AF811" s="117" t="n">
        <v>110000</v>
      </c>
      <c r="AG811" s="117" t="s">
        <v>1966</v>
      </c>
      <c r="AI811" s="117" t="n">
        <v>110000</v>
      </c>
      <c r="AJ811" s="117" t="s">
        <v>1966</v>
      </c>
      <c r="AK811" s="117" t="n">
        <v>0</v>
      </c>
      <c r="AL811" s="117" t="n">
        <v>4</v>
      </c>
      <c r="AM811" s="117" t="s">
        <v>161</v>
      </c>
      <c r="AR811" s="118" t="n">
        <v>43824</v>
      </c>
      <c r="AS811" s="117" t="n">
        <v>0.371284722222222</v>
      </c>
      <c r="AT811" s="117" t="n">
        <v>0</v>
      </c>
      <c r="AU811" s="117" t="n">
        <v>0</v>
      </c>
      <c r="AX811" s="117" t="n">
        <v>9</v>
      </c>
    </row>
    <row r="812" customFormat="false" ht="13.8" hidden="true" customHeight="false" outlineLevel="0" collapsed="false">
      <c r="A812" s="117" t="n">
        <v>1000</v>
      </c>
      <c r="B812" s="117" t="s">
        <v>1962</v>
      </c>
      <c r="C812" s="117" t="n">
        <v>1600000315</v>
      </c>
      <c r="D812" s="117" t="s">
        <v>2354</v>
      </c>
      <c r="E812" s="117" t="s">
        <v>1987</v>
      </c>
      <c r="F812" s="117" t="n">
        <v>1101</v>
      </c>
      <c r="G812" s="117" t="n">
        <v>2019</v>
      </c>
      <c r="H812" s="117" t="n">
        <v>8</v>
      </c>
      <c r="I812" s="118" t="n">
        <v>43798</v>
      </c>
      <c r="J812" s="118" t="n">
        <v>43798</v>
      </c>
      <c r="K812" s="119" t="n">
        <v>-7295</v>
      </c>
      <c r="L812" s="128" t="n">
        <f aca="false">K812-Q812+T812</f>
        <v>-7295</v>
      </c>
      <c r="M812" s="117" t="s">
        <v>149</v>
      </c>
      <c r="N812" s="117" t="n">
        <v>-7295</v>
      </c>
      <c r="O812" s="117" t="s">
        <v>149</v>
      </c>
      <c r="P812" s="117" t="n">
        <v>-7295</v>
      </c>
      <c r="Q812" s="117" t="n">
        <v>0</v>
      </c>
      <c r="R812" s="117" t="n">
        <v>-7295</v>
      </c>
      <c r="S812" s="117" t="n">
        <v>0</v>
      </c>
      <c r="T812" s="117" t="n">
        <v>0</v>
      </c>
      <c r="U812" s="117" t="n">
        <v>312193</v>
      </c>
      <c r="V812" s="117" t="s">
        <v>1963</v>
      </c>
      <c r="X812" s="117" t="s">
        <v>2444</v>
      </c>
      <c r="Y812" s="117" t="s">
        <v>2354</v>
      </c>
      <c r="Z812" s="117" t="n">
        <v>1600000315</v>
      </c>
      <c r="AD812" s="117" t="n">
        <v>310300</v>
      </c>
      <c r="AE812" s="117" t="s">
        <v>1969</v>
      </c>
      <c r="AF812" s="117" t="n">
        <v>111201</v>
      </c>
      <c r="AG812" s="117" t="s">
        <v>2165</v>
      </c>
      <c r="AI812" s="117" t="n">
        <v>111201</v>
      </c>
      <c r="AJ812" s="117" t="s">
        <v>2165</v>
      </c>
      <c r="AK812" s="117" t="n">
        <v>0</v>
      </c>
      <c r="AL812" s="117" t="n">
        <v>19</v>
      </c>
      <c r="AM812" s="117" t="s">
        <v>225</v>
      </c>
      <c r="AN812" s="117" t="s">
        <v>1978</v>
      </c>
      <c r="AP812" s="117" t="n">
        <v>100173563</v>
      </c>
      <c r="AQ812" s="118" t="n">
        <v>43799</v>
      </c>
      <c r="AR812" s="118" t="n">
        <v>43798</v>
      </c>
      <c r="AS812" s="117" t="n">
        <v>0.954837962962963</v>
      </c>
      <c r="AT812" s="117" t="n">
        <v>0</v>
      </c>
      <c r="AU812" s="117" t="n">
        <v>0</v>
      </c>
      <c r="AX812" s="117" t="n">
        <v>27</v>
      </c>
    </row>
    <row r="813" customFormat="false" ht="13.8" hidden="true" customHeight="false" outlineLevel="0" collapsed="false">
      <c r="A813" s="117" t="n">
        <v>1000</v>
      </c>
      <c r="B813" s="117" t="s">
        <v>1962</v>
      </c>
      <c r="C813" s="117" t="n">
        <v>1400009239</v>
      </c>
      <c r="D813" s="117" t="s">
        <v>2395</v>
      </c>
      <c r="E813" s="117" t="s">
        <v>1972</v>
      </c>
      <c r="F813" s="117" t="n">
        <v>1106</v>
      </c>
      <c r="G813" s="117" t="n">
        <v>2019</v>
      </c>
      <c r="H813" s="117" t="n">
        <v>9</v>
      </c>
      <c r="I813" s="118" t="n">
        <v>43830</v>
      </c>
      <c r="J813" s="118" t="n">
        <v>43830</v>
      </c>
      <c r="K813" s="119" t="n">
        <v>-1943718.37</v>
      </c>
      <c r="L813" s="128" t="n">
        <f aca="false">K813-Q813+T813</f>
        <v>-1943718.37</v>
      </c>
      <c r="M813" s="117" t="s">
        <v>149</v>
      </c>
      <c r="N813" s="117" t="n">
        <v>-1943718.37</v>
      </c>
      <c r="O813" s="117" t="s">
        <v>149</v>
      </c>
      <c r="P813" s="117" t="n">
        <v>-1943718.37</v>
      </c>
      <c r="Q813" s="117" t="n">
        <v>0</v>
      </c>
      <c r="R813" s="117" t="n">
        <v>-1943718.37</v>
      </c>
      <c r="S813" s="117" t="n">
        <v>0</v>
      </c>
      <c r="T813" s="117" t="n">
        <v>0</v>
      </c>
      <c r="U813" s="117" t="n">
        <v>318999</v>
      </c>
      <c r="V813" s="117" t="s">
        <v>143</v>
      </c>
      <c r="X813" s="117" t="s">
        <v>2396</v>
      </c>
      <c r="Y813" s="117" t="s">
        <v>2397</v>
      </c>
      <c r="Z813" s="117" t="n">
        <v>1400009239</v>
      </c>
      <c r="AC813" s="117" t="s">
        <v>1976</v>
      </c>
      <c r="AD813" s="117" t="n">
        <v>310300</v>
      </c>
      <c r="AE813" s="117" t="s">
        <v>1969</v>
      </c>
      <c r="AF813" s="117" t="n">
        <v>101105</v>
      </c>
      <c r="AG813" s="117" t="s">
        <v>1977</v>
      </c>
      <c r="AI813" s="117" t="n">
        <v>101105</v>
      </c>
      <c r="AJ813" s="117" t="s">
        <v>1977</v>
      </c>
      <c r="AK813" s="117" t="n">
        <v>0</v>
      </c>
      <c r="AL813" s="117" t="n">
        <v>19</v>
      </c>
      <c r="AM813" s="117" t="s">
        <v>225</v>
      </c>
      <c r="AN813" s="117" t="s">
        <v>1978</v>
      </c>
      <c r="AP813" s="117" t="n">
        <v>100210305</v>
      </c>
      <c r="AQ813" s="118" t="n">
        <v>43830</v>
      </c>
      <c r="AR813" s="118" t="n">
        <v>43831</v>
      </c>
      <c r="AS813" s="117" t="n">
        <v>0.401643518518519</v>
      </c>
      <c r="AT813" s="117" t="n">
        <v>0</v>
      </c>
      <c r="AU813" s="117" t="n">
        <v>0</v>
      </c>
      <c r="AX813" s="117" t="n">
        <v>2</v>
      </c>
    </row>
    <row r="814" s="106" customFormat="true" ht="13.8" hidden="true" customHeight="false" outlineLevel="0" collapsed="false">
      <c r="A814" s="106" t="n">
        <v>1000</v>
      </c>
      <c r="B814" s="106" t="s">
        <v>1962</v>
      </c>
      <c r="C814" s="106" t="n">
        <v>111740</v>
      </c>
      <c r="D814" s="106" t="s">
        <v>2445</v>
      </c>
      <c r="E814" s="106" t="s">
        <v>1970</v>
      </c>
      <c r="F814" s="106" t="n">
        <v>1109</v>
      </c>
      <c r="G814" s="106" t="n">
        <v>2019</v>
      </c>
      <c r="H814" s="106" t="n">
        <v>10</v>
      </c>
      <c r="I814" s="129" t="n">
        <v>43853</v>
      </c>
      <c r="J814" s="129" t="n">
        <v>43853</v>
      </c>
      <c r="K814" s="107" t="n">
        <v>1845641.06</v>
      </c>
      <c r="L814" s="130" t="n">
        <f aca="false">K814-Q814+T814</f>
        <v>1564102.58</v>
      </c>
      <c r="M814" s="106" t="s">
        <v>149</v>
      </c>
      <c r="N814" s="106" t="n">
        <v>1845641.06</v>
      </c>
      <c r="O814" s="106" t="s">
        <v>149</v>
      </c>
      <c r="P814" s="106" t="n">
        <v>0</v>
      </c>
      <c r="Q814" s="107" t="n">
        <v>281538.48</v>
      </c>
      <c r="R814" s="106" t="n">
        <v>1564102.58</v>
      </c>
      <c r="S814" s="106" t="n">
        <v>0</v>
      </c>
      <c r="T814" s="106" t="n">
        <v>0</v>
      </c>
      <c r="U814" s="106" t="n">
        <v>305576</v>
      </c>
      <c r="V814" s="106" t="s">
        <v>1973</v>
      </c>
      <c r="Z814" s="106" t="n">
        <v>62122</v>
      </c>
      <c r="AB814" s="106" t="s">
        <v>2260</v>
      </c>
      <c r="AD814" s="106" t="n">
        <v>110000</v>
      </c>
      <c r="AE814" s="106" t="s">
        <v>1966</v>
      </c>
      <c r="AF814" s="106" t="n">
        <v>501005</v>
      </c>
      <c r="AG814" s="106" t="s">
        <v>2033</v>
      </c>
      <c r="AI814" s="106" t="n">
        <v>501005</v>
      </c>
      <c r="AJ814" s="106" t="s">
        <v>2033</v>
      </c>
      <c r="AK814" s="106" t="n">
        <v>0</v>
      </c>
      <c r="AL814" s="106" t="n">
        <v>1</v>
      </c>
      <c r="AM814" s="106" t="s">
        <v>161</v>
      </c>
      <c r="AP814" s="106" t="n">
        <v>100229115</v>
      </c>
      <c r="AQ814" s="129" t="n">
        <v>43856</v>
      </c>
      <c r="AR814" s="129" t="n">
        <v>43853</v>
      </c>
      <c r="AS814" s="106" t="n">
        <v>0.705972222222222</v>
      </c>
      <c r="AT814" s="106" t="n">
        <v>0</v>
      </c>
      <c r="AU814" s="106" t="n">
        <v>0</v>
      </c>
      <c r="AX814" s="106" t="n">
        <v>1</v>
      </c>
      <c r="ALU814" s="0"/>
      <c r="ALV814" s="0"/>
      <c r="ALW814" s="0"/>
      <c r="ALX814" s="0"/>
      <c r="ALY814" s="0"/>
      <c r="ALZ814" s="0"/>
      <c r="AMA814" s="0"/>
      <c r="AMB814" s="0"/>
      <c r="AMC814" s="0"/>
      <c r="AMD814" s="0"/>
      <c r="AME814" s="0"/>
      <c r="AMF814" s="0"/>
      <c r="AMG814" s="0"/>
      <c r="AMH814" s="0"/>
      <c r="AMI814" s="0"/>
      <c r="AMJ814" s="0"/>
    </row>
    <row r="815" s="106" customFormat="true" ht="13.8" hidden="true" customHeight="false" outlineLevel="0" collapsed="false">
      <c r="A815" s="106" t="n">
        <v>1000</v>
      </c>
      <c r="B815" s="106" t="s">
        <v>1962</v>
      </c>
      <c r="C815" s="106" t="n">
        <v>111742</v>
      </c>
      <c r="D815" s="106" t="s">
        <v>2446</v>
      </c>
      <c r="E815" s="106" t="s">
        <v>1970</v>
      </c>
      <c r="F815" s="106" t="n">
        <v>1109</v>
      </c>
      <c r="G815" s="106" t="n">
        <v>2019</v>
      </c>
      <c r="H815" s="106" t="n">
        <v>10</v>
      </c>
      <c r="I815" s="129" t="n">
        <v>43853</v>
      </c>
      <c r="J815" s="129" t="n">
        <v>43853</v>
      </c>
      <c r="K815" s="107" t="n">
        <v>1423428.42</v>
      </c>
      <c r="L815" s="130" t="n">
        <f aca="false">K815-Q815+T815</f>
        <v>1206295.26</v>
      </c>
      <c r="M815" s="106" t="s">
        <v>149</v>
      </c>
      <c r="N815" s="106" t="n">
        <v>1423428.42</v>
      </c>
      <c r="O815" s="106" t="s">
        <v>149</v>
      </c>
      <c r="P815" s="106" t="n">
        <v>0</v>
      </c>
      <c r="Q815" s="107" t="n">
        <v>217133.16</v>
      </c>
      <c r="R815" s="106" t="n">
        <v>1206295.26</v>
      </c>
      <c r="S815" s="106" t="n">
        <v>0</v>
      </c>
      <c r="T815" s="106" t="n">
        <v>0</v>
      </c>
      <c r="U815" s="106" t="n">
        <v>305576</v>
      </c>
      <c r="V815" s="106" t="s">
        <v>1973</v>
      </c>
      <c r="Z815" s="106" t="n">
        <v>62123</v>
      </c>
      <c r="AB815" s="106" t="s">
        <v>2260</v>
      </c>
      <c r="AD815" s="106" t="n">
        <v>110000</v>
      </c>
      <c r="AE815" s="106" t="s">
        <v>1966</v>
      </c>
      <c r="AF815" s="106" t="n">
        <v>501005</v>
      </c>
      <c r="AG815" s="106" t="s">
        <v>2033</v>
      </c>
      <c r="AI815" s="106" t="n">
        <v>501005</v>
      </c>
      <c r="AJ815" s="106" t="s">
        <v>2033</v>
      </c>
      <c r="AK815" s="106" t="n">
        <v>0</v>
      </c>
      <c r="AL815" s="106" t="n">
        <v>1</v>
      </c>
      <c r="AM815" s="106" t="s">
        <v>161</v>
      </c>
      <c r="AP815" s="106" t="n">
        <v>100229115</v>
      </c>
      <c r="AQ815" s="129" t="n">
        <v>43856</v>
      </c>
      <c r="AR815" s="129" t="n">
        <v>43853</v>
      </c>
      <c r="AS815" s="106" t="n">
        <v>0.707164351851852</v>
      </c>
      <c r="AT815" s="106" t="n">
        <v>0</v>
      </c>
      <c r="AU815" s="106" t="n">
        <v>0</v>
      </c>
      <c r="AX815" s="106" t="n">
        <v>1</v>
      </c>
      <c r="ALU815" s="0"/>
      <c r="ALV815" s="0"/>
      <c r="ALW815" s="0"/>
      <c r="ALX815" s="0"/>
      <c r="ALY815" s="0"/>
      <c r="ALZ815" s="0"/>
      <c r="AMA815" s="0"/>
      <c r="AMB815" s="0"/>
      <c r="AMC815" s="0"/>
      <c r="AMD815" s="0"/>
      <c r="AME815" s="0"/>
      <c r="AMF815" s="0"/>
      <c r="AMG815" s="0"/>
      <c r="AMH815" s="0"/>
      <c r="AMI815" s="0"/>
      <c r="AMJ815" s="0"/>
    </row>
    <row r="816" customFormat="false" ht="13.8" hidden="true" customHeight="false" outlineLevel="0" collapsed="false">
      <c r="A816" s="117" t="n">
        <v>1000</v>
      </c>
      <c r="B816" s="117" t="s">
        <v>1962</v>
      </c>
      <c r="C816" s="117" t="n">
        <v>100173564</v>
      </c>
      <c r="E816" s="117" t="s">
        <v>1921</v>
      </c>
      <c r="F816" s="117" t="n">
        <v>1109</v>
      </c>
      <c r="G816" s="117" t="n">
        <v>2019</v>
      </c>
      <c r="H816" s="117" t="n">
        <v>8</v>
      </c>
      <c r="I816" s="118" t="n">
        <v>43799</v>
      </c>
      <c r="J816" s="118" t="n">
        <v>43799</v>
      </c>
      <c r="K816" s="119" t="n">
        <v>331473.8</v>
      </c>
      <c r="L816" s="128" t="n">
        <f aca="false">K816-Q816+T816</f>
        <v>331473.8</v>
      </c>
      <c r="M816" s="117" t="s">
        <v>149</v>
      </c>
      <c r="N816" s="117" t="n">
        <v>331473.8</v>
      </c>
      <c r="O816" s="117" t="s">
        <v>149</v>
      </c>
      <c r="P816" s="117" t="n">
        <v>0</v>
      </c>
      <c r="Q816" s="117" t="n">
        <v>0</v>
      </c>
      <c r="R816" s="117" t="n">
        <v>331473.8</v>
      </c>
      <c r="S816" s="117" t="n">
        <v>0</v>
      </c>
      <c r="T816" s="117" t="n">
        <v>0</v>
      </c>
      <c r="U816" s="117" t="n">
        <v>312193</v>
      </c>
      <c r="V816" s="117" t="s">
        <v>1963</v>
      </c>
      <c r="X816" s="117" t="s">
        <v>1004</v>
      </c>
      <c r="Z816" s="117" t="n">
        <v>2316</v>
      </c>
      <c r="AB816" s="117" t="s">
        <v>1965</v>
      </c>
      <c r="AD816" s="117" t="n">
        <v>110000</v>
      </c>
      <c r="AE816" s="117" t="s">
        <v>1966</v>
      </c>
      <c r="AF816" s="117" t="n">
        <v>110000</v>
      </c>
      <c r="AG816" s="117" t="s">
        <v>1966</v>
      </c>
      <c r="AI816" s="117" t="n">
        <v>110000</v>
      </c>
      <c r="AJ816" s="117" t="s">
        <v>1966</v>
      </c>
      <c r="AK816" s="117" t="n">
        <v>0</v>
      </c>
      <c r="AL816" s="117" t="n">
        <v>4</v>
      </c>
      <c r="AM816" s="117" t="s">
        <v>161</v>
      </c>
      <c r="AP816" s="117" t="n">
        <v>100210304</v>
      </c>
      <c r="AQ816" s="118" t="n">
        <v>43830</v>
      </c>
      <c r="AR816" s="118" t="n">
        <v>43800</v>
      </c>
      <c r="AS816" s="117" t="n">
        <v>0.649189814814815</v>
      </c>
      <c r="AT816" s="117" t="n">
        <v>0</v>
      </c>
      <c r="AU816" s="117" t="n">
        <v>0</v>
      </c>
      <c r="AX816" s="117" t="n">
        <v>7</v>
      </c>
    </row>
    <row r="817" customFormat="false" ht="13.8" hidden="true" customHeight="false" outlineLevel="0" collapsed="false">
      <c r="A817" s="117" t="n">
        <v>1000</v>
      </c>
      <c r="B817" s="117" t="s">
        <v>1962</v>
      </c>
      <c r="C817" s="117" t="n">
        <v>100144356</v>
      </c>
      <c r="E817" s="117" t="s">
        <v>1921</v>
      </c>
      <c r="F817" s="117" t="n">
        <v>1101</v>
      </c>
      <c r="G817" s="117" t="n">
        <v>2019</v>
      </c>
      <c r="H817" s="117" t="n">
        <v>7</v>
      </c>
      <c r="I817" s="118" t="n">
        <v>43769</v>
      </c>
      <c r="J817" s="118" t="n">
        <v>43769</v>
      </c>
      <c r="K817" s="119" t="n">
        <v>7216477.74</v>
      </c>
      <c r="L817" s="128" t="n">
        <f aca="false">K817-Q817+T817</f>
        <v>7216477.74</v>
      </c>
      <c r="M817" s="117" t="s">
        <v>149</v>
      </c>
      <c r="N817" s="117" t="n">
        <v>7216477.74</v>
      </c>
      <c r="O817" s="117" t="s">
        <v>149</v>
      </c>
      <c r="P817" s="117" t="n">
        <v>0</v>
      </c>
      <c r="Q817" s="117" t="n">
        <v>0</v>
      </c>
      <c r="R817" s="117" t="n">
        <v>7216477.74</v>
      </c>
      <c r="S817" s="117" t="n">
        <v>0</v>
      </c>
      <c r="T817" s="117" t="n">
        <v>0</v>
      </c>
      <c r="U817" s="117" t="n">
        <v>318999</v>
      </c>
      <c r="V817" s="117" t="s">
        <v>143</v>
      </c>
      <c r="Z817" s="117" t="n">
        <v>100144356</v>
      </c>
      <c r="AD817" s="117" t="n">
        <v>310300</v>
      </c>
      <c r="AE817" s="117" t="s">
        <v>1969</v>
      </c>
      <c r="AF817" s="117" t="n">
        <v>111105</v>
      </c>
      <c r="AG817" s="117" t="s">
        <v>1994</v>
      </c>
      <c r="AI817" s="117" t="n">
        <v>111105</v>
      </c>
      <c r="AJ817" s="117" t="s">
        <v>1994</v>
      </c>
      <c r="AK817" s="117" t="n">
        <v>0</v>
      </c>
      <c r="AL817" s="117" t="n">
        <v>9</v>
      </c>
      <c r="AM817" s="117" t="s">
        <v>161</v>
      </c>
      <c r="AN817" s="117" t="s">
        <v>1978</v>
      </c>
      <c r="AP817" s="117" t="n">
        <v>100144356</v>
      </c>
      <c r="AQ817" s="118" t="n">
        <v>43769</v>
      </c>
      <c r="AR817" s="118" t="n">
        <v>43770</v>
      </c>
      <c r="AS817" s="117" t="n">
        <v>0.447384259259259</v>
      </c>
      <c r="AT817" s="117" t="n">
        <v>0</v>
      </c>
      <c r="AU817" s="117" t="n">
        <v>0</v>
      </c>
      <c r="AX817" s="117" t="n">
        <v>3</v>
      </c>
    </row>
    <row r="818" customFormat="false" ht="13.8" hidden="true" customHeight="false" outlineLevel="0" collapsed="false">
      <c r="A818" s="117" t="n">
        <v>1000</v>
      </c>
      <c r="B818" s="117" t="s">
        <v>1962</v>
      </c>
      <c r="C818" s="117" t="n">
        <v>100199799</v>
      </c>
      <c r="E818" s="117" t="s">
        <v>1921</v>
      </c>
      <c r="F818" s="117" t="n">
        <v>1109</v>
      </c>
      <c r="G818" s="117" t="n">
        <v>2019</v>
      </c>
      <c r="H818" s="117" t="n">
        <v>9</v>
      </c>
      <c r="I818" s="118" t="n">
        <v>43830</v>
      </c>
      <c r="J818" s="118" t="n">
        <v>43830</v>
      </c>
      <c r="K818" s="119" t="n">
        <v>-897973.63</v>
      </c>
      <c r="L818" s="128" t="n">
        <f aca="false">K818-Q818+T818</f>
        <v>-897973.63</v>
      </c>
      <c r="M818" s="117" t="s">
        <v>149</v>
      </c>
      <c r="N818" s="117" t="n">
        <v>-897973.63</v>
      </c>
      <c r="O818" s="117" t="s">
        <v>149</v>
      </c>
      <c r="P818" s="117" t="n">
        <v>0</v>
      </c>
      <c r="Q818" s="117" t="n">
        <v>0</v>
      </c>
      <c r="R818" s="117" t="n">
        <v>-897973.63</v>
      </c>
      <c r="S818" s="117" t="n">
        <v>0</v>
      </c>
      <c r="T818" s="117" t="n">
        <v>0</v>
      </c>
      <c r="U818" s="117" t="n">
        <v>312193</v>
      </c>
      <c r="V818" s="117" t="s">
        <v>1963</v>
      </c>
      <c r="Z818" s="117" t="n">
        <v>100199799</v>
      </c>
      <c r="AD818" s="117" t="n">
        <v>110000</v>
      </c>
      <c r="AE818" s="117" t="s">
        <v>1966</v>
      </c>
      <c r="AF818" s="117" t="n">
        <v>110000</v>
      </c>
      <c r="AG818" s="117" t="s">
        <v>1966</v>
      </c>
      <c r="AI818" s="117" t="n">
        <v>110000</v>
      </c>
      <c r="AJ818" s="117" t="s">
        <v>1966</v>
      </c>
      <c r="AK818" s="117" t="n">
        <v>0</v>
      </c>
      <c r="AL818" s="117" t="n">
        <v>17</v>
      </c>
      <c r="AM818" s="117" t="s">
        <v>225</v>
      </c>
      <c r="AP818" s="117" t="n">
        <v>100199799</v>
      </c>
      <c r="AQ818" s="118" t="n">
        <v>43830</v>
      </c>
      <c r="AR818" s="118" t="n">
        <v>43830</v>
      </c>
      <c r="AS818" s="117" t="n">
        <v>0.279467592592593</v>
      </c>
      <c r="AT818" s="117" t="n">
        <v>0</v>
      </c>
      <c r="AU818" s="117" t="n">
        <v>0</v>
      </c>
      <c r="AX818" s="117" t="n">
        <v>32</v>
      </c>
    </row>
    <row r="819" customFormat="false" ht="13.8" hidden="true" customHeight="false" outlineLevel="0" collapsed="false">
      <c r="A819" s="117" t="n">
        <v>1000</v>
      </c>
      <c r="B819" s="117" t="s">
        <v>1962</v>
      </c>
      <c r="C819" s="117" t="n">
        <v>1600000288</v>
      </c>
      <c r="D819" s="117" t="s">
        <v>2356</v>
      </c>
      <c r="E819" s="117" t="s">
        <v>1987</v>
      </c>
      <c r="F819" s="117" t="n">
        <v>1101</v>
      </c>
      <c r="G819" s="117" t="n">
        <v>2019</v>
      </c>
      <c r="H819" s="117" t="n">
        <v>8</v>
      </c>
      <c r="I819" s="118" t="n">
        <v>43795</v>
      </c>
      <c r="J819" s="118" t="n">
        <v>43795</v>
      </c>
      <c r="K819" s="119" t="n">
        <v>-26702</v>
      </c>
      <c r="L819" s="128" t="n">
        <f aca="false">K819-Q819+T819</f>
        <v>-26702</v>
      </c>
      <c r="M819" s="117" t="s">
        <v>149</v>
      </c>
      <c r="N819" s="117" t="n">
        <v>-26702</v>
      </c>
      <c r="O819" s="117" t="s">
        <v>149</v>
      </c>
      <c r="P819" s="117" t="n">
        <v>-26702</v>
      </c>
      <c r="Q819" s="117" t="n">
        <v>0</v>
      </c>
      <c r="R819" s="117" t="n">
        <v>-26702</v>
      </c>
      <c r="S819" s="117" t="n">
        <v>0</v>
      </c>
      <c r="T819" s="117" t="n">
        <v>0</v>
      </c>
      <c r="U819" s="117" t="n">
        <v>312193</v>
      </c>
      <c r="V819" s="117" t="s">
        <v>1963</v>
      </c>
      <c r="X819" s="117" t="s">
        <v>2447</v>
      </c>
      <c r="Y819" s="117" t="s">
        <v>2358</v>
      </c>
      <c r="Z819" s="117" t="n">
        <v>1600000288</v>
      </c>
      <c r="AD819" s="117" t="n">
        <v>310300</v>
      </c>
      <c r="AE819" s="117" t="s">
        <v>1969</v>
      </c>
      <c r="AF819" s="117" t="n">
        <v>111201</v>
      </c>
      <c r="AG819" s="117" t="s">
        <v>2165</v>
      </c>
      <c r="AI819" s="117" t="n">
        <v>111201</v>
      </c>
      <c r="AJ819" s="117" t="s">
        <v>2165</v>
      </c>
      <c r="AK819" s="117" t="n">
        <v>0</v>
      </c>
      <c r="AL819" s="117" t="n">
        <v>19</v>
      </c>
      <c r="AM819" s="117" t="s">
        <v>225</v>
      </c>
      <c r="AN819" s="117" t="s">
        <v>1978</v>
      </c>
      <c r="AP819" s="117" t="n">
        <v>100173563</v>
      </c>
      <c r="AQ819" s="118" t="n">
        <v>43799</v>
      </c>
      <c r="AR819" s="118" t="n">
        <v>43795</v>
      </c>
      <c r="AS819" s="117" t="n">
        <v>0.285</v>
      </c>
      <c r="AT819" s="117" t="n">
        <v>0</v>
      </c>
      <c r="AU819" s="117" t="n">
        <v>0</v>
      </c>
      <c r="AX819" s="117" t="n">
        <v>34</v>
      </c>
    </row>
    <row r="820" s="106" customFormat="true" ht="13.8" hidden="true" customHeight="false" outlineLevel="0" collapsed="false">
      <c r="A820" s="106" t="n">
        <v>1000</v>
      </c>
      <c r="B820" s="106" t="s">
        <v>1962</v>
      </c>
      <c r="C820" s="106" t="n">
        <v>109641</v>
      </c>
      <c r="D820" s="106" t="s">
        <v>1672</v>
      </c>
      <c r="E820" s="106" t="s">
        <v>1970</v>
      </c>
      <c r="F820" s="106" t="n">
        <v>1108</v>
      </c>
      <c r="G820" s="106" t="n">
        <v>2019</v>
      </c>
      <c r="H820" s="106" t="n">
        <v>8</v>
      </c>
      <c r="I820" s="129" t="n">
        <v>43798</v>
      </c>
      <c r="J820" s="129" t="n">
        <v>43798</v>
      </c>
      <c r="K820" s="107" t="n">
        <v>215143.5</v>
      </c>
      <c r="L820" s="130" t="n">
        <f aca="false">K820-Q820+T820</f>
        <v>182325</v>
      </c>
      <c r="M820" s="106" t="s">
        <v>149</v>
      </c>
      <c r="N820" s="106" t="n">
        <v>215143.5</v>
      </c>
      <c r="O820" s="106" t="s">
        <v>149</v>
      </c>
      <c r="P820" s="106" t="n">
        <v>0</v>
      </c>
      <c r="Q820" s="107" t="n">
        <v>32818.5</v>
      </c>
      <c r="R820" s="106" t="n">
        <v>182325</v>
      </c>
      <c r="S820" s="106" t="n">
        <v>0</v>
      </c>
      <c r="T820" s="106" t="n">
        <v>0</v>
      </c>
      <c r="U820" s="106" t="n">
        <v>312193</v>
      </c>
      <c r="V820" s="106" t="s">
        <v>1963</v>
      </c>
      <c r="Z820" s="106" t="n">
        <v>61009</v>
      </c>
      <c r="AB820" s="106" t="s">
        <v>2109</v>
      </c>
      <c r="AD820" s="106" t="n">
        <v>110000</v>
      </c>
      <c r="AE820" s="106" t="s">
        <v>1966</v>
      </c>
      <c r="AF820" s="106" t="n">
        <v>501000</v>
      </c>
      <c r="AG820" s="106" t="s">
        <v>2170</v>
      </c>
      <c r="AI820" s="106" t="n">
        <v>501000</v>
      </c>
      <c r="AJ820" s="106" t="s">
        <v>2170</v>
      </c>
      <c r="AK820" s="106" t="n">
        <v>0</v>
      </c>
      <c r="AL820" s="106" t="n">
        <v>1</v>
      </c>
      <c r="AM820" s="106" t="s">
        <v>161</v>
      </c>
      <c r="AP820" s="106" t="n">
        <v>100173564</v>
      </c>
      <c r="AQ820" s="129" t="n">
        <v>43799</v>
      </c>
      <c r="AR820" s="129" t="n">
        <v>43798</v>
      </c>
      <c r="AS820" s="106" t="n">
        <v>0.762800925925926</v>
      </c>
      <c r="AT820" s="106" t="n">
        <v>0</v>
      </c>
      <c r="AU820" s="106" t="n">
        <v>0</v>
      </c>
      <c r="AX820" s="106" t="n">
        <v>1</v>
      </c>
      <c r="ALU820" s="0"/>
      <c r="ALV820" s="0"/>
      <c r="ALW820" s="0"/>
      <c r="ALX820" s="0"/>
      <c r="ALY820" s="0"/>
      <c r="ALZ820" s="0"/>
      <c r="AMA820" s="0"/>
      <c r="AMB820" s="0"/>
      <c r="AMC820" s="0"/>
      <c r="AMD820" s="0"/>
      <c r="AME820" s="0"/>
      <c r="AMF820" s="0"/>
      <c r="AMG820" s="0"/>
      <c r="AMH820" s="0"/>
      <c r="AMI820" s="0"/>
      <c r="AMJ820" s="0"/>
    </row>
    <row r="821" s="106" customFormat="true" ht="13.8" hidden="true" customHeight="false" outlineLevel="0" collapsed="false">
      <c r="A821" s="106" t="n">
        <v>1000</v>
      </c>
      <c r="B821" s="106" t="s">
        <v>1962</v>
      </c>
      <c r="C821" s="106" t="n">
        <v>110417</v>
      </c>
      <c r="D821" s="106" t="s">
        <v>2448</v>
      </c>
      <c r="E821" s="106" t="s">
        <v>1970</v>
      </c>
      <c r="F821" s="106" t="n">
        <v>1112</v>
      </c>
      <c r="G821" s="106" t="n">
        <v>2019</v>
      </c>
      <c r="H821" s="106" t="n">
        <v>9</v>
      </c>
      <c r="I821" s="129" t="n">
        <v>43820</v>
      </c>
      <c r="J821" s="129" t="n">
        <v>43820</v>
      </c>
      <c r="K821" s="107" t="n">
        <v>67385.08</v>
      </c>
      <c r="L821" s="130" t="n">
        <f aca="false">K821-Q821+T821</f>
        <v>57106</v>
      </c>
      <c r="M821" s="106" t="s">
        <v>149</v>
      </c>
      <c r="N821" s="106" t="n">
        <v>67385.08</v>
      </c>
      <c r="O821" s="106" t="s">
        <v>149</v>
      </c>
      <c r="P821" s="106" t="n">
        <v>0</v>
      </c>
      <c r="Q821" s="107" t="n">
        <v>10279.08</v>
      </c>
      <c r="R821" s="106" t="n">
        <v>57106</v>
      </c>
      <c r="S821" s="106" t="n">
        <v>0</v>
      </c>
      <c r="T821" s="106" t="n">
        <v>0</v>
      </c>
      <c r="U821" s="106" t="n">
        <v>312193</v>
      </c>
      <c r="V821" s="106" t="s">
        <v>1963</v>
      </c>
      <c r="Z821" s="106" t="n">
        <v>62150</v>
      </c>
      <c r="AB821" s="106" t="s">
        <v>2350</v>
      </c>
      <c r="AD821" s="106" t="n">
        <v>110000</v>
      </c>
      <c r="AE821" s="106" t="s">
        <v>1966</v>
      </c>
      <c r="AF821" s="106" t="n">
        <v>501000</v>
      </c>
      <c r="AG821" s="106" t="s">
        <v>2170</v>
      </c>
      <c r="AI821" s="106" t="n">
        <v>501000</v>
      </c>
      <c r="AJ821" s="106" t="s">
        <v>2170</v>
      </c>
      <c r="AK821" s="106" t="n">
        <v>0</v>
      </c>
      <c r="AL821" s="106" t="n">
        <v>1</v>
      </c>
      <c r="AM821" s="106" t="s">
        <v>161</v>
      </c>
      <c r="AP821" s="106" t="n">
        <v>100194025</v>
      </c>
      <c r="AQ821" s="129" t="n">
        <v>43824</v>
      </c>
      <c r="AR821" s="129" t="n">
        <v>43820</v>
      </c>
      <c r="AS821" s="106" t="n">
        <v>0.612430555555556</v>
      </c>
      <c r="AT821" s="106" t="n">
        <v>0</v>
      </c>
      <c r="AU821" s="106" t="n">
        <v>0</v>
      </c>
      <c r="AX821" s="106" t="n">
        <v>1</v>
      </c>
      <c r="ALU821" s="0"/>
      <c r="ALV821" s="0"/>
      <c r="ALW821" s="0"/>
      <c r="ALX821" s="0"/>
      <c r="ALY821" s="0"/>
      <c r="ALZ821" s="0"/>
      <c r="AMA821" s="0"/>
      <c r="AMB821" s="0"/>
      <c r="AMC821" s="0"/>
      <c r="AMD821" s="0"/>
      <c r="AME821" s="0"/>
      <c r="AMF821" s="0"/>
      <c r="AMG821" s="0"/>
      <c r="AMH821" s="0"/>
      <c r="AMI821" s="0"/>
      <c r="AMJ821" s="0"/>
    </row>
    <row r="822" s="106" customFormat="true" ht="13.8" hidden="true" customHeight="false" outlineLevel="0" collapsed="false">
      <c r="A822" s="106" t="n">
        <v>1000</v>
      </c>
      <c r="B822" s="106" t="s">
        <v>1962</v>
      </c>
      <c r="C822" s="106" t="n">
        <v>110184</v>
      </c>
      <c r="D822" s="106" t="s">
        <v>1785</v>
      </c>
      <c r="E822" s="106" t="s">
        <v>1970</v>
      </c>
      <c r="F822" s="106" t="n">
        <v>1112</v>
      </c>
      <c r="G822" s="106" t="n">
        <v>2019</v>
      </c>
      <c r="H822" s="106" t="n">
        <v>9</v>
      </c>
      <c r="I822" s="129" t="n">
        <v>43813</v>
      </c>
      <c r="J822" s="129" t="n">
        <v>43813</v>
      </c>
      <c r="K822" s="107" t="n">
        <v>736721.2</v>
      </c>
      <c r="L822" s="130" t="n">
        <f aca="false">K822-Q822+T822</f>
        <v>624340</v>
      </c>
      <c r="M822" s="106" t="s">
        <v>149</v>
      </c>
      <c r="N822" s="106" t="n">
        <v>736721.2</v>
      </c>
      <c r="O822" s="106" t="s">
        <v>149</v>
      </c>
      <c r="P822" s="106" t="n">
        <v>0</v>
      </c>
      <c r="Q822" s="107" t="n">
        <v>112381.2</v>
      </c>
      <c r="R822" s="106" t="n">
        <v>624340</v>
      </c>
      <c r="S822" s="106" t="n">
        <v>0</v>
      </c>
      <c r="T822" s="106" t="n">
        <v>0</v>
      </c>
      <c r="U822" s="106" t="n">
        <v>312193</v>
      </c>
      <c r="V822" s="106" t="s">
        <v>1963</v>
      </c>
      <c r="Z822" s="106" t="n">
        <v>62190</v>
      </c>
      <c r="AB822" s="106" t="s">
        <v>2362</v>
      </c>
      <c r="AD822" s="106" t="n">
        <v>110000</v>
      </c>
      <c r="AE822" s="106" t="s">
        <v>1966</v>
      </c>
      <c r="AF822" s="106" t="n">
        <v>501005</v>
      </c>
      <c r="AG822" s="106" t="s">
        <v>2033</v>
      </c>
      <c r="AI822" s="106" t="n">
        <v>501005</v>
      </c>
      <c r="AJ822" s="106" t="s">
        <v>2033</v>
      </c>
      <c r="AK822" s="106" t="n">
        <v>0</v>
      </c>
      <c r="AL822" s="106" t="n">
        <v>1</v>
      </c>
      <c r="AM822" s="106" t="s">
        <v>161</v>
      </c>
      <c r="AP822" s="106" t="n">
        <v>100194025</v>
      </c>
      <c r="AQ822" s="129" t="n">
        <v>43824</v>
      </c>
      <c r="AR822" s="129" t="n">
        <v>43813</v>
      </c>
      <c r="AS822" s="106" t="n">
        <v>0.77537037037037</v>
      </c>
      <c r="AT822" s="106" t="n">
        <v>0</v>
      </c>
      <c r="AU822" s="106" t="n">
        <v>0</v>
      </c>
      <c r="AX822" s="106" t="n">
        <v>1</v>
      </c>
      <c r="ALU822" s="0"/>
      <c r="ALV822" s="0"/>
      <c r="ALW822" s="0"/>
      <c r="ALX822" s="0"/>
      <c r="ALY822" s="0"/>
      <c r="ALZ822" s="0"/>
      <c r="AMA822" s="0"/>
      <c r="AMB822" s="0"/>
      <c r="AMC822" s="0"/>
      <c r="AMD822" s="0"/>
      <c r="AME822" s="0"/>
      <c r="AMF822" s="0"/>
      <c r="AMG822" s="0"/>
      <c r="AMH822" s="0"/>
      <c r="AMI822" s="0"/>
      <c r="AMJ822" s="0"/>
    </row>
    <row r="823" customFormat="false" ht="13.8" hidden="true" customHeight="false" outlineLevel="0" collapsed="false">
      <c r="A823" s="117" t="n">
        <v>1000</v>
      </c>
      <c r="B823" s="117" t="s">
        <v>1962</v>
      </c>
      <c r="C823" s="117" t="n">
        <v>100141449</v>
      </c>
      <c r="E823" s="117" t="s">
        <v>1921</v>
      </c>
      <c r="F823" s="117" t="n">
        <v>1109</v>
      </c>
      <c r="G823" s="117" t="n">
        <v>2019</v>
      </c>
      <c r="H823" s="117" t="n">
        <v>7</v>
      </c>
      <c r="I823" s="118" t="n">
        <v>43766</v>
      </c>
      <c r="J823" s="118" t="n">
        <v>43766</v>
      </c>
      <c r="K823" s="119" t="n">
        <v>974445.11</v>
      </c>
      <c r="L823" s="128" t="n">
        <f aca="false">K823-Q823+T823</f>
        <v>974445.11</v>
      </c>
      <c r="M823" s="117" t="s">
        <v>149</v>
      </c>
      <c r="N823" s="117" t="n">
        <v>974445.11</v>
      </c>
      <c r="O823" s="117" t="s">
        <v>149</v>
      </c>
      <c r="P823" s="117" t="n">
        <v>0</v>
      </c>
      <c r="Q823" s="117" t="n">
        <v>0</v>
      </c>
      <c r="R823" s="117" t="n">
        <v>974445.11</v>
      </c>
      <c r="S823" s="117" t="n">
        <v>0</v>
      </c>
      <c r="T823" s="117" t="n">
        <v>0</v>
      </c>
      <c r="U823" s="117" t="n">
        <v>312193</v>
      </c>
      <c r="V823" s="117" t="s">
        <v>1963</v>
      </c>
      <c r="X823" s="117" t="s">
        <v>1808</v>
      </c>
      <c r="Z823" s="117" t="n">
        <v>60958</v>
      </c>
      <c r="AB823" s="117" t="s">
        <v>2124</v>
      </c>
      <c r="AD823" s="117" t="n">
        <v>110000</v>
      </c>
      <c r="AE823" s="117" t="s">
        <v>1966</v>
      </c>
      <c r="AF823" s="117" t="n">
        <v>110000</v>
      </c>
      <c r="AG823" s="117" t="s">
        <v>1966</v>
      </c>
      <c r="AI823" s="117" t="n">
        <v>110000</v>
      </c>
      <c r="AJ823" s="117" t="s">
        <v>1966</v>
      </c>
      <c r="AK823" s="117" t="n">
        <v>0</v>
      </c>
      <c r="AL823" s="117" t="n">
        <v>4</v>
      </c>
      <c r="AM823" s="117" t="s">
        <v>161</v>
      </c>
      <c r="AR823" s="118" t="n">
        <v>43766</v>
      </c>
      <c r="AS823" s="117" t="n">
        <v>0.371388888888889</v>
      </c>
      <c r="AT823" s="117" t="n">
        <v>0</v>
      </c>
      <c r="AU823" s="117" t="n">
        <v>0</v>
      </c>
      <c r="AX823" s="117" t="n">
        <v>8</v>
      </c>
    </row>
    <row r="824" customFormat="false" ht="13.8" hidden="true" customHeight="false" outlineLevel="0" collapsed="false">
      <c r="A824" s="117" t="n">
        <v>1000</v>
      </c>
      <c r="B824" s="117" t="s">
        <v>1962</v>
      </c>
      <c r="C824" s="117" t="n">
        <v>100194025</v>
      </c>
      <c r="E824" s="117" t="s">
        <v>1921</v>
      </c>
      <c r="F824" s="117" t="n">
        <v>1112</v>
      </c>
      <c r="G824" s="117" t="n">
        <v>2019</v>
      </c>
      <c r="H824" s="117" t="n">
        <v>9</v>
      </c>
      <c r="I824" s="118" t="n">
        <v>43824</v>
      </c>
      <c r="J824" s="118" t="n">
        <v>43824</v>
      </c>
      <c r="K824" s="119" t="n">
        <v>17335.92</v>
      </c>
      <c r="L824" s="128" t="n">
        <f aca="false">K824-Q824+T824</f>
        <v>17335.92</v>
      </c>
      <c r="M824" s="117" t="s">
        <v>149</v>
      </c>
      <c r="N824" s="117" t="n">
        <v>17335.92</v>
      </c>
      <c r="O824" s="117" t="s">
        <v>149</v>
      </c>
      <c r="P824" s="117" t="n">
        <v>0</v>
      </c>
      <c r="Q824" s="117" t="n">
        <v>0</v>
      </c>
      <c r="R824" s="117" t="n">
        <v>17335.92</v>
      </c>
      <c r="S824" s="117" t="n">
        <v>0</v>
      </c>
      <c r="T824" s="117" t="n">
        <v>0</v>
      </c>
      <c r="U824" s="117" t="n">
        <v>312193</v>
      </c>
      <c r="V824" s="117" t="s">
        <v>1963</v>
      </c>
      <c r="X824" s="117" t="s">
        <v>1767</v>
      </c>
      <c r="Z824" s="117" t="n">
        <v>62186</v>
      </c>
      <c r="AB824" s="117" t="s">
        <v>2362</v>
      </c>
      <c r="AD824" s="117" t="n">
        <v>110000</v>
      </c>
      <c r="AE824" s="117" t="s">
        <v>1966</v>
      </c>
      <c r="AF824" s="117" t="n">
        <v>110000</v>
      </c>
      <c r="AG824" s="117" t="s">
        <v>1966</v>
      </c>
      <c r="AI824" s="117" t="n">
        <v>110000</v>
      </c>
      <c r="AJ824" s="117" t="s">
        <v>1966</v>
      </c>
      <c r="AK824" s="117" t="n">
        <v>0</v>
      </c>
      <c r="AL824" s="117" t="n">
        <v>4</v>
      </c>
      <c r="AM824" s="117" t="s">
        <v>161</v>
      </c>
      <c r="AR824" s="118" t="n">
        <v>43824</v>
      </c>
      <c r="AS824" s="117" t="n">
        <v>0.371284722222222</v>
      </c>
      <c r="AT824" s="117" t="n">
        <v>0</v>
      </c>
      <c r="AU824" s="117" t="n">
        <v>0</v>
      </c>
      <c r="AX824" s="117" t="n">
        <v>2</v>
      </c>
    </row>
    <row r="825" customFormat="false" ht="13.8" hidden="true" customHeight="false" outlineLevel="0" collapsed="false">
      <c r="A825" s="117" t="n">
        <v>1000</v>
      </c>
      <c r="B825" s="117" t="s">
        <v>1962</v>
      </c>
      <c r="C825" s="117" t="n">
        <v>100173564</v>
      </c>
      <c r="E825" s="117" t="s">
        <v>1921</v>
      </c>
      <c r="F825" s="117" t="n">
        <v>1108</v>
      </c>
      <c r="G825" s="117" t="n">
        <v>2019</v>
      </c>
      <c r="H825" s="117" t="n">
        <v>8</v>
      </c>
      <c r="I825" s="118" t="n">
        <v>43799</v>
      </c>
      <c r="J825" s="118" t="n">
        <v>43799</v>
      </c>
      <c r="K825" s="119" t="n">
        <v>1344332.26</v>
      </c>
      <c r="L825" s="128" t="n">
        <f aca="false">K825-Q825+T825</f>
        <v>1344332.26</v>
      </c>
      <c r="M825" s="117" t="s">
        <v>149</v>
      </c>
      <c r="N825" s="117" t="n">
        <v>1344332.26</v>
      </c>
      <c r="O825" s="117" t="s">
        <v>149</v>
      </c>
      <c r="P825" s="117" t="n">
        <v>0</v>
      </c>
      <c r="Q825" s="117" t="n">
        <v>0</v>
      </c>
      <c r="R825" s="117" t="n">
        <v>1344332.26</v>
      </c>
      <c r="S825" s="117" t="n">
        <v>0</v>
      </c>
      <c r="T825" s="117" t="n">
        <v>0</v>
      </c>
      <c r="U825" s="117" t="n">
        <v>312193</v>
      </c>
      <c r="V825" s="117" t="s">
        <v>1963</v>
      </c>
      <c r="X825" s="117" t="s">
        <v>1669</v>
      </c>
      <c r="Z825" s="117" t="n">
        <v>61242</v>
      </c>
      <c r="AB825" s="117" t="s">
        <v>2109</v>
      </c>
      <c r="AD825" s="117" t="n">
        <v>110000</v>
      </c>
      <c r="AE825" s="117" t="s">
        <v>1966</v>
      </c>
      <c r="AF825" s="117" t="n">
        <v>110000</v>
      </c>
      <c r="AG825" s="117" t="s">
        <v>1966</v>
      </c>
      <c r="AI825" s="117" t="n">
        <v>110000</v>
      </c>
      <c r="AJ825" s="117" t="s">
        <v>1966</v>
      </c>
      <c r="AK825" s="117" t="n">
        <v>0</v>
      </c>
      <c r="AL825" s="117" t="n">
        <v>4</v>
      </c>
      <c r="AM825" s="117" t="s">
        <v>161</v>
      </c>
      <c r="AR825" s="118" t="n">
        <v>43800</v>
      </c>
      <c r="AS825" s="117" t="n">
        <v>0.649189814814815</v>
      </c>
      <c r="AT825" s="117" t="n">
        <v>0</v>
      </c>
      <c r="AU825" s="117" t="n">
        <v>0</v>
      </c>
      <c r="AX825" s="117" t="n">
        <v>11</v>
      </c>
    </row>
    <row r="826" s="106" customFormat="true" ht="13.8" hidden="true" customHeight="false" outlineLevel="0" collapsed="false">
      <c r="A826" s="106" t="n">
        <v>1000</v>
      </c>
      <c r="B826" s="106" t="s">
        <v>1962</v>
      </c>
      <c r="C826" s="106" t="n">
        <v>110878</v>
      </c>
      <c r="D826" s="106" t="s">
        <v>2449</v>
      </c>
      <c r="E826" s="106" t="s">
        <v>1970</v>
      </c>
      <c r="F826" s="106" t="n">
        <v>1112</v>
      </c>
      <c r="G826" s="106" t="n">
        <v>2019</v>
      </c>
      <c r="H826" s="106" t="n">
        <v>9</v>
      </c>
      <c r="I826" s="129" t="n">
        <v>43828</v>
      </c>
      <c r="J826" s="129" t="n">
        <v>43828</v>
      </c>
      <c r="K826" s="107" t="n">
        <v>91369.76</v>
      </c>
      <c r="L826" s="130" t="n">
        <f aca="false">K826-Q826+T826</f>
        <v>77432</v>
      </c>
      <c r="M826" s="106" t="s">
        <v>149</v>
      </c>
      <c r="N826" s="106" t="n">
        <v>91369.76</v>
      </c>
      <c r="O826" s="106" t="s">
        <v>149</v>
      </c>
      <c r="P826" s="106" t="n">
        <v>0</v>
      </c>
      <c r="Q826" s="107" t="n">
        <v>13937.76</v>
      </c>
      <c r="R826" s="106" t="n">
        <v>77432</v>
      </c>
      <c r="S826" s="106" t="n">
        <v>0</v>
      </c>
      <c r="T826" s="106" t="n">
        <v>0</v>
      </c>
      <c r="U826" s="106" t="n">
        <v>312193</v>
      </c>
      <c r="V826" s="106" t="s">
        <v>1963</v>
      </c>
      <c r="Z826" s="106" t="n">
        <v>62199</v>
      </c>
      <c r="AB826" s="106" t="s">
        <v>2350</v>
      </c>
      <c r="AD826" s="106" t="n">
        <v>110000</v>
      </c>
      <c r="AE826" s="106" t="s">
        <v>1966</v>
      </c>
      <c r="AF826" s="106" t="n">
        <v>501000</v>
      </c>
      <c r="AG826" s="106" t="s">
        <v>2170</v>
      </c>
      <c r="AI826" s="106" t="n">
        <v>501000</v>
      </c>
      <c r="AJ826" s="106" t="s">
        <v>2170</v>
      </c>
      <c r="AK826" s="106" t="n">
        <v>0</v>
      </c>
      <c r="AL826" s="106" t="n">
        <v>1</v>
      </c>
      <c r="AM826" s="106" t="s">
        <v>161</v>
      </c>
      <c r="AP826" s="106" t="n">
        <v>100199799</v>
      </c>
      <c r="AQ826" s="129" t="n">
        <v>43830</v>
      </c>
      <c r="AR826" s="129" t="n">
        <v>43828</v>
      </c>
      <c r="AS826" s="106" t="n">
        <v>0.742800925925926</v>
      </c>
      <c r="AT826" s="106" t="n">
        <v>0</v>
      </c>
      <c r="AU826" s="106" t="n">
        <v>0</v>
      </c>
      <c r="AX826" s="106" t="n">
        <v>1</v>
      </c>
      <c r="ALU826" s="0"/>
      <c r="ALV826" s="0"/>
      <c r="ALW826" s="0"/>
      <c r="ALX826" s="0"/>
      <c r="ALY826" s="0"/>
      <c r="ALZ826" s="0"/>
      <c r="AMA826" s="0"/>
      <c r="AMB826" s="0"/>
      <c r="AMC826" s="0"/>
      <c r="AMD826" s="0"/>
      <c r="AME826" s="0"/>
      <c r="AMF826" s="0"/>
      <c r="AMG826" s="0"/>
      <c r="AMH826" s="0"/>
      <c r="AMI826" s="0"/>
      <c r="AMJ826" s="0"/>
    </row>
    <row r="827" s="106" customFormat="true" ht="13.8" hidden="true" customHeight="false" outlineLevel="0" collapsed="false">
      <c r="A827" s="106" t="n">
        <v>1000</v>
      </c>
      <c r="B827" s="106" t="s">
        <v>1962</v>
      </c>
      <c r="C827" s="106" t="n">
        <v>111987</v>
      </c>
      <c r="D827" s="106" t="s">
        <v>1376</v>
      </c>
      <c r="E827" s="106" t="s">
        <v>1970</v>
      </c>
      <c r="F827" s="106" t="n">
        <v>1109</v>
      </c>
      <c r="G827" s="106" t="n">
        <v>2019</v>
      </c>
      <c r="H827" s="106" t="n">
        <v>10</v>
      </c>
      <c r="I827" s="129" t="n">
        <v>43858</v>
      </c>
      <c r="J827" s="129" t="n">
        <v>43858</v>
      </c>
      <c r="K827" s="107" t="n">
        <v>423929.84</v>
      </c>
      <c r="L827" s="130" t="n">
        <f aca="false">K827-Q827+T827</f>
        <v>359262.58</v>
      </c>
      <c r="M827" s="106" t="s">
        <v>149</v>
      </c>
      <c r="N827" s="106" t="n">
        <v>423929.84</v>
      </c>
      <c r="O827" s="106" t="s">
        <v>149</v>
      </c>
      <c r="P827" s="106" t="n">
        <v>0</v>
      </c>
      <c r="Q827" s="107" t="n">
        <v>64667.26</v>
      </c>
      <c r="R827" s="106" t="n">
        <v>359262.58</v>
      </c>
      <c r="S827" s="106" t="n">
        <v>0</v>
      </c>
      <c r="T827" s="106" t="n">
        <v>0</v>
      </c>
      <c r="U827" s="106" t="n">
        <v>310187</v>
      </c>
      <c r="V827" s="106" t="s">
        <v>2394</v>
      </c>
      <c r="Z827" s="106" t="n">
        <v>63210</v>
      </c>
      <c r="AB827" s="106" t="s">
        <v>2450</v>
      </c>
      <c r="AD827" s="106" t="n">
        <v>110000</v>
      </c>
      <c r="AE827" s="106" t="s">
        <v>1966</v>
      </c>
      <c r="AF827" s="106" t="n">
        <v>501005</v>
      </c>
      <c r="AG827" s="106" t="s">
        <v>2033</v>
      </c>
      <c r="AI827" s="106" t="n">
        <v>501005</v>
      </c>
      <c r="AJ827" s="106" t="s">
        <v>2033</v>
      </c>
      <c r="AK827" s="106" t="n">
        <v>0</v>
      </c>
      <c r="AL827" s="106" t="n">
        <v>1</v>
      </c>
      <c r="AM827" s="106" t="s">
        <v>161</v>
      </c>
      <c r="AP827" s="106" t="n">
        <v>100242271</v>
      </c>
      <c r="AQ827" s="129" t="n">
        <v>43861</v>
      </c>
      <c r="AR827" s="129" t="n">
        <v>43858</v>
      </c>
      <c r="AS827" s="106" t="n">
        <v>0.747800925925926</v>
      </c>
      <c r="AT827" s="106" t="n">
        <v>0</v>
      </c>
      <c r="AU827" s="106" t="n">
        <v>0</v>
      </c>
      <c r="AX827" s="106" t="n">
        <v>1</v>
      </c>
      <c r="ALU827" s="0"/>
      <c r="ALV827" s="0"/>
      <c r="ALW827" s="0"/>
      <c r="ALX827" s="0"/>
      <c r="ALY827" s="0"/>
      <c r="ALZ827" s="0"/>
      <c r="AMA827" s="0"/>
      <c r="AMB827" s="0"/>
      <c r="AMC827" s="0"/>
      <c r="AMD827" s="0"/>
      <c r="AME827" s="0"/>
      <c r="AMF827" s="0"/>
      <c r="AMG827" s="0"/>
      <c r="AMH827" s="0"/>
      <c r="AMI827" s="0"/>
      <c r="AMJ827" s="0"/>
    </row>
    <row r="828" customFormat="false" ht="13.8" hidden="true" customHeight="false" outlineLevel="0" collapsed="false">
      <c r="A828" s="117" t="n">
        <v>1000</v>
      </c>
      <c r="B828" s="117" t="s">
        <v>1962</v>
      </c>
      <c r="C828" s="117" t="n">
        <v>100198535</v>
      </c>
      <c r="E828" s="117" t="s">
        <v>1921</v>
      </c>
      <c r="F828" s="117" t="n">
        <v>1101</v>
      </c>
      <c r="G828" s="117" t="n">
        <v>2019</v>
      </c>
      <c r="H828" s="117" t="n">
        <v>9</v>
      </c>
      <c r="I828" s="118" t="n">
        <v>43828</v>
      </c>
      <c r="J828" s="118" t="n">
        <v>43828</v>
      </c>
      <c r="K828" s="119" t="n">
        <v>-923939.6</v>
      </c>
      <c r="L828" s="128" t="n">
        <f aca="false">K828-Q828+T828</f>
        <v>-923939.6</v>
      </c>
      <c r="M828" s="117" t="s">
        <v>149</v>
      </c>
      <c r="N828" s="117" t="n">
        <v>-923939.6</v>
      </c>
      <c r="O828" s="117" t="s">
        <v>149</v>
      </c>
      <c r="P828" s="117" t="n">
        <v>0</v>
      </c>
      <c r="Q828" s="117" t="n">
        <v>0</v>
      </c>
      <c r="R828" s="117" t="n">
        <v>-923939.6</v>
      </c>
      <c r="S828" s="117" t="n">
        <v>0</v>
      </c>
      <c r="T828" s="117" t="n">
        <v>0</v>
      </c>
      <c r="U828" s="117" t="n">
        <v>318999</v>
      </c>
      <c r="V828" s="117" t="s">
        <v>143</v>
      </c>
      <c r="Z828" s="117" t="n">
        <v>100198535</v>
      </c>
      <c r="AD828" s="117" t="n">
        <v>110000</v>
      </c>
      <c r="AE828" s="117" t="s">
        <v>1966</v>
      </c>
      <c r="AF828" s="117" t="n">
        <v>110000</v>
      </c>
      <c r="AG828" s="117" t="s">
        <v>1966</v>
      </c>
      <c r="AI828" s="117" t="n">
        <v>110000</v>
      </c>
      <c r="AJ828" s="117" t="s">
        <v>1966</v>
      </c>
      <c r="AK828" s="117" t="n">
        <v>0</v>
      </c>
      <c r="AL828" s="117" t="n">
        <v>17</v>
      </c>
      <c r="AM828" s="117" t="s">
        <v>225</v>
      </c>
      <c r="AP828" s="117" t="n">
        <v>100198535</v>
      </c>
      <c r="AQ828" s="118" t="n">
        <v>43828</v>
      </c>
      <c r="AR828" s="118" t="n">
        <v>43828</v>
      </c>
      <c r="AS828" s="117" t="n">
        <v>0.725046296296296</v>
      </c>
      <c r="AT828" s="117" t="n">
        <v>0</v>
      </c>
      <c r="AU828" s="117" t="n">
        <v>0</v>
      </c>
      <c r="AX828" s="117" t="n">
        <v>3</v>
      </c>
    </row>
    <row r="829" customFormat="false" ht="13.8" hidden="true" customHeight="false" outlineLevel="0" collapsed="false">
      <c r="A829" s="117" t="n">
        <v>1000</v>
      </c>
      <c r="B829" s="117" t="s">
        <v>1962</v>
      </c>
      <c r="C829" s="117" t="n">
        <v>100143952</v>
      </c>
      <c r="E829" s="117" t="s">
        <v>1921</v>
      </c>
      <c r="F829" s="117" t="n">
        <v>1101</v>
      </c>
      <c r="G829" s="117" t="n">
        <v>2019</v>
      </c>
      <c r="H829" s="117" t="n">
        <v>7</v>
      </c>
      <c r="I829" s="118" t="n">
        <v>43769</v>
      </c>
      <c r="J829" s="118" t="n">
        <v>43769</v>
      </c>
      <c r="K829" s="119" t="n">
        <v>1271591.45</v>
      </c>
      <c r="L829" s="128" t="n">
        <f aca="false">K829-Q829+T829</f>
        <v>1271591.45</v>
      </c>
      <c r="M829" s="117" t="s">
        <v>149</v>
      </c>
      <c r="N829" s="117" t="n">
        <v>1271591.45</v>
      </c>
      <c r="O829" s="117" t="s">
        <v>149</v>
      </c>
      <c r="P829" s="117" t="n">
        <v>0</v>
      </c>
      <c r="Q829" s="117" t="n">
        <v>0</v>
      </c>
      <c r="R829" s="117" t="n">
        <v>1271591.45</v>
      </c>
      <c r="S829" s="117" t="n">
        <v>0</v>
      </c>
      <c r="T829" s="117" t="n">
        <v>0</v>
      </c>
      <c r="U829" s="117" t="n">
        <v>318999</v>
      </c>
      <c r="V829" s="117" t="s">
        <v>143</v>
      </c>
      <c r="Z829" s="117" t="n">
        <v>100143952</v>
      </c>
      <c r="AD829" s="117" t="n">
        <v>310300</v>
      </c>
      <c r="AE829" s="117" t="s">
        <v>1969</v>
      </c>
      <c r="AF829" s="117" t="n">
        <v>110000</v>
      </c>
      <c r="AG829" s="117" t="s">
        <v>1966</v>
      </c>
      <c r="AI829" s="117" t="n">
        <v>110000</v>
      </c>
      <c r="AJ829" s="117" t="s">
        <v>1966</v>
      </c>
      <c r="AK829" s="117" t="n">
        <v>0</v>
      </c>
      <c r="AL829" s="117" t="n">
        <v>9</v>
      </c>
      <c r="AM829" s="117" t="s">
        <v>161</v>
      </c>
      <c r="AN829" s="117" t="s">
        <v>1978</v>
      </c>
      <c r="AP829" s="117" t="n">
        <v>100143952</v>
      </c>
      <c r="AQ829" s="118" t="n">
        <v>43769</v>
      </c>
      <c r="AR829" s="118" t="n">
        <v>43770</v>
      </c>
      <c r="AS829" s="117" t="n">
        <v>0.242766203703704</v>
      </c>
      <c r="AT829" s="117" t="n">
        <v>0</v>
      </c>
      <c r="AU829" s="117" t="n">
        <v>0</v>
      </c>
      <c r="AX829" s="117" t="n">
        <v>3</v>
      </c>
    </row>
    <row r="830" customFormat="false" ht="13.8" hidden="true" customHeight="false" outlineLevel="0" collapsed="false">
      <c r="A830" s="117" t="n">
        <v>1000</v>
      </c>
      <c r="B830" s="117" t="s">
        <v>1962</v>
      </c>
      <c r="C830" s="117" t="n">
        <v>100143931</v>
      </c>
      <c r="E830" s="117" t="s">
        <v>1921</v>
      </c>
      <c r="F830" s="117" t="n">
        <v>1106</v>
      </c>
      <c r="G830" s="117" t="n">
        <v>2019</v>
      </c>
      <c r="H830" s="117" t="n">
        <v>7</v>
      </c>
      <c r="I830" s="118" t="n">
        <v>43769</v>
      </c>
      <c r="J830" s="118" t="n">
        <v>43769</v>
      </c>
      <c r="K830" s="119" t="n">
        <v>3886678.1</v>
      </c>
      <c r="L830" s="128" t="n">
        <f aca="false">K830-Q830+T830</f>
        <v>3886678.1</v>
      </c>
      <c r="M830" s="117" t="s">
        <v>149</v>
      </c>
      <c r="N830" s="117" t="n">
        <v>3886678.1</v>
      </c>
      <c r="O830" s="117" t="s">
        <v>149</v>
      </c>
      <c r="P830" s="117" t="n">
        <v>0</v>
      </c>
      <c r="Q830" s="117" t="n">
        <v>0</v>
      </c>
      <c r="R830" s="117" t="n">
        <v>3886678.1</v>
      </c>
      <c r="S830" s="117" t="n">
        <v>0</v>
      </c>
      <c r="T830" s="117" t="n">
        <v>0</v>
      </c>
      <c r="U830" s="117" t="n">
        <v>311155</v>
      </c>
      <c r="V830" s="117" t="s">
        <v>2022</v>
      </c>
      <c r="Z830" s="117" t="n">
        <v>100143931</v>
      </c>
      <c r="AD830" s="117" t="n">
        <v>310300</v>
      </c>
      <c r="AE830" s="117" t="s">
        <v>1969</v>
      </c>
      <c r="AF830" s="117" t="n">
        <v>110000</v>
      </c>
      <c r="AG830" s="117" t="s">
        <v>1966</v>
      </c>
      <c r="AI830" s="117" t="n">
        <v>110000</v>
      </c>
      <c r="AJ830" s="117" t="s">
        <v>1966</v>
      </c>
      <c r="AK830" s="117" t="n">
        <v>0</v>
      </c>
      <c r="AL830" s="117" t="n">
        <v>9</v>
      </c>
      <c r="AM830" s="117" t="s">
        <v>161</v>
      </c>
      <c r="AN830" s="117" t="s">
        <v>1978</v>
      </c>
      <c r="AP830" s="117" t="n">
        <v>100143931</v>
      </c>
      <c r="AQ830" s="118" t="n">
        <v>43769</v>
      </c>
      <c r="AR830" s="118" t="n">
        <v>43770</v>
      </c>
      <c r="AS830" s="117" t="n">
        <v>0.207824074074074</v>
      </c>
      <c r="AT830" s="117" t="n">
        <v>0</v>
      </c>
      <c r="AU830" s="117" t="n">
        <v>0</v>
      </c>
      <c r="AX830" s="117" t="n">
        <v>6</v>
      </c>
    </row>
    <row r="831" customFormat="false" ht="13.8" hidden="true" customHeight="false" outlineLevel="0" collapsed="false">
      <c r="A831" s="117" t="n">
        <v>1000</v>
      </c>
      <c r="B831" s="117" t="s">
        <v>1962</v>
      </c>
      <c r="C831" s="117" t="n">
        <v>100199799</v>
      </c>
      <c r="E831" s="117" t="s">
        <v>1921</v>
      </c>
      <c r="F831" s="117" t="n">
        <v>1109</v>
      </c>
      <c r="G831" s="117" t="n">
        <v>2019</v>
      </c>
      <c r="H831" s="117" t="n">
        <v>9</v>
      </c>
      <c r="I831" s="118" t="n">
        <v>43830</v>
      </c>
      <c r="J831" s="118" t="n">
        <v>43830</v>
      </c>
      <c r="K831" s="119" t="n">
        <v>653406.83</v>
      </c>
      <c r="L831" s="128" t="n">
        <f aca="false">K831-Q831+T831</f>
        <v>653406.83</v>
      </c>
      <c r="M831" s="117" t="s">
        <v>149</v>
      </c>
      <c r="N831" s="117" t="n">
        <v>653406.83</v>
      </c>
      <c r="O831" s="117" t="s">
        <v>149</v>
      </c>
      <c r="P831" s="117" t="n">
        <v>0</v>
      </c>
      <c r="Q831" s="117" t="n">
        <v>0</v>
      </c>
      <c r="R831" s="117" t="n">
        <v>653406.83</v>
      </c>
      <c r="S831" s="117" t="n">
        <v>0</v>
      </c>
      <c r="T831" s="117" t="n">
        <v>0</v>
      </c>
      <c r="U831" s="117" t="n">
        <v>312193</v>
      </c>
      <c r="V831" s="117" t="s">
        <v>1963</v>
      </c>
      <c r="X831" s="117" t="s">
        <v>1566</v>
      </c>
      <c r="Z831" s="117" t="n">
        <v>2495</v>
      </c>
      <c r="AB831" s="117" t="s">
        <v>2451</v>
      </c>
      <c r="AD831" s="117" t="n">
        <v>110000</v>
      </c>
      <c r="AE831" s="117" t="s">
        <v>1966</v>
      </c>
      <c r="AF831" s="117" t="n">
        <v>110000</v>
      </c>
      <c r="AG831" s="117" t="s">
        <v>1966</v>
      </c>
      <c r="AI831" s="117" t="n">
        <v>110000</v>
      </c>
      <c r="AJ831" s="117" t="s">
        <v>1966</v>
      </c>
      <c r="AK831" s="117" t="n">
        <v>0</v>
      </c>
      <c r="AL831" s="117" t="n">
        <v>4</v>
      </c>
      <c r="AM831" s="117" t="s">
        <v>161</v>
      </c>
      <c r="AR831" s="118" t="n">
        <v>43830</v>
      </c>
      <c r="AS831" s="117" t="n">
        <v>0.279467592592593</v>
      </c>
      <c r="AT831" s="117" t="n">
        <v>0</v>
      </c>
      <c r="AU831" s="117" t="n">
        <v>0</v>
      </c>
      <c r="AX831" s="117" t="n">
        <v>2</v>
      </c>
    </row>
    <row r="832" s="106" customFormat="true" ht="13.8" hidden="true" customHeight="false" outlineLevel="0" collapsed="false">
      <c r="A832" s="106" t="n">
        <v>1000</v>
      </c>
      <c r="B832" s="106" t="s">
        <v>1962</v>
      </c>
      <c r="C832" s="106" t="n">
        <v>110877</v>
      </c>
      <c r="D832" s="106" t="s">
        <v>2452</v>
      </c>
      <c r="E832" s="106" t="s">
        <v>1970</v>
      </c>
      <c r="F832" s="106" t="n">
        <v>1112</v>
      </c>
      <c r="G832" s="106" t="n">
        <v>2019</v>
      </c>
      <c r="H832" s="106" t="n">
        <v>9</v>
      </c>
      <c r="I832" s="129" t="n">
        <v>43828</v>
      </c>
      <c r="J832" s="129" t="n">
        <v>43828</v>
      </c>
      <c r="K832" s="107" t="n">
        <v>62112.37</v>
      </c>
      <c r="L832" s="130" t="n">
        <f aca="false">K832-Q832+T832</f>
        <v>52637.6</v>
      </c>
      <c r="M832" s="106" t="s">
        <v>149</v>
      </c>
      <c r="N832" s="106" t="n">
        <v>62112.37</v>
      </c>
      <c r="O832" s="106" t="s">
        <v>149</v>
      </c>
      <c r="P832" s="106" t="n">
        <v>0</v>
      </c>
      <c r="Q832" s="107" t="n">
        <v>9474.77</v>
      </c>
      <c r="R832" s="106" t="n">
        <v>52637.6</v>
      </c>
      <c r="S832" s="106" t="n">
        <v>0</v>
      </c>
      <c r="T832" s="106" t="n">
        <v>0</v>
      </c>
      <c r="U832" s="106" t="n">
        <v>312193</v>
      </c>
      <c r="V832" s="106" t="s">
        <v>1963</v>
      </c>
      <c r="Z832" s="106" t="n">
        <v>62199</v>
      </c>
      <c r="AB832" s="106" t="s">
        <v>2350</v>
      </c>
      <c r="AD832" s="106" t="n">
        <v>110000</v>
      </c>
      <c r="AE832" s="106" t="s">
        <v>1966</v>
      </c>
      <c r="AF832" s="106" t="n">
        <v>501005</v>
      </c>
      <c r="AG832" s="106" t="s">
        <v>2033</v>
      </c>
      <c r="AI832" s="106" t="n">
        <v>501005</v>
      </c>
      <c r="AJ832" s="106" t="s">
        <v>2033</v>
      </c>
      <c r="AK832" s="106" t="n">
        <v>0</v>
      </c>
      <c r="AL832" s="106" t="n">
        <v>1</v>
      </c>
      <c r="AM832" s="106" t="s">
        <v>161</v>
      </c>
      <c r="AP832" s="106" t="n">
        <v>100199799</v>
      </c>
      <c r="AQ832" s="129" t="n">
        <v>43830</v>
      </c>
      <c r="AR832" s="129" t="n">
        <v>43828</v>
      </c>
      <c r="AS832" s="106" t="n">
        <v>0.736319444444445</v>
      </c>
      <c r="AT832" s="106" t="n">
        <v>0</v>
      </c>
      <c r="AU832" s="106" t="n">
        <v>0</v>
      </c>
      <c r="AX832" s="106" t="n">
        <v>1</v>
      </c>
      <c r="ALU832" s="0"/>
      <c r="ALV832" s="0"/>
      <c r="ALW832" s="0"/>
      <c r="ALX832" s="0"/>
      <c r="ALY832" s="0"/>
      <c r="ALZ832" s="0"/>
      <c r="AMA832" s="0"/>
      <c r="AMB832" s="0"/>
      <c r="AMC832" s="0"/>
      <c r="AMD832" s="0"/>
      <c r="AME832" s="0"/>
      <c r="AMF832" s="0"/>
      <c r="AMG832" s="0"/>
      <c r="AMH832" s="0"/>
      <c r="AMI832" s="0"/>
      <c r="AMJ832" s="0"/>
    </row>
    <row r="833" customFormat="false" ht="13.8" hidden="true" customHeight="false" outlineLevel="0" collapsed="false">
      <c r="A833" s="117" t="n">
        <v>1000</v>
      </c>
      <c r="B833" s="117" t="s">
        <v>1962</v>
      </c>
      <c r="C833" s="117" t="n">
        <v>1600000292</v>
      </c>
      <c r="D833" s="117" t="s">
        <v>2354</v>
      </c>
      <c r="E833" s="117" t="s">
        <v>1987</v>
      </c>
      <c r="F833" s="117" t="n">
        <v>1101</v>
      </c>
      <c r="G833" s="117" t="n">
        <v>2019</v>
      </c>
      <c r="H833" s="117" t="n">
        <v>8</v>
      </c>
      <c r="I833" s="118" t="n">
        <v>43796</v>
      </c>
      <c r="J833" s="118" t="n">
        <v>43796</v>
      </c>
      <c r="K833" s="119" t="n">
        <v>-130</v>
      </c>
      <c r="L833" s="128" t="n">
        <f aca="false">K833-Q833+T833</f>
        <v>-130</v>
      </c>
      <c r="M833" s="117" t="s">
        <v>149</v>
      </c>
      <c r="N833" s="117" t="n">
        <v>-130</v>
      </c>
      <c r="O833" s="117" t="s">
        <v>149</v>
      </c>
      <c r="P833" s="117" t="n">
        <v>-130</v>
      </c>
      <c r="Q833" s="117" t="n">
        <v>0</v>
      </c>
      <c r="R833" s="117" t="n">
        <v>-130</v>
      </c>
      <c r="S833" s="117" t="n">
        <v>0</v>
      </c>
      <c r="T833" s="117" t="n">
        <v>0</v>
      </c>
      <c r="U833" s="117" t="n">
        <v>312193</v>
      </c>
      <c r="V833" s="117" t="s">
        <v>1963</v>
      </c>
      <c r="X833" s="117" t="s">
        <v>2453</v>
      </c>
      <c r="Y833" s="117" t="s">
        <v>2388</v>
      </c>
      <c r="Z833" s="117" t="n">
        <v>1600000292</v>
      </c>
      <c r="AD833" s="117" t="n">
        <v>310300</v>
      </c>
      <c r="AE833" s="117" t="s">
        <v>1969</v>
      </c>
      <c r="AF833" s="117" t="n">
        <v>111201</v>
      </c>
      <c r="AG833" s="117" t="s">
        <v>2165</v>
      </c>
      <c r="AI833" s="117" t="n">
        <v>111201</v>
      </c>
      <c r="AJ833" s="117" t="s">
        <v>2165</v>
      </c>
      <c r="AK833" s="117" t="n">
        <v>0</v>
      </c>
      <c r="AL833" s="117" t="n">
        <v>19</v>
      </c>
      <c r="AM833" s="117" t="s">
        <v>225</v>
      </c>
      <c r="AN833" s="117" t="s">
        <v>1978</v>
      </c>
      <c r="AR833" s="118" t="n">
        <v>43796</v>
      </c>
      <c r="AS833" s="117" t="n">
        <v>0.267407407407407</v>
      </c>
      <c r="AT833" s="117" t="n">
        <v>0</v>
      </c>
      <c r="AU833" s="117" t="n">
        <v>0</v>
      </c>
      <c r="AX833" s="117" t="n">
        <v>12</v>
      </c>
    </row>
    <row r="834" customFormat="false" ht="13.8" hidden="true" customHeight="false" outlineLevel="0" collapsed="false">
      <c r="A834" s="117" t="n">
        <v>1000</v>
      </c>
      <c r="B834" s="117" t="s">
        <v>1962</v>
      </c>
      <c r="C834" s="117" t="n">
        <v>1600000288</v>
      </c>
      <c r="D834" s="117" t="s">
        <v>2356</v>
      </c>
      <c r="E834" s="117" t="s">
        <v>1987</v>
      </c>
      <c r="F834" s="117" t="n">
        <v>1101</v>
      </c>
      <c r="G834" s="117" t="n">
        <v>2019</v>
      </c>
      <c r="H834" s="117" t="n">
        <v>8</v>
      </c>
      <c r="I834" s="118" t="n">
        <v>43795</v>
      </c>
      <c r="J834" s="118" t="n">
        <v>43795</v>
      </c>
      <c r="K834" s="119" t="n">
        <v>-1145</v>
      </c>
      <c r="L834" s="128" t="n">
        <f aca="false">K834-Q834+T834</f>
        <v>-1145</v>
      </c>
      <c r="M834" s="117" t="s">
        <v>149</v>
      </c>
      <c r="N834" s="117" t="n">
        <v>-1145</v>
      </c>
      <c r="O834" s="117" t="s">
        <v>149</v>
      </c>
      <c r="P834" s="117" t="n">
        <v>-1145</v>
      </c>
      <c r="Q834" s="117" t="n">
        <v>0</v>
      </c>
      <c r="R834" s="117" t="n">
        <v>-1145</v>
      </c>
      <c r="S834" s="117" t="n">
        <v>0</v>
      </c>
      <c r="T834" s="117" t="n">
        <v>0</v>
      </c>
      <c r="U834" s="117" t="n">
        <v>312193</v>
      </c>
      <c r="V834" s="117" t="s">
        <v>1963</v>
      </c>
      <c r="X834" s="117" t="s">
        <v>2454</v>
      </c>
      <c r="Y834" s="117" t="s">
        <v>2358</v>
      </c>
      <c r="Z834" s="117" t="n">
        <v>1600000288</v>
      </c>
      <c r="AD834" s="117" t="n">
        <v>310300</v>
      </c>
      <c r="AE834" s="117" t="s">
        <v>1969</v>
      </c>
      <c r="AF834" s="117" t="n">
        <v>111201</v>
      </c>
      <c r="AG834" s="117" t="s">
        <v>2165</v>
      </c>
      <c r="AI834" s="117" t="n">
        <v>111201</v>
      </c>
      <c r="AJ834" s="117" t="s">
        <v>2165</v>
      </c>
      <c r="AK834" s="117" t="n">
        <v>0</v>
      </c>
      <c r="AL834" s="117" t="n">
        <v>19</v>
      </c>
      <c r="AM834" s="117" t="s">
        <v>225</v>
      </c>
      <c r="AN834" s="117" t="s">
        <v>1978</v>
      </c>
      <c r="AP834" s="117" t="n">
        <v>100173563</v>
      </c>
      <c r="AQ834" s="118" t="n">
        <v>43799</v>
      </c>
      <c r="AR834" s="118" t="n">
        <v>43795</v>
      </c>
      <c r="AS834" s="117" t="n">
        <v>0.285</v>
      </c>
      <c r="AT834" s="117" t="n">
        <v>0</v>
      </c>
      <c r="AU834" s="117" t="n">
        <v>0</v>
      </c>
      <c r="AX834" s="117" t="n">
        <v>27</v>
      </c>
    </row>
    <row r="835" s="106" customFormat="true" ht="13.8" hidden="true" customHeight="false" outlineLevel="0" collapsed="false">
      <c r="A835" s="106" t="n">
        <v>1000</v>
      </c>
      <c r="B835" s="106" t="s">
        <v>1962</v>
      </c>
      <c r="C835" s="106" t="n">
        <v>110874</v>
      </c>
      <c r="D835" s="106" t="s">
        <v>2408</v>
      </c>
      <c r="E835" s="106" t="s">
        <v>1970</v>
      </c>
      <c r="F835" s="106" t="n">
        <v>1112</v>
      </c>
      <c r="G835" s="106" t="n">
        <v>2019</v>
      </c>
      <c r="H835" s="106" t="n">
        <v>9</v>
      </c>
      <c r="I835" s="129" t="n">
        <v>43828</v>
      </c>
      <c r="J835" s="129" t="n">
        <v>43828</v>
      </c>
      <c r="K835" s="107" t="n">
        <v>39994.92</v>
      </c>
      <c r="L835" s="130" t="n">
        <f aca="false">K835-Q835+T835</f>
        <v>33894</v>
      </c>
      <c r="M835" s="106" t="s">
        <v>149</v>
      </c>
      <c r="N835" s="106" t="n">
        <v>39994.92</v>
      </c>
      <c r="O835" s="106" t="s">
        <v>149</v>
      </c>
      <c r="P835" s="106" t="n">
        <v>0</v>
      </c>
      <c r="Q835" s="107" t="n">
        <v>6100.92</v>
      </c>
      <c r="R835" s="106" t="n">
        <v>33894</v>
      </c>
      <c r="S835" s="106" t="n">
        <v>0</v>
      </c>
      <c r="T835" s="106" t="n">
        <v>0</v>
      </c>
      <c r="U835" s="106" t="n">
        <v>312193</v>
      </c>
      <c r="V835" s="106" t="s">
        <v>1963</v>
      </c>
      <c r="Z835" s="106" t="n">
        <v>62197</v>
      </c>
      <c r="AB835" s="106" t="s">
        <v>2350</v>
      </c>
      <c r="AD835" s="106" t="n">
        <v>110000</v>
      </c>
      <c r="AE835" s="106" t="s">
        <v>1966</v>
      </c>
      <c r="AF835" s="106" t="n">
        <v>501000</v>
      </c>
      <c r="AG835" s="106" t="s">
        <v>2170</v>
      </c>
      <c r="AI835" s="106" t="n">
        <v>501000</v>
      </c>
      <c r="AJ835" s="106" t="s">
        <v>2170</v>
      </c>
      <c r="AK835" s="106" t="n">
        <v>0</v>
      </c>
      <c r="AL835" s="106" t="n">
        <v>1</v>
      </c>
      <c r="AM835" s="106" t="s">
        <v>161</v>
      </c>
      <c r="AP835" s="106" t="n">
        <v>100199799</v>
      </c>
      <c r="AQ835" s="129" t="n">
        <v>43830</v>
      </c>
      <c r="AR835" s="129" t="n">
        <v>43828</v>
      </c>
      <c r="AS835" s="106" t="n">
        <v>0.728622685185185</v>
      </c>
      <c r="AT835" s="106" t="n">
        <v>0</v>
      </c>
      <c r="AU835" s="106" t="n">
        <v>0</v>
      </c>
      <c r="AX835" s="106" t="n">
        <v>1</v>
      </c>
      <c r="ALU835" s="0"/>
      <c r="ALV835" s="0"/>
      <c r="ALW835" s="0"/>
      <c r="ALX835" s="0"/>
      <c r="ALY835" s="0"/>
      <c r="ALZ835" s="0"/>
      <c r="AMA835" s="0"/>
      <c r="AMB835" s="0"/>
      <c r="AMC835" s="0"/>
      <c r="AMD835" s="0"/>
      <c r="AME835" s="0"/>
      <c r="AMF835" s="0"/>
      <c r="AMG835" s="0"/>
      <c r="AMH835" s="0"/>
      <c r="AMI835" s="0"/>
      <c r="AMJ835" s="0"/>
    </row>
    <row r="836" s="106" customFormat="true" ht="13.8" hidden="true" customHeight="false" outlineLevel="0" collapsed="false">
      <c r="A836" s="106" t="n">
        <v>1000</v>
      </c>
      <c r="B836" s="106" t="s">
        <v>1962</v>
      </c>
      <c r="C836" s="106" t="n">
        <v>110884</v>
      </c>
      <c r="D836" s="106" t="s">
        <v>2455</v>
      </c>
      <c r="E836" s="106" t="s">
        <v>1970</v>
      </c>
      <c r="F836" s="106" t="n">
        <v>1112</v>
      </c>
      <c r="G836" s="106" t="n">
        <v>2019</v>
      </c>
      <c r="H836" s="106" t="n">
        <v>9</v>
      </c>
      <c r="I836" s="129" t="n">
        <v>43828</v>
      </c>
      <c r="J836" s="129" t="n">
        <v>43828</v>
      </c>
      <c r="K836" s="107" t="n">
        <v>9706.21</v>
      </c>
      <c r="L836" s="130" t="n">
        <f aca="false">K836-Q836+T836</f>
        <v>8225.6</v>
      </c>
      <c r="M836" s="106" t="s">
        <v>149</v>
      </c>
      <c r="N836" s="106" t="n">
        <v>9706.21</v>
      </c>
      <c r="O836" s="106" t="s">
        <v>149</v>
      </c>
      <c r="P836" s="106" t="n">
        <v>0</v>
      </c>
      <c r="Q836" s="107" t="n">
        <v>1480.61</v>
      </c>
      <c r="R836" s="106" t="n">
        <v>8225.6</v>
      </c>
      <c r="S836" s="106" t="n">
        <v>0</v>
      </c>
      <c r="T836" s="106" t="n">
        <v>0</v>
      </c>
      <c r="U836" s="106" t="n">
        <v>312193</v>
      </c>
      <c r="V836" s="106" t="s">
        <v>1963</v>
      </c>
      <c r="Z836" s="106" t="n">
        <v>62201</v>
      </c>
      <c r="AB836" s="106" t="s">
        <v>2350</v>
      </c>
      <c r="AD836" s="106" t="n">
        <v>110000</v>
      </c>
      <c r="AE836" s="106" t="s">
        <v>1966</v>
      </c>
      <c r="AF836" s="106" t="n">
        <v>501005</v>
      </c>
      <c r="AG836" s="106" t="s">
        <v>2033</v>
      </c>
      <c r="AI836" s="106" t="n">
        <v>501005</v>
      </c>
      <c r="AJ836" s="106" t="s">
        <v>2033</v>
      </c>
      <c r="AK836" s="106" t="n">
        <v>0</v>
      </c>
      <c r="AL836" s="106" t="n">
        <v>1</v>
      </c>
      <c r="AM836" s="106" t="s">
        <v>161</v>
      </c>
      <c r="AP836" s="106" t="n">
        <v>100199799</v>
      </c>
      <c r="AQ836" s="129" t="n">
        <v>43830</v>
      </c>
      <c r="AR836" s="129" t="n">
        <v>43828</v>
      </c>
      <c r="AS836" s="106" t="n">
        <v>0.756215277777778</v>
      </c>
      <c r="AT836" s="106" t="n">
        <v>0</v>
      </c>
      <c r="AU836" s="106" t="n">
        <v>0</v>
      </c>
      <c r="AX836" s="106" t="n">
        <v>1</v>
      </c>
      <c r="ALU836" s="0"/>
      <c r="ALV836" s="0"/>
      <c r="ALW836" s="0"/>
      <c r="ALX836" s="0"/>
      <c r="ALY836" s="0"/>
      <c r="ALZ836" s="0"/>
      <c r="AMA836" s="0"/>
      <c r="AMB836" s="0"/>
      <c r="AMC836" s="0"/>
      <c r="AMD836" s="0"/>
      <c r="AME836" s="0"/>
      <c r="AMF836" s="0"/>
      <c r="AMG836" s="0"/>
      <c r="AMH836" s="0"/>
      <c r="AMI836" s="0"/>
      <c r="AMJ836" s="0"/>
    </row>
    <row r="837" s="106" customFormat="true" ht="13.8" hidden="true" customHeight="false" outlineLevel="0" collapsed="false">
      <c r="A837" s="106" t="n">
        <v>1000</v>
      </c>
      <c r="B837" s="106" t="s">
        <v>1962</v>
      </c>
      <c r="C837" s="106" t="n">
        <v>110422</v>
      </c>
      <c r="D837" s="106" t="s">
        <v>1726</v>
      </c>
      <c r="E837" s="106" t="s">
        <v>1970</v>
      </c>
      <c r="F837" s="106" t="n">
        <v>1112</v>
      </c>
      <c r="G837" s="106" t="n">
        <v>2019</v>
      </c>
      <c r="H837" s="106" t="n">
        <v>9</v>
      </c>
      <c r="I837" s="129" t="n">
        <v>43820</v>
      </c>
      <c r="J837" s="129" t="n">
        <v>43820</v>
      </c>
      <c r="K837" s="107" t="n">
        <v>240403.76</v>
      </c>
      <c r="L837" s="130" t="n">
        <f aca="false">K837-Q837+T837</f>
        <v>203732</v>
      </c>
      <c r="M837" s="106" t="s">
        <v>149</v>
      </c>
      <c r="N837" s="106" t="n">
        <v>240403.76</v>
      </c>
      <c r="O837" s="106" t="s">
        <v>149</v>
      </c>
      <c r="P837" s="106" t="n">
        <v>0</v>
      </c>
      <c r="Q837" s="107" t="n">
        <v>36671.76</v>
      </c>
      <c r="R837" s="106" t="n">
        <v>203732</v>
      </c>
      <c r="S837" s="106" t="n">
        <v>0</v>
      </c>
      <c r="T837" s="106" t="n">
        <v>0</v>
      </c>
      <c r="U837" s="106" t="n">
        <v>312193</v>
      </c>
      <c r="V837" s="106" t="s">
        <v>1963</v>
      </c>
      <c r="Z837" s="106" t="n">
        <v>62196</v>
      </c>
      <c r="AB837" s="106" t="s">
        <v>2362</v>
      </c>
      <c r="AD837" s="106" t="n">
        <v>110000</v>
      </c>
      <c r="AE837" s="106" t="s">
        <v>1966</v>
      </c>
      <c r="AF837" s="106" t="n">
        <v>501005</v>
      </c>
      <c r="AG837" s="106" t="s">
        <v>2033</v>
      </c>
      <c r="AI837" s="106" t="n">
        <v>501005</v>
      </c>
      <c r="AJ837" s="106" t="s">
        <v>2033</v>
      </c>
      <c r="AK837" s="106" t="n">
        <v>0</v>
      </c>
      <c r="AL837" s="106" t="n">
        <v>1</v>
      </c>
      <c r="AM837" s="106" t="s">
        <v>161</v>
      </c>
      <c r="AP837" s="106" t="n">
        <v>100194025</v>
      </c>
      <c r="AQ837" s="129" t="n">
        <v>43824</v>
      </c>
      <c r="AR837" s="129" t="n">
        <v>43820</v>
      </c>
      <c r="AS837" s="106" t="n">
        <v>0.623148148148148</v>
      </c>
      <c r="AT837" s="106" t="n">
        <v>0</v>
      </c>
      <c r="AU837" s="106" t="n">
        <v>0</v>
      </c>
      <c r="AX837" s="106" t="n">
        <v>1</v>
      </c>
      <c r="ALU837" s="0"/>
      <c r="ALV837" s="0"/>
      <c r="ALW837" s="0"/>
      <c r="ALX837" s="0"/>
      <c r="ALY837" s="0"/>
      <c r="ALZ837" s="0"/>
      <c r="AMA837" s="0"/>
      <c r="AMB837" s="0"/>
      <c r="AMC837" s="0"/>
      <c r="AMD837" s="0"/>
      <c r="AME837" s="0"/>
      <c r="AMF837" s="0"/>
      <c r="AMG837" s="0"/>
      <c r="AMH837" s="0"/>
      <c r="AMI837" s="0"/>
      <c r="AMJ837" s="0"/>
    </row>
    <row r="838" s="106" customFormat="true" ht="13.8" hidden="true" customHeight="false" outlineLevel="0" collapsed="false">
      <c r="A838" s="106" t="n">
        <v>1000</v>
      </c>
      <c r="B838" s="106" t="s">
        <v>1962</v>
      </c>
      <c r="C838" s="106" t="n">
        <v>112485</v>
      </c>
      <c r="D838" s="106" t="s">
        <v>1204</v>
      </c>
      <c r="E838" s="106" t="s">
        <v>1970</v>
      </c>
      <c r="F838" s="106" t="n">
        <v>1109</v>
      </c>
      <c r="G838" s="106" t="n">
        <v>2019</v>
      </c>
      <c r="H838" s="106" t="n">
        <v>11</v>
      </c>
      <c r="I838" s="129" t="n">
        <v>43872</v>
      </c>
      <c r="J838" s="129" t="n">
        <v>43872</v>
      </c>
      <c r="K838" s="107" t="n">
        <v>981760</v>
      </c>
      <c r="L838" s="130" t="n">
        <f aca="false">K838-Q838+T838</f>
        <v>832000</v>
      </c>
      <c r="M838" s="106" t="s">
        <v>149</v>
      </c>
      <c r="N838" s="106" t="n">
        <v>981760</v>
      </c>
      <c r="O838" s="106" t="s">
        <v>149</v>
      </c>
      <c r="P838" s="106" t="n">
        <v>0</v>
      </c>
      <c r="Q838" s="107" t="n">
        <v>149760</v>
      </c>
      <c r="R838" s="106" t="n">
        <v>832000</v>
      </c>
      <c r="S838" s="106" t="n">
        <v>0</v>
      </c>
      <c r="T838" s="106" t="n">
        <v>0</v>
      </c>
      <c r="U838" s="106" t="n">
        <v>309990</v>
      </c>
      <c r="V838" s="106" t="s">
        <v>2456</v>
      </c>
      <c r="Z838" s="106" t="n">
        <v>63580</v>
      </c>
      <c r="AB838" s="106" t="s">
        <v>2457</v>
      </c>
      <c r="AD838" s="106" t="n">
        <v>110000</v>
      </c>
      <c r="AE838" s="106" t="s">
        <v>1966</v>
      </c>
      <c r="AF838" s="106" t="n">
        <v>501005</v>
      </c>
      <c r="AG838" s="106" t="s">
        <v>2033</v>
      </c>
      <c r="AI838" s="106" t="n">
        <v>501005</v>
      </c>
      <c r="AJ838" s="106" t="s">
        <v>2033</v>
      </c>
      <c r="AK838" s="106" t="n">
        <v>0</v>
      </c>
      <c r="AL838" s="106" t="n">
        <v>1</v>
      </c>
      <c r="AM838" s="106" t="s">
        <v>161</v>
      </c>
      <c r="AP838" s="106" t="n">
        <v>100260180</v>
      </c>
      <c r="AQ838" s="129" t="n">
        <v>43883</v>
      </c>
      <c r="AR838" s="129" t="n">
        <v>43872</v>
      </c>
      <c r="AS838" s="106" t="n">
        <v>0.549085648148148</v>
      </c>
      <c r="AT838" s="106" t="n">
        <v>0</v>
      </c>
      <c r="AU838" s="106" t="n">
        <v>0</v>
      </c>
      <c r="AX838" s="106" t="n">
        <v>1</v>
      </c>
      <c r="ALU838" s="0"/>
      <c r="ALV838" s="0"/>
      <c r="ALW838" s="0"/>
      <c r="ALX838" s="0"/>
      <c r="ALY838" s="0"/>
      <c r="ALZ838" s="0"/>
      <c r="AMA838" s="0"/>
      <c r="AMB838" s="0"/>
      <c r="AMC838" s="0"/>
      <c r="AMD838" s="0"/>
      <c r="AME838" s="0"/>
      <c r="AMF838" s="0"/>
      <c r="AMG838" s="0"/>
      <c r="AMH838" s="0"/>
      <c r="AMI838" s="0"/>
      <c r="AMJ838" s="0"/>
    </row>
    <row r="839" customFormat="false" ht="13.8" hidden="true" customHeight="false" outlineLevel="0" collapsed="false">
      <c r="A839" s="117" t="n">
        <v>1000</v>
      </c>
      <c r="B839" s="117" t="s">
        <v>1962</v>
      </c>
      <c r="C839" s="117" t="n">
        <v>1600000352</v>
      </c>
      <c r="D839" s="117" t="s">
        <v>2458</v>
      </c>
      <c r="E839" s="117" t="s">
        <v>1987</v>
      </c>
      <c r="F839" s="117" t="n">
        <v>1106</v>
      </c>
      <c r="G839" s="117" t="n">
        <v>2019</v>
      </c>
      <c r="H839" s="117" t="n">
        <v>8</v>
      </c>
      <c r="I839" s="118" t="n">
        <v>43799</v>
      </c>
      <c r="J839" s="118" t="n">
        <v>43799</v>
      </c>
      <c r="K839" s="119" t="n">
        <v>7774.53</v>
      </c>
      <c r="L839" s="128" t="n">
        <f aca="false">K839-Q839+T839</f>
        <v>7774.53</v>
      </c>
      <c r="M839" s="117" t="s">
        <v>149</v>
      </c>
      <c r="N839" s="117" t="n">
        <v>7774.53</v>
      </c>
      <c r="O839" s="117" t="s">
        <v>149</v>
      </c>
      <c r="P839" s="117" t="n">
        <v>7774.53</v>
      </c>
      <c r="Q839" s="117" t="n">
        <v>0</v>
      </c>
      <c r="R839" s="117" t="n">
        <v>7774.53</v>
      </c>
      <c r="S839" s="117" t="n">
        <v>0</v>
      </c>
      <c r="T839" s="117" t="n">
        <v>0</v>
      </c>
      <c r="U839" s="117" t="n">
        <v>315113</v>
      </c>
      <c r="V839" s="117" t="s">
        <v>143</v>
      </c>
      <c r="X839" s="117" t="s">
        <v>2458</v>
      </c>
      <c r="Y839" s="117" t="s">
        <v>2458</v>
      </c>
      <c r="Z839" s="117" t="n">
        <v>1600000352</v>
      </c>
      <c r="AD839" s="117" t="n">
        <v>110000</v>
      </c>
      <c r="AE839" s="117" t="s">
        <v>1966</v>
      </c>
      <c r="AF839" s="117" t="n">
        <v>315113</v>
      </c>
      <c r="AG839" s="117" t="s">
        <v>143</v>
      </c>
      <c r="AI839" s="117" t="n">
        <v>315113</v>
      </c>
      <c r="AJ839" s="131" t="s">
        <v>143</v>
      </c>
      <c r="AK839" s="117" t="n">
        <v>0</v>
      </c>
      <c r="AL839" s="117" t="n">
        <v>4</v>
      </c>
      <c r="AM839" s="117" t="s">
        <v>161</v>
      </c>
      <c r="AR839" s="118" t="n">
        <v>43800</v>
      </c>
      <c r="AS839" s="117" t="n">
        <v>0.660023148148148</v>
      </c>
      <c r="AT839" s="117" t="n">
        <v>0</v>
      </c>
      <c r="AU839" s="117" t="n">
        <v>0</v>
      </c>
      <c r="AX839" s="117" t="n">
        <v>1</v>
      </c>
    </row>
    <row r="840" customFormat="false" ht="13.8" hidden="true" customHeight="false" outlineLevel="0" collapsed="false">
      <c r="A840" s="117" t="n">
        <v>1000</v>
      </c>
      <c r="B840" s="117" t="s">
        <v>1962</v>
      </c>
      <c r="C840" s="117" t="n">
        <v>1600000292</v>
      </c>
      <c r="D840" s="117" t="s">
        <v>2354</v>
      </c>
      <c r="E840" s="117" t="s">
        <v>1987</v>
      </c>
      <c r="F840" s="117" t="n">
        <v>1101</v>
      </c>
      <c r="G840" s="117" t="n">
        <v>2019</v>
      </c>
      <c r="H840" s="117" t="n">
        <v>8</v>
      </c>
      <c r="I840" s="118" t="n">
        <v>43796</v>
      </c>
      <c r="J840" s="118" t="n">
        <v>43796</v>
      </c>
      <c r="K840" s="119" t="n">
        <v>-2323</v>
      </c>
      <c r="L840" s="128" t="n">
        <f aca="false">K840-Q840+T840</f>
        <v>-2323</v>
      </c>
      <c r="M840" s="117" t="s">
        <v>149</v>
      </c>
      <c r="N840" s="117" t="n">
        <v>-2323</v>
      </c>
      <c r="O840" s="117" t="s">
        <v>149</v>
      </c>
      <c r="P840" s="117" t="n">
        <v>-2323</v>
      </c>
      <c r="Q840" s="117" t="n">
        <v>0</v>
      </c>
      <c r="R840" s="117" t="n">
        <v>-2323</v>
      </c>
      <c r="S840" s="117" t="n">
        <v>0</v>
      </c>
      <c r="T840" s="117" t="n">
        <v>0</v>
      </c>
      <c r="U840" s="117" t="n">
        <v>312193</v>
      </c>
      <c r="V840" s="117" t="s">
        <v>1963</v>
      </c>
      <c r="X840" s="117" t="s">
        <v>2459</v>
      </c>
      <c r="Y840" s="117" t="s">
        <v>2388</v>
      </c>
      <c r="Z840" s="117" t="n">
        <v>1600000292</v>
      </c>
      <c r="AD840" s="117" t="n">
        <v>310300</v>
      </c>
      <c r="AE840" s="117" t="s">
        <v>1969</v>
      </c>
      <c r="AF840" s="117" t="n">
        <v>111201</v>
      </c>
      <c r="AG840" s="117" t="s">
        <v>2165</v>
      </c>
      <c r="AI840" s="117" t="n">
        <v>111201</v>
      </c>
      <c r="AJ840" s="117" t="s">
        <v>2165</v>
      </c>
      <c r="AK840" s="117" t="n">
        <v>0</v>
      </c>
      <c r="AL840" s="117" t="n">
        <v>19</v>
      </c>
      <c r="AM840" s="117" t="s">
        <v>225</v>
      </c>
      <c r="AN840" s="117" t="s">
        <v>1978</v>
      </c>
      <c r="AR840" s="118" t="n">
        <v>43796</v>
      </c>
      <c r="AS840" s="117" t="n">
        <v>0.267407407407407</v>
      </c>
      <c r="AT840" s="117" t="n">
        <v>0</v>
      </c>
      <c r="AU840" s="117" t="n">
        <v>0</v>
      </c>
      <c r="AX840" s="117" t="n">
        <v>8</v>
      </c>
    </row>
    <row r="841" s="106" customFormat="true" ht="13.8" hidden="true" customHeight="false" outlineLevel="0" collapsed="false">
      <c r="A841" s="106" t="n">
        <v>1000</v>
      </c>
      <c r="B841" s="106" t="s">
        <v>1962</v>
      </c>
      <c r="C841" s="106" t="n">
        <v>112566</v>
      </c>
      <c r="D841" s="106" t="s">
        <v>2460</v>
      </c>
      <c r="E841" s="106" t="s">
        <v>1970</v>
      </c>
      <c r="F841" s="106" t="n">
        <v>1109</v>
      </c>
      <c r="G841" s="106" t="n">
        <v>2019</v>
      </c>
      <c r="H841" s="106" t="n">
        <v>11</v>
      </c>
      <c r="I841" s="129" t="n">
        <v>43873</v>
      </c>
      <c r="J841" s="129" t="n">
        <v>43873</v>
      </c>
      <c r="K841" s="107" t="n">
        <v>1320466.02</v>
      </c>
      <c r="L841" s="130" t="n">
        <f aca="false">K841-Q841+T841</f>
        <v>1119039</v>
      </c>
      <c r="M841" s="106" t="s">
        <v>149</v>
      </c>
      <c r="N841" s="106" t="n">
        <v>1320466.02</v>
      </c>
      <c r="O841" s="106" t="s">
        <v>149</v>
      </c>
      <c r="P841" s="106" t="n">
        <v>0</v>
      </c>
      <c r="Q841" s="107" t="n">
        <v>201427.02</v>
      </c>
      <c r="R841" s="106" t="n">
        <v>1119039</v>
      </c>
      <c r="S841" s="106" t="n">
        <v>0</v>
      </c>
      <c r="T841" s="106" t="n">
        <v>0</v>
      </c>
      <c r="U841" s="106" t="n">
        <v>305576</v>
      </c>
      <c r="V841" s="106" t="s">
        <v>1973</v>
      </c>
      <c r="Z841" s="106" t="n">
        <v>63628</v>
      </c>
      <c r="AB841" s="106" t="s">
        <v>2461</v>
      </c>
      <c r="AD841" s="106" t="n">
        <v>110000</v>
      </c>
      <c r="AE841" s="106" t="s">
        <v>1966</v>
      </c>
      <c r="AF841" s="106" t="n">
        <v>501000</v>
      </c>
      <c r="AG841" s="106" t="s">
        <v>2170</v>
      </c>
      <c r="AI841" s="106" t="n">
        <v>501000</v>
      </c>
      <c r="AJ841" s="106" t="s">
        <v>2170</v>
      </c>
      <c r="AK841" s="106" t="n">
        <v>0</v>
      </c>
      <c r="AL841" s="106" t="n">
        <v>1</v>
      </c>
      <c r="AM841" s="106" t="s">
        <v>161</v>
      </c>
      <c r="AP841" s="106" t="n">
        <v>100260160</v>
      </c>
      <c r="AQ841" s="129" t="n">
        <v>43883</v>
      </c>
      <c r="AR841" s="129" t="n">
        <v>43873</v>
      </c>
      <c r="AS841" s="106" t="n">
        <v>0.745428240740741</v>
      </c>
      <c r="AT841" s="106" t="n">
        <v>0</v>
      </c>
      <c r="AU841" s="106" t="n">
        <v>0</v>
      </c>
      <c r="AX841" s="106" t="n">
        <v>1</v>
      </c>
      <c r="ALU841" s="0"/>
      <c r="ALV841" s="0"/>
      <c r="ALW841" s="0"/>
      <c r="ALX841" s="0"/>
      <c r="ALY841" s="0"/>
      <c r="ALZ841" s="0"/>
      <c r="AMA841" s="0"/>
      <c r="AMB841" s="0"/>
      <c r="AMC841" s="0"/>
      <c r="AMD841" s="0"/>
      <c r="AME841" s="0"/>
      <c r="AMF841" s="0"/>
      <c r="AMG841" s="0"/>
      <c r="AMH841" s="0"/>
      <c r="AMI841" s="0"/>
      <c r="AMJ841" s="0"/>
    </row>
    <row r="842" customFormat="false" ht="13.8" hidden="true" customHeight="false" outlineLevel="0" collapsed="false">
      <c r="A842" s="117" t="n">
        <v>1000</v>
      </c>
      <c r="B842" s="117" t="s">
        <v>1962</v>
      </c>
      <c r="C842" s="117" t="n">
        <v>1600000304</v>
      </c>
      <c r="D842" s="117" t="s">
        <v>2354</v>
      </c>
      <c r="E842" s="117" t="s">
        <v>1987</v>
      </c>
      <c r="F842" s="117" t="n">
        <v>1101</v>
      </c>
      <c r="G842" s="117" t="n">
        <v>2019</v>
      </c>
      <c r="H842" s="117" t="n">
        <v>8</v>
      </c>
      <c r="I842" s="118" t="n">
        <v>43797</v>
      </c>
      <c r="J842" s="118" t="n">
        <v>43797</v>
      </c>
      <c r="K842" s="119" t="n">
        <v>-2043</v>
      </c>
      <c r="L842" s="128" t="n">
        <f aca="false">K842-Q842+T842</f>
        <v>-2043</v>
      </c>
      <c r="M842" s="117" t="s">
        <v>149</v>
      </c>
      <c r="N842" s="117" t="n">
        <v>-2043</v>
      </c>
      <c r="O842" s="117" t="s">
        <v>149</v>
      </c>
      <c r="P842" s="117" t="n">
        <v>-2043</v>
      </c>
      <c r="Q842" s="117" t="n">
        <v>0</v>
      </c>
      <c r="R842" s="117" t="n">
        <v>-2043</v>
      </c>
      <c r="S842" s="117" t="n">
        <v>0</v>
      </c>
      <c r="T842" s="117" t="n">
        <v>0</v>
      </c>
      <c r="U842" s="117" t="n">
        <v>304431</v>
      </c>
      <c r="V842" s="117" t="s">
        <v>2016</v>
      </c>
      <c r="X842" s="117" t="s">
        <v>2462</v>
      </c>
      <c r="Y842" s="117" t="s">
        <v>2388</v>
      </c>
      <c r="Z842" s="117" t="n">
        <v>1600000304</v>
      </c>
      <c r="AD842" s="117" t="n">
        <v>310300</v>
      </c>
      <c r="AE842" s="117" t="s">
        <v>1969</v>
      </c>
      <c r="AF842" s="117" t="n">
        <v>111201</v>
      </c>
      <c r="AG842" s="117" t="s">
        <v>2165</v>
      </c>
      <c r="AI842" s="117" t="n">
        <v>111201</v>
      </c>
      <c r="AJ842" s="117" t="s">
        <v>2165</v>
      </c>
      <c r="AK842" s="117" t="n">
        <v>0</v>
      </c>
      <c r="AL842" s="117" t="n">
        <v>19</v>
      </c>
      <c r="AM842" s="117" t="s">
        <v>225</v>
      </c>
      <c r="AN842" s="117" t="s">
        <v>1978</v>
      </c>
      <c r="AP842" s="117" t="n">
        <v>100172891</v>
      </c>
      <c r="AQ842" s="118" t="n">
        <v>43799</v>
      </c>
      <c r="AR842" s="118" t="n">
        <v>43797</v>
      </c>
      <c r="AS842" s="117" t="n">
        <v>0.241840277777778</v>
      </c>
      <c r="AT842" s="117" t="n">
        <v>0</v>
      </c>
      <c r="AU842" s="117" t="n">
        <v>0</v>
      </c>
      <c r="AX842" s="117" t="n">
        <v>9</v>
      </c>
    </row>
    <row r="843" customFormat="false" ht="13.8" hidden="true" customHeight="false" outlineLevel="0" collapsed="false">
      <c r="A843" s="117" t="n">
        <v>1000</v>
      </c>
      <c r="B843" s="117" t="s">
        <v>1962</v>
      </c>
      <c r="C843" s="117" t="n">
        <v>100141419</v>
      </c>
      <c r="E843" s="117" t="s">
        <v>1921</v>
      </c>
      <c r="F843" s="117" t="n">
        <v>1109</v>
      </c>
      <c r="G843" s="117" t="n">
        <v>2019</v>
      </c>
      <c r="H843" s="117" t="n">
        <v>7</v>
      </c>
      <c r="I843" s="118" t="n">
        <v>43766</v>
      </c>
      <c r="J843" s="118" t="n">
        <v>43766</v>
      </c>
      <c r="K843" s="119" t="n">
        <v>437548.72</v>
      </c>
      <c r="L843" s="128" t="n">
        <f aca="false">K843-Q843+T843</f>
        <v>437548.72</v>
      </c>
      <c r="M843" s="117" t="s">
        <v>149</v>
      </c>
      <c r="N843" s="117" t="n">
        <v>437548.72</v>
      </c>
      <c r="O843" s="117" t="s">
        <v>149</v>
      </c>
      <c r="P843" s="117" t="n">
        <v>0</v>
      </c>
      <c r="Q843" s="117" t="n">
        <v>0</v>
      </c>
      <c r="R843" s="117" t="n">
        <v>437548.72</v>
      </c>
      <c r="S843" s="117" t="n">
        <v>0</v>
      </c>
      <c r="T843" s="117" t="n">
        <v>0</v>
      </c>
      <c r="U843" s="117" t="n">
        <v>305576</v>
      </c>
      <c r="V843" s="117" t="s">
        <v>1973</v>
      </c>
      <c r="X843" s="117" t="s">
        <v>1693</v>
      </c>
      <c r="Z843" s="117" t="n">
        <v>61356</v>
      </c>
      <c r="AB843" s="117" t="s">
        <v>2260</v>
      </c>
      <c r="AD843" s="117" t="n">
        <v>110000</v>
      </c>
      <c r="AE843" s="117" t="s">
        <v>1966</v>
      </c>
      <c r="AF843" s="117" t="n">
        <v>110000</v>
      </c>
      <c r="AG843" s="117" t="s">
        <v>1966</v>
      </c>
      <c r="AI843" s="117" t="n">
        <v>110000</v>
      </c>
      <c r="AJ843" s="117" t="s">
        <v>1966</v>
      </c>
      <c r="AK843" s="117" t="n">
        <v>0</v>
      </c>
      <c r="AL843" s="117" t="n">
        <v>4</v>
      </c>
      <c r="AM843" s="117" t="s">
        <v>161</v>
      </c>
      <c r="AP843" s="117" t="n">
        <v>100229115</v>
      </c>
      <c r="AQ843" s="118" t="n">
        <v>43856</v>
      </c>
      <c r="AR843" s="118" t="n">
        <v>43766</v>
      </c>
      <c r="AS843" s="117" t="n">
        <v>0.340451388888889</v>
      </c>
      <c r="AT843" s="117" t="n">
        <v>0</v>
      </c>
      <c r="AU843" s="117" t="n">
        <v>0</v>
      </c>
      <c r="AX843" s="117" t="n">
        <v>2</v>
      </c>
    </row>
    <row r="844" customFormat="false" ht="13.8" hidden="true" customHeight="false" outlineLevel="0" collapsed="false">
      <c r="A844" s="117" t="n">
        <v>1000</v>
      </c>
      <c r="B844" s="117" t="s">
        <v>1962</v>
      </c>
      <c r="C844" s="117" t="n">
        <v>1600000316</v>
      </c>
      <c r="D844" s="117" t="s">
        <v>2354</v>
      </c>
      <c r="E844" s="117" t="s">
        <v>1987</v>
      </c>
      <c r="F844" s="117" t="n">
        <v>1101</v>
      </c>
      <c r="G844" s="117" t="n">
        <v>2019</v>
      </c>
      <c r="H844" s="117" t="n">
        <v>8</v>
      </c>
      <c r="I844" s="118" t="n">
        <v>43798</v>
      </c>
      <c r="J844" s="118" t="n">
        <v>43798</v>
      </c>
      <c r="K844" s="119" t="n">
        <v>-3013</v>
      </c>
      <c r="L844" s="128" t="n">
        <f aca="false">K844-Q844+T844</f>
        <v>-3013</v>
      </c>
      <c r="M844" s="117" t="s">
        <v>149</v>
      </c>
      <c r="N844" s="117" t="n">
        <v>-3013</v>
      </c>
      <c r="O844" s="117" t="s">
        <v>149</v>
      </c>
      <c r="P844" s="117" t="n">
        <v>-3013</v>
      </c>
      <c r="Q844" s="117" t="n">
        <v>0</v>
      </c>
      <c r="R844" s="117" t="n">
        <v>-3013</v>
      </c>
      <c r="S844" s="117" t="n">
        <v>0</v>
      </c>
      <c r="T844" s="117" t="n">
        <v>0</v>
      </c>
      <c r="U844" s="117" t="n">
        <v>318420</v>
      </c>
      <c r="V844" s="117" t="s">
        <v>2153</v>
      </c>
      <c r="X844" s="117" t="s">
        <v>2463</v>
      </c>
      <c r="Y844" s="117" t="s">
        <v>2354</v>
      </c>
      <c r="Z844" s="117" t="n">
        <v>1600000316</v>
      </c>
      <c r="AD844" s="117" t="n">
        <v>310300</v>
      </c>
      <c r="AE844" s="117" t="s">
        <v>1969</v>
      </c>
      <c r="AF844" s="117" t="n">
        <v>111201</v>
      </c>
      <c r="AG844" s="117" t="s">
        <v>2165</v>
      </c>
      <c r="AI844" s="117" t="n">
        <v>111201</v>
      </c>
      <c r="AJ844" s="117" t="s">
        <v>2165</v>
      </c>
      <c r="AK844" s="117" t="n">
        <v>0</v>
      </c>
      <c r="AL844" s="117" t="n">
        <v>19</v>
      </c>
      <c r="AM844" s="117" t="s">
        <v>225</v>
      </c>
      <c r="AN844" s="117" t="s">
        <v>1978</v>
      </c>
      <c r="AP844" s="117" t="n">
        <v>100173338</v>
      </c>
      <c r="AQ844" s="118" t="n">
        <v>43799</v>
      </c>
      <c r="AR844" s="118" t="n">
        <v>43798</v>
      </c>
      <c r="AS844" s="117" t="n">
        <v>0.956412037037037</v>
      </c>
      <c r="AT844" s="117" t="n">
        <v>0</v>
      </c>
      <c r="AU844" s="117" t="n">
        <v>0</v>
      </c>
      <c r="AX844" s="117" t="n">
        <v>3</v>
      </c>
    </row>
    <row r="845" customFormat="false" ht="13.8" hidden="true" customHeight="false" outlineLevel="0" collapsed="false">
      <c r="A845" s="117" t="n">
        <v>1000</v>
      </c>
      <c r="B845" s="117" t="s">
        <v>1962</v>
      </c>
      <c r="C845" s="117" t="n">
        <v>100173530</v>
      </c>
      <c r="E845" s="117" t="s">
        <v>1921</v>
      </c>
      <c r="F845" s="117" t="n">
        <v>1109</v>
      </c>
      <c r="G845" s="117" t="n">
        <v>2019</v>
      </c>
      <c r="H845" s="117" t="n">
        <v>8</v>
      </c>
      <c r="I845" s="118" t="n">
        <v>43799</v>
      </c>
      <c r="J845" s="118" t="n">
        <v>43799</v>
      </c>
      <c r="K845" s="119" t="n">
        <v>8470</v>
      </c>
      <c r="L845" s="128" t="n">
        <f aca="false">K845-Q845+T845</f>
        <v>8470</v>
      </c>
      <c r="M845" s="117" t="s">
        <v>149</v>
      </c>
      <c r="N845" s="117" t="n">
        <v>8470</v>
      </c>
      <c r="O845" s="117" t="s">
        <v>149</v>
      </c>
      <c r="P845" s="117" t="n">
        <v>0</v>
      </c>
      <c r="Q845" s="117" t="n">
        <v>0</v>
      </c>
      <c r="R845" s="117" t="n">
        <v>8470</v>
      </c>
      <c r="S845" s="117" t="n">
        <v>0</v>
      </c>
      <c r="T845" s="117" t="n">
        <v>0</v>
      </c>
      <c r="U845" s="117" t="n">
        <v>312193</v>
      </c>
      <c r="V845" s="117" t="s">
        <v>1963</v>
      </c>
      <c r="X845" s="117" t="s">
        <v>2464</v>
      </c>
      <c r="Z845" s="117" t="n">
        <v>2316</v>
      </c>
      <c r="AB845" s="117" t="s">
        <v>1965</v>
      </c>
      <c r="AD845" s="117" t="n">
        <v>110000</v>
      </c>
      <c r="AE845" s="117" t="s">
        <v>1966</v>
      </c>
      <c r="AF845" s="117" t="n">
        <v>110000</v>
      </c>
      <c r="AG845" s="117" t="s">
        <v>1966</v>
      </c>
      <c r="AI845" s="117" t="n">
        <v>110000</v>
      </c>
      <c r="AJ845" s="117" t="s">
        <v>1966</v>
      </c>
      <c r="AK845" s="117" t="n">
        <v>0</v>
      </c>
      <c r="AL845" s="117" t="n">
        <v>4</v>
      </c>
      <c r="AM845" s="117" t="s">
        <v>161</v>
      </c>
      <c r="AR845" s="118" t="n">
        <v>43800</v>
      </c>
      <c r="AS845" s="117" t="n">
        <v>0.629131944444444</v>
      </c>
      <c r="AT845" s="117" t="n">
        <v>0</v>
      </c>
      <c r="AU845" s="117" t="n">
        <v>0</v>
      </c>
      <c r="AX845" s="117" t="n">
        <v>4</v>
      </c>
    </row>
    <row r="846" customFormat="false" ht="13.8" hidden="true" customHeight="false" outlineLevel="0" collapsed="false">
      <c r="A846" s="117" t="n">
        <v>1000</v>
      </c>
      <c r="B846" s="117" t="s">
        <v>1962</v>
      </c>
      <c r="C846" s="117" t="n">
        <v>100173564</v>
      </c>
      <c r="E846" s="117" t="s">
        <v>1921</v>
      </c>
      <c r="F846" s="117" t="n">
        <v>1108</v>
      </c>
      <c r="G846" s="117" t="n">
        <v>2019</v>
      </c>
      <c r="H846" s="117" t="n">
        <v>8</v>
      </c>
      <c r="I846" s="118" t="n">
        <v>43799</v>
      </c>
      <c r="J846" s="118" t="n">
        <v>43799</v>
      </c>
      <c r="K846" s="119" t="n">
        <v>15340</v>
      </c>
      <c r="L846" s="128" t="n">
        <f aca="false">K846-Q846+T846</f>
        <v>15340</v>
      </c>
      <c r="M846" s="117" t="s">
        <v>149</v>
      </c>
      <c r="N846" s="117" t="n">
        <v>15340</v>
      </c>
      <c r="O846" s="117" t="s">
        <v>149</v>
      </c>
      <c r="P846" s="117" t="n">
        <v>0</v>
      </c>
      <c r="Q846" s="117" t="n">
        <v>0</v>
      </c>
      <c r="R846" s="117" t="n">
        <v>15340</v>
      </c>
      <c r="S846" s="117" t="n">
        <v>0</v>
      </c>
      <c r="T846" s="117" t="n">
        <v>0</v>
      </c>
      <c r="U846" s="117" t="n">
        <v>312193</v>
      </c>
      <c r="V846" s="117" t="s">
        <v>1963</v>
      </c>
      <c r="X846" s="117" t="s">
        <v>1654</v>
      </c>
      <c r="Z846" s="117" t="n">
        <v>61997</v>
      </c>
      <c r="AB846" s="117" t="s">
        <v>2109</v>
      </c>
      <c r="AD846" s="117" t="n">
        <v>110000</v>
      </c>
      <c r="AE846" s="117" t="s">
        <v>1966</v>
      </c>
      <c r="AF846" s="117" t="n">
        <v>110000</v>
      </c>
      <c r="AG846" s="117" t="s">
        <v>1966</v>
      </c>
      <c r="AI846" s="117" t="n">
        <v>110000</v>
      </c>
      <c r="AJ846" s="117" t="s">
        <v>1966</v>
      </c>
      <c r="AK846" s="117" t="n">
        <v>0</v>
      </c>
      <c r="AL846" s="117" t="n">
        <v>4</v>
      </c>
      <c r="AM846" s="117" t="s">
        <v>161</v>
      </c>
      <c r="AR846" s="118" t="n">
        <v>43800</v>
      </c>
      <c r="AS846" s="117" t="n">
        <v>0.649189814814815</v>
      </c>
      <c r="AT846" s="117" t="n">
        <v>0</v>
      </c>
      <c r="AU846" s="117" t="n">
        <v>0</v>
      </c>
      <c r="AX846" s="117" t="n">
        <v>24</v>
      </c>
    </row>
    <row r="847" customFormat="false" ht="13.8" hidden="true" customHeight="false" outlineLevel="0" collapsed="false">
      <c r="A847" s="117" t="n">
        <v>1000</v>
      </c>
      <c r="B847" s="117" t="s">
        <v>1962</v>
      </c>
      <c r="C847" s="117" t="n">
        <v>100141449</v>
      </c>
      <c r="E847" s="117" t="s">
        <v>1921</v>
      </c>
      <c r="F847" s="117" t="n">
        <v>1109</v>
      </c>
      <c r="G847" s="117" t="n">
        <v>2019</v>
      </c>
      <c r="H847" s="117" t="n">
        <v>7</v>
      </c>
      <c r="I847" s="118" t="n">
        <v>43766</v>
      </c>
      <c r="J847" s="118" t="n">
        <v>43766</v>
      </c>
      <c r="K847" s="119" t="n">
        <v>841923.86</v>
      </c>
      <c r="L847" s="128" t="n">
        <f aca="false">K847-Q847+T847</f>
        <v>841923.86</v>
      </c>
      <c r="M847" s="117" t="s">
        <v>149</v>
      </c>
      <c r="N847" s="117" t="n">
        <v>841923.86</v>
      </c>
      <c r="O847" s="117" t="s">
        <v>149</v>
      </c>
      <c r="P847" s="117" t="n">
        <v>0</v>
      </c>
      <c r="Q847" s="117" t="n">
        <v>0</v>
      </c>
      <c r="R847" s="117" t="n">
        <v>841923.86</v>
      </c>
      <c r="S847" s="117" t="n">
        <v>0</v>
      </c>
      <c r="T847" s="117" t="n">
        <v>0</v>
      </c>
      <c r="U847" s="117" t="n">
        <v>312193</v>
      </c>
      <c r="V847" s="117" t="s">
        <v>1963</v>
      </c>
      <c r="X847" s="117" t="s">
        <v>1836</v>
      </c>
      <c r="Z847" s="117" t="n">
        <v>60960</v>
      </c>
      <c r="AB847" s="117" t="s">
        <v>2124</v>
      </c>
      <c r="AD847" s="117" t="n">
        <v>110000</v>
      </c>
      <c r="AE847" s="117" t="s">
        <v>1966</v>
      </c>
      <c r="AF847" s="117" t="n">
        <v>110000</v>
      </c>
      <c r="AG847" s="117" t="s">
        <v>1966</v>
      </c>
      <c r="AI847" s="117" t="n">
        <v>110000</v>
      </c>
      <c r="AJ847" s="117" t="s">
        <v>1966</v>
      </c>
      <c r="AK847" s="117" t="n">
        <v>0</v>
      </c>
      <c r="AL847" s="117" t="n">
        <v>4</v>
      </c>
      <c r="AM847" s="117" t="s">
        <v>161</v>
      </c>
      <c r="AR847" s="118" t="n">
        <v>43766</v>
      </c>
      <c r="AS847" s="117" t="n">
        <v>0.371388888888889</v>
      </c>
      <c r="AT847" s="117" t="n">
        <v>0</v>
      </c>
      <c r="AU847" s="117" t="n">
        <v>0</v>
      </c>
      <c r="AX847" s="117" t="n">
        <v>17</v>
      </c>
    </row>
    <row r="848" s="106" customFormat="true" ht="13.8" hidden="true" customHeight="false" outlineLevel="0" collapsed="false">
      <c r="A848" s="106" t="n">
        <v>1000</v>
      </c>
      <c r="B848" s="106" t="s">
        <v>1962</v>
      </c>
      <c r="C848" s="106" t="n">
        <v>112728</v>
      </c>
      <c r="D848" s="106" t="s">
        <v>2465</v>
      </c>
      <c r="E848" s="106" t="s">
        <v>1970</v>
      </c>
      <c r="F848" s="106" t="n">
        <v>1109</v>
      </c>
      <c r="G848" s="106" t="n">
        <v>2019</v>
      </c>
      <c r="H848" s="106" t="n">
        <v>11</v>
      </c>
      <c r="I848" s="129" t="n">
        <v>43878</v>
      </c>
      <c r="J848" s="129" t="n">
        <v>43878</v>
      </c>
      <c r="K848" s="107" t="n">
        <v>109858</v>
      </c>
      <c r="L848" s="130" t="n">
        <f aca="false">K848-Q848+T848</f>
        <v>93100</v>
      </c>
      <c r="M848" s="106" t="s">
        <v>149</v>
      </c>
      <c r="N848" s="106" t="n">
        <v>109858</v>
      </c>
      <c r="O848" s="106" t="s">
        <v>149</v>
      </c>
      <c r="P848" s="106" t="n">
        <v>0</v>
      </c>
      <c r="Q848" s="107" t="n">
        <v>16758</v>
      </c>
      <c r="R848" s="106" t="n">
        <v>93100</v>
      </c>
      <c r="S848" s="106" t="n">
        <v>0</v>
      </c>
      <c r="T848" s="106" t="n">
        <v>0</v>
      </c>
      <c r="U848" s="106" t="n">
        <v>305576</v>
      </c>
      <c r="V848" s="106" t="s">
        <v>1973</v>
      </c>
      <c r="Z848" s="106" t="n">
        <v>63586</v>
      </c>
      <c r="AB848" s="106" t="s">
        <v>2466</v>
      </c>
      <c r="AD848" s="106" t="n">
        <v>110000</v>
      </c>
      <c r="AE848" s="106" t="s">
        <v>1966</v>
      </c>
      <c r="AF848" s="106" t="n">
        <v>501005</v>
      </c>
      <c r="AG848" s="106" t="s">
        <v>2033</v>
      </c>
      <c r="AI848" s="106" t="n">
        <v>501005</v>
      </c>
      <c r="AJ848" s="106" t="s">
        <v>2033</v>
      </c>
      <c r="AK848" s="106" t="n">
        <v>0</v>
      </c>
      <c r="AL848" s="106" t="n">
        <v>1</v>
      </c>
      <c r="AM848" s="106" t="s">
        <v>161</v>
      </c>
      <c r="AP848" s="106" t="n">
        <v>100260160</v>
      </c>
      <c r="AQ848" s="129" t="n">
        <v>43883</v>
      </c>
      <c r="AR848" s="129" t="n">
        <v>43878</v>
      </c>
      <c r="AS848" s="106" t="n">
        <v>0.536655092592593</v>
      </c>
      <c r="AT848" s="106" t="n">
        <v>0</v>
      </c>
      <c r="AU848" s="106" t="n">
        <v>0</v>
      </c>
      <c r="AX848" s="106" t="n">
        <v>1</v>
      </c>
      <c r="ALU848" s="0"/>
      <c r="ALV848" s="0"/>
      <c r="ALW848" s="0"/>
      <c r="ALX848" s="0"/>
      <c r="ALY848" s="0"/>
      <c r="ALZ848" s="0"/>
      <c r="AMA848" s="0"/>
      <c r="AMB848" s="0"/>
      <c r="AMC848" s="0"/>
      <c r="AMD848" s="0"/>
      <c r="AME848" s="0"/>
      <c r="AMF848" s="0"/>
      <c r="AMG848" s="0"/>
      <c r="AMH848" s="0"/>
      <c r="AMI848" s="0"/>
      <c r="AMJ848" s="0"/>
    </row>
    <row r="849" s="106" customFormat="true" ht="13.8" hidden="true" customHeight="false" outlineLevel="0" collapsed="false">
      <c r="A849" s="106" t="n">
        <v>1000</v>
      </c>
      <c r="B849" s="106" t="s">
        <v>1962</v>
      </c>
      <c r="C849" s="106" t="n">
        <v>110880</v>
      </c>
      <c r="D849" s="106" t="s">
        <v>2390</v>
      </c>
      <c r="E849" s="106" t="s">
        <v>1970</v>
      </c>
      <c r="F849" s="106" t="n">
        <v>1112</v>
      </c>
      <c r="G849" s="106" t="n">
        <v>2019</v>
      </c>
      <c r="H849" s="106" t="n">
        <v>9</v>
      </c>
      <c r="I849" s="129" t="n">
        <v>43828</v>
      </c>
      <c r="J849" s="129" t="n">
        <v>43828</v>
      </c>
      <c r="K849" s="107" t="n">
        <v>115261.22</v>
      </c>
      <c r="L849" s="130" t="n">
        <f aca="false">K849-Q849+T849</f>
        <v>97679</v>
      </c>
      <c r="M849" s="106" t="s">
        <v>149</v>
      </c>
      <c r="N849" s="106" t="n">
        <v>115261.22</v>
      </c>
      <c r="O849" s="106" t="s">
        <v>149</v>
      </c>
      <c r="P849" s="106" t="n">
        <v>0</v>
      </c>
      <c r="Q849" s="107" t="n">
        <v>17582.22</v>
      </c>
      <c r="R849" s="106" t="n">
        <v>97679</v>
      </c>
      <c r="S849" s="106" t="n">
        <v>0</v>
      </c>
      <c r="T849" s="106" t="n">
        <v>0</v>
      </c>
      <c r="U849" s="106" t="n">
        <v>312193</v>
      </c>
      <c r="V849" s="106" t="s">
        <v>1963</v>
      </c>
      <c r="Z849" s="106" t="n">
        <v>62199</v>
      </c>
      <c r="AB849" s="106" t="s">
        <v>2350</v>
      </c>
      <c r="AD849" s="106" t="n">
        <v>110000</v>
      </c>
      <c r="AE849" s="106" t="s">
        <v>1966</v>
      </c>
      <c r="AF849" s="106" t="n">
        <v>501005</v>
      </c>
      <c r="AG849" s="106" t="s">
        <v>2033</v>
      </c>
      <c r="AI849" s="106" t="n">
        <v>501005</v>
      </c>
      <c r="AJ849" s="106" t="s">
        <v>2033</v>
      </c>
      <c r="AK849" s="106" t="n">
        <v>0</v>
      </c>
      <c r="AL849" s="106" t="n">
        <v>1</v>
      </c>
      <c r="AM849" s="106" t="s">
        <v>161</v>
      </c>
      <c r="AP849" s="106" t="n">
        <v>100199799</v>
      </c>
      <c r="AQ849" s="129" t="n">
        <v>43830</v>
      </c>
      <c r="AR849" s="129" t="n">
        <v>43828</v>
      </c>
      <c r="AS849" s="106" t="n">
        <v>0.746979166666667</v>
      </c>
      <c r="AT849" s="106" t="n">
        <v>0</v>
      </c>
      <c r="AU849" s="106" t="n">
        <v>0</v>
      </c>
      <c r="AX849" s="106" t="n">
        <v>1</v>
      </c>
      <c r="ALU849" s="0"/>
      <c r="ALV849" s="0"/>
      <c r="ALW849" s="0"/>
      <c r="ALX849" s="0"/>
      <c r="ALY849" s="0"/>
      <c r="ALZ849" s="0"/>
      <c r="AMA849" s="0"/>
      <c r="AMB849" s="0"/>
      <c r="AMC849" s="0"/>
      <c r="AMD849" s="0"/>
      <c r="AME849" s="0"/>
      <c r="AMF849" s="0"/>
      <c r="AMG849" s="0"/>
      <c r="AMH849" s="0"/>
      <c r="AMI849" s="0"/>
      <c r="AMJ849" s="0"/>
    </row>
    <row r="850" customFormat="false" ht="13.8" hidden="true" customHeight="false" outlineLevel="0" collapsed="false">
      <c r="A850" s="117" t="n">
        <v>1000</v>
      </c>
      <c r="B850" s="117" t="s">
        <v>1962</v>
      </c>
      <c r="C850" s="117" t="n">
        <v>100173564</v>
      </c>
      <c r="E850" s="117" t="s">
        <v>1921</v>
      </c>
      <c r="F850" s="117" t="n">
        <v>1109</v>
      </c>
      <c r="G850" s="117" t="n">
        <v>2019</v>
      </c>
      <c r="H850" s="117" t="n">
        <v>8</v>
      </c>
      <c r="I850" s="118" t="n">
        <v>43799</v>
      </c>
      <c r="J850" s="118" t="n">
        <v>43799</v>
      </c>
      <c r="K850" s="119" t="n">
        <v>449851.4</v>
      </c>
      <c r="L850" s="128" t="n">
        <f aca="false">K850-Q850+T850</f>
        <v>449851.4</v>
      </c>
      <c r="M850" s="117" t="s">
        <v>149</v>
      </c>
      <c r="N850" s="117" t="n">
        <v>449851.4</v>
      </c>
      <c r="O850" s="117" t="s">
        <v>149</v>
      </c>
      <c r="P850" s="117" t="n">
        <v>0</v>
      </c>
      <c r="Q850" s="117" t="n">
        <v>0</v>
      </c>
      <c r="R850" s="117" t="n">
        <v>449851.4</v>
      </c>
      <c r="S850" s="117" t="n">
        <v>0</v>
      </c>
      <c r="T850" s="117" t="n">
        <v>0</v>
      </c>
      <c r="U850" s="117" t="n">
        <v>312193</v>
      </c>
      <c r="V850" s="117" t="s">
        <v>1963</v>
      </c>
      <c r="X850" s="117" t="s">
        <v>1008</v>
      </c>
      <c r="Z850" s="117" t="n">
        <v>2316</v>
      </c>
      <c r="AB850" s="117" t="s">
        <v>1965</v>
      </c>
      <c r="AD850" s="117" t="n">
        <v>110000</v>
      </c>
      <c r="AE850" s="117" t="s">
        <v>1966</v>
      </c>
      <c r="AF850" s="117" t="n">
        <v>110000</v>
      </c>
      <c r="AG850" s="117" t="s">
        <v>1966</v>
      </c>
      <c r="AI850" s="117" t="n">
        <v>110000</v>
      </c>
      <c r="AJ850" s="117" t="s">
        <v>1966</v>
      </c>
      <c r="AK850" s="117" t="n">
        <v>0</v>
      </c>
      <c r="AL850" s="117" t="n">
        <v>4</v>
      </c>
      <c r="AM850" s="117" t="s">
        <v>161</v>
      </c>
      <c r="AP850" s="117" t="n">
        <v>100210304</v>
      </c>
      <c r="AQ850" s="118" t="n">
        <v>43830</v>
      </c>
      <c r="AR850" s="118" t="n">
        <v>43800</v>
      </c>
      <c r="AS850" s="117" t="n">
        <v>0.649189814814815</v>
      </c>
      <c r="AT850" s="117" t="n">
        <v>0</v>
      </c>
      <c r="AU850" s="117" t="n">
        <v>0</v>
      </c>
      <c r="AX850" s="117" t="n">
        <v>5</v>
      </c>
    </row>
    <row r="851" customFormat="false" ht="13.8" hidden="true" customHeight="false" outlineLevel="0" collapsed="false">
      <c r="A851" s="117" t="n">
        <v>1000</v>
      </c>
      <c r="B851" s="117" t="s">
        <v>1962</v>
      </c>
      <c r="C851" s="117" t="n">
        <v>100173564</v>
      </c>
      <c r="E851" s="117" t="s">
        <v>1921</v>
      </c>
      <c r="F851" s="117" t="n">
        <v>1108</v>
      </c>
      <c r="G851" s="117" t="n">
        <v>2019</v>
      </c>
      <c r="H851" s="117" t="n">
        <v>8</v>
      </c>
      <c r="I851" s="118" t="n">
        <v>43799</v>
      </c>
      <c r="J851" s="118" t="n">
        <v>43799</v>
      </c>
      <c r="K851" s="119" t="n">
        <v>1167316.42</v>
      </c>
      <c r="L851" s="128" t="n">
        <f aca="false">K851-Q851+T851</f>
        <v>1167316.42</v>
      </c>
      <c r="M851" s="117" t="s">
        <v>149</v>
      </c>
      <c r="N851" s="117" t="n">
        <v>1167316.42</v>
      </c>
      <c r="O851" s="117" t="s">
        <v>149</v>
      </c>
      <c r="P851" s="117" t="n">
        <v>0</v>
      </c>
      <c r="Q851" s="117" t="n">
        <v>0</v>
      </c>
      <c r="R851" s="117" t="n">
        <v>1167316.42</v>
      </c>
      <c r="S851" s="117" t="n">
        <v>0</v>
      </c>
      <c r="T851" s="117" t="n">
        <v>0</v>
      </c>
      <c r="U851" s="117" t="n">
        <v>312193</v>
      </c>
      <c r="V851" s="117" t="s">
        <v>1963</v>
      </c>
      <c r="X851" s="117" t="s">
        <v>1481</v>
      </c>
      <c r="Z851" s="117" t="n">
        <v>2491</v>
      </c>
      <c r="AB851" s="117" t="s">
        <v>2467</v>
      </c>
      <c r="AD851" s="117" t="n">
        <v>110000</v>
      </c>
      <c r="AE851" s="117" t="s">
        <v>1966</v>
      </c>
      <c r="AF851" s="117" t="n">
        <v>110000</v>
      </c>
      <c r="AG851" s="117" t="s">
        <v>1966</v>
      </c>
      <c r="AI851" s="117" t="n">
        <v>110000</v>
      </c>
      <c r="AJ851" s="117" t="s">
        <v>1966</v>
      </c>
      <c r="AK851" s="117" t="n">
        <v>0</v>
      </c>
      <c r="AL851" s="117" t="n">
        <v>4</v>
      </c>
      <c r="AM851" s="117" t="s">
        <v>161</v>
      </c>
      <c r="AP851" s="117" t="n">
        <v>100231547</v>
      </c>
      <c r="AQ851" s="118" t="n">
        <v>43859</v>
      </c>
      <c r="AR851" s="118" t="n">
        <v>43800</v>
      </c>
      <c r="AS851" s="117" t="n">
        <v>0.649189814814815</v>
      </c>
      <c r="AT851" s="117" t="n">
        <v>0</v>
      </c>
      <c r="AU851" s="117" t="n">
        <v>0</v>
      </c>
      <c r="AX851" s="117" t="n">
        <v>1</v>
      </c>
    </row>
    <row r="852" customFormat="false" ht="13.8" hidden="true" customHeight="false" outlineLevel="0" collapsed="false">
      <c r="A852" s="117" t="n">
        <v>1000</v>
      </c>
      <c r="B852" s="117" t="s">
        <v>1962</v>
      </c>
      <c r="C852" s="117" t="n">
        <v>100194025</v>
      </c>
      <c r="E852" s="117" t="s">
        <v>1921</v>
      </c>
      <c r="F852" s="117" t="n">
        <v>1112</v>
      </c>
      <c r="G852" s="117" t="n">
        <v>2019</v>
      </c>
      <c r="H852" s="117" t="n">
        <v>9</v>
      </c>
      <c r="I852" s="118" t="n">
        <v>43824</v>
      </c>
      <c r="J852" s="118" t="n">
        <v>43824</v>
      </c>
      <c r="K852" s="119" t="n">
        <v>12370.18</v>
      </c>
      <c r="L852" s="128" t="n">
        <f aca="false">K852-Q852+T852</f>
        <v>12370.18</v>
      </c>
      <c r="M852" s="117" t="s">
        <v>149</v>
      </c>
      <c r="N852" s="117" t="n">
        <v>12370.18</v>
      </c>
      <c r="O852" s="117" t="s">
        <v>149</v>
      </c>
      <c r="P852" s="117" t="n">
        <v>0</v>
      </c>
      <c r="Q852" s="117" t="n">
        <v>0</v>
      </c>
      <c r="R852" s="117" t="n">
        <v>12370.18</v>
      </c>
      <c r="S852" s="117" t="n">
        <v>0</v>
      </c>
      <c r="T852" s="117" t="n">
        <v>0</v>
      </c>
      <c r="U852" s="117" t="n">
        <v>312193</v>
      </c>
      <c r="V852" s="117" t="s">
        <v>1963</v>
      </c>
      <c r="X852" s="117" t="s">
        <v>1714</v>
      </c>
      <c r="Z852" s="117" t="n">
        <v>62149</v>
      </c>
      <c r="AB852" s="117" t="s">
        <v>2362</v>
      </c>
      <c r="AD852" s="117" t="n">
        <v>110000</v>
      </c>
      <c r="AE852" s="117" t="s">
        <v>1966</v>
      </c>
      <c r="AF852" s="117" t="n">
        <v>110000</v>
      </c>
      <c r="AG852" s="117" t="s">
        <v>1966</v>
      </c>
      <c r="AI852" s="117" t="n">
        <v>110000</v>
      </c>
      <c r="AJ852" s="117" t="s">
        <v>1966</v>
      </c>
      <c r="AK852" s="117" t="n">
        <v>0</v>
      </c>
      <c r="AL852" s="117" t="n">
        <v>4</v>
      </c>
      <c r="AM852" s="117" t="s">
        <v>161</v>
      </c>
      <c r="AR852" s="118" t="n">
        <v>43824</v>
      </c>
      <c r="AS852" s="117" t="n">
        <v>0.371284722222222</v>
      </c>
      <c r="AT852" s="117" t="n">
        <v>0</v>
      </c>
      <c r="AU852" s="117" t="n">
        <v>0</v>
      </c>
      <c r="AX852" s="117" t="n">
        <v>20</v>
      </c>
    </row>
    <row r="853" s="106" customFormat="true" ht="13.8" hidden="true" customHeight="false" outlineLevel="0" collapsed="false">
      <c r="A853" s="106" t="n">
        <v>1000</v>
      </c>
      <c r="B853" s="106" t="s">
        <v>1962</v>
      </c>
      <c r="C853" s="106" t="n">
        <v>110159</v>
      </c>
      <c r="D853" s="106" t="s">
        <v>1767</v>
      </c>
      <c r="E853" s="106" t="s">
        <v>1970</v>
      </c>
      <c r="F853" s="106" t="n">
        <v>1112</v>
      </c>
      <c r="G853" s="106" t="n">
        <v>2019</v>
      </c>
      <c r="H853" s="106" t="n">
        <v>9</v>
      </c>
      <c r="I853" s="129" t="n">
        <v>43813</v>
      </c>
      <c r="J853" s="129" t="n">
        <v>43813</v>
      </c>
      <c r="K853" s="107" t="n">
        <v>17335.92</v>
      </c>
      <c r="L853" s="130" t="n">
        <f aca="false">K853-Q853+T853</f>
        <v>14691.46</v>
      </c>
      <c r="M853" s="106" t="s">
        <v>149</v>
      </c>
      <c r="N853" s="106" t="n">
        <v>17335.92</v>
      </c>
      <c r="O853" s="106" t="s">
        <v>149</v>
      </c>
      <c r="P853" s="106" t="n">
        <v>0</v>
      </c>
      <c r="Q853" s="107" t="n">
        <v>2644.46</v>
      </c>
      <c r="R853" s="106" t="n">
        <v>14691.46</v>
      </c>
      <c r="S853" s="106" t="n">
        <v>0</v>
      </c>
      <c r="T853" s="106" t="n">
        <v>0</v>
      </c>
      <c r="U853" s="106" t="n">
        <v>312193</v>
      </c>
      <c r="V853" s="106" t="s">
        <v>1963</v>
      </c>
      <c r="Z853" s="106" t="n">
        <v>62186</v>
      </c>
      <c r="AB853" s="106" t="s">
        <v>2362</v>
      </c>
      <c r="AD853" s="106" t="n">
        <v>110000</v>
      </c>
      <c r="AE853" s="106" t="s">
        <v>1966</v>
      </c>
      <c r="AF853" s="106" t="n">
        <v>501005</v>
      </c>
      <c r="AG853" s="106" t="s">
        <v>2033</v>
      </c>
      <c r="AI853" s="106" t="n">
        <v>501005</v>
      </c>
      <c r="AJ853" s="106" t="s">
        <v>2033</v>
      </c>
      <c r="AK853" s="106" t="n">
        <v>0</v>
      </c>
      <c r="AL853" s="106" t="n">
        <v>1</v>
      </c>
      <c r="AM853" s="106" t="s">
        <v>161</v>
      </c>
      <c r="AP853" s="106" t="n">
        <v>100194025</v>
      </c>
      <c r="AQ853" s="129" t="n">
        <v>43824</v>
      </c>
      <c r="AR853" s="129" t="n">
        <v>43813</v>
      </c>
      <c r="AS853" s="106" t="n">
        <v>0.677858796296296</v>
      </c>
      <c r="AT853" s="106" t="n">
        <v>0</v>
      </c>
      <c r="AU853" s="106" t="n">
        <v>0</v>
      </c>
      <c r="AX853" s="106" t="n">
        <v>1</v>
      </c>
      <c r="ALU853" s="0"/>
      <c r="ALV853" s="0"/>
      <c r="ALW853" s="0"/>
      <c r="ALX853" s="0"/>
      <c r="ALY853" s="0"/>
      <c r="ALZ853" s="0"/>
      <c r="AMA853" s="0"/>
      <c r="AMB853" s="0"/>
      <c r="AMC853" s="0"/>
      <c r="AMD853" s="0"/>
      <c r="AME853" s="0"/>
      <c r="AMF853" s="0"/>
      <c r="AMG853" s="0"/>
      <c r="AMH853" s="0"/>
      <c r="AMI853" s="0"/>
      <c r="AMJ853" s="0"/>
    </row>
    <row r="854" customFormat="false" ht="13.8" hidden="true" customHeight="false" outlineLevel="0" collapsed="false">
      <c r="A854" s="117" t="n">
        <v>1000</v>
      </c>
      <c r="B854" s="117" t="s">
        <v>1962</v>
      </c>
      <c r="C854" s="117" t="n">
        <v>100173564</v>
      </c>
      <c r="E854" s="117" t="s">
        <v>1921</v>
      </c>
      <c r="F854" s="117" t="n">
        <v>1108</v>
      </c>
      <c r="G854" s="117" t="n">
        <v>2019</v>
      </c>
      <c r="H854" s="117" t="n">
        <v>8</v>
      </c>
      <c r="I854" s="118" t="n">
        <v>43799</v>
      </c>
      <c r="J854" s="118" t="n">
        <v>43799</v>
      </c>
      <c r="K854" s="119" t="n">
        <v>1121875.9</v>
      </c>
      <c r="L854" s="128" t="n">
        <f aca="false">K854-Q854+T854</f>
        <v>1121875.9</v>
      </c>
      <c r="M854" s="117" t="s">
        <v>149</v>
      </c>
      <c r="N854" s="117" t="n">
        <v>1121875.9</v>
      </c>
      <c r="O854" s="117" t="s">
        <v>149</v>
      </c>
      <c r="P854" s="117" t="n">
        <v>0</v>
      </c>
      <c r="Q854" s="117" t="n">
        <v>0</v>
      </c>
      <c r="R854" s="117" t="n">
        <v>1121875.9</v>
      </c>
      <c r="S854" s="117" t="n">
        <v>0</v>
      </c>
      <c r="T854" s="117" t="n">
        <v>0</v>
      </c>
      <c r="U854" s="117" t="n">
        <v>312193</v>
      </c>
      <c r="V854" s="117" t="s">
        <v>1963</v>
      </c>
      <c r="X854" s="117" t="s">
        <v>1678</v>
      </c>
      <c r="Z854" s="117" t="n">
        <v>61044</v>
      </c>
      <c r="AB854" s="117" t="s">
        <v>2109</v>
      </c>
      <c r="AD854" s="117" t="n">
        <v>110000</v>
      </c>
      <c r="AE854" s="117" t="s">
        <v>1966</v>
      </c>
      <c r="AF854" s="117" t="n">
        <v>110000</v>
      </c>
      <c r="AG854" s="117" t="s">
        <v>1966</v>
      </c>
      <c r="AI854" s="117" t="n">
        <v>110000</v>
      </c>
      <c r="AJ854" s="117" t="s">
        <v>1966</v>
      </c>
      <c r="AK854" s="117" t="n">
        <v>0</v>
      </c>
      <c r="AL854" s="117" t="n">
        <v>4</v>
      </c>
      <c r="AM854" s="117" t="s">
        <v>161</v>
      </c>
      <c r="AR854" s="118" t="n">
        <v>43800</v>
      </c>
      <c r="AS854" s="117" t="n">
        <v>0.649189814814815</v>
      </c>
      <c r="AT854" s="117" t="n">
        <v>0</v>
      </c>
      <c r="AU854" s="117" t="n">
        <v>0</v>
      </c>
      <c r="AX854" s="117" t="n">
        <v>14</v>
      </c>
    </row>
    <row r="855" s="106" customFormat="true" ht="13.8" hidden="true" customHeight="false" outlineLevel="0" collapsed="false">
      <c r="A855" s="106" t="n">
        <v>1000</v>
      </c>
      <c r="B855" s="106" t="s">
        <v>1962</v>
      </c>
      <c r="C855" s="106" t="n">
        <v>112953</v>
      </c>
      <c r="D855" s="106" t="s">
        <v>2468</v>
      </c>
      <c r="E855" s="106" t="s">
        <v>1970</v>
      </c>
      <c r="F855" s="106" t="n">
        <v>1109</v>
      </c>
      <c r="G855" s="106" t="n">
        <v>2019</v>
      </c>
      <c r="H855" s="106" t="n">
        <v>11</v>
      </c>
      <c r="I855" s="129" t="n">
        <v>43882</v>
      </c>
      <c r="J855" s="129" t="n">
        <v>43882</v>
      </c>
      <c r="K855" s="107" t="n">
        <v>1244587.36</v>
      </c>
      <c r="L855" s="130" t="n">
        <f aca="false">K855-Q855+T855</f>
        <v>1054735.05</v>
      </c>
      <c r="M855" s="106" t="s">
        <v>149</v>
      </c>
      <c r="N855" s="106" t="n">
        <v>1244587.36</v>
      </c>
      <c r="O855" s="106" t="s">
        <v>149</v>
      </c>
      <c r="P855" s="106" t="n">
        <v>0</v>
      </c>
      <c r="Q855" s="107" t="n">
        <v>189852.31</v>
      </c>
      <c r="R855" s="106" t="n">
        <v>1054735.05</v>
      </c>
      <c r="S855" s="106" t="n">
        <v>0</v>
      </c>
      <c r="T855" s="106" t="n">
        <v>0</v>
      </c>
      <c r="U855" s="106" t="n">
        <v>312193</v>
      </c>
      <c r="V855" s="106" t="s">
        <v>1963</v>
      </c>
      <c r="Z855" s="106" t="n">
        <v>63775</v>
      </c>
      <c r="AB855" s="106" t="s">
        <v>2469</v>
      </c>
      <c r="AD855" s="106" t="n">
        <v>110000</v>
      </c>
      <c r="AE855" s="106" t="s">
        <v>1966</v>
      </c>
      <c r="AF855" s="106" t="n">
        <v>501005</v>
      </c>
      <c r="AG855" s="106" t="s">
        <v>2033</v>
      </c>
      <c r="AI855" s="106" t="n">
        <v>501005</v>
      </c>
      <c r="AJ855" s="106" t="s">
        <v>2033</v>
      </c>
      <c r="AK855" s="106" t="n">
        <v>0</v>
      </c>
      <c r="AL855" s="106" t="n">
        <v>1</v>
      </c>
      <c r="AM855" s="106" t="s">
        <v>161</v>
      </c>
      <c r="AQ855" s="129"/>
      <c r="AR855" s="129" t="n">
        <v>43882</v>
      </c>
      <c r="AS855" s="106" t="n">
        <v>0.840127314814815</v>
      </c>
      <c r="AT855" s="106" t="n">
        <v>0</v>
      </c>
      <c r="AU855" s="106" t="n">
        <v>0</v>
      </c>
      <c r="AX855" s="106" t="n">
        <v>1</v>
      </c>
      <c r="ALU855" s="0"/>
      <c r="ALV855" s="0"/>
      <c r="ALW855" s="0"/>
      <c r="ALX855" s="0"/>
      <c r="ALY855" s="0"/>
      <c r="ALZ855" s="0"/>
      <c r="AMA855" s="0"/>
      <c r="AMB855" s="0"/>
      <c r="AMC855" s="0"/>
      <c r="AMD855" s="0"/>
      <c r="AME855" s="0"/>
      <c r="AMF855" s="0"/>
      <c r="AMG855" s="0"/>
      <c r="AMH855" s="0"/>
      <c r="AMI855" s="0"/>
      <c r="AMJ855" s="0"/>
    </row>
    <row r="856" customFormat="false" ht="13.8" hidden="true" customHeight="false" outlineLevel="0" collapsed="false">
      <c r="A856" s="117" t="n">
        <v>1000</v>
      </c>
      <c r="B856" s="117" t="s">
        <v>1962</v>
      </c>
      <c r="C856" s="117" t="n">
        <v>100199799</v>
      </c>
      <c r="E856" s="117" t="s">
        <v>1921</v>
      </c>
      <c r="F856" s="117" t="n">
        <v>1112</v>
      </c>
      <c r="G856" s="117" t="n">
        <v>2019</v>
      </c>
      <c r="H856" s="117" t="n">
        <v>9</v>
      </c>
      <c r="I856" s="118" t="n">
        <v>43830</v>
      </c>
      <c r="J856" s="118" t="n">
        <v>43830</v>
      </c>
      <c r="K856" s="119" t="n">
        <v>494464.48</v>
      </c>
      <c r="L856" s="128" t="n">
        <f aca="false">K856-Q856+T856</f>
        <v>494464.48</v>
      </c>
      <c r="M856" s="117" t="s">
        <v>149</v>
      </c>
      <c r="N856" s="117" t="n">
        <v>494464.48</v>
      </c>
      <c r="O856" s="117" t="s">
        <v>149</v>
      </c>
      <c r="P856" s="117" t="n">
        <v>0</v>
      </c>
      <c r="Q856" s="117" t="n">
        <v>0</v>
      </c>
      <c r="R856" s="117" t="n">
        <v>494464.48</v>
      </c>
      <c r="S856" s="117" t="n">
        <v>0</v>
      </c>
      <c r="T856" s="117" t="n">
        <v>0</v>
      </c>
      <c r="U856" s="117" t="n">
        <v>312193</v>
      </c>
      <c r="V856" s="117" t="s">
        <v>1963</v>
      </c>
      <c r="X856" s="117" t="s">
        <v>2470</v>
      </c>
      <c r="Z856" s="117" t="n">
        <v>62190</v>
      </c>
      <c r="AB856" s="117" t="s">
        <v>2362</v>
      </c>
      <c r="AD856" s="117" t="n">
        <v>110000</v>
      </c>
      <c r="AE856" s="117" t="s">
        <v>1966</v>
      </c>
      <c r="AF856" s="117" t="n">
        <v>110000</v>
      </c>
      <c r="AG856" s="117" t="s">
        <v>1966</v>
      </c>
      <c r="AI856" s="117" t="n">
        <v>110000</v>
      </c>
      <c r="AJ856" s="117" t="s">
        <v>1966</v>
      </c>
      <c r="AK856" s="117" t="n">
        <v>0</v>
      </c>
      <c r="AL856" s="117" t="n">
        <v>4</v>
      </c>
      <c r="AM856" s="117" t="s">
        <v>161</v>
      </c>
      <c r="AR856" s="118" t="n">
        <v>43830</v>
      </c>
      <c r="AS856" s="117" t="n">
        <v>0.279467592592593</v>
      </c>
      <c r="AT856" s="117" t="n">
        <v>0</v>
      </c>
      <c r="AU856" s="117" t="n">
        <v>0</v>
      </c>
      <c r="AX856" s="117" t="n">
        <v>3</v>
      </c>
    </row>
    <row r="857" customFormat="false" ht="13.8" hidden="true" customHeight="false" outlineLevel="0" collapsed="false">
      <c r="A857" s="117" t="n">
        <v>1000</v>
      </c>
      <c r="B857" s="117" t="s">
        <v>1962</v>
      </c>
      <c r="C857" s="117" t="n">
        <v>100190616</v>
      </c>
      <c r="E857" s="117" t="s">
        <v>1921</v>
      </c>
      <c r="F857" s="117" t="n">
        <v>1109</v>
      </c>
      <c r="G857" s="117" t="n">
        <v>2019</v>
      </c>
      <c r="H857" s="117" t="n">
        <v>9</v>
      </c>
      <c r="I857" s="118" t="n">
        <v>43819</v>
      </c>
      <c r="J857" s="118" t="n">
        <v>43819</v>
      </c>
      <c r="K857" s="119" t="n">
        <v>-2867912.68</v>
      </c>
      <c r="L857" s="128" t="n">
        <f aca="false">K857-Q857+T857</f>
        <v>-2867912.68</v>
      </c>
      <c r="M857" s="117" t="s">
        <v>149</v>
      </c>
      <c r="N857" s="117" t="n">
        <v>-2867912.68</v>
      </c>
      <c r="O857" s="117" t="s">
        <v>149</v>
      </c>
      <c r="P857" s="117" t="n">
        <v>0</v>
      </c>
      <c r="Q857" s="117" t="n">
        <v>0</v>
      </c>
      <c r="R857" s="117" t="n">
        <v>-2867912.68</v>
      </c>
      <c r="S857" s="117" t="n">
        <v>0</v>
      </c>
      <c r="T857" s="117" t="n">
        <v>0</v>
      </c>
      <c r="U857" s="117" t="n">
        <v>311155</v>
      </c>
      <c r="V857" s="117" t="s">
        <v>2022</v>
      </c>
      <c r="Z857" s="117" t="n">
        <v>100190616</v>
      </c>
      <c r="AD857" s="117" t="n">
        <v>110000</v>
      </c>
      <c r="AE857" s="117" t="s">
        <v>1966</v>
      </c>
      <c r="AF857" s="117" t="n">
        <v>110000</v>
      </c>
      <c r="AG857" s="117" t="s">
        <v>1966</v>
      </c>
      <c r="AI857" s="117" t="n">
        <v>110000</v>
      </c>
      <c r="AJ857" s="117" t="s">
        <v>1966</v>
      </c>
      <c r="AK857" s="117" t="n">
        <v>0</v>
      </c>
      <c r="AL857" s="117" t="n">
        <v>17</v>
      </c>
      <c r="AM857" s="117" t="s">
        <v>225</v>
      </c>
      <c r="AP857" s="117" t="n">
        <v>100190616</v>
      </c>
      <c r="AQ857" s="118" t="n">
        <v>43819</v>
      </c>
      <c r="AR857" s="118" t="n">
        <v>43819</v>
      </c>
      <c r="AS857" s="117" t="n">
        <v>0.670034722222222</v>
      </c>
      <c r="AT857" s="117" t="n">
        <v>0</v>
      </c>
      <c r="AU857" s="117" t="n">
        <v>0</v>
      </c>
      <c r="AX857" s="117" t="n">
        <v>3</v>
      </c>
    </row>
    <row r="858" customFormat="false" ht="13.8" hidden="true" customHeight="false" outlineLevel="0" collapsed="false">
      <c r="A858" s="117" t="n">
        <v>1000</v>
      </c>
      <c r="B858" s="117" t="s">
        <v>1962</v>
      </c>
      <c r="C858" s="117" t="n">
        <v>100199799</v>
      </c>
      <c r="E858" s="117" t="s">
        <v>1921</v>
      </c>
      <c r="F858" s="117" t="n">
        <v>1112</v>
      </c>
      <c r="G858" s="117" t="n">
        <v>2019</v>
      </c>
      <c r="H858" s="117" t="n">
        <v>9</v>
      </c>
      <c r="I858" s="118" t="n">
        <v>43830</v>
      </c>
      <c r="J858" s="118" t="n">
        <v>43830</v>
      </c>
      <c r="K858" s="119" t="n">
        <v>13253.76</v>
      </c>
      <c r="L858" s="128" t="n">
        <f aca="false">K858-Q858+T858</f>
        <v>13253.76</v>
      </c>
      <c r="M858" s="117" t="s">
        <v>149</v>
      </c>
      <c r="N858" s="117" t="n">
        <v>13253.76</v>
      </c>
      <c r="O858" s="117" t="s">
        <v>149</v>
      </c>
      <c r="P858" s="117" t="n">
        <v>0</v>
      </c>
      <c r="Q858" s="117" t="n">
        <v>0</v>
      </c>
      <c r="R858" s="117" t="n">
        <v>13253.76</v>
      </c>
      <c r="S858" s="117" t="n">
        <v>0</v>
      </c>
      <c r="T858" s="117" t="n">
        <v>0</v>
      </c>
      <c r="U858" s="117" t="n">
        <v>312193</v>
      </c>
      <c r="V858" s="117" t="s">
        <v>1963</v>
      </c>
      <c r="X858" s="117" t="s">
        <v>2375</v>
      </c>
      <c r="Z858" s="117" t="n">
        <v>62394</v>
      </c>
      <c r="AB858" s="117" t="s">
        <v>2362</v>
      </c>
      <c r="AD858" s="117" t="n">
        <v>110000</v>
      </c>
      <c r="AE858" s="117" t="s">
        <v>1966</v>
      </c>
      <c r="AF858" s="117" t="n">
        <v>110000</v>
      </c>
      <c r="AG858" s="117" t="s">
        <v>1966</v>
      </c>
      <c r="AI858" s="117" t="n">
        <v>110000</v>
      </c>
      <c r="AJ858" s="117" t="s">
        <v>1966</v>
      </c>
      <c r="AK858" s="117" t="n">
        <v>0</v>
      </c>
      <c r="AL858" s="117" t="n">
        <v>4</v>
      </c>
      <c r="AM858" s="117" t="s">
        <v>161</v>
      </c>
      <c r="AR858" s="118" t="n">
        <v>43830</v>
      </c>
      <c r="AS858" s="117" t="n">
        <v>0.279467592592593</v>
      </c>
      <c r="AT858" s="117" t="n">
        <v>0</v>
      </c>
      <c r="AU858" s="117" t="n">
        <v>0</v>
      </c>
      <c r="AX858" s="117" t="n">
        <v>27</v>
      </c>
    </row>
    <row r="859" customFormat="false" ht="13.8" hidden="true" customHeight="false" outlineLevel="0" collapsed="false">
      <c r="A859" s="117" t="n">
        <v>1000</v>
      </c>
      <c r="B859" s="117" t="s">
        <v>1962</v>
      </c>
      <c r="C859" s="117" t="n">
        <v>100173530</v>
      </c>
      <c r="E859" s="117" t="s">
        <v>1921</v>
      </c>
      <c r="F859" s="117" t="n">
        <v>1109</v>
      </c>
      <c r="G859" s="117" t="n">
        <v>2019</v>
      </c>
      <c r="H859" s="117" t="n">
        <v>8</v>
      </c>
      <c r="I859" s="118" t="n">
        <v>43799</v>
      </c>
      <c r="J859" s="118" t="n">
        <v>43799</v>
      </c>
      <c r="K859" s="119" t="n">
        <v>9567</v>
      </c>
      <c r="L859" s="128" t="n">
        <f aca="false">K859-Q859+T859</f>
        <v>9567</v>
      </c>
      <c r="M859" s="117" t="s">
        <v>149</v>
      </c>
      <c r="N859" s="117" t="n">
        <v>9567</v>
      </c>
      <c r="O859" s="117" t="s">
        <v>149</v>
      </c>
      <c r="P859" s="117" t="n">
        <v>0</v>
      </c>
      <c r="Q859" s="117" t="n">
        <v>0</v>
      </c>
      <c r="R859" s="117" t="n">
        <v>9567</v>
      </c>
      <c r="S859" s="117" t="n">
        <v>0</v>
      </c>
      <c r="T859" s="117" t="n">
        <v>0</v>
      </c>
      <c r="U859" s="117" t="n">
        <v>312193</v>
      </c>
      <c r="V859" s="117" t="s">
        <v>1963</v>
      </c>
      <c r="X859" s="117" t="s">
        <v>2471</v>
      </c>
      <c r="Z859" s="117" t="n">
        <v>2316</v>
      </c>
      <c r="AB859" s="117" t="s">
        <v>1965</v>
      </c>
      <c r="AD859" s="117" t="n">
        <v>110000</v>
      </c>
      <c r="AE859" s="117" t="s">
        <v>1966</v>
      </c>
      <c r="AF859" s="117" t="n">
        <v>110000</v>
      </c>
      <c r="AG859" s="117" t="s">
        <v>1966</v>
      </c>
      <c r="AI859" s="117" t="n">
        <v>110000</v>
      </c>
      <c r="AJ859" s="117" t="s">
        <v>1966</v>
      </c>
      <c r="AK859" s="117" t="n">
        <v>0</v>
      </c>
      <c r="AL859" s="117" t="n">
        <v>4</v>
      </c>
      <c r="AM859" s="117" t="s">
        <v>161</v>
      </c>
      <c r="AR859" s="118" t="n">
        <v>43800</v>
      </c>
      <c r="AS859" s="117" t="n">
        <v>0.629131944444444</v>
      </c>
      <c r="AT859" s="117" t="n">
        <v>0</v>
      </c>
      <c r="AU859" s="117" t="n">
        <v>0</v>
      </c>
      <c r="AX859" s="117" t="n">
        <v>3</v>
      </c>
    </row>
    <row r="860" customFormat="false" ht="13.8" hidden="true" customHeight="false" outlineLevel="0" collapsed="false">
      <c r="A860" s="117" t="n">
        <v>1000</v>
      </c>
      <c r="B860" s="117" t="s">
        <v>1962</v>
      </c>
      <c r="C860" s="117" t="n">
        <v>100194025</v>
      </c>
      <c r="E860" s="117" t="s">
        <v>1921</v>
      </c>
      <c r="F860" s="117" t="n">
        <v>1112</v>
      </c>
      <c r="G860" s="117" t="n">
        <v>2019</v>
      </c>
      <c r="H860" s="117" t="n">
        <v>9</v>
      </c>
      <c r="I860" s="118" t="n">
        <v>43824</v>
      </c>
      <c r="J860" s="118" t="n">
        <v>43824</v>
      </c>
      <c r="K860" s="119" t="n">
        <v>573867.04</v>
      </c>
      <c r="L860" s="128" t="n">
        <f aca="false">K860-Q860+T860</f>
        <v>573867.04</v>
      </c>
      <c r="M860" s="117" t="s">
        <v>149</v>
      </c>
      <c r="N860" s="117" t="n">
        <v>573867.04</v>
      </c>
      <c r="O860" s="117" t="s">
        <v>149</v>
      </c>
      <c r="P860" s="117" t="n">
        <v>0</v>
      </c>
      <c r="Q860" s="117" t="n">
        <v>0</v>
      </c>
      <c r="R860" s="117" t="n">
        <v>573867.04</v>
      </c>
      <c r="S860" s="117" t="n">
        <v>0</v>
      </c>
      <c r="T860" s="117" t="n">
        <v>0</v>
      </c>
      <c r="U860" s="117" t="n">
        <v>312193</v>
      </c>
      <c r="V860" s="117" t="s">
        <v>1963</v>
      </c>
      <c r="X860" s="117" t="s">
        <v>1770</v>
      </c>
      <c r="Z860" s="117" t="n">
        <v>62148</v>
      </c>
      <c r="AB860" s="117" t="s">
        <v>2362</v>
      </c>
      <c r="AD860" s="117" t="n">
        <v>110000</v>
      </c>
      <c r="AE860" s="117" t="s">
        <v>1966</v>
      </c>
      <c r="AF860" s="117" t="n">
        <v>110000</v>
      </c>
      <c r="AG860" s="117" t="s">
        <v>1966</v>
      </c>
      <c r="AI860" s="117" t="n">
        <v>110000</v>
      </c>
      <c r="AJ860" s="117" t="s">
        <v>1966</v>
      </c>
      <c r="AK860" s="117" t="n">
        <v>0</v>
      </c>
      <c r="AL860" s="117" t="n">
        <v>4</v>
      </c>
      <c r="AM860" s="117" t="s">
        <v>161</v>
      </c>
      <c r="AR860" s="118" t="n">
        <v>43824</v>
      </c>
      <c r="AS860" s="117" t="n">
        <v>0.371284722222222</v>
      </c>
      <c r="AT860" s="117" t="n">
        <v>0</v>
      </c>
      <c r="AU860" s="117" t="n">
        <v>0</v>
      </c>
      <c r="AX860" s="117" t="n">
        <v>3</v>
      </c>
    </row>
    <row r="861" customFormat="false" ht="13.8" hidden="true" customHeight="false" outlineLevel="0" collapsed="false">
      <c r="A861" s="117" t="n">
        <v>1000</v>
      </c>
      <c r="B861" s="117" t="s">
        <v>1962</v>
      </c>
      <c r="C861" s="117" t="n">
        <v>100210304</v>
      </c>
      <c r="E861" s="117" t="s">
        <v>1921</v>
      </c>
      <c r="F861" s="117" t="n">
        <v>1109</v>
      </c>
      <c r="G861" s="117" t="n">
        <v>2019</v>
      </c>
      <c r="H861" s="117" t="n">
        <v>9</v>
      </c>
      <c r="I861" s="118" t="n">
        <v>43830</v>
      </c>
      <c r="J861" s="118" t="n">
        <v>43830</v>
      </c>
      <c r="K861" s="119" t="n">
        <v>7625</v>
      </c>
      <c r="L861" s="128" t="n">
        <f aca="false">K861-Q861+T861</f>
        <v>7625</v>
      </c>
      <c r="M861" s="117" t="s">
        <v>149</v>
      </c>
      <c r="N861" s="117" t="n">
        <v>7625</v>
      </c>
      <c r="O861" s="117" t="s">
        <v>149</v>
      </c>
      <c r="P861" s="117" t="n">
        <v>0</v>
      </c>
      <c r="Q861" s="117" t="n">
        <v>0</v>
      </c>
      <c r="R861" s="117" t="n">
        <v>7625</v>
      </c>
      <c r="S861" s="117" t="n">
        <v>0</v>
      </c>
      <c r="T861" s="117" t="n">
        <v>0</v>
      </c>
      <c r="U861" s="117" t="n">
        <v>312193</v>
      </c>
      <c r="V861" s="117" t="s">
        <v>1963</v>
      </c>
      <c r="X861" s="117" t="s">
        <v>2472</v>
      </c>
      <c r="Z861" s="117" t="n">
        <v>2316</v>
      </c>
      <c r="AB861" s="117" t="s">
        <v>1965</v>
      </c>
      <c r="AD861" s="117" t="n">
        <v>110000</v>
      </c>
      <c r="AE861" s="117" t="s">
        <v>1966</v>
      </c>
      <c r="AF861" s="117" t="n">
        <v>110000</v>
      </c>
      <c r="AG861" s="117" t="s">
        <v>1966</v>
      </c>
      <c r="AI861" s="117" t="n">
        <v>110000</v>
      </c>
      <c r="AJ861" s="117" t="s">
        <v>1966</v>
      </c>
      <c r="AK861" s="117" t="n">
        <v>0</v>
      </c>
      <c r="AL861" s="117" t="n">
        <v>4</v>
      </c>
      <c r="AM861" s="117" t="s">
        <v>161</v>
      </c>
      <c r="AR861" s="118" t="n">
        <v>43831</v>
      </c>
      <c r="AS861" s="117" t="n">
        <v>0.411388888888889</v>
      </c>
      <c r="AT861" s="117" t="n">
        <v>0</v>
      </c>
      <c r="AU861" s="117" t="n">
        <v>0</v>
      </c>
      <c r="AX861" s="117" t="n">
        <v>2</v>
      </c>
    </row>
    <row r="862" s="106" customFormat="true" ht="13.8" hidden="true" customHeight="false" outlineLevel="0" collapsed="false">
      <c r="A862" s="106" t="n">
        <v>1000</v>
      </c>
      <c r="B862" s="106" t="s">
        <v>1962</v>
      </c>
      <c r="C862" s="106" t="n">
        <v>110161</v>
      </c>
      <c r="D862" s="106" t="s">
        <v>1770</v>
      </c>
      <c r="E862" s="106" t="s">
        <v>1970</v>
      </c>
      <c r="F862" s="106" t="n">
        <v>1112</v>
      </c>
      <c r="G862" s="106" t="n">
        <v>2019</v>
      </c>
      <c r="H862" s="106" t="n">
        <v>9</v>
      </c>
      <c r="I862" s="129" t="n">
        <v>43813</v>
      </c>
      <c r="J862" s="129" t="n">
        <v>43813</v>
      </c>
      <c r="K862" s="107" t="n">
        <v>573867.04</v>
      </c>
      <c r="L862" s="130" t="n">
        <f aca="false">K862-Q862+T862</f>
        <v>486328</v>
      </c>
      <c r="M862" s="106" t="s">
        <v>149</v>
      </c>
      <c r="N862" s="106" t="n">
        <v>573867.04</v>
      </c>
      <c r="O862" s="106" t="s">
        <v>149</v>
      </c>
      <c r="P862" s="106" t="n">
        <v>0</v>
      </c>
      <c r="Q862" s="107" t="n">
        <v>87539.04</v>
      </c>
      <c r="R862" s="106" t="n">
        <v>486328</v>
      </c>
      <c r="S862" s="106" t="n">
        <v>0</v>
      </c>
      <c r="T862" s="106" t="n">
        <v>0</v>
      </c>
      <c r="U862" s="106" t="n">
        <v>312193</v>
      </c>
      <c r="V862" s="106" t="s">
        <v>1963</v>
      </c>
      <c r="Z862" s="106" t="n">
        <v>62148</v>
      </c>
      <c r="AB862" s="106" t="s">
        <v>2362</v>
      </c>
      <c r="AD862" s="106" t="n">
        <v>110000</v>
      </c>
      <c r="AE862" s="106" t="s">
        <v>1966</v>
      </c>
      <c r="AF862" s="106" t="n">
        <v>501005</v>
      </c>
      <c r="AG862" s="106" t="s">
        <v>2033</v>
      </c>
      <c r="AI862" s="106" t="n">
        <v>501005</v>
      </c>
      <c r="AJ862" s="106" t="s">
        <v>2033</v>
      </c>
      <c r="AK862" s="106" t="n">
        <v>0</v>
      </c>
      <c r="AL862" s="106" t="n">
        <v>1</v>
      </c>
      <c r="AM862" s="106" t="s">
        <v>161</v>
      </c>
      <c r="AP862" s="106" t="n">
        <v>100194025</v>
      </c>
      <c r="AQ862" s="129" t="n">
        <v>43824</v>
      </c>
      <c r="AR862" s="129" t="n">
        <v>43813</v>
      </c>
      <c r="AS862" s="106" t="n">
        <v>0.687326388888889</v>
      </c>
      <c r="AT862" s="106" t="n">
        <v>0</v>
      </c>
      <c r="AU862" s="106" t="n">
        <v>0</v>
      </c>
      <c r="AX862" s="106" t="n">
        <v>1</v>
      </c>
      <c r="ALU862" s="0"/>
      <c r="ALV862" s="0"/>
      <c r="ALW862" s="0"/>
      <c r="ALX862" s="0"/>
      <c r="ALY862" s="0"/>
      <c r="ALZ862" s="0"/>
      <c r="AMA862" s="0"/>
      <c r="AMB862" s="0"/>
      <c r="AMC862" s="0"/>
      <c r="AMD862" s="0"/>
      <c r="AME862" s="0"/>
      <c r="AMF862" s="0"/>
      <c r="AMG862" s="0"/>
      <c r="AMH862" s="0"/>
      <c r="AMI862" s="0"/>
      <c r="AMJ862" s="0"/>
    </row>
    <row r="863" customFormat="false" ht="13.8" hidden="true" customHeight="false" outlineLevel="0" collapsed="false">
      <c r="A863" s="117" t="n">
        <v>1000</v>
      </c>
      <c r="B863" s="117" t="s">
        <v>1962</v>
      </c>
      <c r="C863" s="117" t="n">
        <v>1600000292</v>
      </c>
      <c r="D863" s="117" t="s">
        <v>2354</v>
      </c>
      <c r="E863" s="117" t="s">
        <v>1987</v>
      </c>
      <c r="F863" s="117" t="n">
        <v>1101</v>
      </c>
      <c r="G863" s="117" t="n">
        <v>2019</v>
      </c>
      <c r="H863" s="117" t="n">
        <v>8</v>
      </c>
      <c r="I863" s="118" t="n">
        <v>43796</v>
      </c>
      <c r="J863" s="118" t="n">
        <v>43796</v>
      </c>
      <c r="K863" s="119" t="n">
        <v>-130</v>
      </c>
      <c r="L863" s="128" t="n">
        <f aca="false">K863-Q863+T863</f>
        <v>-130</v>
      </c>
      <c r="M863" s="117" t="s">
        <v>149</v>
      </c>
      <c r="N863" s="117" t="n">
        <v>-130</v>
      </c>
      <c r="O863" s="117" t="s">
        <v>149</v>
      </c>
      <c r="P863" s="117" t="n">
        <v>-130</v>
      </c>
      <c r="Q863" s="117" t="n">
        <v>0</v>
      </c>
      <c r="R863" s="117" t="n">
        <v>-130</v>
      </c>
      <c r="S863" s="117" t="n">
        <v>0</v>
      </c>
      <c r="T863" s="117" t="n">
        <v>0</v>
      </c>
      <c r="U863" s="117" t="n">
        <v>312193</v>
      </c>
      <c r="V863" s="117" t="s">
        <v>1963</v>
      </c>
      <c r="X863" s="117" t="s">
        <v>2453</v>
      </c>
      <c r="Y863" s="117" t="s">
        <v>2388</v>
      </c>
      <c r="Z863" s="117" t="n">
        <v>1600000292</v>
      </c>
      <c r="AD863" s="117" t="n">
        <v>310300</v>
      </c>
      <c r="AE863" s="117" t="s">
        <v>1969</v>
      </c>
      <c r="AF863" s="117" t="n">
        <v>111201</v>
      </c>
      <c r="AG863" s="117" t="s">
        <v>2165</v>
      </c>
      <c r="AI863" s="117" t="n">
        <v>111201</v>
      </c>
      <c r="AJ863" s="117" t="s">
        <v>2165</v>
      </c>
      <c r="AK863" s="117" t="n">
        <v>0</v>
      </c>
      <c r="AL863" s="117" t="n">
        <v>19</v>
      </c>
      <c r="AM863" s="117" t="s">
        <v>225</v>
      </c>
      <c r="AN863" s="117" t="s">
        <v>1978</v>
      </c>
      <c r="AR863" s="118" t="n">
        <v>43796</v>
      </c>
      <c r="AS863" s="117" t="n">
        <v>0.267407407407407</v>
      </c>
      <c r="AT863" s="117" t="n">
        <v>0</v>
      </c>
      <c r="AU863" s="117" t="n">
        <v>0</v>
      </c>
      <c r="AX863" s="117" t="n">
        <v>13</v>
      </c>
    </row>
    <row r="864" customFormat="false" ht="13.8" hidden="true" customHeight="false" outlineLevel="0" collapsed="false">
      <c r="A864" s="117" t="n">
        <v>1000</v>
      </c>
      <c r="B864" s="117" t="s">
        <v>1962</v>
      </c>
      <c r="C864" s="117" t="n">
        <v>100173564</v>
      </c>
      <c r="E864" s="117" t="s">
        <v>1921</v>
      </c>
      <c r="F864" s="117" t="n">
        <v>1108</v>
      </c>
      <c r="G864" s="117" t="n">
        <v>2019</v>
      </c>
      <c r="H864" s="117" t="n">
        <v>8</v>
      </c>
      <c r="I864" s="118" t="n">
        <v>43799</v>
      </c>
      <c r="J864" s="118" t="n">
        <v>43799</v>
      </c>
      <c r="K864" s="119" t="n">
        <v>174427.12</v>
      </c>
      <c r="L864" s="128" t="n">
        <f aca="false">K864-Q864+T864</f>
        <v>174427.12</v>
      </c>
      <c r="M864" s="117" t="s">
        <v>149</v>
      </c>
      <c r="N864" s="117" t="n">
        <v>174427.12</v>
      </c>
      <c r="O864" s="117" t="s">
        <v>149</v>
      </c>
      <c r="P864" s="117" t="n">
        <v>0</v>
      </c>
      <c r="Q864" s="117" t="n">
        <v>0</v>
      </c>
      <c r="R864" s="117" t="n">
        <v>174427.12</v>
      </c>
      <c r="S864" s="117" t="n">
        <v>0</v>
      </c>
      <c r="T864" s="117" t="n">
        <v>0</v>
      </c>
      <c r="U864" s="117" t="n">
        <v>312193</v>
      </c>
      <c r="V864" s="117" t="s">
        <v>1963</v>
      </c>
      <c r="X864" s="117" t="s">
        <v>1447</v>
      </c>
      <c r="Z864" s="117" t="n">
        <v>2460</v>
      </c>
      <c r="AB864" s="117" t="s">
        <v>2122</v>
      </c>
      <c r="AD864" s="117" t="n">
        <v>110000</v>
      </c>
      <c r="AE864" s="117" t="s">
        <v>1966</v>
      </c>
      <c r="AF864" s="117" t="n">
        <v>110000</v>
      </c>
      <c r="AG864" s="117" t="s">
        <v>1966</v>
      </c>
      <c r="AI864" s="117" t="n">
        <v>110000</v>
      </c>
      <c r="AJ864" s="117" t="s">
        <v>1966</v>
      </c>
      <c r="AK864" s="117" t="n">
        <v>0</v>
      </c>
      <c r="AL864" s="117" t="n">
        <v>4</v>
      </c>
      <c r="AM864" s="117" t="s">
        <v>161</v>
      </c>
      <c r="AP864" s="117" t="n">
        <v>100231549</v>
      </c>
      <c r="AQ864" s="118" t="n">
        <v>43859</v>
      </c>
      <c r="AR864" s="118" t="n">
        <v>43800</v>
      </c>
      <c r="AS864" s="117" t="n">
        <v>0.649189814814815</v>
      </c>
      <c r="AT864" s="117" t="n">
        <v>0</v>
      </c>
      <c r="AU864" s="117" t="n">
        <v>0</v>
      </c>
      <c r="AX864" s="117" t="n">
        <v>2</v>
      </c>
    </row>
    <row r="865" customFormat="false" ht="13.8" hidden="true" customHeight="false" outlineLevel="0" collapsed="false">
      <c r="A865" s="117" t="n">
        <v>1000</v>
      </c>
      <c r="B865" s="117" t="s">
        <v>1962</v>
      </c>
      <c r="C865" s="117" t="n">
        <v>100173338</v>
      </c>
      <c r="E865" s="117" t="s">
        <v>1921</v>
      </c>
      <c r="F865" s="117" t="n">
        <v>1109</v>
      </c>
      <c r="G865" s="117" t="n">
        <v>2019</v>
      </c>
      <c r="H865" s="117" t="n">
        <v>8</v>
      </c>
      <c r="I865" s="118" t="n">
        <v>43799</v>
      </c>
      <c r="J865" s="118" t="n">
        <v>43799</v>
      </c>
      <c r="K865" s="119" t="n">
        <v>-3013</v>
      </c>
      <c r="L865" s="128" t="n">
        <f aca="false">K865-Q865+T865</f>
        <v>-3013</v>
      </c>
      <c r="M865" s="117" t="s">
        <v>149</v>
      </c>
      <c r="N865" s="117" t="n">
        <v>-3013</v>
      </c>
      <c r="O865" s="117" t="s">
        <v>149</v>
      </c>
      <c r="P865" s="117" t="n">
        <v>0</v>
      </c>
      <c r="Q865" s="117" t="n">
        <v>0</v>
      </c>
      <c r="R865" s="117" t="n">
        <v>-3013</v>
      </c>
      <c r="S865" s="117" t="n">
        <v>0</v>
      </c>
      <c r="T865" s="117" t="n">
        <v>0</v>
      </c>
      <c r="U865" s="117" t="n">
        <v>318420</v>
      </c>
      <c r="V865" s="117" t="s">
        <v>2153</v>
      </c>
      <c r="Z865" s="117" t="n">
        <v>100173338</v>
      </c>
      <c r="AD865" s="117" t="n">
        <v>110000</v>
      </c>
      <c r="AE865" s="117" t="s">
        <v>1966</v>
      </c>
      <c r="AF865" s="117" t="n">
        <v>310300</v>
      </c>
      <c r="AG865" s="117" t="s">
        <v>1969</v>
      </c>
      <c r="AI865" s="117" t="n">
        <v>310300</v>
      </c>
      <c r="AJ865" s="117" t="s">
        <v>1969</v>
      </c>
      <c r="AK865" s="117" t="n">
        <v>0</v>
      </c>
      <c r="AL865" s="117" t="n">
        <v>17</v>
      </c>
      <c r="AM865" s="117" t="s">
        <v>225</v>
      </c>
      <c r="AP865" s="117" t="n">
        <v>100173338</v>
      </c>
      <c r="AQ865" s="118" t="n">
        <v>43799</v>
      </c>
      <c r="AR865" s="118" t="n">
        <v>43800</v>
      </c>
      <c r="AS865" s="117" t="n">
        <v>0.572488425925926</v>
      </c>
      <c r="AT865" s="117" t="n">
        <v>0</v>
      </c>
      <c r="AU865" s="117" t="n">
        <v>0</v>
      </c>
      <c r="AX865" s="117" t="n">
        <v>1</v>
      </c>
    </row>
    <row r="866" customFormat="false" ht="13.8" hidden="true" customHeight="false" outlineLevel="0" collapsed="false">
      <c r="A866" s="117" t="n">
        <v>1000</v>
      </c>
      <c r="B866" s="117" t="s">
        <v>1962</v>
      </c>
      <c r="C866" s="117" t="n">
        <v>1600000315</v>
      </c>
      <c r="D866" s="117" t="s">
        <v>2354</v>
      </c>
      <c r="E866" s="117" t="s">
        <v>1987</v>
      </c>
      <c r="F866" s="117" t="n">
        <v>1101</v>
      </c>
      <c r="G866" s="117" t="n">
        <v>2019</v>
      </c>
      <c r="H866" s="117" t="n">
        <v>8</v>
      </c>
      <c r="I866" s="118" t="n">
        <v>43798</v>
      </c>
      <c r="J866" s="118" t="n">
        <v>43798</v>
      </c>
      <c r="K866" s="119" t="n">
        <v>-6502</v>
      </c>
      <c r="L866" s="128" t="n">
        <f aca="false">K866-Q866+T866</f>
        <v>-6502</v>
      </c>
      <c r="M866" s="117" t="s">
        <v>149</v>
      </c>
      <c r="N866" s="117" t="n">
        <v>-6502</v>
      </c>
      <c r="O866" s="117" t="s">
        <v>149</v>
      </c>
      <c r="P866" s="117" t="n">
        <v>-6502</v>
      </c>
      <c r="Q866" s="117" t="n">
        <v>0</v>
      </c>
      <c r="R866" s="117" t="n">
        <v>-6502</v>
      </c>
      <c r="S866" s="117" t="n">
        <v>0</v>
      </c>
      <c r="T866" s="117" t="n">
        <v>0</v>
      </c>
      <c r="U866" s="117" t="n">
        <v>312193</v>
      </c>
      <c r="V866" s="117" t="s">
        <v>1963</v>
      </c>
      <c r="X866" s="117" t="s">
        <v>2473</v>
      </c>
      <c r="Y866" s="117" t="s">
        <v>2354</v>
      </c>
      <c r="Z866" s="117" t="n">
        <v>1600000315</v>
      </c>
      <c r="AD866" s="117" t="n">
        <v>310300</v>
      </c>
      <c r="AE866" s="117" t="s">
        <v>1969</v>
      </c>
      <c r="AF866" s="117" t="n">
        <v>111201</v>
      </c>
      <c r="AG866" s="117" t="s">
        <v>2165</v>
      </c>
      <c r="AI866" s="117" t="n">
        <v>111201</v>
      </c>
      <c r="AJ866" s="117" t="s">
        <v>2165</v>
      </c>
      <c r="AK866" s="117" t="n">
        <v>0</v>
      </c>
      <c r="AL866" s="117" t="n">
        <v>19</v>
      </c>
      <c r="AM866" s="117" t="s">
        <v>225</v>
      </c>
      <c r="AN866" s="117" t="s">
        <v>1978</v>
      </c>
      <c r="AP866" s="117" t="n">
        <v>100173563</v>
      </c>
      <c r="AQ866" s="118" t="n">
        <v>43799</v>
      </c>
      <c r="AR866" s="118" t="n">
        <v>43798</v>
      </c>
      <c r="AS866" s="117" t="n">
        <v>0.954837962962963</v>
      </c>
      <c r="AT866" s="117" t="n">
        <v>0</v>
      </c>
      <c r="AU866" s="117" t="n">
        <v>0</v>
      </c>
      <c r="AX866" s="117" t="n">
        <v>43</v>
      </c>
    </row>
    <row r="867" customFormat="false" ht="13.8" hidden="true" customHeight="false" outlineLevel="0" collapsed="false">
      <c r="A867" s="117" t="n">
        <v>1000</v>
      </c>
      <c r="B867" s="117" t="s">
        <v>1962</v>
      </c>
      <c r="C867" s="117" t="n">
        <v>100143915</v>
      </c>
      <c r="E867" s="117" t="s">
        <v>1921</v>
      </c>
      <c r="F867" s="117" t="n">
        <v>1109</v>
      </c>
      <c r="G867" s="117" t="n">
        <v>2019</v>
      </c>
      <c r="H867" s="117" t="n">
        <v>7</v>
      </c>
      <c r="I867" s="118" t="n">
        <v>43769</v>
      </c>
      <c r="J867" s="118" t="n">
        <v>43769</v>
      </c>
      <c r="K867" s="119" t="n">
        <v>12.94</v>
      </c>
      <c r="L867" s="128" t="n">
        <f aca="false">K867-Q867+T867</f>
        <v>12.94</v>
      </c>
      <c r="M867" s="117" t="s">
        <v>149</v>
      </c>
      <c r="N867" s="117" t="n">
        <v>12.94</v>
      </c>
      <c r="O867" s="117" t="s">
        <v>149</v>
      </c>
      <c r="P867" s="117" t="n">
        <v>0</v>
      </c>
      <c r="Q867" s="117" t="n">
        <v>0</v>
      </c>
      <c r="R867" s="117" t="n">
        <v>12.94</v>
      </c>
      <c r="S867" s="117" t="n">
        <v>0</v>
      </c>
      <c r="T867" s="117" t="n">
        <v>0</v>
      </c>
      <c r="U867" s="117" t="n">
        <v>304431</v>
      </c>
      <c r="V867" s="117" t="s">
        <v>2016</v>
      </c>
      <c r="Z867" s="117" t="n">
        <v>2417</v>
      </c>
      <c r="AB867" s="117" t="s">
        <v>2082</v>
      </c>
      <c r="AD867" s="117" t="n">
        <v>110000</v>
      </c>
      <c r="AE867" s="117" t="s">
        <v>1966</v>
      </c>
      <c r="AF867" s="117" t="n">
        <v>110000</v>
      </c>
      <c r="AG867" s="117" t="s">
        <v>1966</v>
      </c>
      <c r="AI867" s="117" t="n">
        <v>110000</v>
      </c>
      <c r="AJ867" s="117" t="s">
        <v>1966</v>
      </c>
      <c r="AK867" s="117" t="n">
        <v>0</v>
      </c>
      <c r="AL867" s="117" t="n">
        <v>4</v>
      </c>
      <c r="AM867" s="117" t="s">
        <v>161</v>
      </c>
      <c r="AP867" s="117" t="n">
        <v>100173526</v>
      </c>
      <c r="AQ867" s="118" t="n">
        <v>43799</v>
      </c>
      <c r="AR867" s="118" t="n">
        <v>43770</v>
      </c>
      <c r="AS867" s="117" t="n">
        <v>0.188275462962963</v>
      </c>
      <c r="AT867" s="117" t="n">
        <v>0</v>
      </c>
      <c r="AU867" s="117" t="n">
        <v>0</v>
      </c>
      <c r="AX867" s="117" t="n">
        <v>2</v>
      </c>
    </row>
    <row r="868" s="106" customFormat="true" ht="13.8" hidden="true" customHeight="false" outlineLevel="0" collapsed="false">
      <c r="A868" s="106" t="n">
        <v>1000</v>
      </c>
      <c r="B868" s="106" t="s">
        <v>1962</v>
      </c>
      <c r="C868" s="106" t="n">
        <v>112954</v>
      </c>
      <c r="D868" s="106" t="s">
        <v>2474</v>
      </c>
      <c r="E868" s="106" t="s">
        <v>1970</v>
      </c>
      <c r="F868" s="106" t="n">
        <v>1109</v>
      </c>
      <c r="G868" s="106" t="n">
        <v>2019</v>
      </c>
      <c r="H868" s="106" t="n">
        <v>11</v>
      </c>
      <c r="I868" s="129" t="n">
        <v>43882</v>
      </c>
      <c r="J868" s="129" t="n">
        <v>43882</v>
      </c>
      <c r="K868" s="107" t="n">
        <v>1653915.16</v>
      </c>
      <c r="L868" s="130" t="n">
        <f aca="false">K868-Q868+T868</f>
        <v>1401623.02</v>
      </c>
      <c r="M868" s="106" t="s">
        <v>149</v>
      </c>
      <c r="N868" s="106" t="n">
        <v>1653915.16</v>
      </c>
      <c r="O868" s="106" t="s">
        <v>149</v>
      </c>
      <c r="P868" s="106" t="n">
        <v>0</v>
      </c>
      <c r="Q868" s="107" t="n">
        <v>252292.14</v>
      </c>
      <c r="R868" s="106" t="n">
        <v>1401623.02</v>
      </c>
      <c r="S868" s="106" t="n">
        <v>0</v>
      </c>
      <c r="T868" s="106" t="n">
        <v>0</v>
      </c>
      <c r="U868" s="106" t="n">
        <v>312193</v>
      </c>
      <c r="V868" s="106" t="s">
        <v>1963</v>
      </c>
      <c r="Z868" s="106" t="n">
        <v>63775</v>
      </c>
      <c r="AB868" s="106" t="s">
        <v>2469</v>
      </c>
      <c r="AD868" s="106" t="n">
        <v>110000</v>
      </c>
      <c r="AE868" s="106" t="s">
        <v>1966</v>
      </c>
      <c r="AF868" s="106" t="n">
        <v>501005</v>
      </c>
      <c r="AG868" s="106" t="s">
        <v>2033</v>
      </c>
      <c r="AI868" s="106" t="n">
        <v>501005</v>
      </c>
      <c r="AJ868" s="106" t="s">
        <v>2033</v>
      </c>
      <c r="AK868" s="106" t="n">
        <v>0</v>
      </c>
      <c r="AL868" s="106" t="n">
        <v>1</v>
      </c>
      <c r="AM868" s="106" t="s">
        <v>161</v>
      </c>
      <c r="AQ868" s="129"/>
      <c r="AR868" s="129" t="n">
        <v>43882</v>
      </c>
      <c r="AS868" s="106" t="n">
        <v>0.842708333333333</v>
      </c>
      <c r="AT868" s="106" t="n">
        <v>0</v>
      </c>
      <c r="AU868" s="106" t="n">
        <v>0</v>
      </c>
      <c r="AX868" s="106" t="n">
        <v>1</v>
      </c>
      <c r="ALU868" s="0"/>
      <c r="ALV868" s="0"/>
      <c r="ALW868" s="0"/>
      <c r="ALX868" s="0"/>
      <c r="ALY868" s="0"/>
      <c r="ALZ868" s="0"/>
      <c r="AMA868" s="0"/>
      <c r="AMB868" s="0"/>
      <c r="AMC868" s="0"/>
      <c r="AMD868" s="0"/>
      <c r="AME868" s="0"/>
      <c r="AMF868" s="0"/>
      <c r="AMG868" s="0"/>
      <c r="AMH868" s="0"/>
      <c r="AMI868" s="0"/>
      <c r="AMJ868" s="0"/>
    </row>
    <row r="869" customFormat="false" ht="13.8" hidden="true" customHeight="false" outlineLevel="0" collapsed="false">
      <c r="A869" s="117" t="n">
        <v>1000</v>
      </c>
      <c r="B869" s="117" t="s">
        <v>1962</v>
      </c>
      <c r="C869" s="117" t="n">
        <v>100197095</v>
      </c>
      <c r="E869" s="117" t="s">
        <v>1921</v>
      </c>
      <c r="F869" s="117" t="n">
        <v>1109</v>
      </c>
      <c r="G869" s="117" t="n">
        <v>2019</v>
      </c>
      <c r="H869" s="117" t="n">
        <v>9</v>
      </c>
      <c r="I869" s="118" t="n">
        <v>43827</v>
      </c>
      <c r="J869" s="118" t="n">
        <v>43827</v>
      </c>
      <c r="K869" s="119" t="n">
        <v>3370991.8</v>
      </c>
      <c r="L869" s="128" t="n">
        <f aca="false">K869-Q869+T869</f>
        <v>3370991.8</v>
      </c>
      <c r="M869" s="117" t="s">
        <v>149</v>
      </c>
      <c r="N869" s="117" t="n">
        <v>3370991.8</v>
      </c>
      <c r="O869" s="117" t="s">
        <v>149</v>
      </c>
      <c r="P869" s="117" t="n">
        <v>0</v>
      </c>
      <c r="Q869" s="117" t="n">
        <v>0</v>
      </c>
      <c r="R869" s="117" t="n">
        <v>3370991.8</v>
      </c>
      <c r="S869" s="117" t="n">
        <v>0</v>
      </c>
      <c r="T869" s="117" t="n">
        <v>0</v>
      </c>
      <c r="U869" s="117" t="n">
        <v>311155</v>
      </c>
      <c r="V869" s="117" t="s">
        <v>2022</v>
      </c>
      <c r="X869" s="117" t="s">
        <v>1162</v>
      </c>
      <c r="Z869" s="117" t="n">
        <v>62745</v>
      </c>
      <c r="AB869" s="117" t="s">
        <v>2423</v>
      </c>
      <c r="AD869" s="117" t="n">
        <v>110000</v>
      </c>
      <c r="AE869" s="117" t="s">
        <v>1966</v>
      </c>
      <c r="AF869" s="117" t="n">
        <v>110000</v>
      </c>
      <c r="AG869" s="117" t="s">
        <v>1966</v>
      </c>
      <c r="AI869" s="117" t="n">
        <v>110000</v>
      </c>
      <c r="AJ869" s="117" t="s">
        <v>1966</v>
      </c>
      <c r="AK869" s="117" t="n">
        <v>0</v>
      </c>
      <c r="AL869" s="117" t="n">
        <v>4</v>
      </c>
      <c r="AM869" s="117" t="s">
        <v>161</v>
      </c>
      <c r="AR869" s="118" t="n">
        <v>43827</v>
      </c>
      <c r="AS869" s="117" t="n">
        <v>0.351099537037037</v>
      </c>
      <c r="AT869" s="117" t="n">
        <v>0</v>
      </c>
      <c r="AU869" s="117" t="n">
        <v>0</v>
      </c>
      <c r="AX869" s="117" t="n">
        <v>1</v>
      </c>
    </row>
    <row r="870" s="106" customFormat="true" ht="13.8" hidden="true" customHeight="false" outlineLevel="0" collapsed="false">
      <c r="A870" s="106" t="n">
        <v>1000</v>
      </c>
      <c r="B870" s="106" t="s">
        <v>1962</v>
      </c>
      <c r="C870" s="106" t="n">
        <v>107696</v>
      </c>
      <c r="D870" s="106" t="s">
        <v>1294</v>
      </c>
      <c r="E870" s="106" t="s">
        <v>1970</v>
      </c>
      <c r="F870" s="106" t="n">
        <v>1101</v>
      </c>
      <c r="G870" s="106" t="n">
        <v>2019</v>
      </c>
      <c r="H870" s="106" t="n">
        <v>7</v>
      </c>
      <c r="I870" s="129" t="n">
        <v>43747</v>
      </c>
      <c r="J870" s="129" t="n">
        <v>43747</v>
      </c>
      <c r="K870" s="107" t="n">
        <v>2075013.48</v>
      </c>
      <c r="L870" s="130" t="n">
        <f aca="false">K870-Q870+T870</f>
        <v>1758486</v>
      </c>
      <c r="M870" s="106" t="s">
        <v>149</v>
      </c>
      <c r="N870" s="106" t="n">
        <v>2075013.48</v>
      </c>
      <c r="O870" s="106" t="s">
        <v>149</v>
      </c>
      <c r="P870" s="106" t="n">
        <v>0</v>
      </c>
      <c r="Q870" s="107" t="n">
        <v>316527.48</v>
      </c>
      <c r="R870" s="106" t="n">
        <v>1758486</v>
      </c>
      <c r="S870" s="106" t="n">
        <v>0</v>
      </c>
      <c r="T870" s="106" t="n">
        <v>0</v>
      </c>
      <c r="U870" s="106" t="n">
        <v>318999</v>
      </c>
      <c r="V870" s="106" t="s">
        <v>143</v>
      </c>
      <c r="Z870" s="106" t="n">
        <v>61348</v>
      </c>
      <c r="AB870" s="106" t="n">
        <v>2300050954</v>
      </c>
      <c r="AD870" s="106" t="n">
        <v>110000</v>
      </c>
      <c r="AE870" s="106" t="s">
        <v>1966</v>
      </c>
      <c r="AF870" s="106" t="n">
        <v>501000</v>
      </c>
      <c r="AG870" s="106" t="s">
        <v>2170</v>
      </c>
      <c r="AI870" s="106" t="n">
        <v>501000</v>
      </c>
      <c r="AJ870" s="106" t="s">
        <v>2170</v>
      </c>
      <c r="AK870" s="106" t="n">
        <v>0</v>
      </c>
      <c r="AL870" s="106" t="n">
        <v>1</v>
      </c>
      <c r="AM870" s="106" t="s">
        <v>161</v>
      </c>
      <c r="AP870" s="106" t="n">
        <v>100141514</v>
      </c>
      <c r="AQ870" s="129" t="n">
        <v>43766</v>
      </c>
      <c r="AR870" s="129" t="n">
        <v>43748</v>
      </c>
      <c r="AS870" s="106" t="n">
        <v>0.66900462962963</v>
      </c>
      <c r="AT870" s="106" t="n">
        <v>0</v>
      </c>
      <c r="AU870" s="106" t="n">
        <v>0</v>
      </c>
      <c r="AX870" s="106" t="n">
        <v>1</v>
      </c>
      <c r="ALU870" s="0"/>
      <c r="ALV870" s="0"/>
      <c r="ALW870" s="0"/>
      <c r="ALX870" s="0"/>
      <c r="ALY870" s="0"/>
      <c r="ALZ870" s="0"/>
      <c r="AMA870" s="0"/>
      <c r="AMB870" s="0"/>
      <c r="AMC870" s="0"/>
      <c r="AMD870" s="0"/>
      <c r="AME870" s="0"/>
      <c r="AMF870" s="0"/>
      <c r="AMG870" s="0"/>
      <c r="AMH870" s="0"/>
      <c r="AMI870" s="0"/>
      <c r="AMJ870" s="0"/>
    </row>
    <row r="871" customFormat="false" ht="13.8" hidden="true" customHeight="false" outlineLevel="0" collapsed="false">
      <c r="A871" s="117" t="n">
        <v>1000</v>
      </c>
      <c r="B871" s="117" t="s">
        <v>1962</v>
      </c>
      <c r="C871" s="117" t="n">
        <v>1600000315</v>
      </c>
      <c r="D871" s="117" t="s">
        <v>2354</v>
      </c>
      <c r="E871" s="117" t="s">
        <v>1987</v>
      </c>
      <c r="F871" s="117" t="n">
        <v>1101</v>
      </c>
      <c r="G871" s="117" t="n">
        <v>2019</v>
      </c>
      <c r="H871" s="117" t="n">
        <v>8</v>
      </c>
      <c r="I871" s="118" t="n">
        <v>43798</v>
      </c>
      <c r="J871" s="118" t="n">
        <v>43798</v>
      </c>
      <c r="K871" s="119" t="n">
        <v>-6138</v>
      </c>
      <c r="L871" s="128" t="n">
        <f aca="false">K871-Q871+T871</f>
        <v>-6138</v>
      </c>
      <c r="M871" s="117" t="s">
        <v>149</v>
      </c>
      <c r="N871" s="117" t="n">
        <v>-6138</v>
      </c>
      <c r="O871" s="117" t="s">
        <v>149</v>
      </c>
      <c r="P871" s="117" t="n">
        <v>-6138</v>
      </c>
      <c r="Q871" s="117" t="n">
        <v>0</v>
      </c>
      <c r="R871" s="117" t="n">
        <v>-6138</v>
      </c>
      <c r="S871" s="117" t="n">
        <v>0</v>
      </c>
      <c r="T871" s="117" t="n">
        <v>0</v>
      </c>
      <c r="U871" s="117" t="n">
        <v>312193</v>
      </c>
      <c r="V871" s="117" t="s">
        <v>1963</v>
      </c>
      <c r="X871" s="117" t="s">
        <v>2475</v>
      </c>
      <c r="Y871" s="117" t="s">
        <v>2354</v>
      </c>
      <c r="Z871" s="117" t="n">
        <v>1600000315</v>
      </c>
      <c r="AD871" s="117" t="n">
        <v>310300</v>
      </c>
      <c r="AE871" s="117" t="s">
        <v>1969</v>
      </c>
      <c r="AF871" s="117" t="n">
        <v>111201</v>
      </c>
      <c r="AG871" s="117" t="s">
        <v>2165</v>
      </c>
      <c r="AI871" s="117" t="n">
        <v>111201</v>
      </c>
      <c r="AJ871" s="117" t="s">
        <v>2165</v>
      </c>
      <c r="AK871" s="117" t="n">
        <v>0</v>
      </c>
      <c r="AL871" s="117" t="n">
        <v>19</v>
      </c>
      <c r="AM871" s="117" t="s">
        <v>225</v>
      </c>
      <c r="AN871" s="117" t="s">
        <v>1978</v>
      </c>
      <c r="AP871" s="117" t="n">
        <v>100173563</v>
      </c>
      <c r="AQ871" s="118" t="n">
        <v>43799</v>
      </c>
      <c r="AR871" s="118" t="n">
        <v>43798</v>
      </c>
      <c r="AS871" s="117" t="n">
        <v>0.954837962962963</v>
      </c>
      <c r="AT871" s="117" t="n">
        <v>0</v>
      </c>
      <c r="AU871" s="117" t="n">
        <v>0</v>
      </c>
      <c r="AX871" s="117" t="n">
        <v>32</v>
      </c>
    </row>
    <row r="872" s="106" customFormat="true" ht="13.8" hidden="true" customHeight="false" outlineLevel="0" collapsed="false">
      <c r="A872" s="106" t="n">
        <v>1000</v>
      </c>
      <c r="B872" s="106" t="s">
        <v>1962</v>
      </c>
      <c r="C872" s="106" t="n">
        <v>112993</v>
      </c>
      <c r="D872" s="106" t="s">
        <v>2476</v>
      </c>
      <c r="E872" s="106" t="s">
        <v>1970</v>
      </c>
      <c r="F872" s="106" t="n">
        <v>1109</v>
      </c>
      <c r="G872" s="106" t="n">
        <v>2019</v>
      </c>
      <c r="H872" s="106" t="n">
        <v>11</v>
      </c>
      <c r="I872" s="129" t="n">
        <v>43883</v>
      </c>
      <c r="J872" s="129" t="n">
        <v>43883</v>
      </c>
      <c r="K872" s="107" t="n">
        <v>683909.12</v>
      </c>
      <c r="L872" s="130" t="n">
        <f aca="false">K872-Q872+T872</f>
        <v>579584</v>
      </c>
      <c r="M872" s="106" t="s">
        <v>149</v>
      </c>
      <c r="N872" s="106" t="n">
        <v>683909.12</v>
      </c>
      <c r="O872" s="106" t="s">
        <v>149</v>
      </c>
      <c r="P872" s="106" t="n">
        <v>0</v>
      </c>
      <c r="Q872" s="107" t="n">
        <v>104325.12</v>
      </c>
      <c r="R872" s="106" t="n">
        <v>579584</v>
      </c>
      <c r="S872" s="106" t="n">
        <v>0</v>
      </c>
      <c r="T872" s="106" t="n">
        <v>0</v>
      </c>
      <c r="U872" s="106" t="n">
        <v>312193</v>
      </c>
      <c r="V872" s="106" t="s">
        <v>1963</v>
      </c>
      <c r="Z872" s="106" t="n">
        <v>62955</v>
      </c>
      <c r="AB872" s="106" t="s">
        <v>2477</v>
      </c>
      <c r="AD872" s="106" t="n">
        <v>110000</v>
      </c>
      <c r="AE872" s="106" t="s">
        <v>1966</v>
      </c>
      <c r="AF872" s="106" t="n">
        <v>501000</v>
      </c>
      <c r="AG872" s="106" t="s">
        <v>2170</v>
      </c>
      <c r="AI872" s="106" t="n">
        <v>501000</v>
      </c>
      <c r="AJ872" s="106" t="s">
        <v>2170</v>
      </c>
      <c r="AK872" s="106" t="n">
        <v>0</v>
      </c>
      <c r="AL872" s="106" t="n">
        <v>1</v>
      </c>
      <c r="AM872" s="106" t="s">
        <v>161</v>
      </c>
      <c r="AQ872" s="129"/>
      <c r="AR872" s="129" t="n">
        <v>43883</v>
      </c>
      <c r="AS872" s="106" t="n">
        <v>0.683217592592593</v>
      </c>
      <c r="AT872" s="106" t="n">
        <v>0</v>
      </c>
      <c r="AU872" s="106" t="n">
        <v>0</v>
      </c>
      <c r="AX872" s="106" t="n">
        <v>1</v>
      </c>
      <c r="ALU872" s="0"/>
      <c r="ALV872" s="0"/>
      <c r="ALW872" s="0"/>
      <c r="ALX872" s="0"/>
      <c r="ALY872" s="0"/>
      <c r="ALZ872" s="0"/>
      <c r="AMA872" s="0"/>
      <c r="AMB872" s="0"/>
      <c r="AMC872" s="0"/>
      <c r="AMD872" s="0"/>
      <c r="AME872" s="0"/>
      <c r="AMF872" s="0"/>
      <c r="AMG872" s="0"/>
      <c r="AMH872" s="0"/>
      <c r="AMI872" s="0"/>
      <c r="AMJ872" s="0"/>
    </row>
    <row r="873" s="106" customFormat="true" ht="13.8" hidden="true" customHeight="false" outlineLevel="0" collapsed="false">
      <c r="A873" s="106" t="n">
        <v>1000</v>
      </c>
      <c r="B873" s="106" t="s">
        <v>1962</v>
      </c>
      <c r="C873" s="106" t="n">
        <v>112994</v>
      </c>
      <c r="D873" s="106" t="s">
        <v>2478</v>
      </c>
      <c r="E873" s="106" t="s">
        <v>1970</v>
      </c>
      <c r="F873" s="106" t="n">
        <v>1109</v>
      </c>
      <c r="G873" s="106" t="n">
        <v>2019</v>
      </c>
      <c r="H873" s="106" t="n">
        <v>11</v>
      </c>
      <c r="I873" s="129" t="n">
        <v>43883</v>
      </c>
      <c r="J873" s="129" t="n">
        <v>43883</v>
      </c>
      <c r="K873" s="107" t="n">
        <v>407000.88</v>
      </c>
      <c r="L873" s="130" t="n">
        <f aca="false">K873-Q873+T873</f>
        <v>344916</v>
      </c>
      <c r="M873" s="106" t="s">
        <v>149</v>
      </c>
      <c r="N873" s="106" t="n">
        <v>407000.88</v>
      </c>
      <c r="O873" s="106" t="s">
        <v>149</v>
      </c>
      <c r="P873" s="106" t="n">
        <v>0</v>
      </c>
      <c r="Q873" s="107" t="n">
        <v>62084.88</v>
      </c>
      <c r="R873" s="106" t="n">
        <v>344916</v>
      </c>
      <c r="S873" s="106" t="n">
        <v>0</v>
      </c>
      <c r="T873" s="106" t="n">
        <v>0</v>
      </c>
      <c r="U873" s="106" t="n">
        <v>312193</v>
      </c>
      <c r="V873" s="106" t="s">
        <v>1963</v>
      </c>
      <c r="Z873" s="106" t="n">
        <v>62805</v>
      </c>
      <c r="AB873" s="106" t="s">
        <v>2477</v>
      </c>
      <c r="AD873" s="106" t="n">
        <v>110000</v>
      </c>
      <c r="AE873" s="106" t="s">
        <v>1966</v>
      </c>
      <c r="AF873" s="106" t="n">
        <v>501005</v>
      </c>
      <c r="AG873" s="106" t="s">
        <v>2033</v>
      </c>
      <c r="AI873" s="106" t="n">
        <v>501005</v>
      </c>
      <c r="AJ873" s="106" t="s">
        <v>2033</v>
      </c>
      <c r="AK873" s="106" t="n">
        <v>0</v>
      </c>
      <c r="AL873" s="106" t="n">
        <v>1</v>
      </c>
      <c r="AM873" s="106" t="s">
        <v>161</v>
      </c>
      <c r="AQ873" s="129"/>
      <c r="AR873" s="129" t="n">
        <v>43883</v>
      </c>
      <c r="AS873" s="106" t="n">
        <v>0.684409722222222</v>
      </c>
      <c r="AT873" s="106" t="n">
        <v>0</v>
      </c>
      <c r="AU873" s="106" t="n">
        <v>0</v>
      </c>
      <c r="AX873" s="106" t="n">
        <v>1</v>
      </c>
      <c r="ALU873" s="0"/>
      <c r="ALV873" s="0"/>
      <c r="ALW873" s="0"/>
      <c r="ALX873" s="0"/>
      <c r="ALY873" s="0"/>
      <c r="ALZ873" s="0"/>
      <c r="AMA873" s="0"/>
      <c r="AMB873" s="0"/>
      <c r="AMC873" s="0"/>
      <c r="AMD873" s="0"/>
      <c r="AME873" s="0"/>
      <c r="AMF873" s="0"/>
      <c r="AMG873" s="0"/>
      <c r="AMH873" s="0"/>
      <c r="AMI873" s="0"/>
      <c r="AMJ873" s="0"/>
    </row>
    <row r="874" customFormat="false" ht="13.8" hidden="true" customHeight="false" outlineLevel="0" collapsed="false">
      <c r="A874" s="117" t="n">
        <v>1000</v>
      </c>
      <c r="B874" s="117" t="s">
        <v>1962</v>
      </c>
      <c r="C874" s="117" t="n">
        <v>1600000288</v>
      </c>
      <c r="D874" s="117" t="s">
        <v>2356</v>
      </c>
      <c r="E874" s="117" t="s">
        <v>1987</v>
      </c>
      <c r="F874" s="117" t="n">
        <v>1101</v>
      </c>
      <c r="G874" s="117" t="n">
        <v>2019</v>
      </c>
      <c r="H874" s="117" t="n">
        <v>8</v>
      </c>
      <c r="I874" s="118" t="n">
        <v>43795</v>
      </c>
      <c r="J874" s="118" t="n">
        <v>43795</v>
      </c>
      <c r="K874" s="119" t="n">
        <v>-14036</v>
      </c>
      <c r="L874" s="128" t="n">
        <f aca="false">K874-Q874+T874</f>
        <v>-14036</v>
      </c>
      <c r="M874" s="117" t="s">
        <v>149</v>
      </c>
      <c r="N874" s="117" t="n">
        <v>-14036</v>
      </c>
      <c r="O874" s="117" t="s">
        <v>149</v>
      </c>
      <c r="P874" s="117" t="n">
        <v>-14036</v>
      </c>
      <c r="Q874" s="117" t="n">
        <v>0</v>
      </c>
      <c r="R874" s="117" t="n">
        <v>-14036</v>
      </c>
      <c r="S874" s="117" t="n">
        <v>0</v>
      </c>
      <c r="T874" s="117" t="n">
        <v>0</v>
      </c>
      <c r="U874" s="117" t="n">
        <v>312193</v>
      </c>
      <c r="V874" s="117" t="s">
        <v>1963</v>
      </c>
      <c r="X874" s="117" t="s">
        <v>2479</v>
      </c>
      <c r="Y874" s="117" t="s">
        <v>2358</v>
      </c>
      <c r="Z874" s="117" t="n">
        <v>1600000288</v>
      </c>
      <c r="AD874" s="117" t="n">
        <v>310300</v>
      </c>
      <c r="AE874" s="117" t="s">
        <v>1969</v>
      </c>
      <c r="AF874" s="117" t="n">
        <v>111201</v>
      </c>
      <c r="AG874" s="117" t="s">
        <v>2165</v>
      </c>
      <c r="AI874" s="117" t="n">
        <v>111201</v>
      </c>
      <c r="AJ874" s="117" t="s">
        <v>2165</v>
      </c>
      <c r="AK874" s="117" t="n">
        <v>0</v>
      </c>
      <c r="AL874" s="117" t="n">
        <v>19</v>
      </c>
      <c r="AM874" s="117" t="s">
        <v>225</v>
      </c>
      <c r="AN874" s="117" t="s">
        <v>1978</v>
      </c>
      <c r="AP874" s="117" t="n">
        <v>100173563</v>
      </c>
      <c r="AQ874" s="118" t="n">
        <v>43799</v>
      </c>
      <c r="AR874" s="118" t="n">
        <v>43795</v>
      </c>
      <c r="AS874" s="117" t="n">
        <v>0.285</v>
      </c>
      <c r="AT874" s="117" t="n">
        <v>0</v>
      </c>
      <c r="AU874" s="117" t="n">
        <v>0</v>
      </c>
      <c r="AX874" s="117" t="n">
        <v>36</v>
      </c>
    </row>
    <row r="875" customFormat="false" ht="13.8" hidden="true" customHeight="false" outlineLevel="0" collapsed="false">
      <c r="A875" s="117" t="n">
        <v>1000</v>
      </c>
      <c r="B875" s="117" t="s">
        <v>1962</v>
      </c>
      <c r="C875" s="117" t="n">
        <v>100173563</v>
      </c>
      <c r="E875" s="117" t="s">
        <v>1921</v>
      </c>
      <c r="F875" s="117" t="n">
        <v>1108</v>
      </c>
      <c r="G875" s="117" t="n">
        <v>2019</v>
      </c>
      <c r="H875" s="117" t="n">
        <v>8</v>
      </c>
      <c r="I875" s="118" t="n">
        <v>43799</v>
      </c>
      <c r="J875" s="118" t="n">
        <v>43799</v>
      </c>
      <c r="K875" s="119" t="n">
        <v>-17142.48</v>
      </c>
      <c r="L875" s="128" t="n">
        <f aca="false">K875-Q875+T875</f>
        <v>-17142.48</v>
      </c>
      <c r="M875" s="117" t="s">
        <v>149</v>
      </c>
      <c r="N875" s="117" t="n">
        <v>-17142.48</v>
      </c>
      <c r="O875" s="117" t="s">
        <v>149</v>
      </c>
      <c r="P875" s="117" t="n">
        <v>0</v>
      </c>
      <c r="Q875" s="117" t="n">
        <v>0</v>
      </c>
      <c r="R875" s="117" t="n">
        <v>-17142.48</v>
      </c>
      <c r="S875" s="117" t="n">
        <v>0</v>
      </c>
      <c r="T875" s="117" t="n">
        <v>0</v>
      </c>
      <c r="U875" s="117" t="n">
        <v>312193</v>
      </c>
      <c r="V875" s="117" t="s">
        <v>1963</v>
      </c>
      <c r="Z875" s="117" t="n">
        <v>100173563</v>
      </c>
      <c r="AD875" s="117" t="n">
        <v>110000</v>
      </c>
      <c r="AE875" s="117" t="s">
        <v>1966</v>
      </c>
      <c r="AF875" s="117" t="n">
        <v>310300</v>
      </c>
      <c r="AG875" s="117" t="s">
        <v>1969</v>
      </c>
      <c r="AI875" s="117" t="n">
        <v>310300</v>
      </c>
      <c r="AJ875" s="117" t="s">
        <v>1969</v>
      </c>
      <c r="AK875" s="117" t="n">
        <v>0</v>
      </c>
      <c r="AL875" s="117" t="n">
        <v>17</v>
      </c>
      <c r="AM875" s="117" t="s">
        <v>225</v>
      </c>
      <c r="AP875" s="117" t="n">
        <v>100173563</v>
      </c>
      <c r="AQ875" s="118" t="n">
        <v>43799</v>
      </c>
      <c r="AR875" s="118" t="n">
        <v>43800</v>
      </c>
      <c r="AS875" s="117" t="n">
        <v>0.641574074074074</v>
      </c>
      <c r="AT875" s="117" t="n">
        <v>0</v>
      </c>
      <c r="AU875" s="117" t="n">
        <v>0</v>
      </c>
      <c r="AX875" s="117" t="n">
        <v>3</v>
      </c>
    </row>
    <row r="876" customFormat="false" ht="13.8" hidden="true" customHeight="false" outlineLevel="0" collapsed="false">
      <c r="A876" s="117" t="n">
        <v>1000</v>
      </c>
      <c r="B876" s="117" t="s">
        <v>1962</v>
      </c>
      <c r="C876" s="117" t="n">
        <v>100173564</v>
      </c>
      <c r="E876" s="117" t="s">
        <v>1921</v>
      </c>
      <c r="F876" s="117" t="n">
        <v>1109</v>
      </c>
      <c r="G876" s="117" t="n">
        <v>2019</v>
      </c>
      <c r="H876" s="117" t="n">
        <v>8</v>
      </c>
      <c r="I876" s="118" t="n">
        <v>43799</v>
      </c>
      <c r="J876" s="118" t="n">
        <v>43799</v>
      </c>
      <c r="K876" s="119" t="n">
        <v>559898.2</v>
      </c>
      <c r="L876" s="128" t="n">
        <f aca="false">K876-Q876+T876</f>
        <v>559898.2</v>
      </c>
      <c r="M876" s="117" t="s">
        <v>149</v>
      </c>
      <c r="N876" s="117" t="n">
        <v>559898.2</v>
      </c>
      <c r="O876" s="117" t="s">
        <v>149</v>
      </c>
      <c r="P876" s="117" t="n">
        <v>0</v>
      </c>
      <c r="Q876" s="117" t="n">
        <v>0</v>
      </c>
      <c r="R876" s="117" t="n">
        <v>559898.2</v>
      </c>
      <c r="S876" s="117" t="n">
        <v>0</v>
      </c>
      <c r="T876" s="117" t="n">
        <v>0</v>
      </c>
      <c r="U876" s="117" t="n">
        <v>312193</v>
      </c>
      <c r="V876" s="117" t="s">
        <v>1963</v>
      </c>
      <c r="X876" s="117" t="s">
        <v>1000</v>
      </c>
      <c r="Z876" s="117" t="n">
        <v>2316</v>
      </c>
      <c r="AB876" s="117" t="s">
        <v>1965</v>
      </c>
      <c r="AD876" s="117" t="n">
        <v>110000</v>
      </c>
      <c r="AE876" s="117" t="s">
        <v>1966</v>
      </c>
      <c r="AF876" s="117" t="n">
        <v>110000</v>
      </c>
      <c r="AG876" s="117" t="s">
        <v>1966</v>
      </c>
      <c r="AI876" s="117" t="n">
        <v>110000</v>
      </c>
      <c r="AJ876" s="117" t="s">
        <v>1966</v>
      </c>
      <c r="AK876" s="117" t="n">
        <v>0</v>
      </c>
      <c r="AL876" s="117" t="n">
        <v>4</v>
      </c>
      <c r="AM876" s="117" t="s">
        <v>161</v>
      </c>
      <c r="AP876" s="117" t="n">
        <v>100210304</v>
      </c>
      <c r="AQ876" s="118" t="n">
        <v>43830</v>
      </c>
      <c r="AR876" s="118" t="n">
        <v>43800</v>
      </c>
      <c r="AS876" s="117" t="n">
        <v>0.649189814814815</v>
      </c>
      <c r="AT876" s="117" t="n">
        <v>0</v>
      </c>
      <c r="AU876" s="117" t="n">
        <v>0</v>
      </c>
      <c r="AX876" s="117" t="n">
        <v>6</v>
      </c>
    </row>
    <row r="877" customFormat="false" ht="13.8" hidden="true" customHeight="false" outlineLevel="0" collapsed="false">
      <c r="A877" s="117" t="n">
        <v>1000</v>
      </c>
      <c r="B877" s="117" t="s">
        <v>1962</v>
      </c>
      <c r="C877" s="117" t="n">
        <v>100199799</v>
      </c>
      <c r="E877" s="117" t="s">
        <v>1921</v>
      </c>
      <c r="F877" s="117" t="n">
        <v>1112</v>
      </c>
      <c r="G877" s="117" t="n">
        <v>2019</v>
      </c>
      <c r="H877" s="117" t="n">
        <v>9</v>
      </c>
      <c r="I877" s="118" t="n">
        <v>43830</v>
      </c>
      <c r="J877" s="118" t="n">
        <v>43830</v>
      </c>
      <c r="K877" s="119" t="n">
        <v>62112.37</v>
      </c>
      <c r="L877" s="128" t="n">
        <f aca="false">K877-Q877+T877</f>
        <v>62112.37</v>
      </c>
      <c r="M877" s="117" t="s">
        <v>149</v>
      </c>
      <c r="N877" s="117" t="n">
        <v>62112.37</v>
      </c>
      <c r="O877" s="117" t="s">
        <v>149</v>
      </c>
      <c r="P877" s="117" t="n">
        <v>0</v>
      </c>
      <c r="Q877" s="117" t="n">
        <v>0</v>
      </c>
      <c r="R877" s="117" t="n">
        <v>62112.37</v>
      </c>
      <c r="S877" s="117" t="n">
        <v>0</v>
      </c>
      <c r="T877" s="117" t="n">
        <v>0</v>
      </c>
      <c r="U877" s="117" t="n">
        <v>312193</v>
      </c>
      <c r="V877" s="117" t="s">
        <v>1963</v>
      </c>
      <c r="X877" s="117" t="s">
        <v>2452</v>
      </c>
      <c r="Z877" s="117" t="n">
        <v>62199</v>
      </c>
      <c r="AB877" s="117" t="s">
        <v>2350</v>
      </c>
      <c r="AD877" s="117" t="n">
        <v>110000</v>
      </c>
      <c r="AE877" s="117" t="s">
        <v>1966</v>
      </c>
      <c r="AF877" s="117" t="n">
        <v>110000</v>
      </c>
      <c r="AG877" s="117" t="s">
        <v>1966</v>
      </c>
      <c r="AI877" s="117" t="n">
        <v>110000</v>
      </c>
      <c r="AJ877" s="117" t="s">
        <v>1966</v>
      </c>
      <c r="AK877" s="117" t="n">
        <v>0</v>
      </c>
      <c r="AL877" s="117" t="n">
        <v>4</v>
      </c>
      <c r="AM877" s="117" t="s">
        <v>161</v>
      </c>
      <c r="AR877" s="118" t="n">
        <v>43830</v>
      </c>
      <c r="AS877" s="117" t="n">
        <v>0.279467592592593</v>
      </c>
      <c r="AT877" s="117" t="n">
        <v>0</v>
      </c>
      <c r="AU877" s="117" t="n">
        <v>0</v>
      </c>
      <c r="AX877" s="117" t="n">
        <v>18</v>
      </c>
    </row>
    <row r="878" s="106" customFormat="true" ht="13.8" hidden="true" customHeight="false" outlineLevel="0" collapsed="false">
      <c r="A878" s="106" t="n">
        <v>1000</v>
      </c>
      <c r="B878" s="106" t="s">
        <v>1962</v>
      </c>
      <c r="C878" s="106" t="n">
        <v>109671</v>
      </c>
      <c r="D878" s="106" t="s">
        <v>1681</v>
      </c>
      <c r="E878" s="106" t="s">
        <v>1970</v>
      </c>
      <c r="F878" s="106" t="n">
        <v>1108</v>
      </c>
      <c r="G878" s="106" t="n">
        <v>2019</v>
      </c>
      <c r="H878" s="106" t="n">
        <v>8</v>
      </c>
      <c r="I878" s="129" t="n">
        <v>43798</v>
      </c>
      <c r="J878" s="129" t="n">
        <v>43798</v>
      </c>
      <c r="K878" s="107" t="n">
        <v>779582.24</v>
      </c>
      <c r="L878" s="130" t="n">
        <f aca="false">K878-Q878+T878</f>
        <v>660662.91</v>
      </c>
      <c r="M878" s="106" t="s">
        <v>149</v>
      </c>
      <c r="N878" s="106" t="n">
        <v>779582.24</v>
      </c>
      <c r="O878" s="106" t="s">
        <v>149</v>
      </c>
      <c r="P878" s="106" t="n">
        <v>0</v>
      </c>
      <c r="Q878" s="107" t="n">
        <v>118919.33</v>
      </c>
      <c r="R878" s="106" t="n">
        <v>660662.91</v>
      </c>
      <c r="S878" s="106" t="n">
        <v>0</v>
      </c>
      <c r="T878" s="106" t="n">
        <v>0</v>
      </c>
      <c r="U878" s="106" t="n">
        <v>312193</v>
      </c>
      <c r="V878" s="106" t="s">
        <v>1963</v>
      </c>
      <c r="Z878" s="106" t="n">
        <v>61993</v>
      </c>
      <c r="AB878" s="106" t="s">
        <v>2109</v>
      </c>
      <c r="AD878" s="106" t="n">
        <v>110000</v>
      </c>
      <c r="AE878" s="106" t="s">
        <v>1966</v>
      </c>
      <c r="AF878" s="106" t="n">
        <v>501005</v>
      </c>
      <c r="AG878" s="106" t="s">
        <v>2033</v>
      </c>
      <c r="AI878" s="106" t="n">
        <v>501005</v>
      </c>
      <c r="AJ878" s="106" t="s">
        <v>2033</v>
      </c>
      <c r="AK878" s="106" t="n">
        <v>0</v>
      </c>
      <c r="AL878" s="106" t="n">
        <v>1</v>
      </c>
      <c r="AM878" s="106" t="s">
        <v>161</v>
      </c>
      <c r="AP878" s="106" t="n">
        <v>100173564</v>
      </c>
      <c r="AQ878" s="129" t="n">
        <v>43799</v>
      </c>
      <c r="AR878" s="129" t="n">
        <v>43798</v>
      </c>
      <c r="AS878" s="106" t="n">
        <v>0.876111111111111</v>
      </c>
      <c r="AT878" s="106" t="n">
        <v>0</v>
      </c>
      <c r="AU878" s="106" t="n">
        <v>0</v>
      </c>
      <c r="AX878" s="106" t="n">
        <v>1</v>
      </c>
      <c r="ALU878" s="0"/>
      <c r="ALV878" s="0"/>
      <c r="ALW878" s="0"/>
      <c r="ALX878" s="0"/>
      <c r="ALY878" s="0"/>
      <c r="ALZ878" s="0"/>
      <c r="AMA878" s="0"/>
      <c r="AMB878" s="0"/>
      <c r="AMC878" s="0"/>
      <c r="AMD878" s="0"/>
      <c r="AME878" s="0"/>
      <c r="AMF878" s="0"/>
      <c r="AMG878" s="0"/>
      <c r="AMH878" s="0"/>
      <c r="AMI878" s="0"/>
      <c r="AMJ878" s="0"/>
    </row>
    <row r="879" s="106" customFormat="true" ht="13.8" hidden="true" customHeight="false" outlineLevel="0" collapsed="false">
      <c r="A879" s="106" t="n">
        <v>1000</v>
      </c>
      <c r="B879" s="106" t="s">
        <v>1962</v>
      </c>
      <c r="C879" s="106" t="n">
        <v>110411</v>
      </c>
      <c r="D879" s="106" t="s">
        <v>1708</v>
      </c>
      <c r="E879" s="106" t="s">
        <v>1970</v>
      </c>
      <c r="F879" s="106" t="n">
        <v>1112</v>
      </c>
      <c r="G879" s="106" t="n">
        <v>2019</v>
      </c>
      <c r="H879" s="106" t="n">
        <v>9</v>
      </c>
      <c r="I879" s="129" t="n">
        <v>43820</v>
      </c>
      <c r="J879" s="129" t="n">
        <v>43820</v>
      </c>
      <c r="K879" s="107" t="n">
        <v>14314.06</v>
      </c>
      <c r="L879" s="130" t="n">
        <f aca="false">K879-Q879+T879</f>
        <v>12130.56</v>
      </c>
      <c r="M879" s="106" t="s">
        <v>149</v>
      </c>
      <c r="N879" s="106" t="n">
        <v>14314.06</v>
      </c>
      <c r="O879" s="106" t="s">
        <v>149</v>
      </c>
      <c r="P879" s="106" t="n">
        <v>0</v>
      </c>
      <c r="Q879" s="107" t="n">
        <v>2183.5</v>
      </c>
      <c r="R879" s="106" t="n">
        <v>12130.56</v>
      </c>
      <c r="S879" s="106" t="n">
        <v>0</v>
      </c>
      <c r="T879" s="106" t="n">
        <v>0</v>
      </c>
      <c r="U879" s="106" t="n">
        <v>312193</v>
      </c>
      <c r="V879" s="106" t="s">
        <v>1963</v>
      </c>
      <c r="Z879" s="106" t="n">
        <v>62109</v>
      </c>
      <c r="AB879" s="106" t="s">
        <v>2362</v>
      </c>
      <c r="AD879" s="106" t="n">
        <v>110000</v>
      </c>
      <c r="AE879" s="106" t="s">
        <v>1966</v>
      </c>
      <c r="AF879" s="106" t="n">
        <v>501005</v>
      </c>
      <c r="AG879" s="106" t="s">
        <v>2033</v>
      </c>
      <c r="AI879" s="106" t="n">
        <v>501005</v>
      </c>
      <c r="AJ879" s="106" t="s">
        <v>2033</v>
      </c>
      <c r="AK879" s="106" t="n">
        <v>0</v>
      </c>
      <c r="AL879" s="106" t="n">
        <v>1</v>
      </c>
      <c r="AM879" s="106" t="s">
        <v>161</v>
      </c>
      <c r="AP879" s="106" t="n">
        <v>100194025</v>
      </c>
      <c r="AQ879" s="129" t="n">
        <v>43824</v>
      </c>
      <c r="AR879" s="129" t="n">
        <v>43820</v>
      </c>
      <c r="AS879" s="106" t="n">
        <v>0.597673611111111</v>
      </c>
      <c r="AT879" s="106" t="n">
        <v>0</v>
      </c>
      <c r="AU879" s="106" t="n">
        <v>0</v>
      </c>
      <c r="AX879" s="106" t="n">
        <v>1</v>
      </c>
      <c r="ALU879" s="0"/>
      <c r="ALV879" s="0"/>
      <c r="ALW879" s="0"/>
      <c r="ALX879" s="0"/>
      <c r="ALY879" s="0"/>
      <c r="ALZ879" s="0"/>
      <c r="AMA879" s="0"/>
      <c r="AMB879" s="0"/>
      <c r="AMC879" s="0"/>
      <c r="AMD879" s="0"/>
      <c r="AME879" s="0"/>
      <c r="AMF879" s="0"/>
      <c r="AMG879" s="0"/>
      <c r="AMH879" s="0"/>
      <c r="AMI879" s="0"/>
      <c r="AMJ879" s="0"/>
    </row>
    <row r="880" customFormat="false" ht="13.8" hidden="true" customHeight="false" outlineLevel="0" collapsed="false">
      <c r="A880" s="117" t="n">
        <v>1000</v>
      </c>
      <c r="B880" s="117" t="s">
        <v>1962</v>
      </c>
      <c r="C880" s="117" t="n">
        <v>100141449</v>
      </c>
      <c r="E880" s="117" t="s">
        <v>1921</v>
      </c>
      <c r="F880" s="117" t="n">
        <v>1109</v>
      </c>
      <c r="G880" s="117" t="n">
        <v>2019</v>
      </c>
      <c r="H880" s="117" t="n">
        <v>7</v>
      </c>
      <c r="I880" s="118" t="n">
        <v>43766</v>
      </c>
      <c r="J880" s="118" t="n">
        <v>43766</v>
      </c>
      <c r="K880" s="119" t="n">
        <v>25488</v>
      </c>
      <c r="L880" s="128" t="n">
        <f aca="false">K880-Q880+T880</f>
        <v>25488</v>
      </c>
      <c r="M880" s="117" t="s">
        <v>149</v>
      </c>
      <c r="N880" s="117" t="n">
        <v>25488</v>
      </c>
      <c r="O880" s="117" t="s">
        <v>149</v>
      </c>
      <c r="P880" s="117" t="n">
        <v>0</v>
      </c>
      <c r="Q880" s="117" t="n">
        <v>0</v>
      </c>
      <c r="R880" s="117" t="n">
        <v>25488</v>
      </c>
      <c r="S880" s="117" t="n">
        <v>0</v>
      </c>
      <c r="T880" s="117" t="n">
        <v>0</v>
      </c>
      <c r="U880" s="117" t="n">
        <v>312193</v>
      </c>
      <c r="V880" s="117" t="s">
        <v>1963</v>
      </c>
      <c r="X880" s="117" t="s">
        <v>1828</v>
      </c>
      <c r="Z880" s="117" t="n">
        <v>60960</v>
      </c>
      <c r="AB880" s="117" t="s">
        <v>2124</v>
      </c>
      <c r="AD880" s="117" t="n">
        <v>110000</v>
      </c>
      <c r="AE880" s="117" t="s">
        <v>1966</v>
      </c>
      <c r="AF880" s="117" t="n">
        <v>110000</v>
      </c>
      <c r="AG880" s="117" t="s">
        <v>1966</v>
      </c>
      <c r="AI880" s="117" t="n">
        <v>110000</v>
      </c>
      <c r="AJ880" s="117" t="s">
        <v>1966</v>
      </c>
      <c r="AK880" s="117" t="n">
        <v>0</v>
      </c>
      <c r="AL880" s="117" t="n">
        <v>4</v>
      </c>
      <c r="AM880" s="117" t="s">
        <v>161</v>
      </c>
      <c r="AR880" s="118" t="n">
        <v>43766</v>
      </c>
      <c r="AS880" s="117" t="n">
        <v>0.371388888888889</v>
      </c>
      <c r="AT880" s="117" t="n">
        <v>0</v>
      </c>
      <c r="AU880" s="117" t="n">
        <v>0</v>
      </c>
      <c r="AX880" s="117" t="n">
        <v>15</v>
      </c>
    </row>
    <row r="881" customFormat="false" ht="13.8" hidden="true" customHeight="false" outlineLevel="0" collapsed="false">
      <c r="A881" s="117" t="n">
        <v>1000</v>
      </c>
      <c r="B881" s="117" t="s">
        <v>1962</v>
      </c>
      <c r="C881" s="117" t="n">
        <v>100197100</v>
      </c>
      <c r="E881" s="117" t="s">
        <v>1921</v>
      </c>
      <c r="F881" s="117" t="n">
        <v>1108</v>
      </c>
      <c r="G881" s="117" t="n">
        <v>2019</v>
      </c>
      <c r="H881" s="117" t="n">
        <v>9</v>
      </c>
      <c r="I881" s="118" t="n">
        <v>43827</v>
      </c>
      <c r="J881" s="118" t="n">
        <v>43827</v>
      </c>
      <c r="K881" s="119" t="n">
        <v>38.33</v>
      </c>
      <c r="L881" s="128" t="n">
        <f aca="false">K881-Q881+T881</f>
        <v>38.33</v>
      </c>
      <c r="M881" s="117" t="s">
        <v>149</v>
      </c>
      <c r="N881" s="117" t="n">
        <v>38.33</v>
      </c>
      <c r="O881" s="117" t="s">
        <v>149</v>
      </c>
      <c r="P881" s="117" t="n">
        <v>0</v>
      </c>
      <c r="Q881" s="117" t="n">
        <v>0</v>
      </c>
      <c r="R881" s="117" t="n">
        <v>38.33</v>
      </c>
      <c r="S881" s="117" t="n">
        <v>0</v>
      </c>
      <c r="T881" s="117" t="n">
        <v>0</v>
      </c>
      <c r="U881" s="117" t="n">
        <v>312948</v>
      </c>
      <c r="V881" s="117" t="s">
        <v>1984</v>
      </c>
      <c r="Z881" s="117" t="n">
        <v>58874</v>
      </c>
      <c r="AB881" s="117" t="s">
        <v>2099</v>
      </c>
      <c r="AD881" s="117" t="n">
        <v>110000</v>
      </c>
      <c r="AE881" s="117" t="s">
        <v>1966</v>
      </c>
      <c r="AF881" s="117" t="n">
        <v>110000</v>
      </c>
      <c r="AG881" s="117" t="s">
        <v>1966</v>
      </c>
      <c r="AI881" s="117" t="n">
        <v>110000</v>
      </c>
      <c r="AJ881" s="117" t="s">
        <v>1966</v>
      </c>
      <c r="AK881" s="117" t="n">
        <v>0</v>
      </c>
      <c r="AL881" s="117" t="n">
        <v>4</v>
      </c>
      <c r="AM881" s="117" t="s">
        <v>161</v>
      </c>
      <c r="AR881" s="118" t="n">
        <v>43827</v>
      </c>
      <c r="AS881" s="117" t="n">
        <v>0.355752314814815</v>
      </c>
      <c r="AT881" s="117" t="n">
        <v>0</v>
      </c>
      <c r="AU881" s="117" t="n">
        <v>0</v>
      </c>
      <c r="AX881" s="117" t="n">
        <v>1</v>
      </c>
    </row>
    <row r="882" customFormat="false" ht="13.8" hidden="true" customHeight="false" outlineLevel="0" collapsed="false">
      <c r="A882" s="117" t="n">
        <v>1000</v>
      </c>
      <c r="B882" s="117" t="s">
        <v>1962</v>
      </c>
      <c r="C882" s="117" t="n">
        <v>100198535</v>
      </c>
      <c r="E882" s="117" t="s">
        <v>1921</v>
      </c>
      <c r="F882" s="117" t="n">
        <v>1101</v>
      </c>
      <c r="G882" s="117" t="n">
        <v>2019</v>
      </c>
      <c r="H882" s="117" t="n">
        <v>9</v>
      </c>
      <c r="I882" s="118" t="n">
        <v>43828</v>
      </c>
      <c r="J882" s="118" t="n">
        <v>43828</v>
      </c>
      <c r="K882" s="119" t="n">
        <v>817451.64</v>
      </c>
      <c r="L882" s="128" t="n">
        <f aca="false">K882-Q882+T882</f>
        <v>817451.64</v>
      </c>
      <c r="M882" s="117" t="s">
        <v>149</v>
      </c>
      <c r="N882" s="117" t="n">
        <v>817451.64</v>
      </c>
      <c r="O882" s="117" t="s">
        <v>149</v>
      </c>
      <c r="P882" s="117" t="n">
        <v>0</v>
      </c>
      <c r="Q882" s="117" t="n">
        <v>0</v>
      </c>
      <c r="R882" s="117" t="n">
        <v>817451.64</v>
      </c>
      <c r="S882" s="117" t="n">
        <v>0</v>
      </c>
      <c r="T882" s="117" t="n">
        <v>0</v>
      </c>
      <c r="U882" s="117" t="n">
        <v>318999</v>
      </c>
      <c r="V882" s="117" t="s">
        <v>143</v>
      </c>
      <c r="Z882" s="117" t="n">
        <v>100198535</v>
      </c>
      <c r="AD882" s="117" t="n">
        <v>310300</v>
      </c>
      <c r="AE882" s="117" t="s">
        <v>1969</v>
      </c>
      <c r="AF882" s="117" t="n">
        <v>110000</v>
      </c>
      <c r="AG882" s="117" t="s">
        <v>1966</v>
      </c>
      <c r="AI882" s="117" t="n">
        <v>110000</v>
      </c>
      <c r="AJ882" s="117" t="s">
        <v>1966</v>
      </c>
      <c r="AK882" s="117" t="n">
        <v>0</v>
      </c>
      <c r="AL882" s="117" t="n">
        <v>9</v>
      </c>
      <c r="AM882" s="117" t="s">
        <v>161</v>
      </c>
      <c r="AN882" s="117" t="s">
        <v>1978</v>
      </c>
      <c r="AP882" s="117" t="n">
        <v>100198535</v>
      </c>
      <c r="AQ882" s="118" t="n">
        <v>43828</v>
      </c>
      <c r="AR882" s="118" t="n">
        <v>43828</v>
      </c>
      <c r="AS882" s="117" t="n">
        <v>0.725046296296296</v>
      </c>
      <c r="AT882" s="117" t="n">
        <v>0</v>
      </c>
      <c r="AU882" s="117" t="n">
        <v>0</v>
      </c>
      <c r="AX882" s="117" t="n">
        <v>5</v>
      </c>
    </row>
    <row r="883" customFormat="false" ht="13.8" hidden="true" customHeight="false" outlineLevel="0" collapsed="false">
      <c r="A883" s="117" t="n">
        <v>1000</v>
      </c>
      <c r="B883" s="117" t="s">
        <v>1962</v>
      </c>
      <c r="C883" s="117" t="n">
        <v>100141416</v>
      </c>
      <c r="E883" s="117" t="s">
        <v>1921</v>
      </c>
      <c r="F883" s="117" t="n">
        <v>1101</v>
      </c>
      <c r="G883" s="117" t="n">
        <v>2019</v>
      </c>
      <c r="H883" s="117" t="n">
        <v>7</v>
      </c>
      <c r="I883" s="118" t="n">
        <v>43766</v>
      </c>
      <c r="J883" s="118" t="n">
        <v>43766</v>
      </c>
      <c r="K883" s="119" t="n">
        <v>283342.34</v>
      </c>
      <c r="L883" s="128" t="n">
        <f aca="false">K883-Q883+T883</f>
        <v>283342.34</v>
      </c>
      <c r="M883" s="117" t="s">
        <v>149</v>
      </c>
      <c r="N883" s="117" t="n">
        <v>283342.34</v>
      </c>
      <c r="O883" s="117" t="s">
        <v>149</v>
      </c>
      <c r="P883" s="117" t="n">
        <v>0</v>
      </c>
      <c r="Q883" s="117" t="n">
        <v>0</v>
      </c>
      <c r="R883" s="117" t="n">
        <v>283342.34</v>
      </c>
      <c r="S883" s="117" t="n">
        <v>0</v>
      </c>
      <c r="T883" s="117" t="n">
        <v>0</v>
      </c>
      <c r="U883" s="117" t="n">
        <v>304431</v>
      </c>
      <c r="V883" s="117" t="s">
        <v>2016</v>
      </c>
      <c r="Z883" s="117" t="n">
        <v>100141416</v>
      </c>
      <c r="AD883" s="117" t="n">
        <v>310300</v>
      </c>
      <c r="AE883" s="117" t="s">
        <v>1969</v>
      </c>
      <c r="AF883" s="117" t="n">
        <v>110000</v>
      </c>
      <c r="AG883" s="117" t="s">
        <v>1966</v>
      </c>
      <c r="AI883" s="117" t="n">
        <v>110000</v>
      </c>
      <c r="AJ883" s="117" t="s">
        <v>1966</v>
      </c>
      <c r="AK883" s="117" t="n">
        <v>0</v>
      </c>
      <c r="AL883" s="117" t="n">
        <v>9</v>
      </c>
      <c r="AM883" s="117" t="s">
        <v>161</v>
      </c>
      <c r="AN883" s="117" t="s">
        <v>1978</v>
      </c>
      <c r="AP883" s="117" t="n">
        <v>100141416</v>
      </c>
      <c r="AQ883" s="118" t="n">
        <v>43766</v>
      </c>
      <c r="AR883" s="118" t="n">
        <v>43766</v>
      </c>
      <c r="AS883" s="117" t="n">
        <v>0.331469907407407</v>
      </c>
      <c r="AT883" s="117" t="n">
        <v>0</v>
      </c>
      <c r="AU883" s="117" t="n">
        <v>0</v>
      </c>
      <c r="AX883" s="117" t="n">
        <v>4</v>
      </c>
    </row>
    <row r="884" s="106" customFormat="true" ht="13.8" hidden="true" customHeight="false" outlineLevel="0" collapsed="false">
      <c r="A884" s="106" t="n">
        <v>1000</v>
      </c>
      <c r="B884" s="106" t="s">
        <v>1962</v>
      </c>
      <c r="C884" s="106" t="n">
        <v>109746</v>
      </c>
      <c r="D884" s="106" t="s">
        <v>1657</v>
      </c>
      <c r="E884" s="106" t="s">
        <v>1970</v>
      </c>
      <c r="F884" s="106" t="n">
        <v>1108</v>
      </c>
      <c r="G884" s="106" t="n">
        <v>2019</v>
      </c>
      <c r="H884" s="106" t="n">
        <v>8</v>
      </c>
      <c r="I884" s="129" t="n">
        <v>43799</v>
      </c>
      <c r="J884" s="129" t="n">
        <v>43799</v>
      </c>
      <c r="K884" s="107" t="n">
        <v>28184.89</v>
      </c>
      <c r="L884" s="130" t="n">
        <f aca="false">K884-Q884+T884</f>
        <v>23885.5</v>
      </c>
      <c r="M884" s="106" t="s">
        <v>149</v>
      </c>
      <c r="N884" s="106" t="n">
        <v>28184.89</v>
      </c>
      <c r="O884" s="106" t="s">
        <v>149</v>
      </c>
      <c r="P884" s="106" t="n">
        <v>0</v>
      </c>
      <c r="Q884" s="107" t="n">
        <v>4299.39</v>
      </c>
      <c r="R884" s="106" t="n">
        <v>23885.5</v>
      </c>
      <c r="S884" s="106" t="n">
        <v>0</v>
      </c>
      <c r="T884" s="106" t="n">
        <v>0</v>
      </c>
      <c r="U884" s="106" t="n">
        <v>312193</v>
      </c>
      <c r="V884" s="106" t="s">
        <v>1963</v>
      </c>
      <c r="Z884" s="106" t="n">
        <v>61997</v>
      </c>
      <c r="AB884" s="106" t="s">
        <v>2109</v>
      </c>
      <c r="AD884" s="106" t="n">
        <v>110000</v>
      </c>
      <c r="AE884" s="106" t="s">
        <v>1966</v>
      </c>
      <c r="AF884" s="106" t="n">
        <v>501005</v>
      </c>
      <c r="AG884" s="106" t="s">
        <v>2033</v>
      </c>
      <c r="AI884" s="106" t="n">
        <v>501005</v>
      </c>
      <c r="AJ884" s="106" t="s">
        <v>2033</v>
      </c>
      <c r="AK884" s="106" t="n">
        <v>0</v>
      </c>
      <c r="AL884" s="106" t="n">
        <v>1</v>
      </c>
      <c r="AM884" s="106" t="s">
        <v>161</v>
      </c>
      <c r="AP884" s="106" t="n">
        <v>100173564</v>
      </c>
      <c r="AQ884" s="129" t="n">
        <v>43799</v>
      </c>
      <c r="AR884" s="129" t="n">
        <v>43799</v>
      </c>
      <c r="AS884" s="106" t="n">
        <v>0.754953703703704</v>
      </c>
      <c r="AT884" s="106" t="n">
        <v>0</v>
      </c>
      <c r="AU884" s="106" t="n">
        <v>0</v>
      </c>
      <c r="AX884" s="106" t="n">
        <v>1</v>
      </c>
      <c r="ALU884" s="0"/>
      <c r="ALV884" s="0"/>
      <c r="ALW884" s="0"/>
      <c r="ALX884" s="0"/>
      <c r="ALY884" s="0"/>
      <c r="ALZ884" s="0"/>
      <c r="AMA884" s="0"/>
      <c r="AMB884" s="0"/>
      <c r="AMC884" s="0"/>
      <c r="AMD884" s="0"/>
      <c r="AME884" s="0"/>
      <c r="AMF884" s="0"/>
      <c r="AMG884" s="0"/>
      <c r="AMH884" s="0"/>
      <c r="AMI884" s="0"/>
      <c r="AMJ884" s="0"/>
    </row>
    <row r="885" customFormat="false" ht="13.8" hidden="true" customHeight="false" outlineLevel="0" collapsed="false">
      <c r="A885" s="117" t="n">
        <v>1000</v>
      </c>
      <c r="B885" s="117" t="s">
        <v>1962</v>
      </c>
      <c r="C885" s="117" t="n">
        <v>100144402</v>
      </c>
      <c r="E885" s="117" t="s">
        <v>1921</v>
      </c>
      <c r="F885" s="117" t="n">
        <v>1301</v>
      </c>
      <c r="G885" s="117" t="n">
        <v>2019</v>
      </c>
      <c r="H885" s="117" t="n">
        <v>7</v>
      </c>
      <c r="I885" s="118" t="n">
        <v>43769</v>
      </c>
      <c r="J885" s="118" t="n">
        <v>43769</v>
      </c>
      <c r="K885" s="119" t="n">
        <v>4466</v>
      </c>
      <c r="L885" s="128" t="n">
        <f aca="false">K885-Q885+T885</f>
        <v>4466</v>
      </c>
      <c r="M885" s="117" t="s">
        <v>149</v>
      </c>
      <c r="N885" s="117" t="n">
        <v>4466</v>
      </c>
      <c r="O885" s="117" t="s">
        <v>149</v>
      </c>
      <c r="P885" s="117" t="n">
        <v>0</v>
      </c>
      <c r="Q885" s="117" t="n">
        <v>0</v>
      </c>
      <c r="R885" s="117" t="n">
        <v>4466</v>
      </c>
      <c r="S885" s="117" t="n">
        <v>0</v>
      </c>
      <c r="T885" s="117" t="n">
        <v>0</v>
      </c>
      <c r="U885" s="117" t="n">
        <v>312193</v>
      </c>
      <c r="V885" s="117" t="s">
        <v>1963</v>
      </c>
      <c r="Z885" s="117" t="n">
        <v>100144402</v>
      </c>
      <c r="AD885" s="117" t="n">
        <v>110000</v>
      </c>
      <c r="AE885" s="117" t="s">
        <v>1966</v>
      </c>
      <c r="AF885" s="117" t="n">
        <v>110000</v>
      </c>
      <c r="AG885" s="117" t="s">
        <v>1966</v>
      </c>
      <c r="AI885" s="117" t="n">
        <v>110000</v>
      </c>
      <c r="AJ885" s="117" t="s">
        <v>1966</v>
      </c>
      <c r="AK885" s="117" t="n">
        <v>0</v>
      </c>
      <c r="AL885" s="117" t="n">
        <v>7</v>
      </c>
      <c r="AM885" s="117" t="s">
        <v>161</v>
      </c>
      <c r="AP885" s="117" t="n">
        <v>100144402</v>
      </c>
      <c r="AQ885" s="118" t="n">
        <v>43769</v>
      </c>
      <c r="AR885" s="118" t="n">
        <v>43770</v>
      </c>
      <c r="AS885" s="117" t="n">
        <v>0.52369212962963</v>
      </c>
      <c r="AT885" s="117" t="n">
        <v>0</v>
      </c>
      <c r="AU885" s="117" t="n">
        <v>0</v>
      </c>
      <c r="AX885" s="117" t="n">
        <v>2</v>
      </c>
    </row>
    <row r="886" customFormat="false" ht="13.8" hidden="true" customHeight="false" outlineLevel="0" collapsed="false">
      <c r="A886" s="117" t="n">
        <v>1000</v>
      </c>
      <c r="B886" s="117" t="s">
        <v>1962</v>
      </c>
      <c r="C886" s="117" t="n">
        <v>100141419</v>
      </c>
      <c r="E886" s="117" t="s">
        <v>1921</v>
      </c>
      <c r="F886" s="117" t="n">
        <v>1109</v>
      </c>
      <c r="G886" s="117" t="n">
        <v>2019</v>
      </c>
      <c r="H886" s="117" t="n">
        <v>7</v>
      </c>
      <c r="I886" s="118" t="n">
        <v>43766</v>
      </c>
      <c r="J886" s="118" t="n">
        <v>43766</v>
      </c>
      <c r="K886" s="119" t="n">
        <v>3064202.49</v>
      </c>
      <c r="L886" s="128" t="n">
        <f aca="false">K886-Q886+T886</f>
        <v>3064202.49</v>
      </c>
      <c r="M886" s="117" t="s">
        <v>149</v>
      </c>
      <c r="N886" s="117" t="n">
        <v>3064202.49</v>
      </c>
      <c r="O886" s="117" t="s">
        <v>149</v>
      </c>
      <c r="P886" s="117" t="n">
        <v>0</v>
      </c>
      <c r="Q886" s="117" t="n">
        <v>0</v>
      </c>
      <c r="R886" s="117" t="n">
        <v>3064202.49</v>
      </c>
      <c r="S886" s="117" t="n">
        <v>0</v>
      </c>
      <c r="T886" s="117" t="n">
        <v>0</v>
      </c>
      <c r="U886" s="117" t="n">
        <v>305576</v>
      </c>
      <c r="V886" s="117" t="s">
        <v>1973</v>
      </c>
      <c r="X886" s="117" t="s">
        <v>1687</v>
      </c>
      <c r="Z886" s="117" t="n">
        <v>61356</v>
      </c>
      <c r="AB886" s="117" t="s">
        <v>2260</v>
      </c>
      <c r="AD886" s="117" t="n">
        <v>110000</v>
      </c>
      <c r="AE886" s="117" t="s">
        <v>1966</v>
      </c>
      <c r="AF886" s="117" t="n">
        <v>110000</v>
      </c>
      <c r="AG886" s="117" t="s">
        <v>1966</v>
      </c>
      <c r="AI886" s="117" t="n">
        <v>110000</v>
      </c>
      <c r="AJ886" s="117" t="s">
        <v>1966</v>
      </c>
      <c r="AK886" s="117" t="n">
        <v>0</v>
      </c>
      <c r="AL886" s="117" t="n">
        <v>4</v>
      </c>
      <c r="AM886" s="117" t="s">
        <v>161</v>
      </c>
      <c r="AP886" s="117" t="n">
        <v>100229115</v>
      </c>
      <c r="AQ886" s="118" t="n">
        <v>43856</v>
      </c>
      <c r="AR886" s="118" t="n">
        <v>43766</v>
      </c>
      <c r="AS886" s="117" t="n">
        <v>0.340451388888889</v>
      </c>
      <c r="AT886" s="117" t="n">
        <v>0</v>
      </c>
      <c r="AU886" s="117" t="n">
        <v>0</v>
      </c>
      <c r="AX886" s="117" t="n">
        <v>4</v>
      </c>
    </row>
    <row r="887" s="106" customFormat="true" ht="13.8" hidden="true" customHeight="false" outlineLevel="0" collapsed="false">
      <c r="A887" s="106" t="n">
        <v>1000</v>
      </c>
      <c r="B887" s="106" t="s">
        <v>1962</v>
      </c>
      <c r="C887" s="106" t="n">
        <v>109739</v>
      </c>
      <c r="D887" s="106" t="s">
        <v>1636</v>
      </c>
      <c r="E887" s="106" t="s">
        <v>1970</v>
      </c>
      <c r="F887" s="106" t="n">
        <v>1108</v>
      </c>
      <c r="G887" s="106" t="n">
        <v>2019</v>
      </c>
      <c r="H887" s="106" t="n">
        <v>8</v>
      </c>
      <c r="I887" s="129" t="n">
        <v>43799</v>
      </c>
      <c r="J887" s="129" t="n">
        <v>43799</v>
      </c>
      <c r="K887" s="107" t="n">
        <v>59059</v>
      </c>
      <c r="L887" s="130" t="n">
        <f aca="false">K887-Q887+T887</f>
        <v>50050</v>
      </c>
      <c r="M887" s="106" t="s">
        <v>149</v>
      </c>
      <c r="N887" s="106" t="n">
        <v>59059</v>
      </c>
      <c r="O887" s="106" t="s">
        <v>149</v>
      </c>
      <c r="P887" s="106" t="n">
        <v>0</v>
      </c>
      <c r="Q887" s="107" t="n">
        <v>9009</v>
      </c>
      <c r="R887" s="106" t="n">
        <v>50050</v>
      </c>
      <c r="S887" s="106" t="n">
        <v>0</v>
      </c>
      <c r="T887" s="106" t="n">
        <v>0</v>
      </c>
      <c r="U887" s="106" t="n">
        <v>312193</v>
      </c>
      <c r="V887" s="106" t="s">
        <v>1963</v>
      </c>
      <c r="Z887" s="106" t="n">
        <v>61044</v>
      </c>
      <c r="AB887" s="106" t="s">
        <v>2109</v>
      </c>
      <c r="AD887" s="106" t="n">
        <v>110000</v>
      </c>
      <c r="AE887" s="106" t="s">
        <v>1966</v>
      </c>
      <c r="AF887" s="106" t="n">
        <v>501000</v>
      </c>
      <c r="AG887" s="106" t="s">
        <v>2170</v>
      </c>
      <c r="AI887" s="106" t="n">
        <v>501000</v>
      </c>
      <c r="AJ887" s="106" t="s">
        <v>2170</v>
      </c>
      <c r="AK887" s="106" t="n">
        <v>0</v>
      </c>
      <c r="AL887" s="106" t="n">
        <v>1</v>
      </c>
      <c r="AM887" s="106" t="s">
        <v>161</v>
      </c>
      <c r="AP887" s="106" t="n">
        <v>100173564</v>
      </c>
      <c r="AQ887" s="129" t="n">
        <v>43799</v>
      </c>
      <c r="AR887" s="129" t="n">
        <v>43799</v>
      </c>
      <c r="AS887" s="106" t="n">
        <v>0.74931712962963</v>
      </c>
      <c r="AT887" s="106" t="n">
        <v>0</v>
      </c>
      <c r="AU887" s="106" t="n">
        <v>0</v>
      </c>
      <c r="AX887" s="106" t="n">
        <v>1</v>
      </c>
      <c r="ALU887" s="0"/>
      <c r="ALV887" s="0"/>
      <c r="ALW887" s="0"/>
      <c r="ALX887" s="0"/>
      <c r="ALY887" s="0"/>
      <c r="ALZ887" s="0"/>
      <c r="AMA887" s="0"/>
      <c r="AMB887" s="0"/>
      <c r="AMC887" s="0"/>
      <c r="AMD887" s="0"/>
      <c r="AME887" s="0"/>
      <c r="AMF887" s="0"/>
      <c r="AMG887" s="0"/>
      <c r="AMH887" s="0"/>
      <c r="AMI887" s="0"/>
      <c r="AMJ887" s="0"/>
    </row>
    <row r="888" customFormat="false" ht="13.8" hidden="true" customHeight="false" outlineLevel="0" collapsed="false">
      <c r="A888" s="117" t="n">
        <v>1000</v>
      </c>
      <c r="B888" s="117" t="s">
        <v>1962</v>
      </c>
      <c r="C888" s="117" t="n">
        <v>100199799</v>
      </c>
      <c r="E888" s="117" t="s">
        <v>1921</v>
      </c>
      <c r="F888" s="117" t="n">
        <v>1112</v>
      </c>
      <c r="G888" s="117" t="n">
        <v>2019</v>
      </c>
      <c r="H888" s="117" t="n">
        <v>9</v>
      </c>
      <c r="I888" s="118" t="n">
        <v>43830</v>
      </c>
      <c r="J888" s="118" t="n">
        <v>43830</v>
      </c>
      <c r="K888" s="119" t="n">
        <v>121096.32</v>
      </c>
      <c r="L888" s="128" t="n">
        <f aca="false">K888-Q888+T888</f>
        <v>121096.32</v>
      </c>
      <c r="M888" s="117" t="s">
        <v>149</v>
      </c>
      <c r="N888" s="117" t="n">
        <v>121096.32</v>
      </c>
      <c r="O888" s="117" t="s">
        <v>149</v>
      </c>
      <c r="P888" s="117" t="n">
        <v>0</v>
      </c>
      <c r="Q888" s="117" t="n">
        <v>0</v>
      </c>
      <c r="R888" s="117" t="n">
        <v>121096.32</v>
      </c>
      <c r="S888" s="117" t="n">
        <v>0</v>
      </c>
      <c r="T888" s="117" t="n">
        <v>0</v>
      </c>
      <c r="U888" s="117" t="n">
        <v>312193</v>
      </c>
      <c r="V888" s="117" t="s">
        <v>1963</v>
      </c>
      <c r="X888" s="117" t="s">
        <v>2480</v>
      </c>
      <c r="Z888" s="117" t="n">
        <v>62191</v>
      </c>
      <c r="AB888" s="117" t="s">
        <v>2350</v>
      </c>
      <c r="AD888" s="117" t="n">
        <v>110000</v>
      </c>
      <c r="AE888" s="117" t="s">
        <v>1966</v>
      </c>
      <c r="AF888" s="117" t="n">
        <v>110000</v>
      </c>
      <c r="AG888" s="117" t="s">
        <v>1966</v>
      </c>
      <c r="AI888" s="117" t="n">
        <v>110000</v>
      </c>
      <c r="AJ888" s="117" t="s">
        <v>1966</v>
      </c>
      <c r="AK888" s="117" t="n">
        <v>0</v>
      </c>
      <c r="AL888" s="117" t="n">
        <v>4</v>
      </c>
      <c r="AM888" s="117" t="s">
        <v>161</v>
      </c>
      <c r="AR888" s="118" t="n">
        <v>43830</v>
      </c>
      <c r="AS888" s="117" t="n">
        <v>0.279467592592593</v>
      </c>
      <c r="AT888" s="117" t="n">
        <v>0</v>
      </c>
      <c r="AU888" s="117" t="n">
        <v>0</v>
      </c>
      <c r="AX888" s="117" t="n">
        <v>14</v>
      </c>
    </row>
    <row r="889" s="106" customFormat="true" ht="13.8" hidden="true" customHeight="false" outlineLevel="0" collapsed="false">
      <c r="A889" s="106" t="n">
        <v>1000</v>
      </c>
      <c r="B889" s="106" t="s">
        <v>1962</v>
      </c>
      <c r="C889" s="106" t="n">
        <v>110870</v>
      </c>
      <c r="D889" s="106" t="s">
        <v>2480</v>
      </c>
      <c r="E889" s="106" t="s">
        <v>1970</v>
      </c>
      <c r="F889" s="106" t="n">
        <v>1112</v>
      </c>
      <c r="G889" s="106" t="n">
        <v>2019</v>
      </c>
      <c r="H889" s="106" t="n">
        <v>9</v>
      </c>
      <c r="I889" s="129" t="n">
        <v>43828</v>
      </c>
      <c r="J889" s="129" t="n">
        <v>43828</v>
      </c>
      <c r="K889" s="107" t="n">
        <v>121096.32</v>
      </c>
      <c r="L889" s="130" t="n">
        <f aca="false">K889-Q889+T889</f>
        <v>102624</v>
      </c>
      <c r="M889" s="106" t="s">
        <v>149</v>
      </c>
      <c r="N889" s="106" t="n">
        <v>121096.32</v>
      </c>
      <c r="O889" s="106" t="s">
        <v>149</v>
      </c>
      <c r="P889" s="106" t="n">
        <v>0</v>
      </c>
      <c r="Q889" s="107" t="n">
        <v>18472.32</v>
      </c>
      <c r="R889" s="106" t="n">
        <v>102624</v>
      </c>
      <c r="S889" s="106" t="n">
        <v>0</v>
      </c>
      <c r="T889" s="106" t="n">
        <v>0</v>
      </c>
      <c r="U889" s="106" t="n">
        <v>312193</v>
      </c>
      <c r="V889" s="106" t="s">
        <v>1963</v>
      </c>
      <c r="Z889" s="106" t="n">
        <v>62191</v>
      </c>
      <c r="AB889" s="106" t="s">
        <v>2350</v>
      </c>
      <c r="AD889" s="106" t="n">
        <v>110000</v>
      </c>
      <c r="AE889" s="106" t="s">
        <v>1966</v>
      </c>
      <c r="AF889" s="106" t="n">
        <v>501000</v>
      </c>
      <c r="AG889" s="106" t="s">
        <v>2170</v>
      </c>
      <c r="AI889" s="106" t="n">
        <v>501000</v>
      </c>
      <c r="AJ889" s="106" t="s">
        <v>2170</v>
      </c>
      <c r="AK889" s="106" t="n">
        <v>0</v>
      </c>
      <c r="AL889" s="106" t="n">
        <v>1</v>
      </c>
      <c r="AM889" s="106" t="s">
        <v>161</v>
      </c>
      <c r="AP889" s="106" t="n">
        <v>100199799</v>
      </c>
      <c r="AQ889" s="129" t="n">
        <v>43830</v>
      </c>
      <c r="AR889" s="129" t="n">
        <v>43828</v>
      </c>
      <c r="AS889" s="106" t="n">
        <v>0.71625</v>
      </c>
      <c r="AT889" s="106" t="n">
        <v>0</v>
      </c>
      <c r="AU889" s="106" t="n">
        <v>0</v>
      </c>
      <c r="AX889" s="106" t="n">
        <v>1</v>
      </c>
      <c r="ALU889" s="0"/>
      <c r="ALV889" s="0"/>
      <c r="ALW889" s="0"/>
      <c r="ALX889" s="0"/>
      <c r="ALY889" s="0"/>
      <c r="ALZ889" s="0"/>
      <c r="AMA889" s="0"/>
      <c r="AMB889" s="0"/>
      <c r="AMC889" s="0"/>
      <c r="AMD889" s="0"/>
      <c r="AME889" s="0"/>
      <c r="AMF889" s="0"/>
      <c r="AMG889" s="0"/>
      <c r="AMH889" s="0"/>
      <c r="AMI889" s="0"/>
      <c r="AMJ889" s="0"/>
    </row>
    <row r="890" customFormat="false" ht="13.8" hidden="true" customHeight="false" outlineLevel="0" collapsed="false">
      <c r="A890" s="117" t="n">
        <v>1000</v>
      </c>
      <c r="B890" s="117" t="s">
        <v>1962</v>
      </c>
      <c r="C890" s="117" t="n">
        <v>100144356</v>
      </c>
      <c r="E890" s="117" t="s">
        <v>1921</v>
      </c>
      <c r="F890" s="117" t="n">
        <v>1101</v>
      </c>
      <c r="G890" s="117" t="n">
        <v>2019</v>
      </c>
      <c r="H890" s="117" t="n">
        <v>7</v>
      </c>
      <c r="I890" s="118" t="n">
        <v>43769</v>
      </c>
      <c r="J890" s="118" t="n">
        <v>43769</v>
      </c>
      <c r="K890" s="119" t="n">
        <v>13079.89</v>
      </c>
      <c r="L890" s="128" t="n">
        <f aca="false">K890-Q890+T890</f>
        <v>13079.89</v>
      </c>
      <c r="M890" s="117" t="s">
        <v>149</v>
      </c>
      <c r="N890" s="117" t="n">
        <v>13079.89</v>
      </c>
      <c r="O890" s="117" t="s">
        <v>149</v>
      </c>
      <c r="P890" s="117" t="n">
        <v>13079.89</v>
      </c>
      <c r="Q890" s="117" t="n">
        <v>0</v>
      </c>
      <c r="R890" s="117" t="n">
        <v>13079.89</v>
      </c>
      <c r="S890" s="117" t="n">
        <v>0</v>
      </c>
      <c r="T890" s="117" t="n">
        <v>0</v>
      </c>
      <c r="U890" s="117" t="n">
        <v>318999</v>
      </c>
      <c r="V890" s="117" t="s">
        <v>143</v>
      </c>
      <c r="X890" s="117" t="s">
        <v>2129</v>
      </c>
      <c r="Z890" s="117" t="n">
        <v>100144356</v>
      </c>
      <c r="AD890" s="117" t="n">
        <v>111105</v>
      </c>
      <c r="AE890" s="117" t="s">
        <v>1994</v>
      </c>
      <c r="AF890" s="117" t="n">
        <v>111105</v>
      </c>
      <c r="AG890" s="117" t="s">
        <v>1994</v>
      </c>
      <c r="AI890" s="117" t="n">
        <v>111105</v>
      </c>
      <c r="AJ890" s="117" t="s">
        <v>1994</v>
      </c>
      <c r="AK890" s="117" t="n">
        <v>0</v>
      </c>
      <c r="AL890" s="117" t="n">
        <v>9</v>
      </c>
      <c r="AM890" s="117" t="s">
        <v>161</v>
      </c>
      <c r="AN890" s="117" t="s">
        <v>1995</v>
      </c>
      <c r="AR890" s="118" t="n">
        <v>43770</v>
      </c>
      <c r="AS890" s="117" t="n">
        <v>0.447384259259259</v>
      </c>
      <c r="AT890" s="117" t="n">
        <v>0</v>
      </c>
      <c r="AU890" s="117" t="n">
        <v>0</v>
      </c>
      <c r="AX890" s="117" t="n">
        <v>1</v>
      </c>
    </row>
    <row r="891" customFormat="false" ht="13.8" hidden="true" customHeight="false" outlineLevel="0" collapsed="false">
      <c r="A891" s="117" t="n">
        <v>1000</v>
      </c>
      <c r="B891" s="117" t="s">
        <v>1962</v>
      </c>
      <c r="C891" s="117" t="n">
        <v>100194026</v>
      </c>
      <c r="E891" s="117" t="s">
        <v>1921</v>
      </c>
      <c r="F891" s="117" t="n">
        <v>1108</v>
      </c>
      <c r="G891" s="117" t="n">
        <v>2019</v>
      </c>
      <c r="H891" s="117" t="n">
        <v>9</v>
      </c>
      <c r="I891" s="118" t="n">
        <v>43824</v>
      </c>
      <c r="J891" s="118" t="n">
        <v>43824</v>
      </c>
      <c r="K891" s="119" t="n">
        <v>-1769392.3</v>
      </c>
      <c r="L891" s="128" t="n">
        <f aca="false">K891-Q891+T891</f>
        <v>-1769392.3</v>
      </c>
      <c r="M891" s="117" t="s">
        <v>149</v>
      </c>
      <c r="N891" s="117" t="n">
        <v>-1769392.3</v>
      </c>
      <c r="O891" s="117" t="s">
        <v>149</v>
      </c>
      <c r="P891" s="117" t="n">
        <v>0</v>
      </c>
      <c r="Q891" s="117" t="n">
        <v>0</v>
      </c>
      <c r="R891" s="117" t="n">
        <v>-1769392.3</v>
      </c>
      <c r="S891" s="117" t="n">
        <v>0</v>
      </c>
      <c r="T891" s="117" t="n">
        <v>0</v>
      </c>
      <c r="U891" s="117" t="n">
        <v>313029</v>
      </c>
      <c r="V891" s="117" t="s">
        <v>143</v>
      </c>
      <c r="Z891" s="117" t="n">
        <v>100194026</v>
      </c>
      <c r="AD891" s="117" t="n">
        <v>110000</v>
      </c>
      <c r="AE891" s="117" t="s">
        <v>1966</v>
      </c>
      <c r="AF891" s="117" t="n">
        <v>110000</v>
      </c>
      <c r="AG891" s="117" t="s">
        <v>1966</v>
      </c>
      <c r="AI891" s="117" t="n">
        <v>110000</v>
      </c>
      <c r="AJ891" s="117" t="s">
        <v>1966</v>
      </c>
      <c r="AK891" s="117" t="n">
        <v>0</v>
      </c>
      <c r="AL891" s="117" t="n">
        <v>17</v>
      </c>
      <c r="AM891" s="117" t="s">
        <v>225</v>
      </c>
      <c r="AP891" s="117" t="n">
        <v>100194026</v>
      </c>
      <c r="AQ891" s="118" t="n">
        <v>43824</v>
      </c>
      <c r="AR891" s="118" t="n">
        <v>43824</v>
      </c>
      <c r="AS891" s="117" t="n">
        <v>0.372615740740741</v>
      </c>
      <c r="AT891" s="117" t="n">
        <v>0</v>
      </c>
      <c r="AU891" s="117" t="n">
        <v>0</v>
      </c>
      <c r="AX891" s="117" t="n">
        <v>2</v>
      </c>
    </row>
    <row r="892" customFormat="false" ht="13.8" hidden="true" customHeight="false" outlineLevel="0" collapsed="false">
      <c r="A892" s="117" t="n">
        <v>1000</v>
      </c>
      <c r="B892" s="117" t="s">
        <v>1962</v>
      </c>
      <c r="C892" s="117" t="n">
        <v>1600000292</v>
      </c>
      <c r="D892" s="117" t="s">
        <v>2354</v>
      </c>
      <c r="E892" s="117" t="s">
        <v>1987</v>
      </c>
      <c r="F892" s="117" t="n">
        <v>1101</v>
      </c>
      <c r="G892" s="117" t="n">
        <v>2019</v>
      </c>
      <c r="H892" s="117" t="n">
        <v>8</v>
      </c>
      <c r="I892" s="118" t="n">
        <v>43796</v>
      </c>
      <c r="J892" s="118" t="n">
        <v>43796</v>
      </c>
      <c r="K892" s="119" t="n">
        <v>-247</v>
      </c>
      <c r="L892" s="128" t="n">
        <f aca="false">K892-Q892+T892</f>
        <v>-247</v>
      </c>
      <c r="M892" s="117" t="s">
        <v>149</v>
      </c>
      <c r="N892" s="117" t="n">
        <v>-247</v>
      </c>
      <c r="O892" s="117" t="s">
        <v>149</v>
      </c>
      <c r="P892" s="117" t="n">
        <v>-247</v>
      </c>
      <c r="Q892" s="117" t="n">
        <v>0</v>
      </c>
      <c r="R892" s="117" t="n">
        <v>-247</v>
      </c>
      <c r="S892" s="117" t="n">
        <v>0</v>
      </c>
      <c r="T892" s="117" t="n">
        <v>0</v>
      </c>
      <c r="U892" s="117" t="n">
        <v>312193</v>
      </c>
      <c r="V892" s="117" t="s">
        <v>1963</v>
      </c>
      <c r="X892" s="117" t="s">
        <v>2481</v>
      </c>
      <c r="Y892" s="117" t="s">
        <v>2388</v>
      </c>
      <c r="Z892" s="117" t="n">
        <v>1600000292</v>
      </c>
      <c r="AD892" s="117" t="n">
        <v>310300</v>
      </c>
      <c r="AE892" s="117" t="s">
        <v>1969</v>
      </c>
      <c r="AF892" s="117" t="n">
        <v>111201</v>
      </c>
      <c r="AG892" s="117" t="s">
        <v>2165</v>
      </c>
      <c r="AI892" s="117" t="n">
        <v>111201</v>
      </c>
      <c r="AJ892" s="117" t="s">
        <v>2165</v>
      </c>
      <c r="AK892" s="117" t="n">
        <v>0</v>
      </c>
      <c r="AL892" s="117" t="n">
        <v>19</v>
      </c>
      <c r="AM892" s="117" t="s">
        <v>225</v>
      </c>
      <c r="AN892" s="117" t="s">
        <v>1978</v>
      </c>
      <c r="AR892" s="118" t="n">
        <v>43796</v>
      </c>
      <c r="AS892" s="117" t="n">
        <v>0.267407407407407</v>
      </c>
      <c r="AT892" s="117" t="n">
        <v>0</v>
      </c>
      <c r="AU892" s="117" t="n">
        <v>0</v>
      </c>
      <c r="AX892" s="117" t="n">
        <v>10</v>
      </c>
    </row>
    <row r="893" customFormat="false" ht="13.8" hidden="true" customHeight="false" outlineLevel="0" collapsed="false">
      <c r="A893" s="117" t="n">
        <v>1000</v>
      </c>
      <c r="B893" s="117" t="s">
        <v>1962</v>
      </c>
      <c r="C893" s="117" t="n">
        <v>100173564</v>
      </c>
      <c r="E893" s="117" t="s">
        <v>1921</v>
      </c>
      <c r="F893" s="117" t="n">
        <v>1108</v>
      </c>
      <c r="G893" s="117" t="n">
        <v>2019</v>
      </c>
      <c r="H893" s="117" t="n">
        <v>8</v>
      </c>
      <c r="I893" s="118" t="n">
        <v>43799</v>
      </c>
      <c r="J893" s="118" t="n">
        <v>43799</v>
      </c>
      <c r="K893" s="119" t="n">
        <v>100485.26</v>
      </c>
      <c r="L893" s="128" t="n">
        <f aca="false">K893-Q893+T893</f>
        <v>100485.26</v>
      </c>
      <c r="M893" s="117" t="s">
        <v>149</v>
      </c>
      <c r="N893" s="117" t="n">
        <v>100485.26</v>
      </c>
      <c r="O893" s="117" t="s">
        <v>149</v>
      </c>
      <c r="P893" s="117" t="n">
        <v>0</v>
      </c>
      <c r="Q893" s="117" t="n">
        <v>0</v>
      </c>
      <c r="R893" s="117" t="n">
        <v>100485.26</v>
      </c>
      <c r="S893" s="117" t="n">
        <v>0</v>
      </c>
      <c r="T893" s="117" t="n">
        <v>0</v>
      </c>
      <c r="U893" s="117" t="n">
        <v>312193</v>
      </c>
      <c r="V893" s="117" t="s">
        <v>1963</v>
      </c>
      <c r="X893" s="117" t="s">
        <v>1648</v>
      </c>
      <c r="Z893" s="117" t="n">
        <v>61995</v>
      </c>
      <c r="AB893" s="117" t="s">
        <v>2109</v>
      </c>
      <c r="AD893" s="117" t="n">
        <v>110000</v>
      </c>
      <c r="AE893" s="117" t="s">
        <v>1966</v>
      </c>
      <c r="AF893" s="117" t="n">
        <v>110000</v>
      </c>
      <c r="AG893" s="117" t="s">
        <v>1966</v>
      </c>
      <c r="AI893" s="117" t="n">
        <v>110000</v>
      </c>
      <c r="AJ893" s="117" t="s">
        <v>1966</v>
      </c>
      <c r="AK893" s="117" t="n">
        <v>0</v>
      </c>
      <c r="AL893" s="117" t="n">
        <v>4</v>
      </c>
      <c r="AM893" s="117" t="s">
        <v>161</v>
      </c>
      <c r="AR893" s="118" t="n">
        <v>43800</v>
      </c>
      <c r="AS893" s="117" t="n">
        <v>0.649189814814815</v>
      </c>
      <c r="AT893" s="117" t="n">
        <v>0</v>
      </c>
      <c r="AU893" s="117" t="n">
        <v>0</v>
      </c>
      <c r="AX893" s="117" t="n">
        <v>22</v>
      </c>
    </row>
    <row r="894" customFormat="false" ht="13.8" hidden="true" customHeight="false" outlineLevel="0" collapsed="false">
      <c r="A894" s="117" t="n">
        <v>1000</v>
      </c>
      <c r="B894" s="117" t="s">
        <v>1962</v>
      </c>
      <c r="C894" s="117" t="n">
        <v>100172891</v>
      </c>
      <c r="E894" s="117" t="s">
        <v>1921</v>
      </c>
      <c r="F894" s="117" t="n">
        <v>1101</v>
      </c>
      <c r="G894" s="117" t="n">
        <v>2019</v>
      </c>
      <c r="H894" s="117" t="n">
        <v>8</v>
      </c>
      <c r="I894" s="118" t="n">
        <v>43799</v>
      </c>
      <c r="J894" s="118" t="n">
        <v>43799</v>
      </c>
      <c r="K894" s="119" t="n">
        <v>7436</v>
      </c>
      <c r="L894" s="128" t="n">
        <f aca="false">K894-Q894+T894</f>
        <v>7436</v>
      </c>
      <c r="M894" s="117" t="s">
        <v>149</v>
      </c>
      <c r="N894" s="117" t="n">
        <v>7436</v>
      </c>
      <c r="O894" s="117" t="s">
        <v>149</v>
      </c>
      <c r="P894" s="117" t="n">
        <v>0</v>
      </c>
      <c r="Q894" s="117" t="n">
        <v>0</v>
      </c>
      <c r="R894" s="117" t="n">
        <v>7436</v>
      </c>
      <c r="S894" s="117" t="n">
        <v>0</v>
      </c>
      <c r="T894" s="117" t="n">
        <v>0</v>
      </c>
      <c r="U894" s="117" t="n">
        <v>304431</v>
      </c>
      <c r="V894" s="117" t="s">
        <v>2016</v>
      </c>
      <c r="Z894" s="117" t="n">
        <v>100172891</v>
      </c>
      <c r="AD894" s="117" t="n">
        <v>310300</v>
      </c>
      <c r="AE894" s="117" t="s">
        <v>1969</v>
      </c>
      <c r="AF894" s="117" t="n">
        <v>110000</v>
      </c>
      <c r="AG894" s="117" t="s">
        <v>1966</v>
      </c>
      <c r="AI894" s="117" t="n">
        <v>110000</v>
      </c>
      <c r="AJ894" s="117" t="s">
        <v>1966</v>
      </c>
      <c r="AK894" s="117" t="n">
        <v>0</v>
      </c>
      <c r="AL894" s="117" t="n">
        <v>9</v>
      </c>
      <c r="AM894" s="117" t="s">
        <v>161</v>
      </c>
      <c r="AN894" s="117" t="s">
        <v>1978</v>
      </c>
      <c r="AP894" s="117" t="n">
        <v>100172891</v>
      </c>
      <c r="AQ894" s="118" t="n">
        <v>43799</v>
      </c>
      <c r="AR894" s="118" t="n">
        <v>43800</v>
      </c>
      <c r="AS894" s="117" t="n">
        <v>0.26099537037037</v>
      </c>
      <c r="AT894" s="117" t="n">
        <v>0</v>
      </c>
      <c r="AU894" s="117" t="n">
        <v>0</v>
      </c>
      <c r="AX894" s="117" t="n">
        <v>2</v>
      </c>
    </row>
    <row r="895" customFormat="false" ht="13.8" hidden="true" customHeight="false" outlineLevel="0" collapsed="false">
      <c r="A895" s="117" t="n">
        <v>1000</v>
      </c>
      <c r="B895" s="117" t="s">
        <v>1962</v>
      </c>
      <c r="C895" s="117" t="n">
        <v>100173530</v>
      </c>
      <c r="E895" s="117" t="s">
        <v>1921</v>
      </c>
      <c r="F895" s="117" t="n">
        <v>1109</v>
      </c>
      <c r="G895" s="117" t="n">
        <v>2019</v>
      </c>
      <c r="H895" s="117" t="n">
        <v>8</v>
      </c>
      <c r="I895" s="118" t="n">
        <v>43799</v>
      </c>
      <c r="J895" s="118" t="n">
        <v>43799</v>
      </c>
      <c r="K895" s="119" t="n">
        <v>7308</v>
      </c>
      <c r="L895" s="128" t="n">
        <f aca="false">K895-Q895+T895</f>
        <v>7308</v>
      </c>
      <c r="M895" s="117" t="s">
        <v>149</v>
      </c>
      <c r="N895" s="117" t="n">
        <v>7308</v>
      </c>
      <c r="O895" s="117" t="s">
        <v>149</v>
      </c>
      <c r="P895" s="117" t="n">
        <v>0</v>
      </c>
      <c r="Q895" s="117" t="n">
        <v>0</v>
      </c>
      <c r="R895" s="117" t="n">
        <v>7308</v>
      </c>
      <c r="S895" s="117" t="n">
        <v>0</v>
      </c>
      <c r="T895" s="117" t="n">
        <v>0</v>
      </c>
      <c r="U895" s="117" t="n">
        <v>312193</v>
      </c>
      <c r="V895" s="117" t="s">
        <v>1963</v>
      </c>
      <c r="X895" s="117" t="s">
        <v>2482</v>
      </c>
      <c r="Z895" s="117" t="n">
        <v>2316</v>
      </c>
      <c r="AB895" s="117" t="s">
        <v>1965</v>
      </c>
      <c r="AD895" s="117" t="n">
        <v>110000</v>
      </c>
      <c r="AE895" s="117" t="s">
        <v>1966</v>
      </c>
      <c r="AF895" s="117" t="n">
        <v>110000</v>
      </c>
      <c r="AG895" s="117" t="s">
        <v>1966</v>
      </c>
      <c r="AI895" s="117" t="n">
        <v>110000</v>
      </c>
      <c r="AJ895" s="117" t="s">
        <v>1966</v>
      </c>
      <c r="AK895" s="117" t="n">
        <v>0</v>
      </c>
      <c r="AL895" s="117" t="n">
        <v>4</v>
      </c>
      <c r="AM895" s="117" t="s">
        <v>161</v>
      </c>
      <c r="AR895" s="118" t="n">
        <v>43800</v>
      </c>
      <c r="AS895" s="117" t="n">
        <v>0.629131944444444</v>
      </c>
      <c r="AT895" s="117" t="n">
        <v>0</v>
      </c>
      <c r="AU895" s="117" t="n">
        <v>0</v>
      </c>
      <c r="AX895" s="117" t="n">
        <v>2</v>
      </c>
    </row>
    <row r="896" customFormat="false" ht="13.8" hidden="true" customHeight="false" outlineLevel="0" collapsed="false">
      <c r="A896" s="117" t="n">
        <v>1000</v>
      </c>
      <c r="B896" s="117" t="s">
        <v>1962</v>
      </c>
      <c r="C896" s="117" t="n">
        <v>100194025</v>
      </c>
      <c r="E896" s="117" t="s">
        <v>1921</v>
      </c>
      <c r="F896" s="117" t="n">
        <v>1112</v>
      </c>
      <c r="G896" s="117" t="n">
        <v>2019</v>
      </c>
      <c r="H896" s="117" t="n">
        <v>9</v>
      </c>
      <c r="I896" s="118" t="n">
        <v>43824</v>
      </c>
      <c r="J896" s="118" t="n">
        <v>43824</v>
      </c>
      <c r="K896" s="119" t="n">
        <v>36613.61</v>
      </c>
      <c r="L896" s="128" t="n">
        <f aca="false">K896-Q896+T896</f>
        <v>36613.61</v>
      </c>
      <c r="M896" s="117" t="s">
        <v>149</v>
      </c>
      <c r="N896" s="117" t="n">
        <v>36613.61</v>
      </c>
      <c r="O896" s="117" t="s">
        <v>149</v>
      </c>
      <c r="P896" s="117" t="n">
        <v>0</v>
      </c>
      <c r="Q896" s="117" t="n">
        <v>0</v>
      </c>
      <c r="R896" s="117" t="n">
        <v>36613.61</v>
      </c>
      <c r="S896" s="117" t="n">
        <v>0</v>
      </c>
      <c r="T896" s="117" t="n">
        <v>0</v>
      </c>
      <c r="U896" s="117" t="n">
        <v>312193</v>
      </c>
      <c r="V896" s="117" t="s">
        <v>1963</v>
      </c>
      <c r="X896" s="117" t="s">
        <v>2384</v>
      </c>
      <c r="Z896" s="117" t="n">
        <v>62150</v>
      </c>
      <c r="AB896" s="117" t="s">
        <v>2350</v>
      </c>
      <c r="AD896" s="117" t="n">
        <v>110000</v>
      </c>
      <c r="AE896" s="117" t="s">
        <v>1966</v>
      </c>
      <c r="AF896" s="117" t="n">
        <v>110000</v>
      </c>
      <c r="AG896" s="117" t="s">
        <v>1966</v>
      </c>
      <c r="AI896" s="117" t="n">
        <v>110000</v>
      </c>
      <c r="AJ896" s="117" t="s">
        <v>1966</v>
      </c>
      <c r="AK896" s="117" t="n">
        <v>0</v>
      </c>
      <c r="AL896" s="117" t="n">
        <v>4</v>
      </c>
      <c r="AM896" s="117" t="s">
        <v>161</v>
      </c>
      <c r="AR896" s="118" t="n">
        <v>43824</v>
      </c>
      <c r="AS896" s="117" t="n">
        <v>0.371284722222222</v>
      </c>
      <c r="AT896" s="117" t="n">
        <v>0</v>
      </c>
      <c r="AU896" s="117" t="n">
        <v>0</v>
      </c>
      <c r="AX896" s="117" t="n">
        <v>21</v>
      </c>
    </row>
    <row r="897" s="106" customFormat="true" ht="13.8" hidden="true" customHeight="false" outlineLevel="0" collapsed="false">
      <c r="A897" s="106" t="n">
        <v>1000</v>
      </c>
      <c r="B897" s="106" t="s">
        <v>1962</v>
      </c>
      <c r="C897" s="106" t="n">
        <v>112995</v>
      </c>
      <c r="D897" s="106" t="s">
        <v>2483</v>
      </c>
      <c r="E897" s="106" t="s">
        <v>1970</v>
      </c>
      <c r="F897" s="106" t="n">
        <v>1109</v>
      </c>
      <c r="G897" s="106" t="n">
        <v>2019</v>
      </c>
      <c r="H897" s="106" t="n">
        <v>11</v>
      </c>
      <c r="I897" s="129" t="n">
        <v>43883</v>
      </c>
      <c r="J897" s="129" t="n">
        <v>43883</v>
      </c>
      <c r="K897" s="107" t="n">
        <v>64887.39</v>
      </c>
      <c r="L897" s="130" t="n">
        <f aca="false">K897-Q897+T897</f>
        <v>54989.31</v>
      </c>
      <c r="M897" s="106" t="s">
        <v>149</v>
      </c>
      <c r="N897" s="106" t="n">
        <v>64887.39</v>
      </c>
      <c r="O897" s="106" t="s">
        <v>149</v>
      </c>
      <c r="P897" s="106" t="n">
        <v>0</v>
      </c>
      <c r="Q897" s="107" t="n">
        <v>9898.08</v>
      </c>
      <c r="R897" s="106" t="n">
        <v>54989.31</v>
      </c>
      <c r="S897" s="106" t="n">
        <v>0</v>
      </c>
      <c r="T897" s="106" t="n">
        <v>0</v>
      </c>
      <c r="U897" s="106" t="n">
        <v>312193</v>
      </c>
      <c r="V897" s="106" t="s">
        <v>1963</v>
      </c>
      <c r="Z897" s="106" t="n">
        <v>62805</v>
      </c>
      <c r="AB897" s="106" t="s">
        <v>2477</v>
      </c>
      <c r="AD897" s="106" t="n">
        <v>110000</v>
      </c>
      <c r="AE897" s="106" t="s">
        <v>1966</v>
      </c>
      <c r="AF897" s="106" t="n">
        <v>501005</v>
      </c>
      <c r="AG897" s="106" t="s">
        <v>2033</v>
      </c>
      <c r="AI897" s="106" t="n">
        <v>501005</v>
      </c>
      <c r="AJ897" s="106" t="s">
        <v>2033</v>
      </c>
      <c r="AK897" s="106" t="n">
        <v>0</v>
      </c>
      <c r="AL897" s="106" t="n">
        <v>1</v>
      </c>
      <c r="AM897" s="106" t="s">
        <v>161</v>
      </c>
      <c r="AQ897" s="129"/>
      <c r="AR897" s="129" t="n">
        <v>43883</v>
      </c>
      <c r="AS897" s="106" t="n">
        <v>0.685509259259259</v>
      </c>
      <c r="AT897" s="106" t="n">
        <v>0</v>
      </c>
      <c r="AU897" s="106" t="n">
        <v>0</v>
      </c>
      <c r="AX897" s="106" t="n">
        <v>1</v>
      </c>
      <c r="ALU897" s="0"/>
      <c r="ALV897" s="0"/>
      <c r="ALW897" s="0"/>
      <c r="ALX897" s="0"/>
      <c r="ALY897" s="0"/>
      <c r="ALZ897" s="0"/>
      <c r="AMA897" s="0"/>
      <c r="AMB897" s="0"/>
      <c r="AMC897" s="0"/>
      <c r="AMD897" s="0"/>
      <c r="AME897" s="0"/>
      <c r="AMF897" s="0"/>
      <c r="AMG897" s="0"/>
      <c r="AMH897" s="0"/>
      <c r="AMI897" s="0"/>
      <c r="AMJ897" s="0"/>
    </row>
    <row r="898" s="106" customFormat="true" ht="13.8" hidden="true" customHeight="false" outlineLevel="0" collapsed="false">
      <c r="A898" s="106" t="n">
        <v>1000</v>
      </c>
      <c r="B898" s="106" t="s">
        <v>1962</v>
      </c>
      <c r="C898" s="106" t="n">
        <v>110409</v>
      </c>
      <c r="D898" s="106" t="s">
        <v>2484</v>
      </c>
      <c r="E898" s="106" t="s">
        <v>1970</v>
      </c>
      <c r="F898" s="106" t="n">
        <v>1112</v>
      </c>
      <c r="G898" s="106" t="n">
        <v>2019</v>
      </c>
      <c r="H898" s="106" t="n">
        <v>9</v>
      </c>
      <c r="I898" s="129" t="n">
        <v>43820</v>
      </c>
      <c r="J898" s="129" t="n">
        <v>43820</v>
      </c>
      <c r="K898" s="107" t="n">
        <v>40536.49</v>
      </c>
      <c r="L898" s="130" t="n">
        <f aca="false">K898-Q898+T898</f>
        <v>34352.96</v>
      </c>
      <c r="M898" s="106" t="s">
        <v>149</v>
      </c>
      <c r="N898" s="106" t="n">
        <v>40536.49</v>
      </c>
      <c r="O898" s="106" t="s">
        <v>149</v>
      </c>
      <c r="P898" s="106" t="n">
        <v>0</v>
      </c>
      <c r="Q898" s="107" t="n">
        <v>6183.53</v>
      </c>
      <c r="R898" s="106" t="n">
        <v>34352.96</v>
      </c>
      <c r="S898" s="106" t="n">
        <v>0</v>
      </c>
      <c r="T898" s="106" t="n">
        <v>0</v>
      </c>
      <c r="U898" s="106" t="n">
        <v>312193</v>
      </c>
      <c r="V898" s="106" t="s">
        <v>1963</v>
      </c>
      <c r="Z898" s="106" t="n">
        <v>62146</v>
      </c>
      <c r="AB898" s="106" t="s">
        <v>2350</v>
      </c>
      <c r="AD898" s="106" t="n">
        <v>110000</v>
      </c>
      <c r="AE898" s="106" t="s">
        <v>1966</v>
      </c>
      <c r="AF898" s="106" t="n">
        <v>501005</v>
      </c>
      <c r="AG898" s="106" t="s">
        <v>2033</v>
      </c>
      <c r="AI898" s="106" t="n">
        <v>501005</v>
      </c>
      <c r="AJ898" s="106" t="s">
        <v>2033</v>
      </c>
      <c r="AK898" s="106" t="n">
        <v>0</v>
      </c>
      <c r="AL898" s="106" t="n">
        <v>1</v>
      </c>
      <c r="AM898" s="106" t="s">
        <v>161</v>
      </c>
      <c r="AP898" s="106" t="n">
        <v>100194025</v>
      </c>
      <c r="AQ898" s="129" t="n">
        <v>43824</v>
      </c>
      <c r="AR898" s="129" t="n">
        <v>43820</v>
      </c>
      <c r="AS898" s="106" t="n">
        <v>0.575787037037037</v>
      </c>
      <c r="AT898" s="106" t="n">
        <v>0</v>
      </c>
      <c r="AU898" s="106" t="n">
        <v>0</v>
      </c>
      <c r="AX898" s="106" t="n">
        <v>1</v>
      </c>
      <c r="ALU898" s="0"/>
      <c r="ALV898" s="0"/>
      <c r="ALW898" s="0"/>
      <c r="ALX898" s="0"/>
      <c r="ALY898" s="0"/>
      <c r="ALZ898" s="0"/>
      <c r="AMA898" s="0"/>
      <c r="AMB898" s="0"/>
      <c r="AMC898" s="0"/>
      <c r="AMD898" s="0"/>
      <c r="AME898" s="0"/>
      <c r="AMF898" s="0"/>
      <c r="AMG898" s="0"/>
      <c r="AMH898" s="0"/>
      <c r="AMI898" s="0"/>
      <c r="AMJ898" s="0"/>
    </row>
    <row r="899" s="106" customFormat="true" ht="13.8" hidden="true" customHeight="false" outlineLevel="0" collapsed="false">
      <c r="A899" s="106" t="n">
        <v>1000</v>
      </c>
      <c r="B899" s="106" t="s">
        <v>1962</v>
      </c>
      <c r="C899" s="106" t="n">
        <v>110858</v>
      </c>
      <c r="D899" s="106" t="s">
        <v>2485</v>
      </c>
      <c r="E899" s="106" t="s">
        <v>1970</v>
      </c>
      <c r="F899" s="106" t="n">
        <v>1112</v>
      </c>
      <c r="G899" s="106" t="n">
        <v>2019</v>
      </c>
      <c r="H899" s="106" t="n">
        <v>9</v>
      </c>
      <c r="I899" s="129" t="n">
        <v>43828</v>
      </c>
      <c r="J899" s="129" t="n">
        <v>43828</v>
      </c>
      <c r="K899" s="107" t="n">
        <v>228095.89</v>
      </c>
      <c r="L899" s="130" t="n">
        <f aca="false">K899-Q899+T899</f>
        <v>193301.6</v>
      </c>
      <c r="M899" s="106" t="s">
        <v>149</v>
      </c>
      <c r="N899" s="106" t="n">
        <v>228095.89</v>
      </c>
      <c r="O899" s="106" t="s">
        <v>149</v>
      </c>
      <c r="P899" s="106" t="n">
        <v>0</v>
      </c>
      <c r="Q899" s="107" t="n">
        <v>34794.29</v>
      </c>
      <c r="R899" s="106" t="n">
        <v>193301.6</v>
      </c>
      <c r="S899" s="106" t="n">
        <v>0</v>
      </c>
      <c r="T899" s="106" t="n">
        <v>0</v>
      </c>
      <c r="U899" s="106" t="n">
        <v>312193</v>
      </c>
      <c r="V899" s="106" t="s">
        <v>1963</v>
      </c>
      <c r="Z899" s="106" t="n">
        <v>62191</v>
      </c>
      <c r="AB899" s="106" t="s">
        <v>2350</v>
      </c>
      <c r="AD899" s="106" t="n">
        <v>110000</v>
      </c>
      <c r="AE899" s="106" t="s">
        <v>1966</v>
      </c>
      <c r="AF899" s="106" t="n">
        <v>501005</v>
      </c>
      <c r="AG899" s="106" t="s">
        <v>2033</v>
      </c>
      <c r="AI899" s="106" t="n">
        <v>501005</v>
      </c>
      <c r="AJ899" s="106" t="s">
        <v>2033</v>
      </c>
      <c r="AK899" s="106" t="n">
        <v>0</v>
      </c>
      <c r="AL899" s="106" t="n">
        <v>1</v>
      </c>
      <c r="AM899" s="106" t="s">
        <v>161</v>
      </c>
      <c r="AP899" s="106" t="n">
        <v>100199799</v>
      </c>
      <c r="AQ899" s="129" t="n">
        <v>43830</v>
      </c>
      <c r="AR899" s="129" t="n">
        <v>43828</v>
      </c>
      <c r="AS899" s="106" t="n">
        <v>0.684189814814815</v>
      </c>
      <c r="AT899" s="106" t="n">
        <v>0</v>
      </c>
      <c r="AU899" s="106" t="n">
        <v>0</v>
      </c>
      <c r="AX899" s="106" t="n">
        <v>1</v>
      </c>
      <c r="ALU899" s="0"/>
      <c r="ALV899" s="0"/>
      <c r="ALW899" s="0"/>
      <c r="ALX899" s="0"/>
      <c r="ALY899" s="0"/>
      <c r="ALZ899" s="0"/>
      <c r="AMA899" s="0"/>
      <c r="AMB899" s="0"/>
      <c r="AMC899" s="0"/>
      <c r="AMD899" s="0"/>
      <c r="AME899" s="0"/>
      <c r="AMF899" s="0"/>
      <c r="AMG899" s="0"/>
      <c r="AMH899" s="0"/>
      <c r="AMI899" s="0"/>
      <c r="AMJ899" s="0"/>
    </row>
    <row r="900" customFormat="false" ht="13.8" hidden="true" customHeight="false" outlineLevel="0" collapsed="false">
      <c r="A900" s="117" t="n">
        <v>1000</v>
      </c>
      <c r="B900" s="117" t="s">
        <v>1962</v>
      </c>
      <c r="C900" s="117" t="n">
        <v>1600000315</v>
      </c>
      <c r="D900" s="117" t="s">
        <v>2354</v>
      </c>
      <c r="E900" s="117" t="s">
        <v>1987</v>
      </c>
      <c r="F900" s="117" t="n">
        <v>1101</v>
      </c>
      <c r="G900" s="117" t="n">
        <v>2019</v>
      </c>
      <c r="H900" s="117" t="n">
        <v>8</v>
      </c>
      <c r="I900" s="118" t="n">
        <v>43798</v>
      </c>
      <c r="J900" s="118" t="n">
        <v>43798</v>
      </c>
      <c r="K900" s="119" t="n">
        <v>-7172</v>
      </c>
      <c r="L900" s="128" t="n">
        <f aca="false">K900-Q900+T900</f>
        <v>-7172</v>
      </c>
      <c r="M900" s="117" t="s">
        <v>149</v>
      </c>
      <c r="N900" s="117" t="n">
        <v>-7172</v>
      </c>
      <c r="O900" s="117" t="s">
        <v>149</v>
      </c>
      <c r="P900" s="117" t="n">
        <v>-7172</v>
      </c>
      <c r="Q900" s="117" t="n">
        <v>0</v>
      </c>
      <c r="R900" s="117" t="n">
        <v>-7172</v>
      </c>
      <c r="S900" s="117" t="n">
        <v>0</v>
      </c>
      <c r="T900" s="117" t="n">
        <v>0</v>
      </c>
      <c r="U900" s="117" t="n">
        <v>312193</v>
      </c>
      <c r="V900" s="117" t="s">
        <v>1963</v>
      </c>
      <c r="X900" s="117" t="s">
        <v>2486</v>
      </c>
      <c r="Y900" s="117" t="s">
        <v>2354</v>
      </c>
      <c r="Z900" s="117" t="n">
        <v>1600000315</v>
      </c>
      <c r="AD900" s="117" t="n">
        <v>310300</v>
      </c>
      <c r="AE900" s="117" t="s">
        <v>1969</v>
      </c>
      <c r="AF900" s="117" t="n">
        <v>111201</v>
      </c>
      <c r="AG900" s="117" t="s">
        <v>2165</v>
      </c>
      <c r="AI900" s="117" t="n">
        <v>111201</v>
      </c>
      <c r="AJ900" s="117" t="s">
        <v>2165</v>
      </c>
      <c r="AK900" s="117" t="n">
        <v>0</v>
      </c>
      <c r="AL900" s="117" t="n">
        <v>19</v>
      </c>
      <c r="AM900" s="117" t="s">
        <v>225</v>
      </c>
      <c r="AN900" s="117" t="s">
        <v>1978</v>
      </c>
      <c r="AP900" s="117" t="n">
        <v>100173563</v>
      </c>
      <c r="AQ900" s="118" t="n">
        <v>43799</v>
      </c>
      <c r="AR900" s="118" t="n">
        <v>43798</v>
      </c>
      <c r="AS900" s="117" t="n">
        <v>0.954837962962963</v>
      </c>
      <c r="AT900" s="117" t="n">
        <v>0</v>
      </c>
      <c r="AU900" s="117" t="n">
        <v>0</v>
      </c>
      <c r="AX900" s="117" t="n">
        <v>39</v>
      </c>
    </row>
    <row r="901" customFormat="false" ht="13.8" hidden="true" customHeight="false" outlineLevel="0" collapsed="false">
      <c r="A901" s="117" t="n">
        <v>1000</v>
      </c>
      <c r="B901" s="117" t="s">
        <v>1962</v>
      </c>
      <c r="C901" s="117" t="n">
        <v>100173564</v>
      </c>
      <c r="E901" s="117" t="s">
        <v>1921</v>
      </c>
      <c r="F901" s="117" t="n">
        <v>1108</v>
      </c>
      <c r="G901" s="117" t="n">
        <v>2019</v>
      </c>
      <c r="H901" s="117" t="n">
        <v>8</v>
      </c>
      <c r="I901" s="118" t="n">
        <v>43799</v>
      </c>
      <c r="J901" s="118" t="n">
        <v>43799</v>
      </c>
      <c r="K901" s="119" t="n">
        <v>114495.08</v>
      </c>
      <c r="L901" s="128" t="n">
        <f aca="false">K901-Q901+T901</f>
        <v>114495.08</v>
      </c>
      <c r="M901" s="117" t="s">
        <v>149</v>
      </c>
      <c r="N901" s="117" t="n">
        <v>114495.08</v>
      </c>
      <c r="O901" s="117" t="s">
        <v>149</v>
      </c>
      <c r="P901" s="117" t="n">
        <v>0</v>
      </c>
      <c r="Q901" s="117" t="n">
        <v>0</v>
      </c>
      <c r="R901" s="117" t="n">
        <v>114495.08</v>
      </c>
      <c r="S901" s="117" t="n">
        <v>0</v>
      </c>
      <c r="T901" s="117" t="n">
        <v>0</v>
      </c>
      <c r="U901" s="117" t="n">
        <v>312193</v>
      </c>
      <c r="V901" s="117" t="s">
        <v>1963</v>
      </c>
      <c r="X901" s="117" t="s">
        <v>1666</v>
      </c>
      <c r="Z901" s="117" t="n">
        <v>61997</v>
      </c>
      <c r="AB901" s="117" t="s">
        <v>2109</v>
      </c>
      <c r="AD901" s="117" t="n">
        <v>110000</v>
      </c>
      <c r="AE901" s="117" t="s">
        <v>1966</v>
      </c>
      <c r="AF901" s="117" t="n">
        <v>110000</v>
      </c>
      <c r="AG901" s="117" t="s">
        <v>1966</v>
      </c>
      <c r="AI901" s="117" t="n">
        <v>110000</v>
      </c>
      <c r="AJ901" s="117" t="s">
        <v>1966</v>
      </c>
      <c r="AK901" s="117" t="n">
        <v>0</v>
      </c>
      <c r="AL901" s="117" t="n">
        <v>4</v>
      </c>
      <c r="AM901" s="117" t="s">
        <v>161</v>
      </c>
      <c r="AR901" s="118" t="n">
        <v>43800</v>
      </c>
      <c r="AS901" s="117" t="n">
        <v>0.649189814814815</v>
      </c>
      <c r="AT901" s="117" t="n">
        <v>0</v>
      </c>
      <c r="AU901" s="117" t="n">
        <v>0</v>
      </c>
      <c r="AX901" s="117" t="n">
        <v>10</v>
      </c>
    </row>
    <row r="902" customFormat="false" ht="13.8" hidden="true" customHeight="false" outlineLevel="0" collapsed="false">
      <c r="A902" s="117" t="n">
        <v>1000</v>
      </c>
      <c r="B902" s="117" t="s">
        <v>1962</v>
      </c>
      <c r="C902" s="117" t="n">
        <v>100199799</v>
      </c>
      <c r="E902" s="117" t="s">
        <v>1921</v>
      </c>
      <c r="F902" s="117" t="n">
        <v>1112</v>
      </c>
      <c r="G902" s="117" t="n">
        <v>2019</v>
      </c>
      <c r="H902" s="117" t="n">
        <v>9</v>
      </c>
      <c r="I902" s="118" t="n">
        <v>43830</v>
      </c>
      <c r="J902" s="118" t="n">
        <v>43830</v>
      </c>
      <c r="K902" s="119" t="n">
        <v>5230.52</v>
      </c>
      <c r="L902" s="128" t="n">
        <f aca="false">K902-Q902+T902</f>
        <v>5230.52</v>
      </c>
      <c r="M902" s="117" t="s">
        <v>149</v>
      </c>
      <c r="N902" s="117" t="n">
        <v>5230.52</v>
      </c>
      <c r="O902" s="117" t="s">
        <v>149</v>
      </c>
      <c r="P902" s="117" t="n">
        <v>0</v>
      </c>
      <c r="Q902" s="117" t="n">
        <v>0</v>
      </c>
      <c r="R902" s="117" t="n">
        <v>5230.52</v>
      </c>
      <c r="S902" s="117" t="n">
        <v>0</v>
      </c>
      <c r="T902" s="117" t="n">
        <v>0</v>
      </c>
      <c r="U902" s="117" t="n">
        <v>312193</v>
      </c>
      <c r="V902" s="117" t="s">
        <v>1963</v>
      </c>
      <c r="X902" s="117" t="s">
        <v>2487</v>
      </c>
      <c r="Z902" s="117" t="n">
        <v>62201</v>
      </c>
      <c r="AB902" s="117" t="s">
        <v>2350</v>
      </c>
      <c r="AD902" s="117" t="n">
        <v>110000</v>
      </c>
      <c r="AE902" s="117" t="s">
        <v>1966</v>
      </c>
      <c r="AF902" s="117" t="n">
        <v>110000</v>
      </c>
      <c r="AG902" s="117" t="s">
        <v>1966</v>
      </c>
      <c r="AI902" s="117" t="n">
        <v>110000</v>
      </c>
      <c r="AJ902" s="117" t="s">
        <v>1966</v>
      </c>
      <c r="AK902" s="117" t="n">
        <v>0</v>
      </c>
      <c r="AL902" s="117" t="n">
        <v>4</v>
      </c>
      <c r="AM902" s="117" t="s">
        <v>161</v>
      </c>
      <c r="AR902" s="118" t="n">
        <v>43830</v>
      </c>
      <c r="AS902" s="117" t="n">
        <v>0.279467592592593</v>
      </c>
      <c r="AT902" s="117" t="n">
        <v>0</v>
      </c>
      <c r="AU902" s="117" t="n">
        <v>0</v>
      </c>
      <c r="AX902" s="117" t="n">
        <v>22</v>
      </c>
    </row>
    <row r="903" s="106" customFormat="true" ht="13.8" hidden="true" customHeight="false" outlineLevel="0" collapsed="false">
      <c r="A903" s="106" t="n">
        <v>1000</v>
      </c>
      <c r="B903" s="106" t="s">
        <v>1962</v>
      </c>
      <c r="C903" s="106" t="n">
        <v>112996</v>
      </c>
      <c r="D903" s="106" t="s">
        <v>2488</v>
      </c>
      <c r="E903" s="106" t="s">
        <v>1970</v>
      </c>
      <c r="F903" s="106" t="n">
        <v>1109</v>
      </c>
      <c r="G903" s="106" t="n">
        <v>2019</v>
      </c>
      <c r="H903" s="106" t="n">
        <v>11</v>
      </c>
      <c r="I903" s="129" t="n">
        <v>43883</v>
      </c>
      <c r="J903" s="129" t="n">
        <v>43883</v>
      </c>
      <c r="K903" s="107" t="n">
        <v>64887.39</v>
      </c>
      <c r="L903" s="130" t="n">
        <f aca="false">K903-Q903+T903</f>
        <v>54989.31</v>
      </c>
      <c r="M903" s="106" t="s">
        <v>149</v>
      </c>
      <c r="N903" s="106" t="n">
        <v>64887.39</v>
      </c>
      <c r="O903" s="106" t="s">
        <v>149</v>
      </c>
      <c r="P903" s="106" t="n">
        <v>0</v>
      </c>
      <c r="Q903" s="107" t="n">
        <v>9898.08</v>
      </c>
      <c r="R903" s="106" t="n">
        <v>54989.31</v>
      </c>
      <c r="S903" s="106" t="n">
        <v>0</v>
      </c>
      <c r="T903" s="106" t="n">
        <v>0</v>
      </c>
      <c r="U903" s="106" t="n">
        <v>312193</v>
      </c>
      <c r="V903" s="106" t="s">
        <v>1963</v>
      </c>
      <c r="Z903" s="106" t="n">
        <v>62772</v>
      </c>
      <c r="AB903" s="106" t="s">
        <v>2477</v>
      </c>
      <c r="AD903" s="106" t="n">
        <v>110000</v>
      </c>
      <c r="AE903" s="106" t="s">
        <v>1966</v>
      </c>
      <c r="AF903" s="106" t="n">
        <v>501005</v>
      </c>
      <c r="AG903" s="106" t="s">
        <v>2033</v>
      </c>
      <c r="AI903" s="106" t="n">
        <v>501005</v>
      </c>
      <c r="AJ903" s="106" t="s">
        <v>2033</v>
      </c>
      <c r="AK903" s="106" t="n">
        <v>0</v>
      </c>
      <c r="AL903" s="106" t="n">
        <v>1</v>
      </c>
      <c r="AM903" s="106" t="s">
        <v>161</v>
      </c>
      <c r="AQ903" s="129"/>
      <c r="AR903" s="129" t="n">
        <v>43883</v>
      </c>
      <c r="AS903" s="106" t="n">
        <v>0.686331018518518</v>
      </c>
      <c r="AT903" s="106" t="n">
        <v>0</v>
      </c>
      <c r="AU903" s="106" t="n">
        <v>0</v>
      </c>
      <c r="AX903" s="106" t="n">
        <v>1</v>
      </c>
      <c r="ALU903" s="0"/>
      <c r="ALV903" s="0"/>
      <c r="ALW903" s="0"/>
      <c r="ALX903" s="0"/>
      <c r="ALY903" s="0"/>
      <c r="ALZ903" s="0"/>
      <c r="AMA903" s="0"/>
      <c r="AMB903" s="0"/>
      <c r="AMC903" s="0"/>
      <c r="AMD903" s="0"/>
      <c r="AME903" s="0"/>
      <c r="AMF903" s="0"/>
      <c r="AMG903" s="0"/>
      <c r="AMH903" s="0"/>
      <c r="AMI903" s="0"/>
      <c r="AMJ903" s="0"/>
    </row>
    <row r="904" customFormat="false" ht="13.8" hidden="true" customHeight="false" outlineLevel="0" collapsed="false">
      <c r="A904" s="117" t="n">
        <v>1000</v>
      </c>
      <c r="B904" s="117" t="s">
        <v>1962</v>
      </c>
      <c r="C904" s="117" t="n">
        <v>100141449</v>
      </c>
      <c r="E904" s="117" t="s">
        <v>1921</v>
      </c>
      <c r="F904" s="117" t="n">
        <v>1109</v>
      </c>
      <c r="G904" s="117" t="n">
        <v>2019</v>
      </c>
      <c r="H904" s="117" t="n">
        <v>7</v>
      </c>
      <c r="I904" s="118" t="n">
        <v>43766</v>
      </c>
      <c r="J904" s="118" t="n">
        <v>43766</v>
      </c>
      <c r="K904" s="119" t="n">
        <v>1584872.16</v>
      </c>
      <c r="L904" s="128" t="n">
        <f aca="false">K904-Q904+T904</f>
        <v>1584872.16</v>
      </c>
      <c r="M904" s="117" t="s">
        <v>149</v>
      </c>
      <c r="N904" s="117" t="n">
        <v>1584872.16</v>
      </c>
      <c r="O904" s="117" t="s">
        <v>149</v>
      </c>
      <c r="P904" s="117" t="n">
        <v>0</v>
      </c>
      <c r="Q904" s="117" t="n">
        <v>0</v>
      </c>
      <c r="R904" s="117" t="n">
        <v>1584872.16</v>
      </c>
      <c r="S904" s="117" t="n">
        <v>0</v>
      </c>
      <c r="T904" s="117" t="n">
        <v>0</v>
      </c>
      <c r="U904" s="117" t="n">
        <v>312193</v>
      </c>
      <c r="V904" s="117" t="s">
        <v>1963</v>
      </c>
      <c r="X904" s="117" t="s">
        <v>1848</v>
      </c>
      <c r="Z904" s="117" t="n">
        <v>61155</v>
      </c>
      <c r="AB904" s="117" t="s">
        <v>2124</v>
      </c>
      <c r="AD904" s="117" t="n">
        <v>110000</v>
      </c>
      <c r="AE904" s="117" t="s">
        <v>1966</v>
      </c>
      <c r="AF904" s="117" t="n">
        <v>110000</v>
      </c>
      <c r="AG904" s="117" t="s">
        <v>1966</v>
      </c>
      <c r="AI904" s="117" t="n">
        <v>110000</v>
      </c>
      <c r="AJ904" s="117" t="s">
        <v>1966</v>
      </c>
      <c r="AK904" s="117" t="n">
        <v>0</v>
      </c>
      <c r="AL904" s="117" t="n">
        <v>4</v>
      </c>
      <c r="AM904" s="117" t="s">
        <v>161</v>
      </c>
      <c r="AR904" s="118" t="n">
        <v>43766</v>
      </c>
      <c r="AS904" s="117" t="n">
        <v>0.371388888888889</v>
      </c>
      <c r="AT904" s="117" t="n">
        <v>0</v>
      </c>
      <c r="AU904" s="117" t="n">
        <v>0</v>
      </c>
      <c r="AX904" s="117" t="n">
        <v>21</v>
      </c>
    </row>
    <row r="905" customFormat="false" ht="13.8" hidden="true" customHeight="false" outlineLevel="0" collapsed="false">
      <c r="A905" s="117" t="n">
        <v>1000</v>
      </c>
      <c r="B905" s="117" t="s">
        <v>1962</v>
      </c>
      <c r="C905" s="117" t="n">
        <v>100173564</v>
      </c>
      <c r="E905" s="117" t="s">
        <v>1921</v>
      </c>
      <c r="F905" s="117" t="n">
        <v>1108</v>
      </c>
      <c r="G905" s="117" t="n">
        <v>2019</v>
      </c>
      <c r="H905" s="117" t="n">
        <v>8</v>
      </c>
      <c r="I905" s="118" t="n">
        <v>43799</v>
      </c>
      <c r="J905" s="118" t="n">
        <v>43799</v>
      </c>
      <c r="K905" s="119" t="n">
        <v>74782.5</v>
      </c>
      <c r="L905" s="128" t="n">
        <f aca="false">K905-Q905+T905</f>
        <v>74782.5</v>
      </c>
      <c r="M905" s="117" t="s">
        <v>149</v>
      </c>
      <c r="N905" s="117" t="n">
        <v>74782.5</v>
      </c>
      <c r="O905" s="117" t="s">
        <v>149</v>
      </c>
      <c r="P905" s="117" t="n">
        <v>0</v>
      </c>
      <c r="Q905" s="117" t="n">
        <v>0</v>
      </c>
      <c r="R905" s="117" t="n">
        <v>74782.5</v>
      </c>
      <c r="S905" s="117" t="n">
        <v>0</v>
      </c>
      <c r="T905" s="117" t="n">
        <v>0</v>
      </c>
      <c r="U905" s="117" t="n">
        <v>312193</v>
      </c>
      <c r="V905" s="117" t="s">
        <v>1963</v>
      </c>
      <c r="X905" s="117" t="s">
        <v>1639</v>
      </c>
      <c r="Z905" s="117" t="n">
        <v>61993</v>
      </c>
      <c r="AB905" s="117" t="s">
        <v>2109</v>
      </c>
      <c r="AD905" s="117" t="n">
        <v>110000</v>
      </c>
      <c r="AE905" s="117" t="s">
        <v>1966</v>
      </c>
      <c r="AF905" s="117" t="n">
        <v>110000</v>
      </c>
      <c r="AG905" s="117" t="s">
        <v>1966</v>
      </c>
      <c r="AI905" s="117" t="n">
        <v>110000</v>
      </c>
      <c r="AJ905" s="117" t="s">
        <v>1966</v>
      </c>
      <c r="AK905" s="117" t="n">
        <v>0</v>
      </c>
      <c r="AL905" s="117" t="n">
        <v>4</v>
      </c>
      <c r="AM905" s="117" t="s">
        <v>161</v>
      </c>
      <c r="AR905" s="118" t="n">
        <v>43800</v>
      </c>
      <c r="AS905" s="117" t="n">
        <v>0.649189814814815</v>
      </c>
      <c r="AT905" s="117" t="n">
        <v>0</v>
      </c>
      <c r="AU905" s="117" t="n">
        <v>0</v>
      </c>
      <c r="AX905" s="117" t="n">
        <v>19</v>
      </c>
    </row>
    <row r="906" customFormat="false" ht="13.8" hidden="true" customHeight="false" outlineLevel="0" collapsed="false">
      <c r="A906" s="117" t="n">
        <v>1000</v>
      </c>
      <c r="B906" s="117" t="s">
        <v>1962</v>
      </c>
      <c r="C906" s="117" t="n">
        <v>1400007274</v>
      </c>
      <c r="E906" s="117" t="s">
        <v>1972</v>
      </c>
      <c r="F906" s="117" t="n">
        <v>1101</v>
      </c>
      <c r="G906" s="117" t="n">
        <v>2019</v>
      </c>
      <c r="H906" s="117" t="n">
        <v>7</v>
      </c>
      <c r="I906" s="118" t="n">
        <v>43769</v>
      </c>
      <c r="J906" s="118" t="n">
        <v>43769</v>
      </c>
      <c r="K906" s="119" t="n">
        <v>-7216477.74</v>
      </c>
      <c r="L906" s="128" t="n">
        <f aca="false">K906-Q906+T906</f>
        <v>-7216477.74</v>
      </c>
      <c r="M906" s="117" t="s">
        <v>149</v>
      </c>
      <c r="N906" s="117" t="n">
        <v>-7216477.74</v>
      </c>
      <c r="O906" s="117" t="s">
        <v>149</v>
      </c>
      <c r="P906" s="117" t="n">
        <v>0</v>
      </c>
      <c r="Q906" s="117" t="n">
        <v>0</v>
      </c>
      <c r="R906" s="117" t="n">
        <v>-7216477.74</v>
      </c>
      <c r="S906" s="117" t="n">
        <v>0</v>
      </c>
      <c r="T906" s="117" t="n">
        <v>0</v>
      </c>
      <c r="U906" s="117" t="n">
        <v>318999</v>
      </c>
      <c r="V906" s="117" t="s">
        <v>143</v>
      </c>
      <c r="X906" s="117" t="s">
        <v>2489</v>
      </c>
      <c r="Y906" s="117" t="s">
        <v>2490</v>
      </c>
      <c r="Z906" s="117" t="n">
        <v>1400007274</v>
      </c>
      <c r="AC906" s="117" t="s">
        <v>1976</v>
      </c>
      <c r="AD906" s="117" t="n">
        <v>310300</v>
      </c>
      <c r="AE906" s="117" t="s">
        <v>1969</v>
      </c>
      <c r="AF906" s="117" t="n">
        <v>101105</v>
      </c>
      <c r="AG906" s="117" t="s">
        <v>1977</v>
      </c>
      <c r="AI906" s="117" t="n">
        <v>101105</v>
      </c>
      <c r="AJ906" s="117" t="s">
        <v>1977</v>
      </c>
      <c r="AK906" s="117" t="n">
        <v>0</v>
      </c>
      <c r="AL906" s="117" t="n">
        <v>19</v>
      </c>
      <c r="AM906" s="117" t="s">
        <v>225</v>
      </c>
      <c r="AN906" s="117" t="s">
        <v>1978</v>
      </c>
      <c r="AP906" s="117" t="n">
        <v>100144356</v>
      </c>
      <c r="AQ906" s="118" t="n">
        <v>43769</v>
      </c>
      <c r="AR906" s="118" t="n">
        <v>43770</v>
      </c>
      <c r="AS906" s="117" t="n">
        <v>0.442349537037037</v>
      </c>
      <c r="AT906" s="117" t="n">
        <v>0</v>
      </c>
      <c r="AU906" s="117" t="n">
        <v>0</v>
      </c>
      <c r="AX906" s="117" t="n">
        <v>2</v>
      </c>
    </row>
    <row r="907" s="106" customFormat="true" ht="13.8" hidden="true" customHeight="false" outlineLevel="0" collapsed="false">
      <c r="A907" s="106" t="n">
        <v>1000</v>
      </c>
      <c r="B907" s="106" t="s">
        <v>1962</v>
      </c>
      <c r="C907" s="106" t="n">
        <v>109672</v>
      </c>
      <c r="D907" s="106" t="s">
        <v>1684</v>
      </c>
      <c r="E907" s="106" t="s">
        <v>1970</v>
      </c>
      <c r="F907" s="106" t="n">
        <v>1108</v>
      </c>
      <c r="G907" s="106" t="n">
        <v>2019</v>
      </c>
      <c r="H907" s="106" t="n">
        <v>8</v>
      </c>
      <c r="I907" s="129" t="n">
        <v>43798</v>
      </c>
      <c r="J907" s="129" t="n">
        <v>43798</v>
      </c>
      <c r="K907" s="107" t="n">
        <v>182162.5</v>
      </c>
      <c r="L907" s="130" t="n">
        <f aca="false">K907-Q907+T907</f>
        <v>154375</v>
      </c>
      <c r="M907" s="106" t="s">
        <v>149</v>
      </c>
      <c r="N907" s="106" t="n">
        <v>182162.5</v>
      </c>
      <c r="O907" s="106" t="s">
        <v>149</v>
      </c>
      <c r="P907" s="106" t="n">
        <v>0</v>
      </c>
      <c r="Q907" s="107" t="n">
        <v>27787.5</v>
      </c>
      <c r="R907" s="106" t="n">
        <v>154375</v>
      </c>
      <c r="S907" s="106" t="n">
        <v>0</v>
      </c>
      <c r="T907" s="106" t="n">
        <v>0</v>
      </c>
      <c r="U907" s="106" t="n">
        <v>312193</v>
      </c>
      <c r="V907" s="106" t="s">
        <v>1963</v>
      </c>
      <c r="Z907" s="106" t="n">
        <v>61044</v>
      </c>
      <c r="AB907" s="106" t="s">
        <v>2109</v>
      </c>
      <c r="AD907" s="106" t="n">
        <v>110000</v>
      </c>
      <c r="AE907" s="106" t="s">
        <v>1966</v>
      </c>
      <c r="AF907" s="106" t="n">
        <v>501000</v>
      </c>
      <c r="AG907" s="106" t="s">
        <v>2170</v>
      </c>
      <c r="AI907" s="106" t="n">
        <v>501000</v>
      </c>
      <c r="AJ907" s="106" t="s">
        <v>2170</v>
      </c>
      <c r="AK907" s="106" t="n">
        <v>0</v>
      </c>
      <c r="AL907" s="106" t="n">
        <v>1</v>
      </c>
      <c r="AM907" s="106" t="s">
        <v>161</v>
      </c>
      <c r="AP907" s="106" t="n">
        <v>100173564</v>
      </c>
      <c r="AQ907" s="129" t="n">
        <v>43799</v>
      </c>
      <c r="AR907" s="129" t="n">
        <v>43798</v>
      </c>
      <c r="AS907" s="106" t="n">
        <v>0.877175925925926</v>
      </c>
      <c r="AT907" s="106" t="n">
        <v>0</v>
      </c>
      <c r="AU907" s="106" t="n">
        <v>0</v>
      </c>
      <c r="AX907" s="106" t="n">
        <v>1</v>
      </c>
      <c r="ALU907" s="0"/>
      <c r="ALV907" s="0"/>
      <c r="ALW907" s="0"/>
      <c r="ALX907" s="0"/>
      <c r="ALY907" s="0"/>
      <c r="ALZ907" s="0"/>
      <c r="AMA907" s="0"/>
      <c r="AMB907" s="0"/>
      <c r="AMC907" s="0"/>
      <c r="AMD907" s="0"/>
      <c r="AME907" s="0"/>
      <c r="AMF907" s="0"/>
      <c r="AMG907" s="0"/>
      <c r="AMH907" s="0"/>
      <c r="AMI907" s="0"/>
      <c r="AMJ907" s="0"/>
    </row>
    <row r="908" customFormat="false" ht="13.8" hidden="true" customHeight="false" outlineLevel="0" collapsed="false">
      <c r="A908" s="117" t="n">
        <v>1000</v>
      </c>
      <c r="B908" s="117" t="s">
        <v>1962</v>
      </c>
      <c r="C908" s="117" t="n">
        <v>100190616</v>
      </c>
      <c r="E908" s="117" t="s">
        <v>1921</v>
      </c>
      <c r="F908" s="117" t="n">
        <v>1109</v>
      </c>
      <c r="G908" s="117" t="n">
        <v>2019</v>
      </c>
      <c r="H908" s="117" t="n">
        <v>9</v>
      </c>
      <c r="I908" s="118" t="n">
        <v>43819</v>
      </c>
      <c r="J908" s="118" t="n">
        <v>43819</v>
      </c>
      <c r="K908" s="119" t="n">
        <v>1765280</v>
      </c>
      <c r="L908" s="128" t="n">
        <f aca="false">K908-Q908+T908</f>
        <v>1765280</v>
      </c>
      <c r="M908" s="117" t="s">
        <v>149</v>
      </c>
      <c r="N908" s="117" t="n">
        <v>1765280</v>
      </c>
      <c r="O908" s="117" t="s">
        <v>149</v>
      </c>
      <c r="P908" s="117" t="n">
        <v>0</v>
      </c>
      <c r="Q908" s="117" t="n">
        <v>0</v>
      </c>
      <c r="R908" s="117" t="n">
        <v>1765280</v>
      </c>
      <c r="S908" s="117" t="n">
        <v>0</v>
      </c>
      <c r="T908" s="117" t="n">
        <v>0</v>
      </c>
      <c r="U908" s="117" t="n">
        <v>311155</v>
      </c>
      <c r="V908" s="117" t="s">
        <v>2022</v>
      </c>
      <c r="X908" s="117" t="s">
        <v>1272</v>
      </c>
      <c r="Z908" s="117" t="n">
        <v>62234</v>
      </c>
      <c r="AB908" s="117" t="s">
        <v>2421</v>
      </c>
      <c r="AD908" s="117" t="n">
        <v>110000</v>
      </c>
      <c r="AE908" s="117" t="s">
        <v>1966</v>
      </c>
      <c r="AF908" s="117" t="n">
        <v>110000</v>
      </c>
      <c r="AG908" s="117" t="s">
        <v>1966</v>
      </c>
      <c r="AI908" s="117" t="n">
        <v>110000</v>
      </c>
      <c r="AJ908" s="117" t="s">
        <v>1966</v>
      </c>
      <c r="AK908" s="117" t="n">
        <v>0</v>
      </c>
      <c r="AL908" s="117" t="n">
        <v>4</v>
      </c>
      <c r="AM908" s="117" t="s">
        <v>161</v>
      </c>
      <c r="AP908" s="117" t="n">
        <v>100229130</v>
      </c>
      <c r="AQ908" s="118" t="n">
        <v>43856</v>
      </c>
      <c r="AR908" s="118" t="n">
        <v>43819</v>
      </c>
      <c r="AS908" s="117" t="n">
        <v>0.670034722222222</v>
      </c>
      <c r="AT908" s="117" t="n">
        <v>0</v>
      </c>
      <c r="AU908" s="117" t="n">
        <v>0</v>
      </c>
      <c r="AX908" s="117" t="n">
        <v>1</v>
      </c>
    </row>
    <row r="909" customFormat="false" ht="13.8" hidden="true" customHeight="false" outlineLevel="0" collapsed="false">
      <c r="A909" s="117" t="n">
        <v>1000</v>
      </c>
      <c r="B909" s="117" t="s">
        <v>1962</v>
      </c>
      <c r="C909" s="117" t="n">
        <v>100162620</v>
      </c>
      <c r="E909" s="117" t="s">
        <v>1921</v>
      </c>
      <c r="F909" s="117" t="n">
        <v>1109</v>
      </c>
      <c r="G909" s="117" t="n">
        <v>2019</v>
      </c>
      <c r="H909" s="117" t="n">
        <v>8</v>
      </c>
      <c r="I909" s="118" t="n">
        <v>43792</v>
      </c>
      <c r="J909" s="118" t="n">
        <v>43792</v>
      </c>
      <c r="K909" s="119" t="n">
        <v>-506582.87</v>
      </c>
      <c r="L909" s="128" t="n">
        <f aca="false">K909-Q909+T909</f>
        <v>-506582.87</v>
      </c>
      <c r="M909" s="117" t="s">
        <v>149</v>
      </c>
      <c r="N909" s="117" t="n">
        <v>-506582.87</v>
      </c>
      <c r="O909" s="117" t="s">
        <v>149</v>
      </c>
      <c r="P909" s="117" t="n">
        <v>0</v>
      </c>
      <c r="Q909" s="117" t="n">
        <v>0</v>
      </c>
      <c r="R909" s="117" t="n">
        <v>-506582.87</v>
      </c>
      <c r="S909" s="117" t="n">
        <v>0</v>
      </c>
      <c r="T909" s="117" t="n">
        <v>0</v>
      </c>
      <c r="U909" s="117" t="n">
        <v>313029</v>
      </c>
      <c r="V909" s="117" t="s">
        <v>143</v>
      </c>
      <c r="Z909" s="117" t="n">
        <v>100162620</v>
      </c>
      <c r="AD909" s="117" t="n">
        <v>110000</v>
      </c>
      <c r="AE909" s="117" t="s">
        <v>1966</v>
      </c>
      <c r="AF909" s="117" t="n">
        <v>110000</v>
      </c>
      <c r="AG909" s="117" t="s">
        <v>1966</v>
      </c>
      <c r="AI909" s="117" t="n">
        <v>110000</v>
      </c>
      <c r="AJ909" s="117" t="s">
        <v>1966</v>
      </c>
      <c r="AK909" s="117" t="n">
        <v>0</v>
      </c>
      <c r="AL909" s="117" t="n">
        <v>17</v>
      </c>
      <c r="AM909" s="117" t="s">
        <v>225</v>
      </c>
      <c r="AP909" s="117" t="n">
        <v>100162620</v>
      </c>
      <c r="AQ909" s="118" t="n">
        <v>43792</v>
      </c>
      <c r="AR909" s="118" t="n">
        <v>43792</v>
      </c>
      <c r="AS909" s="117" t="n">
        <v>0.671064814814815</v>
      </c>
      <c r="AT909" s="117" t="n">
        <v>0</v>
      </c>
      <c r="AU909" s="117" t="n">
        <v>0</v>
      </c>
      <c r="AX909" s="117" t="n">
        <v>3</v>
      </c>
    </row>
    <row r="910" s="106" customFormat="true" ht="13.8" hidden="true" customHeight="false" outlineLevel="0" collapsed="false">
      <c r="A910" s="106" t="n">
        <v>1000</v>
      </c>
      <c r="B910" s="106" t="s">
        <v>1962</v>
      </c>
      <c r="C910" s="106" t="n">
        <v>109114</v>
      </c>
      <c r="D910" s="106" t="s">
        <v>2413</v>
      </c>
      <c r="E910" s="106" t="s">
        <v>1970</v>
      </c>
      <c r="F910" s="106" t="n">
        <v>1108</v>
      </c>
      <c r="G910" s="106" t="n">
        <v>2019</v>
      </c>
      <c r="H910" s="106" t="n">
        <v>8</v>
      </c>
      <c r="I910" s="129" t="n">
        <v>43788</v>
      </c>
      <c r="J910" s="129" t="n">
        <v>43788</v>
      </c>
      <c r="K910" s="107" t="n">
        <v>501797.01</v>
      </c>
      <c r="L910" s="130" t="n">
        <f aca="false">K910-Q910+T910</f>
        <v>425251.7</v>
      </c>
      <c r="M910" s="106" t="s">
        <v>149</v>
      </c>
      <c r="N910" s="107" t="n">
        <v>501797.01</v>
      </c>
      <c r="O910" s="106" t="s">
        <v>149</v>
      </c>
      <c r="P910" s="106" t="n">
        <v>0</v>
      </c>
      <c r="Q910" s="107" t="n">
        <v>76545.31</v>
      </c>
      <c r="R910" s="107" t="n">
        <v>425251.7</v>
      </c>
      <c r="S910" s="106" t="n">
        <v>0</v>
      </c>
      <c r="T910" s="106" t="n">
        <v>0</v>
      </c>
      <c r="U910" s="106" t="n">
        <v>313029</v>
      </c>
      <c r="V910" s="106" t="s">
        <v>143</v>
      </c>
      <c r="Z910" s="106" t="n">
        <v>2423</v>
      </c>
      <c r="AB910" s="106" t="s">
        <v>2414</v>
      </c>
      <c r="AD910" s="106" t="n">
        <v>110000</v>
      </c>
      <c r="AE910" s="106" t="s">
        <v>1966</v>
      </c>
      <c r="AF910" s="106" t="n">
        <v>501020</v>
      </c>
      <c r="AG910" s="106" t="s">
        <v>1971</v>
      </c>
      <c r="AI910" s="106" t="n">
        <v>501020</v>
      </c>
      <c r="AJ910" s="106" t="s">
        <v>1971</v>
      </c>
      <c r="AK910" s="106" t="n">
        <v>0</v>
      </c>
      <c r="AL910" s="106" t="n">
        <v>1</v>
      </c>
      <c r="AM910" s="106" t="s">
        <v>161</v>
      </c>
      <c r="AP910" s="106" t="n">
        <v>100162620</v>
      </c>
      <c r="AQ910" s="129" t="n">
        <v>43792</v>
      </c>
      <c r="AR910" s="129" t="n">
        <v>43788</v>
      </c>
      <c r="AS910" s="106" t="n">
        <v>0.591296296296296</v>
      </c>
      <c r="AT910" s="106" t="n">
        <v>0</v>
      </c>
      <c r="AU910" s="106" t="n">
        <v>0</v>
      </c>
      <c r="AX910" s="106" t="n">
        <v>1</v>
      </c>
      <c r="ALU910" s="0"/>
      <c r="ALV910" s="0"/>
      <c r="ALW910" s="0"/>
      <c r="ALX910" s="0"/>
      <c r="ALY910" s="0"/>
      <c r="ALZ910" s="0"/>
      <c r="AMA910" s="0"/>
      <c r="AMB910" s="0"/>
      <c r="AMC910" s="0"/>
      <c r="AMD910" s="0"/>
      <c r="AME910" s="0"/>
      <c r="AMF910" s="0"/>
      <c r="AMG910" s="0"/>
      <c r="AMH910" s="0"/>
      <c r="AMI910" s="0"/>
      <c r="AMJ910" s="0"/>
    </row>
    <row r="911" customFormat="false" ht="13.8" hidden="true" customHeight="false" outlineLevel="0" collapsed="false">
      <c r="A911" s="117" t="n">
        <v>1000</v>
      </c>
      <c r="B911" s="117" t="s">
        <v>1962</v>
      </c>
      <c r="C911" s="117" t="n">
        <v>100198535</v>
      </c>
      <c r="E911" s="117" t="s">
        <v>1921</v>
      </c>
      <c r="F911" s="117" t="n">
        <v>1101</v>
      </c>
      <c r="G911" s="117" t="n">
        <v>2019</v>
      </c>
      <c r="H911" s="117" t="n">
        <v>9</v>
      </c>
      <c r="I911" s="118" t="n">
        <v>43828</v>
      </c>
      <c r="J911" s="118" t="n">
        <v>43828</v>
      </c>
      <c r="K911" s="119" t="n">
        <v>14093.99</v>
      </c>
      <c r="L911" s="128" t="n">
        <f aca="false">K911-Q911+T911</f>
        <v>14093.99</v>
      </c>
      <c r="M911" s="117" t="s">
        <v>149</v>
      </c>
      <c r="N911" s="117" t="n">
        <v>14093.99</v>
      </c>
      <c r="O911" s="117" t="s">
        <v>149</v>
      </c>
      <c r="P911" s="117" t="n">
        <v>0</v>
      </c>
      <c r="Q911" s="117" t="n">
        <v>0</v>
      </c>
      <c r="R911" s="117" t="n">
        <v>14093.99</v>
      </c>
      <c r="S911" s="117" t="n">
        <v>0</v>
      </c>
      <c r="T911" s="117" t="n">
        <v>0</v>
      </c>
      <c r="U911" s="117" t="n">
        <v>318999</v>
      </c>
      <c r="V911" s="117" t="s">
        <v>143</v>
      </c>
      <c r="X911" s="117" t="s">
        <v>2491</v>
      </c>
      <c r="Z911" s="117" t="n">
        <v>2388</v>
      </c>
      <c r="AB911" s="117" t="s">
        <v>2019</v>
      </c>
      <c r="AD911" s="117" t="n">
        <v>110000</v>
      </c>
      <c r="AE911" s="117" t="s">
        <v>1966</v>
      </c>
      <c r="AF911" s="117" t="n">
        <v>110000</v>
      </c>
      <c r="AG911" s="117" t="s">
        <v>1966</v>
      </c>
      <c r="AI911" s="117" t="n">
        <v>110000</v>
      </c>
      <c r="AJ911" s="117" t="s">
        <v>1966</v>
      </c>
      <c r="AK911" s="117" t="n">
        <v>0</v>
      </c>
      <c r="AL911" s="117" t="n">
        <v>4</v>
      </c>
      <c r="AM911" s="117" t="s">
        <v>161</v>
      </c>
      <c r="AR911" s="118" t="n">
        <v>43828</v>
      </c>
      <c r="AS911" s="117" t="n">
        <v>0.725046296296296</v>
      </c>
      <c r="AT911" s="117" t="n">
        <v>0</v>
      </c>
      <c r="AU911" s="117" t="n">
        <v>0</v>
      </c>
      <c r="AX911" s="117" t="n">
        <v>1</v>
      </c>
    </row>
    <row r="912" customFormat="false" ht="13.8" hidden="true" customHeight="false" outlineLevel="0" collapsed="false">
      <c r="A912" s="117" t="n">
        <v>1000</v>
      </c>
      <c r="B912" s="117" t="s">
        <v>1962</v>
      </c>
      <c r="C912" s="117" t="n">
        <v>100194025</v>
      </c>
      <c r="E912" s="117" t="s">
        <v>1921</v>
      </c>
      <c r="F912" s="117" t="n">
        <v>1112</v>
      </c>
      <c r="G912" s="117" t="n">
        <v>2019</v>
      </c>
      <c r="H912" s="117" t="n">
        <v>9</v>
      </c>
      <c r="I912" s="118" t="n">
        <v>43824</v>
      </c>
      <c r="J912" s="118" t="n">
        <v>43824</v>
      </c>
      <c r="K912" s="119" t="n">
        <v>387748</v>
      </c>
      <c r="L912" s="128" t="n">
        <f aca="false">K912-Q912+T912</f>
        <v>387748</v>
      </c>
      <c r="M912" s="117" t="s">
        <v>149</v>
      </c>
      <c r="N912" s="117" t="n">
        <v>387748</v>
      </c>
      <c r="O912" s="117" t="s">
        <v>149</v>
      </c>
      <c r="P912" s="117" t="n">
        <v>0</v>
      </c>
      <c r="Q912" s="117" t="n">
        <v>0</v>
      </c>
      <c r="R912" s="117" t="n">
        <v>387748</v>
      </c>
      <c r="S912" s="117" t="n">
        <v>0</v>
      </c>
      <c r="T912" s="117" t="n">
        <v>0</v>
      </c>
      <c r="U912" s="117" t="n">
        <v>312193</v>
      </c>
      <c r="V912" s="117" t="s">
        <v>1963</v>
      </c>
      <c r="X912" s="117" t="s">
        <v>1776</v>
      </c>
      <c r="Z912" s="117" t="n">
        <v>62149</v>
      </c>
      <c r="AB912" s="117" t="s">
        <v>2362</v>
      </c>
      <c r="AD912" s="117" t="n">
        <v>110000</v>
      </c>
      <c r="AE912" s="117" t="s">
        <v>1966</v>
      </c>
      <c r="AF912" s="117" t="n">
        <v>110000</v>
      </c>
      <c r="AG912" s="117" t="s">
        <v>1966</v>
      </c>
      <c r="AI912" s="117" t="n">
        <v>110000</v>
      </c>
      <c r="AJ912" s="117" t="s">
        <v>1966</v>
      </c>
      <c r="AK912" s="117" t="n">
        <v>0</v>
      </c>
      <c r="AL912" s="117" t="n">
        <v>4</v>
      </c>
      <c r="AM912" s="117" t="s">
        <v>161</v>
      </c>
      <c r="AR912" s="118" t="n">
        <v>43824</v>
      </c>
      <c r="AS912" s="117" t="n">
        <v>0.371284722222222</v>
      </c>
      <c r="AT912" s="117" t="n">
        <v>0</v>
      </c>
      <c r="AU912" s="117" t="n">
        <v>0</v>
      </c>
      <c r="AX912" s="117" t="n">
        <v>5</v>
      </c>
    </row>
    <row r="913" customFormat="false" ht="13.8" hidden="true" customHeight="false" outlineLevel="0" collapsed="false">
      <c r="A913" s="117" t="n">
        <v>1000</v>
      </c>
      <c r="B913" s="117" t="s">
        <v>1962</v>
      </c>
      <c r="C913" s="117" t="n">
        <v>100143931</v>
      </c>
      <c r="E913" s="117" t="s">
        <v>1921</v>
      </c>
      <c r="F913" s="117" t="n">
        <v>1109</v>
      </c>
      <c r="G913" s="117" t="n">
        <v>2019</v>
      </c>
      <c r="H913" s="117" t="n">
        <v>7</v>
      </c>
      <c r="I913" s="118" t="n">
        <v>43769</v>
      </c>
      <c r="J913" s="118" t="n">
        <v>43769</v>
      </c>
      <c r="K913" s="119" t="n">
        <v>55835.99</v>
      </c>
      <c r="L913" s="128" t="n">
        <f aca="false">K913-Q913+T913</f>
        <v>55835.99</v>
      </c>
      <c r="M913" s="117" t="s">
        <v>149</v>
      </c>
      <c r="N913" s="117" t="n">
        <v>55835.99</v>
      </c>
      <c r="O913" s="117" t="s">
        <v>149</v>
      </c>
      <c r="P913" s="117" t="n">
        <v>0</v>
      </c>
      <c r="Q913" s="117" t="n">
        <v>0</v>
      </c>
      <c r="R913" s="117" t="n">
        <v>55835.99</v>
      </c>
      <c r="S913" s="117" t="n">
        <v>0</v>
      </c>
      <c r="T913" s="117" t="n">
        <v>0</v>
      </c>
      <c r="U913" s="117" t="n">
        <v>311155</v>
      </c>
      <c r="V913" s="117" t="s">
        <v>2022</v>
      </c>
      <c r="X913" s="117" t="s">
        <v>1370</v>
      </c>
      <c r="Z913" s="117" t="n">
        <v>60431</v>
      </c>
      <c r="AB913" s="117" t="s">
        <v>2023</v>
      </c>
      <c r="AD913" s="117" t="n">
        <v>110000</v>
      </c>
      <c r="AE913" s="117" t="s">
        <v>1966</v>
      </c>
      <c r="AF913" s="117" t="n">
        <v>110000</v>
      </c>
      <c r="AG913" s="117" t="s">
        <v>1966</v>
      </c>
      <c r="AI913" s="117" t="n">
        <v>110000</v>
      </c>
      <c r="AJ913" s="117" t="s">
        <v>1966</v>
      </c>
      <c r="AK913" s="117" t="n">
        <v>0</v>
      </c>
      <c r="AL913" s="117" t="n">
        <v>4</v>
      </c>
      <c r="AM913" s="117" t="s">
        <v>161</v>
      </c>
      <c r="AP913" s="117" t="n">
        <v>100162609</v>
      </c>
      <c r="AQ913" s="118" t="n">
        <v>43792</v>
      </c>
      <c r="AR913" s="118" t="n">
        <v>43770</v>
      </c>
      <c r="AS913" s="117" t="n">
        <v>0.207824074074074</v>
      </c>
      <c r="AT913" s="117" t="n">
        <v>0</v>
      </c>
      <c r="AU913" s="117" t="n">
        <v>0</v>
      </c>
      <c r="AX913" s="117" t="n">
        <v>1</v>
      </c>
    </row>
    <row r="914" customFormat="false" ht="13.8" hidden="true" customHeight="false" outlineLevel="0" collapsed="false">
      <c r="A914" s="117" t="n">
        <v>1000</v>
      </c>
      <c r="B914" s="117" t="s">
        <v>1962</v>
      </c>
      <c r="C914" s="117" t="n">
        <v>1600000300</v>
      </c>
      <c r="D914" s="117" t="s">
        <v>2354</v>
      </c>
      <c r="E914" s="117" t="s">
        <v>1987</v>
      </c>
      <c r="F914" s="117" t="n">
        <v>1101</v>
      </c>
      <c r="G914" s="117" t="n">
        <v>2019</v>
      </c>
      <c r="H914" s="117" t="n">
        <v>8</v>
      </c>
      <c r="I914" s="118" t="n">
        <v>43797</v>
      </c>
      <c r="J914" s="118" t="n">
        <v>43797</v>
      </c>
      <c r="K914" s="119" t="n">
        <v>-2436</v>
      </c>
      <c r="L914" s="128" t="n">
        <f aca="false">K914-Q914+T914</f>
        <v>-2436</v>
      </c>
      <c r="M914" s="117" t="s">
        <v>149</v>
      </c>
      <c r="N914" s="117" t="n">
        <v>-2436</v>
      </c>
      <c r="O914" s="117" t="s">
        <v>149</v>
      </c>
      <c r="P914" s="117" t="n">
        <v>-2436</v>
      </c>
      <c r="Q914" s="117" t="n">
        <v>0</v>
      </c>
      <c r="R914" s="117" t="n">
        <v>-2436</v>
      </c>
      <c r="S914" s="117" t="n">
        <v>0</v>
      </c>
      <c r="T914" s="117" t="n">
        <v>0</v>
      </c>
      <c r="U914" s="117" t="n">
        <v>318999</v>
      </c>
      <c r="V914" s="117" t="s">
        <v>143</v>
      </c>
      <c r="X914" s="117" t="s">
        <v>2492</v>
      </c>
      <c r="Y914" s="117" t="s">
        <v>2388</v>
      </c>
      <c r="Z914" s="117" t="n">
        <v>1600000300</v>
      </c>
      <c r="AD914" s="117" t="n">
        <v>310300</v>
      </c>
      <c r="AE914" s="117" t="s">
        <v>1969</v>
      </c>
      <c r="AF914" s="117" t="n">
        <v>111201</v>
      </c>
      <c r="AG914" s="117" t="s">
        <v>2165</v>
      </c>
      <c r="AI914" s="117" t="n">
        <v>111201</v>
      </c>
      <c r="AJ914" s="117" t="s">
        <v>2165</v>
      </c>
      <c r="AK914" s="117" t="n">
        <v>0</v>
      </c>
      <c r="AL914" s="117" t="n">
        <v>19</v>
      </c>
      <c r="AM914" s="117" t="s">
        <v>225</v>
      </c>
      <c r="AN914" s="117" t="s">
        <v>1978</v>
      </c>
      <c r="AR914" s="118" t="n">
        <v>43797</v>
      </c>
      <c r="AS914" s="117" t="n">
        <v>0.231458333333333</v>
      </c>
      <c r="AT914" s="117" t="n">
        <v>0</v>
      </c>
      <c r="AU914" s="117" t="n">
        <v>0</v>
      </c>
      <c r="AX914" s="117" t="n">
        <v>8</v>
      </c>
    </row>
    <row r="915" customFormat="false" ht="13.8" hidden="true" customHeight="false" outlineLevel="0" collapsed="false">
      <c r="A915" s="117" t="n">
        <v>1000</v>
      </c>
      <c r="B915" s="117" t="s">
        <v>1962</v>
      </c>
      <c r="C915" s="117" t="n">
        <v>100199799</v>
      </c>
      <c r="E915" s="117" t="s">
        <v>1921</v>
      </c>
      <c r="F915" s="117" t="n">
        <v>1112</v>
      </c>
      <c r="G915" s="117" t="n">
        <v>2019</v>
      </c>
      <c r="H915" s="117" t="n">
        <v>9</v>
      </c>
      <c r="I915" s="118" t="n">
        <v>43830</v>
      </c>
      <c r="J915" s="118" t="n">
        <v>43830</v>
      </c>
      <c r="K915" s="119" t="n">
        <v>4576.7</v>
      </c>
      <c r="L915" s="128" t="n">
        <f aca="false">K915-Q915+T915</f>
        <v>4576.7</v>
      </c>
      <c r="M915" s="117" t="s">
        <v>149</v>
      </c>
      <c r="N915" s="117" t="n">
        <v>4576.7</v>
      </c>
      <c r="O915" s="117" t="s">
        <v>149</v>
      </c>
      <c r="P915" s="117" t="n">
        <v>0</v>
      </c>
      <c r="Q915" s="117" t="n">
        <v>0</v>
      </c>
      <c r="R915" s="117" t="n">
        <v>4576.7</v>
      </c>
      <c r="S915" s="117" t="n">
        <v>0</v>
      </c>
      <c r="T915" s="117" t="n">
        <v>0</v>
      </c>
      <c r="U915" s="117" t="n">
        <v>312193</v>
      </c>
      <c r="V915" s="117" t="s">
        <v>1963</v>
      </c>
      <c r="X915" s="117" t="s">
        <v>2377</v>
      </c>
      <c r="Z915" s="117" t="n">
        <v>62393</v>
      </c>
      <c r="AB915" s="117" t="s">
        <v>2350</v>
      </c>
      <c r="AD915" s="117" t="n">
        <v>110000</v>
      </c>
      <c r="AE915" s="117" t="s">
        <v>1966</v>
      </c>
      <c r="AF915" s="117" t="n">
        <v>110000</v>
      </c>
      <c r="AG915" s="117" t="s">
        <v>1966</v>
      </c>
      <c r="AI915" s="117" t="n">
        <v>110000</v>
      </c>
      <c r="AJ915" s="117" t="s">
        <v>1966</v>
      </c>
      <c r="AK915" s="117" t="n">
        <v>0</v>
      </c>
      <c r="AL915" s="117" t="n">
        <v>4</v>
      </c>
      <c r="AM915" s="117" t="s">
        <v>161</v>
      </c>
      <c r="AR915" s="118" t="n">
        <v>43830</v>
      </c>
      <c r="AS915" s="117" t="n">
        <v>0.279467592592593</v>
      </c>
      <c r="AT915" s="117" t="n">
        <v>0</v>
      </c>
      <c r="AU915" s="117" t="n">
        <v>0</v>
      </c>
      <c r="AX915" s="117" t="n">
        <v>25</v>
      </c>
    </row>
    <row r="916" customFormat="false" ht="13.8" hidden="true" customHeight="false" outlineLevel="0" collapsed="false">
      <c r="A916" s="117" t="n">
        <v>1000</v>
      </c>
      <c r="B916" s="117" t="s">
        <v>1962</v>
      </c>
      <c r="C916" s="117" t="n">
        <v>1600000315</v>
      </c>
      <c r="D916" s="117" t="s">
        <v>2354</v>
      </c>
      <c r="E916" s="117" t="s">
        <v>1987</v>
      </c>
      <c r="F916" s="117" t="n">
        <v>1101</v>
      </c>
      <c r="G916" s="117" t="n">
        <v>2019</v>
      </c>
      <c r="H916" s="117" t="n">
        <v>8</v>
      </c>
      <c r="I916" s="118" t="n">
        <v>43798</v>
      </c>
      <c r="J916" s="118" t="n">
        <v>43798</v>
      </c>
      <c r="K916" s="119" t="n">
        <v>-5236</v>
      </c>
      <c r="L916" s="128" t="n">
        <f aca="false">K916-Q916+T916</f>
        <v>-5236</v>
      </c>
      <c r="M916" s="117" t="s">
        <v>149</v>
      </c>
      <c r="N916" s="117" t="n">
        <v>-5236</v>
      </c>
      <c r="O916" s="117" t="s">
        <v>149</v>
      </c>
      <c r="P916" s="117" t="n">
        <v>-5236</v>
      </c>
      <c r="Q916" s="117" t="n">
        <v>0</v>
      </c>
      <c r="R916" s="117" t="n">
        <v>-5236</v>
      </c>
      <c r="S916" s="117" t="n">
        <v>0</v>
      </c>
      <c r="T916" s="117" t="n">
        <v>0</v>
      </c>
      <c r="U916" s="117" t="n">
        <v>312193</v>
      </c>
      <c r="V916" s="117" t="s">
        <v>1963</v>
      </c>
      <c r="X916" s="117" t="s">
        <v>2493</v>
      </c>
      <c r="Y916" s="117" t="s">
        <v>2354</v>
      </c>
      <c r="Z916" s="117" t="n">
        <v>1600000315</v>
      </c>
      <c r="AD916" s="117" t="n">
        <v>310300</v>
      </c>
      <c r="AE916" s="117" t="s">
        <v>1969</v>
      </c>
      <c r="AF916" s="117" t="n">
        <v>111201</v>
      </c>
      <c r="AG916" s="117" t="s">
        <v>2165</v>
      </c>
      <c r="AI916" s="117" t="n">
        <v>111201</v>
      </c>
      <c r="AJ916" s="117" t="s">
        <v>2165</v>
      </c>
      <c r="AK916" s="117" t="n">
        <v>0</v>
      </c>
      <c r="AL916" s="117" t="n">
        <v>19</v>
      </c>
      <c r="AM916" s="117" t="s">
        <v>225</v>
      </c>
      <c r="AN916" s="117" t="s">
        <v>1978</v>
      </c>
      <c r="AR916" s="118" t="n">
        <v>43798</v>
      </c>
      <c r="AS916" s="117" t="n">
        <v>0.954837962962963</v>
      </c>
      <c r="AT916" s="117" t="n">
        <v>0</v>
      </c>
      <c r="AU916" s="117" t="n">
        <v>0</v>
      </c>
      <c r="AX916" s="117" t="n">
        <v>26</v>
      </c>
    </row>
    <row r="917" customFormat="false" ht="13.8" hidden="true" customHeight="false" outlineLevel="0" collapsed="false">
      <c r="A917" s="117" t="n">
        <v>1000</v>
      </c>
      <c r="B917" s="117" t="s">
        <v>1962</v>
      </c>
      <c r="C917" s="117" t="n">
        <v>100141449</v>
      </c>
      <c r="E917" s="117" t="s">
        <v>1921</v>
      </c>
      <c r="F917" s="117" t="n">
        <v>1109</v>
      </c>
      <c r="G917" s="117" t="n">
        <v>2019</v>
      </c>
      <c r="H917" s="117" t="n">
        <v>7</v>
      </c>
      <c r="I917" s="118" t="n">
        <v>43766</v>
      </c>
      <c r="J917" s="118" t="n">
        <v>43766</v>
      </c>
      <c r="K917" s="119" t="n">
        <v>93045.41</v>
      </c>
      <c r="L917" s="128" t="n">
        <f aca="false">K917-Q917+T917</f>
        <v>93045.41</v>
      </c>
      <c r="M917" s="117" t="s">
        <v>149</v>
      </c>
      <c r="N917" s="117" t="n">
        <v>93045.41</v>
      </c>
      <c r="O917" s="117" t="s">
        <v>149</v>
      </c>
      <c r="P917" s="117" t="n">
        <v>0</v>
      </c>
      <c r="Q917" s="117" t="n">
        <v>0</v>
      </c>
      <c r="R917" s="117" t="n">
        <v>93045.41</v>
      </c>
      <c r="S917" s="117" t="n">
        <v>0</v>
      </c>
      <c r="T917" s="117" t="n">
        <v>0</v>
      </c>
      <c r="U917" s="117" t="n">
        <v>312193</v>
      </c>
      <c r="V917" s="117" t="s">
        <v>1963</v>
      </c>
      <c r="X917" s="117" t="s">
        <v>1839</v>
      </c>
      <c r="Z917" s="117" t="n">
        <v>60962</v>
      </c>
      <c r="AB917" s="117" t="s">
        <v>2124</v>
      </c>
      <c r="AD917" s="117" t="n">
        <v>110000</v>
      </c>
      <c r="AE917" s="117" t="s">
        <v>1966</v>
      </c>
      <c r="AF917" s="117" t="n">
        <v>110000</v>
      </c>
      <c r="AG917" s="117" t="s">
        <v>1966</v>
      </c>
      <c r="AI917" s="117" t="n">
        <v>110000</v>
      </c>
      <c r="AJ917" s="117" t="s">
        <v>1966</v>
      </c>
      <c r="AK917" s="117" t="n">
        <v>0</v>
      </c>
      <c r="AL917" s="117" t="n">
        <v>4</v>
      </c>
      <c r="AM917" s="117" t="s">
        <v>161</v>
      </c>
      <c r="AR917" s="118" t="n">
        <v>43766</v>
      </c>
      <c r="AS917" s="117" t="n">
        <v>0.371388888888889</v>
      </c>
      <c r="AT917" s="117" t="n">
        <v>0</v>
      </c>
      <c r="AU917" s="117" t="n">
        <v>0</v>
      </c>
      <c r="AX917" s="117" t="n">
        <v>19</v>
      </c>
    </row>
    <row r="918" customFormat="false" ht="13.8" hidden="true" customHeight="false" outlineLevel="0" collapsed="false">
      <c r="A918" s="117" t="n">
        <v>1000</v>
      </c>
      <c r="B918" s="117" t="s">
        <v>1962</v>
      </c>
      <c r="C918" s="117" t="n">
        <v>1600000315</v>
      </c>
      <c r="D918" s="117" t="s">
        <v>2354</v>
      </c>
      <c r="E918" s="117" t="s">
        <v>1987</v>
      </c>
      <c r="F918" s="117" t="n">
        <v>1101</v>
      </c>
      <c r="G918" s="117" t="n">
        <v>2019</v>
      </c>
      <c r="H918" s="117" t="n">
        <v>8</v>
      </c>
      <c r="I918" s="118" t="n">
        <v>43798</v>
      </c>
      <c r="J918" s="118" t="n">
        <v>43798</v>
      </c>
      <c r="K918" s="119" t="n">
        <v>-6579</v>
      </c>
      <c r="L918" s="128" t="n">
        <f aca="false">K918-Q918+T918</f>
        <v>-6579</v>
      </c>
      <c r="M918" s="117" t="s">
        <v>149</v>
      </c>
      <c r="N918" s="117" t="n">
        <v>-6579</v>
      </c>
      <c r="O918" s="117" t="s">
        <v>149</v>
      </c>
      <c r="P918" s="117" t="n">
        <v>-6579</v>
      </c>
      <c r="Q918" s="117" t="n">
        <v>0</v>
      </c>
      <c r="R918" s="117" t="n">
        <v>-6579</v>
      </c>
      <c r="S918" s="117" t="n">
        <v>0</v>
      </c>
      <c r="T918" s="117" t="n">
        <v>0</v>
      </c>
      <c r="U918" s="117" t="n">
        <v>312193</v>
      </c>
      <c r="V918" s="117" t="s">
        <v>1963</v>
      </c>
      <c r="X918" s="117" t="s">
        <v>2494</v>
      </c>
      <c r="Y918" s="117" t="s">
        <v>2354</v>
      </c>
      <c r="Z918" s="117" t="n">
        <v>1600000315</v>
      </c>
      <c r="AD918" s="117" t="n">
        <v>310300</v>
      </c>
      <c r="AE918" s="117" t="s">
        <v>1969</v>
      </c>
      <c r="AF918" s="117" t="n">
        <v>111201</v>
      </c>
      <c r="AG918" s="117" t="s">
        <v>2165</v>
      </c>
      <c r="AI918" s="117" t="n">
        <v>111201</v>
      </c>
      <c r="AJ918" s="117" t="s">
        <v>2165</v>
      </c>
      <c r="AK918" s="117" t="n">
        <v>0</v>
      </c>
      <c r="AL918" s="117" t="n">
        <v>19</v>
      </c>
      <c r="AM918" s="117" t="s">
        <v>225</v>
      </c>
      <c r="AN918" s="117" t="s">
        <v>1978</v>
      </c>
      <c r="AP918" s="117" t="n">
        <v>100173563</v>
      </c>
      <c r="AQ918" s="118" t="n">
        <v>43799</v>
      </c>
      <c r="AR918" s="118" t="n">
        <v>43798</v>
      </c>
      <c r="AS918" s="117" t="n">
        <v>0.954837962962963</v>
      </c>
      <c r="AT918" s="117" t="n">
        <v>0</v>
      </c>
      <c r="AU918" s="117" t="n">
        <v>0</v>
      </c>
      <c r="AX918" s="117" t="n">
        <v>33</v>
      </c>
    </row>
    <row r="919" customFormat="false" ht="13.8" hidden="true" customHeight="false" outlineLevel="0" collapsed="false">
      <c r="A919" s="117" t="n">
        <v>1000</v>
      </c>
      <c r="B919" s="117" t="s">
        <v>1962</v>
      </c>
      <c r="C919" s="117" t="n">
        <v>100198535</v>
      </c>
      <c r="E919" s="117" t="s">
        <v>1921</v>
      </c>
      <c r="F919" s="117" t="n">
        <v>1101</v>
      </c>
      <c r="G919" s="117" t="n">
        <v>2019</v>
      </c>
      <c r="H919" s="117" t="n">
        <v>9</v>
      </c>
      <c r="I919" s="118" t="n">
        <v>43828</v>
      </c>
      <c r="J919" s="118" t="n">
        <v>43828</v>
      </c>
      <c r="K919" s="119" t="n">
        <v>821279.67</v>
      </c>
      <c r="L919" s="128" t="n">
        <f aca="false">K919-Q919+T919</f>
        <v>821279.67</v>
      </c>
      <c r="M919" s="117" t="s">
        <v>149</v>
      </c>
      <c r="N919" s="117" t="n">
        <v>821279.67</v>
      </c>
      <c r="O919" s="117" t="s">
        <v>149</v>
      </c>
      <c r="P919" s="117" t="n">
        <v>821279.67</v>
      </c>
      <c r="Q919" s="117" t="n">
        <v>0</v>
      </c>
      <c r="R919" s="117" t="n">
        <v>821279.67</v>
      </c>
      <c r="S919" s="117" t="n">
        <v>0</v>
      </c>
      <c r="T919" s="117" t="n">
        <v>0</v>
      </c>
      <c r="U919" s="117" t="n">
        <v>318999</v>
      </c>
      <c r="V919" s="117" t="s">
        <v>143</v>
      </c>
      <c r="X919" s="117" t="s">
        <v>2138</v>
      </c>
      <c r="Z919" s="117" t="n">
        <v>100198535</v>
      </c>
      <c r="AD919" s="117" t="n">
        <v>111105</v>
      </c>
      <c r="AE919" s="117" t="s">
        <v>1994</v>
      </c>
      <c r="AF919" s="117" t="n">
        <v>110000</v>
      </c>
      <c r="AG919" s="117" t="s">
        <v>1966</v>
      </c>
      <c r="AI919" s="117" t="n">
        <v>110000</v>
      </c>
      <c r="AJ919" s="117" t="s">
        <v>1966</v>
      </c>
      <c r="AK919" s="117" t="n">
        <v>0</v>
      </c>
      <c r="AL919" s="117" t="n">
        <v>9</v>
      </c>
      <c r="AM919" s="117" t="s">
        <v>161</v>
      </c>
      <c r="AN919" s="117" t="s">
        <v>1995</v>
      </c>
      <c r="AR919" s="118" t="n">
        <v>43828</v>
      </c>
      <c r="AS919" s="117" t="n">
        <v>0.725046296296296</v>
      </c>
      <c r="AT919" s="117" t="n">
        <v>0</v>
      </c>
      <c r="AU919" s="117" t="n">
        <v>0</v>
      </c>
      <c r="AX919" s="117" t="n">
        <v>2</v>
      </c>
    </row>
    <row r="920" s="106" customFormat="true" ht="13.8" hidden="true" customHeight="false" outlineLevel="0" collapsed="false">
      <c r="A920" s="106" t="n">
        <v>1000</v>
      </c>
      <c r="B920" s="106" t="s">
        <v>1962</v>
      </c>
      <c r="C920" s="106" t="n">
        <v>110861</v>
      </c>
      <c r="D920" s="106" t="s">
        <v>2495</v>
      </c>
      <c r="E920" s="106" t="s">
        <v>1970</v>
      </c>
      <c r="F920" s="106" t="n">
        <v>1112</v>
      </c>
      <c r="G920" s="106" t="n">
        <v>2019</v>
      </c>
      <c r="H920" s="106" t="n">
        <v>9</v>
      </c>
      <c r="I920" s="129" t="n">
        <v>43828</v>
      </c>
      <c r="J920" s="129" t="n">
        <v>43828</v>
      </c>
      <c r="K920" s="107" t="n">
        <v>57023.98</v>
      </c>
      <c r="L920" s="130" t="n">
        <f aca="false">K920-Q920+T920</f>
        <v>48325.4</v>
      </c>
      <c r="M920" s="106" t="s">
        <v>149</v>
      </c>
      <c r="N920" s="106" t="n">
        <v>57023.98</v>
      </c>
      <c r="O920" s="106" t="s">
        <v>149</v>
      </c>
      <c r="P920" s="106" t="n">
        <v>0</v>
      </c>
      <c r="Q920" s="107" t="n">
        <v>8698.58</v>
      </c>
      <c r="R920" s="106" t="n">
        <v>48325.4</v>
      </c>
      <c r="S920" s="106" t="n">
        <v>0</v>
      </c>
      <c r="T920" s="106" t="n">
        <v>0</v>
      </c>
      <c r="U920" s="106" t="n">
        <v>312193</v>
      </c>
      <c r="V920" s="106" t="s">
        <v>1963</v>
      </c>
      <c r="Z920" s="106" t="n">
        <v>62195</v>
      </c>
      <c r="AB920" s="106" t="s">
        <v>2350</v>
      </c>
      <c r="AD920" s="106" t="n">
        <v>110000</v>
      </c>
      <c r="AE920" s="106" t="s">
        <v>1966</v>
      </c>
      <c r="AF920" s="106" t="n">
        <v>501005</v>
      </c>
      <c r="AG920" s="106" t="s">
        <v>2033</v>
      </c>
      <c r="AI920" s="106" t="n">
        <v>501005</v>
      </c>
      <c r="AJ920" s="106" t="s">
        <v>2033</v>
      </c>
      <c r="AK920" s="106" t="n">
        <v>0</v>
      </c>
      <c r="AL920" s="106" t="n">
        <v>1</v>
      </c>
      <c r="AM920" s="106" t="s">
        <v>161</v>
      </c>
      <c r="AP920" s="106" t="n">
        <v>100199799</v>
      </c>
      <c r="AQ920" s="129" t="n">
        <v>43830</v>
      </c>
      <c r="AR920" s="129" t="n">
        <v>43828</v>
      </c>
      <c r="AS920" s="106" t="n">
        <v>0.694722222222222</v>
      </c>
      <c r="AT920" s="106" t="n">
        <v>0</v>
      </c>
      <c r="AU920" s="106" t="n">
        <v>0</v>
      </c>
      <c r="AX920" s="106" t="n">
        <v>1</v>
      </c>
      <c r="ALU920" s="0"/>
      <c r="ALV920" s="0"/>
      <c r="ALW920" s="0"/>
      <c r="ALX920" s="0"/>
      <c r="ALY920" s="0"/>
      <c r="ALZ920" s="0"/>
      <c r="AMA920" s="0"/>
      <c r="AMB920" s="0"/>
      <c r="AMC920" s="0"/>
      <c r="AMD920" s="0"/>
      <c r="AME920" s="0"/>
      <c r="AMF920" s="0"/>
      <c r="AMG920" s="0"/>
      <c r="AMH920" s="0"/>
      <c r="AMI920" s="0"/>
      <c r="AMJ920" s="0"/>
    </row>
    <row r="921" s="106" customFormat="true" ht="13.8" hidden="true" customHeight="false" outlineLevel="0" collapsed="false">
      <c r="A921" s="106" t="n">
        <v>1000</v>
      </c>
      <c r="B921" s="106" t="s">
        <v>1962</v>
      </c>
      <c r="C921" s="106" t="n">
        <v>112997</v>
      </c>
      <c r="D921" s="106" t="s">
        <v>2496</v>
      </c>
      <c r="E921" s="106" t="s">
        <v>1970</v>
      </c>
      <c r="F921" s="106" t="n">
        <v>1109</v>
      </c>
      <c r="G921" s="106" t="n">
        <v>2019</v>
      </c>
      <c r="H921" s="106" t="n">
        <v>11</v>
      </c>
      <c r="I921" s="129" t="n">
        <v>43883</v>
      </c>
      <c r="J921" s="129" t="n">
        <v>43883</v>
      </c>
      <c r="K921" s="107" t="n">
        <v>121243.94</v>
      </c>
      <c r="L921" s="130" t="n">
        <f aca="false">K921-Q921+T921</f>
        <v>102749.1</v>
      </c>
      <c r="M921" s="106" t="s">
        <v>149</v>
      </c>
      <c r="N921" s="106" t="n">
        <v>121243.94</v>
      </c>
      <c r="O921" s="106" t="s">
        <v>149</v>
      </c>
      <c r="P921" s="106" t="n">
        <v>0</v>
      </c>
      <c r="Q921" s="107" t="n">
        <v>18494.84</v>
      </c>
      <c r="R921" s="106" t="n">
        <v>102749.1</v>
      </c>
      <c r="S921" s="106" t="n">
        <v>0</v>
      </c>
      <c r="T921" s="106" t="n">
        <v>0</v>
      </c>
      <c r="U921" s="106" t="n">
        <v>312193</v>
      </c>
      <c r="V921" s="106" t="s">
        <v>1963</v>
      </c>
      <c r="Z921" s="106" t="n">
        <v>62805</v>
      </c>
      <c r="AB921" s="106" t="s">
        <v>2477</v>
      </c>
      <c r="AD921" s="106" t="n">
        <v>110000</v>
      </c>
      <c r="AE921" s="106" t="s">
        <v>1966</v>
      </c>
      <c r="AF921" s="106" t="n">
        <v>501005</v>
      </c>
      <c r="AG921" s="106" t="s">
        <v>2033</v>
      </c>
      <c r="AI921" s="106" t="n">
        <v>501005</v>
      </c>
      <c r="AJ921" s="106" t="s">
        <v>2033</v>
      </c>
      <c r="AK921" s="106" t="n">
        <v>0</v>
      </c>
      <c r="AL921" s="106" t="n">
        <v>1</v>
      </c>
      <c r="AM921" s="106" t="s">
        <v>161</v>
      </c>
      <c r="AQ921" s="129"/>
      <c r="AR921" s="129" t="n">
        <v>43883</v>
      </c>
      <c r="AS921" s="106" t="n">
        <v>0.687349537037037</v>
      </c>
      <c r="AT921" s="106" t="n">
        <v>0</v>
      </c>
      <c r="AU921" s="106" t="n">
        <v>0</v>
      </c>
      <c r="AX921" s="106" t="n">
        <v>1</v>
      </c>
      <c r="ALU921" s="0"/>
      <c r="ALV921" s="0"/>
      <c r="ALW921" s="0"/>
      <c r="ALX921" s="0"/>
      <c r="ALY921" s="0"/>
      <c r="ALZ921" s="0"/>
      <c r="AMA921" s="0"/>
      <c r="AMB921" s="0"/>
      <c r="AMC921" s="0"/>
      <c r="AMD921" s="0"/>
      <c r="AME921" s="0"/>
      <c r="AMF921" s="0"/>
      <c r="AMG921" s="0"/>
      <c r="AMH921" s="0"/>
      <c r="AMI921" s="0"/>
      <c r="AMJ921" s="0"/>
    </row>
    <row r="922" customFormat="false" ht="13.8" hidden="true" customHeight="false" outlineLevel="0" collapsed="false">
      <c r="A922" s="117" t="n">
        <v>1000</v>
      </c>
      <c r="B922" s="117" t="s">
        <v>1962</v>
      </c>
      <c r="C922" s="117" t="n">
        <v>1400007205</v>
      </c>
      <c r="E922" s="117" t="s">
        <v>1972</v>
      </c>
      <c r="F922" s="117" t="n">
        <v>1101</v>
      </c>
      <c r="G922" s="117" t="n">
        <v>2019</v>
      </c>
      <c r="H922" s="117" t="n">
        <v>7</v>
      </c>
      <c r="I922" s="118" t="n">
        <v>43756</v>
      </c>
      <c r="J922" s="118" t="n">
        <v>43756</v>
      </c>
      <c r="K922" s="119" t="n">
        <v>-1271591.45</v>
      </c>
      <c r="L922" s="128" t="n">
        <f aca="false">K922-Q922+T922</f>
        <v>-1271591.45</v>
      </c>
      <c r="M922" s="117" t="s">
        <v>149</v>
      </c>
      <c r="N922" s="117" t="n">
        <v>-1271591.45</v>
      </c>
      <c r="O922" s="117" t="s">
        <v>149</v>
      </c>
      <c r="P922" s="117" t="n">
        <v>0</v>
      </c>
      <c r="Q922" s="117" t="n">
        <v>0</v>
      </c>
      <c r="R922" s="117" t="n">
        <v>-1271591.45</v>
      </c>
      <c r="S922" s="117" t="n">
        <v>0</v>
      </c>
      <c r="T922" s="117" t="n">
        <v>0</v>
      </c>
      <c r="U922" s="117" t="n">
        <v>318999</v>
      </c>
      <c r="V922" s="117" t="s">
        <v>143</v>
      </c>
      <c r="X922" s="117" t="s">
        <v>2497</v>
      </c>
      <c r="Y922" s="117" t="s">
        <v>2498</v>
      </c>
      <c r="Z922" s="117" t="n">
        <v>1400007205</v>
      </c>
      <c r="AC922" s="117" t="s">
        <v>1976</v>
      </c>
      <c r="AD922" s="117" t="n">
        <v>310300</v>
      </c>
      <c r="AE922" s="117" t="s">
        <v>1969</v>
      </c>
      <c r="AF922" s="117" t="n">
        <v>101105</v>
      </c>
      <c r="AG922" s="117" t="s">
        <v>1977</v>
      </c>
      <c r="AI922" s="117" t="n">
        <v>101105</v>
      </c>
      <c r="AJ922" s="117" t="s">
        <v>1977</v>
      </c>
      <c r="AK922" s="117" t="n">
        <v>0</v>
      </c>
      <c r="AL922" s="117" t="n">
        <v>19</v>
      </c>
      <c r="AM922" s="117" t="s">
        <v>225</v>
      </c>
      <c r="AN922" s="117" t="s">
        <v>1978</v>
      </c>
      <c r="AP922" s="117" t="n">
        <v>100143952</v>
      </c>
      <c r="AQ922" s="118" t="n">
        <v>43769</v>
      </c>
      <c r="AR922" s="118" t="n">
        <v>43769</v>
      </c>
      <c r="AS922" s="117" t="n">
        <v>0.498634259259259</v>
      </c>
      <c r="AT922" s="117" t="n">
        <v>0</v>
      </c>
      <c r="AU922" s="117" t="n">
        <v>0</v>
      </c>
      <c r="AX922" s="117" t="n">
        <v>2</v>
      </c>
    </row>
    <row r="923" customFormat="false" ht="13.8" hidden="true" customHeight="false" outlineLevel="0" collapsed="false">
      <c r="A923" s="117" t="n">
        <v>1000</v>
      </c>
      <c r="B923" s="117" t="s">
        <v>1962</v>
      </c>
      <c r="C923" s="117" t="n">
        <v>100141449</v>
      </c>
      <c r="E923" s="117" t="s">
        <v>1921</v>
      </c>
      <c r="F923" s="117" t="n">
        <v>1109</v>
      </c>
      <c r="G923" s="117" t="n">
        <v>2019</v>
      </c>
      <c r="H923" s="117" t="n">
        <v>7</v>
      </c>
      <c r="I923" s="118" t="n">
        <v>43766</v>
      </c>
      <c r="J923" s="118" t="n">
        <v>43766</v>
      </c>
      <c r="K923" s="119" t="n">
        <v>955748.36</v>
      </c>
      <c r="L923" s="128" t="n">
        <f aca="false">K923-Q923+T923</f>
        <v>955748.36</v>
      </c>
      <c r="M923" s="117" t="s">
        <v>149</v>
      </c>
      <c r="N923" s="117" t="n">
        <v>955748.36</v>
      </c>
      <c r="O923" s="117" t="s">
        <v>149</v>
      </c>
      <c r="P923" s="117" t="n">
        <v>0</v>
      </c>
      <c r="Q923" s="117" t="n">
        <v>0</v>
      </c>
      <c r="R923" s="117" t="n">
        <v>955748.36</v>
      </c>
      <c r="S923" s="117" t="n">
        <v>0</v>
      </c>
      <c r="T923" s="117" t="n">
        <v>0</v>
      </c>
      <c r="U923" s="117" t="n">
        <v>312193</v>
      </c>
      <c r="V923" s="117" t="s">
        <v>1963</v>
      </c>
      <c r="X923" s="117" t="s">
        <v>1825</v>
      </c>
      <c r="Z923" s="117" t="n">
        <v>60959</v>
      </c>
      <c r="AB923" s="117" t="s">
        <v>2124</v>
      </c>
      <c r="AD923" s="117" t="n">
        <v>110000</v>
      </c>
      <c r="AE923" s="117" t="s">
        <v>1966</v>
      </c>
      <c r="AF923" s="117" t="n">
        <v>110000</v>
      </c>
      <c r="AG923" s="117" t="s">
        <v>1966</v>
      </c>
      <c r="AI923" s="117" t="n">
        <v>110000</v>
      </c>
      <c r="AJ923" s="117" t="s">
        <v>1966</v>
      </c>
      <c r="AK923" s="117" t="n">
        <v>0</v>
      </c>
      <c r="AL923" s="117" t="n">
        <v>4</v>
      </c>
      <c r="AM923" s="117" t="s">
        <v>161</v>
      </c>
      <c r="AR923" s="118" t="n">
        <v>43766</v>
      </c>
      <c r="AS923" s="117" t="n">
        <v>0.371388888888889</v>
      </c>
      <c r="AT923" s="117" t="n">
        <v>0</v>
      </c>
      <c r="AU923" s="117" t="n">
        <v>0</v>
      </c>
      <c r="AX923" s="117" t="n">
        <v>13</v>
      </c>
    </row>
    <row r="924" customFormat="false" ht="13.8" hidden="true" customHeight="false" outlineLevel="0" collapsed="false">
      <c r="A924" s="117" t="n">
        <v>1000</v>
      </c>
      <c r="B924" s="117" t="s">
        <v>1962</v>
      </c>
      <c r="C924" s="117" t="n">
        <v>100173564</v>
      </c>
      <c r="E924" s="117" t="s">
        <v>1921</v>
      </c>
      <c r="F924" s="117" t="n">
        <v>1108</v>
      </c>
      <c r="G924" s="117" t="n">
        <v>2019</v>
      </c>
      <c r="H924" s="117" t="n">
        <v>8</v>
      </c>
      <c r="I924" s="118" t="n">
        <v>43799</v>
      </c>
      <c r="J924" s="118" t="n">
        <v>43799</v>
      </c>
      <c r="K924" s="119" t="n">
        <v>234877.62</v>
      </c>
      <c r="L924" s="128" t="n">
        <f aca="false">K924-Q924+T924</f>
        <v>234877.62</v>
      </c>
      <c r="M924" s="117" t="s">
        <v>149</v>
      </c>
      <c r="N924" s="117" t="n">
        <v>234877.62</v>
      </c>
      <c r="O924" s="117" t="s">
        <v>149</v>
      </c>
      <c r="P924" s="117" t="n">
        <v>0</v>
      </c>
      <c r="Q924" s="117" t="n">
        <v>0</v>
      </c>
      <c r="R924" s="117" t="n">
        <v>234877.62</v>
      </c>
      <c r="S924" s="117" t="n">
        <v>0</v>
      </c>
      <c r="T924" s="117" t="n">
        <v>0</v>
      </c>
      <c r="U924" s="117" t="n">
        <v>312193</v>
      </c>
      <c r="V924" s="117" t="s">
        <v>1963</v>
      </c>
      <c r="X924" s="117" t="s">
        <v>1663</v>
      </c>
      <c r="Z924" s="117" t="n">
        <v>61993</v>
      </c>
      <c r="AB924" s="117" t="s">
        <v>2109</v>
      </c>
      <c r="AD924" s="117" t="n">
        <v>110000</v>
      </c>
      <c r="AE924" s="117" t="s">
        <v>1966</v>
      </c>
      <c r="AF924" s="117" t="n">
        <v>110000</v>
      </c>
      <c r="AG924" s="117" t="s">
        <v>1966</v>
      </c>
      <c r="AI924" s="117" t="n">
        <v>110000</v>
      </c>
      <c r="AJ924" s="117" t="s">
        <v>1966</v>
      </c>
      <c r="AK924" s="117" t="n">
        <v>0</v>
      </c>
      <c r="AL924" s="117" t="n">
        <v>4</v>
      </c>
      <c r="AM924" s="117" t="s">
        <v>161</v>
      </c>
      <c r="AR924" s="118" t="n">
        <v>43800</v>
      </c>
      <c r="AS924" s="117" t="n">
        <v>0.649189814814815</v>
      </c>
      <c r="AT924" s="117" t="n">
        <v>0</v>
      </c>
      <c r="AU924" s="117" t="n">
        <v>0</v>
      </c>
      <c r="AX924" s="117" t="n">
        <v>9</v>
      </c>
    </row>
    <row r="925" customFormat="false" ht="13.8" hidden="true" customHeight="false" outlineLevel="0" collapsed="false">
      <c r="A925" s="117" t="n">
        <v>1000</v>
      </c>
      <c r="B925" s="117" t="s">
        <v>1962</v>
      </c>
      <c r="C925" s="117" t="n">
        <v>1600000288</v>
      </c>
      <c r="D925" s="117" t="s">
        <v>2356</v>
      </c>
      <c r="E925" s="117" t="s">
        <v>1987</v>
      </c>
      <c r="F925" s="117" t="n">
        <v>1101</v>
      </c>
      <c r="G925" s="117" t="n">
        <v>2019</v>
      </c>
      <c r="H925" s="117" t="n">
        <v>8</v>
      </c>
      <c r="I925" s="118" t="n">
        <v>43795</v>
      </c>
      <c r="J925" s="118" t="n">
        <v>43795</v>
      </c>
      <c r="K925" s="119" t="n">
        <v>-7155</v>
      </c>
      <c r="L925" s="128" t="n">
        <f aca="false">K925-Q925+T925</f>
        <v>-7155</v>
      </c>
      <c r="M925" s="117" t="s">
        <v>149</v>
      </c>
      <c r="N925" s="117" t="n">
        <v>-7155</v>
      </c>
      <c r="O925" s="117" t="s">
        <v>149</v>
      </c>
      <c r="P925" s="117" t="n">
        <v>-7155</v>
      </c>
      <c r="Q925" s="117" t="n">
        <v>0</v>
      </c>
      <c r="R925" s="117" t="n">
        <v>-7155</v>
      </c>
      <c r="S925" s="117" t="n">
        <v>0</v>
      </c>
      <c r="T925" s="117" t="n">
        <v>0</v>
      </c>
      <c r="U925" s="117" t="n">
        <v>312193</v>
      </c>
      <c r="V925" s="117" t="s">
        <v>1963</v>
      </c>
      <c r="X925" s="117" t="s">
        <v>2499</v>
      </c>
      <c r="Y925" s="117" t="s">
        <v>2358</v>
      </c>
      <c r="Z925" s="117" t="n">
        <v>1600000288</v>
      </c>
      <c r="AD925" s="117" t="n">
        <v>310300</v>
      </c>
      <c r="AE925" s="117" t="s">
        <v>1969</v>
      </c>
      <c r="AF925" s="117" t="n">
        <v>111201</v>
      </c>
      <c r="AG925" s="117" t="s">
        <v>2165</v>
      </c>
      <c r="AI925" s="117" t="n">
        <v>111201</v>
      </c>
      <c r="AJ925" s="117" t="s">
        <v>2165</v>
      </c>
      <c r="AK925" s="117" t="n">
        <v>0</v>
      </c>
      <c r="AL925" s="117" t="n">
        <v>19</v>
      </c>
      <c r="AM925" s="117" t="s">
        <v>225</v>
      </c>
      <c r="AN925" s="117" t="s">
        <v>1978</v>
      </c>
      <c r="AP925" s="117" t="n">
        <v>100173563</v>
      </c>
      <c r="AQ925" s="118" t="n">
        <v>43799</v>
      </c>
      <c r="AR925" s="118" t="n">
        <v>43795</v>
      </c>
      <c r="AS925" s="117" t="n">
        <v>0.285</v>
      </c>
      <c r="AT925" s="117" t="n">
        <v>0</v>
      </c>
      <c r="AU925" s="117" t="n">
        <v>0</v>
      </c>
      <c r="AX925" s="117" t="n">
        <v>40</v>
      </c>
    </row>
    <row r="926" customFormat="false" ht="13.8" hidden="true" customHeight="false" outlineLevel="0" collapsed="false">
      <c r="A926" s="117" t="n">
        <v>1000</v>
      </c>
      <c r="B926" s="117" t="s">
        <v>1962</v>
      </c>
      <c r="C926" s="117" t="n">
        <v>100210305</v>
      </c>
      <c r="E926" s="117" t="s">
        <v>1921</v>
      </c>
      <c r="F926" s="117" t="n">
        <v>1106</v>
      </c>
      <c r="G926" s="117" t="n">
        <v>2019</v>
      </c>
      <c r="H926" s="117" t="n">
        <v>9</v>
      </c>
      <c r="I926" s="118" t="n">
        <v>43830</v>
      </c>
      <c r="J926" s="118" t="n">
        <v>43830</v>
      </c>
      <c r="K926" s="119" t="n">
        <v>1943718.37</v>
      </c>
      <c r="L926" s="128" t="n">
        <f aca="false">K926-Q926+T926</f>
        <v>1943718.37</v>
      </c>
      <c r="M926" s="117" t="s">
        <v>149</v>
      </c>
      <c r="N926" s="117" t="n">
        <v>1943718.37</v>
      </c>
      <c r="O926" s="117" t="s">
        <v>149</v>
      </c>
      <c r="P926" s="117" t="n">
        <v>0</v>
      </c>
      <c r="Q926" s="117" t="n">
        <v>0</v>
      </c>
      <c r="R926" s="117" t="n">
        <v>1943718.37</v>
      </c>
      <c r="S926" s="117" t="n">
        <v>0</v>
      </c>
      <c r="T926" s="117" t="n">
        <v>0</v>
      </c>
      <c r="U926" s="117" t="n">
        <v>318999</v>
      </c>
      <c r="V926" s="117" t="s">
        <v>143</v>
      </c>
      <c r="Z926" s="117" t="n">
        <v>100210305</v>
      </c>
      <c r="AD926" s="117" t="n">
        <v>310300</v>
      </c>
      <c r="AE926" s="117" t="s">
        <v>1969</v>
      </c>
      <c r="AF926" s="117" t="n">
        <v>110000</v>
      </c>
      <c r="AG926" s="117" t="s">
        <v>1966</v>
      </c>
      <c r="AI926" s="117" t="n">
        <v>110000</v>
      </c>
      <c r="AJ926" s="117" t="s">
        <v>1966</v>
      </c>
      <c r="AK926" s="117" t="n">
        <v>0</v>
      </c>
      <c r="AL926" s="117" t="n">
        <v>9</v>
      </c>
      <c r="AM926" s="117" t="s">
        <v>161</v>
      </c>
      <c r="AN926" s="117" t="s">
        <v>1978</v>
      </c>
      <c r="AP926" s="117" t="n">
        <v>100210305</v>
      </c>
      <c r="AQ926" s="118" t="n">
        <v>43830</v>
      </c>
      <c r="AR926" s="118" t="n">
        <v>43831</v>
      </c>
      <c r="AS926" s="117" t="n">
        <v>0.412951388888889</v>
      </c>
      <c r="AT926" s="117" t="n">
        <v>0</v>
      </c>
      <c r="AU926" s="117" t="n">
        <v>0</v>
      </c>
      <c r="AX926" s="117" t="n">
        <v>3</v>
      </c>
    </row>
    <row r="927" customFormat="false" ht="13.8" hidden="true" customHeight="false" outlineLevel="0" collapsed="false">
      <c r="A927" s="117" t="n">
        <v>1000</v>
      </c>
      <c r="B927" s="117" t="s">
        <v>1962</v>
      </c>
      <c r="C927" s="117" t="n">
        <v>1600000300</v>
      </c>
      <c r="D927" s="117" t="s">
        <v>2354</v>
      </c>
      <c r="E927" s="117" t="s">
        <v>1987</v>
      </c>
      <c r="F927" s="117" t="n">
        <v>1101</v>
      </c>
      <c r="G927" s="117" t="n">
        <v>2019</v>
      </c>
      <c r="H927" s="117" t="n">
        <v>8</v>
      </c>
      <c r="I927" s="118" t="n">
        <v>43797</v>
      </c>
      <c r="J927" s="118" t="n">
        <v>43797</v>
      </c>
      <c r="K927" s="119" t="n">
        <v>-25683</v>
      </c>
      <c r="L927" s="128" t="n">
        <f aca="false">K927-Q927+T927</f>
        <v>-25683</v>
      </c>
      <c r="M927" s="117" t="s">
        <v>149</v>
      </c>
      <c r="N927" s="117" t="n">
        <v>-25683</v>
      </c>
      <c r="O927" s="117" t="s">
        <v>149</v>
      </c>
      <c r="P927" s="117" t="n">
        <v>-25683</v>
      </c>
      <c r="Q927" s="117" t="n">
        <v>0</v>
      </c>
      <c r="R927" s="117" t="n">
        <v>-25683</v>
      </c>
      <c r="S927" s="117" t="n">
        <v>0</v>
      </c>
      <c r="T927" s="117" t="n">
        <v>0</v>
      </c>
      <c r="U927" s="117" t="n">
        <v>318999</v>
      </c>
      <c r="V927" s="117" t="s">
        <v>143</v>
      </c>
      <c r="X927" s="117" t="s">
        <v>2500</v>
      </c>
      <c r="Y927" s="117" t="s">
        <v>2388</v>
      </c>
      <c r="Z927" s="117" t="n">
        <v>1600000300</v>
      </c>
      <c r="AD927" s="117" t="n">
        <v>310300</v>
      </c>
      <c r="AE927" s="117" t="s">
        <v>1969</v>
      </c>
      <c r="AF927" s="117" t="n">
        <v>111201</v>
      </c>
      <c r="AG927" s="117" t="s">
        <v>2165</v>
      </c>
      <c r="AI927" s="117" t="n">
        <v>111201</v>
      </c>
      <c r="AJ927" s="117" t="s">
        <v>2165</v>
      </c>
      <c r="AK927" s="117" t="n">
        <v>0</v>
      </c>
      <c r="AL927" s="117" t="n">
        <v>19</v>
      </c>
      <c r="AM927" s="117" t="s">
        <v>225</v>
      </c>
      <c r="AN927" s="117" t="s">
        <v>1978</v>
      </c>
      <c r="AP927" s="117" t="n">
        <v>100173605</v>
      </c>
      <c r="AQ927" s="118" t="n">
        <v>43799</v>
      </c>
      <c r="AR927" s="118" t="n">
        <v>43797</v>
      </c>
      <c r="AS927" s="117" t="n">
        <v>0.231458333333333</v>
      </c>
      <c r="AT927" s="117" t="n">
        <v>0</v>
      </c>
      <c r="AU927" s="117" t="n">
        <v>0</v>
      </c>
      <c r="AX927" s="117" t="n">
        <v>10</v>
      </c>
    </row>
    <row r="928" customFormat="false" ht="13.8" hidden="true" customHeight="false" outlineLevel="0" collapsed="false">
      <c r="A928" s="117" t="n">
        <v>1000</v>
      </c>
      <c r="B928" s="117" t="s">
        <v>1962</v>
      </c>
      <c r="C928" s="117" t="n">
        <v>100194025</v>
      </c>
      <c r="E928" s="117" t="s">
        <v>1921</v>
      </c>
      <c r="F928" s="117" t="n">
        <v>1112</v>
      </c>
      <c r="G928" s="117" t="n">
        <v>2019</v>
      </c>
      <c r="H928" s="117" t="n">
        <v>9</v>
      </c>
      <c r="I928" s="118" t="n">
        <v>43824</v>
      </c>
      <c r="J928" s="118" t="n">
        <v>43824</v>
      </c>
      <c r="K928" s="119" t="n">
        <v>697946.4</v>
      </c>
      <c r="L928" s="128" t="n">
        <f aca="false">K928-Q928+T928</f>
        <v>697946.4</v>
      </c>
      <c r="M928" s="117" t="s">
        <v>149</v>
      </c>
      <c r="N928" s="117" t="n">
        <v>697946.4</v>
      </c>
      <c r="O928" s="117" t="s">
        <v>149</v>
      </c>
      <c r="P928" s="117" t="n">
        <v>0</v>
      </c>
      <c r="Q928" s="117" t="n">
        <v>0</v>
      </c>
      <c r="R928" s="117" t="n">
        <v>697946.4</v>
      </c>
      <c r="S928" s="117" t="n">
        <v>0</v>
      </c>
      <c r="T928" s="117" t="n">
        <v>0</v>
      </c>
      <c r="U928" s="117" t="n">
        <v>312193</v>
      </c>
      <c r="V928" s="117" t="s">
        <v>1963</v>
      </c>
      <c r="X928" s="117" t="s">
        <v>1729</v>
      </c>
      <c r="Z928" s="117" t="n">
        <v>62198</v>
      </c>
      <c r="AB928" s="117" t="s">
        <v>2362</v>
      </c>
      <c r="AD928" s="117" t="n">
        <v>110000</v>
      </c>
      <c r="AE928" s="117" t="s">
        <v>1966</v>
      </c>
      <c r="AF928" s="117" t="n">
        <v>110000</v>
      </c>
      <c r="AG928" s="117" t="s">
        <v>1966</v>
      </c>
      <c r="AI928" s="117" t="n">
        <v>110000</v>
      </c>
      <c r="AJ928" s="117" t="s">
        <v>1966</v>
      </c>
      <c r="AK928" s="117" t="n">
        <v>0</v>
      </c>
      <c r="AL928" s="117" t="n">
        <v>4</v>
      </c>
      <c r="AM928" s="117" t="s">
        <v>161</v>
      </c>
      <c r="AR928" s="118" t="n">
        <v>43824</v>
      </c>
      <c r="AS928" s="117" t="n">
        <v>0.371284722222222</v>
      </c>
      <c r="AT928" s="117" t="n">
        <v>0</v>
      </c>
      <c r="AU928" s="117" t="n">
        <v>0</v>
      </c>
      <c r="AX928" s="117" t="n">
        <v>28</v>
      </c>
    </row>
    <row r="929" customFormat="false" ht="13.8" hidden="true" customHeight="false" outlineLevel="0" collapsed="false">
      <c r="A929" s="117" t="n">
        <v>1000</v>
      </c>
      <c r="B929" s="117" t="s">
        <v>1962</v>
      </c>
      <c r="C929" s="117" t="n">
        <v>100143931</v>
      </c>
      <c r="E929" s="117" t="s">
        <v>1921</v>
      </c>
      <c r="F929" s="117" t="n">
        <v>1109</v>
      </c>
      <c r="G929" s="117" t="n">
        <v>2019</v>
      </c>
      <c r="H929" s="117" t="n">
        <v>7</v>
      </c>
      <c r="I929" s="118" t="n">
        <v>43769</v>
      </c>
      <c r="J929" s="118" t="n">
        <v>43769</v>
      </c>
      <c r="K929" s="119" t="n">
        <v>-9720705.89</v>
      </c>
      <c r="L929" s="128" t="n">
        <f aca="false">K929-Q929+T929</f>
        <v>-9720705.89</v>
      </c>
      <c r="M929" s="117" t="s">
        <v>149</v>
      </c>
      <c r="N929" s="117" t="n">
        <v>-9720705.89</v>
      </c>
      <c r="O929" s="117" t="s">
        <v>149</v>
      </c>
      <c r="P929" s="117" t="n">
        <v>0</v>
      </c>
      <c r="Q929" s="117" t="n">
        <v>0</v>
      </c>
      <c r="R929" s="117" t="n">
        <v>-9720705.89</v>
      </c>
      <c r="S929" s="117" t="n">
        <v>0</v>
      </c>
      <c r="T929" s="117" t="n">
        <v>0</v>
      </c>
      <c r="U929" s="117" t="n">
        <v>311155</v>
      </c>
      <c r="V929" s="117" t="s">
        <v>2022</v>
      </c>
      <c r="Z929" s="117" t="n">
        <v>100143931</v>
      </c>
      <c r="AD929" s="117" t="n">
        <v>110000</v>
      </c>
      <c r="AE929" s="117" t="s">
        <v>1966</v>
      </c>
      <c r="AF929" s="117" t="n">
        <v>110000</v>
      </c>
      <c r="AG929" s="117" t="s">
        <v>1966</v>
      </c>
      <c r="AI929" s="117" t="n">
        <v>110000</v>
      </c>
      <c r="AJ929" s="117" t="s">
        <v>1966</v>
      </c>
      <c r="AK929" s="117" t="n">
        <v>0</v>
      </c>
      <c r="AL929" s="117" t="n">
        <v>17</v>
      </c>
      <c r="AM929" s="117" t="s">
        <v>225</v>
      </c>
      <c r="AP929" s="117" t="n">
        <v>100143931</v>
      </c>
      <c r="AQ929" s="118" t="n">
        <v>43769</v>
      </c>
      <c r="AR929" s="118" t="n">
        <v>43770</v>
      </c>
      <c r="AS929" s="117" t="n">
        <v>0.207824074074074</v>
      </c>
      <c r="AT929" s="117" t="n">
        <v>0</v>
      </c>
      <c r="AU929" s="117" t="n">
        <v>0</v>
      </c>
      <c r="AX929" s="117" t="n">
        <v>5</v>
      </c>
    </row>
    <row r="930" customFormat="false" ht="13.8" hidden="true" customHeight="false" outlineLevel="0" collapsed="false">
      <c r="A930" s="117" t="n">
        <v>1000</v>
      </c>
      <c r="B930" s="117" t="s">
        <v>1962</v>
      </c>
      <c r="C930" s="117" t="n">
        <v>100199799</v>
      </c>
      <c r="E930" s="117" t="s">
        <v>1921</v>
      </c>
      <c r="F930" s="117" t="n">
        <v>1112</v>
      </c>
      <c r="G930" s="117" t="n">
        <v>2019</v>
      </c>
      <c r="H930" s="117" t="n">
        <v>9</v>
      </c>
      <c r="I930" s="118" t="n">
        <v>43830</v>
      </c>
      <c r="J930" s="118" t="n">
        <v>43830</v>
      </c>
      <c r="K930" s="119" t="n">
        <v>-2788633.91</v>
      </c>
      <c r="L930" s="128" t="n">
        <f aca="false">K930-Q930+T930</f>
        <v>-2788633.91</v>
      </c>
      <c r="M930" s="117" t="s">
        <v>149</v>
      </c>
      <c r="N930" s="117" t="n">
        <v>-2788633.91</v>
      </c>
      <c r="O930" s="117" t="s">
        <v>149</v>
      </c>
      <c r="P930" s="117" t="n">
        <v>0</v>
      </c>
      <c r="Q930" s="117" t="n">
        <v>0</v>
      </c>
      <c r="R930" s="117" t="n">
        <v>-2788633.91</v>
      </c>
      <c r="S930" s="117" t="n">
        <v>0</v>
      </c>
      <c r="T930" s="117" t="n">
        <v>0</v>
      </c>
      <c r="U930" s="117" t="n">
        <v>312193</v>
      </c>
      <c r="V930" s="117" t="s">
        <v>1963</v>
      </c>
      <c r="Z930" s="117" t="n">
        <v>100199799</v>
      </c>
      <c r="AD930" s="117" t="n">
        <v>110000</v>
      </c>
      <c r="AE930" s="117" t="s">
        <v>1966</v>
      </c>
      <c r="AF930" s="117" t="n">
        <v>110000</v>
      </c>
      <c r="AG930" s="117" t="s">
        <v>1966</v>
      </c>
      <c r="AI930" s="117" t="n">
        <v>110000</v>
      </c>
      <c r="AJ930" s="117" t="s">
        <v>1966</v>
      </c>
      <c r="AK930" s="117" t="n">
        <v>0</v>
      </c>
      <c r="AL930" s="117" t="n">
        <v>17</v>
      </c>
      <c r="AM930" s="117" t="s">
        <v>225</v>
      </c>
      <c r="AP930" s="117" t="n">
        <v>100199799</v>
      </c>
      <c r="AQ930" s="118" t="n">
        <v>43830</v>
      </c>
      <c r="AR930" s="118" t="n">
        <v>43830</v>
      </c>
      <c r="AS930" s="117" t="n">
        <v>0.279467592592593</v>
      </c>
      <c r="AT930" s="117" t="n">
        <v>0</v>
      </c>
      <c r="AU930" s="117" t="n">
        <v>0</v>
      </c>
      <c r="AX930" s="117" t="n">
        <v>33</v>
      </c>
    </row>
    <row r="931" customFormat="false" ht="13.8" hidden="true" customHeight="false" outlineLevel="0" collapsed="false">
      <c r="A931" s="117" t="n">
        <v>1000</v>
      </c>
      <c r="B931" s="117" t="s">
        <v>1962</v>
      </c>
      <c r="C931" s="117" t="n">
        <v>100144356</v>
      </c>
      <c r="E931" s="117" t="s">
        <v>1921</v>
      </c>
      <c r="F931" s="117" t="n">
        <v>1101</v>
      </c>
      <c r="G931" s="117" t="n">
        <v>2019</v>
      </c>
      <c r="H931" s="117" t="n">
        <v>7</v>
      </c>
      <c r="I931" s="118" t="n">
        <v>43769</v>
      </c>
      <c r="J931" s="118" t="n">
        <v>43769</v>
      </c>
      <c r="K931" s="119" t="n">
        <v>-7229557.63</v>
      </c>
      <c r="L931" s="128" t="n">
        <f aca="false">K931-Q931+T931</f>
        <v>-7229557.63</v>
      </c>
      <c r="M931" s="117" t="s">
        <v>149</v>
      </c>
      <c r="N931" s="117" t="n">
        <v>-7229557.63</v>
      </c>
      <c r="O931" s="117" t="s">
        <v>149</v>
      </c>
      <c r="P931" s="117" t="n">
        <v>0</v>
      </c>
      <c r="Q931" s="117" t="n">
        <v>0</v>
      </c>
      <c r="R931" s="117" t="n">
        <v>-7229557.63</v>
      </c>
      <c r="S931" s="117" t="n">
        <v>0</v>
      </c>
      <c r="T931" s="117" t="n">
        <v>0</v>
      </c>
      <c r="U931" s="117" t="n">
        <v>318999</v>
      </c>
      <c r="V931" s="117" t="s">
        <v>143</v>
      </c>
      <c r="Z931" s="117" t="n">
        <v>100144356</v>
      </c>
      <c r="AD931" s="117" t="n">
        <v>111105</v>
      </c>
      <c r="AE931" s="117" t="s">
        <v>1994</v>
      </c>
      <c r="AF931" s="117" t="n">
        <v>111105</v>
      </c>
      <c r="AG931" s="117" t="s">
        <v>1994</v>
      </c>
      <c r="AI931" s="117" t="n">
        <v>111105</v>
      </c>
      <c r="AJ931" s="117" t="s">
        <v>1994</v>
      </c>
      <c r="AK931" s="117" t="n">
        <v>0</v>
      </c>
      <c r="AL931" s="117" t="n">
        <v>19</v>
      </c>
      <c r="AM931" s="117" t="s">
        <v>225</v>
      </c>
      <c r="AN931" s="117" t="s">
        <v>1995</v>
      </c>
      <c r="AP931" s="117" t="n">
        <v>100144356</v>
      </c>
      <c r="AQ931" s="118" t="n">
        <v>43769</v>
      </c>
      <c r="AR931" s="118" t="n">
        <v>43770</v>
      </c>
      <c r="AS931" s="117" t="n">
        <v>0.447384259259259</v>
      </c>
      <c r="AT931" s="117" t="n">
        <v>0</v>
      </c>
      <c r="AU931" s="117" t="n">
        <v>0</v>
      </c>
      <c r="AX931" s="117" t="n">
        <v>2</v>
      </c>
    </row>
    <row r="932" customFormat="false" ht="13.8" hidden="true" customHeight="false" outlineLevel="0" collapsed="false">
      <c r="A932" s="117" t="n">
        <v>1000</v>
      </c>
      <c r="B932" s="117" t="s">
        <v>1962</v>
      </c>
      <c r="C932" s="117" t="n">
        <v>100173530</v>
      </c>
      <c r="E932" s="117" t="s">
        <v>1921</v>
      </c>
      <c r="F932" s="117" t="n">
        <v>1108</v>
      </c>
      <c r="G932" s="117" t="n">
        <v>2019</v>
      </c>
      <c r="H932" s="117" t="n">
        <v>8</v>
      </c>
      <c r="I932" s="118" t="n">
        <v>43799</v>
      </c>
      <c r="J932" s="118" t="n">
        <v>43799</v>
      </c>
      <c r="K932" s="119" t="n">
        <v>1170</v>
      </c>
      <c r="L932" s="128" t="n">
        <f aca="false">K932-Q932+T932</f>
        <v>1170</v>
      </c>
      <c r="M932" s="117" t="s">
        <v>149</v>
      </c>
      <c r="N932" s="117" t="n">
        <v>1170</v>
      </c>
      <c r="O932" s="117" t="s">
        <v>149</v>
      </c>
      <c r="P932" s="117" t="n">
        <v>0</v>
      </c>
      <c r="Q932" s="117" t="n">
        <v>0</v>
      </c>
      <c r="R932" s="117" t="n">
        <v>1170</v>
      </c>
      <c r="S932" s="117" t="n">
        <v>0</v>
      </c>
      <c r="T932" s="117" t="n">
        <v>0</v>
      </c>
      <c r="U932" s="117" t="n">
        <v>312193</v>
      </c>
      <c r="V932" s="117" t="s">
        <v>1963</v>
      </c>
      <c r="X932" s="117" t="s">
        <v>2501</v>
      </c>
      <c r="Z932" s="117" t="n">
        <v>2346</v>
      </c>
      <c r="AB932" s="117" t="s">
        <v>2031</v>
      </c>
      <c r="AD932" s="117" t="n">
        <v>110000</v>
      </c>
      <c r="AE932" s="117" t="s">
        <v>1966</v>
      </c>
      <c r="AF932" s="117" t="n">
        <v>110000</v>
      </c>
      <c r="AG932" s="117" t="s">
        <v>1966</v>
      </c>
      <c r="AI932" s="117" t="n">
        <v>110000</v>
      </c>
      <c r="AJ932" s="117" t="s">
        <v>1966</v>
      </c>
      <c r="AK932" s="117" t="n">
        <v>0</v>
      </c>
      <c r="AL932" s="117" t="n">
        <v>4</v>
      </c>
      <c r="AM932" s="117" t="s">
        <v>161</v>
      </c>
      <c r="AR932" s="118" t="n">
        <v>43800</v>
      </c>
      <c r="AS932" s="117" t="n">
        <v>0.629131944444444</v>
      </c>
      <c r="AT932" s="117" t="n">
        <v>0</v>
      </c>
      <c r="AU932" s="117" t="n">
        <v>0</v>
      </c>
      <c r="AX932" s="117" t="n">
        <v>1</v>
      </c>
    </row>
    <row r="933" customFormat="false" ht="13.8" hidden="true" customHeight="false" outlineLevel="0" collapsed="false">
      <c r="A933" s="117" t="n">
        <v>1000</v>
      </c>
      <c r="B933" s="117" t="s">
        <v>1962</v>
      </c>
      <c r="C933" s="117" t="n">
        <v>1400007584</v>
      </c>
      <c r="E933" s="117" t="s">
        <v>1972</v>
      </c>
      <c r="F933" s="117" t="n">
        <v>1106</v>
      </c>
      <c r="G933" s="117" t="n">
        <v>2019</v>
      </c>
      <c r="H933" s="117" t="n">
        <v>8</v>
      </c>
      <c r="I933" s="118" t="n">
        <v>43782</v>
      </c>
      <c r="J933" s="118" t="n">
        <v>43782</v>
      </c>
      <c r="K933" s="119" t="n">
        <v>-506582.87</v>
      </c>
      <c r="L933" s="128" t="n">
        <f aca="false">K933-Q933+T933</f>
        <v>-506582.87</v>
      </c>
      <c r="M933" s="117" t="s">
        <v>149</v>
      </c>
      <c r="N933" s="117" t="n">
        <v>-506582.87</v>
      </c>
      <c r="O933" s="117" t="s">
        <v>149</v>
      </c>
      <c r="P933" s="117" t="n">
        <v>0</v>
      </c>
      <c r="Q933" s="117" t="n">
        <v>0</v>
      </c>
      <c r="R933" s="117" t="n">
        <v>-506582.87</v>
      </c>
      <c r="S933" s="117" t="n">
        <v>0</v>
      </c>
      <c r="T933" s="117" t="n">
        <v>0</v>
      </c>
      <c r="U933" s="117" t="n">
        <v>313029</v>
      </c>
      <c r="V933" s="117" t="s">
        <v>143</v>
      </c>
      <c r="X933" s="117" t="s">
        <v>2502</v>
      </c>
      <c r="Y933" s="117" t="s">
        <v>2503</v>
      </c>
      <c r="Z933" s="117" t="n">
        <v>1400007584</v>
      </c>
      <c r="AC933" s="117" t="s">
        <v>1976</v>
      </c>
      <c r="AD933" s="117" t="n">
        <v>310300</v>
      </c>
      <c r="AE933" s="117" t="s">
        <v>1969</v>
      </c>
      <c r="AF933" s="117" t="n">
        <v>101105</v>
      </c>
      <c r="AG933" s="117" t="s">
        <v>1977</v>
      </c>
      <c r="AI933" s="117" t="n">
        <v>101105</v>
      </c>
      <c r="AJ933" s="117" t="s">
        <v>1977</v>
      </c>
      <c r="AK933" s="117" t="n">
        <v>0</v>
      </c>
      <c r="AL933" s="117" t="n">
        <v>19</v>
      </c>
      <c r="AM933" s="117" t="s">
        <v>225</v>
      </c>
      <c r="AN933" s="117" t="s">
        <v>1978</v>
      </c>
      <c r="AP933" s="117" t="n">
        <v>100162620</v>
      </c>
      <c r="AQ933" s="118" t="n">
        <v>43792</v>
      </c>
      <c r="AR933" s="118" t="n">
        <v>43783</v>
      </c>
      <c r="AS933" s="117" t="n">
        <v>0.515613425925926</v>
      </c>
      <c r="AT933" s="117" t="n">
        <v>0</v>
      </c>
      <c r="AU933" s="117" t="n">
        <v>0</v>
      </c>
      <c r="AX933" s="117" t="n">
        <v>2</v>
      </c>
    </row>
    <row r="934" s="106" customFormat="true" ht="13.8" hidden="true" customHeight="false" outlineLevel="0" collapsed="false">
      <c r="A934" s="106" t="n">
        <v>1000</v>
      </c>
      <c r="B934" s="106" t="s">
        <v>1962</v>
      </c>
      <c r="C934" s="106" t="n">
        <v>112998</v>
      </c>
      <c r="D934" s="106" t="s">
        <v>2504</v>
      </c>
      <c r="E934" s="106" t="s">
        <v>1970</v>
      </c>
      <c r="F934" s="106" t="n">
        <v>1109</v>
      </c>
      <c r="G934" s="106" t="n">
        <v>2019</v>
      </c>
      <c r="H934" s="106" t="n">
        <v>11</v>
      </c>
      <c r="I934" s="129" t="n">
        <v>43883</v>
      </c>
      <c r="J934" s="129" t="n">
        <v>43883</v>
      </c>
      <c r="K934" s="107" t="n">
        <v>1424188.53</v>
      </c>
      <c r="L934" s="130" t="n">
        <f aca="false">K934-Q934+T934</f>
        <v>1206939.43</v>
      </c>
      <c r="M934" s="106" t="s">
        <v>149</v>
      </c>
      <c r="N934" s="106" t="n">
        <v>1424188.53</v>
      </c>
      <c r="O934" s="106" t="s">
        <v>149</v>
      </c>
      <c r="P934" s="106" t="n">
        <v>0</v>
      </c>
      <c r="Q934" s="107" t="n">
        <v>217249.1</v>
      </c>
      <c r="R934" s="106" t="n">
        <v>1206939.43</v>
      </c>
      <c r="S934" s="106" t="n">
        <v>0</v>
      </c>
      <c r="T934" s="106" t="n">
        <v>0</v>
      </c>
      <c r="U934" s="106" t="n">
        <v>312193</v>
      </c>
      <c r="V934" s="106" t="s">
        <v>1963</v>
      </c>
      <c r="Z934" s="106" t="n">
        <v>62774</v>
      </c>
      <c r="AB934" s="106" t="s">
        <v>2477</v>
      </c>
      <c r="AD934" s="106" t="n">
        <v>110000</v>
      </c>
      <c r="AE934" s="106" t="s">
        <v>1966</v>
      </c>
      <c r="AF934" s="106" t="n">
        <v>501005</v>
      </c>
      <c r="AG934" s="106" t="s">
        <v>2033</v>
      </c>
      <c r="AI934" s="106" t="n">
        <v>501005</v>
      </c>
      <c r="AJ934" s="106" t="s">
        <v>2033</v>
      </c>
      <c r="AK934" s="106" t="n">
        <v>0</v>
      </c>
      <c r="AL934" s="106" t="n">
        <v>1</v>
      </c>
      <c r="AM934" s="106" t="s">
        <v>161</v>
      </c>
      <c r="AQ934" s="129"/>
      <c r="AR934" s="129" t="n">
        <v>43883</v>
      </c>
      <c r="AS934" s="106" t="n">
        <v>0.6884375</v>
      </c>
      <c r="AT934" s="106" t="n">
        <v>0</v>
      </c>
      <c r="AU934" s="106" t="n">
        <v>0</v>
      </c>
      <c r="AX934" s="106" t="n">
        <v>1</v>
      </c>
      <c r="ALU934" s="0"/>
      <c r="ALV934" s="0"/>
      <c r="ALW934" s="0"/>
      <c r="ALX934" s="0"/>
      <c r="ALY934" s="0"/>
      <c r="ALZ934" s="0"/>
      <c r="AMA934" s="0"/>
      <c r="AMB934" s="0"/>
      <c r="AMC934" s="0"/>
      <c r="AMD934" s="0"/>
      <c r="AME934" s="0"/>
      <c r="AMF934" s="0"/>
      <c r="AMG934" s="0"/>
      <c r="AMH934" s="0"/>
      <c r="AMI934" s="0"/>
      <c r="AMJ934" s="0"/>
    </row>
    <row r="935" s="106" customFormat="true" ht="13.8" hidden="true" customHeight="false" outlineLevel="0" collapsed="false">
      <c r="A935" s="106" t="n">
        <v>1000</v>
      </c>
      <c r="B935" s="106" t="s">
        <v>1962</v>
      </c>
      <c r="C935" s="106" t="n">
        <v>112999</v>
      </c>
      <c r="D935" s="106" t="s">
        <v>2505</v>
      </c>
      <c r="E935" s="106" t="s">
        <v>1970</v>
      </c>
      <c r="F935" s="106" t="n">
        <v>1109</v>
      </c>
      <c r="G935" s="106" t="n">
        <v>2019</v>
      </c>
      <c r="H935" s="106" t="n">
        <v>11</v>
      </c>
      <c r="I935" s="129" t="n">
        <v>43883</v>
      </c>
      <c r="J935" s="129" t="n">
        <v>43883</v>
      </c>
      <c r="K935" s="107" t="n">
        <v>108808.66</v>
      </c>
      <c r="L935" s="130" t="n">
        <f aca="false">K935-Q935+T935</f>
        <v>92210.73</v>
      </c>
      <c r="M935" s="106" t="s">
        <v>149</v>
      </c>
      <c r="N935" s="106" t="n">
        <v>108808.66</v>
      </c>
      <c r="O935" s="106" t="s">
        <v>149</v>
      </c>
      <c r="P935" s="106" t="n">
        <v>0</v>
      </c>
      <c r="Q935" s="107" t="n">
        <v>16597.93</v>
      </c>
      <c r="R935" s="106" t="n">
        <v>92210.73</v>
      </c>
      <c r="S935" s="106" t="n">
        <v>0</v>
      </c>
      <c r="T935" s="106" t="n">
        <v>0</v>
      </c>
      <c r="U935" s="106" t="n">
        <v>312193</v>
      </c>
      <c r="V935" s="106" t="s">
        <v>1963</v>
      </c>
      <c r="Z935" s="106" t="n">
        <v>62772</v>
      </c>
      <c r="AB935" s="106" t="s">
        <v>2477</v>
      </c>
      <c r="AD935" s="106" t="n">
        <v>110000</v>
      </c>
      <c r="AE935" s="106" t="s">
        <v>1966</v>
      </c>
      <c r="AF935" s="106" t="n">
        <v>501005</v>
      </c>
      <c r="AG935" s="106" t="s">
        <v>2033</v>
      </c>
      <c r="AI935" s="106" t="n">
        <v>501005</v>
      </c>
      <c r="AJ935" s="106" t="s">
        <v>2033</v>
      </c>
      <c r="AK935" s="106" t="n">
        <v>0</v>
      </c>
      <c r="AL935" s="106" t="n">
        <v>1</v>
      </c>
      <c r="AM935" s="106" t="s">
        <v>161</v>
      </c>
      <c r="AQ935" s="129"/>
      <c r="AR935" s="129" t="n">
        <v>43883</v>
      </c>
      <c r="AS935" s="106" t="n">
        <v>0.689259259259259</v>
      </c>
      <c r="AT935" s="106" t="n">
        <v>0</v>
      </c>
      <c r="AU935" s="106" t="n">
        <v>0</v>
      </c>
      <c r="AX935" s="106" t="n">
        <v>1</v>
      </c>
      <c r="ALU935" s="0"/>
      <c r="ALV935" s="0"/>
      <c r="ALW935" s="0"/>
      <c r="ALX935" s="0"/>
      <c r="ALY935" s="0"/>
      <c r="ALZ935" s="0"/>
      <c r="AMA935" s="0"/>
      <c r="AMB935" s="0"/>
      <c r="AMC935" s="0"/>
      <c r="AMD935" s="0"/>
      <c r="AME935" s="0"/>
      <c r="AMF935" s="0"/>
      <c r="AMG935" s="0"/>
      <c r="AMH935" s="0"/>
      <c r="AMI935" s="0"/>
      <c r="AMJ935" s="0"/>
    </row>
    <row r="936" s="106" customFormat="true" ht="13.8" hidden="true" customHeight="false" outlineLevel="0" collapsed="false">
      <c r="A936" s="106" t="n">
        <v>1000</v>
      </c>
      <c r="B936" s="106" t="s">
        <v>1962</v>
      </c>
      <c r="C936" s="106" t="n">
        <v>113000</v>
      </c>
      <c r="D936" s="106" t="s">
        <v>2506</v>
      </c>
      <c r="E936" s="106" t="s">
        <v>1970</v>
      </c>
      <c r="F936" s="106" t="n">
        <v>1109</v>
      </c>
      <c r="G936" s="106" t="n">
        <v>2019</v>
      </c>
      <c r="H936" s="106" t="n">
        <v>11</v>
      </c>
      <c r="I936" s="129" t="n">
        <v>43883</v>
      </c>
      <c r="J936" s="129" t="n">
        <v>43883</v>
      </c>
      <c r="K936" s="107" t="n">
        <v>1183357.76</v>
      </c>
      <c r="L936" s="130" t="n">
        <f aca="false">K936-Q936+T936</f>
        <v>1002845.56</v>
      </c>
      <c r="M936" s="106" t="s">
        <v>149</v>
      </c>
      <c r="N936" s="106" t="n">
        <v>1183357.76</v>
      </c>
      <c r="O936" s="106" t="s">
        <v>149</v>
      </c>
      <c r="P936" s="106" t="n">
        <v>0</v>
      </c>
      <c r="Q936" s="107" t="n">
        <v>180512.2</v>
      </c>
      <c r="R936" s="106" t="n">
        <v>1002845.56</v>
      </c>
      <c r="S936" s="106" t="n">
        <v>0</v>
      </c>
      <c r="T936" s="106" t="n">
        <v>0</v>
      </c>
      <c r="U936" s="106" t="n">
        <v>312193</v>
      </c>
      <c r="V936" s="106" t="s">
        <v>1963</v>
      </c>
      <c r="Z936" s="106" t="n">
        <v>62773</v>
      </c>
      <c r="AB936" s="106" t="s">
        <v>2477</v>
      </c>
      <c r="AD936" s="106" t="n">
        <v>110000</v>
      </c>
      <c r="AE936" s="106" t="s">
        <v>1966</v>
      </c>
      <c r="AF936" s="106" t="n">
        <v>501005</v>
      </c>
      <c r="AG936" s="106" t="s">
        <v>2033</v>
      </c>
      <c r="AI936" s="106" t="n">
        <v>501005</v>
      </c>
      <c r="AJ936" s="106" t="s">
        <v>2033</v>
      </c>
      <c r="AK936" s="106" t="n">
        <v>0</v>
      </c>
      <c r="AL936" s="106" t="n">
        <v>1</v>
      </c>
      <c r="AM936" s="106" t="s">
        <v>161</v>
      </c>
      <c r="AQ936" s="129"/>
      <c r="AR936" s="129" t="n">
        <v>43883</v>
      </c>
      <c r="AS936" s="106" t="n">
        <v>0.689872685185185</v>
      </c>
      <c r="AT936" s="106" t="n">
        <v>0</v>
      </c>
      <c r="AU936" s="106" t="n">
        <v>0</v>
      </c>
      <c r="AX936" s="106" t="n">
        <v>1</v>
      </c>
      <c r="ALU936" s="0"/>
      <c r="ALV936" s="0"/>
      <c r="ALW936" s="0"/>
      <c r="ALX936" s="0"/>
      <c r="ALY936" s="0"/>
      <c r="ALZ936" s="0"/>
      <c r="AMA936" s="0"/>
      <c r="AMB936" s="0"/>
      <c r="AMC936" s="0"/>
      <c r="AMD936" s="0"/>
      <c r="AME936" s="0"/>
      <c r="AMF936" s="0"/>
      <c r="AMG936" s="0"/>
      <c r="AMH936" s="0"/>
      <c r="AMI936" s="0"/>
      <c r="AMJ936" s="0"/>
    </row>
    <row r="937" customFormat="false" ht="13.8" hidden="true" customHeight="false" outlineLevel="0" collapsed="false">
      <c r="A937" s="117" t="n">
        <v>1000</v>
      </c>
      <c r="B937" s="117" t="s">
        <v>1962</v>
      </c>
      <c r="C937" s="117" t="n">
        <v>100162620</v>
      </c>
      <c r="E937" s="117" t="s">
        <v>1921</v>
      </c>
      <c r="F937" s="117" t="n">
        <v>1106</v>
      </c>
      <c r="G937" s="117" t="n">
        <v>2019</v>
      </c>
      <c r="H937" s="117" t="n">
        <v>8</v>
      </c>
      <c r="I937" s="118" t="n">
        <v>43792</v>
      </c>
      <c r="J937" s="118" t="n">
        <v>43792</v>
      </c>
      <c r="K937" s="119" t="n">
        <v>506582.87</v>
      </c>
      <c r="L937" s="128" t="n">
        <f aca="false">K937-Q937+T937</f>
        <v>506582.87</v>
      </c>
      <c r="M937" s="117" t="s">
        <v>149</v>
      </c>
      <c r="N937" s="117" t="n">
        <v>506582.87</v>
      </c>
      <c r="O937" s="117" t="s">
        <v>149</v>
      </c>
      <c r="P937" s="117" t="n">
        <v>0</v>
      </c>
      <c r="Q937" s="117" t="n">
        <v>0</v>
      </c>
      <c r="R937" s="117" t="n">
        <v>506582.87</v>
      </c>
      <c r="S937" s="117" t="n">
        <v>0</v>
      </c>
      <c r="T937" s="117" t="n">
        <v>0</v>
      </c>
      <c r="U937" s="117" t="n">
        <v>313029</v>
      </c>
      <c r="V937" s="117" t="s">
        <v>143</v>
      </c>
      <c r="Z937" s="117" t="n">
        <v>100162620</v>
      </c>
      <c r="AD937" s="117" t="n">
        <v>310300</v>
      </c>
      <c r="AE937" s="117" t="s">
        <v>1969</v>
      </c>
      <c r="AF937" s="117" t="n">
        <v>110000</v>
      </c>
      <c r="AG937" s="117" t="s">
        <v>1966</v>
      </c>
      <c r="AI937" s="117" t="n">
        <v>110000</v>
      </c>
      <c r="AJ937" s="117" t="s">
        <v>1966</v>
      </c>
      <c r="AK937" s="117" t="n">
        <v>0</v>
      </c>
      <c r="AL937" s="117" t="n">
        <v>9</v>
      </c>
      <c r="AM937" s="117" t="s">
        <v>161</v>
      </c>
      <c r="AN937" s="117" t="s">
        <v>1978</v>
      </c>
      <c r="AP937" s="117" t="n">
        <v>100162620</v>
      </c>
      <c r="AQ937" s="118" t="n">
        <v>43792</v>
      </c>
      <c r="AR937" s="118" t="n">
        <v>43792</v>
      </c>
      <c r="AS937" s="117" t="n">
        <v>0.671064814814815</v>
      </c>
      <c r="AT937" s="117" t="n">
        <v>0</v>
      </c>
      <c r="AU937" s="117" t="n">
        <v>0</v>
      </c>
      <c r="AX937" s="117" t="n">
        <v>4</v>
      </c>
    </row>
    <row r="938" customFormat="false" ht="13.8" hidden="true" customHeight="false" outlineLevel="0" collapsed="false">
      <c r="A938" s="117" t="n">
        <v>1000</v>
      </c>
      <c r="B938" s="117" t="s">
        <v>1962</v>
      </c>
      <c r="C938" s="117" t="n">
        <v>100141449</v>
      </c>
      <c r="E938" s="117" t="s">
        <v>1921</v>
      </c>
      <c r="F938" s="117" t="n">
        <v>1109</v>
      </c>
      <c r="G938" s="117" t="n">
        <v>2019</v>
      </c>
      <c r="H938" s="117" t="n">
        <v>7</v>
      </c>
      <c r="I938" s="118" t="n">
        <v>43766</v>
      </c>
      <c r="J938" s="118" t="n">
        <v>43766</v>
      </c>
      <c r="K938" s="119" t="n">
        <v>4248</v>
      </c>
      <c r="L938" s="128" t="n">
        <f aca="false">K938-Q938+T938</f>
        <v>4248</v>
      </c>
      <c r="M938" s="117" t="s">
        <v>149</v>
      </c>
      <c r="N938" s="117" t="n">
        <v>4248</v>
      </c>
      <c r="O938" s="117" t="s">
        <v>149</v>
      </c>
      <c r="P938" s="117" t="n">
        <v>0</v>
      </c>
      <c r="Q938" s="117" t="n">
        <v>0</v>
      </c>
      <c r="R938" s="117" t="n">
        <v>4248</v>
      </c>
      <c r="S938" s="117" t="n">
        <v>0</v>
      </c>
      <c r="T938" s="117" t="n">
        <v>0</v>
      </c>
      <c r="U938" s="117" t="n">
        <v>312193</v>
      </c>
      <c r="V938" s="117" t="s">
        <v>1963</v>
      </c>
      <c r="X938" s="117" t="s">
        <v>1813</v>
      </c>
      <c r="Z938" s="117" t="n">
        <v>60959</v>
      </c>
      <c r="AB938" s="117" t="s">
        <v>2124</v>
      </c>
      <c r="AD938" s="117" t="n">
        <v>110000</v>
      </c>
      <c r="AE938" s="117" t="s">
        <v>1966</v>
      </c>
      <c r="AF938" s="117" t="n">
        <v>110000</v>
      </c>
      <c r="AG938" s="117" t="s">
        <v>1966</v>
      </c>
      <c r="AI938" s="117" t="n">
        <v>110000</v>
      </c>
      <c r="AJ938" s="117" t="s">
        <v>1966</v>
      </c>
      <c r="AK938" s="117" t="n">
        <v>0</v>
      </c>
      <c r="AL938" s="117" t="n">
        <v>4</v>
      </c>
      <c r="AM938" s="117" t="s">
        <v>161</v>
      </c>
      <c r="AR938" s="118" t="n">
        <v>43766</v>
      </c>
      <c r="AS938" s="117" t="n">
        <v>0.371388888888889</v>
      </c>
      <c r="AT938" s="117" t="n">
        <v>0</v>
      </c>
      <c r="AU938" s="117" t="n">
        <v>0</v>
      </c>
      <c r="AX938" s="117" t="n">
        <v>11</v>
      </c>
    </row>
    <row r="939" s="106" customFormat="true" ht="13.8" hidden="true" customHeight="false" outlineLevel="0" collapsed="false">
      <c r="A939" s="106" t="n">
        <v>1000</v>
      </c>
      <c r="B939" s="106" t="s">
        <v>1962</v>
      </c>
      <c r="C939" s="106" t="n">
        <v>110181</v>
      </c>
      <c r="D939" s="106" t="s">
        <v>2443</v>
      </c>
      <c r="E939" s="106" t="s">
        <v>1970</v>
      </c>
      <c r="F939" s="106" t="n">
        <v>1112</v>
      </c>
      <c r="G939" s="106" t="n">
        <v>2019</v>
      </c>
      <c r="H939" s="106" t="n">
        <v>9</v>
      </c>
      <c r="I939" s="129" t="n">
        <v>43813</v>
      </c>
      <c r="J939" s="129" t="n">
        <v>43813</v>
      </c>
      <c r="K939" s="107" t="n">
        <v>92084.84</v>
      </c>
      <c r="L939" s="130" t="n">
        <f aca="false">K939-Q939+T939</f>
        <v>78038</v>
      </c>
      <c r="M939" s="106" t="s">
        <v>149</v>
      </c>
      <c r="N939" s="106" t="n">
        <v>92084.84</v>
      </c>
      <c r="O939" s="106" t="s">
        <v>149</v>
      </c>
      <c r="P939" s="106" t="n">
        <v>0</v>
      </c>
      <c r="Q939" s="107" t="n">
        <v>14046.84</v>
      </c>
      <c r="R939" s="106" t="n">
        <v>78038</v>
      </c>
      <c r="S939" s="106" t="n">
        <v>0</v>
      </c>
      <c r="T939" s="106" t="n">
        <v>0</v>
      </c>
      <c r="U939" s="106" t="n">
        <v>312193</v>
      </c>
      <c r="V939" s="106" t="s">
        <v>1963</v>
      </c>
      <c r="Z939" s="106" t="n">
        <v>62187</v>
      </c>
      <c r="AB939" s="106" t="s">
        <v>2350</v>
      </c>
      <c r="AD939" s="106" t="n">
        <v>110000</v>
      </c>
      <c r="AE939" s="106" t="s">
        <v>1966</v>
      </c>
      <c r="AF939" s="106" t="n">
        <v>501000</v>
      </c>
      <c r="AG939" s="106" t="s">
        <v>2170</v>
      </c>
      <c r="AI939" s="106" t="n">
        <v>501000</v>
      </c>
      <c r="AJ939" s="106" t="s">
        <v>2170</v>
      </c>
      <c r="AK939" s="106" t="n">
        <v>0</v>
      </c>
      <c r="AL939" s="106" t="n">
        <v>1</v>
      </c>
      <c r="AM939" s="106" t="s">
        <v>161</v>
      </c>
      <c r="AP939" s="106" t="n">
        <v>100194025</v>
      </c>
      <c r="AQ939" s="129" t="n">
        <v>43824</v>
      </c>
      <c r="AR939" s="129" t="n">
        <v>43813</v>
      </c>
      <c r="AS939" s="106" t="n">
        <v>0.752662037037037</v>
      </c>
      <c r="AT939" s="106" t="n">
        <v>0</v>
      </c>
      <c r="AU939" s="106" t="n">
        <v>0</v>
      </c>
      <c r="AX939" s="106" t="n">
        <v>1</v>
      </c>
      <c r="ALU939" s="0"/>
      <c r="ALV939" s="0"/>
      <c r="ALW939" s="0"/>
      <c r="ALX939" s="0"/>
      <c r="ALY939" s="0"/>
      <c r="ALZ939" s="0"/>
      <c r="AMA939" s="0"/>
      <c r="AMB939" s="0"/>
      <c r="AMC939" s="0"/>
      <c r="AMD939" s="0"/>
      <c r="AME939" s="0"/>
      <c r="AMF939" s="0"/>
      <c r="AMG939" s="0"/>
      <c r="AMH939" s="0"/>
      <c r="AMI939" s="0"/>
      <c r="AMJ939" s="0"/>
    </row>
    <row r="940" customFormat="false" ht="13.8" hidden="true" customHeight="false" outlineLevel="0" collapsed="false">
      <c r="A940" s="117" t="n">
        <v>1000</v>
      </c>
      <c r="B940" s="117" t="s">
        <v>1962</v>
      </c>
      <c r="C940" s="117" t="n">
        <v>1600000292</v>
      </c>
      <c r="D940" s="117" t="s">
        <v>2354</v>
      </c>
      <c r="E940" s="117" t="s">
        <v>1987</v>
      </c>
      <c r="F940" s="117" t="n">
        <v>1101</v>
      </c>
      <c r="G940" s="117" t="n">
        <v>2019</v>
      </c>
      <c r="H940" s="117" t="n">
        <v>8</v>
      </c>
      <c r="I940" s="118" t="n">
        <v>43796</v>
      </c>
      <c r="J940" s="118" t="n">
        <v>43796</v>
      </c>
      <c r="K940" s="119" t="n">
        <v>-247</v>
      </c>
      <c r="L940" s="128" t="n">
        <f aca="false">K940-Q940+T940</f>
        <v>-247</v>
      </c>
      <c r="M940" s="117" t="s">
        <v>149</v>
      </c>
      <c r="N940" s="117" t="n">
        <v>-247</v>
      </c>
      <c r="O940" s="117" t="s">
        <v>149</v>
      </c>
      <c r="P940" s="117" t="n">
        <v>-247</v>
      </c>
      <c r="Q940" s="117" t="n">
        <v>0</v>
      </c>
      <c r="R940" s="117" t="n">
        <v>-247</v>
      </c>
      <c r="S940" s="117" t="n">
        <v>0</v>
      </c>
      <c r="T940" s="117" t="n">
        <v>0</v>
      </c>
      <c r="U940" s="117" t="n">
        <v>312193</v>
      </c>
      <c r="V940" s="117" t="s">
        <v>1963</v>
      </c>
      <c r="X940" s="117" t="s">
        <v>2481</v>
      </c>
      <c r="Y940" s="117" t="s">
        <v>2388</v>
      </c>
      <c r="Z940" s="117" t="n">
        <v>1600000292</v>
      </c>
      <c r="AD940" s="117" t="n">
        <v>310300</v>
      </c>
      <c r="AE940" s="117" t="s">
        <v>1969</v>
      </c>
      <c r="AF940" s="117" t="n">
        <v>111201</v>
      </c>
      <c r="AG940" s="117" t="s">
        <v>2165</v>
      </c>
      <c r="AI940" s="117" t="n">
        <v>111201</v>
      </c>
      <c r="AJ940" s="117" t="s">
        <v>2165</v>
      </c>
      <c r="AK940" s="117" t="n">
        <v>0</v>
      </c>
      <c r="AL940" s="117" t="n">
        <v>19</v>
      </c>
      <c r="AM940" s="117" t="s">
        <v>225</v>
      </c>
      <c r="AN940" s="117" t="s">
        <v>1978</v>
      </c>
      <c r="AR940" s="118" t="n">
        <v>43796</v>
      </c>
      <c r="AS940" s="117" t="n">
        <v>0.267407407407407</v>
      </c>
      <c r="AT940" s="117" t="n">
        <v>0</v>
      </c>
      <c r="AU940" s="117" t="n">
        <v>0</v>
      </c>
      <c r="AX940" s="117" t="n">
        <v>9</v>
      </c>
    </row>
    <row r="941" s="106" customFormat="true" ht="13.8" hidden="true" customHeight="false" outlineLevel="0" collapsed="false">
      <c r="A941" s="106" t="n">
        <v>1000</v>
      </c>
      <c r="B941" s="106" t="s">
        <v>1962</v>
      </c>
      <c r="C941" s="106" t="n">
        <v>113001</v>
      </c>
      <c r="D941" s="106" t="s">
        <v>2507</v>
      </c>
      <c r="E941" s="106" t="s">
        <v>1970</v>
      </c>
      <c r="F941" s="106" t="n">
        <v>1109</v>
      </c>
      <c r="G941" s="106" t="n">
        <v>2019</v>
      </c>
      <c r="H941" s="106" t="n">
        <v>11</v>
      </c>
      <c r="I941" s="129" t="n">
        <v>43883</v>
      </c>
      <c r="J941" s="129" t="n">
        <v>43883</v>
      </c>
      <c r="K941" s="107" t="n">
        <v>252860.02</v>
      </c>
      <c r="L941" s="130" t="n">
        <f aca="false">K941-Q941+T941</f>
        <v>214288.15</v>
      </c>
      <c r="M941" s="106" t="s">
        <v>149</v>
      </c>
      <c r="N941" s="106" t="n">
        <v>252860.02</v>
      </c>
      <c r="O941" s="106" t="s">
        <v>149</v>
      </c>
      <c r="P941" s="106" t="n">
        <v>0</v>
      </c>
      <c r="Q941" s="107" t="n">
        <v>38571.87</v>
      </c>
      <c r="R941" s="106" t="n">
        <v>214288.15</v>
      </c>
      <c r="S941" s="106" t="n">
        <v>0</v>
      </c>
      <c r="T941" s="106" t="n">
        <v>0</v>
      </c>
      <c r="U941" s="106" t="n">
        <v>312193</v>
      </c>
      <c r="V941" s="106" t="s">
        <v>1963</v>
      </c>
      <c r="Z941" s="106" t="n">
        <v>62805</v>
      </c>
      <c r="AB941" s="106" t="s">
        <v>2477</v>
      </c>
      <c r="AD941" s="106" t="n">
        <v>110000</v>
      </c>
      <c r="AE941" s="106" t="s">
        <v>1966</v>
      </c>
      <c r="AF941" s="106" t="n">
        <v>501005</v>
      </c>
      <c r="AG941" s="106" t="s">
        <v>2033</v>
      </c>
      <c r="AI941" s="106" t="n">
        <v>501005</v>
      </c>
      <c r="AJ941" s="106" t="s">
        <v>2033</v>
      </c>
      <c r="AK941" s="106" t="n">
        <v>0</v>
      </c>
      <c r="AL941" s="106" t="n">
        <v>1</v>
      </c>
      <c r="AM941" s="106" t="s">
        <v>161</v>
      </c>
      <c r="AQ941" s="129"/>
      <c r="AR941" s="129" t="n">
        <v>43883</v>
      </c>
      <c r="AS941" s="106" t="n">
        <v>0.691064814814815</v>
      </c>
      <c r="AT941" s="106" t="n">
        <v>0</v>
      </c>
      <c r="AU941" s="106" t="n">
        <v>0</v>
      </c>
      <c r="AX941" s="106" t="n">
        <v>1</v>
      </c>
      <c r="ALU941" s="0"/>
      <c r="ALV941" s="0"/>
      <c r="ALW941" s="0"/>
      <c r="ALX941" s="0"/>
      <c r="ALY941" s="0"/>
      <c r="ALZ941" s="0"/>
      <c r="AMA941" s="0"/>
      <c r="AMB941" s="0"/>
      <c r="AMC941" s="0"/>
      <c r="AMD941" s="0"/>
      <c r="AME941" s="0"/>
      <c r="AMF941" s="0"/>
      <c r="AMG941" s="0"/>
      <c r="AMH941" s="0"/>
      <c r="AMI941" s="0"/>
      <c r="AMJ941" s="0"/>
    </row>
    <row r="942" customFormat="false" ht="13.8" hidden="true" customHeight="false" outlineLevel="0" collapsed="false">
      <c r="A942" s="117" t="n">
        <v>1000</v>
      </c>
      <c r="B942" s="117" t="s">
        <v>1962</v>
      </c>
      <c r="C942" s="117" t="n">
        <v>100173333</v>
      </c>
      <c r="E942" s="117" t="s">
        <v>1921</v>
      </c>
      <c r="F942" s="117" t="n">
        <v>1101</v>
      </c>
      <c r="G942" s="117" t="n">
        <v>2019</v>
      </c>
      <c r="H942" s="117" t="n">
        <v>8</v>
      </c>
      <c r="I942" s="118" t="n">
        <v>43799</v>
      </c>
      <c r="J942" s="118" t="n">
        <v>43799</v>
      </c>
      <c r="K942" s="119" t="n">
        <v>6325</v>
      </c>
      <c r="L942" s="128" t="n">
        <f aca="false">K942-Q942+T942</f>
        <v>6325</v>
      </c>
      <c r="M942" s="117" t="s">
        <v>149</v>
      </c>
      <c r="N942" s="117" t="n">
        <v>6325</v>
      </c>
      <c r="O942" s="117" t="s">
        <v>149</v>
      </c>
      <c r="P942" s="117" t="n">
        <v>0</v>
      </c>
      <c r="Q942" s="117" t="n">
        <v>0</v>
      </c>
      <c r="R942" s="117" t="n">
        <v>6325</v>
      </c>
      <c r="S942" s="117" t="n">
        <v>0</v>
      </c>
      <c r="T942" s="117" t="n">
        <v>0</v>
      </c>
      <c r="U942" s="117" t="n">
        <v>318169</v>
      </c>
      <c r="V942" s="117" t="s">
        <v>2158</v>
      </c>
      <c r="Z942" s="117" t="n">
        <v>100173333</v>
      </c>
      <c r="AD942" s="117" t="n">
        <v>310300</v>
      </c>
      <c r="AE942" s="117" t="s">
        <v>1969</v>
      </c>
      <c r="AF942" s="117" t="n">
        <v>110000</v>
      </c>
      <c r="AG942" s="117" t="s">
        <v>1966</v>
      </c>
      <c r="AI942" s="117" t="n">
        <v>110000</v>
      </c>
      <c r="AJ942" s="117" t="s">
        <v>1966</v>
      </c>
      <c r="AK942" s="117" t="n">
        <v>0</v>
      </c>
      <c r="AL942" s="117" t="n">
        <v>9</v>
      </c>
      <c r="AM942" s="117" t="s">
        <v>161</v>
      </c>
      <c r="AN942" s="117" t="s">
        <v>1978</v>
      </c>
      <c r="AP942" s="117" t="n">
        <v>100173333</v>
      </c>
      <c r="AQ942" s="118" t="n">
        <v>43799</v>
      </c>
      <c r="AR942" s="118" t="n">
        <v>43800</v>
      </c>
      <c r="AS942" s="117" t="n">
        <v>0.56599537037037</v>
      </c>
      <c r="AT942" s="117" t="n">
        <v>0</v>
      </c>
      <c r="AU942" s="117" t="n">
        <v>0</v>
      </c>
      <c r="AX942" s="117" t="n">
        <v>2</v>
      </c>
    </row>
    <row r="943" customFormat="false" ht="13.8" hidden="true" customHeight="false" outlineLevel="0" collapsed="false">
      <c r="A943" s="117" t="n">
        <v>1000</v>
      </c>
      <c r="B943" s="117" t="s">
        <v>1962</v>
      </c>
      <c r="C943" s="117" t="n">
        <v>100141449</v>
      </c>
      <c r="E943" s="117" t="s">
        <v>1921</v>
      </c>
      <c r="F943" s="117" t="n">
        <v>1109</v>
      </c>
      <c r="G943" s="117" t="n">
        <v>2019</v>
      </c>
      <c r="H943" s="117" t="n">
        <v>7</v>
      </c>
      <c r="I943" s="118" t="n">
        <v>43766</v>
      </c>
      <c r="J943" s="118" t="n">
        <v>43766</v>
      </c>
      <c r="K943" s="119" t="n">
        <v>142649.54</v>
      </c>
      <c r="L943" s="128" t="n">
        <f aca="false">K943-Q943+T943</f>
        <v>142649.54</v>
      </c>
      <c r="M943" s="117" t="s">
        <v>149</v>
      </c>
      <c r="N943" s="117" t="n">
        <v>142649.54</v>
      </c>
      <c r="O943" s="117" t="s">
        <v>149</v>
      </c>
      <c r="P943" s="117" t="n">
        <v>0</v>
      </c>
      <c r="Q943" s="117" t="n">
        <v>0</v>
      </c>
      <c r="R943" s="117" t="n">
        <v>142649.54</v>
      </c>
      <c r="S943" s="117" t="n">
        <v>0</v>
      </c>
      <c r="T943" s="117" t="n">
        <v>0</v>
      </c>
      <c r="U943" s="117" t="n">
        <v>312193</v>
      </c>
      <c r="V943" s="117" t="s">
        <v>1963</v>
      </c>
      <c r="X943" s="117" t="s">
        <v>1822</v>
      </c>
      <c r="Z943" s="117" t="n">
        <v>60960</v>
      </c>
      <c r="AB943" s="117" t="s">
        <v>2124</v>
      </c>
      <c r="AD943" s="117" t="n">
        <v>110000</v>
      </c>
      <c r="AE943" s="117" t="s">
        <v>1966</v>
      </c>
      <c r="AF943" s="117" t="n">
        <v>110000</v>
      </c>
      <c r="AG943" s="117" t="s">
        <v>1966</v>
      </c>
      <c r="AI943" s="117" t="n">
        <v>110000</v>
      </c>
      <c r="AJ943" s="117" t="s">
        <v>1966</v>
      </c>
      <c r="AK943" s="117" t="n">
        <v>0</v>
      </c>
      <c r="AL943" s="117" t="n">
        <v>4</v>
      </c>
      <c r="AM943" s="117" t="s">
        <v>161</v>
      </c>
      <c r="AR943" s="118" t="n">
        <v>43766</v>
      </c>
      <c r="AS943" s="117" t="n">
        <v>0.371388888888889</v>
      </c>
      <c r="AT943" s="117" t="n">
        <v>0</v>
      </c>
      <c r="AU943" s="117" t="n">
        <v>0</v>
      </c>
      <c r="AX943" s="117" t="n">
        <v>14</v>
      </c>
    </row>
    <row r="944" s="106" customFormat="true" ht="13.8" hidden="true" customHeight="false" outlineLevel="0" collapsed="false">
      <c r="A944" s="106" t="n">
        <v>1000</v>
      </c>
      <c r="B944" s="106" t="s">
        <v>1962</v>
      </c>
      <c r="C944" s="106" t="n">
        <v>109743</v>
      </c>
      <c r="D944" s="106" t="s">
        <v>1648</v>
      </c>
      <c r="E944" s="106" t="s">
        <v>1970</v>
      </c>
      <c r="F944" s="106" t="n">
        <v>1108</v>
      </c>
      <c r="G944" s="106" t="n">
        <v>2019</v>
      </c>
      <c r="H944" s="106" t="n">
        <v>8</v>
      </c>
      <c r="I944" s="129" t="n">
        <v>43799</v>
      </c>
      <c r="J944" s="129" t="n">
        <v>43799</v>
      </c>
      <c r="K944" s="107" t="n">
        <v>100485.26</v>
      </c>
      <c r="L944" s="130" t="n">
        <f aca="false">K944-Q944+T944</f>
        <v>85157</v>
      </c>
      <c r="M944" s="106" t="s">
        <v>149</v>
      </c>
      <c r="N944" s="106" t="n">
        <v>100485.26</v>
      </c>
      <c r="O944" s="106" t="s">
        <v>149</v>
      </c>
      <c r="P944" s="106" t="n">
        <v>0</v>
      </c>
      <c r="Q944" s="107" t="n">
        <v>15328.26</v>
      </c>
      <c r="R944" s="106" t="n">
        <v>85157</v>
      </c>
      <c r="S944" s="106" t="n">
        <v>0</v>
      </c>
      <c r="T944" s="106" t="n">
        <v>0</v>
      </c>
      <c r="U944" s="106" t="n">
        <v>312193</v>
      </c>
      <c r="V944" s="106" t="s">
        <v>1963</v>
      </c>
      <c r="Z944" s="106" t="n">
        <v>61995</v>
      </c>
      <c r="AB944" s="106" t="s">
        <v>2109</v>
      </c>
      <c r="AD944" s="106" t="n">
        <v>110000</v>
      </c>
      <c r="AE944" s="106" t="s">
        <v>1966</v>
      </c>
      <c r="AF944" s="106" t="n">
        <v>501005</v>
      </c>
      <c r="AG944" s="106" t="s">
        <v>2033</v>
      </c>
      <c r="AI944" s="106" t="n">
        <v>501005</v>
      </c>
      <c r="AJ944" s="106" t="s">
        <v>2033</v>
      </c>
      <c r="AK944" s="106" t="n">
        <v>0</v>
      </c>
      <c r="AL944" s="106" t="n">
        <v>1</v>
      </c>
      <c r="AM944" s="106" t="s">
        <v>161</v>
      </c>
      <c r="AP944" s="106" t="n">
        <v>100173564</v>
      </c>
      <c r="AQ944" s="129" t="n">
        <v>43799</v>
      </c>
      <c r="AR944" s="129" t="n">
        <v>43799</v>
      </c>
      <c r="AS944" s="106" t="n">
        <v>0.751469907407408</v>
      </c>
      <c r="AT944" s="106" t="n">
        <v>0</v>
      </c>
      <c r="AU944" s="106" t="n">
        <v>0</v>
      </c>
      <c r="AX944" s="106" t="n">
        <v>1</v>
      </c>
      <c r="ALU944" s="0"/>
      <c r="ALV944" s="0"/>
      <c r="ALW944" s="0"/>
      <c r="ALX944" s="0"/>
      <c r="ALY944" s="0"/>
      <c r="ALZ944" s="0"/>
      <c r="AMA944" s="0"/>
      <c r="AMB944" s="0"/>
      <c r="AMC944" s="0"/>
      <c r="AMD944" s="0"/>
      <c r="AME944" s="0"/>
      <c r="AMF944" s="0"/>
      <c r="AMG944" s="0"/>
      <c r="AMH944" s="0"/>
      <c r="AMI944" s="0"/>
      <c r="AMJ944" s="0"/>
    </row>
    <row r="945" customFormat="false" ht="13.8" hidden="true" customHeight="false" outlineLevel="0" collapsed="false">
      <c r="A945" s="117" t="n">
        <v>1000</v>
      </c>
      <c r="B945" s="117" t="s">
        <v>1962</v>
      </c>
      <c r="C945" s="117" t="n">
        <v>1600000304</v>
      </c>
      <c r="D945" s="117" t="s">
        <v>2354</v>
      </c>
      <c r="E945" s="117" t="s">
        <v>1987</v>
      </c>
      <c r="F945" s="117" t="n">
        <v>1101</v>
      </c>
      <c r="G945" s="117" t="n">
        <v>2019</v>
      </c>
      <c r="H945" s="117" t="n">
        <v>8</v>
      </c>
      <c r="I945" s="118" t="n">
        <v>43797</v>
      </c>
      <c r="J945" s="118" t="n">
        <v>43797</v>
      </c>
      <c r="K945" s="119" t="n">
        <v>-2843</v>
      </c>
      <c r="L945" s="128" t="n">
        <f aca="false">K945-Q945+T945</f>
        <v>-2843</v>
      </c>
      <c r="M945" s="117" t="s">
        <v>149</v>
      </c>
      <c r="N945" s="117" t="n">
        <v>-2843</v>
      </c>
      <c r="O945" s="117" t="s">
        <v>149</v>
      </c>
      <c r="P945" s="117" t="n">
        <v>-2843</v>
      </c>
      <c r="Q945" s="117" t="n">
        <v>0</v>
      </c>
      <c r="R945" s="117" t="n">
        <v>-2843</v>
      </c>
      <c r="S945" s="117" t="n">
        <v>0</v>
      </c>
      <c r="T945" s="117" t="n">
        <v>0</v>
      </c>
      <c r="U945" s="117" t="n">
        <v>304431</v>
      </c>
      <c r="V945" s="117" t="s">
        <v>2016</v>
      </c>
      <c r="X945" s="117" t="s">
        <v>2508</v>
      </c>
      <c r="Y945" s="117" t="s">
        <v>2388</v>
      </c>
      <c r="Z945" s="117" t="n">
        <v>1600000304</v>
      </c>
      <c r="AD945" s="117" t="n">
        <v>310300</v>
      </c>
      <c r="AE945" s="117" t="s">
        <v>1969</v>
      </c>
      <c r="AF945" s="117" t="n">
        <v>111201</v>
      </c>
      <c r="AG945" s="117" t="s">
        <v>2165</v>
      </c>
      <c r="AI945" s="117" t="n">
        <v>111201</v>
      </c>
      <c r="AJ945" s="117" t="s">
        <v>2165</v>
      </c>
      <c r="AK945" s="117" t="n">
        <v>0</v>
      </c>
      <c r="AL945" s="117" t="n">
        <v>19</v>
      </c>
      <c r="AM945" s="117" t="s">
        <v>225</v>
      </c>
      <c r="AN945" s="117" t="s">
        <v>1978</v>
      </c>
      <c r="AP945" s="117" t="n">
        <v>100173526</v>
      </c>
      <c r="AQ945" s="118" t="n">
        <v>43799</v>
      </c>
      <c r="AR945" s="118" t="n">
        <v>43797</v>
      </c>
      <c r="AS945" s="117" t="n">
        <v>0.241840277777778</v>
      </c>
      <c r="AT945" s="117" t="n">
        <v>0</v>
      </c>
      <c r="AU945" s="117" t="n">
        <v>0</v>
      </c>
      <c r="AX945" s="117" t="n">
        <v>7</v>
      </c>
    </row>
    <row r="946" s="106" customFormat="true" ht="13.8" hidden="true" customHeight="false" outlineLevel="0" collapsed="false">
      <c r="A946" s="106" t="n">
        <v>1000</v>
      </c>
      <c r="B946" s="106" t="s">
        <v>1962</v>
      </c>
      <c r="C946" s="106" t="n">
        <v>107672</v>
      </c>
      <c r="D946" s="106" t="s">
        <v>1460</v>
      </c>
      <c r="E946" s="106" t="s">
        <v>1970</v>
      </c>
      <c r="F946" s="106" t="n">
        <v>1108</v>
      </c>
      <c r="G946" s="106" t="n">
        <v>2019</v>
      </c>
      <c r="H946" s="106" t="n">
        <v>7</v>
      </c>
      <c r="I946" s="129" t="n">
        <v>43748</v>
      </c>
      <c r="J946" s="129" t="n">
        <v>43748</v>
      </c>
      <c r="K946" s="107" t="n">
        <v>1769392.3</v>
      </c>
      <c r="L946" s="130" t="n">
        <f aca="false">K946-Q946+T946</f>
        <v>1499485</v>
      </c>
      <c r="M946" s="106" t="s">
        <v>149</v>
      </c>
      <c r="N946" s="106" t="n">
        <v>1769392.3</v>
      </c>
      <c r="O946" s="106" t="s">
        <v>149</v>
      </c>
      <c r="P946" s="106" t="n">
        <v>0</v>
      </c>
      <c r="Q946" s="107" t="n">
        <v>269907.3</v>
      </c>
      <c r="R946" s="106" t="n">
        <v>1499485</v>
      </c>
      <c r="S946" s="106" t="n">
        <v>0</v>
      </c>
      <c r="T946" s="106" t="n">
        <v>0</v>
      </c>
      <c r="U946" s="106" t="n">
        <v>313029</v>
      </c>
      <c r="V946" s="106" t="s">
        <v>143</v>
      </c>
      <c r="Z946" s="106" t="n">
        <v>2423</v>
      </c>
      <c r="AB946" s="106" t="s">
        <v>2414</v>
      </c>
      <c r="AD946" s="106" t="n">
        <v>110000</v>
      </c>
      <c r="AE946" s="106" t="s">
        <v>1966</v>
      </c>
      <c r="AF946" s="106" t="n">
        <v>501020</v>
      </c>
      <c r="AG946" s="106" t="s">
        <v>1971</v>
      </c>
      <c r="AI946" s="106" t="n">
        <v>501020</v>
      </c>
      <c r="AJ946" s="106" t="s">
        <v>1971</v>
      </c>
      <c r="AK946" s="106" t="n">
        <v>0</v>
      </c>
      <c r="AL946" s="106" t="n">
        <v>1</v>
      </c>
      <c r="AM946" s="106" t="s">
        <v>161</v>
      </c>
      <c r="AP946" s="106" t="n">
        <v>100141455</v>
      </c>
      <c r="AQ946" s="129" t="n">
        <v>43766</v>
      </c>
      <c r="AR946" s="129" t="n">
        <v>43748</v>
      </c>
      <c r="AS946" s="106" t="n">
        <v>0.571203703703704</v>
      </c>
      <c r="AT946" s="106" t="n">
        <v>0</v>
      </c>
      <c r="AU946" s="106" t="n">
        <v>0</v>
      </c>
      <c r="AX946" s="106" t="n">
        <v>1</v>
      </c>
      <c r="ALU946" s="0"/>
      <c r="ALV946" s="0"/>
      <c r="ALW946" s="0"/>
      <c r="ALX946" s="0"/>
      <c r="ALY946" s="0"/>
      <c r="ALZ946" s="0"/>
      <c r="AMA946" s="0"/>
      <c r="AMB946" s="0"/>
      <c r="AMC946" s="0"/>
      <c r="AMD946" s="0"/>
      <c r="AME946" s="0"/>
      <c r="AMF946" s="0"/>
      <c r="AMG946" s="0"/>
      <c r="AMH946" s="0"/>
      <c r="AMI946" s="0"/>
      <c r="AMJ946" s="0"/>
    </row>
    <row r="947" customFormat="false" ht="13.8" hidden="true" customHeight="false" outlineLevel="0" collapsed="false">
      <c r="A947" s="117" t="n">
        <v>1000</v>
      </c>
      <c r="B947" s="117" t="s">
        <v>1962</v>
      </c>
      <c r="C947" s="117" t="n">
        <v>100141514</v>
      </c>
      <c r="E947" s="117" t="s">
        <v>1921</v>
      </c>
      <c r="F947" s="117" t="n">
        <v>1101</v>
      </c>
      <c r="G947" s="117" t="n">
        <v>2019</v>
      </c>
      <c r="H947" s="117" t="n">
        <v>7</v>
      </c>
      <c r="I947" s="118" t="n">
        <v>43766</v>
      </c>
      <c r="J947" s="118" t="n">
        <v>43766</v>
      </c>
      <c r="K947" s="119" t="n">
        <v>923939.6</v>
      </c>
      <c r="L947" s="128" t="n">
        <f aca="false">K947-Q947+T947</f>
        <v>923939.6</v>
      </c>
      <c r="M947" s="117" t="s">
        <v>149</v>
      </c>
      <c r="N947" s="117" t="n">
        <v>923939.6</v>
      </c>
      <c r="O947" s="117" t="s">
        <v>149</v>
      </c>
      <c r="P947" s="117" t="n">
        <v>0</v>
      </c>
      <c r="Q947" s="117" t="n">
        <v>0</v>
      </c>
      <c r="R947" s="117" t="n">
        <v>923939.6</v>
      </c>
      <c r="S947" s="117" t="n">
        <v>0</v>
      </c>
      <c r="T947" s="117" t="n">
        <v>0</v>
      </c>
      <c r="U947" s="117" t="n">
        <v>318999</v>
      </c>
      <c r="V947" s="117" t="s">
        <v>143</v>
      </c>
      <c r="X947" s="117" t="s">
        <v>1452</v>
      </c>
      <c r="Z947" s="117" t="n">
        <v>2388</v>
      </c>
      <c r="AB947" s="117" t="s">
        <v>2019</v>
      </c>
      <c r="AD947" s="117" t="n">
        <v>110000</v>
      </c>
      <c r="AE947" s="117" t="s">
        <v>1966</v>
      </c>
      <c r="AF947" s="117" t="n">
        <v>110000</v>
      </c>
      <c r="AG947" s="117" t="s">
        <v>1966</v>
      </c>
      <c r="AI947" s="117" t="n">
        <v>110000</v>
      </c>
      <c r="AJ947" s="117" t="s">
        <v>1966</v>
      </c>
      <c r="AK947" s="117" t="n">
        <v>0</v>
      </c>
      <c r="AL947" s="117" t="n">
        <v>4</v>
      </c>
      <c r="AM947" s="117" t="s">
        <v>161</v>
      </c>
      <c r="AP947" s="117" t="n">
        <v>100198535</v>
      </c>
      <c r="AQ947" s="118" t="n">
        <v>43828</v>
      </c>
      <c r="AR947" s="118" t="n">
        <v>43766</v>
      </c>
      <c r="AS947" s="117" t="n">
        <v>0.417013888888889</v>
      </c>
      <c r="AT947" s="117" t="n">
        <v>0</v>
      </c>
      <c r="AU947" s="117" t="n">
        <v>0</v>
      </c>
      <c r="AX947" s="117" t="n">
        <v>1</v>
      </c>
    </row>
    <row r="948" customFormat="false" ht="13.8" hidden="true" customHeight="false" outlineLevel="0" collapsed="false">
      <c r="A948" s="117" t="n">
        <v>1000</v>
      </c>
      <c r="B948" s="117" t="s">
        <v>1962</v>
      </c>
      <c r="C948" s="117" t="n">
        <v>100194025</v>
      </c>
      <c r="E948" s="117" t="s">
        <v>1921</v>
      </c>
      <c r="F948" s="117" t="n">
        <v>1112</v>
      </c>
      <c r="G948" s="117" t="n">
        <v>2019</v>
      </c>
      <c r="H948" s="117" t="n">
        <v>9</v>
      </c>
      <c r="I948" s="118" t="n">
        <v>43824</v>
      </c>
      <c r="J948" s="118" t="n">
        <v>43824</v>
      </c>
      <c r="K948" s="119" t="n">
        <v>189259.62</v>
      </c>
      <c r="L948" s="128" t="n">
        <f aca="false">K948-Q948+T948</f>
        <v>189259.62</v>
      </c>
      <c r="M948" s="117" t="s">
        <v>149</v>
      </c>
      <c r="N948" s="117" t="n">
        <v>189259.62</v>
      </c>
      <c r="O948" s="117" t="s">
        <v>149</v>
      </c>
      <c r="P948" s="117" t="n">
        <v>0</v>
      </c>
      <c r="Q948" s="117" t="n">
        <v>0</v>
      </c>
      <c r="R948" s="117" t="n">
        <v>189259.62</v>
      </c>
      <c r="S948" s="117" t="n">
        <v>0</v>
      </c>
      <c r="T948" s="117" t="n">
        <v>0</v>
      </c>
      <c r="U948" s="117" t="n">
        <v>312193</v>
      </c>
      <c r="V948" s="117" t="s">
        <v>1963</v>
      </c>
      <c r="X948" s="117" t="s">
        <v>1782</v>
      </c>
      <c r="Z948" s="117" t="n">
        <v>62148</v>
      </c>
      <c r="AB948" s="117" t="s">
        <v>2362</v>
      </c>
      <c r="AD948" s="117" t="n">
        <v>110000</v>
      </c>
      <c r="AE948" s="117" t="s">
        <v>1966</v>
      </c>
      <c r="AF948" s="117" t="n">
        <v>110000</v>
      </c>
      <c r="AG948" s="117" t="s">
        <v>1966</v>
      </c>
      <c r="AI948" s="117" t="n">
        <v>110000</v>
      </c>
      <c r="AJ948" s="117" t="s">
        <v>1966</v>
      </c>
      <c r="AK948" s="117" t="n">
        <v>0</v>
      </c>
      <c r="AL948" s="117" t="n">
        <v>4</v>
      </c>
      <c r="AM948" s="117" t="s">
        <v>161</v>
      </c>
      <c r="AR948" s="118" t="n">
        <v>43824</v>
      </c>
      <c r="AS948" s="117" t="n">
        <v>0.371284722222222</v>
      </c>
      <c r="AT948" s="117" t="n">
        <v>0</v>
      </c>
      <c r="AU948" s="117" t="n">
        <v>0</v>
      </c>
      <c r="AX948" s="117" t="n">
        <v>7</v>
      </c>
    </row>
    <row r="949" s="106" customFormat="true" ht="13.8" hidden="true" customHeight="false" outlineLevel="0" collapsed="false">
      <c r="A949" s="106" t="n">
        <v>1000</v>
      </c>
      <c r="B949" s="106" t="s">
        <v>1962</v>
      </c>
      <c r="C949" s="106" t="n">
        <v>113002</v>
      </c>
      <c r="D949" s="106" t="s">
        <v>2509</v>
      </c>
      <c r="E949" s="106" t="s">
        <v>1970</v>
      </c>
      <c r="F949" s="106" t="n">
        <v>1109</v>
      </c>
      <c r="G949" s="106" t="n">
        <v>2019</v>
      </c>
      <c r="H949" s="106" t="n">
        <v>11</v>
      </c>
      <c r="I949" s="129" t="n">
        <v>43883</v>
      </c>
      <c r="J949" s="129" t="n">
        <v>43883</v>
      </c>
      <c r="K949" s="107" t="n">
        <v>225982.88</v>
      </c>
      <c r="L949" s="130" t="n">
        <f aca="false">K949-Q949+T949</f>
        <v>191510.91</v>
      </c>
      <c r="M949" s="106" t="s">
        <v>149</v>
      </c>
      <c r="N949" s="106" t="n">
        <v>225982.88</v>
      </c>
      <c r="O949" s="106" t="s">
        <v>149</v>
      </c>
      <c r="P949" s="106" t="n">
        <v>0</v>
      </c>
      <c r="Q949" s="107" t="n">
        <v>34471.97</v>
      </c>
      <c r="R949" s="106" t="n">
        <v>191510.91</v>
      </c>
      <c r="S949" s="106" t="n">
        <v>0</v>
      </c>
      <c r="T949" s="106" t="n">
        <v>0</v>
      </c>
      <c r="U949" s="106" t="n">
        <v>312193</v>
      </c>
      <c r="V949" s="106" t="s">
        <v>1963</v>
      </c>
      <c r="Z949" s="106" t="n">
        <v>62772</v>
      </c>
      <c r="AB949" s="106" t="s">
        <v>2477</v>
      </c>
      <c r="AD949" s="106" t="n">
        <v>110000</v>
      </c>
      <c r="AE949" s="106" t="s">
        <v>1966</v>
      </c>
      <c r="AF949" s="106" t="n">
        <v>501005</v>
      </c>
      <c r="AG949" s="106" t="s">
        <v>2033</v>
      </c>
      <c r="AI949" s="106" t="n">
        <v>501005</v>
      </c>
      <c r="AJ949" s="106" t="s">
        <v>2033</v>
      </c>
      <c r="AK949" s="106" t="n">
        <v>0</v>
      </c>
      <c r="AL949" s="106" t="n">
        <v>1</v>
      </c>
      <c r="AM949" s="106" t="s">
        <v>161</v>
      </c>
      <c r="AQ949" s="129"/>
      <c r="AR949" s="129" t="n">
        <v>43883</v>
      </c>
      <c r="AS949" s="106" t="n">
        <v>0.691828703703704</v>
      </c>
      <c r="AT949" s="106" t="n">
        <v>0</v>
      </c>
      <c r="AU949" s="106" t="n">
        <v>0</v>
      </c>
      <c r="AX949" s="106" t="n">
        <v>1</v>
      </c>
      <c r="ALU949" s="0"/>
      <c r="ALV949" s="0"/>
      <c r="ALW949" s="0"/>
      <c r="ALX949" s="0"/>
      <c r="ALY949" s="0"/>
      <c r="ALZ949" s="0"/>
      <c r="AMA949" s="0"/>
      <c r="AMB949" s="0"/>
      <c r="AMC949" s="0"/>
      <c r="AMD949" s="0"/>
      <c r="AME949" s="0"/>
      <c r="AMF949" s="0"/>
      <c r="AMG949" s="0"/>
      <c r="AMH949" s="0"/>
      <c r="AMI949" s="0"/>
      <c r="AMJ949" s="0"/>
    </row>
    <row r="950" customFormat="false" ht="13.8" hidden="true" customHeight="false" outlineLevel="0" collapsed="false">
      <c r="A950" s="117" t="n">
        <v>1000</v>
      </c>
      <c r="B950" s="117" t="s">
        <v>1962</v>
      </c>
      <c r="C950" s="117" t="n">
        <v>100194025</v>
      </c>
      <c r="E950" s="117" t="s">
        <v>1921</v>
      </c>
      <c r="F950" s="117" t="n">
        <v>1112</v>
      </c>
      <c r="G950" s="117" t="n">
        <v>2019</v>
      </c>
      <c r="H950" s="117" t="n">
        <v>9</v>
      </c>
      <c r="I950" s="118" t="n">
        <v>43824</v>
      </c>
      <c r="J950" s="118" t="n">
        <v>43824</v>
      </c>
      <c r="K950" s="119" t="n">
        <v>67385.08</v>
      </c>
      <c r="L950" s="128" t="n">
        <f aca="false">K950-Q950+T950</f>
        <v>67385.08</v>
      </c>
      <c r="M950" s="117" t="s">
        <v>149</v>
      </c>
      <c r="N950" s="117" t="n">
        <v>67385.08</v>
      </c>
      <c r="O950" s="117" t="s">
        <v>149</v>
      </c>
      <c r="P950" s="117" t="n">
        <v>0</v>
      </c>
      <c r="Q950" s="117" t="n">
        <v>0</v>
      </c>
      <c r="R950" s="117" t="n">
        <v>67385.08</v>
      </c>
      <c r="S950" s="117" t="n">
        <v>0</v>
      </c>
      <c r="T950" s="117" t="n">
        <v>0</v>
      </c>
      <c r="U950" s="117" t="n">
        <v>312193</v>
      </c>
      <c r="V950" s="117" t="s">
        <v>1963</v>
      </c>
      <c r="X950" s="117" t="s">
        <v>2448</v>
      </c>
      <c r="Z950" s="117" t="n">
        <v>62150</v>
      </c>
      <c r="AB950" s="117" t="s">
        <v>2350</v>
      </c>
      <c r="AD950" s="117" t="n">
        <v>110000</v>
      </c>
      <c r="AE950" s="117" t="s">
        <v>1966</v>
      </c>
      <c r="AF950" s="117" t="n">
        <v>110000</v>
      </c>
      <c r="AG950" s="117" t="s">
        <v>1966</v>
      </c>
      <c r="AI950" s="117" t="n">
        <v>110000</v>
      </c>
      <c r="AJ950" s="117" t="s">
        <v>1966</v>
      </c>
      <c r="AK950" s="117" t="n">
        <v>0</v>
      </c>
      <c r="AL950" s="117" t="n">
        <v>4</v>
      </c>
      <c r="AM950" s="117" t="s">
        <v>161</v>
      </c>
      <c r="AR950" s="118" t="n">
        <v>43824</v>
      </c>
      <c r="AS950" s="117" t="n">
        <v>0.371284722222222</v>
      </c>
      <c r="AT950" s="117" t="n">
        <v>0</v>
      </c>
      <c r="AU950" s="117" t="n">
        <v>0</v>
      </c>
      <c r="AX950" s="117" t="n">
        <v>23</v>
      </c>
    </row>
    <row r="951" customFormat="false" ht="13.8" hidden="true" customHeight="false" outlineLevel="0" collapsed="false">
      <c r="A951" s="117" t="n">
        <v>1000</v>
      </c>
      <c r="B951" s="117" t="s">
        <v>1962</v>
      </c>
      <c r="C951" s="117" t="n">
        <v>100194025</v>
      </c>
      <c r="E951" s="117" t="s">
        <v>1921</v>
      </c>
      <c r="F951" s="117" t="n">
        <v>1112</v>
      </c>
      <c r="G951" s="117" t="n">
        <v>2019</v>
      </c>
      <c r="H951" s="117" t="n">
        <v>9</v>
      </c>
      <c r="I951" s="118" t="n">
        <v>43824</v>
      </c>
      <c r="J951" s="118" t="n">
        <v>43824</v>
      </c>
      <c r="K951" s="119" t="n">
        <v>95478.52</v>
      </c>
      <c r="L951" s="128" t="n">
        <f aca="false">K951-Q951+T951</f>
        <v>95478.52</v>
      </c>
      <c r="M951" s="117" t="s">
        <v>149</v>
      </c>
      <c r="N951" s="117" t="n">
        <v>95478.52</v>
      </c>
      <c r="O951" s="117" t="s">
        <v>149</v>
      </c>
      <c r="P951" s="117" t="n">
        <v>0</v>
      </c>
      <c r="Q951" s="117" t="n">
        <v>0</v>
      </c>
      <c r="R951" s="117" t="n">
        <v>95478.52</v>
      </c>
      <c r="S951" s="117" t="n">
        <v>0</v>
      </c>
      <c r="T951" s="117" t="n">
        <v>0</v>
      </c>
      <c r="U951" s="117" t="n">
        <v>312193</v>
      </c>
      <c r="V951" s="117" t="s">
        <v>1963</v>
      </c>
      <c r="X951" s="117" t="s">
        <v>2435</v>
      </c>
      <c r="Z951" s="117" t="n">
        <v>62147</v>
      </c>
      <c r="AB951" s="117" t="s">
        <v>2350</v>
      </c>
      <c r="AD951" s="117" t="n">
        <v>110000</v>
      </c>
      <c r="AE951" s="117" t="s">
        <v>1966</v>
      </c>
      <c r="AF951" s="117" t="n">
        <v>110000</v>
      </c>
      <c r="AG951" s="117" t="s">
        <v>1966</v>
      </c>
      <c r="AI951" s="117" t="n">
        <v>110000</v>
      </c>
      <c r="AJ951" s="117" t="s">
        <v>1966</v>
      </c>
      <c r="AK951" s="117" t="n">
        <v>0</v>
      </c>
      <c r="AL951" s="117" t="n">
        <v>4</v>
      </c>
      <c r="AM951" s="117" t="s">
        <v>161</v>
      </c>
      <c r="AR951" s="118" t="n">
        <v>43824</v>
      </c>
      <c r="AS951" s="117" t="n">
        <v>0.371284722222222</v>
      </c>
      <c r="AT951" s="117" t="n">
        <v>0</v>
      </c>
      <c r="AU951" s="117" t="n">
        <v>0</v>
      </c>
      <c r="AX951" s="117" t="n">
        <v>10</v>
      </c>
    </row>
    <row r="952" customFormat="false" ht="13.8" hidden="true" customHeight="false" outlineLevel="0" collapsed="false">
      <c r="A952" s="117" t="n">
        <v>1000</v>
      </c>
      <c r="B952" s="117" t="s">
        <v>1962</v>
      </c>
      <c r="C952" s="117" t="n">
        <v>100173564</v>
      </c>
      <c r="E952" s="117" t="s">
        <v>1921</v>
      </c>
      <c r="F952" s="117" t="n">
        <v>1109</v>
      </c>
      <c r="G952" s="117" t="n">
        <v>2019</v>
      </c>
      <c r="H952" s="117" t="n">
        <v>8</v>
      </c>
      <c r="I952" s="118" t="n">
        <v>43799</v>
      </c>
      <c r="J952" s="118" t="n">
        <v>43799</v>
      </c>
      <c r="K952" s="119" t="n">
        <v>42404.1</v>
      </c>
      <c r="L952" s="128" t="n">
        <f aca="false">K952-Q952+T952</f>
        <v>42404.1</v>
      </c>
      <c r="M952" s="117" t="s">
        <v>149</v>
      </c>
      <c r="N952" s="117" t="n">
        <v>42404.1</v>
      </c>
      <c r="O952" s="117" t="s">
        <v>149</v>
      </c>
      <c r="P952" s="117" t="n">
        <v>0</v>
      </c>
      <c r="Q952" s="117" t="n">
        <v>0</v>
      </c>
      <c r="R952" s="117" t="n">
        <v>42404.1</v>
      </c>
      <c r="S952" s="117" t="n">
        <v>0</v>
      </c>
      <c r="T952" s="117" t="n">
        <v>0</v>
      </c>
      <c r="U952" s="117" t="n">
        <v>312193</v>
      </c>
      <c r="V952" s="117" t="s">
        <v>1963</v>
      </c>
      <c r="X952" s="117" t="s">
        <v>2510</v>
      </c>
      <c r="Z952" s="117" t="n">
        <v>2495</v>
      </c>
      <c r="AB952" s="117" t="s">
        <v>2451</v>
      </c>
      <c r="AD952" s="117" t="n">
        <v>110000</v>
      </c>
      <c r="AE952" s="117" t="s">
        <v>1966</v>
      </c>
      <c r="AF952" s="117" t="n">
        <v>110000</v>
      </c>
      <c r="AG952" s="117" t="s">
        <v>1966</v>
      </c>
      <c r="AI952" s="117" t="n">
        <v>110000</v>
      </c>
      <c r="AJ952" s="117" t="s">
        <v>1966</v>
      </c>
      <c r="AK952" s="117" t="n">
        <v>0</v>
      </c>
      <c r="AL952" s="117" t="n">
        <v>4</v>
      </c>
      <c r="AM952" s="117" t="s">
        <v>161</v>
      </c>
      <c r="AP952" s="117" t="n">
        <v>100231550</v>
      </c>
      <c r="AQ952" s="118" t="n">
        <v>43859</v>
      </c>
      <c r="AR952" s="118" t="n">
        <v>43800</v>
      </c>
      <c r="AS952" s="117" t="n">
        <v>0.649189814814815</v>
      </c>
      <c r="AT952" s="117" t="n">
        <v>0</v>
      </c>
      <c r="AU952" s="117" t="n">
        <v>0</v>
      </c>
      <c r="AX952" s="117" t="n">
        <v>3</v>
      </c>
    </row>
    <row r="953" s="106" customFormat="true" ht="13.8" hidden="true" customHeight="false" outlineLevel="0" collapsed="false">
      <c r="A953" s="106" t="n">
        <v>1000</v>
      </c>
      <c r="B953" s="106" t="s">
        <v>1962</v>
      </c>
      <c r="C953" s="106" t="n">
        <v>110859</v>
      </c>
      <c r="D953" s="106" t="s">
        <v>2511</v>
      </c>
      <c r="E953" s="106" t="s">
        <v>1970</v>
      </c>
      <c r="F953" s="106" t="n">
        <v>1112</v>
      </c>
      <c r="G953" s="106" t="n">
        <v>2019</v>
      </c>
      <c r="H953" s="106" t="n">
        <v>9</v>
      </c>
      <c r="I953" s="129" t="n">
        <v>43828</v>
      </c>
      <c r="J953" s="129" t="n">
        <v>43828</v>
      </c>
      <c r="K953" s="107" t="n">
        <v>7059.83</v>
      </c>
      <c r="L953" s="130" t="n">
        <f aca="false">K953-Q953+T953</f>
        <v>5982.91</v>
      </c>
      <c r="M953" s="106" t="s">
        <v>149</v>
      </c>
      <c r="N953" s="106" t="n">
        <v>7059.83</v>
      </c>
      <c r="O953" s="106" t="s">
        <v>149</v>
      </c>
      <c r="P953" s="106" t="n">
        <v>0</v>
      </c>
      <c r="Q953" s="107" t="n">
        <v>1076.92</v>
      </c>
      <c r="R953" s="106" t="n">
        <v>5982.91</v>
      </c>
      <c r="S953" s="106" t="n">
        <v>0</v>
      </c>
      <c r="T953" s="106" t="n">
        <v>0</v>
      </c>
      <c r="U953" s="106" t="n">
        <v>312193</v>
      </c>
      <c r="V953" s="106" t="s">
        <v>1963</v>
      </c>
      <c r="Z953" s="106" t="n">
        <v>62194</v>
      </c>
      <c r="AB953" s="106" t="s">
        <v>2362</v>
      </c>
      <c r="AD953" s="106" t="n">
        <v>110000</v>
      </c>
      <c r="AE953" s="106" t="s">
        <v>1966</v>
      </c>
      <c r="AF953" s="106" t="n">
        <v>501005</v>
      </c>
      <c r="AG953" s="106" t="s">
        <v>2033</v>
      </c>
      <c r="AI953" s="106" t="n">
        <v>501005</v>
      </c>
      <c r="AJ953" s="106" t="s">
        <v>2033</v>
      </c>
      <c r="AK953" s="106" t="n">
        <v>0</v>
      </c>
      <c r="AL953" s="106" t="n">
        <v>1</v>
      </c>
      <c r="AM953" s="106" t="s">
        <v>161</v>
      </c>
      <c r="AP953" s="106" t="n">
        <v>100199799</v>
      </c>
      <c r="AQ953" s="129" t="n">
        <v>43830</v>
      </c>
      <c r="AR953" s="129" t="n">
        <v>43828</v>
      </c>
      <c r="AS953" s="106" t="n">
        <v>0.687835648148148</v>
      </c>
      <c r="AT953" s="106" t="n">
        <v>0</v>
      </c>
      <c r="AU953" s="106" t="n">
        <v>0</v>
      </c>
      <c r="AX953" s="106" t="n">
        <v>1</v>
      </c>
      <c r="ALU953" s="0"/>
      <c r="ALV953" s="0"/>
      <c r="ALW953" s="0"/>
      <c r="ALX953" s="0"/>
      <c r="ALY953" s="0"/>
      <c r="ALZ953" s="0"/>
      <c r="AMA953" s="0"/>
      <c r="AMB953" s="0"/>
      <c r="AMC953" s="0"/>
      <c r="AMD953" s="0"/>
      <c r="AME953" s="0"/>
      <c r="AMF953" s="0"/>
      <c r="AMG953" s="0"/>
      <c r="AMH953" s="0"/>
      <c r="AMI953" s="0"/>
      <c r="AMJ953" s="0"/>
    </row>
    <row r="954" customFormat="false" ht="13.8" hidden="true" customHeight="false" outlineLevel="0" collapsed="false">
      <c r="A954" s="117" t="n">
        <v>1000</v>
      </c>
      <c r="B954" s="117" t="s">
        <v>1962</v>
      </c>
      <c r="C954" s="117" t="n">
        <v>100141449</v>
      </c>
      <c r="E954" s="117" t="s">
        <v>1921</v>
      </c>
      <c r="F954" s="117" t="n">
        <v>1109</v>
      </c>
      <c r="G954" s="117" t="n">
        <v>2019</v>
      </c>
      <c r="H954" s="117" t="n">
        <v>7</v>
      </c>
      <c r="I954" s="118" t="n">
        <v>43766</v>
      </c>
      <c r="J954" s="118" t="n">
        <v>43766</v>
      </c>
      <c r="K954" s="119" t="n">
        <v>1424503.08</v>
      </c>
      <c r="L954" s="128" t="n">
        <f aca="false">K954-Q954+T954</f>
        <v>1424503.08</v>
      </c>
      <c r="M954" s="117" t="s">
        <v>149</v>
      </c>
      <c r="N954" s="117" t="n">
        <v>1424503.08</v>
      </c>
      <c r="O954" s="117" t="s">
        <v>149</v>
      </c>
      <c r="P954" s="117" t="n">
        <v>0</v>
      </c>
      <c r="Q954" s="117" t="n">
        <v>0</v>
      </c>
      <c r="R954" s="117" t="n">
        <v>1424503.08</v>
      </c>
      <c r="S954" s="117" t="n">
        <v>0</v>
      </c>
      <c r="T954" s="117" t="n">
        <v>0</v>
      </c>
      <c r="U954" s="117" t="n">
        <v>312193</v>
      </c>
      <c r="V954" s="117" t="s">
        <v>1963</v>
      </c>
      <c r="X954" s="117" t="s">
        <v>2343</v>
      </c>
      <c r="Z954" s="117" t="n">
        <v>60958</v>
      </c>
      <c r="AB954" s="117" t="s">
        <v>2124</v>
      </c>
      <c r="AD954" s="117" t="n">
        <v>110000</v>
      </c>
      <c r="AE954" s="117" t="s">
        <v>1966</v>
      </c>
      <c r="AF954" s="117" t="n">
        <v>110000</v>
      </c>
      <c r="AG954" s="117" t="s">
        <v>1966</v>
      </c>
      <c r="AI954" s="117" t="n">
        <v>110000</v>
      </c>
      <c r="AJ954" s="117" t="s">
        <v>1966</v>
      </c>
      <c r="AK954" s="117" t="n">
        <v>0</v>
      </c>
      <c r="AL954" s="117" t="n">
        <v>4</v>
      </c>
      <c r="AM954" s="117" t="s">
        <v>161</v>
      </c>
      <c r="AR954" s="118" t="n">
        <v>43766</v>
      </c>
      <c r="AS954" s="117" t="n">
        <v>0.371388888888889</v>
      </c>
      <c r="AT954" s="117" t="n">
        <v>0</v>
      </c>
      <c r="AU954" s="117" t="n">
        <v>0</v>
      </c>
      <c r="AX954" s="117" t="n">
        <v>26</v>
      </c>
    </row>
    <row r="955" s="106" customFormat="true" ht="13.8" hidden="true" customHeight="false" outlineLevel="0" collapsed="false">
      <c r="A955" s="106" t="n">
        <v>1000</v>
      </c>
      <c r="B955" s="106" t="s">
        <v>1962</v>
      </c>
      <c r="C955" s="106" t="n">
        <v>113021</v>
      </c>
      <c r="D955" s="106" t="s">
        <v>2512</v>
      </c>
      <c r="E955" s="106" t="s">
        <v>1970</v>
      </c>
      <c r="F955" s="106" t="n">
        <v>1109</v>
      </c>
      <c r="G955" s="106" t="n">
        <v>2019</v>
      </c>
      <c r="H955" s="106" t="n">
        <v>11</v>
      </c>
      <c r="I955" s="129" t="n">
        <v>43883</v>
      </c>
      <c r="J955" s="129" t="n">
        <v>43883</v>
      </c>
      <c r="K955" s="107" t="n">
        <v>962832.8</v>
      </c>
      <c r="L955" s="130" t="n">
        <f aca="false">K955-Q955+T955</f>
        <v>815960</v>
      </c>
      <c r="M955" s="106" t="s">
        <v>149</v>
      </c>
      <c r="N955" s="106" t="n">
        <v>962832.8</v>
      </c>
      <c r="O955" s="106" t="s">
        <v>149</v>
      </c>
      <c r="P955" s="106" t="n">
        <v>0</v>
      </c>
      <c r="Q955" s="107" t="n">
        <v>146872.8</v>
      </c>
      <c r="R955" s="106" t="n">
        <v>815960</v>
      </c>
      <c r="S955" s="106" t="n">
        <v>0</v>
      </c>
      <c r="T955" s="106" t="n">
        <v>0</v>
      </c>
      <c r="U955" s="106" t="n">
        <v>312193</v>
      </c>
      <c r="V955" s="106" t="s">
        <v>1963</v>
      </c>
      <c r="Z955" s="106" t="n">
        <v>63775</v>
      </c>
      <c r="AB955" s="106" t="s">
        <v>2469</v>
      </c>
      <c r="AD955" s="106" t="n">
        <v>110000</v>
      </c>
      <c r="AE955" s="106" t="s">
        <v>1966</v>
      </c>
      <c r="AF955" s="106" t="n">
        <v>501000</v>
      </c>
      <c r="AG955" s="106" t="s">
        <v>2170</v>
      </c>
      <c r="AI955" s="106" t="n">
        <v>501000</v>
      </c>
      <c r="AJ955" s="106" t="s">
        <v>2170</v>
      </c>
      <c r="AK955" s="106" t="n">
        <v>0</v>
      </c>
      <c r="AL955" s="106" t="n">
        <v>1</v>
      </c>
      <c r="AM955" s="106" t="s">
        <v>161</v>
      </c>
      <c r="AQ955" s="129"/>
      <c r="AR955" s="129" t="n">
        <v>43883</v>
      </c>
      <c r="AS955" s="106" t="n">
        <v>0.788506944444445</v>
      </c>
      <c r="AT955" s="106" t="n">
        <v>0</v>
      </c>
      <c r="AU955" s="106" t="n">
        <v>0</v>
      </c>
      <c r="AX955" s="106" t="n">
        <v>1</v>
      </c>
      <c r="ALU955" s="0"/>
      <c r="ALV955" s="0"/>
      <c r="ALW955" s="0"/>
      <c r="ALX955" s="0"/>
      <c r="ALY955" s="0"/>
      <c r="ALZ955" s="0"/>
      <c r="AMA955" s="0"/>
      <c r="AMB955" s="0"/>
      <c r="AMC955" s="0"/>
      <c r="AMD955" s="0"/>
      <c r="AME955" s="0"/>
      <c r="AMF955" s="0"/>
      <c r="AMG955" s="0"/>
      <c r="AMH955" s="0"/>
      <c r="AMI955" s="0"/>
      <c r="AMJ955" s="0"/>
    </row>
    <row r="956" customFormat="false" ht="13.8" hidden="true" customHeight="false" outlineLevel="0" collapsed="false">
      <c r="A956" s="117" t="n">
        <v>1000</v>
      </c>
      <c r="B956" s="117" t="s">
        <v>1962</v>
      </c>
      <c r="C956" s="117" t="n">
        <v>1600000315</v>
      </c>
      <c r="D956" s="117" t="s">
        <v>2354</v>
      </c>
      <c r="E956" s="117" t="s">
        <v>1987</v>
      </c>
      <c r="F956" s="117" t="n">
        <v>1101</v>
      </c>
      <c r="G956" s="117" t="n">
        <v>2019</v>
      </c>
      <c r="H956" s="117" t="n">
        <v>8</v>
      </c>
      <c r="I956" s="118" t="n">
        <v>43798</v>
      </c>
      <c r="J956" s="118" t="n">
        <v>43798</v>
      </c>
      <c r="K956" s="119" t="n">
        <v>-5177</v>
      </c>
      <c r="L956" s="128" t="n">
        <f aca="false">K956-Q956+T956</f>
        <v>-5177</v>
      </c>
      <c r="M956" s="117" t="s">
        <v>149</v>
      </c>
      <c r="N956" s="117" t="n">
        <v>-5177</v>
      </c>
      <c r="O956" s="117" t="s">
        <v>149</v>
      </c>
      <c r="P956" s="117" t="n">
        <v>-5177</v>
      </c>
      <c r="Q956" s="117" t="n">
        <v>0</v>
      </c>
      <c r="R956" s="117" t="n">
        <v>-5177</v>
      </c>
      <c r="S956" s="117" t="n">
        <v>0</v>
      </c>
      <c r="T956" s="117" t="n">
        <v>0</v>
      </c>
      <c r="U956" s="117" t="n">
        <v>312193</v>
      </c>
      <c r="V956" s="117" t="s">
        <v>1963</v>
      </c>
      <c r="X956" s="117" t="s">
        <v>2513</v>
      </c>
      <c r="Y956" s="117" t="s">
        <v>2354</v>
      </c>
      <c r="Z956" s="117" t="n">
        <v>1600000315</v>
      </c>
      <c r="AD956" s="117" t="n">
        <v>310300</v>
      </c>
      <c r="AE956" s="117" t="s">
        <v>1969</v>
      </c>
      <c r="AF956" s="117" t="n">
        <v>111201</v>
      </c>
      <c r="AG956" s="117" t="s">
        <v>2165</v>
      </c>
      <c r="AI956" s="117" t="n">
        <v>111201</v>
      </c>
      <c r="AJ956" s="117" t="s">
        <v>2165</v>
      </c>
      <c r="AK956" s="117" t="n">
        <v>0</v>
      </c>
      <c r="AL956" s="117" t="n">
        <v>19</v>
      </c>
      <c r="AM956" s="117" t="s">
        <v>225</v>
      </c>
      <c r="AN956" s="117" t="s">
        <v>1978</v>
      </c>
      <c r="AP956" s="117" t="n">
        <v>100173563</v>
      </c>
      <c r="AQ956" s="118" t="n">
        <v>43799</v>
      </c>
      <c r="AR956" s="118" t="n">
        <v>43798</v>
      </c>
      <c r="AS956" s="117" t="n">
        <v>0.954837962962963</v>
      </c>
      <c r="AT956" s="117" t="n">
        <v>0</v>
      </c>
      <c r="AU956" s="117" t="n">
        <v>0</v>
      </c>
      <c r="AX956" s="117" t="n">
        <v>46</v>
      </c>
    </row>
    <row r="957" s="106" customFormat="true" ht="13.8" hidden="true" customHeight="false" outlineLevel="0" collapsed="false">
      <c r="A957" s="106" t="n">
        <v>1000</v>
      </c>
      <c r="B957" s="106" t="s">
        <v>1962</v>
      </c>
      <c r="C957" s="106" t="n">
        <v>109670</v>
      </c>
      <c r="D957" s="106" t="s">
        <v>1678</v>
      </c>
      <c r="E957" s="106" t="s">
        <v>1970</v>
      </c>
      <c r="F957" s="106" t="n">
        <v>1108</v>
      </c>
      <c r="G957" s="106" t="n">
        <v>2019</v>
      </c>
      <c r="H957" s="106" t="n">
        <v>8</v>
      </c>
      <c r="I957" s="129" t="n">
        <v>43798</v>
      </c>
      <c r="J957" s="129" t="n">
        <v>43798</v>
      </c>
      <c r="K957" s="107" t="n">
        <v>1121875.9</v>
      </c>
      <c r="L957" s="130" t="n">
        <f aca="false">K957-Q957+T957</f>
        <v>950742.28</v>
      </c>
      <c r="M957" s="106" t="s">
        <v>149</v>
      </c>
      <c r="N957" s="106" t="n">
        <v>1121875.9</v>
      </c>
      <c r="O957" s="106" t="s">
        <v>149</v>
      </c>
      <c r="P957" s="106" t="n">
        <v>0</v>
      </c>
      <c r="Q957" s="107" t="n">
        <v>171133.62</v>
      </c>
      <c r="R957" s="106" t="n">
        <v>950742.28</v>
      </c>
      <c r="S957" s="106" t="n">
        <v>0</v>
      </c>
      <c r="T957" s="106" t="n">
        <v>0</v>
      </c>
      <c r="U957" s="106" t="n">
        <v>312193</v>
      </c>
      <c r="V957" s="106" t="s">
        <v>1963</v>
      </c>
      <c r="Z957" s="106" t="n">
        <v>61044</v>
      </c>
      <c r="AB957" s="106" t="s">
        <v>2109</v>
      </c>
      <c r="AD957" s="106" t="n">
        <v>110000</v>
      </c>
      <c r="AE957" s="106" t="s">
        <v>1966</v>
      </c>
      <c r="AF957" s="106" t="n">
        <v>501005</v>
      </c>
      <c r="AG957" s="106" t="s">
        <v>2033</v>
      </c>
      <c r="AI957" s="106" t="n">
        <v>501005</v>
      </c>
      <c r="AJ957" s="106" t="s">
        <v>2033</v>
      </c>
      <c r="AK957" s="106" t="n">
        <v>0</v>
      </c>
      <c r="AL957" s="106" t="n">
        <v>1</v>
      </c>
      <c r="AM957" s="106" t="s">
        <v>161</v>
      </c>
      <c r="AP957" s="106" t="n">
        <v>100173564</v>
      </c>
      <c r="AQ957" s="129" t="n">
        <v>43799</v>
      </c>
      <c r="AR957" s="129" t="n">
        <v>43798</v>
      </c>
      <c r="AS957" s="106" t="n">
        <v>0.874988425925926</v>
      </c>
      <c r="AT957" s="106" t="n">
        <v>0</v>
      </c>
      <c r="AU957" s="106" t="n">
        <v>0</v>
      </c>
      <c r="AX957" s="106" t="n">
        <v>1</v>
      </c>
      <c r="ALU957" s="0"/>
      <c r="ALV957" s="0"/>
      <c r="ALW957" s="0"/>
      <c r="ALX957" s="0"/>
      <c r="ALY957" s="0"/>
      <c r="ALZ957" s="0"/>
      <c r="AMA957" s="0"/>
      <c r="AMB957" s="0"/>
      <c r="AMC957" s="0"/>
      <c r="AMD957" s="0"/>
      <c r="AME957" s="0"/>
      <c r="AMF957" s="0"/>
      <c r="AMG957" s="0"/>
      <c r="AMH957" s="0"/>
      <c r="AMI957" s="0"/>
      <c r="AMJ957" s="0"/>
    </row>
    <row r="958" s="106" customFormat="true" ht="13.8" hidden="true" customHeight="false" outlineLevel="0" collapsed="false">
      <c r="A958" s="106" t="n">
        <v>1000</v>
      </c>
      <c r="B958" s="106" t="s">
        <v>1962</v>
      </c>
      <c r="C958" s="106" t="n">
        <v>110865</v>
      </c>
      <c r="D958" s="106" t="s">
        <v>2385</v>
      </c>
      <c r="E958" s="106" t="s">
        <v>1970</v>
      </c>
      <c r="F958" s="106" t="n">
        <v>1112</v>
      </c>
      <c r="G958" s="106" t="n">
        <v>2019</v>
      </c>
      <c r="H958" s="106" t="n">
        <v>9</v>
      </c>
      <c r="I958" s="129" t="n">
        <v>43828</v>
      </c>
      <c r="J958" s="129" t="n">
        <v>43828</v>
      </c>
      <c r="K958" s="107" t="n">
        <v>45946.37</v>
      </c>
      <c r="L958" s="130" t="n">
        <f aca="false">K958-Q958+T958</f>
        <v>38937.6</v>
      </c>
      <c r="M958" s="106" t="s">
        <v>149</v>
      </c>
      <c r="N958" s="106" t="n">
        <v>45946.37</v>
      </c>
      <c r="O958" s="106" t="s">
        <v>149</v>
      </c>
      <c r="P958" s="106" t="n">
        <v>0</v>
      </c>
      <c r="Q958" s="107" t="n">
        <v>7008.77</v>
      </c>
      <c r="R958" s="106" t="n">
        <v>38937.6</v>
      </c>
      <c r="S958" s="106" t="n">
        <v>0</v>
      </c>
      <c r="T958" s="106" t="n">
        <v>0</v>
      </c>
      <c r="U958" s="106" t="n">
        <v>312193</v>
      </c>
      <c r="V958" s="106" t="s">
        <v>1963</v>
      </c>
      <c r="Z958" s="106" t="n">
        <v>62396</v>
      </c>
      <c r="AB958" s="106" t="s">
        <v>2362</v>
      </c>
      <c r="AD958" s="106" t="n">
        <v>110000</v>
      </c>
      <c r="AE958" s="106" t="s">
        <v>1966</v>
      </c>
      <c r="AF958" s="106" t="n">
        <v>501005</v>
      </c>
      <c r="AG958" s="106" t="s">
        <v>2033</v>
      </c>
      <c r="AI958" s="106" t="n">
        <v>501005</v>
      </c>
      <c r="AJ958" s="106" t="s">
        <v>2033</v>
      </c>
      <c r="AK958" s="106" t="n">
        <v>0</v>
      </c>
      <c r="AL958" s="106" t="n">
        <v>1</v>
      </c>
      <c r="AM958" s="106" t="s">
        <v>161</v>
      </c>
      <c r="AP958" s="106" t="n">
        <v>100199799</v>
      </c>
      <c r="AQ958" s="129" t="n">
        <v>43830</v>
      </c>
      <c r="AR958" s="129" t="n">
        <v>43828</v>
      </c>
      <c r="AS958" s="106" t="n">
        <v>0.706041666666667</v>
      </c>
      <c r="AT958" s="106" t="n">
        <v>0</v>
      </c>
      <c r="AU958" s="106" t="n">
        <v>0</v>
      </c>
      <c r="AX958" s="106" t="n">
        <v>1</v>
      </c>
      <c r="ALU958" s="0"/>
      <c r="ALV958" s="0"/>
      <c r="ALW958" s="0"/>
      <c r="ALX958" s="0"/>
      <c r="ALY958" s="0"/>
      <c r="ALZ958" s="0"/>
      <c r="AMA958" s="0"/>
      <c r="AMB958" s="0"/>
      <c r="AMC958" s="0"/>
      <c r="AMD958" s="0"/>
      <c r="AME958" s="0"/>
      <c r="AMF958" s="0"/>
      <c r="AMG958" s="0"/>
      <c r="AMH958" s="0"/>
      <c r="AMI958" s="0"/>
      <c r="AMJ958" s="0"/>
    </row>
    <row r="959" customFormat="false" ht="13.8" hidden="true" customHeight="false" outlineLevel="0" collapsed="false">
      <c r="A959" s="117" t="n">
        <v>1000</v>
      </c>
      <c r="B959" s="117" t="s">
        <v>1962</v>
      </c>
      <c r="C959" s="117" t="n">
        <v>100199799</v>
      </c>
      <c r="E959" s="117" t="s">
        <v>1921</v>
      </c>
      <c r="F959" s="117" t="n">
        <v>1112</v>
      </c>
      <c r="G959" s="117" t="n">
        <v>2019</v>
      </c>
      <c r="H959" s="117" t="n">
        <v>9</v>
      </c>
      <c r="I959" s="118" t="n">
        <v>43830</v>
      </c>
      <c r="J959" s="118" t="n">
        <v>43830</v>
      </c>
      <c r="K959" s="119" t="n">
        <v>228095.89</v>
      </c>
      <c r="L959" s="128" t="n">
        <f aca="false">K959-Q959+T959</f>
        <v>228095.89</v>
      </c>
      <c r="M959" s="117" t="s">
        <v>149</v>
      </c>
      <c r="N959" s="117" t="n">
        <v>228095.89</v>
      </c>
      <c r="O959" s="117" t="s">
        <v>149</v>
      </c>
      <c r="P959" s="117" t="n">
        <v>0</v>
      </c>
      <c r="Q959" s="117" t="n">
        <v>0</v>
      </c>
      <c r="R959" s="117" t="n">
        <v>228095.89</v>
      </c>
      <c r="S959" s="117" t="n">
        <v>0</v>
      </c>
      <c r="T959" s="117" t="n">
        <v>0</v>
      </c>
      <c r="U959" s="117" t="n">
        <v>312193</v>
      </c>
      <c r="V959" s="117" t="s">
        <v>1963</v>
      </c>
      <c r="X959" s="117" t="s">
        <v>2485</v>
      </c>
      <c r="Z959" s="117" t="n">
        <v>62191</v>
      </c>
      <c r="AB959" s="117" t="s">
        <v>2350</v>
      </c>
      <c r="AD959" s="117" t="n">
        <v>110000</v>
      </c>
      <c r="AE959" s="117" t="s">
        <v>1966</v>
      </c>
      <c r="AF959" s="117" t="n">
        <v>110000</v>
      </c>
      <c r="AG959" s="117" t="s">
        <v>1966</v>
      </c>
      <c r="AI959" s="117" t="n">
        <v>110000</v>
      </c>
      <c r="AJ959" s="117" t="s">
        <v>1966</v>
      </c>
      <c r="AK959" s="117" t="n">
        <v>0</v>
      </c>
      <c r="AL959" s="117" t="n">
        <v>4</v>
      </c>
      <c r="AM959" s="117" t="s">
        <v>161</v>
      </c>
      <c r="AR959" s="118" t="n">
        <v>43830</v>
      </c>
      <c r="AS959" s="117" t="n">
        <v>0.279467592592593</v>
      </c>
      <c r="AT959" s="117" t="n">
        <v>0</v>
      </c>
      <c r="AU959" s="117" t="n">
        <v>0</v>
      </c>
      <c r="AX959" s="117" t="n">
        <v>5</v>
      </c>
    </row>
    <row r="960" customFormat="false" ht="13.8" hidden="true" customHeight="false" outlineLevel="0" collapsed="false">
      <c r="A960" s="117" t="n">
        <v>1000</v>
      </c>
      <c r="B960" s="117" t="s">
        <v>1962</v>
      </c>
      <c r="C960" s="117" t="n">
        <v>100173530</v>
      </c>
      <c r="E960" s="117" t="s">
        <v>1921</v>
      </c>
      <c r="F960" s="117" t="n">
        <v>1109</v>
      </c>
      <c r="G960" s="117" t="n">
        <v>2019</v>
      </c>
      <c r="H960" s="117" t="n">
        <v>8</v>
      </c>
      <c r="I960" s="118" t="n">
        <v>43799</v>
      </c>
      <c r="J960" s="118" t="n">
        <v>43799</v>
      </c>
      <c r="K960" s="119" t="n">
        <v>7560</v>
      </c>
      <c r="L960" s="128" t="n">
        <f aca="false">K960-Q960+T960</f>
        <v>7560</v>
      </c>
      <c r="M960" s="117" t="s">
        <v>149</v>
      </c>
      <c r="N960" s="117" t="n">
        <v>7560</v>
      </c>
      <c r="O960" s="117" t="s">
        <v>149</v>
      </c>
      <c r="P960" s="117" t="n">
        <v>0</v>
      </c>
      <c r="Q960" s="117" t="n">
        <v>0</v>
      </c>
      <c r="R960" s="117" t="n">
        <v>7560</v>
      </c>
      <c r="S960" s="117" t="n">
        <v>0</v>
      </c>
      <c r="T960" s="117" t="n">
        <v>0</v>
      </c>
      <c r="U960" s="117" t="n">
        <v>312193</v>
      </c>
      <c r="V960" s="117" t="s">
        <v>1963</v>
      </c>
      <c r="X960" s="117" t="s">
        <v>2514</v>
      </c>
      <c r="Z960" s="117" t="n">
        <v>2316</v>
      </c>
      <c r="AB960" s="117" t="s">
        <v>1965</v>
      </c>
      <c r="AD960" s="117" t="n">
        <v>110000</v>
      </c>
      <c r="AE960" s="117" t="s">
        <v>1966</v>
      </c>
      <c r="AF960" s="117" t="n">
        <v>110000</v>
      </c>
      <c r="AG960" s="117" t="s">
        <v>1966</v>
      </c>
      <c r="AI960" s="117" t="n">
        <v>110000</v>
      </c>
      <c r="AJ960" s="117" t="s">
        <v>1966</v>
      </c>
      <c r="AK960" s="117" t="n">
        <v>0</v>
      </c>
      <c r="AL960" s="117" t="n">
        <v>4</v>
      </c>
      <c r="AM960" s="117" t="s">
        <v>161</v>
      </c>
      <c r="AR960" s="118" t="n">
        <v>43800</v>
      </c>
      <c r="AS960" s="117" t="n">
        <v>0.629131944444444</v>
      </c>
      <c r="AT960" s="117" t="n">
        <v>0</v>
      </c>
      <c r="AU960" s="117" t="n">
        <v>0</v>
      </c>
      <c r="AX960" s="117" t="n">
        <v>6</v>
      </c>
    </row>
    <row r="961" customFormat="false" ht="13.8" hidden="true" customHeight="false" outlineLevel="0" collapsed="false">
      <c r="A961" s="117" t="n">
        <v>1000</v>
      </c>
      <c r="B961" s="117" t="s">
        <v>1962</v>
      </c>
      <c r="C961" s="117" t="n">
        <v>100199799</v>
      </c>
      <c r="E961" s="117" t="s">
        <v>1921</v>
      </c>
      <c r="F961" s="117" t="n">
        <v>1112</v>
      </c>
      <c r="G961" s="117" t="n">
        <v>2019</v>
      </c>
      <c r="H961" s="117" t="n">
        <v>9</v>
      </c>
      <c r="I961" s="118" t="n">
        <v>43830</v>
      </c>
      <c r="J961" s="118" t="n">
        <v>43830</v>
      </c>
      <c r="K961" s="119" t="n">
        <v>20561</v>
      </c>
      <c r="L961" s="128" t="n">
        <f aca="false">K961-Q961+T961</f>
        <v>20561</v>
      </c>
      <c r="M961" s="117" t="s">
        <v>149</v>
      </c>
      <c r="N961" s="117" t="n">
        <v>20561</v>
      </c>
      <c r="O961" s="117" t="s">
        <v>149</v>
      </c>
      <c r="P961" s="117" t="n">
        <v>0</v>
      </c>
      <c r="Q961" s="117" t="n">
        <v>0</v>
      </c>
      <c r="R961" s="117" t="n">
        <v>20561</v>
      </c>
      <c r="S961" s="117" t="n">
        <v>0</v>
      </c>
      <c r="T961" s="117" t="n">
        <v>0</v>
      </c>
      <c r="U961" s="117" t="n">
        <v>312193</v>
      </c>
      <c r="V961" s="117" t="s">
        <v>1963</v>
      </c>
      <c r="X961" s="117" t="s">
        <v>2515</v>
      </c>
      <c r="Z961" s="117" t="n">
        <v>62198</v>
      </c>
      <c r="AB961" s="117" t="s">
        <v>2362</v>
      </c>
      <c r="AD961" s="117" t="n">
        <v>110000</v>
      </c>
      <c r="AE961" s="117" t="s">
        <v>1966</v>
      </c>
      <c r="AF961" s="117" t="n">
        <v>110000</v>
      </c>
      <c r="AG961" s="117" t="s">
        <v>1966</v>
      </c>
      <c r="AI961" s="117" t="n">
        <v>110000</v>
      </c>
      <c r="AJ961" s="117" t="s">
        <v>1966</v>
      </c>
      <c r="AK961" s="117" t="n">
        <v>0</v>
      </c>
      <c r="AL961" s="117" t="n">
        <v>4</v>
      </c>
      <c r="AM961" s="117" t="s">
        <v>161</v>
      </c>
      <c r="AR961" s="118" t="n">
        <v>43830</v>
      </c>
      <c r="AS961" s="117" t="n">
        <v>0.279467592592593</v>
      </c>
      <c r="AT961" s="117" t="n">
        <v>0</v>
      </c>
      <c r="AU961" s="117" t="n">
        <v>0</v>
      </c>
      <c r="AX961" s="117" t="n">
        <v>17</v>
      </c>
    </row>
    <row r="962" s="106" customFormat="true" ht="13.8" hidden="true" customHeight="false" outlineLevel="0" collapsed="false">
      <c r="A962" s="106" t="n">
        <v>1000</v>
      </c>
      <c r="B962" s="106" t="s">
        <v>1962</v>
      </c>
      <c r="C962" s="106" t="n">
        <v>110408</v>
      </c>
      <c r="D962" s="106" t="s">
        <v>1705</v>
      </c>
      <c r="E962" s="106" t="s">
        <v>1970</v>
      </c>
      <c r="F962" s="106" t="n">
        <v>1112</v>
      </c>
      <c r="G962" s="106" t="n">
        <v>2019</v>
      </c>
      <c r="H962" s="106" t="n">
        <v>9</v>
      </c>
      <c r="I962" s="129" t="n">
        <v>43820</v>
      </c>
      <c r="J962" s="129" t="n">
        <v>43820</v>
      </c>
      <c r="K962" s="107" t="n">
        <v>153594.09</v>
      </c>
      <c r="L962" s="130" t="n">
        <f aca="false">K962-Q962+T962</f>
        <v>130164.48</v>
      </c>
      <c r="M962" s="106" t="s">
        <v>149</v>
      </c>
      <c r="N962" s="106" t="n">
        <v>153594.09</v>
      </c>
      <c r="O962" s="106" t="s">
        <v>149</v>
      </c>
      <c r="P962" s="106" t="n">
        <v>0</v>
      </c>
      <c r="Q962" s="107" t="n">
        <v>23429.61</v>
      </c>
      <c r="R962" s="106" t="n">
        <v>130164.48</v>
      </c>
      <c r="S962" s="106" t="n">
        <v>0</v>
      </c>
      <c r="T962" s="106" t="n">
        <v>0</v>
      </c>
      <c r="U962" s="106" t="n">
        <v>312193</v>
      </c>
      <c r="V962" s="106" t="s">
        <v>1963</v>
      </c>
      <c r="Z962" s="106" t="n">
        <v>62109</v>
      </c>
      <c r="AB962" s="106" t="s">
        <v>2362</v>
      </c>
      <c r="AD962" s="106" t="n">
        <v>110000</v>
      </c>
      <c r="AE962" s="106" t="s">
        <v>1966</v>
      </c>
      <c r="AF962" s="106" t="n">
        <v>501005</v>
      </c>
      <c r="AG962" s="106" t="s">
        <v>2033</v>
      </c>
      <c r="AI962" s="106" t="n">
        <v>501005</v>
      </c>
      <c r="AJ962" s="106" t="s">
        <v>2033</v>
      </c>
      <c r="AK962" s="106" t="n">
        <v>0</v>
      </c>
      <c r="AL962" s="106" t="n">
        <v>1</v>
      </c>
      <c r="AM962" s="106" t="s">
        <v>161</v>
      </c>
      <c r="AP962" s="106" t="n">
        <v>100194025</v>
      </c>
      <c r="AQ962" s="129" t="n">
        <v>43824</v>
      </c>
      <c r="AR962" s="129" t="n">
        <v>43820</v>
      </c>
      <c r="AS962" s="106" t="n">
        <v>0.57255787037037</v>
      </c>
      <c r="AT962" s="106" t="n">
        <v>0</v>
      </c>
      <c r="AU962" s="106" t="n">
        <v>0</v>
      </c>
      <c r="AX962" s="106" t="n">
        <v>1</v>
      </c>
      <c r="ALU962" s="0"/>
      <c r="ALV962" s="0"/>
      <c r="ALW962" s="0"/>
      <c r="ALX962" s="0"/>
      <c r="ALY962" s="0"/>
      <c r="ALZ962" s="0"/>
      <c r="AMA962" s="0"/>
      <c r="AMB962" s="0"/>
      <c r="AMC962" s="0"/>
      <c r="AMD962" s="0"/>
      <c r="AME962" s="0"/>
      <c r="AMF962" s="0"/>
      <c r="AMG962" s="0"/>
      <c r="AMH962" s="0"/>
      <c r="AMI962" s="0"/>
      <c r="AMJ962" s="0"/>
    </row>
    <row r="963" customFormat="false" ht="13.8" hidden="true" customHeight="false" outlineLevel="0" collapsed="false">
      <c r="A963" s="117" t="n">
        <v>1000</v>
      </c>
      <c r="B963" s="117" t="s">
        <v>1962</v>
      </c>
      <c r="C963" s="117" t="n">
        <v>100199799</v>
      </c>
      <c r="E963" s="117" t="s">
        <v>1921</v>
      </c>
      <c r="F963" s="117" t="n">
        <v>1112</v>
      </c>
      <c r="G963" s="117" t="n">
        <v>2019</v>
      </c>
      <c r="H963" s="117" t="n">
        <v>9</v>
      </c>
      <c r="I963" s="118" t="n">
        <v>43830</v>
      </c>
      <c r="J963" s="118" t="n">
        <v>43830</v>
      </c>
      <c r="K963" s="119" t="n">
        <v>57023.98</v>
      </c>
      <c r="L963" s="128" t="n">
        <f aca="false">K963-Q963+T963</f>
        <v>57023.98</v>
      </c>
      <c r="M963" s="117" t="s">
        <v>149</v>
      </c>
      <c r="N963" s="117" t="n">
        <v>57023.98</v>
      </c>
      <c r="O963" s="117" t="s">
        <v>149</v>
      </c>
      <c r="P963" s="117" t="n">
        <v>0</v>
      </c>
      <c r="Q963" s="117" t="n">
        <v>0</v>
      </c>
      <c r="R963" s="117" t="n">
        <v>57023.98</v>
      </c>
      <c r="S963" s="117" t="n">
        <v>0</v>
      </c>
      <c r="T963" s="117" t="n">
        <v>0</v>
      </c>
      <c r="U963" s="117" t="n">
        <v>312193</v>
      </c>
      <c r="V963" s="117" t="s">
        <v>1963</v>
      </c>
      <c r="X963" s="117" t="s">
        <v>2495</v>
      </c>
      <c r="Z963" s="117" t="n">
        <v>62195</v>
      </c>
      <c r="AB963" s="117" t="s">
        <v>2350</v>
      </c>
      <c r="AD963" s="117" t="n">
        <v>110000</v>
      </c>
      <c r="AE963" s="117" t="s">
        <v>1966</v>
      </c>
      <c r="AF963" s="117" t="n">
        <v>110000</v>
      </c>
      <c r="AG963" s="117" t="s">
        <v>1966</v>
      </c>
      <c r="AI963" s="117" t="n">
        <v>110000</v>
      </c>
      <c r="AJ963" s="117" t="s">
        <v>1966</v>
      </c>
      <c r="AK963" s="117" t="n">
        <v>0</v>
      </c>
      <c r="AL963" s="117" t="n">
        <v>4</v>
      </c>
      <c r="AM963" s="117" t="s">
        <v>161</v>
      </c>
      <c r="AR963" s="118" t="n">
        <v>43830</v>
      </c>
      <c r="AS963" s="117" t="n">
        <v>0.279467592592593</v>
      </c>
      <c r="AT963" s="117" t="n">
        <v>0</v>
      </c>
      <c r="AU963" s="117" t="n">
        <v>0</v>
      </c>
      <c r="AX963" s="117" t="n">
        <v>8</v>
      </c>
    </row>
    <row r="964" customFormat="false" ht="13.8" hidden="true" customHeight="false" outlineLevel="0" collapsed="false">
      <c r="A964" s="117" t="n">
        <v>1000</v>
      </c>
      <c r="B964" s="117" t="s">
        <v>1962</v>
      </c>
      <c r="C964" s="117" t="n">
        <v>100172891</v>
      </c>
      <c r="E964" s="117" t="s">
        <v>1921</v>
      </c>
      <c r="F964" s="117" t="n">
        <v>1109</v>
      </c>
      <c r="G964" s="117" t="n">
        <v>2019</v>
      </c>
      <c r="H964" s="117" t="n">
        <v>8</v>
      </c>
      <c r="I964" s="118" t="n">
        <v>43799</v>
      </c>
      <c r="J964" s="118" t="n">
        <v>43799</v>
      </c>
      <c r="K964" s="119" t="n">
        <v>-7436</v>
      </c>
      <c r="L964" s="128" t="n">
        <f aca="false">K964-Q964+T964</f>
        <v>-7436</v>
      </c>
      <c r="M964" s="117" t="s">
        <v>149</v>
      </c>
      <c r="N964" s="117" t="n">
        <v>-7436</v>
      </c>
      <c r="O964" s="117" t="s">
        <v>149</v>
      </c>
      <c r="P964" s="117" t="n">
        <v>0</v>
      </c>
      <c r="Q964" s="117" t="n">
        <v>0</v>
      </c>
      <c r="R964" s="117" t="n">
        <v>-7436</v>
      </c>
      <c r="S964" s="117" t="n">
        <v>0</v>
      </c>
      <c r="T964" s="117" t="n">
        <v>0</v>
      </c>
      <c r="U964" s="117" t="n">
        <v>304431</v>
      </c>
      <c r="V964" s="117" t="s">
        <v>2016</v>
      </c>
      <c r="Z964" s="117" t="n">
        <v>100172891</v>
      </c>
      <c r="AD964" s="117" t="n">
        <v>110000</v>
      </c>
      <c r="AE964" s="117" t="s">
        <v>1966</v>
      </c>
      <c r="AF964" s="117" t="n">
        <v>310300</v>
      </c>
      <c r="AG964" s="117" t="s">
        <v>1969</v>
      </c>
      <c r="AI964" s="117" t="n">
        <v>310300</v>
      </c>
      <c r="AJ964" s="117" t="s">
        <v>1969</v>
      </c>
      <c r="AK964" s="117" t="n">
        <v>0</v>
      </c>
      <c r="AL964" s="117" t="n">
        <v>17</v>
      </c>
      <c r="AM964" s="117" t="s">
        <v>225</v>
      </c>
      <c r="AP964" s="117" t="n">
        <v>100172891</v>
      </c>
      <c r="AQ964" s="118" t="n">
        <v>43799</v>
      </c>
      <c r="AR964" s="118" t="n">
        <v>43800</v>
      </c>
      <c r="AS964" s="117" t="n">
        <v>0.26099537037037</v>
      </c>
      <c r="AT964" s="117" t="n">
        <v>0</v>
      </c>
      <c r="AU964" s="117" t="n">
        <v>0</v>
      </c>
      <c r="AX964" s="117" t="n">
        <v>1</v>
      </c>
    </row>
    <row r="965" customFormat="false" ht="13.8" hidden="true" customHeight="false" outlineLevel="0" collapsed="false">
      <c r="A965" s="117" t="n">
        <v>1000</v>
      </c>
      <c r="B965" s="117" t="s">
        <v>1962</v>
      </c>
      <c r="C965" s="117" t="n">
        <v>100173604</v>
      </c>
      <c r="E965" s="117" t="s">
        <v>1921</v>
      </c>
      <c r="F965" s="117" t="n">
        <v>1101</v>
      </c>
      <c r="G965" s="117" t="n">
        <v>2019</v>
      </c>
      <c r="H965" s="117" t="n">
        <v>8</v>
      </c>
      <c r="I965" s="118" t="n">
        <v>43799</v>
      </c>
      <c r="J965" s="118" t="n">
        <v>43799</v>
      </c>
      <c r="K965" s="119" t="n">
        <v>1977230.75</v>
      </c>
      <c r="L965" s="128" t="n">
        <f aca="false">K965-Q965+T965</f>
        <v>1977230.75</v>
      </c>
      <c r="M965" s="117" t="s">
        <v>149</v>
      </c>
      <c r="N965" s="117" t="n">
        <v>1977230.75</v>
      </c>
      <c r="O965" s="117" t="s">
        <v>149</v>
      </c>
      <c r="P965" s="117" t="n">
        <v>0</v>
      </c>
      <c r="Q965" s="117" t="n">
        <v>0</v>
      </c>
      <c r="R965" s="117" t="n">
        <v>1977230.75</v>
      </c>
      <c r="S965" s="117" t="n">
        <v>0</v>
      </c>
      <c r="T965" s="117" t="n">
        <v>0</v>
      </c>
      <c r="U965" s="117" t="n">
        <v>318999</v>
      </c>
      <c r="V965" s="117" t="s">
        <v>143</v>
      </c>
      <c r="X965" s="117" t="s">
        <v>1381</v>
      </c>
      <c r="Z965" s="117" t="n">
        <v>2388</v>
      </c>
      <c r="AB965" s="117" t="s">
        <v>2019</v>
      </c>
      <c r="AD965" s="117" t="n">
        <v>110000</v>
      </c>
      <c r="AE965" s="117" t="s">
        <v>1966</v>
      </c>
      <c r="AF965" s="117" t="n">
        <v>110000</v>
      </c>
      <c r="AG965" s="117" t="s">
        <v>1966</v>
      </c>
      <c r="AI965" s="117" t="n">
        <v>110000</v>
      </c>
      <c r="AJ965" s="117" t="s">
        <v>1966</v>
      </c>
      <c r="AK965" s="117" t="n">
        <v>0</v>
      </c>
      <c r="AL965" s="117" t="n">
        <v>4</v>
      </c>
      <c r="AM965" s="117" t="s">
        <v>161</v>
      </c>
      <c r="AP965" s="117" t="n">
        <v>100210305</v>
      </c>
      <c r="AQ965" s="118" t="n">
        <v>43830</v>
      </c>
      <c r="AR965" s="118" t="n">
        <v>43800</v>
      </c>
      <c r="AS965" s="117" t="n">
        <v>0.705775462962963</v>
      </c>
      <c r="AT965" s="117" t="n">
        <v>0</v>
      </c>
      <c r="AU965" s="117" t="n">
        <v>0</v>
      </c>
      <c r="AX965" s="117" t="n">
        <v>1</v>
      </c>
    </row>
    <row r="966" customFormat="false" ht="13.8" hidden="true" customHeight="false" outlineLevel="0" collapsed="false">
      <c r="A966" s="117" t="n">
        <v>1000</v>
      </c>
      <c r="B966" s="117" t="s">
        <v>1962</v>
      </c>
      <c r="C966" s="117" t="n">
        <v>100141455</v>
      </c>
      <c r="E966" s="117" t="s">
        <v>1921</v>
      </c>
      <c r="F966" s="117" t="n">
        <v>1108</v>
      </c>
      <c r="G966" s="117" t="n">
        <v>2019</v>
      </c>
      <c r="H966" s="117" t="n">
        <v>7</v>
      </c>
      <c r="I966" s="118" t="n">
        <v>43766</v>
      </c>
      <c r="J966" s="118" t="n">
        <v>43766</v>
      </c>
      <c r="K966" s="119" t="n">
        <v>1769392.3</v>
      </c>
      <c r="L966" s="128" t="n">
        <f aca="false">K966-Q966+T966</f>
        <v>1769392.3</v>
      </c>
      <c r="M966" s="117" t="s">
        <v>149</v>
      </c>
      <c r="N966" s="117" t="n">
        <v>1769392.3</v>
      </c>
      <c r="O966" s="117" t="s">
        <v>149</v>
      </c>
      <c r="P966" s="117" t="n">
        <v>0</v>
      </c>
      <c r="Q966" s="117" t="n">
        <v>0</v>
      </c>
      <c r="R966" s="117" t="n">
        <v>1769392.3</v>
      </c>
      <c r="S966" s="117" t="n">
        <v>0</v>
      </c>
      <c r="T966" s="117" t="n">
        <v>0</v>
      </c>
      <c r="U966" s="117" t="n">
        <v>313029</v>
      </c>
      <c r="V966" s="117" t="s">
        <v>143</v>
      </c>
      <c r="X966" s="117" t="s">
        <v>1460</v>
      </c>
      <c r="Z966" s="117" t="n">
        <v>2423</v>
      </c>
      <c r="AB966" s="117" t="s">
        <v>2414</v>
      </c>
      <c r="AD966" s="117" t="n">
        <v>110000</v>
      </c>
      <c r="AE966" s="117" t="s">
        <v>1966</v>
      </c>
      <c r="AF966" s="117" t="n">
        <v>110000</v>
      </c>
      <c r="AG966" s="117" t="s">
        <v>1966</v>
      </c>
      <c r="AI966" s="117" t="n">
        <v>110000</v>
      </c>
      <c r="AJ966" s="117" t="s">
        <v>1966</v>
      </c>
      <c r="AK966" s="117" t="n">
        <v>0</v>
      </c>
      <c r="AL966" s="117" t="n">
        <v>4</v>
      </c>
      <c r="AM966" s="117" t="s">
        <v>161</v>
      </c>
      <c r="AP966" s="117" t="n">
        <v>100194026</v>
      </c>
      <c r="AQ966" s="118" t="n">
        <v>43824</v>
      </c>
      <c r="AR966" s="118" t="n">
        <v>43766</v>
      </c>
      <c r="AS966" s="117" t="n">
        <v>0.37525462962963</v>
      </c>
      <c r="AT966" s="117" t="n">
        <v>0</v>
      </c>
      <c r="AU966" s="117" t="n">
        <v>0</v>
      </c>
      <c r="AX966" s="117" t="n">
        <v>1</v>
      </c>
    </row>
    <row r="967" customFormat="false" ht="13.8" hidden="true" customHeight="false" outlineLevel="0" collapsed="false">
      <c r="A967" s="117" t="n">
        <v>1000</v>
      </c>
      <c r="B967" s="117" t="s">
        <v>1962</v>
      </c>
      <c r="C967" s="117" t="n">
        <v>1400006548</v>
      </c>
      <c r="E967" s="117" t="s">
        <v>1972</v>
      </c>
      <c r="F967" s="117" t="n">
        <v>1101</v>
      </c>
      <c r="G967" s="117" t="n">
        <v>2019</v>
      </c>
      <c r="H967" s="117" t="n">
        <v>7</v>
      </c>
      <c r="I967" s="118" t="n">
        <v>43739</v>
      </c>
      <c r="J967" s="118" t="n">
        <v>43739</v>
      </c>
      <c r="K967" s="119" t="n">
        <v>-283342.34</v>
      </c>
      <c r="L967" s="128" t="n">
        <f aca="false">K967-Q967+T967</f>
        <v>-283342.34</v>
      </c>
      <c r="M967" s="117" t="s">
        <v>149</v>
      </c>
      <c r="N967" s="117" t="n">
        <v>-283342.34</v>
      </c>
      <c r="O967" s="117" t="s">
        <v>149</v>
      </c>
      <c r="P967" s="117" t="n">
        <v>0</v>
      </c>
      <c r="Q967" s="117" t="n">
        <v>0</v>
      </c>
      <c r="R967" s="117" t="n">
        <v>-283342.34</v>
      </c>
      <c r="S967" s="117" t="n">
        <v>0</v>
      </c>
      <c r="T967" s="117" t="n">
        <v>0</v>
      </c>
      <c r="U967" s="117" t="n">
        <v>304431</v>
      </c>
      <c r="V967" s="117" t="s">
        <v>2016</v>
      </c>
      <c r="X967" s="117" t="s">
        <v>2516</v>
      </c>
      <c r="Y967" s="117" t="s">
        <v>2517</v>
      </c>
      <c r="Z967" s="117" t="n">
        <v>1400006548</v>
      </c>
      <c r="AC967" s="117" t="s">
        <v>1976</v>
      </c>
      <c r="AD967" s="117" t="n">
        <v>310300</v>
      </c>
      <c r="AE967" s="117" t="s">
        <v>1969</v>
      </c>
      <c r="AF967" s="117" t="n">
        <v>101105</v>
      </c>
      <c r="AG967" s="117" t="s">
        <v>1977</v>
      </c>
      <c r="AI967" s="117" t="n">
        <v>101105</v>
      </c>
      <c r="AJ967" s="117" t="s">
        <v>1977</v>
      </c>
      <c r="AK967" s="117" t="n">
        <v>0</v>
      </c>
      <c r="AL967" s="117" t="n">
        <v>19</v>
      </c>
      <c r="AM967" s="117" t="s">
        <v>225</v>
      </c>
      <c r="AN967" s="117" t="s">
        <v>1978</v>
      </c>
      <c r="AP967" s="117" t="n">
        <v>100141416</v>
      </c>
      <c r="AQ967" s="118" t="n">
        <v>43766</v>
      </c>
      <c r="AR967" s="118" t="n">
        <v>43748</v>
      </c>
      <c r="AS967" s="117" t="n">
        <v>0.54900462962963</v>
      </c>
      <c r="AT967" s="117" t="n">
        <v>0</v>
      </c>
      <c r="AU967" s="117" t="n">
        <v>0</v>
      </c>
      <c r="AX967" s="117" t="n">
        <v>2</v>
      </c>
    </row>
    <row r="968" customFormat="false" ht="13.8" hidden="true" customHeight="false" outlineLevel="0" collapsed="false">
      <c r="A968" s="117" t="n">
        <v>1000</v>
      </c>
      <c r="B968" s="117" t="s">
        <v>1962</v>
      </c>
      <c r="C968" s="117" t="n">
        <v>100173564</v>
      </c>
      <c r="E968" s="117" t="s">
        <v>1921</v>
      </c>
      <c r="F968" s="117" t="n">
        <v>1108</v>
      </c>
      <c r="G968" s="117" t="n">
        <v>2019</v>
      </c>
      <c r="H968" s="117" t="n">
        <v>8</v>
      </c>
      <c r="I968" s="118" t="n">
        <v>43799</v>
      </c>
      <c r="J968" s="118" t="n">
        <v>43799</v>
      </c>
      <c r="K968" s="119" t="n">
        <v>260780</v>
      </c>
      <c r="L968" s="128" t="n">
        <f aca="false">K968-Q968+T968</f>
        <v>260780</v>
      </c>
      <c r="M968" s="117" t="s">
        <v>149</v>
      </c>
      <c r="N968" s="117" t="n">
        <v>260780</v>
      </c>
      <c r="O968" s="117" t="s">
        <v>149</v>
      </c>
      <c r="P968" s="117" t="n">
        <v>0</v>
      </c>
      <c r="Q968" s="117" t="n">
        <v>0</v>
      </c>
      <c r="R968" s="117" t="n">
        <v>260780</v>
      </c>
      <c r="S968" s="117" t="n">
        <v>0</v>
      </c>
      <c r="T968" s="117" t="n">
        <v>0</v>
      </c>
      <c r="U968" s="117" t="n">
        <v>312193</v>
      </c>
      <c r="V968" s="117" t="s">
        <v>1963</v>
      </c>
      <c r="X968" s="117" t="s">
        <v>1675</v>
      </c>
      <c r="Z968" s="117" t="n">
        <v>61242</v>
      </c>
      <c r="AB968" s="117" t="s">
        <v>2109</v>
      </c>
      <c r="AD968" s="117" t="n">
        <v>110000</v>
      </c>
      <c r="AE968" s="117" t="s">
        <v>1966</v>
      </c>
      <c r="AF968" s="117" t="n">
        <v>110000</v>
      </c>
      <c r="AG968" s="117" t="s">
        <v>1966</v>
      </c>
      <c r="AI968" s="117" t="n">
        <v>110000</v>
      </c>
      <c r="AJ968" s="117" t="s">
        <v>1966</v>
      </c>
      <c r="AK968" s="117" t="n">
        <v>0</v>
      </c>
      <c r="AL968" s="117" t="n">
        <v>4</v>
      </c>
      <c r="AM968" s="117" t="s">
        <v>161</v>
      </c>
      <c r="AR968" s="118" t="n">
        <v>43800</v>
      </c>
      <c r="AS968" s="117" t="n">
        <v>0.649189814814815</v>
      </c>
      <c r="AT968" s="117" t="n">
        <v>0</v>
      </c>
      <c r="AU968" s="117" t="n">
        <v>0</v>
      </c>
      <c r="AX968" s="117" t="n">
        <v>13</v>
      </c>
    </row>
    <row r="969" s="106" customFormat="true" ht="13.8" hidden="true" customHeight="false" outlineLevel="0" collapsed="false">
      <c r="A969" s="106" t="n">
        <v>1000</v>
      </c>
      <c r="B969" s="106" t="s">
        <v>1962</v>
      </c>
      <c r="C969" s="106" t="n">
        <v>113022</v>
      </c>
      <c r="D969" s="106" t="s">
        <v>2518</v>
      </c>
      <c r="E969" s="106" t="s">
        <v>1970</v>
      </c>
      <c r="F969" s="106" t="n">
        <v>1109</v>
      </c>
      <c r="G969" s="106" t="n">
        <v>2019</v>
      </c>
      <c r="H969" s="106" t="n">
        <v>11</v>
      </c>
      <c r="I969" s="129" t="n">
        <v>43883</v>
      </c>
      <c r="J969" s="129" t="n">
        <v>43883</v>
      </c>
      <c r="K969" s="107" t="n">
        <v>619997.39</v>
      </c>
      <c r="L969" s="130" t="n">
        <f aca="false">K969-Q969+T969</f>
        <v>525421.52</v>
      </c>
      <c r="M969" s="106" t="s">
        <v>149</v>
      </c>
      <c r="N969" s="106" t="n">
        <v>619997.39</v>
      </c>
      <c r="O969" s="106" t="s">
        <v>149</v>
      </c>
      <c r="P969" s="106" t="n">
        <v>0</v>
      </c>
      <c r="Q969" s="107" t="n">
        <v>94575.87</v>
      </c>
      <c r="R969" s="106" t="n">
        <v>525421.52</v>
      </c>
      <c r="S969" s="106" t="n">
        <v>0</v>
      </c>
      <c r="T969" s="106" t="n">
        <v>0</v>
      </c>
      <c r="U969" s="106" t="n">
        <v>312193</v>
      </c>
      <c r="V969" s="106" t="s">
        <v>1963</v>
      </c>
      <c r="Z969" s="106" t="n">
        <v>63775</v>
      </c>
      <c r="AB969" s="106" t="s">
        <v>2469</v>
      </c>
      <c r="AD969" s="106" t="n">
        <v>110000</v>
      </c>
      <c r="AE969" s="106" t="s">
        <v>1966</v>
      </c>
      <c r="AF969" s="106" t="n">
        <v>501005</v>
      </c>
      <c r="AG969" s="106" t="s">
        <v>2033</v>
      </c>
      <c r="AI969" s="106" t="n">
        <v>501005</v>
      </c>
      <c r="AJ969" s="106" t="s">
        <v>2033</v>
      </c>
      <c r="AK969" s="106" t="n">
        <v>0</v>
      </c>
      <c r="AL969" s="106" t="n">
        <v>1</v>
      </c>
      <c r="AM969" s="106" t="s">
        <v>161</v>
      </c>
      <c r="AQ969" s="129"/>
      <c r="AR969" s="129" t="n">
        <v>43883</v>
      </c>
      <c r="AS969" s="106" t="n">
        <v>0.789675925925926</v>
      </c>
      <c r="AT969" s="106" t="n">
        <v>0</v>
      </c>
      <c r="AU969" s="106" t="n">
        <v>0</v>
      </c>
      <c r="AX969" s="106" t="n">
        <v>1</v>
      </c>
      <c r="ALU969" s="0"/>
      <c r="ALV969" s="0"/>
      <c r="ALW969" s="0"/>
      <c r="ALX969" s="0"/>
      <c r="ALY969" s="0"/>
      <c r="ALZ969" s="0"/>
      <c r="AMA969" s="0"/>
      <c r="AMB969" s="0"/>
      <c r="AMC969" s="0"/>
      <c r="AMD969" s="0"/>
      <c r="AME969" s="0"/>
      <c r="AMF969" s="0"/>
      <c r="AMG969" s="0"/>
      <c r="AMH969" s="0"/>
      <c r="AMI969" s="0"/>
      <c r="AMJ969" s="0"/>
    </row>
    <row r="970" customFormat="false" ht="13.8" hidden="true" customHeight="false" outlineLevel="0" collapsed="false">
      <c r="A970" s="117" t="n">
        <v>1000</v>
      </c>
      <c r="B970" s="117" t="s">
        <v>1962</v>
      </c>
      <c r="C970" s="117" t="n">
        <v>100141449</v>
      </c>
      <c r="E970" s="117" t="s">
        <v>1921</v>
      </c>
      <c r="F970" s="117" t="n">
        <v>1109</v>
      </c>
      <c r="G970" s="117" t="n">
        <v>2019</v>
      </c>
      <c r="H970" s="117" t="n">
        <v>7</v>
      </c>
      <c r="I970" s="118" t="n">
        <v>43766</v>
      </c>
      <c r="J970" s="118" t="n">
        <v>43766</v>
      </c>
      <c r="K970" s="119" t="n">
        <v>467237.02</v>
      </c>
      <c r="L970" s="128" t="n">
        <f aca="false">K970-Q970+T970</f>
        <v>467237.02</v>
      </c>
      <c r="M970" s="117" t="s">
        <v>149</v>
      </c>
      <c r="N970" s="117" t="n">
        <v>467237.02</v>
      </c>
      <c r="O970" s="117" t="s">
        <v>149</v>
      </c>
      <c r="P970" s="117" t="n">
        <v>0</v>
      </c>
      <c r="Q970" s="117" t="n">
        <v>0</v>
      </c>
      <c r="R970" s="117" t="n">
        <v>467237.02</v>
      </c>
      <c r="S970" s="117" t="n">
        <v>0</v>
      </c>
      <c r="T970" s="117" t="n">
        <v>0</v>
      </c>
      <c r="U970" s="117" t="n">
        <v>312193</v>
      </c>
      <c r="V970" s="117" t="s">
        <v>1963</v>
      </c>
      <c r="X970" s="117" t="s">
        <v>1860</v>
      </c>
      <c r="Z970" s="117" t="n">
        <v>60958</v>
      </c>
      <c r="AB970" s="117" t="s">
        <v>2124</v>
      </c>
      <c r="AD970" s="117" t="n">
        <v>110000</v>
      </c>
      <c r="AE970" s="117" t="s">
        <v>1966</v>
      </c>
      <c r="AF970" s="117" t="n">
        <v>110000</v>
      </c>
      <c r="AG970" s="117" t="s">
        <v>1966</v>
      </c>
      <c r="AI970" s="117" t="n">
        <v>110000</v>
      </c>
      <c r="AJ970" s="117" t="s">
        <v>1966</v>
      </c>
      <c r="AK970" s="117" t="n">
        <v>0</v>
      </c>
      <c r="AL970" s="117" t="n">
        <v>4</v>
      </c>
      <c r="AM970" s="117" t="s">
        <v>161</v>
      </c>
      <c r="AR970" s="118" t="n">
        <v>43766</v>
      </c>
      <c r="AS970" s="117" t="n">
        <v>0.371388888888889</v>
      </c>
      <c r="AT970" s="117" t="n">
        <v>0</v>
      </c>
      <c r="AU970" s="117" t="n">
        <v>0</v>
      </c>
      <c r="AX970" s="117" t="n">
        <v>5</v>
      </c>
    </row>
    <row r="971" customFormat="false" ht="13.8" hidden="true" customHeight="false" outlineLevel="0" collapsed="false">
      <c r="A971" s="117" t="n">
        <v>1000</v>
      </c>
      <c r="B971" s="117" t="s">
        <v>1962</v>
      </c>
      <c r="C971" s="117" t="n">
        <v>100141449</v>
      </c>
      <c r="E971" s="117" t="s">
        <v>1921</v>
      </c>
      <c r="F971" s="117" t="n">
        <v>1109</v>
      </c>
      <c r="G971" s="117" t="n">
        <v>2019</v>
      </c>
      <c r="H971" s="117" t="n">
        <v>7</v>
      </c>
      <c r="I971" s="118" t="n">
        <v>43766</v>
      </c>
      <c r="J971" s="118" t="n">
        <v>43766</v>
      </c>
      <c r="K971" s="119" t="n">
        <v>2990371.32</v>
      </c>
      <c r="L971" s="128" t="n">
        <f aca="false">K971-Q971+T971</f>
        <v>2990371.32</v>
      </c>
      <c r="M971" s="117" t="s">
        <v>149</v>
      </c>
      <c r="N971" s="117" t="n">
        <v>2990371.32</v>
      </c>
      <c r="O971" s="117" t="s">
        <v>149</v>
      </c>
      <c r="P971" s="117" t="n">
        <v>0</v>
      </c>
      <c r="Q971" s="117" t="n">
        <v>0</v>
      </c>
      <c r="R971" s="117" t="n">
        <v>2990371.32</v>
      </c>
      <c r="S971" s="117" t="n">
        <v>0</v>
      </c>
      <c r="T971" s="117" t="n">
        <v>0</v>
      </c>
      <c r="U971" s="117" t="n">
        <v>312193</v>
      </c>
      <c r="V971" s="117" t="s">
        <v>1963</v>
      </c>
      <c r="X971" s="117" t="s">
        <v>2305</v>
      </c>
      <c r="Z971" s="117" t="n">
        <v>60942</v>
      </c>
      <c r="AB971" s="117" t="s">
        <v>2124</v>
      </c>
      <c r="AD971" s="117" t="n">
        <v>110000</v>
      </c>
      <c r="AE971" s="117" t="s">
        <v>1966</v>
      </c>
      <c r="AF971" s="117" t="n">
        <v>110000</v>
      </c>
      <c r="AG971" s="117" t="s">
        <v>1966</v>
      </c>
      <c r="AI971" s="117" t="n">
        <v>110000</v>
      </c>
      <c r="AJ971" s="117" t="s">
        <v>1966</v>
      </c>
      <c r="AK971" s="117" t="n">
        <v>0</v>
      </c>
      <c r="AL971" s="117" t="n">
        <v>4</v>
      </c>
      <c r="AM971" s="117" t="s">
        <v>161</v>
      </c>
      <c r="AR971" s="118" t="n">
        <v>43766</v>
      </c>
      <c r="AS971" s="117" t="n">
        <v>0.371388888888889</v>
      </c>
      <c r="AT971" s="117" t="n">
        <v>0</v>
      </c>
      <c r="AU971" s="117" t="n">
        <v>0</v>
      </c>
      <c r="AX971" s="117" t="n">
        <v>22</v>
      </c>
    </row>
    <row r="972" customFormat="false" ht="13.8" hidden="true" customHeight="false" outlineLevel="0" collapsed="false">
      <c r="A972" s="117" t="n">
        <v>1000</v>
      </c>
      <c r="B972" s="117" t="s">
        <v>1962</v>
      </c>
      <c r="C972" s="117" t="n">
        <v>100194025</v>
      </c>
      <c r="E972" s="117" t="s">
        <v>1921</v>
      </c>
      <c r="F972" s="117" t="n">
        <v>1112</v>
      </c>
      <c r="G972" s="117" t="n">
        <v>2019</v>
      </c>
      <c r="H972" s="117" t="n">
        <v>9</v>
      </c>
      <c r="I972" s="118" t="n">
        <v>43824</v>
      </c>
      <c r="J972" s="118" t="n">
        <v>43824</v>
      </c>
      <c r="K972" s="119" t="n">
        <v>190524.26</v>
      </c>
      <c r="L972" s="128" t="n">
        <f aca="false">K972-Q972+T972</f>
        <v>190524.26</v>
      </c>
      <c r="M972" s="117" t="s">
        <v>149</v>
      </c>
      <c r="N972" s="117" t="n">
        <v>190524.26</v>
      </c>
      <c r="O972" s="117" t="s">
        <v>149</v>
      </c>
      <c r="P972" s="117" t="n">
        <v>0</v>
      </c>
      <c r="Q972" s="117" t="n">
        <v>0</v>
      </c>
      <c r="R972" s="117" t="n">
        <v>190524.26</v>
      </c>
      <c r="S972" s="117" t="n">
        <v>0</v>
      </c>
      <c r="T972" s="117" t="n">
        <v>0</v>
      </c>
      <c r="U972" s="117" t="n">
        <v>312193</v>
      </c>
      <c r="V972" s="117" t="s">
        <v>1963</v>
      </c>
      <c r="X972" s="117" t="s">
        <v>2420</v>
      </c>
      <c r="Z972" s="117" t="n">
        <v>62147</v>
      </c>
      <c r="AB972" s="117" t="s">
        <v>2350</v>
      </c>
      <c r="AD972" s="117" t="n">
        <v>110000</v>
      </c>
      <c r="AE972" s="117" t="s">
        <v>1966</v>
      </c>
      <c r="AF972" s="117" t="n">
        <v>110000</v>
      </c>
      <c r="AG972" s="117" t="s">
        <v>1966</v>
      </c>
      <c r="AI972" s="117" t="n">
        <v>110000</v>
      </c>
      <c r="AJ972" s="117" t="s">
        <v>1966</v>
      </c>
      <c r="AK972" s="117" t="n">
        <v>0</v>
      </c>
      <c r="AL972" s="117" t="n">
        <v>4</v>
      </c>
      <c r="AM972" s="117" t="s">
        <v>161</v>
      </c>
      <c r="AR972" s="118" t="n">
        <v>43824</v>
      </c>
      <c r="AS972" s="117" t="n">
        <v>0.371284722222222</v>
      </c>
      <c r="AT972" s="117" t="n">
        <v>0</v>
      </c>
      <c r="AU972" s="117" t="n">
        <v>0</v>
      </c>
      <c r="AX972" s="117" t="n">
        <v>11</v>
      </c>
    </row>
    <row r="973" customFormat="false" ht="13.8" hidden="true" customHeight="false" outlineLevel="0" collapsed="false">
      <c r="A973" s="117" t="n">
        <v>1000</v>
      </c>
      <c r="B973" s="117" t="s">
        <v>1962</v>
      </c>
      <c r="C973" s="117" t="n">
        <v>100199799</v>
      </c>
      <c r="E973" s="117" t="s">
        <v>1921</v>
      </c>
      <c r="F973" s="117" t="n">
        <v>1109</v>
      </c>
      <c r="G973" s="117" t="n">
        <v>2019</v>
      </c>
      <c r="H973" s="117" t="n">
        <v>9</v>
      </c>
      <c r="I973" s="118" t="n">
        <v>43830</v>
      </c>
      <c r="J973" s="118" t="n">
        <v>43830</v>
      </c>
      <c r="K973" s="119" t="n">
        <v>244566.8</v>
      </c>
      <c r="L973" s="128" t="n">
        <f aca="false">K973-Q973+T973</f>
        <v>244566.8</v>
      </c>
      <c r="M973" s="117" t="s">
        <v>149</v>
      </c>
      <c r="N973" s="117" t="n">
        <v>244566.8</v>
      </c>
      <c r="O973" s="117" t="s">
        <v>149</v>
      </c>
      <c r="P973" s="117" t="n">
        <v>0</v>
      </c>
      <c r="Q973" s="117" t="n">
        <v>0</v>
      </c>
      <c r="R973" s="117" t="n">
        <v>244566.8</v>
      </c>
      <c r="S973" s="117" t="n">
        <v>0</v>
      </c>
      <c r="T973" s="117" t="n">
        <v>0</v>
      </c>
      <c r="U973" s="117" t="n">
        <v>312193</v>
      </c>
      <c r="V973" s="117" t="s">
        <v>1963</v>
      </c>
      <c r="X973" s="117" t="s">
        <v>1028</v>
      </c>
      <c r="Z973" s="117" t="n">
        <v>2316</v>
      </c>
      <c r="AB973" s="117" t="s">
        <v>1965</v>
      </c>
      <c r="AD973" s="117" t="n">
        <v>110000</v>
      </c>
      <c r="AE973" s="117" t="s">
        <v>1966</v>
      </c>
      <c r="AF973" s="117" t="n">
        <v>110000</v>
      </c>
      <c r="AG973" s="117" t="s">
        <v>1966</v>
      </c>
      <c r="AI973" s="117" t="n">
        <v>110000</v>
      </c>
      <c r="AJ973" s="117" t="s">
        <v>1966</v>
      </c>
      <c r="AK973" s="117" t="n">
        <v>0</v>
      </c>
      <c r="AL973" s="117" t="n">
        <v>4</v>
      </c>
      <c r="AM973" s="117" t="s">
        <v>161</v>
      </c>
      <c r="AP973" s="117" t="n">
        <v>100242296</v>
      </c>
      <c r="AQ973" s="118" t="n">
        <v>43861</v>
      </c>
      <c r="AR973" s="118" t="n">
        <v>43830</v>
      </c>
      <c r="AS973" s="117" t="n">
        <v>0.279467592592593</v>
      </c>
      <c r="AT973" s="117" t="n">
        <v>0</v>
      </c>
      <c r="AU973" s="117" t="n">
        <v>0</v>
      </c>
      <c r="AX973" s="117" t="n">
        <v>1</v>
      </c>
    </row>
    <row r="974" s="106" customFormat="true" ht="13.8" hidden="true" customHeight="false" outlineLevel="0" collapsed="false">
      <c r="A974" s="106" t="n">
        <v>1000</v>
      </c>
      <c r="B974" s="106" t="s">
        <v>1962</v>
      </c>
      <c r="C974" s="106" t="n">
        <v>110162</v>
      </c>
      <c r="D974" s="106" t="s">
        <v>1773</v>
      </c>
      <c r="E974" s="106" t="s">
        <v>1970</v>
      </c>
      <c r="F974" s="106" t="n">
        <v>1112</v>
      </c>
      <c r="G974" s="106" t="n">
        <v>2019</v>
      </c>
      <c r="H974" s="106" t="n">
        <v>9</v>
      </c>
      <c r="I974" s="129" t="n">
        <v>43813</v>
      </c>
      <c r="J974" s="129" t="n">
        <v>43813</v>
      </c>
      <c r="K974" s="107" t="n">
        <v>17751.2</v>
      </c>
      <c r="L974" s="130" t="n">
        <f aca="false">K974-Q974+T974</f>
        <v>15043.39</v>
      </c>
      <c r="M974" s="106" t="s">
        <v>149</v>
      </c>
      <c r="N974" s="106" t="n">
        <v>17751.2</v>
      </c>
      <c r="O974" s="106" t="s">
        <v>149</v>
      </c>
      <c r="P974" s="106" t="n">
        <v>0</v>
      </c>
      <c r="Q974" s="107" t="n">
        <v>2707.81</v>
      </c>
      <c r="R974" s="106" t="n">
        <v>15043.39</v>
      </c>
      <c r="S974" s="106" t="n">
        <v>0</v>
      </c>
      <c r="T974" s="106" t="n">
        <v>0</v>
      </c>
      <c r="U974" s="106" t="n">
        <v>312193</v>
      </c>
      <c r="V974" s="106" t="s">
        <v>1963</v>
      </c>
      <c r="Z974" s="106" t="n">
        <v>62148</v>
      </c>
      <c r="AB974" s="106" t="s">
        <v>2362</v>
      </c>
      <c r="AD974" s="106" t="n">
        <v>110000</v>
      </c>
      <c r="AE974" s="106" t="s">
        <v>1966</v>
      </c>
      <c r="AF974" s="106" t="n">
        <v>501005</v>
      </c>
      <c r="AG974" s="106" t="s">
        <v>2033</v>
      </c>
      <c r="AI974" s="106" t="n">
        <v>501005</v>
      </c>
      <c r="AJ974" s="106" t="s">
        <v>2033</v>
      </c>
      <c r="AK974" s="106" t="n">
        <v>0</v>
      </c>
      <c r="AL974" s="106" t="n">
        <v>1</v>
      </c>
      <c r="AM974" s="106" t="s">
        <v>161</v>
      </c>
      <c r="AP974" s="106" t="n">
        <v>100194025</v>
      </c>
      <c r="AQ974" s="129" t="n">
        <v>43824</v>
      </c>
      <c r="AR974" s="129" t="n">
        <v>43813</v>
      </c>
      <c r="AS974" s="106" t="n">
        <v>0.693101851851852</v>
      </c>
      <c r="AT974" s="106" t="n">
        <v>0</v>
      </c>
      <c r="AU974" s="106" t="n">
        <v>0</v>
      </c>
      <c r="AX974" s="106" t="n">
        <v>1</v>
      </c>
      <c r="ALU974" s="0"/>
      <c r="ALV974" s="0"/>
      <c r="ALW974" s="0"/>
      <c r="ALX974" s="0"/>
      <c r="ALY974" s="0"/>
      <c r="ALZ974" s="0"/>
      <c r="AMA974" s="0"/>
      <c r="AMB974" s="0"/>
      <c r="AMC974" s="0"/>
      <c r="AMD974" s="0"/>
      <c r="AME974" s="0"/>
      <c r="AMF974" s="0"/>
      <c r="AMG974" s="0"/>
      <c r="AMH974" s="0"/>
      <c r="AMI974" s="0"/>
      <c r="AMJ974" s="0"/>
    </row>
    <row r="975" customFormat="false" ht="13.8" hidden="false" customHeight="false" outlineLevel="0" collapsed="false">
      <c r="A975" s="117" t="n">
        <v>1000</v>
      </c>
      <c r="B975" s="117" t="s">
        <v>1962</v>
      </c>
      <c r="C975" s="117" t="n">
        <v>100141514</v>
      </c>
      <c r="E975" s="117" t="s">
        <v>1921</v>
      </c>
      <c r="F975" s="117" t="n">
        <v>1101</v>
      </c>
      <c r="G975" s="117" t="n">
        <v>2019</v>
      </c>
      <c r="H975" s="117" t="n">
        <v>7</v>
      </c>
      <c r="I975" s="118" t="n">
        <v>43766</v>
      </c>
      <c r="J975" s="118" t="n">
        <v>43766</v>
      </c>
      <c r="K975" s="119" t="n">
        <v>2075013.48</v>
      </c>
      <c r="L975" s="128" t="n">
        <f aca="false">K975-Q975+T975</f>
        <v>2075013.48</v>
      </c>
      <c r="M975" s="117" t="s">
        <v>149</v>
      </c>
      <c r="N975" s="117" t="n">
        <v>2075013.48</v>
      </c>
      <c r="O975" s="117" t="s">
        <v>149</v>
      </c>
      <c r="P975" s="117" t="n">
        <v>0</v>
      </c>
      <c r="Q975" s="117" t="n">
        <v>0</v>
      </c>
      <c r="R975" s="117" t="n">
        <v>2075013.48</v>
      </c>
      <c r="S975" s="117" t="n">
        <v>0</v>
      </c>
      <c r="T975" s="117" t="n">
        <v>0</v>
      </c>
      <c r="U975" s="117" t="n">
        <v>318999</v>
      </c>
      <c r="V975" s="117" t="s">
        <v>143</v>
      </c>
      <c r="X975" s="117" t="s">
        <v>1294</v>
      </c>
      <c r="Z975" s="117" t="n">
        <v>61348</v>
      </c>
      <c r="AB975" s="117" t="n">
        <v>2300050954</v>
      </c>
      <c r="AD975" s="117" t="n">
        <v>110000</v>
      </c>
      <c r="AE975" s="117" t="s">
        <v>1966</v>
      </c>
      <c r="AF975" s="117" t="n">
        <v>110000</v>
      </c>
      <c r="AG975" s="117" t="s">
        <v>1966</v>
      </c>
      <c r="AI975" s="117" t="n">
        <v>110000</v>
      </c>
      <c r="AJ975" s="117" t="s">
        <v>1966</v>
      </c>
      <c r="AK975" s="117" t="n">
        <v>0</v>
      </c>
      <c r="AL975" s="117" t="n">
        <v>4</v>
      </c>
      <c r="AM975" s="117" t="s">
        <v>161</v>
      </c>
      <c r="AP975" s="117" t="n">
        <v>100173604</v>
      </c>
      <c r="AQ975" s="118" t="n">
        <v>43799</v>
      </c>
      <c r="AR975" s="118" t="n">
        <v>43766</v>
      </c>
      <c r="AS975" s="117" t="n">
        <v>0.417013888888889</v>
      </c>
      <c r="AT975" s="117" t="n">
        <v>0</v>
      </c>
      <c r="AU975" s="117" t="n">
        <v>0</v>
      </c>
      <c r="AX975" s="117" t="n">
        <v>2</v>
      </c>
    </row>
    <row r="976" customFormat="false" ht="13.8" hidden="true" customHeight="false" outlineLevel="0" collapsed="false">
      <c r="A976" s="117" t="n">
        <v>1000</v>
      </c>
      <c r="B976" s="117" t="s">
        <v>1962</v>
      </c>
      <c r="C976" s="117" t="n">
        <v>100210304</v>
      </c>
      <c r="E976" s="117" t="s">
        <v>1921</v>
      </c>
      <c r="F976" s="117" t="n">
        <v>1109</v>
      </c>
      <c r="G976" s="117" t="n">
        <v>2019</v>
      </c>
      <c r="H976" s="117" t="n">
        <v>9</v>
      </c>
      <c r="I976" s="118" t="n">
        <v>43830</v>
      </c>
      <c r="J976" s="118" t="n">
        <v>43830</v>
      </c>
      <c r="K976" s="119" t="n">
        <v>5619</v>
      </c>
      <c r="L976" s="128" t="n">
        <f aca="false">K976-Q976+T976</f>
        <v>5619</v>
      </c>
      <c r="M976" s="117" t="s">
        <v>149</v>
      </c>
      <c r="N976" s="117" t="n">
        <v>5619</v>
      </c>
      <c r="O976" s="117" t="s">
        <v>149</v>
      </c>
      <c r="P976" s="117" t="n">
        <v>0</v>
      </c>
      <c r="Q976" s="117" t="n">
        <v>0</v>
      </c>
      <c r="R976" s="117" t="n">
        <v>5619</v>
      </c>
      <c r="S976" s="117" t="n">
        <v>0</v>
      </c>
      <c r="T976" s="117" t="n">
        <v>0</v>
      </c>
      <c r="U976" s="117" t="n">
        <v>312193</v>
      </c>
      <c r="V976" s="117" t="s">
        <v>1963</v>
      </c>
      <c r="X976" s="117" t="s">
        <v>2519</v>
      </c>
      <c r="Z976" s="117" t="n">
        <v>2316</v>
      </c>
      <c r="AB976" s="117" t="s">
        <v>1965</v>
      </c>
      <c r="AD976" s="117" t="n">
        <v>110000</v>
      </c>
      <c r="AE976" s="117" t="s">
        <v>1966</v>
      </c>
      <c r="AF976" s="117" t="n">
        <v>110000</v>
      </c>
      <c r="AG976" s="117" t="s">
        <v>1966</v>
      </c>
      <c r="AI976" s="117" t="n">
        <v>110000</v>
      </c>
      <c r="AJ976" s="117" t="s">
        <v>1966</v>
      </c>
      <c r="AK976" s="117" t="n">
        <v>0</v>
      </c>
      <c r="AL976" s="117" t="n">
        <v>4</v>
      </c>
      <c r="AM976" s="117" t="s">
        <v>161</v>
      </c>
      <c r="AR976" s="118" t="n">
        <v>43831</v>
      </c>
      <c r="AS976" s="117" t="n">
        <v>0.411388888888889</v>
      </c>
      <c r="AT976" s="117" t="n">
        <v>0</v>
      </c>
      <c r="AU976" s="117" t="n">
        <v>0</v>
      </c>
      <c r="AX976" s="117" t="n">
        <v>4</v>
      </c>
    </row>
    <row r="977" customFormat="false" ht="13.8" hidden="true" customHeight="false" outlineLevel="0" collapsed="false">
      <c r="A977" s="117" t="n">
        <v>1000</v>
      </c>
      <c r="B977" s="117" t="s">
        <v>1962</v>
      </c>
      <c r="C977" s="117" t="n">
        <v>1600000304</v>
      </c>
      <c r="D977" s="117" t="s">
        <v>2354</v>
      </c>
      <c r="E977" s="117" t="s">
        <v>1987</v>
      </c>
      <c r="F977" s="117" t="n">
        <v>1101</v>
      </c>
      <c r="G977" s="117" t="n">
        <v>2019</v>
      </c>
      <c r="H977" s="117" t="n">
        <v>8</v>
      </c>
      <c r="I977" s="118" t="n">
        <v>43797</v>
      </c>
      <c r="J977" s="118" t="n">
        <v>43797</v>
      </c>
      <c r="K977" s="119" t="n">
        <v>-5393</v>
      </c>
      <c r="L977" s="128" t="n">
        <f aca="false">K977-Q977+T977</f>
        <v>-5393</v>
      </c>
      <c r="M977" s="117" t="s">
        <v>149</v>
      </c>
      <c r="N977" s="117" t="n">
        <v>-5393</v>
      </c>
      <c r="O977" s="117" t="s">
        <v>149</v>
      </c>
      <c r="P977" s="117" t="n">
        <v>-5393</v>
      </c>
      <c r="Q977" s="117" t="n">
        <v>0</v>
      </c>
      <c r="R977" s="117" t="n">
        <v>-5393</v>
      </c>
      <c r="S977" s="117" t="n">
        <v>0</v>
      </c>
      <c r="T977" s="117" t="n">
        <v>0</v>
      </c>
      <c r="U977" s="117" t="n">
        <v>304431</v>
      </c>
      <c r="V977" s="117" t="s">
        <v>2016</v>
      </c>
      <c r="X977" s="117" t="s">
        <v>2520</v>
      </c>
      <c r="Y977" s="117" t="s">
        <v>2388</v>
      </c>
      <c r="Z977" s="117" t="n">
        <v>1600000304</v>
      </c>
      <c r="AD977" s="117" t="n">
        <v>310300</v>
      </c>
      <c r="AE977" s="117" t="s">
        <v>1969</v>
      </c>
      <c r="AF977" s="117" t="n">
        <v>111201</v>
      </c>
      <c r="AG977" s="117" t="s">
        <v>2165</v>
      </c>
      <c r="AI977" s="117" t="n">
        <v>111201</v>
      </c>
      <c r="AJ977" s="117" t="s">
        <v>2165</v>
      </c>
      <c r="AK977" s="117" t="n">
        <v>0</v>
      </c>
      <c r="AL977" s="117" t="n">
        <v>19</v>
      </c>
      <c r="AM977" s="117" t="s">
        <v>225</v>
      </c>
      <c r="AN977" s="117" t="s">
        <v>1978</v>
      </c>
      <c r="AP977" s="117" t="n">
        <v>100172891</v>
      </c>
      <c r="AQ977" s="118" t="n">
        <v>43799</v>
      </c>
      <c r="AR977" s="118" t="n">
        <v>43797</v>
      </c>
      <c r="AS977" s="117" t="n">
        <v>0.241840277777778</v>
      </c>
      <c r="AT977" s="117" t="n">
        <v>0</v>
      </c>
      <c r="AU977" s="117" t="n">
        <v>0</v>
      </c>
      <c r="AX977" s="117" t="n">
        <v>10</v>
      </c>
    </row>
    <row r="978" s="106" customFormat="true" ht="13.8" hidden="true" customHeight="false" outlineLevel="0" collapsed="false">
      <c r="A978" s="106" t="n">
        <v>1000</v>
      </c>
      <c r="B978" s="106" t="s">
        <v>1962</v>
      </c>
      <c r="C978" s="106" t="n">
        <v>113023</v>
      </c>
      <c r="D978" s="106" t="s">
        <v>2521</v>
      </c>
      <c r="E978" s="106" t="s">
        <v>1970</v>
      </c>
      <c r="F978" s="106" t="n">
        <v>1109</v>
      </c>
      <c r="G978" s="106" t="n">
        <v>2019</v>
      </c>
      <c r="H978" s="106" t="n">
        <v>11</v>
      </c>
      <c r="I978" s="129" t="n">
        <v>43883</v>
      </c>
      <c r="J978" s="129" t="n">
        <v>43883</v>
      </c>
      <c r="K978" s="107" t="n">
        <v>1035213.12</v>
      </c>
      <c r="L978" s="130" t="n">
        <f aca="false">K978-Q978+T978</f>
        <v>877299.25</v>
      </c>
      <c r="M978" s="106" t="s">
        <v>149</v>
      </c>
      <c r="N978" s="106" t="n">
        <v>1035213.12</v>
      </c>
      <c r="O978" s="106" t="s">
        <v>149</v>
      </c>
      <c r="P978" s="106" t="n">
        <v>0</v>
      </c>
      <c r="Q978" s="107" t="n">
        <v>157913.87</v>
      </c>
      <c r="R978" s="106" t="n">
        <v>877299.25</v>
      </c>
      <c r="S978" s="106" t="n">
        <v>0</v>
      </c>
      <c r="T978" s="106" t="n">
        <v>0</v>
      </c>
      <c r="U978" s="106" t="n">
        <v>312193</v>
      </c>
      <c r="V978" s="106" t="s">
        <v>1963</v>
      </c>
      <c r="Z978" s="106" t="n">
        <v>63775</v>
      </c>
      <c r="AB978" s="106" t="s">
        <v>2469</v>
      </c>
      <c r="AD978" s="106" t="n">
        <v>110000</v>
      </c>
      <c r="AE978" s="106" t="s">
        <v>1966</v>
      </c>
      <c r="AF978" s="106" t="n">
        <v>501005</v>
      </c>
      <c r="AG978" s="106" t="s">
        <v>2033</v>
      </c>
      <c r="AI978" s="106" t="n">
        <v>501005</v>
      </c>
      <c r="AJ978" s="106" t="s">
        <v>2033</v>
      </c>
      <c r="AK978" s="106" t="n">
        <v>0</v>
      </c>
      <c r="AL978" s="106" t="n">
        <v>1</v>
      </c>
      <c r="AM978" s="106" t="s">
        <v>161</v>
      </c>
      <c r="AQ978" s="129"/>
      <c r="AR978" s="129" t="n">
        <v>43883</v>
      </c>
      <c r="AS978" s="106" t="n">
        <v>0.790555555555556</v>
      </c>
      <c r="AT978" s="106" t="n">
        <v>0</v>
      </c>
      <c r="AU978" s="106" t="n">
        <v>0</v>
      </c>
      <c r="AX978" s="106" t="n">
        <v>1</v>
      </c>
      <c r="ALU978" s="0"/>
      <c r="ALV978" s="0"/>
      <c r="ALW978" s="0"/>
      <c r="ALX978" s="0"/>
      <c r="ALY978" s="0"/>
      <c r="ALZ978" s="0"/>
      <c r="AMA978" s="0"/>
      <c r="AMB978" s="0"/>
      <c r="AMC978" s="0"/>
      <c r="AMD978" s="0"/>
      <c r="AME978" s="0"/>
      <c r="AMF978" s="0"/>
      <c r="AMG978" s="0"/>
      <c r="AMH978" s="0"/>
      <c r="AMI978" s="0"/>
      <c r="AMJ978" s="0"/>
    </row>
    <row r="979" customFormat="false" ht="13.8" hidden="true" customHeight="false" outlineLevel="0" collapsed="false">
      <c r="A979" s="117" t="n">
        <v>1000</v>
      </c>
      <c r="B979" s="117" t="s">
        <v>1962</v>
      </c>
      <c r="C979" s="117" t="n">
        <v>1400009039</v>
      </c>
      <c r="E979" s="117" t="s">
        <v>1972</v>
      </c>
      <c r="F979" s="117" t="n">
        <v>1106</v>
      </c>
      <c r="G979" s="117" t="n">
        <v>2019</v>
      </c>
      <c r="H979" s="117" t="n">
        <v>9</v>
      </c>
      <c r="I979" s="118" t="n">
        <v>43826</v>
      </c>
      <c r="J979" s="118" t="n">
        <v>43826</v>
      </c>
      <c r="K979" s="119" t="n">
        <v>-2221397.2</v>
      </c>
      <c r="L979" s="128" t="n">
        <f aca="false">K979-Q979+T979</f>
        <v>-2221397.2</v>
      </c>
      <c r="M979" s="117" t="s">
        <v>149</v>
      </c>
      <c r="N979" s="117" t="n">
        <v>-2221397.2</v>
      </c>
      <c r="O979" s="117" t="s">
        <v>149</v>
      </c>
      <c r="P979" s="117" t="n">
        <v>0</v>
      </c>
      <c r="Q979" s="117" t="n">
        <v>0</v>
      </c>
      <c r="R979" s="117" t="n">
        <v>-2221397.2</v>
      </c>
      <c r="S979" s="117" t="n">
        <v>0</v>
      </c>
      <c r="T979" s="117" t="n">
        <v>0</v>
      </c>
      <c r="U979" s="117" t="n">
        <v>305576</v>
      </c>
      <c r="V979" s="117" t="s">
        <v>1973</v>
      </c>
      <c r="X979" s="117" t="s">
        <v>2522</v>
      </c>
      <c r="Y979" s="117" t="s">
        <v>2523</v>
      </c>
      <c r="Z979" s="117" t="n">
        <v>1400009039</v>
      </c>
      <c r="AC979" s="117" t="s">
        <v>1976</v>
      </c>
      <c r="AD979" s="117" t="n">
        <v>310300</v>
      </c>
      <c r="AE979" s="117" t="s">
        <v>1969</v>
      </c>
      <c r="AF979" s="117" t="n">
        <v>101105</v>
      </c>
      <c r="AG979" s="117" t="s">
        <v>1977</v>
      </c>
      <c r="AI979" s="117" t="n">
        <v>101105</v>
      </c>
      <c r="AJ979" s="117" t="s">
        <v>1977</v>
      </c>
      <c r="AK979" s="117" t="n">
        <v>0</v>
      </c>
      <c r="AL979" s="117" t="n">
        <v>19</v>
      </c>
      <c r="AM979" s="117" t="s">
        <v>225</v>
      </c>
      <c r="AN979" s="117" t="s">
        <v>1978</v>
      </c>
      <c r="AP979" s="117" t="n">
        <v>100199787</v>
      </c>
      <c r="AQ979" s="118" t="n">
        <v>43829</v>
      </c>
      <c r="AR979" s="118" t="n">
        <v>43829</v>
      </c>
      <c r="AS979" s="117" t="n">
        <v>0.516898148148148</v>
      </c>
      <c r="AT979" s="117" t="n">
        <v>0</v>
      </c>
      <c r="AU979" s="117" t="n">
        <v>0</v>
      </c>
      <c r="AX979" s="117" t="n">
        <v>2</v>
      </c>
    </row>
    <row r="980" customFormat="false" ht="13.8" hidden="true" customHeight="false" outlineLevel="0" collapsed="false">
      <c r="A980" s="117" t="n">
        <v>1000</v>
      </c>
      <c r="B980" s="117" t="s">
        <v>1962</v>
      </c>
      <c r="C980" s="117" t="n">
        <v>100210305</v>
      </c>
      <c r="E980" s="117" t="s">
        <v>1921</v>
      </c>
      <c r="F980" s="117" t="n">
        <v>1101</v>
      </c>
      <c r="G980" s="117" t="n">
        <v>2019</v>
      </c>
      <c r="H980" s="117" t="n">
        <v>9</v>
      </c>
      <c r="I980" s="118" t="n">
        <v>43830</v>
      </c>
      <c r="J980" s="118" t="n">
        <v>43830</v>
      </c>
      <c r="K980" s="119" t="n">
        <v>-1977230.75</v>
      </c>
      <c r="L980" s="128" t="n">
        <f aca="false">K980-Q980+T980</f>
        <v>-1977230.75</v>
      </c>
      <c r="M980" s="117" t="s">
        <v>149</v>
      </c>
      <c r="N980" s="117" t="n">
        <v>-1977230.75</v>
      </c>
      <c r="O980" s="117" t="s">
        <v>149</v>
      </c>
      <c r="P980" s="117" t="n">
        <v>0</v>
      </c>
      <c r="Q980" s="117" t="n">
        <v>0</v>
      </c>
      <c r="R980" s="117" t="n">
        <v>-1977230.75</v>
      </c>
      <c r="S980" s="117" t="n">
        <v>0</v>
      </c>
      <c r="T980" s="117" t="n">
        <v>0</v>
      </c>
      <c r="U980" s="117" t="n">
        <v>318999</v>
      </c>
      <c r="V980" s="117" t="s">
        <v>143</v>
      </c>
      <c r="Z980" s="117" t="n">
        <v>100210305</v>
      </c>
      <c r="AD980" s="117" t="n">
        <v>110000</v>
      </c>
      <c r="AE980" s="117" t="s">
        <v>1966</v>
      </c>
      <c r="AF980" s="117" t="n">
        <v>110000</v>
      </c>
      <c r="AG980" s="117" t="s">
        <v>1966</v>
      </c>
      <c r="AI980" s="117" t="n">
        <v>110000</v>
      </c>
      <c r="AJ980" s="117" t="s">
        <v>1966</v>
      </c>
      <c r="AK980" s="117" t="n">
        <v>0</v>
      </c>
      <c r="AL980" s="117" t="n">
        <v>17</v>
      </c>
      <c r="AM980" s="117" t="s">
        <v>225</v>
      </c>
      <c r="AP980" s="117" t="n">
        <v>100210305</v>
      </c>
      <c r="AQ980" s="118" t="n">
        <v>43830</v>
      </c>
      <c r="AR980" s="118" t="n">
        <v>43831</v>
      </c>
      <c r="AS980" s="117" t="n">
        <v>0.412951388888889</v>
      </c>
      <c r="AT980" s="117" t="n">
        <v>0</v>
      </c>
      <c r="AU980" s="117" t="n">
        <v>0</v>
      </c>
      <c r="AX980" s="117" t="n">
        <v>2</v>
      </c>
    </row>
    <row r="981" customFormat="false" ht="13.8" hidden="true" customHeight="false" outlineLevel="0" collapsed="false">
      <c r="A981" s="117" t="n">
        <v>1000</v>
      </c>
      <c r="B981" s="117" t="s">
        <v>1962</v>
      </c>
      <c r="C981" s="117" t="n">
        <v>1600000292</v>
      </c>
      <c r="D981" s="117" t="s">
        <v>2354</v>
      </c>
      <c r="E981" s="117" t="s">
        <v>1987</v>
      </c>
      <c r="F981" s="117" t="n">
        <v>1101</v>
      </c>
      <c r="G981" s="117" t="n">
        <v>2019</v>
      </c>
      <c r="H981" s="117" t="n">
        <v>8</v>
      </c>
      <c r="I981" s="118" t="n">
        <v>43796</v>
      </c>
      <c r="J981" s="118" t="n">
        <v>43796</v>
      </c>
      <c r="K981" s="119" t="n">
        <v>-4108</v>
      </c>
      <c r="L981" s="128" t="n">
        <f aca="false">K981-Q981+T981</f>
        <v>-4108</v>
      </c>
      <c r="M981" s="117" t="s">
        <v>149</v>
      </c>
      <c r="N981" s="117" t="n">
        <v>-4108</v>
      </c>
      <c r="O981" s="117" t="s">
        <v>149</v>
      </c>
      <c r="P981" s="117" t="n">
        <v>-4108</v>
      </c>
      <c r="Q981" s="117" t="n">
        <v>0</v>
      </c>
      <c r="R981" s="117" t="n">
        <v>-4108</v>
      </c>
      <c r="S981" s="117" t="n">
        <v>0</v>
      </c>
      <c r="T981" s="117" t="n">
        <v>0</v>
      </c>
      <c r="U981" s="117" t="n">
        <v>312193</v>
      </c>
      <c r="V981" s="117" t="s">
        <v>1963</v>
      </c>
      <c r="X981" s="117" t="s">
        <v>2524</v>
      </c>
      <c r="Y981" s="117" t="s">
        <v>2388</v>
      </c>
      <c r="Z981" s="117" t="n">
        <v>1600000292</v>
      </c>
      <c r="AD981" s="117" t="n">
        <v>310300</v>
      </c>
      <c r="AE981" s="117" t="s">
        <v>1969</v>
      </c>
      <c r="AF981" s="117" t="n">
        <v>111201</v>
      </c>
      <c r="AG981" s="117" t="s">
        <v>2165</v>
      </c>
      <c r="AI981" s="117" t="n">
        <v>111201</v>
      </c>
      <c r="AJ981" s="117" t="s">
        <v>2165</v>
      </c>
      <c r="AK981" s="117" t="n">
        <v>0</v>
      </c>
      <c r="AL981" s="117" t="n">
        <v>19</v>
      </c>
      <c r="AM981" s="117" t="s">
        <v>225</v>
      </c>
      <c r="AN981" s="117" t="s">
        <v>1978</v>
      </c>
      <c r="AR981" s="118" t="n">
        <v>43796</v>
      </c>
      <c r="AS981" s="117" t="n">
        <v>0.267407407407407</v>
      </c>
      <c r="AT981" s="117" t="n">
        <v>0</v>
      </c>
      <c r="AU981" s="117" t="n">
        <v>0</v>
      </c>
      <c r="AX981" s="117" t="n">
        <v>14</v>
      </c>
    </row>
    <row r="982" customFormat="false" ht="13.8" hidden="true" customHeight="false" outlineLevel="0" collapsed="false">
      <c r="A982" s="117" t="n">
        <v>1000</v>
      </c>
      <c r="B982" s="117" t="s">
        <v>1962</v>
      </c>
      <c r="C982" s="117" t="n">
        <v>1400007215</v>
      </c>
      <c r="E982" s="117" t="s">
        <v>1972</v>
      </c>
      <c r="F982" s="117" t="n">
        <v>1106</v>
      </c>
      <c r="G982" s="117" t="n">
        <v>2019</v>
      </c>
      <c r="H982" s="117" t="n">
        <v>7</v>
      </c>
      <c r="I982" s="118" t="n">
        <v>43768</v>
      </c>
      <c r="J982" s="118" t="n">
        <v>43768</v>
      </c>
      <c r="K982" s="119" t="n">
        <v>-3886678.1</v>
      </c>
      <c r="L982" s="128" t="n">
        <f aca="false">K982-Q982+T982</f>
        <v>-3886678.1</v>
      </c>
      <c r="M982" s="117" t="s">
        <v>149</v>
      </c>
      <c r="N982" s="117" t="n">
        <v>-3886678.1</v>
      </c>
      <c r="O982" s="117" t="s">
        <v>149</v>
      </c>
      <c r="P982" s="117" t="n">
        <v>0</v>
      </c>
      <c r="Q982" s="117" t="n">
        <v>0</v>
      </c>
      <c r="R982" s="117" t="n">
        <v>-3886678.1</v>
      </c>
      <c r="S982" s="117" t="n">
        <v>0</v>
      </c>
      <c r="T982" s="117" t="n">
        <v>0</v>
      </c>
      <c r="U982" s="117" t="n">
        <v>311155</v>
      </c>
      <c r="V982" s="117" t="s">
        <v>2022</v>
      </c>
      <c r="X982" s="117" t="s">
        <v>2525</v>
      </c>
      <c r="Y982" s="117" t="s">
        <v>2526</v>
      </c>
      <c r="Z982" s="117" t="n">
        <v>1400007215</v>
      </c>
      <c r="AC982" s="117" t="s">
        <v>1976</v>
      </c>
      <c r="AD982" s="117" t="n">
        <v>310300</v>
      </c>
      <c r="AE982" s="117" t="s">
        <v>1969</v>
      </c>
      <c r="AF982" s="117" t="n">
        <v>101105</v>
      </c>
      <c r="AG982" s="117" t="s">
        <v>1977</v>
      </c>
      <c r="AI982" s="117" t="n">
        <v>101105</v>
      </c>
      <c r="AJ982" s="117" t="s">
        <v>1977</v>
      </c>
      <c r="AK982" s="117" t="n">
        <v>0</v>
      </c>
      <c r="AL982" s="117" t="n">
        <v>19</v>
      </c>
      <c r="AM982" s="117" t="s">
        <v>225</v>
      </c>
      <c r="AN982" s="117" t="s">
        <v>1978</v>
      </c>
      <c r="AP982" s="117" t="n">
        <v>100143931</v>
      </c>
      <c r="AQ982" s="118" t="n">
        <v>43769</v>
      </c>
      <c r="AR982" s="118" t="n">
        <v>43769</v>
      </c>
      <c r="AS982" s="117" t="n">
        <v>0.498645833333333</v>
      </c>
      <c r="AT982" s="117" t="n">
        <v>0</v>
      </c>
      <c r="AU982" s="117" t="n">
        <v>0</v>
      </c>
      <c r="AX982" s="117" t="n">
        <v>2</v>
      </c>
    </row>
    <row r="983" customFormat="false" ht="13.8" hidden="true" customHeight="false" outlineLevel="0" collapsed="false">
      <c r="A983" s="117" t="n">
        <v>1000</v>
      </c>
      <c r="B983" s="117" t="s">
        <v>1962</v>
      </c>
      <c r="C983" s="117" t="n">
        <v>100173564</v>
      </c>
      <c r="E983" s="117" t="s">
        <v>1921</v>
      </c>
      <c r="F983" s="117" t="n">
        <v>1108</v>
      </c>
      <c r="G983" s="117" t="n">
        <v>2019</v>
      </c>
      <c r="H983" s="117" t="n">
        <v>8</v>
      </c>
      <c r="I983" s="118" t="n">
        <v>43799</v>
      </c>
      <c r="J983" s="118" t="n">
        <v>43799</v>
      </c>
      <c r="K983" s="119" t="n">
        <v>78427.52</v>
      </c>
      <c r="L983" s="128" t="n">
        <f aca="false">K983-Q983+T983</f>
        <v>78427.52</v>
      </c>
      <c r="M983" s="117" t="s">
        <v>149</v>
      </c>
      <c r="N983" s="117" t="n">
        <v>78427.52</v>
      </c>
      <c r="O983" s="117" t="s">
        <v>149</v>
      </c>
      <c r="P983" s="117" t="n">
        <v>0</v>
      </c>
      <c r="Q983" s="117" t="n">
        <v>0</v>
      </c>
      <c r="R983" s="117" t="n">
        <v>78427.52</v>
      </c>
      <c r="S983" s="117" t="n">
        <v>0</v>
      </c>
      <c r="T983" s="117" t="n">
        <v>0</v>
      </c>
      <c r="U983" s="117" t="n">
        <v>312193</v>
      </c>
      <c r="V983" s="117" t="s">
        <v>1963</v>
      </c>
      <c r="X983" s="117" t="s">
        <v>1642</v>
      </c>
      <c r="Z983" s="117" t="n">
        <v>61993</v>
      </c>
      <c r="AB983" s="117" t="s">
        <v>2109</v>
      </c>
      <c r="AD983" s="117" t="n">
        <v>110000</v>
      </c>
      <c r="AE983" s="117" t="s">
        <v>1966</v>
      </c>
      <c r="AF983" s="117" t="n">
        <v>110000</v>
      </c>
      <c r="AG983" s="117" t="s">
        <v>1966</v>
      </c>
      <c r="AI983" s="117" t="n">
        <v>110000</v>
      </c>
      <c r="AJ983" s="117" t="s">
        <v>1966</v>
      </c>
      <c r="AK983" s="117" t="n">
        <v>0</v>
      </c>
      <c r="AL983" s="117" t="n">
        <v>4</v>
      </c>
      <c r="AM983" s="117" t="s">
        <v>161</v>
      </c>
      <c r="AR983" s="118" t="n">
        <v>43800</v>
      </c>
      <c r="AS983" s="117" t="n">
        <v>0.649189814814815</v>
      </c>
      <c r="AT983" s="117" t="n">
        <v>0</v>
      </c>
      <c r="AU983" s="117" t="n">
        <v>0</v>
      </c>
      <c r="AX983" s="117" t="n">
        <v>20</v>
      </c>
    </row>
    <row r="984" customFormat="false" ht="13.8" hidden="true" customHeight="false" outlineLevel="0" collapsed="false">
      <c r="A984" s="117" t="n">
        <v>1000</v>
      </c>
      <c r="B984" s="117" t="s">
        <v>1962</v>
      </c>
      <c r="C984" s="117" t="n">
        <v>100173604</v>
      </c>
      <c r="E984" s="117" t="s">
        <v>1921</v>
      </c>
      <c r="F984" s="117" t="n">
        <v>1101</v>
      </c>
      <c r="G984" s="117" t="n">
        <v>2019</v>
      </c>
      <c r="H984" s="117" t="n">
        <v>8</v>
      </c>
      <c r="I984" s="118" t="n">
        <v>43799</v>
      </c>
      <c r="J984" s="118" t="n">
        <v>43799</v>
      </c>
      <c r="K984" s="119" t="n">
        <v>728885.7</v>
      </c>
      <c r="L984" s="128" t="n">
        <f aca="false">K984-Q984+T984</f>
        <v>728885.7</v>
      </c>
      <c r="M984" s="117" t="s">
        <v>149</v>
      </c>
      <c r="N984" s="117" t="n">
        <v>728885.7</v>
      </c>
      <c r="O984" s="117" t="s">
        <v>149</v>
      </c>
      <c r="P984" s="117" t="n">
        <v>728885.7</v>
      </c>
      <c r="Q984" s="117" t="n">
        <v>0</v>
      </c>
      <c r="R984" s="117" t="n">
        <v>728885.7</v>
      </c>
      <c r="S984" s="117" t="n">
        <v>0</v>
      </c>
      <c r="T984" s="117" t="n">
        <v>0</v>
      </c>
      <c r="U984" s="117" t="n">
        <v>318999</v>
      </c>
      <c r="V984" s="117" t="s">
        <v>143</v>
      </c>
      <c r="X984" s="117" t="s">
        <v>2138</v>
      </c>
      <c r="Z984" s="117" t="n">
        <v>100173604</v>
      </c>
      <c r="AD984" s="117" t="n">
        <v>111105</v>
      </c>
      <c r="AE984" s="117" t="s">
        <v>1994</v>
      </c>
      <c r="AF984" s="117" t="n">
        <v>110000</v>
      </c>
      <c r="AG984" s="117" t="s">
        <v>1966</v>
      </c>
      <c r="AI984" s="117" t="n">
        <v>110000</v>
      </c>
      <c r="AJ984" s="117" t="s">
        <v>1966</v>
      </c>
      <c r="AK984" s="117" t="n">
        <v>0</v>
      </c>
      <c r="AL984" s="117" t="n">
        <v>9</v>
      </c>
      <c r="AM984" s="117" t="s">
        <v>161</v>
      </c>
      <c r="AN984" s="117" t="s">
        <v>1995</v>
      </c>
      <c r="AP984" s="117" t="n">
        <v>100198535</v>
      </c>
      <c r="AQ984" s="118" t="n">
        <v>43828</v>
      </c>
      <c r="AR984" s="118" t="n">
        <v>43800</v>
      </c>
      <c r="AS984" s="117" t="n">
        <v>0.705775462962963</v>
      </c>
      <c r="AT984" s="117" t="n">
        <v>0</v>
      </c>
      <c r="AU984" s="117" t="n">
        <v>0</v>
      </c>
      <c r="AX984" s="117" t="n">
        <v>2</v>
      </c>
    </row>
    <row r="985" s="106" customFormat="true" ht="13.8" hidden="true" customHeight="false" outlineLevel="0" collapsed="false">
      <c r="A985" s="106" t="n">
        <v>1000</v>
      </c>
      <c r="B985" s="106" t="s">
        <v>1962</v>
      </c>
      <c r="C985" s="106" t="n">
        <v>110425</v>
      </c>
      <c r="D985" s="106" t="s">
        <v>1735</v>
      </c>
      <c r="E985" s="106" t="s">
        <v>1970</v>
      </c>
      <c r="F985" s="106" t="n">
        <v>1112</v>
      </c>
      <c r="G985" s="106" t="n">
        <v>2019</v>
      </c>
      <c r="H985" s="106" t="n">
        <v>9</v>
      </c>
      <c r="I985" s="129" t="n">
        <v>43820</v>
      </c>
      <c r="J985" s="129" t="n">
        <v>43820</v>
      </c>
      <c r="K985" s="107" t="n">
        <v>34897.32</v>
      </c>
      <c r="L985" s="130" t="n">
        <f aca="false">K985-Q985+T985</f>
        <v>29574</v>
      </c>
      <c r="M985" s="106" t="s">
        <v>149</v>
      </c>
      <c r="N985" s="106" t="n">
        <v>34897.32</v>
      </c>
      <c r="O985" s="106" t="s">
        <v>149</v>
      </c>
      <c r="P985" s="106" t="n">
        <v>0</v>
      </c>
      <c r="Q985" s="107" t="n">
        <v>5323.32</v>
      </c>
      <c r="R985" s="106" t="n">
        <v>29574</v>
      </c>
      <c r="S985" s="106" t="n">
        <v>0</v>
      </c>
      <c r="T985" s="106" t="n">
        <v>0</v>
      </c>
      <c r="U985" s="106" t="n">
        <v>312193</v>
      </c>
      <c r="V985" s="106" t="s">
        <v>1963</v>
      </c>
      <c r="Z985" s="106" t="n">
        <v>62391</v>
      </c>
      <c r="AB985" s="106" t="s">
        <v>2362</v>
      </c>
      <c r="AD985" s="106" t="n">
        <v>110000</v>
      </c>
      <c r="AE985" s="106" t="s">
        <v>1966</v>
      </c>
      <c r="AF985" s="106" t="n">
        <v>501005</v>
      </c>
      <c r="AG985" s="106" t="s">
        <v>2033</v>
      </c>
      <c r="AI985" s="106" t="n">
        <v>501005</v>
      </c>
      <c r="AJ985" s="106" t="s">
        <v>2033</v>
      </c>
      <c r="AK985" s="106" t="n">
        <v>0</v>
      </c>
      <c r="AL985" s="106" t="n">
        <v>1</v>
      </c>
      <c r="AM985" s="106" t="s">
        <v>161</v>
      </c>
      <c r="AP985" s="106" t="n">
        <v>100194025</v>
      </c>
      <c r="AQ985" s="129" t="n">
        <v>43824</v>
      </c>
      <c r="AR985" s="129" t="n">
        <v>43820</v>
      </c>
      <c r="AS985" s="106" t="n">
        <v>0.629675925925926</v>
      </c>
      <c r="AT985" s="106" t="n">
        <v>0</v>
      </c>
      <c r="AU985" s="106" t="n">
        <v>0</v>
      </c>
      <c r="AX985" s="106" t="n">
        <v>1</v>
      </c>
      <c r="ALU985" s="0"/>
      <c r="ALV985" s="0"/>
      <c r="ALW985" s="0"/>
      <c r="ALX985" s="0"/>
      <c r="ALY985" s="0"/>
      <c r="ALZ985" s="0"/>
      <c r="AMA985" s="0"/>
      <c r="AMB985" s="0"/>
      <c r="AMC985" s="0"/>
      <c r="AMD985" s="0"/>
      <c r="AME985" s="0"/>
      <c r="AMF985" s="0"/>
      <c r="AMG985" s="0"/>
      <c r="AMH985" s="0"/>
      <c r="AMI985" s="0"/>
      <c r="AMJ985" s="0"/>
    </row>
    <row r="986" customFormat="false" ht="13.8" hidden="true" customHeight="false" outlineLevel="0" collapsed="false">
      <c r="A986" s="117" t="n">
        <v>1000</v>
      </c>
      <c r="B986" s="117" t="s">
        <v>1962</v>
      </c>
      <c r="C986" s="117" t="n">
        <v>1600000316</v>
      </c>
      <c r="D986" s="117" t="s">
        <v>2354</v>
      </c>
      <c r="E986" s="117" t="s">
        <v>1987</v>
      </c>
      <c r="F986" s="117" t="n">
        <v>1101</v>
      </c>
      <c r="G986" s="117" t="n">
        <v>2019</v>
      </c>
      <c r="H986" s="117" t="n">
        <v>8</v>
      </c>
      <c r="I986" s="118" t="n">
        <v>43798</v>
      </c>
      <c r="J986" s="118" t="n">
        <v>43798</v>
      </c>
      <c r="K986" s="119" t="n">
        <v>-159</v>
      </c>
      <c r="L986" s="128" t="n">
        <f aca="false">K986-Q986+T986</f>
        <v>-159</v>
      </c>
      <c r="M986" s="117" t="s">
        <v>149</v>
      </c>
      <c r="N986" s="117" t="n">
        <v>-159</v>
      </c>
      <c r="O986" s="117" t="s">
        <v>149</v>
      </c>
      <c r="P986" s="117" t="n">
        <v>-159</v>
      </c>
      <c r="Q986" s="117" t="n">
        <v>0</v>
      </c>
      <c r="R986" s="117" t="n">
        <v>-159</v>
      </c>
      <c r="S986" s="117" t="n">
        <v>0</v>
      </c>
      <c r="T986" s="117" t="n">
        <v>0</v>
      </c>
      <c r="U986" s="117" t="n">
        <v>318420</v>
      </c>
      <c r="V986" s="117" t="s">
        <v>2153</v>
      </c>
      <c r="X986" s="117" t="s">
        <v>2527</v>
      </c>
      <c r="Y986" s="117" t="s">
        <v>2354</v>
      </c>
      <c r="Z986" s="117" t="n">
        <v>1600000316</v>
      </c>
      <c r="AD986" s="117" t="n">
        <v>310300</v>
      </c>
      <c r="AE986" s="117" t="s">
        <v>1969</v>
      </c>
      <c r="AF986" s="117" t="n">
        <v>111201</v>
      </c>
      <c r="AG986" s="117" t="s">
        <v>2165</v>
      </c>
      <c r="AI986" s="117" t="n">
        <v>111201</v>
      </c>
      <c r="AJ986" s="117" t="s">
        <v>2165</v>
      </c>
      <c r="AK986" s="117" t="n">
        <v>0</v>
      </c>
      <c r="AL986" s="117" t="n">
        <v>19</v>
      </c>
      <c r="AM986" s="117" t="s">
        <v>225</v>
      </c>
      <c r="AN986" s="117" t="s">
        <v>1978</v>
      </c>
      <c r="AR986" s="118" t="n">
        <v>43798</v>
      </c>
      <c r="AS986" s="117" t="n">
        <v>0.956412037037037</v>
      </c>
      <c r="AT986" s="117" t="n">
        <v>0</v>
      </c>
      <c r="AU986" s="117" t="n">
        <v>0</v>
      </c>
      <c r="AX986" s="117" t="n">
        <v>4</v>
      </c>
    </row>
    <row r="987" customFormat="false" ht="13.8" hidden="true" customHeight="false" outlineLevel="0" collapsed="false">
      <c r="A987" s="117" t="n">
        <v>1000</v>
      </c>
      <c r="B987" s="117" t="s">
        <v>1962</v>
      </c>
      <c r="C987" s="117" t="n">
        <v>100194025</v>
      </c>
      <c r="E987" s="117" t="s">
        <v>1921</v>
      </c>
      <c r="F987" s="117" t="n">
        <v>1112</v>
      </c>
      <c r="G987" s="117" t="n">
        <v>2019</v>
      </c>
      <c r="H987" s="117" t="n">
        <v>9</v>
      </c>
      <c r="I987" s="118" t="n">
        <v>43824</v>
      </c>
      <c r="J987" s="118" t="n">
        <v>43824</v>
      </c>
      <c r="K987" s="119" t="n">
        <v>155099.2</v>
      </c>
      <c r="L987" s="128" t="n">
        <f aca="false">K987-Q987+T987</f>
        <v>155099.2</v>
      </c>
      <c r="M987" s="117" t="s">
        <v>149</v>
      </c>
      <c r="N987" s="117" t="n">
        <v>155099.2</v>
      </c>
      <c r="O987" s="117" t="s">
        <v>149</v>
      </c>
      <c r="P987" s="117" t="n">
        <v>0</v>
      </c>
      <c r="Q987" s="117" t="n">
        <v>0</v>
      </c>
      <c r="R987" s="117" t="n">
        <v>155099.2</v>
      </c>
      <c r="S987" s="117" t="n">
        <v>0</v>
      </c>
      <c r="T987" s="117" t="n">
        <v>0</v>
      </c>
      <c r="U987" s="117" t="n">
        <v>312193</v>
      </c>
      <c r="V987" s="117" t="s">
        <v>1963</v>
      </c>
      <c r="X987" s="117" t="s">
        <v>1741</v>
      </c>
      <c r="Z987" s="117" t="n">
        <v>62396</v>
      </c>
      <c r="AB987" s="117" t="s">
        <v>2362</v>
      </c>
      <c r="AD987" s="117" t="n">
        <v>110000</v>
      </c>
      <c r="AE987" s="117" t="s">
        <v>1966</v>
      </c>
      <c r="AF987" s="117" t="n">
        <v>110000</v>
      </c>
      <c r="AG987" s="117" t="s">
        <v>1966</v>
      </c>
      <c r="AI987" s="117" t="n">
        <v>110000</v>
      </c>
      <c r="AJ987" s="117" t="s">
        <v>1966</v>
      </c>
      <c r="AK987" s="117" t="n">
        <v>0</v>
      </c>
      <c r="AL987" s="117" t="n">
        <v>4</v>
      </c>
      <c r="AM987" s="117" t="s">
        <v>161</v>
      </c>
      <c r="AR987" s="118" t="n">
        <v>43824</v>
      </c>
      <c r="AS987" s="117" t="n">
        <v>0.371284722222222</v>
      </c>
      <c r="AT987" s="117" t="n">
        <v>0</v>
      </c>
      <c r="AU987" s="117" t="n">
        <v>0</v>
      </c>
      <c r="AX987" s="117" t="n">
        <v>32</v>
      </c>
    </row>
    <row r="988" customFormat="false" ht="13.8" hidden="true" customHeight="false" outlineLevel="0" collapsed="false">
      <c r="A988" s="117" t="n">
        <v>1000</v>
      </c>
      <c r="B988" s="117" t="s">
        <v>1962</v>
      </c>
      <c r="C988" s="117" t="n">
        <v>100199795</v>
      </c>
      <c r="E988" s="117" t="s">
        <v>1921</v>
      </c>
      <c r="F988" s="117" t="n">
        <v>1109</v>
      </c>
      <c r="G988" s="117" t="n">
        <v>2019</v>
      </c>
      <c r="H988" s="117" t="n">
        <v>9</v>
      </c>
      <c r="I988" s="118" t="n">
        <v>43830</v>
      </c>
      <c r="J988" s="118" t="n">
        <v>43830</v>
      </c>
      <c r="K988" s="119" t="n">
        <v>-2407200</v>
      </c>
      <c r="L988" s="128" t="n">
        <f aca="false">K988-Q988+T988</f>
        <v>-2407200</v>
      </c>
      <c r="M988" s="117" t="s">
        <v>149</v>
      </c>
      <c r="N988" s="117" t="n">
        <v>-2407200</v>
      </c>
      <c r="O988" s="117" t="s">
        <v>149</v>
      </c>
      <c r="P988" s="117" t="n">
        <v>0</v>
      </c>
      <c r="Q988" s="117" t="n">
        <v>0</v>
      </c>
      <c r="R988" s="117" t="n">
        <v>-2407200</v>
      </c>
      <c r="S988" s="117" t="n">
        <v>0</v>
      </c>
      <c r="T988" s="117" t="n">
        <v>0</v>
      </c>
      <c r="U988" s="117" t="n">
        <v>311155</v>
      </c>
      <c r="V988" s="117" t="s">
        <v>2022</v>
      </c>
      <c r="Z988" s="117" t="n">
        <v>100199795</v>
      </c>
      <c r="AD988" s="117" t="n">
        <v>110000</v>
      </c>
      <c r="AE988" s="117" t="s">
        <v>1966</v>
      </c>
      <c r="AF988" s="117" t="n">
        <v>310300</v>
      </c>
      <c r="AG988" s="117" t="s">
        <v>1969</v>
      </c>
      <c r="AI988" s="117" t="n">
        <v>310300</v>
      </c>
      <c r="AJ988" s="117" t="s">
        <v>1969</v>
      </c>
      <c r="AK988" s="117" t="n">
        <v>0</v>
      </c>
      <c r="AL988" s="117" t="n">
        <v>17</v>
      </c>
      <c r="AM988" s="117" t="s">
        <v>225</v>
      </c>
      <c r="AP988" s="117" t="n">
        <v>100199795</v>
      </c>
      <c r="AQ988" s="118" t="n">
        <v>43830</v>
      </c>
      <c r="AR988" s="118" t="n">
        <v>43830</v>
      </c>
      <c r="AS988" s="117" t="n">
        <v>0.269201388888889</v>
      </c>
      <c r="AT988" s="117" t="n">
        <v>0</v>
      </c>
      <c r="AU988" s="117" t="n">
        <v>0</v>
      </c>
      <c r="AX988" s="117" t="n">
        <v>1</v>
      </c>
    </row>
    <row r="989" customFormat="false" ht="13.8" hidden="true" customHeight="false" outlineLevel="0" collapsed="false">
      <c r="A989" s="117" t="n">
        <v>1000</v>
      </c>
      <c r="B989" s="117" t="s">
        <v>1962</v>
      </c>
      <c r="C989" s="117" t="n">
        <v>100162592</v>
      </c>
      <c r="E989" s="117" t="s">
        <v>1921</v>
      </c>
      <c r="F989" s="117" t="n">
        <v>1109</v>
      </c>
      <c r="G989" s="117" t="n">
        <v>2019</v>
      </c>
      <c r="H989" s="117" t="n">
        <v>8</v>
      </c>
      <c r="I989" s="118" t="n">
        <v>43792</v>
      </c>
      <c r="J989" s="118" t="n">
        <v>43792</v>
      </c>
      <c r="K989" s="119" t="n">
        <v>1970625.31</v>
      </c>
      <c r="L989" s="128" t="n">
        <f aca="false">K989-Q989+T989</f>
        <v>1970625.31</v>
      </c>
      <c r="M989" s="117" t="s">
        <v>149</v>
      </c>
      <c r="N989" s="117" t="n">
        <v>1970625.31</v>
      </c>
      <c r="O989" s="117" t="s">
        <v>149</v>
      </c>
      <c r="P989" s="117" t="n">
        <v>0</v>
      </c>
      <c r="Q989" s="117" t="n">
        <v>0</v>
      </c>
      <c r="R989" s="117" t="n">
        <v>1970625.31</v>
      </c>
      <c r="S989" s="117" t="n">
        <v>0</v>
      </c>
      <c r="T989" s="117" t="n">
        <v>0</v>
      </c>
      <c r="U989" s="117" t="n">
        <v>307259</v>
      </c>
      <c r="V989" s="117" t="s">
        <v>143</v>
      </c>
      <c r="X989" s="117" t="s">
        <v>1179</v>
      </c>
      <c r="Z989" s="117" t="n">
        <v>61927</v>
      </c>
      <c r="AB989" s="117" t="s">
        <v>2406</v>
      </c>
      <c r="AD989" s="117" t="n">
        <v>110000</v>
      </c>
      <c r="AE989" s="117" t="s">
        <v>1966</v>
      </c>
      <c r="AF989" s="117" t="n">
        <v>110000</v>
      </c>
      <c r="AG989" s="117" t="s">
        <v>1966</v>
      </c>
      <c r="AI989" s="117" t="n">
        <v>110000</v>
      </c>
      <c r="AJ989" s="117" t="s">
        <v>1966</v>
      </c>
      <c r="AK989" s="117" t="n">
        <v>0</v>
      </c>
      <c r="AL989" s="117" t="n">
        <v>4</v>
      </c>
      <c r="AM989" s="117" t="s">
        <v>161</v>
      </c>
      <c r="AP989" s="117" t="n">
        <v>100229118</v>
      </c>
      <c r="AQ989" s="118" t="n">
        <v>43856</v>
      </c>
      <c r="AR989" s="118" t="n">
        <v>43792</v>
      </c>
      <c r="AS989" s="117" t="n">
        <v>0.657199074074074</v>
      </c>
      <c r="AT989" s="117" t="n">
        <v>0</v>
      </c>
      <c r="AU989" s="117" t="n">
        <v>0</v>
      </c>
      <c r="AX989" s="117" t="n">
        <v>1</v>
      </c>
    </row>
    <row r="990" customFormat="false" ht="13.8" hidden="true" customHeight="false" outlineLevel="0" collapsed="false">
      <c r="A990" s="117" t="n">
        <v>1000</v>
      </c>
      <c r="B990" s="117" t="s">
        <v>1962</v>
      </c>
      <c r="C990" s="117" t="n">
        <v>100199799</v>
      </c>
      <c r="E990" s="117" t="s">
        <v>1921</v>
      </c>
      <c r="F990" s="117" t="n">
        <v>1112</v>
      </c>
      <c r="G990" s="117" t="n">
        <v>2019</v>
      </c>
      <c r="H990" s="117" t="n">
        <v>9</v>
      </c>
      <c r="I990" s="118" t="n">
        <v>43830</v>
      </c>
      <c r="J990" s="118" t="n">
        <v>43830</v>
      </c>
      <c r="K990" s="119" t="n">
        <v>20268.25</v>
      </c>
      <c r="L990" s="128" t="n">
        <f aca="false">K990-Q990+T990</f>
        <v>20268.25</v>
      </c>
      <c r="M990" s="117" t="s">
        <v>149</v>
      </c>
      <c r="N990" s="117" t="n">
        <v>20268.25</v>
      </c>
      <c r="O990" s="117" t="s">
        <v>149</v>
      </c>
      <c r="P990" s="117" t="n">
        <v>0</v>
      </c>
      <c r="Q990" s="117" t="n">
        <v>0</v>
      </c>
      <c r="R990" s="117" t="n">
        <v>20268.25</v>
      </c>
      <c r="S990" s="117" t="n">
        <v>0</v>
      </c>
      <c r="T990" s="117" t="n">
        <v>0</v>
      </c>
      <c r="U990" s="117" t="n">
        <v>312193</v>
      </c>
      <c r="V990" s="117" t="s">
        <v>1963</v>
      </c>
      <c r="X990" s="117" t="s">
        <v>2528</v>
      </c>
      <c r="Z990" s="117" t="n">
        <v>62195</v>
      </c>
      <c r="AB990" s="117" t="s">
        <v>2350</v>
      </c>
      <c r="AD990" s="117" t="n">
        <v>110000</v>
      </c>
      <c r="AE990" s="117" t="s">
        <v>1966</v>
      </c>
      <c r="AF990" s="117" t="n">
        <v>110000</v>
      </c>
      <c r="AG990" s="117" t="s">
        <v>1966</v>
      </c>
      <c r="AI990" s="117" t="n">
        <v>110000</v>
      </c>
      <c r="AJ990" s="117" t="s">
        <v>1966</v>
      </c>
      <c r="AK990" s="117" t="n">
        <v>0</v>
      </c>
      <c r="AL990" s="117" t="n">
        <v>4</v>
      </c>
      <c r="AM990" s="117" t="s">
        <v>161</v>
      </c>
      <c r="AR990" s="118" t="n">
        <v>43830</v>
      </c>
      <c r="AS990" s="117" t="n">
        <v>0.279467592592593</v>
      </c>
      <c r="AT990" s="117" t="n">
        <v>0</v>
      </c>
      <c r="AU990" s="117" t="n">
        <v>0</v>
      </c>
      <c r="AX990" s="117" t="n">
        <v>7</v>
      </c>
    </row>
    <row r="991" s="106" customFormat="true" ht="13.8" hidden="true" customHeight="false" outlineLevel="0" collapsed="false">
      <c r="A991" s="106" t="n">
        <v>1000</v>
      </c>
      <c r="B991" s="106" t="s">
        <v>1962</v>
      </c>
      <c r="C991" s="106" t="n">
        <v>110424</v>
      </c>
      <c r="D991" s="106" t="s">
        <v>1732</v>
      </c>
      <c r="E991" s="106" t="s">
        <v>1970</v>
      </c>
      <c r="F991" s="106" t="n">
        <v>1112</v>
      </c>
      <c r="G991" s="106" t="n">
        <v>2019</v>
      </c>
      <c r="H991" s="106" t="n">
        <v>9</v>
      </c>
      <c r="I991" s="129" t="n">
        <v>43820</v>
      </c>
      <c r="J991" s="129" t="n">
        <v>43820</v>
      </c>
      <c r="K991" s="107" t="n">
        <v>40713.54</v>
      </c>
      <c r="L991" s="130" t="n">
        <f aca="false">K991-Q991+T991</f>
        <v>34503</v>
      </c>
      <c r="M991" s="106" t="s">
        <v>149</v>
      </c>
      <c r="N991" s="106" t="n">
        <v>40713.54</v>
      </c>
      <c r="O991" s="106" t="s">
        <v>149</v>
      </c>
      <c r="P991" s="106" t="n">
        <v>0</v>
      </c>
      <c r="Q991" s="107" t="n">
        <v>6210.54</v>
      </c>
      <c r="R991" s="106" t="n">
        <v>34503</v>
      </c>
      <c r="S991" s="106" t="n">
        <v>0</v>
      </c>
      <c r="T991" s="106" t="n">
        <v>0</v>
      </c>
      <c r="U991" s="106" t="n">
        <v>312193</v>
      </c>
      <c r="V991" s="106" t="s">
        <v>1963</v>
      </c>
      <c r="Z991" s="106" t="n">
        <v>62200</v>
      </c>
      <c r="AB991" s="106" t="s">
        <v>2362</v>
      </c>
      <c r="AD991" s="106" t="n">
        <v>110000</v>
      </c>
      <c r="AE991" s="106" t="s">
        <v>1966</v>
      </c>
      <c r="AF991" s="106" t="n">
        <v>501005</v>
      </c>
      <c r="AG991" s="106" t="s">
        <v>2033</v>
      </c>
      <c r="AI991" s="106" t="n">
        <v>501005</v>
      </c>
      <c r="AJ991" s="106" t="s">
        <v>2033</v>
      </c>
      <c r="AK991" s="106" t="n">
        <v>0</v>
      </c>
      <c r="AL991" s="106" t="n">
        <v>1</v>
      </c>
      <c r="AM991" s="106" t="s">
        <v>161</v>
      </c>
      <c r="AP991" s="106" t="n">
        <v>100194025</v>
      </c>
      <c r="AQ991" s="129" t="n">
        <v>43824</v>
      </c>
      <c r="AR991" s="129" t="n">
        <v>43820</v>
      </c>
      <c r="AS991" s="106" t="n">
        <v>0.626805555555556</v>
      </c>
      <c r="AT991" s="106" t="n">
        <v>0</v>
      </c>
      <c r="AU991" s="106" t="n">
        <v>0</v>
      </c>
      <c r="AX991" s="106" t="n">
        <v>1</v>
      </c>
      <c r="ALU991" s="0"/>
      <c r="ALV991" s="0"/>
      <c r="ALW991" s="0"/>
      <c r="ALX991" s="0"/>
      <c r="ALY991" s="0"/>
      <c r="ALZ991" s="0"/>
      <c r="AMA991" s="0"/>
      <c r="AMB991" s="0"/>
      <c r="AMC991" s="0"/>
      <c r="AMD991" s="0"/>
      <c r="AME991" s="0"/>
      <c r="AMF991" s="0"/>
      <c r="AMG991" s="0"/>
      <c r="AMH991" s="0"/>
      <c r="AMI991" s="0"/>
      <c r="AMJ991" s="0"/>
    </row>
    <row r="992" customFormat="false" ht="13.8" hidden="true" customHeight="false" outlineLevel="0" collapsed="false">
      <c r="A992" s="117" t="n">
        <v>1000</v>
      </c>
      <c r="B992" s="117" t="s">
        <v>1962</v>
      </c>
      <c r="C992" s="117" t="n">
        <v>1600000267</v>
      </c>
      <c r="D992" s="117" t="s">
        <v>2427</v>
      </c>
      <c r="E992" s="117" t="s">
        <v>1987</v>
      </c>
      <c r="F992" s="117" t="n">
        <v>1106</v>
      </c>
      <c r="G992" s="117" t="n">
        <v>2019</v>
      </c>
      <c r="H992" s="117" t="n">
        <v>7</v>
      </c>
      <c r="I992" s="118" t="n">
        <v>43769</v>
      </c>
      <c r="J992" s="118" t="n">
        <v>43769</v>
      </c>
      <c r="K992" s="119" t="n">
        <v>-448</v>
      </c>
      <c r="L992" s="128" t="n">
        <f aca="false">K992-Q992+T992</f>
        <v>-448</v>
      </c>
      <c r="M992" s="117" t="s">
        <v>149</v>
      </c>
      <c r="N992" s="117" t="n">
        <v>-448</v>
      </c>
      <c r="O992" s="117" t="s">
        <v>149</v>
      </c>
      <c r="P992" s="117" t="n">
        <v>-448</v>
      </c>
      <c r="Q992" s="117" t="n">
        <v>0</v>
      </c>
      <c r="R992" s="117" t="n">
        <v>-448</v>
      </c>
      <c r="S992" s="117" t="n">
        <v>0</v>
      </c>
      <c r="T992" s="117" t="n">
        <v>0</v>
      </c>
      <c r="U992" s="117" t="n">
        <v>312193</v>
      </c>
      <c r="V992" s="117" t="s">
        <v>1963</v>
      </c>
      <c r="X992" s="117" t="s">
        <v>2285</v>
      </c>
      <c r="Y992" s="117" t="s">
        <v>2428</v>
      </c>
      <c r="Z992" s="117" t="n">
        <v>1600000267</v>
      </c>
      <c r="AD992" s="117" t="n">
        <v>310300</v>
      </c>
      <c r="AE992" s="117" t="s">
        <v>1969</v>
      </c>
      <c r="AF992" s="117" t="n">
        <v>312193</v>
      </c>
      <c r="AG992" s="117" t="s">
        <v>1963</v>
      </c>
      <c r="AI992" s="117" t="n">
        <v>312193</v>
      </c>
      <c r="AJ992" s="131" t="s">
        <v>1963</v>
      </c>
      <c r="AK992" s="117" t="n">
        <v>0</v>
      </c>
      <c r="AL992" s="117" t="n">
        <v>19</v>
      </c>
      <c r="AM992" s="117" t="s">
        <v>225</v>
      </c>
      <c r="AN992" s="117" t="s">
        <v>1978</v>
      </c>
      <c r="AR992" s="118" t="n">
        <v>43770</v>
      </c>
      <c r="AS992" s="117" t="n">
        <v>0.522673611111111</v>
      </c>
      <c r="AT992" s="117" t="n">
        <v>0</v>
      </c>
      <c r="AU992" s="117" t="n">
        <v>0</v>
      </c>
      <c r="AX992" s="117" t="n">
        <v>2</v>
      </c>
    </row>
    <row r="993" s="106" customFormat="true" ht="13.8" hidden="true" customHeight="false" outlineLevel="0" collapsed="false">
      <c r="A993" s="106" t="n">
        <v>1000</v>
      </c>
      <c r="B993" s="106" t="s">
        <v>1962</v>
      </c>
      <c r="C993" s="106" t="n">
        <v>113024</v>
      </c>
      <c r="D993" s="106" t="s">
        <v>2529</v>
      </c>
      <c r="E993" s="106" t="s">
        <v>1970</v>
      </c>
      <c r="F993" s="106" t="n">
        <v>1109</v>
      </c>
      <c r="G993" s="106" t="n">
        <v>2019</v>
      </c>
      <c r="H993" s="106" t="n">
        <v>11</v>
      </c>
      <c r="I993" s="129" t="n">
        <v>43883</v>
      </c>
      <c r="J993" s="129" t="n">
        <v>43883</v>
      </c>
      <c r="K993" s="107" t="n">
        <v>370049.18</v>
      </c>
      <c r="L993" s="130" t="n">
        <f aca="false">K993-Q993+T993</f>
        <v>313601</v>
      </c>
      <c r="M993" s="106" t="s">
        <v>149</v>
      </c>
      <c r="N993" s="106" t="n">
        <v>370049.18</v>
      </c>
      <c r="O993" s="106" t="s">
        <v>149</v>
      </c>
      <c r="P993" s="106" t="n">
        <v>0</v>
      </c>
      <c r="Q993" s="107" t="n">
        <v>56448.18</v>
      </c>
      <c r="R993" s="106" t="n">
        <v>313601</v>
      </c>
      <c r="S993" s="106" t="n">
        <v>0</v>
      </c>
      <c r="T993" s="106" t="n">
        <v>0</v>
      </c>
      <c r="U993" s="106" t="n">
        <v>312193</v>
      </c>
      <c r="V993" s="106" t="s">
        <v>1963</v>
      </c>
      <c r="Z993" s="106" t="n">
        <v>63775</v>
      </c>
      <c r="AB993" s="106" t="s">
        <v>2469</v>
      </c>
      <c r="AD993" s="106" t="n">
        <v>110000</v>
      </c>
      <c r="AE993" s="106" t="s">
        <v>1966</v>
      </c>
      <c r="AF993" s="106" t="n">
        <v>501005</v>
      </c>
      <c r="AG993" s="106" t="s">
        <v>2033</v>
      </c>
      <c r="AI993" s="106" t="n">
        <v>501005</v>
      </c>
      <c r="AJ993" s="106" t="s">
        <v>2033</v>
      </c>
      <c r="AK993" s="106" t="n">
        <v>0</v>
      </c>
      <c r="AL993" s="106" t="n">
        <v>1</v>
      </c>
      <c r="AM993" s="106" t="s">
        <v>161</v>
      </c>
      <c r="AQ993" s="129"/>
      <c r="AR993" s="129" t="n">
        <v>43883</v>
      </c>
      <c r="AS993" s="106" t="n">
        <v>0.791400462962963</v>
      </c>
      <c r="AT993" s="106" t="n">
        <v>0</v>
      </c>
      <c r="AU993" s="106" t="n">
        <v>0</v>
      </c>
      <c r="AX993" s="106" t="n">
        <v>1</v>
      </c>
      <c r="ALU993" s="0"/>
      <c r="ALV993" s="0"/>
      <c r="ALW993" s="0"/>
      <c r="ALX993" s="0"/>
      <c r="ALY993" s="0"/>
      <c r="ALZ993" s="0"/>
      <c r="AMA993" s="0"/>
      <c r="AMB993" s="0"/>
      <c r="AMC993" s="0"/>
      <c r="AMD993" s="0"/>
      <c r="AME993" s="0"/>
      <c r="AMF993" s="0"/>
      <c r="AMG993" s="0"/>
      <c r="AMH993" s="0"/>
      <c r="AMI993" s="0"/>
      <c r="AMJ993" s="0"/>
    </row>
    <row r="994" customFormat="false" ht="13.8" hidden="true" customHeight="false" outlineLevel="0" collapsed="false">
      <c r="A994" s="117" t="n">
        <v>1000</v>
      </c>
      <c r="B994" s="117" t="s">
        <v>1962</v>
      </c>
      <c r="C994" s="117" t="n">
        <v>100141514</v>
      </c>
      <c r="E994" s="117" t="s">
        <v>1921</v>
      </c>
      <c r="F994" s="117" t="n">
        <v>1101</v>
      </c>
      <c r="G994" s="117" t="n">
        <v>2019</v>
      </c>
      <c r="H994" s="117" t="n">
        <v>7</v>
      </c>
      <c r="I994" s="118" t="n">
        <v>43766</v>
      </c>
      <c r="J994" s="118" t="n">
        <v>43766</v>
      </c>
      <c r="K994" s="119" t="n">
        <v>-3068956.53</v>
      </c>
      <c r="L994" s="128" t="n">
        <f aca="false">K994-Q994+T994</f>
        <v>-3068956.53</v>
      </c>
      <c r="M994" s="117" t="s">
        <v>149</v>
      </c>
      <c r="N994" s="117" t="n">
        <v>-3068956.53</v>
      </c>
      <c r="O994" s="117" t="s">
        <v>149</v>
      </c>
      <c r="P994" s="117" t="n">
        <v>0</v>
      </c>
      <c r="Q994" s="117" t="n">
        <v>0</v>
      </c>
      <c r="R994" s="117" t="n">
        <v>-3068956.53</v>
      </c>
      <c r="S994" s="117" t="n">
        <v>0</v>
      </c>
      <c r="T994" s="117" t="n">
        <v>0</v>
      </c>
      <c r="U994" s="117" t="n">
        <v>318999</v>
      </c>
      <c r="V994" s="117" t="s">
        <v>143</v>
      </c>
      <c r="Z994" s="117" t="n">
        <v>100141514</v>
      </c>
      <c r="AD994" s="117" t="n">
        <v>110000</v>
      </c>
      <c r="AE994" s="117" t="s">
        <v>1966</v>
      </c>
      <c r="AF994" s="117" t="n">
        <v>110000</v>
      </c>
      <c r="AG994" s="117" t="s">
        <v>1966</v>
      </c>
      <c r="AI994" s="117" t="n">
        <v>110000</v>
      </c>
      <c r="AJ994" s="117" t="s">
        <v>1966</v>
      </c>
      <c r="AK994" s="117" t="n">
        <v>0</v>
      </c>
      <c r="AL994" s="117" t="n">
        <v>17</v>
      </c>
      <c r="AM994" s="117" t="s">
        <v>225</v>
      </c>
      <c r="AP994" s="117" t="n">
        <v>100141514</v>
      </c>
      <c r="AQ994" s="118" t="n">
        <v>43766</v>
      </c>
      <c r="AR994" s="118" t="n">
        <v>43766</v>
      </c>
      <c r="AS994" s="117" t="n">
        <v>0.417013888888889</v>
      </c>
      <c r="AT994" s="117" t="n">
        <v>0</v>
      </c>
      <c r="AU994" s="117" t="n">
        <v>0</v>
      </c>
      <c r="AX994" s="117" t="n">
        <v>4</v>
      </c>
    </row>
    <row r="995" customFormat="false" ht="13.8" hidden="true" customHeight="false" outlineLevel="0" collapsed="false">
      <c r="A995" s="117" t="n">
        <v>1000</v>
      </c>
      <c r="B995" s="117" t="s">
        <v>1962</v>
      </c>
      <c r="C995" s="117" t="n">
        <v>100209795</v>
      </c>
      <c r="E995" s="117" t="s">
        <v>1921</v>
      </c>
      <c r="F995" s="117" t="n">
        <v>1109</v>
      </c>
      <c r="G995" s="117" t="n">
        <v>2019</v>
      </c>
      <c r="H995" s="117" t="n">
        <v>9</v>
      </c>
      <c r="I995" s="118" t="n">
        <v>43830</v>
      </c>
      <c r="J995" s="118" t="n">
        <v>43830</v>
      </c>
      <c r="K995" s="119" t="n">
        <v>1250608.57</v>
      </c>
      <c r="L995" s="128" t="n">
        <f aca="false">K995-Q995+T995</f>
        <v>1250608.57</v>
      </c>
      <c r="M995" s="117" t="s">
        <v>149</v>
      </c>
      <c r="N995" s="117" t="n">
        <v>1250608.57</v>
      </c>
      <c r="O995" s="117" t="s">
        <v>149</v>
      </c>
      <c r="P995" s="117" t="n">
        <v>0</v>
      </c>
      <c r="Q995" s="117" t="n">
        <v>0</v>
      </c>
      <c r="R995" s="117" t="n">
        <v>1250608.57</v>
      </c>
      <c r="S995" s="117" t="n">
        <v>0</v>
      </c>
      <c r="T995" s="117" t="n">
        <v>0</v>
      </c>
      <c r="U995" s="117" t="n">
        <v>309728</v>
      </c>
      <c r="V995" s="117" t="s">
        <v>1968</v>
      </c>
      <c r="X995" s="117" t="s">
        <v>2530</v>
      </c>
      <c r="Z995" s="117" t="n">
        <v>62731</v>
      </c>
      <c r="AB995" s="117" t="s">
        <v>2531</v>
      </c>
      <c r="AD995" s="117" t="n">
        <v>110000</v>
      </c>
      <c r="AE995" s="117" t="s">
        <v>1966</v>
      </c>
      <c r="AF995" s="117" t="n">
        <v>110000</v>
      </c>
      <c r="AG995" s="117" t="s">
        <v>1966</v>
      </c>
      <c r="AI995" s="117" t="n">
        <v>110000</v>
      </c>
      <c r="AJ995" s="117" t="s">
        <v>1966</v>
      </c>
      <c r="AK995" s="117" t="n">
        <v>0</v>
      </c>
      <c r="AL995" s="117" t="n">
        <v>4</v>
      </c>
      <c r="AM995" s="117" t="s">
        <v>161</v>
      </c>
      <c r="AR995" s="118" t="n">
        <v>43831</v>
      </c>
      <c r="AS995" s="117" t="n">
        <v>0.181446759259259</v>
      </c>
      <c r="AT995" s="117" t="n">
        <v>0</v>
      </c>
      <c r="AU995" s="117" t="n">
        <v>0</v>
      </c>
      <c r="AX995" s="117" t="n">
        <v>2</v>
      </c>
    </row>
    <row r="996" customFormat="false" ht="13.8" hidden="true" customHeight="false" outlineLevel="0" collapsed="false">
      <c r="A996" s="117" t="n">
        <v>1000</v>
      </c>
      <c r="B996" s="117" t="s">
        <v>1962</v>
      </c>
      <c r="C996" s="117" t="n">
        <v>100199799</v>
      </c>
      <c r="E996" s="117" t="s">
        <v>1921</v>
      </c>
      <c r="F996" s="117" t="n">
        <v>1112</v>
      </c>
      <c r="G996" s="117" t="n">
        <v>2019</v>
      </c>
      <c r="H996" s="117" t="n">
        <v>9</v>
      </c>
      <c r="I996" s="118" t="n">
        <v>43830</v>
      </c>
      <c r="J996" s="118" t="n">
        <v>43830</v>
      </c>
      <c r="K996" s="119" t="n">
        <v>65516.91</v>
      </c>
      <c r="L996" s="128" t="n">
        <f aca="false">K996-Q996+T996</f>
        <v>65516.91</v>
      </c>
      <c r="M996" s="117" t="s">
        <v>149</v>
      </c>
      <c r="N996" s="117" t="n">
        <v>65516.91</v>
      </c>
      <c r="O996" s="117" t="s">
        <v>149</v>
      </c>
      <c r="P996" s="117" t="n">
        <v>0</v>
      </c>
      <c r="Q996" s="117" t="n">
        <v>0</v>
      </c>
      <c r="R996" s="117" t="n">
        <v>65516.91</v>
      </c>
      <c r="S996" s="117" t="n">
        <v>0</v>
      </c>
      <c r="T996" s="117" t="n">
        <v>0</v>
      </c>
      <c r="U996" s="117" t="n">
        <v>312193</v>
      </c>
      <c r="V996" s="117" t="s">
        <v>1963</v>
      </c>
      <c r="X996" s="117" t="s">
        <v>2367</v>
      </c>
      <c r="Z996" s="117" t="n">
        <v>62197</v>
      </c>
      <c r="AB996" s="117" t="s">
        <v>2350</v>
      </c>
      <c r="AD996" s="117" t="n">
        <v>110000</v>
      </c>
      <c r="AE996" s="117" t="s">
        <v>1966</v>
      </c>
      <c r="AF996" s="117" t="n">
        <v>110000</v>
      </c>
      <c r="AG996" s="117" t="s">
        <v>1966</v>
      </c>
      <c r="AI996" s="117" t="n">
        <v>110000</v>
      </c>
      <c r="AJ996" s="117" t="s">
        <v>1966</v>
      </c>
      <c r="AK996" s="117" t="n">
        <v>0</v>
      </c>
      <c r="AL996" s="117" t="n">
        <v>4</v>
      </c>
      <c r="AM996" s="117" t="s">
        <v>161</v>
      </c>
      <c r="AR996" s="118" t="n">
        <v>43830</v>
      </c>
      <c r="AS996" s="117" t="n">
        <v>0.279467592592593</v>
      </c>
      <c r="AT996" s="117" t="n">
        <v>0</v>
      </c>
      <c r="AU996" s="117" t="n">
        <v>0</v>
      </c>
      <c r="AX996" s="117" t="n">
        <v>13</v>
      </c>
    </row>
    <row r="997" customFormat="false" ht="13.8" hidden="true" customHeight="false" outlineLevel="0" collapsed="false">
      <c r="A997" s="117" t="n">
        <v>1000</v>
      </c>
      <c r="B997" s="117" t="s">
        <v>1962</v>
      </c>
      <c r="C997" s="117" t="n">
        <v>100173564</v>
      </c>
      <c r="E997" s="117" t="s">
        <v>1921</v>
      </c>
      <c r="F997" s="117" t="n">
        <v>1108</v>
      </c>
      <c r="G997" s="117" t="n">
        <v>2019</v>
      </c>
      <c r="H997" s="117" t="n">
        <v>8</v>
      </c>
      <c r="I997" s="118" t="n">
        <v>43799</v>
      </c>
      <c r="J997" s="118" t="n">
        <v>43799</v>
      </c>
      <c r="K997" s="119" t="n">
        <v>59059</v>
      </c>
      <c r="L997" s="128" t="n">
        <f aca="false">K997-Q997+T997</f>
        <v>59059</v>
      </c>
      <c r="M997" s="117" t="s">
        <v>149</v>
      </c>
      <c r="N997" s="117" t="n">
        <v>59059</v>
      </c>
      <c r="O997" s="117" t="s">
        <v>149</v>
      </c>
      <c r="P997" s="117" t="n">
        <v>0</v>
      </c>
      <c r="Q997" s="117" t="n">
        <v>0</v>
      </c>
      <c r="R997" s="117" t="n">
        <v>59059</v>
      </c>
      <c r="S997" s="117" t="n">
        <v>0</v>
      </c>
      <c r="T997" s="117" t="n">
        <v>0</v>
      </c>
      <c r="U997" s="117" t="n">
        <v>312193</v>
      </c>
      <c r="V997" s="117" t="s">
        <v>1963</v>
      </c>
      <c r="X997" s="117" t="s">
        <v>1636</v>
      </c>
      <c r="Z997" s="117" t="n">
        <v>61044</v>
      </c>
      <c r="AB997" s="117" t="s">
        <v>2109</v>
      </c>
      <c r="AD997" s="117" t="n">
        <v>110000</v>
      </c>
      <c r="AE997" s="117" t="s">
        <v>1966</v>
      </c>
      <c r="AF997" s="117" t="n">
        <v>110000</v>
      </c>
      <c r="AG997" s="117" t="s">
        <v>1966</v>
      </c>
      <c r="AI997" s="117" t="n">
        <v>110000</v>
      </c>
      <c r="AJ997" s="117" t="s">
        <v>1966</v>
      </c>
      <c r="AK997" s="117" t="n">
        <v>0</v>
      </c>
      <c r="AL997" s="117" t="n">
        <v>4</v>
      </c>
      <c r="AM997" s="117" t="s">
        <v>161</v>
      </c>
      <c r="AR997" s="118" t="n">
        <v>43800</v>
      </c>
      <c r="AS997" s="117" t="n">
        <v>0.649189814814815</v>
      </c>
      <c r="AT997" s="117" t="n">
        <v>0</v>
      </c>
      <c r="AU997" s="117" t="n">
        <v>0</v>
      </c>
      <c r="AX997" s="117" t="n">
        <v>18</v>
      </c>
    </row>
    <row r="998" customFormat="false" ht="13.8" hidden="true" customHeight="false" outlineLevel="0" collapsed="false">
      <c r="A998" s="117" t="n">
        <v>1000</v>
      </c>
      <c r="B998" s="117" t="s">
        <v>1962</v>
      </c>
      <c r="C998" s="117" t="n">
        <v>100173530</v>
      </c>
      <c r="E998" s="117" t="s">
        <v>1921</v>
      </c>
      <c r="F998" s="117" t="n">
        <v>1109</v>
      </c>
      <c r="G998" s="117" t="n">
        <v>2019</v>
      </c>
      <c r="H998" s="117" t="n">
        <v>8</v>
      </c>
      <c r="I998" s="118" t="n">
        <v>43799</v>
      </c>
      <c r="J998" s="118" t="n">
        <v>43799</v>
      </c>
      <c r="K998" s="119" t="n">
        <v>7673</v>
      </c>
      <c r="L998" s="128" t="n">
        <f aca="false">K998-Q998+T998</f>
        <v>7673</v>
      </c>
      <c r="M998" s="117" t="s">
        <v>149</v>
      </c>
      <c r="N998" s="117" t="n">
        <v>7673</v>
      </c>
      <c r="O998" s="117" t="s">
        <v>149</v>
      </c>
      <c r="P998" s="117" t="n">
        <v>0</v>
      </c>
      <c r="Q998" s="117" t="n">
        <v>0</v>
      </c>
      <c r="R998" s="117" t="n">
        <v>7673</v>
      </c>
      <c r="S998" s="117" t="n">
        <v>0</v>
      </c>
      <c r="T998" s="117" t="n">
        <v>0</v>
      </c>
      <c r="U998" s="117" t="n">
        <v>312193</v>
      </c>
      <c r="V998" s="117" t="s">
        <v>1963</v>
      </c>
      <c r="X998" s="117" t="s">
        <v>2532</v>
      </c>
      <c r="Z998" s="117" t="n">
        <v>2316</v>
      </c>
      <c r="AB998" s="117" t="s">
        <v>1965</v>
      </c>
      <c r="AD998" s="117" t="n">
        <v>110000</v>
      </c>
      <c r="AE998" s="117" t="s">
        <v>1966</v>
      </c>
      <c r="AF998" s="117" t="n">
        <v>110000</v>
      </c>
      <c r="AG998" s="117" t="s">
        <v>1966</v>
      </c>
      <c r="AI998" s="117" t="n">
        <v>110000</v>
      </c>
      <c r="AJ998" s="117" t="s">
        <v>1966</v>
      </c>
      <c r="AK998" s="117" t="n">
        <v>0</v>
      </c>
      <c r="AL998" s="117" t="n">
        <v>4</v>
      </c>
      <c r="AM998" s="117" t="s">
        <v>161</v>
      </c>
      <c r="AR998" s="118" t="n">
        <v>43800</v>
      </c>
      <c r="AS998" s="117" t="n">
        <v>0.629131944444444</v>
      </c>
      <c r="AT998" s="117" t="n">
        <v>0</v>
      </c>
      <c r="AU998" s="117" t="n">
        <v>0</v>
      </c>
      <c r="AX998" s="117" t="n">
        <v>5</v>
      </c>
    </row>
    <row r="999" s="106" customFormat="true" ht="13.8" hidden="true" customHeight="false" outlineLevel="0" collapsed="false">
      <c r="A999" s="106" t="n">
        <v>1000</v>
      </c>
      <c r="B999" s="106" t="s">
        <v>1962</v>
      </c>
      <c r="C999" s="106" t="n">
        <v>113026</v>
      </c>
      <c r="D999" s="106" t="s">
        <v>2533</v>
      </c>
      <c r="E999" s="106" t="s">
        <v>1970</v>
      </c>
      <c r="F999" s="106" t="n">
        <v>1109</v>
      </c>
      <c r="G999" s="106" t="n">
        <v>2019</v>
      </c>
      <c r="H999" s="106" t="n">
        <v>11</v>
      </c>
      <c r="I999" s="129" t="n">
        <v>43883</v>
      </c>
      <c r="J999" s="129" t="n">
        <v>43883</v>
      </c>
      <c r="K999" s="107" t="n">
        <v>1701.84</v>
      </c>
      <c r="L999" s="130" t="n">
        <f aca="false">K999-Q999+T999</f>
        <v>1442.24</v>
      </c>
      <c r="M999" s="106" t="s">
        <v>149</v>
      </c>
      <c r="N999" s="106" t="n">
        <v>1701.84</v>
      </c>
      <c r="O999" s="106" t="s">
        <v>149</v>
      </c>
      <c r="P999" s="106" t="n">
        <v>0</v>
      </c>
      <c r="Q999" s="107" t="n">
        <v>259.6</v>
      </c>
      <c r="R999" s="106" t="n">
        <v>1442.24</v>
      </c>
      <c r="S999" s="106" t="n">
        <v>0</v>
      </c>
      <c r="T999" s="106" t="n">
        <v>0</v>
      </c>
      <c r="U999" s="106" t="n">
        <v>312193</v>
      </c>
      <c r="V999" s="106" t="s">
        <v>1963</v>
      </c>
      <c r="Z999" s="106" t="n">
        <v>63943</v>
      </c>
      <c r="AB999" s="106" t="s">
        <v>2534</v>
      </c>
      <c r="AD999" s="106" t="n">
        <v>110000</v>
      </c>
      <c r="AE999" s="106" t="s">
        <v>1966</v>
      </c>
      <c r="AF999" s="106" t="n">
        <v>501005</v>
      </c>
      <c r="AG999" s="106" t="s">
        <v>2033</v>
      </c>
      <c r="AI999" s="106" t="n">
        <v>501005</v>
      </c>
      <c r="AJ999" s="106" t="s">
        <v>2033</v>
      </c>
      <c r="AK999" s="106" t="n">
        <v>0</v>
      </c>
      <c r="AL999" s="106" t="n">
        <v>1</v>
      </c>
      <c r="AM999" s="106" t="s">
        <v>161</v>
      </c>
      <c r="AQ999" s="129"/>
      <c r="AR999" s="129" t="n">
        <v>43883</v>
      </c>
      <c r="AS999" s="106" t="n">
        <v>0.792291666666667</v>
      </c>
      <c r="AT999" s="106" t="n">
        <v>0</v>
      </c>
      <c r="AU999" s="106" t="n">
        <v>0</v>
      </c>
      <c r="AX999" s="106" t="n">
        <v>1</v>
      </c>
      <c r="ALU999" s="0"/>
      <c r="ALV999" s="0"/>
      <c r="ALW999" s="0"/>
      <c r="ALX999" s="0"/>
      <c r="ALY999" s="0"/>
      <c r="ALZ999" s="0"/>
      <c r="AMA999" s="0"/>
      <c r="AMB999" s="0"/>
      <c r="AMC999" s="0"/>
      <c r="AMD999" s="0"/>
      <c r="AME999" s="0"/>
      <c r="AMF999" s="0"/>
      <c r="AMG999" s="0"/>
      <c r="AMH999" s="0"/>
      <c r="AMI999" s="0"/>
      <c r="AMJ999" s="0"/>
    </row>
    <row r="1000" customFormat="false" ht="13.8" hidden="true" customHeight="false" outlineLevel="0" collapsed="false">
      <c r="A1000" s="117" t="n">
        <v>1000</v>
      </c>
      <c r="B1000" s="117" t="s">
        <v>1962</v>
      </c>
      <c r="C1000" s="117" t="n">
        <v>100143931</v>
      </c>
      <c r="E1000" s="117" t="s">
        <v>1921</v>
      </c>
      <c r="F1000" s="117" t="n">
        <v>1109</v>
      </c>
      <c r="G1000" s="117" t="n">
        <v>2019</v>
      </c>
      <c r="H1000" s="117" t="n">
        <v>7</v>
      </c>
      <c r="I1000" s="118" t="n">
        <v>43769</v>
      </c>
      <c r="J1000" s="118" t="n">
        <v>43769</v>
      </c>
      <c r="K1000" s="119" t="n">
        <v>2407200</v>
      </c>
      <c r="L1000" s="128" t="n">
        <f aca="false">K1000-Q1000+T1000</f>
        <v>2407200</v>
      </c>
      <c r="M1000" s="117" t="s">
        <v>149</v>
      </c>
      <c r="N1000" s="117" t="n">
        <v>2407200</v>
      </c>
      <c r="O1000" s="117" t="s">
        <v>149</v>
      </c>
      <c r="P1000" s="117" t="n">
        <v>0</v>
      </c>
      <c r="Q1000" s="117" t="n">
        <v>0</v>
      </c>
      <c r="R1000" s="117" t="n">
        <v>2407200</v>
      </c>
      <c r="S1000" s="117" t="n">
        <v>0</v>
      </c>
      <c r="T1000" s="117" t="n">
        <v>0</v>
      </c>
      <c r="U1000" s="117" t="n">
        <v>311155</v>
      </c>
      <c r="V1000" s="117" t="s">
        <v>2022</v>
      </c>
      <c r="X1000" s="117" t="s">
        <v>1156</v>
      </c>
      <c r="Z1000" s="117" t="n">
        <v>60514</v>
      </c>
      <c r="AB1000" s="117" t="s">
        <v>2392</v>
      </c>
      <c r="AD1000" s="117" t="n">
        <v>110000</v>
      </c>
      <c r="AE1000" s="117" t="s">
        <v>1966</v>
      </c>
      <c r="AF1000" s="117" t="n">
        <v>110000</v>
      </c>
      <c r="AG1000" s="117" t="s">
        <v>1966</v>
      </c>
      <c r="AI1000" s="117" t="n">
        <v>110000</v>
      </c>
      <c r="AJ1000" s="117" t="s">
        <v>1966</v>
      </c>
      <c r="AK1000" s="117" t="n">
        <v>0</v>
      </c>
      <c r="AL1000" s="117" t="n">
        <v>4</v>
      </c>
      <c r="AM1000" s="117" t="s">
        <v>161</v>
      </c>
      <c r="AP1000" s="117" t="n">
        <v>100199795</v>
      </c>
      <c r="AQ1000" s="118" t="n">
        <v>43830</v>
      </c>
      <c r="AR1000" s="118" t="n">
        <v>43770</v>
      </c>
      <c r="AS1000" s="117" t="n">
        <v>0.207824074074074</v>
      </c>
      <c r="AT1000" s="117" t="n">
        <v>0</v>
      </c>
      <c r="AU1000" s="117" t="n">
        <v>0</v>
      </c>
      <c r="AX1000" s="117" t="n">
        <v>4</v>
      </c>
    </row>
    <row r="1001" s="106" customFormat="true" ht="13.8" hidden="true" customHeight="false" outlineLevel="0" collapsed="false">
      <c r="A1001" s="106" t="n">
        <v>1000</v>
      </c>
      <c r="B1001" s="106" t="s">
        <v>1962</v>
      </c>
      <c r="C1001" s="106" t="n">
        <v>109115</v>
      </c>
      <c r="D1001" s="106" t="s">
        <v>2510</v>
      </c>
      <c r="E1001" s="106" t="s">
        <v>1970</v>
      </c>
      <c r="F1001" s="106" t="n">
        <v>1109</v>
      </c>
      <c r="G1001" s="106" t="n">
        <v>2019</v>
      </c>
      <c r="H1001" s="106" t="n">
        <v>8</v>
      </c>
      <c r="I1001" s="129" t="n">
        <v>43788</v>
      </c>
      <c r="J1001" s="129" t="n">
        <v>43788</v>
      </c>
      <c r="K1001" s="107" t="n">
        <v>42404.1</v>
      </c>
      <c r="L1001" s="130" t="n">
        <f aca="false">K1001-Q1001+T1001</f>
        <v>35935.68</v>
      </c>
      <c r="M1001" s="106" t="s">
        <v>149</v>
      </c>
      <c r="N1001" s="106" t="n">
        <v>42404.1</v>
      </c>
      <c r="O1001" s="106" t="s">
        <v>149</v>
      </c>
      <c r="P1001" s="106" t="n">
        <v>0</v>
      </c>
      <c r="Q1001" s="107" t="n">
        <v>6468.42</v>
      </c>
      <c r="R1001" s="107" t="n">
        <v>35935.68</v>
      </c>
      <c r="S1001" s="106" t="n">
        <v>0</v>
      </c>
      <c r="T1001" s="106" t="n">
        <v>0</v>
      </c>
      <c r="U1001" s="106" t="n">
        <v>312193</v>
      </c>
      <c r="V1001" s="106" t="s">
        <v>1963</v>
      </c>
      <c r="Z1001" s="106" t="n">
        <v>2495</v>
      </c>
      <c r="AB1001" s="106" t="s">
        <v>2451</v>
      </c>
      <c r="AD1001" s="106" t="n">
        <v>110000</v>
      </c>
      <c r="AE1001" s="106" t="s">
        <v>1966</v>
      </c>
      <c r="AF1001" s="106" t="n">
        <v>501020</v>
      </c>
      <c r="AG1001" s="106" t="s">
        <v>1971</v>
      </c>
      <c r="AI1001" s="106" t="n">
        <v>501020</v>
      </c>
      <c r="AJ1001" s="106" t="s">
        <v>1971</v>
      </c>
      <c r="AK1001" s="106" t="n">
        <v>0</v>
      </c>
      <c r="AL1001" s="106" t="n">
        <v>1</v>
      </c>
      <c r="AM1001" s="106" t="s">
        <v>161</v>
      </c>
      <c r="AP1001" s="106" t="n">
        <v>100173564</v>
      </c>
      <c r="AQ1001" s="129" t="n">
        <v>43799</v>
      </c>
      <c r="AR1001" s="129" t="n">
        <v>43788</v>
      </c>
      <c r="AS1001" s="106" t="n">
        <v>0.601516203703704</v>
      </c>
      <c r="AT1001" s="106" t="n">
        <v>0</v>
      </c>
      <c r="AU1001" s="106" t="n">
        <v>0</v>
      </c>
      <c r="AX1001" s="106" t="n">
        <v>1</v>
      </c>
      <c r="ALU1001" s="0"/>
      <c r="ALV1001" s="0"/>
      <c r="ALW1001" s="0"/>
      <c r="ALX1001" s="0"/>
      <c r="ALY1001" s="0"/>
      <c r="ALZ1001" s="0"/>
      <c r="AMA1001" s="0"/>
      <c r="AMB1001" s="0"/>
      <c r="AMC1001" s="0"/>
      <c r="AMD1001" s="0"/>
      <c r="AME1001" s="0"/>
      <c r="AMF1001" s="0"/>
      <c r="AMG1001" s="0"/>
      <c r="AMH1001" s="0"/>
      <c r="AMI1001" s="0"/>
      <c r="AMJ1001" s="0"/>
    </row>
    <row r="1002" customFormat="false" ht="13.8" hidden="true" customHeight="false" outlineLevel="0" collapsed="false">
      <c r="A1002" s="117" t="n">
        <v>1000</v>
      </c>
      <c r="B1002" s="117" t="s">
        <v>1962</v>
      </c>
      <c r="C1002" s="117" t="n">
        <v>100199787</v>
      </c>
      <c r="E1002" s="117" t="s">
        <v>1921</v>
      </c>
      <c r="F1002" s="117" t="n">
        <v>1106</v>
      </c>
      <c r="G1002" s="117" t="n">
        <v>2019</v>
      </c>
      <c r="H1002" s="117" t="n">
        <v>9</v>
      </c>
      <c r="I1002" s="118" t="n">
        <v>43829</v>
      </c>
      <c r="J1002" s="118" t="n">
        <v>43829</v>
      </c>
      <c r="K1002" s="119" t="n">
        <v>2221397.2</v>
      </c>
      <c r="L1002" s="128" t="n">
        <f aca="false">K1002-Q1002+T1002</f>
        <v>2221397.2</v>
      </c>
      <c r="M1002" s="117" t="s">
        <v>149</v>
      </c>
      <c r="N1002" s="117" t="n">
        <v>2221397.2</v>
      </c>
      <c r="O1002" s="117" t="s">
        <v>149</v>
      </c>
      <c r="P1002" s="117" t="n">
        <v>0</v>
      </c>
      <c r="Q1002" s="117" t="n">
        <v>0</v>
      </c>
      <c r="R1002" s="117" t="n">
        <v>2221397.2</v>
      </c>
      <c r="S1002" s="117" t="n">
        <v>0</v>
      </c>
      <c r="T1002" s="117" t="n">
        <v>0</v>
      </c>
      <c r="U1002" s="117" t="n">
        <v>305576</v>
      </c>
      <c r="V1002" s="117" t="s">
        <v>1973</v>
      </c>
      <c r="Z1002" s="117" t="n">
        <v>100199787</v>
      </c>
      <c r="AD1002" s="117" t="n">
        <v>310300</v>
      </c>
      <c r="AE1002" s="117" t="s">
        <v>1969</v>
      </c>
      <c r="AF1002" s="117" t="n">
        <v>110000</v>
      </c>
      <c r="AG1002" s="117" t="s">
        <v>1966</v>
      </c>
      <c r="AI1002" s="117" t="n">
        <v>110000</v>
      </c>
      <c r="AJ1002" s="117" t="s">
        <v>1966</v>
      </c>
      <c r="AK1002" s="117" t="n">
        <v>0</v>
      </c>
      <c r="AL1002" s="117" t="n">
        <v>9</v>
      </c>
      <c r="AM1002" s="117" t="s">
        <v>161</v>
      </c>
      <c r="AN1002" s="117" t="s">
        <v>1978</v>
      </c>
      <c r="AP1002" s="117" t="n">
        <v>100199787</v>
      </c>
      <c r="AQ1002" s="118" t="n">
        <v>43829</v>
      </c>
      <c r="AR1002" s="118" t="n">
        <v>43830</v>
      </c>
      <c r="AS1002" s="117" t="n">
        <v>0.264189814814815</v>
      </c>
      <c r="AT1002" s="117" t="n">
        <v>0</v>
      </c>
      <c r="AU1002" s="117" t="n">
        <v>0</v>
      </c>
      <c r="AX1002" s="117" t="n">
        <v>2</v>
      </c>
    </row>
    <row r="1003" customFormat="false" ht="13.8" hidden="true" customHeight="false" outlineLevel="0" collapsed="false">
      <c r="A1003" s="117" t="n">
        <v>1000</v>
      </c>
      <c r="B1003" s="117" t="s">
        <v>1962</v>
      </c>
      <c r="C1003" s="117" t="n">
        <v>100144402</v>
      </c>
      <c r="E1003" s="117" t="s">
        <v>1921</v>
      </c>
      <c r="F1003" s="117" t="n">
        <v>1106</v>
      </c>
      <c r="G1003" s="117" t="n">
        <v>2019</v>
      </c>
      <c r="H1003" s="117" t="n">
        <v>7</v>
      </c>
      <c r="I1003" s="118" t="n">
        <v>43769</v>
      </c>
      <c r="J1003" s="118" t="n">
        <v>43769</v>
      </c>
      <c r="K1003" s="119" t="n">
        <v>-4466</v>
      </c>
      <c r="L1003" s="128" t="n">
        <f aca="false">K1003-Q1003+T1003</f>
        <v>-4466</v>
      </c>
      <c r="M1003" s="117" t="s">
        <v>149</v>
      </c>
      <c r="N1003" s="117" t="n">
        <v>-4466</v>
      </c>
      <c r="O1003" s="117" t="s">
        <v>149</v>
      </c>
      <c r="P1003" s="117" t="n">
        <v>0</v>
      </c>
      <c r="Q1003" s="117" t="n">
        <v>0</v>
      </c>
      <c r="R1003" s="117" t="n">
        <v>-4466</v>
      </c>
      <c r="S1003" s="117" t="n">
        <v>0</v>
      </c>
      <c r="T1003" s="117" t="n">
        <v>0</v>
      </c>
      <c r="U1003" s="117" t="n">
        <v>312193</v>
      </c>
      <c r="V1003" s="117" t="s">
        <v>1963</v>
      </c>
      <c r="Z1003" s="117" t="n">
        <v>100144402</v>
      </c>
      <c r="AD1003" s="117" t="n">
        <v>110000</v>
      </c>
      <c r="AE1003" s="117" t="s">
        <v>1966</v>
      </c>
      <c r="AF1003" s="117" t="n">
        <v>110000</v>
      </c>
      <c r="AG1003" s="117" t="s">
        <v>1966</v>
      </c>
      <c r="AI1003" s="117" t="n">
        <v>110000</v>
      </c>
      <c r="AJ1003" s="117" t="s">
        <v>1966</v>
      </c>
      <c r="AK1003" s="117" t="n">
        <v>0</v>
      </c>
      <c r="AL1003" s="117" t="n">
        <v>17</v>
      </c>
      <c r="AM1003" s="117" t="s">
        <v>225</v>
      </c>
      <c r="AP1003" s="117" t="n">
        <v>100144402</v>
      </c>
      <c r="AQ1003" s="118" t="n">
        <v>43769</v>
      </c>
      <c r="AR1003" s="118" t="n">
        <v>43770</v>
      </c>
      <c r="AS1003" s="117" t="n">
        <v>0.52369212962963</v>
      </c>
      <c r="AT1003" s="117" t="n">
        <v>0</v>
      </c>
      <c r="AU1003" s="117" t="n">
        <v>0</v>
      </c>
      <c r="AX1003" s="117" t="n">
        <v>1</v>
      </c>
    </row>
    <row r="1004" customFormat="false" ht="13.8" hidden="true" customHeight="false" outlineLevel="0" collapsed="false">
      <c r="A1004" s="117" t="n">
        <v>1000</v>
      </c>
      <c r="B1004" s="117" t="s">
        <v>1962</v>
      </c>
      <c r="C1004" s="117" t="n">
        <v>100141449</v>
      </c>
      <c r="E1004" s="117" t="s">
        <v>1921</v>
      </c>
      <c r="F1004" s="117" t="n">
        <v>1109</v>
      </c>
      <c r="G1004" s="117" t="n">
        <v>2019</v>
      </c>
      <c r="H1004" s="117" t="n">
        <v>7</v>
      </c>
      <c r="I1004" s="118" t="n">
        <v>43766</v>
      </c>
      <c r="J1004" s="118" t="n">
        <v>43766</v>
      </c>
      <c r="K1004" s="119" t="n">
        <v>35683.2</v>
      </c>
      <c r="L1004" s="128" t="n">
        <f aca="false">K1004-Q1004+T1004</f>
        <v>35683.2</v>
      </c>
      <c r="M1004" s="117" t="s">
        <v>149</v>
      </c>
      <c r="N1004" s="117" t="n">
        <v>35683.2</v>
      </c>
      <c r="O1004" s="117" t="s">
        <v>149</v>
      </c>
      <c r="P1004" s="117" t="n">
        <v>0</v>
      </c>
      <c r="Q1004" s="117" t="n">
        <v>0</v>
      </c>
      <c r="R1004" s="117" t="n">
        <v>35683.2</v>
      </c>
      <c r="S1004" s="117" t="n">
        <v>0</v>
      </c>
      <c r="T1004" s="117" t="n">
        <v>0</v>
      </c>
      <c r="U1004" s="117" t="n">
        <v>312193</v>
      </c>
      <c r="V1004" s="117" t="s">
        <v>1963</v>
      </c>
      <c r="X1004" s="117" t="s">
        <v>1831</v>
      </c>
      <c r="Z1004" s="117" t="n">
        <v>60960</v>
      </c>
      <c r="AB1004" s="117" t="s">
        <v>2124</v>
      </c>
      <c r="AD1004" s="117" t="n">
        <v>110000</v>
      </c>
      <c r="AE1004" s="117" t="s">
        <v>1966</v>
      </c>
      <c r="AF1004" s="117" t="n">
        <v>110000</v>
      </c>
      <c r="AG1004" s="117" t="s">
        <v>1966</v>
      </c>
      <c r="AI1004" s="117" t="n">
        <v>110000</v>
      </c>
      <c r="AJ1004" s="117" t="s">
        <v>1966</v>
      </c>
      <c r="AK1004" s="117" t="n">
        <v>0</v>
      </c>
      <c r="AL1004" s="117" t="n">
        <v>4</v>
      </c>
      <c r="AM1004" s="117" t="s">
        <v>161</v>
      </c>
      <c r="AR1004" s="118" t="n">
        <v>43766</v>
      </c>
      <c r="AS1004" s="117" t="n">
        <v>0.371388888888889</v>
      </c>
      <c r="AT1004" s="117" t="n">
        <v>0</v>
      </c>
      <c r="AU1004" s="117" t="n">
        <v>0</v>
      </c>
      <c r="AX1004" s="117" t="n">
        <v>16</v>
      </c>
    </row>
    <row r="1005" customFormat="false" ht="13.8" hidden="true" customHeight="false" outlineLevel="0" collapsed="false">
      <c r="A1005" s="117" t="n">
        <v>1000</v>
      </c>
      <c r="B1005" s="117" t="s">
        <v>1962</v>
      </c>
      <c r="C1005" s="117" t="n">
        <v>100162620</v>
      </c>
      <c r="E1005" s="117" t="s">
        <v>1921</v>
      </c>
      <c r="F1005" s="117" t="n">
        <v>1108</v>
      </c>
      <c r="G1005" s="117" t="n">
        <v>2019</v>
      </c>
      <c r="H1005" s="117" t="n">
        <v>8</v>
      </c>
      <c r="I1005" s="118" t="n">
        <v>43792</v>
      </c>
      <c r="J1005" s="118" t="n">
        <v>43792</v>
      </c>
      <c r="K1005" s="119" t="n">
        <v>-501797.01</v>
      </c>
      <c r="L1005" s="128" t="n">
        <f aca="false">K1005-Q1005+T1005</f>
        <v>-501797.01</v>
      </c>
      <c r="M1005" s="117" t="s">
        <v>149</v>
      </c>
      <c r="N1005" s="117" t="n">
        <v>-501797.01</v>
      </c>
      <c r="O1005" s="117" t="s">
        <v>149</v>
      </c>
      <c r="P1005" s="117" t="n">
        <v>0</v>
      </c>
      <c r="Q1005" s="117" t="n">
        <v>0</v>
      </c>
      <c r="R1005" s="117" t="n">
        <v>-501797.01</v>
      </c>
      <c r="S1005" s="117" t="n">
        <v>0</v>
      </c>
      <c r="T1005" s="117" t="n">
        <v>0</v>
      </c>
      <c r="U1005" s="117" t="n">
        <v>313029</v>
      </c>
      <c r="V1005" s="117" t="s">
        <v>143</v>
      </c>
      <c r="Z1005" s="117" t="n">
        <v>100162620</v>
      </c>
      <c r="AD1005" s="117" t="n">
        <v>110000</v>
      </c>
      <c r="AE1005" s="117" t="s">
        <v>1966</v>
      </c>
      <c r="AF1005" s="117" t="n">
        <v>110000</v>
      </c>
      <c r="AG1005" s="117" t="s">
        <v>1966</v>
      </c>
      <c r="AI1005" s="117" t="n">
        <v>110000</v>
      </c>
      <c r="AJ1005" s="117" t="s">
        <v>1966</v>
      </c>
      <c r="AK1005" s="117" t="n">
        <v>0</v>
      </c>
      <c r="AL1005" s="117" t="n">
        <v>17</v>
      </c>
      <c r="AM1005" s="117" t="s">
        <v>225</v>
      </c>
      <c r="AP1005" s="117" t="n">
        <v>100162620</v>
      </c>
      <c r="AQ1005" s="118" t="n">
        <v>43792</v>
      </c>
      <c r="AR1005" s="118" t="n">
        <v>43792</v>
      </c>
      <c r="AS1005" s="117" t="n">
        <v>0.671064814814815</v>
      </c>
      <c r="AT1005" s="117" t="n">
        <v>0</v>
      </c>
      <c r="AU1005" s="117" t="n">
        <v>0</v>
      </c>
      <c r="AX1005" s="117" t="n">
        <v>2</v>
      </c>
    </row>
    <row r="1006" customFormat="false" ht="13.8" hidden="true" customHeight="false" outlineLevel="0" collapsed="false">
      <c r="A1006" s="117" t="n">
        <v>1000</v>
      </c>
      <c r="B1006" s="117" t="s">
        <v>1962</v>
      </c>
      <c r="C1006" s="117" t="n">
        <v>1600000288</v>
      </c>
      <c r="D1006" s="117" t="s">
        <v>2356</v>
      </c>
      <c r="E1006" s="117" t="s">
        <v>1987</v>
      </c>
      <c r="F1006" s="117" t="n">
        <v>1101</v>
      </c>
      <c r="G1006" s="117" t="n">
        <v>2019</v>
      </c>
      <c r="H1006" s="117" t="n">
        <v>8</v>
      </c>
      <c r="I1006" s="118" t="n">
        <v>43795</v>
      </c>
      <c r="J1006" s="118" t="n">
        <v>43795</v>
      </c>
      <c r="K1006" s="119" t="n">
        <v>-8207</v>
      </c>
      <c r="L1006" s="128" t="n">
        <f aca="false">K1006-Q1006+T1006</f>
        <v>-8207</v>
      </c>
      <c r="M1006" s="117" t="s">
        <v>149</v>
      </c>
      <c r="N1006" s="117" t="n">
        <v>-8207</v>
      </c>
      <c r="O1006" s="117" t="s">
        <v>149</v>
      </c>
      <c r="P1006" s="117" t="n">
        <v>-8207</v>
      </c>
      <c r="Q1006" s="117" t="n">
        <v>0</v>
      </c>
      <c r="R1006" s="117" t="n">
        <v>-8207</v>
      </c>
      <c r="S1006" s="117" t="n">
        <v>0</v>
      </c>
      <c r="T1006" s="117" t="n">
        <v>0</v>
      </c>
      <c r="U1006" s="117" t="n">
        <v>312193</v>
      </c>
      <c r="V1006" s="117" t="s">
        <v>1963</v>
      </c>
      <c r="X1006" s="117" t="s">
        <v>2535</v>
      </c>
      <c r="Y1006" s="117" t="s">
        <v>2358</v>
      </c>
      <c r="Z1006" s="117" t="n">
        <v>1600000288</v>
      </c>
      <c r="AD1006" s="117" t="n">
        <v>310300</v>
      </c>
      <c r="AE1006" s="117" t="s">
        <v>1969</v>
      </c>
      <c r="AF1006" s="117" t="n">
        <v>111201</v>
      </c>
      <c r="AG1006" s="117" t="s">
        <v>2165</v>
      </c>
      <c r="AI1006" s="117" t="n">
        <v>111201</v>
      </c>
      <c r="AJ1006" s="117" t="s">
        <v>2165</v>
      </c>
      <c r="AK1006" s="117" t="n">
        <v>0</v>
      </c>
      <c r="AL1006" s="117" t="n">
        <v>19</v>
      </c>
      <c r="AM1006" s="117" t="s">
        <v>225</v>
      </c>
      <c r="AN1006" s="117" t="s">
        <v>1978</v>
      </c>
      <c r="AP1006" s="117" t="n">
        <v>100173563</v>
      </c>
      <c r="AQ1006" s="118" t="n">
        <v>43799</v>
      </c>
      <c r="AR1006" s="118" t="n">
        <v>43795</v>
      </c>
      <c r="AS1006" s="117" t="n">
        <v>0.285</v>
      </c>
      <c r="AT1006" s="117" t="n">
        <v>0</v>
      </c>
      <c r="AU1006" s="117" t="n">
        <v>0</v>
      </c>
      <c r="AX1006" s="117" t="n">
        <v>21</v>
      </c>
    </row>
    <row r="1007" customFormat="false" ht="13.8" hidden="true" customHeight="false" outlineLevel="0" collapsed="false">
      <c r="A1007" s="117" t="n">
        <v>1000</v>
      </c>
      <c r="B1007" s="117" t="s">
        <v>1962</v>
      </c>
      <c r="C1007" s="117" t="n">
        <v>100173563</v>
      </c>
      <c r="E1007" s="117" t="s">
        <v>1921</v>
      </c>
      <c r="F1007" s="117" t="n">
        <v>1101</v>
      </c>
      <c r="G1007" s="117" t="n">
        <v>2019</v>
      </c>
      <c r="H1007" s="117" t="n">
        <v>8</v>
      </c>
      <c r="I1007" s="118" t="n">
        <v>43799</v>
      </c>
      <c r="J1007" s="118" t="n">
        <v>43799</v>
      </c>
      <c r="K1007" s="119" t="n">
        <v>342591</v>
      </c>
      <c r="L1007" s="128" t="n">
        <f aca="false">K1007-Q1007+T1007</f>
        <v>342591</v>
      </c>
      <c r="M1007" s="117" t="s">
        <v>149</v>
      </c>
      <c r="N1007" s="117" t="n">
        <v>342591</v>
      </c>
      <c r="O1007" s="117" t="s">
        <v>149</v>
      </c>
      <c r="P1007" s="117" t="n">
        <v>0</v>
      </c>
      <c r="Q1007" s="117" t="n">
        <v>0</v>
      </c>
      <c r="R1007" s="117" t="n">
        <v>342591</v>
      </c>
      <c r="S1007" s="117" t="n">
        <v>0</v>
      </c>
      <c r="T1007" s="117" t="n">
        <v>0</v>
      </c>
      <c r="U1007" s="117" t="n">
        <v>312193</v>
      </c>
      <c r="V1007" s="117" t="s">
        <v>1963</v>
      </c>
      <c r="Z1007" s="117" t="n">
        <v>100173563</v>
      </c>
      <c r="AD1007" s="117" t="n">
        <v>310300</v>
      </c>
      <c r="AE1007" s="117" t="s">
        <v>1969</v>
      </c>
      <c r="AF1007" s="117" t="n">
        <v>310300</v>
      </c>
      <c r="AG1007" s="117" t="s">
        <v>1969</v>
      </c>
      <c r="AI1007" s="117" t="n">
        <v>310300</v>
      </c>
      <c r="AJ1007" s="117" t="s">
        <v>1969</v>
      </c>
      <c r="AK1007" s="117" t="n">
        <v>0</v>
      </c>
      <c r="AL1007" s="117" t="n">
        <v>9</v>
      </c>
      <c r="AM1007" s="117" t="s">
        <v>161</v>
      </c>
      <c r="AN1007" s="117" t="s">
        <v>1978</v>
      </c>
      <c r="AP1007" s="117" t="n">
        <v>100173563</v>
      </c>
      <c r="AQ1007" s="118" t="n">
        <v>43799</v>
      </c>
      <c r="AR1007" s="118" t="n">
        <v>43800</v>
      </c>
      <c r="AS1007" s="117" t="n">
        <v>0.641574074074074</v>
      </c>
      <c r="AT1007" s="117" t="n">
        <v>0</v>
      </c>
      <c r="AU1007" s="117" t="n">
        <v>0</v>
      </c>
      <c r="AX1007" s="117" t="n">
        <v>6</v>
      </c>
    </row>
    <row r="1008" customFormat="false" ht="13.8" hidden="true" customHeight="false" outlineLevel="0" collapsed="false">
      <c r="A1008" s="117" t="n">
        <v>1000</v>
      </c>
      <c r="B1008" s="117" t="s">
        <v>1962</v>
      </c>
      <c r="C1008" s="117" t="n">
        <v>1600000289</v>
      </c>
      <c r="D1008" s="117" t="s">
        <v>2356</v>
      </c>
      <c r="E1008" s="117" t="s">
        <v>1987</v>
      </c>
      <c r="F1008" s="117" t="n">
        <v>1101</v>
      </c>
      <c r="G1008" s="117" t="n">
        <v>2019</v>
      </c>
      <c r="H1008" s="117" t="n">
        <v>8</v>
      </c>
      <c r="I1008" s="118" t="n">
        <v>43795</v>
      </c>
      <c r="J1008" s="118" t="n">
        <v>43795</v>
      </c>
      <c r="K1008" s="119" t="n">
        <v>-6325</v>
      </c>
      <c r="L1008" s="128" t="n">
        <f aca="false">K1008-Q1008+T1008</f>
        <v>-6325</v>
      </c>
      <c r="M1008" s="117" t="s">
        <v>149</v>
      </c>
      <c r="N1008" s="117" t="n">
        <v>-6325</v>
      </c>
      <c r="O1008" s="117" t="s">
        <v>149</v>
      </c>
      <c r="P1008" s="117" t="n">
        <v>-6325</v>
      </c>
      <c r="Q1008" s="117" t="n">
        <v>0</v>
      </c>
      <c r="R1008" s="117" t="n">
        <v>-6325</v>
      </c>
      <c r="S1008" s="117" t="n">
        <v>0</v>
      </c>
      <c r="T1008" s="117" t="n">
        <v>0</v>
      </c>
      <c r="U1008" s="117" t="n">
        <v>318169</v>
      </c>
      <c r="V1008" s="117" t="s">
        <v>2158</v>
      </c>
      <c r="X1008" s="117" t="s">
        <v>2536</v>
      </c>
      <c r="Y1008" s="117" t="s">
        <v>2358</v>
      </c>
      <c r="Z1008" s="117" t="n">
        <v>1600000289</v>
      </c>
      <c r="AD1008" s="117" t="n">
        <v>310300</v>
      </c>
      <c r="AE1008" s="117" t="s">
        <v>1969</v>
      </c>
      <c r="AF1008" s="117" t="n">
        <v>111201</v>
      </c>
      <c r="AG1008" s="117" t="s">
        <v>2165</v>
      </c>
      <c r="AI1008" s="117" t="n">
        <v>111201</v>
      </c>
      <c r="AJ1008" s="117" t="s">
        <v>2165</v>
      </c>
      <c r="AK1008" s="117" t="n">
        <v>0</v>
      </c>
      <c r="AL1008" s="117" t="n">
        <v>19</v>
      </c>
      <c r="AM1008" s="117" t="s">
        <v>225</v>
      </c>
      <c r="AN1008" s="117" t="s">
        <v>1978</v>
      </c>
      <c r="AP1008" s="117" t="n">
        <v>100173333</v>
      </c>
      <c r="AQ1008" s="118" t="n">
        <v>43799</v>
      </c>
      <c r="AR1008" s="118" t="n">
        <v>43795</v>
      </c>
      <c r="AS1008" s="117" t="n">
        <v>0.285972222222222</v>
      </c>
      <c r="AT1008" s="117" t="n">
        <v>0</v>
      </c>
      <c r="AU1008" s="117" t="n">
        <v>0</v>
      </c>
      <c r="AX1008" s="117" t="n">
        <v>2</v>
      </c>
    </row>
    <row r="1009" customFormat="false" ht="13.8" hidden="true" customHeight="false" outlineLevel="0" collapsed="false">
      <c r="A1009" s="117" t="n">
        <v>1000</v>
      </c>
      <c r="B1009" s="117" t="s">
        <v>1962</v>
      </c>
      <c r="C1009" s="117" t="n">
        <v>100172911</v>
      </c>
      <c r="E1009" s="117" t="s">
        <v>1921</v>
      </c>
      <c r="F1009" s="117" t="n">
        <v>1109</v>
      </c>
      <c r="G1009" s="117" t="n">
        <v>2019</v>
      </c>
      <c r="H1009" s="117" t="n">
        <v>8</v>
      </c>
      <c r="I1009" s="118" t="n">
        <v>43799</v>
      </c>
      <c r="J1009" s="118" t="n">
        <v>43799</v>
      </c>
      <c r="K1009" s="119" t="n">
        <v>-384680</v>
      </c>
      <c r="L1009" s="128" t="n">
        <f aca="false">K1009-Q1009+T1009</f>
        <v>-384680</v>
      </c>
      <c r="M1009" s="117" t="s">
        <v>149</v>
      </c>
      <c r="N1009" s="117" t="n">
        <v>-384680</v>
      </c>
      <c r="O1009" s="117" t="s">
        <v>149</v>
      </c>
      <c r="P1009" s="117" t="n">
        <v>0</v>
      </c>
      <c r="Q1009" s="117" t="n">
        <v>0</v>
      </c>
      <c r="R1009" s="117" t="n">
        <v>-384680</v>
      </c>
      <c r="S1009" s="117" t="n">
        <v>0</v>
      </c>
      <c r="T1009" s="117" t="n">
        <v>0</v>
      </c>
      <c r="U1009" s="117" t="n">
        <v>313029</v>
      </c>
      <c r="V1009" s="117" t="s">
        <v>143</v>
      </c>
      <c r="Z1009" s="117" t="n">
        <v>100172911</v>
      </c>
      <c r="AD1009" s="117" t="n">
        <v>110000</v>
      </c>
      <c r="AE1009" s="117" t="s">
        <v>1966</v>
      </c>
      <c r="AF1009" s="117" t="n">
        <v>110000</v>
      </c>
      <c r="AG1009" s="117" t="s">
        <v>1966</v>
      </c>
      <c r="AI1009" s="117" t="n">
        <v>110000</v>
      </c>
      <c r="AJ1009" s="117" t="s">
        <v>1966</v>
      </c>
      <c r="AK1009" s="117" t="n">
        <v>0</v>
      </c>
      <c r="AL1009" s="117" t="n">
        <v>17</v>
      </c>
      <c r="AM1009" s="117" t="s">
        <v>225</v>
      </c>
      <c r="AP1009" s="117" t="n">
        <v>100172911</v>
      </c>
      <c r="AQ1009" s="118" t="n">
        <v>43799</v>
      </c>
      <c r="AR1009" s="118" t="n">
        <v>43800</v>
      </c>
      <c r="AS1009" s="117" t="n">
        <v>0.280706018518518</v>
      </c>
      <c r="AT1009" s="117" t="n">
        <v>0</v>
      </c>
      <c r="AU1009" s="117" t="n">
        <v>0</v>
      </c>
      <c r="AX1009" s="117" t="n">
        <v>2</v>
      </c>
    </row>
    <row r="1010" customFormat="false" ht="13.8" hidden="true" customHeight="false" outlineLevel="0" collapsed="false">
      <c r="A1010" s="117" t="n">
        <v>1000</v>
      </c>
      <c r="B1010" s="117" t="s">
        <v>1962</v>
      </c>
      <c r="C1010" s="117" t="n">
        <v>1600000315</v>
      </c>
      <c r="D1010" s="117" t="s">
        <v>2354</v>
      </c>
      <c r="E1010" s="117" t="s">
        <v>1987</v>
      </c>
      <c r="F1010" s="117" t="n">
        <v>1101</v>
      </c>
      <c r="G1010" s="117" t="n">
        <v>2019</v>
      </c>
      <c r="H1010" s="117" t="n">
        <v>8</v>
      </c>
      <c r="I1010" s="118" t="n">
        <v>43798</v>
      </c>
      <c r="J1010" s="118" t="n">
        <v>43798</v>
      </c>
      <c r="K1010" s="119" t="n">
        <v>-7696</v>
      </c>
      <c r="L1010" s="128" t="n">
        <f aca="false">K1010-Q1010+T1010</f>
        <v>-7696</v>
      </c>
      <c r="M1010" s="117" t="s">
        <v>149</v>
      </c>
      <c r="N1010" s="117" t="n">
        <v>-7696</v>
      </c>
      <c r="O1010" s="117" t="s">
        <v>149</v>
      </c>
      <c r="P1010" s="117" t="n">
        <v>-7696</v>
      </c>
      <c r="Q1010" s="117" t="n">
        <v>0</v>
      </c>
      <c r="R1010" s="117" t="n">
        <v>-7696</v>
      </c>
      <c r="S1010" s="117" t="n">
        <v>0</v>
      </c>
      <c r="T1010" s="117" t="n">
        <v>0</v>
      </c>
      <c r="U1010" s="117" t="n">
        <v>312193</v>
      </c>
      <c r="V1010" s="117" t="s">
        <v>1963</v>
      </c>
      <c r="X1010" s="117" t="s">
        <v>2537</v>
      </c>
      <c r="Y1010" s="117" t="s">
        <v>2354</v>
      </c>
      <c r="Z1010" s="117" t="n">
        <v>1600000315</v>
      </c>
      <c r="AD1010" s="117" t="n">
        <v>310300</v>
      </c>
      <c r="AE1010" s="117" t="s">
        <v>1969</v>
      </c>
      <c r="AF1010" s="117" t="n">
        <v>111201</v>
      </c>
      <c r="AG1010" s="117" t="s">
        <v>2165</v>
      </c>
      <c r="AI1010" s="117" t="n">
        <v>111201</v>
      </c>
      <c r="AJ1010" s="117" t="s">
        <v>2165</v>
      </c>
      <c r="AK1010" s="117" t="n">
        <v>0</v>
      </c>
      <c r="AL1010" s="117" t="n">
        <v>19</v>
      </c>
      <c r="AM1010" s="117" t="s">
        <v>225</v>
      </c>
      <c r="AN1010" s="117" t="s">
        <v>1978</v>
      </c>
      <c r="AP1010" s="117" t="n">
        <v>100173563</v>
      </c>
      <c r="AQ1010" s="118" t="n">
        <v>43799</v>
      </c>
      <c r="AR1010" s="118" t="n">
        <v>43798</v>
      </c>
      <c r="AS1010" s="117" t="n">
        <v>0.954837962962963</v>
      </c>
      <c r="AT1010" s="117" t="n">
        <v>0</v>
      </c>
      <c r="AU1010" s="117" t="n">
        <v>0</v>
      </c>
      <c r="AX1010" s="117" t="n">
        <v>41</v>
      </c>
    </row>
    <row r="1011" s="106" customFormat="true" ht="13.8" hidden="true" customHeight="false" outlineLevel="0" collapsed="false">
      <c r="A1011" s="106" t="n">
        <v>1000</v>
      </c>
      <c r="B1011" s="106" t="s">
        <v>1962</v>
      </c>
      <c r="C1011" s="106" t="n">
        <v>105502</v>
      </c>
      <c r="D1011" s="106" t="s">
        <v>2538</v>
      </c>
      <c r="E1011" s="106" t="s">
        <v>1970</v>
      </c>
      <c r="F1011" s="106" t="n">
        <v>1109</v>
      </c>
      <c r="G1011" s="106" t="n">
        <v>2019</v>
      </c>
      <c r="H1011" s="106" t="n">
        <v>5</v>
      </c>
      <c r="I1011" s="129" t="n">
        <v>43683</v>
      </c>
      <c r="J1011" s="129" t="n">
        <v>43683</v>
      </c>
      <c r="K1011" s="107" t="n">
        <v>-98330.49</v>
      </c>
      <c r="L1011" s="130" t="n">
        <f aca="false">K1011-Q1011+T1011</f>
        <v>-83330.92</v>
      </c>
      <c r="M1011" s="106" t="s">
        <v>149</v>
      </c>
      <c r="N1011" s="106" t="n">
        <v>-98330.49</v>
      </c>
      <c r="O1011" s="106" t="s">
        <v>149</v>
      </c>
      <c r="P1011" s="106" t="n">
        <v>0</v>
      </c>
      <c r="Q1011" s="107" t="n">
        <v>-14999.57</v>
      </c>
      <c r="R1011" s="106" t="n">
        <v>-83330.92</v>
      </c>
      <c r="S1011" s="106" t="n">
        <v>0</v>
      </c>
      <c r="T1011" s="106" t="n">
        <v>0</v>
      </c>
      <c r="U1011" s="106" t="n">
        <v>312193</v>
      </c>
      <c r="V1011" s="106" t="s">
        <v>1963</v>
      </c>
      <c r="Z1011" s="106" t="n">
        <v>60002468</v>
      </c>
      <c r="AD1011" s="106" t="n">
        <v>110000</v>
      </c>
      <c r="AE1011" s="106" t="s">
        <v>1966</v>
      </c>
      <c r="AF1011" s="106" t="n">
        <v>501000</v>
      </c>
      <c r="AG1011" s="106" t="s">
        <v>2170</v>
      </c>
      <c r="AI1011" s="106" t="n">
        <v>501000</v>
      </c>
      <c r="AJ1011" s="106" t="s">
        <v>2170</v>
      </c>
      <c r="AK1011" s="106" t="n">
        <v>0</v>
      </c>
      <c r="AL1011" s="106" t="n">
        <v>11</v>
      </c>
      <c r="AM1011" s="106" t="s">
        <v>225</v>
      </c>
      <c r="AP1011" s="106" t="n">
        <v>100078768</v>
      </c>
      <c r="AQ1011" s="129" t="n">
        <v>43706</v>
      </c>
      <c r="AR1011" s="129" t="n">
        <v>43683</v>
      </c>
      <c r="AS1011" s="106" t="n">
        <v>0.54494212962963</v>
      </c>
      <c r="AT1011" s="106" t="n">
        <v>0</v>
      </c>
      <c r="AU1011" s="106" t="n">
        <v>0</v>
      </c>
      <c r="AX1011" s="106" t="n">
        <v>1</v>
      </c>
      <c r="ALU1011" s="0"/>
      <c r="ALV1011" s="0"/>
      <c r="ALW1011" s="0"/>
      <c r="ALX1011" s="0"/>
      <c r="ALY1011" s="0"/>
      <c r="ALZ1011" s="0"/>
      <c r="AMA1011" s="0"/>
      <c r="AMB1011" s="0"/>
      <c r="AMC1011" s="0"/>
      <c r="AMD1011" s="0"/>
      <c r="AME1011" s="0"/>
      <c r="AMF1011" s="0"/>
      <c r="AMG1011" s="0"/>
      <c r="AMH1011" s="0"/>
      <c r="AMI1011" s="0"/>
      <c r="AMJ1011" s="0"/>
    </row>
    <row r="1012" customFormat="false" ht="13.8" hidden="true" customHeight="false" outlineLevel="0" collapsed="false">
      <c r="A1012" s="117" t="n">
        <v>1000</v>
      </c>
      <c r="B1012" s="117" t="s">
        <v>1962</v>
      </c>
      <c r="C1012" s="117" t="n">
        <v>1600000292</v>
      </c>
      <c r="D1012" s="117" t="s">
        <v>2354</v>
      </c>
      <c r="E1012" s="117" t="s">
        <v>1987</v>
      </c>
      <c r="F1012" s="117" t="n">
        <v>1101</v>
      </c>
      <c r="G1012" s="117" t="n">
        <v>2019</v>
      </c>
      <c r="H1012" s="117" t="n">
        <v>8</v>
      </c>
      <c r="I1012" s="118" t="n">
        <v>43796</v>
      </c>
      <c r="J1012" s="118" t="n">
        <v>43796</v>
      </c>
      <c r="K1012" s="119" t="n">
        <v>-4429</v>
      </c>
      <c r="L1012" s="128" t="n">
        <f aca="false">K1012-Q1012+T1012</f>
        <v>-4429</v>
      </c>
      <c r="M1012" s="117" t="s">
        <v>149</v>
      </c>
      <c r="N1012" s="117" t="n">
        <v>-4429</v>
      </c>
      <c r="O1012" s="117" t="s">
        <v>149</v>
      </c>
      <c r="P1012" s="117" t="n">
        <v>-4429</v>
      </c>
      <c r="Q1012" s="117" t="n">
        <v>0</v>
      </c>
      <c r="R1012" s="117" t="n">
        <v>-4429</v>
      </c>
      <c r="S1012" s="117" t="n">
        <v>0</v>
      </c>
      <c r="T1012" s="117" t="n">
        <v>0</v>
      </c>
      <c r="U1012" s="117" t="n">
        <v>312193</v>
      </c>
      <c r="V1012" s="117" t="s">
        <v>1963</v>
      </c>
      <c r="X1012" s="117" t="s">
        <v>2539</v>
      </c>
      <c r="Y1012" s="117" t="s">
        <v>2388</v>
      </c>
      <c r="Z1012" s="117" t="n">
        <v>1600000292</v>
      </c>
      <c r="AD1012" s="117" t="n">
        <v>310300</v>
      </c>
      <c r="AE1012" s="117" t="s">
        <v>1969</v>
      </c>
      <c r="AF1012" s="117" t="n">
        <v>111201</v>
      </c>
      <c r="AG1012" s="117" t="s">
        <v>2165</v>
      </c>
      <c r="AI1012" s="117" t="n">
        <v>111201</v>
      </c>
      <c r="AJ1012" s="117" t="s">
        <v>2165</v>
      </c>
      <c r="AK1012" s="117" t="n">
        <v>0</v>
      </c>
      <c r="AL1012" s="117" t="n">
        <v>19</v>
      </c>
      <c r="AM1012" s="117" t="s">
        <v>225</v>
      </c>
      <c r="AN1012" s="117" t="s">
        <v>1978</v>
      </c>
      <c r="AR1012" s="118" t="n">
        <v>43796</v>
      </c>
      <c r="AS1012" s="117" t="n">
        <v>0.267407407407407</v>
      </c>
      <c r="AT1012" s="117" t="n">
        <v>0</v>
      </c>
      <c r="AU1012" s="117" t="n">
        <v>0</v>
      </c>
      <c r="AX1012" s="117" t="n">
        <v>11</v>
      </c>
    </row>
    <row r="1013" customFormat="false" ht="13.8" hidden="true" customHeight="false" outlineLevel="0" collapsed="false">
      <c r="A1013" s="117" t="n">
        <v>1000</v>
      </c>
      <c r="B1013" s="117" t="s">
        <v>1962</v>
      </c>
      <c r="C1013" s="117" t="n">
        <v>100173564</v>
      </c>
      <c r="E1013" s="117" t="s">
        <v>1921</v>
      </c>
      <c r="F1013" s="117" t="n">
        <v>1108</v>
      </c>
      <c r="G1013" s="117" t="n">
        <v>2019</v>
      </c>
      <c r="H1013" s="117" t="n">
        <v>8</v>
      </c>
      <c r="I1013" s="118" t="n">
        <v>43799</v>
      </c>
      <c r="J1013" s="118" t="n">
        <v>43799</v>
      </c>
      <c r="K1013" s="119" t="n">
        <v>383.5</v>
      </c>
      <c r="L1013" s="128" t="n">
        <f aca="false">K1013-Q1013+T1013</f>
        <v>383.5</v>
      </c>
      <c r="M1013" s="117" t="s">
        <v>149</v>
      </c>
      <c r="N1013" s="117" t="n">
        <v>383.5</v>
      </c>
      <c r="O1013" s="117" t="s">
        <v>149</v>
      </c>
      <c r="P1013" s="117" t="n">
        <v>0</v>
      </c>
      <c r="Q1013" s="117" t="n">
        <v>0</v>
      </c>
      <c r="R1013" s="117" t="n">
        <v>383.5</v>
      </c>
      <c r="S1013" s="117" t="n">
        <v>0</v>
      </c>
      <c r="T1013" s="117" t="n">
        <v>0</v>
      </c>
      <c r="U1013" s="117" t="n">
        <v>312193</v>
      </c>
      <c r="V1013" s="117" t="s">
        <v>1963</v>
      </c>
      <c r="X1013" s="117" t="s">
        <v>1631</v>
      </c>
      <c r="Z1013" s="117" t="n">
        <v>61009</v>
      </c>
      <c r="AB1013" s="117" t="s">
        <v>2109</v>
      </c>
      <c r="AD1013" s="117" t="n">
        <v>110000</v>
      </c>
      <c r="AE1013" s="117" t="s">
        <v>1966</v>
      </c>
      <c r="AF1013" s="117" t="n">
        <v>110000</v>
      </c>
      <c r="AG1013" s="117" t="s">
        <v>1966</v>
      </c>
      <c r="AI1013" s="117" t="n">
        <v>110000</v>
      </c>
      <c r="AJ1013" s="117" t="s">
        <v>1966</v>
      </c>
      <c r="AK1013" s="117" t="n">
        <v>0</v>
      </c>
      <c r="AL1013" s="117" t="n">
        <v>4</v>
      </c>
      <c r="AM1013" s="117" t="s">
        <v>161</v>
      </c>
      <c r="AR1013" s="118" t="n">
        <v>43800</v>
      </c>
      <c r="AS1013" s="117" t="n">
        <v>0.649189814814815</v>
      </c>
      <c r="AT1013" s="117" t="n">
        <v>0</v>
      </c>
      <c r="AU1013" s="117" t="n">
        <v>0</v>
      </c>
      <c r="AX1013" s="117" t="n">
        <v>17</v>
      </c>
    </row>
    <row r="1014" customFormat="false" ht="13.8" hidden="true" customHeight="false" outlineLevel="0" collapsed="false">
      <c r="A1014" s="117" t="n">
        <v>1000</v>
      </c>
      <c r="B1014" s="117" t="s">
        <v>1962</v>
      </c>
      <c r="C1014" s="117" t="n">
        <v>1600000315</v>
      </c>
      <c r="D1014" s="117" t="s">
        <v>2354</v>
      </c>
      <c r="E1014" s="117" t="s">
        <v>1987</v>
      </c>
      <c r="F1014" s="117" t="n">
        <v>1101</v>
      </c>
      <c r="G1014" s="117" t="n">
        <v>2019</v>
      </c>
      <c r="H1014" s="117" t="n">
        <v>8</v>
      </c>
      <c r="I1014" s="118" t="n">
        <v>43798</v>
      </c>
      <c r="J1014" s="118" t="n">
        <v>43798</v>
      </c>
      <c r="K1014" s="119" t="n">
        <v>-9193</v>
      </c>
      <c r="L1014" s="128" t="n">
        <f aca="false">K1014-Q1014+T1014</f>
        <v>-9193</v>
      </c>
      <c r="M1014" s="117" t="s">
        <v>149</v>
      </c>
      <c r="N1014" s="117" t="n">
        <v>-9193</v>
      </c>
      <c r="O1014" s="117" t="s">
        <v>149</v>
      </c>
      <c r="P1014" s="117" t="n">
        <v>-9193</v>
      </c>
      <c r="Q1014" s="117" t="n">
        <v>0</v>
      </c>
      <c r="R1014" s="117" t="n">
        <v>-9193</v>
      </c>
      <c r="S1014" s="117" t="n">
        <v>0</v>
      </c>
      <c r="T1014" s="117" t="n">
        <v>0</v>
      </c>
      <c r="U1014" s="117" t="n">
        <v>312193</v>
      </c>
      <c r="V1014" s="117" t="s">
        <v>1963</v>
      </c>
      <c r="X1014" s="117" t="s">
        <v>2540</v>
      </c>
      <c r="Y1014" s="117" t="s">
        <v>2354</v>
      </c>
      <c r="Z1014" s="117" t="n">
        <v>1600000315</v>
      </c>
      <c r="AD1014" s="117" t="n">
        <v>310300</v>
      </c>
      <c r="AE1014" s="117" t="s">
        <v>1969</v>
      </c>
      <c r="AF1014" s="117" t="n">
        <v>111201</v>
      </c>
      <c r="AG1014" s="117" t="s">
        <v>2165</v>
      </c>
      <c r="AI1014" s="117" t="n">
        <v>111201</v>
      </c>
      <c r="AJ1014" s="117" t="s">
        <v>2165</v>
      </c>
      <c r="AK1014" s="117" t="n">
        <v>0</v>
      </c>
      <c r="AL1014" s="117" t="n">
        <v>19</v>
      </c>
      <c r="AM1014" s="117" t="s">
        <v>225</v>
      </c>
      <c r="AN1014" s="117" t="s">
        <v>1978</v>
      </c>
      <c r="AP1014" s="117" t="n">
        <v>100173563</v>
      </c>
      <c r="AQ1014" s="118" t="n">
        <v>43799</v>
      </c>
      <c r="AR1014" s="118" t="n">
        <v>43798</v>
      </c>
      <c r="AS1014" s="117" t="n">
        <v>0.954837962962963</v>
      </c>
      <c r="AT1014" s="117" t="n">
        <v>0</v>
      </c>
      <c r="AU1014" s="117" t="n">
        <v>0</v>
      </c>
      <c r="AX1014" s="117" t="n">
        <v>40</v>
      </c>
    </row>
    <row r="1015" customFormat="false" ht="13.8" hidden="true" customHeight="false" outlineLevel="0" collapsed="false">
      <c r="A1015" s="117" t="n">
        <v>1000</v>
      </c>
      <c r="B1015" s="117" t="s">
        <v>1962</v>
      </c>
      <c r="C1015" s="117" t="n">
        <v>100143952</v>
      </c>
      <c r="E1015" s="117" t="s">
        <v>1921</v>
      </c>
      <c r="F1015" s="117" t="n">
        <v>1101</v>
      </c>
      <c r="G1015" s="117" t="n">
        <v>2019</v>
      </c>
      <c r="H1015" s="117" t="n">
        <v>7</v>
      </c>
      <c r="I1015" s="118" t="n">
        <v>43769</v>
      </c>
      <c r="J1015" s="118" t="n">
        <v>43769</v>
      </c>
      <c r="K1015" s="119" t="n">
        <v>-1293515.44</v>
      </c>
      <c r="L1015" s="128" t="n">
        <f aca="false">K1015-Q1015+T1015</f>
        <v>-1293515.44</v>
      </c>
      <c r="M1015" s="117" t="s">
        <v>149</v>
      </c>
      <c r="N1015" s="117" t="n">
        <v>-1293515.44</v>
      </c>
      <c r="O1015" s="117" t="s">
        <v>149</v>
      </c>
      <c r="P1015" s="117" t="n">
        <v>0</v>
      </c>
      <c r="Q1015" s="117" t="n">
        <v>0</v>
      </c>
      <c r="R1015" s="117" t="n">
        <v>-1293515.44</v>
      </c>
      <c r="S1015" s="117" t="n">
        <v>0</v>
      </c>
      <c r="T1015" s="117" t="n">
        <v>0</v>
      </c>
      <c r="U1015" s="117" t="n">
        <v>318999</v>
      </c>
      <c r="V1015" s="117" t="s">
        <v>143</v>
      </c>
      <c r="Z1015" s="117" t="n">
        <v>100143952</v>
      </c>
      <c r="AD1015" s="117" t="n">
        <v>110000</v>
      </c>
      <c r="AE1015" s="117" t="s">
        <v>1966</v>
      </c>
      <c r="AF1015" s="117" t="n">
        <v>110000</v>
      </c>
      <c r="AG1015" s="117" t="s">
        <v>1966</v>
      </c>
      <c r="AI1015" s="117" t="n">
        <v>110000</v>
      </c>
      <c r="AJ1015" s="117" t="s">
        <v>1966</v>
      </c>
      <c r="AK1015" s="117" t="n">
        <v>0</v>
      </c>
      <c r="AL1015" s="117" t="n">
        <v>17</v>
      </c>
      <c r="AM1015" s="117" t="s">
        <v>225</v>
      </c>
      <c r="AP1015" s="117" t="n">
        <v>100143952</v>
      </c>
      <c r="AQ1015" s="118" t="n">
        <v>43769</v>
      </c>
      <c r="AR1015" s="118" t="n">
        <v>43770</v>
      </c>
      <c r="AS1015" s="117" t="n">
        <v>0.242766203703704</v>
      </c>
      <c r="AT1015" s="117" t="n">
        <v>0</v>
      </c>
      <c r="AU1015" s="117" t="n">
        <v>0</v>
      </c>
      <c r="AX1015" s="117" t="n">
        <v>2</v>
      </c>
    </row>
    <row r="1016" s="106" customFormat="true" ht="13.8" hidden="true" customHeight="false" outlineLevel="0" collapsed="false">
      <c r="A1016" s="106" t="n">
        <v>1000</v>
      </c>
      <c r="B1016" s="106" t="s">
        <v>1962</v>
      </c>
      <c r="C1016" s="106" t="n">
        <v>109642</v>
      </c>
      <c r="D1016" s="106" t="s">
        <v>1675</v>
      </c>
      <c r="E1016" s="106" t="s">
        <v>1970</v>
      </c>
      <c r="F1016" s="106" t="n">
        <v>1108</v>
      </c>
      <c r="G1016" s="106" t="n">
        <v>2019</v>
      </c>
      <c r="H1016" s="106" t="n">
        <v>8</v>
      </c>
      <c r="I1016" s="129" t="n">
        <v>43798</v>
      </c>
      <c r="J1016" s="129" t="n">
        <v>43798</v>
      </c>
      <c r="K1016" s="107" t="n">
        <v>260780</v>
      </c>
      <c r="L1016" s="130" t="n">
        <f aca="false">K1016-Q1016+T1016</f>
        <v>221000</v>
      </c>
      <c r="M1016" s="106" t="s">
        <v>149</v>
      </c>
      <c r="N1016" s="106" t="n">
        <v>260780</v>
      </c>
      <c r="O1016" s="106" t="s">
        <v>149</v>
      </c>
      <c r="P1016" s="106" t="n">
        <v>0</v>
      </c>
      <c r="Q1016" s="107" t="n">
        <v>39780</v>
      </c>
      <c r="R1016" s="106" t="n">
        <v>221000</v>
      </c>
      <c r="S1016" s="106" t="n">
        <v>0</v>
      </c>
      <c r="T1016" s="106" t="n">
        <v>0</v>
      </c>
      <c r="U1016" s="106" t="n">
        <v>312193</v>
      </c>
      <c r="V1016" s="106" t="s">
        <v>1963</v>
      </c>
      <c r="Z1016" s="106" t="n">
        <v>61242</v>
      </c>
      <c r="AB1016" s="106" t="s">
        <v>2109</v>
      </c>
      <c r="AD1016" s="106" t="n">
        <v>110000</v>
      </c>
      <c r="AE1016" s="106" t="s">
        <v>1966</v>
      </c>
      <c r="AF1016" s="106" t="n">
        <v>501000</v>
      </c>
      <c r="AG1016" s="106" t="s">
        <v>2170</v>
      </c>
      <c r="AI1016" s="106" t="n">
        <v>501000</v>
      </c>
      <c r="AJ1016" s="106" t="s">
        <v>2170</v>
      </c>
      <c r="AK1016" s="106" t="n">
        <v>0</v>
      </c>
      <c r="AL1016" s="106" t="n">
        <v>1</v>
      </c>
      <c r="AM1016" s="106" t="s">
        <v>161</v>
      </c>
      <c r="AP1016" s="106" t="n">
        <v>100173564</v>
      </c>
      <c r="AQ1016" s="129" t="n">
        <v>43799</v>
      </c>
      <c r="AR1016" s="129" t="n">
        <v>43798</v>
      </c>
      <c r="AS1016" s="106" t="n">
        <v>0.763622685185185</v>
      </c>
      <c r="AT1016" s="106" t="n">
        <v>0</v>
      </c>
      <c r="AU1016" s="106" t="n">
        <v>0</v>
      </c>
      <c r="AX1016" s="106" t="n">
        <v>1</v>
      </c>
      <c r="ALU1016" s="0"/>
      <c r="ALV1016" s="0"/>
      <c r="ALW1016" s="0"/>
      <c r="ALX1016" s="0"/>
      <c r="ALY1016" s="0"/>
      <c r="ALZ1016" s="0"/>
      <c r="AMA1016" s="0"/>
      <c r="AMB1016" s="0"/>
      <c r="AMC1016" s="0"/>
      <c r="AMD1016" s="0"/>
      <c r="AME1016" s="0"/>
      <c r="AMF1016" s="0"/>
      <c r="AMG1016" s="0"/>
      <c r="AMH1016" s="0"/>
      <c r="AMI1016" s="0"/>
      <c r="AMJ1016" s="0"/>
    </row>
    <row r="1017" customFormat="false" ht="13.8" hidden="true" customHeight="false" outlineLevel="0" collapsed="false">
      <c r="A1017" s="117" t="n">
        <v>1000</v>
      </c>
      <c r="B1017" s="117" t="s">
        <v>1962</v>
      </c>
      <c r="C1017" s="117" t="n">
        <v>100194025</v>
      </c>
      <c r="E1017" s="117" t="s">
        <v>1921</v>
      </c>
      <c r="F1017" s="117" t="n">
        <v>1112</v>
      </c>
      <c r="G1017" s="117" t="n">
        <v>2019</v>
      </c>
      <c r="H1017" s="117" t="n">
        <v>9</v>
      </c>
      <c r="I1017" s="118" t="n">
        <v>43824</v>
      </c>
      <c r="J1017" s="118" t="n">
        <v>43824</v>
      </c>
      <c r="K1017" s="119" t="n">
        <v>184269.18</v>
      </c>
      <c r="L1017" s="128" t="n">
        <f aca="false">K1017-Q1017+T1017</f>
        <v>184269.18</v>
      </c>
      <c r="M1017" s="117" t="s">
        <v>149</v>
      </c>
      <c r="N1017" s="117" t="n">
        <v>184269.18</v>
      </c>
      <c r="O1017" s="117" t="s">
        <v>149</v>
      </c>
      <c r="P1017" s="117" t="n">
        <v>0</v>
      </c>
      <c r="Q1017" s="117" t="n">
        <v>0</v>
      </c>
      <c r="R1017" s="117" t="n">
        <v>184269.18</v>
      </c>
      <c r="S1017" s="117" t="n">
        <v>0</v>
      </c>
      <c r="T1017" s="117" t="n">
        <v>0</v>
      </c>
      <c r="U1017" s="117" t="n">
        <v>312193</v>
      </c>
      <c r="V1017" s="117" t="s">
        <v>1963</v>
      </c>
      <c r="X1017" s="117" t="s">
        <v>2541</v>
      </c>
      <c r="Z1017" s="117" t="n">
        <v>62187</v>
      </c>
      <c r="AB1017" s="117" t="s">
        <v>2350</v>
      </c>
      <c r="AD1017" s="117" t="n">
        <v>110000</v>
      </c>
      <c r="AE1017" s="117" t="s">
        <v>1966</v>
      </c>
      <c r="AF1017" s="117" t="n">
        <v>110000</v>
      </c>
      <c r="AG1017" s="117" t="s">
        <v>1966</v>
      </c>
      <c r="AI1017" s="117" t="n">
        <v>110000</v>
      </c>
      <c r="AJ1017" s="117" t="s">
        <v>1966</v>
      </c>
      <c r="AK1017" s="117" t="n">
        <v>0</v>
      </c>
      <c r="AL1017" s="117" t="n">
        <v>4</v>
      </c>
      <c r="AM1017" s="117" t="s">
        <v>161</v>
      </c>
      <c r="AR1017" s="118" t="n">
        <v>43824</v>
      </c>
      <c r="AS1017" s="117" t="n">
        <v>0.371284722222222</v>
      </c>
      <c r="AT1017" s="117" t="n">
        <v>0</v>
      </c>
      <c r="AU1017" s="117" t="n">
        <v>0</v>
      </c>
      <c r="AX1017" s="117" t="n">
        <v>8</v>
      </c>
    </row>
    <row r="1018" s="106" customFormat="true" ht="13.8" hidden="true" customHeight="false" outlineLevel="0" collapsed="false">
      <c r="A1018" s="106" t="n">
        <v>1000</v>
      </c>
      <c r="B1018" s="106" t="s">
        <v>1962</v>
      </c>
      <c r="C1018" s="106" t="n">
        <v>110876</v>
      </c>
      <c r="D1018" s="106" t="s">
        <v>2515</v>
      </c>
      <c r="E1018" s="106" t="s">
        <v>1970</v>
      </c>
      <c r="F1018" s="106" t="n">
        <v>1112</v>
      </c>
      <c r="G1018" s="106" t="n">
        <v>2019</v>
      </c>
      <c r="H1018" s="106" t="n">
        <v>9</v>
      </c>
      <c r="I1018" s="129" t="n">
        <v>43828</v>
      </c>
      <c r="J1018" s="129" t="n">
        <v>43828</v>
      </c>
      <c r="K1018" s="107" t="n">
        <v>20561</v>
      </c>
      <c r="L1018" s="130" t="n">
        <f aca="false">K1018-Q1018+T1018</f>
        <v>17424.58</v>
      </c>
      <c r="M1018" s="106" t="s">
        <v>149</v>
      </c>
      <c r="N1018" s="106" t="n">
        <v>20561</v>
      </c>
      <c r="O1018" s="106" t="s">
        <v>149</v>
      </c>
      <c r="P1018" s="106" t="n">
        <v>0</v>
      </c>
      <c r="Q1018" s="107" t="n">
        <v>3136.42</v>
      </c>
      <c r="R1018" s="106" t="n">
        <v>17424.58</v>
      </c>
      <c r="S1018" s="106" t="n">
        <v>0</v>
      </c>
      <c r="T1018" s="106" t="n">
        <v>0</v>
      </c>
      <c r="U1018" s="106" t="n">
        <v>312193</v>
      </c>
      <c r="V1018" s="106" t="s">
        <v>1963</v>
      </c>
      <c r="Z1018" s="106" t="n">
        <v>62198</v>
      </c>
      <c r="AB1018" s="106" t="s">
        <v>2362</v>
      </c>
      <c r="AD1018" s="106" t="n">
        <v>110000</v>
      </c>
      <c r="AE1018" s="106" t="s">
        <v>1966</v>
      </c>
      <c r="AF1018" s="106" t="n">
        <v>501005</v>
      </c>
      <c r="AG1018" s="106" t="s">
        <v>2033</v>
      </c>
      <c r="AI1018" s="106" t="n">
        <v>501005</v>
      </c>
      <c r="AJ1018" s="106" t="s">
        <v>2033</v>
      </c>
      <c r="AK1018" s="106" t="n">
        <v>0</v>
      </c>
      <c r="AL1018" s="106" t="n">
        <v>1</v>
      </c>
      <c r="AM1018" s="106" t="s">
        <v>161</v>
      </c>
      <c r="AP1018" s="106" t="n">
        <v>100199799</v>
      </c>
      <c r="AQ1018" s="129" t="n">
        <v>43830</v>
      </c>
      <c r="AR1018" s="129" t="n">
        <v>43828</v>
      </c>
      <c r="AS1018" s="106" t="n">
        <v>0.732986111111111</v>
      </c>
      <c r="AT1018" s="106" t="n">
        <v>0</v>
      </c>
      <c r="AU1018" s="106" t="n">
        <v>0</v>
      </c>
      <c r="AX1018" s="106" t="n">
        <v>1</v>
      </c>
      <c r="ALU1018" s="0"/>
      <c r="ALV1018" s="0"/>
      <c r="ALW1018" s="0"/>
      <c r="ALX1018" s="0"/>
      <c r="ALY1018" s="0"/>
      <c r="ALZ1018" s="0"/>
      <c r="AMA1018" s="0"/>
      <c r="AMB1018" s="0"/>
      <c r="AMC1018" s="0"/>
      <c r="AMD1018" s="0"/>
      <c r="AME1018" s="0"/>
      <c r="AMF1018" s="0"/>
      <c r="AMG1018" s="0"/>
      <c r="AMH1018" s="0"/>
      <c r="AMI1018" s="0"/>
      <c r="AMJ1018" s="0"/>
    </row>
    <row r="1019" customFormat="false" ht="13.8" hidden="true" customHeight="false" outlineLevel="0" collapsed="false">
      <c r="A1019" s="117" t="n">
        <v>1000</v>
      </c>
      <c r="B1019" s="117" t="s">
        <v>1962</v>
      </c>
      <c r="C1019" s="117" t="n">
        <v>100210316</v>
      </c>
      <c r="E1019" s="117" t="s">
        <v>1921</v>
      </c>
      <c r="F1019" s="117" t="n">
        <v>1109</v>
      </c>
      <c r="G1019" s="117" t="n">
        <v>2019</v>
      </c>
      <c r="H1019" s="117" t="n">
        <v>9</v>
      </c>
      <c r="I1019" s="118" t="n">
        <v>43830</v>
      </c>
      <c r="J1019" s="118" t="n">
        <v>43830</v>
      </c>
      <c r="K1019" s="119" t="n">
        <v>-3370991.8</v>
      </c>
      <c r="L1019" s="128" t="n">
        <f aca="false">K1019-Q1019+T1019</f>
        <v>-3370991.8</v>
      </c>
      <c r="M1019" s="117" t="s">
        <v>149</v>
      </c>
      <c r="N1019" s="117" t="n">
        <v>-3370991.8</v>
      </c>
      <c r="O1019" s="117" t="s">
        <v>149</v>
      </c>
      <c r="P1019" s="117" t="n">
        <v>0</v>
      </c>
      <c r="Q1019" s="117" t="n">
        <v>0</v>
      </c>
      <c r="R1019" s="117" t="n">
        <v>-3370991.8</v>
      </c>
      <c r="S1019" s="117" t="n">
        <v>0</v>
      </c>
      <c r="T1019" s="117" t="n">
        <v>0</v>
      </c>
      <c r="U1019" s="117" t="n">
        <v>311155</v>
      </c>
      <c r="V1019" s="117" t="s">
        <v>2022</v>
      </c>
      <c r="Z1019" s="117" t="n">
        <v>100210316</v>
      </c>
      <c r="AD1019" s="117" t="n">
        <v>110000</v>
      </c>
      <c r="AE1019" s="117" t="s">
        <v>1966</v>
      </c>
      <c r="AF1019" s="117" t="n">
        <v>110000</v>
      </c>
      <c r="AG1019" s="117" t="s">
        <v>1966</v>
      </c>
      <c r="AI1019" s="117" t="n">
        <v>110000</v>
      </c>
      <c r="AJ1019" s="117" t="s">
        <v>1966</v>
      </c>
      <c r="AK1019" s="117" t="n">
        <v>0</v>
      </c>
      <c r="AL1019" s="117" t="n">
        <v>17</v>
      </c>
      <c r="AM1019" s="117" t="s">
        <v>225</v>
      </c>
      <c r="AP1019" s="117" t="n">
        <v>100210316</v>
      </c>
      <c r="AQ1019" s="118" t="n">
        <v>43830</v>
      </c>
      <c r="AR1019" s="118" t="n">
        <v>43831</v>
      </c>
      <c r="AS1019" s="117" t="n">
        <v>0.444108796296296</v>
      </c>
      <c r="AT1019" s="117" t="n">
        <v>0</v>
      </c>
      <c r="AU1019" s="117" t="n">
        <v>0</v>
      </c>
      <c r="AX1019" s="117" t="n">
        <v>2</v>
      </c>
    </row>
    <row r="1020" customFormat="false" ht="13.8" hidden="true" customHeight="false" outlineLevel="0" collapsed="false">
      <c r="A1020" s="117" t="n">
        <v>1000</v>
      </c>
      <c r="B1020" s="117" t="s">
        <v>1962</v>
      </c>
      <c r="C1020" s="117" t="n">
        <v>100173563</v>
      </c>
      <c r="E1020" s="117" t="s">
        <v>1921</v>
      </c>
      <c r="F1020" s="117" t="n">
        <v>1109</v>
      </c>
      <c r="G1020" s="117" t="n">
        <v>2019</v>
      </c>
      <c r="H1020" s="117" t="n">
        <v>8</v>
      </c>
      <c r="I1020" s="118" t="n">
        <v>43799</v>
      </c>
      <c r="J1020" s="118" t="n">
        <v>43799</v>
      </c>
      <c r="K1020" s="119" t="n">
        <v>-282488.44</v>
      </c>
      <c r="L1020" s="128" t="n">
        <f aca="false">K1020-Q1020+T1020</f>
        <v>-282488.44</v>
      </c>
      <c r="M1020" s="117" t="s">
        <v>149</v>
      </c>
      <c r="N1020" s="117" t="n">
        <v>-282488.44</v>
      </c>
      <c r="O1020" s="117" t="s">
        <v>149</v>
      </c>
      <c r="P1020" s="117" t="n">
        <v>0</v>
      </c>
      <c r="Q1020" s="117" t="n">
        <v>0</v>
      </c>
      <c r="R1020" s="117" t="n">
        <v>-282488.44</v>
      </c>
      <c r="S1020" s="117" t="n">
        <v>0</v>
      </c>
      <c r="T1020" s="117" t="n">
        <v>0</v>
      </c>
      <c r="U1020" s="117" t="n">
        <v>312193</v>
      </c>
      <c r="V1020" s="117" t="s">
        <v>1963</v>
      </c>
      <c r="Z1020" s="117" t="n">
        <v>100173563</v>
      </c>
      <c r="AD1020" s="117" t="n">
        <v>110000</v>
      </c>
      <c r="AE1020" s="117" t="s">
        <v>1966</v>
      </c>
      <c r="AF1020" s="117" t="n">
        <v>310300</v>
      </c>
      <c r="AG1020" s="117" t="s">
        <v>1969</v>
      </c>
      <c r="AI1020" s="117" t="n">
        <v>310300</v>
      </c>
      <c r="AJ1020" s="117" t="s">
        <v>1969</v>
      </c>
      <c r="AK1020" s="117" t="n">
        <v>0</v>
      </c>
      <c r="AL1020" s="117" t="n">
        <v>17</v>
      </c>
      <c r="AM1020" s="117" t="s">
        <v>225</v>
      </c>
      <c r="AP1020" s="117" t="n">
        <v>100173563</v>
      </c>
      <c r="AQ1020" s="118" t="n">
        <v>43799</v>
      </c>
      <c r="AR1020" s="118" t="n">
        <v>43800</v>
      </c>
      <c r="AS1020" s="117" t="n">
        <v>0.641574074074074</v>
      </c>
      <c r="AT1020" s="117" t="n">
        <v>0</v>
      </c>
      <c r="AU1020" s="117" t="n">
        <v>0</v>
      </c>
      <c r="AX1020" s="117" t="n">
        <v>5</v>
      </c>
    </row>
    <row r="1021" s="106" customFormat="true" ht="13.8" hidden="true" customHeight="false" outlineLevel="0" collapsed="false">
      <c r="A1021" s="106" t="n">
        <v>1000</v>
      </c>
      <c r="B1021" s="106" t="s">
        <v>1962</v>
      </c>
      <c r="C1021" s="106" t="n">
        <v>110860</v>
      </c>
      <c r="D1021" s="106" t="s">
        <v>2528</v>
      </c>
      <c r="E1021" s="106" t="s">
        <v>1970</v>
      </c>
      <c r="F1021" s="106" t="n">
        <v>1112</v>
      </c>
      <c r="G1021" s="106" t="n">
        <v>2019</v>
      </c>
      <c r="H1021" s="106" t="n">
        <v>9</v>
      </c>
      <c r="I1021" s="129" t="n">
        <v>43828</v>
      </c>
      <c r="J1021" s="129" t="n">
        <v>43828</v>
      </c>
      <c r="K1021" s="107" t="n">
        <v>20268.25</v>
      </c>
      <c r="L1021" s="130" t="n">
        <f aca="false">K1021-Q1021+T1021</f>
        <v>17176.48</v>
      </c>
      <c r="M1021" s="106" t="s">
        <v>149</v>
      </c>
      <c r="N1021" s="106" t="n">
        <v>20268.25</v>
      </c>
      <c r="O1021" s="106" t="s">
        <v>149</v>
      </c>
      <c r="P1021" s="106" t="n">
        <v>0</v>
      </c>
      <c r="Q1021" s="107" t="n">
        <v>3091.77</v>
      </c>
      <c r="R1021" s="106" t="n">
        <v>17176.48</v>
      </c>
      <c r="S1021" s="106" t="n">
        <v>0</v>
      </c>
      <c r="T1021" s="106" t="n">
        <v>0</v>
      </c>
      <c r="U1021" s="106" t="n">
        <v>312193</v>
      </c>
      <c r="V1021" s="106" t="s">
        <v>1963</v>
      </c>
      <c r="Z1021" s="106" t="n">
        <v>62195</v>
      </c>
      <c r="AB1021" s="106" t="s">
        <v>2350</v>
      </c>
      <c r="AD1021" s="106" t="n">
        <v>110000</v>
      </c>
      <c r="AE1021" s="106" t="s">
        <v>1966</v>
      </c>
      <c r="AF1021" s="106" t="n">
        <v>501005</v>
      </c>
      <c r="AG1021" s="106" t="s">
        <v>2033</v>
      </c>
      <c r="AI1021" s="106" t="n">
        <v>501005</v>
      </c>
      <c r="AJ1021" s="106" t="s">
        <v>2033</v>
      </c>
      <c r="AK1021" s="106" t="n">
        <v>0</v>
      </c>
      <c r="AL1021" s="106" t="n">
        <v>1</v>
      </c>
      <c r="AM1021" s="106" t="s">
        <v>161</v>
      </c>
      <c r="AP1021" s="106" t="n">
        <v>100199799</v>
      </c>
      <c r="AQ1021" s="129" t="n">
        <v>43830</v>
      </c>
      <c r="AR1021" s="129" t="n">
        <v>43828</v>
      </c>
      <c r="AS1021" s="106" t="n">
        <v>0.69162037037037</v>
      </c>
      <c r="AT1021" s="106" t="n">
        <v>0</v>
      </c>
      <c r="AU1021" s="106" t="n">
        <v>0</v>
      </c>
      <c r="AX1021" s="106" t="n">
        <v>1</v>
      </c>
      <c r="ALU1021" s="0"/>
      <c r="ALV1021" s="0"/>
      <c r="ALW1021" s="0"/>
      <c r="ALX1021" s="0"/>
      <c r="ALY1021" s="0"/>
      <c r="ALZ1021" s="0"/>
      <c r="AMA1021" s="0"/>
      <c r="AMB1021" s="0"/>
      <c r="AMC1021" s="0"/>
      <c r="AMD1021" s="0"/>
      <c r="AME1021" s="0"/>
      <c r="AMF1021" s="0"/>
      <c r="AMG1021" s="0"/>
      <c r="AMH1021" s="0"/>
      <c r="AMI1021" s="0"/>
      <c r="AMJ1021" s="0"/>
    </row>
    <row r="1022" customFormat="false" ht="13.8" hidden="true" customHeight="false" outlineLevel="0" collapsed="false">
      <c r="A1022" s="117" t="n">
        <v>1000</v>
      </c>
      <c r="B1022" s="117" t="s">
        <v>1962</v>
      </c>
      <c r="C1022" s="117" t="n">
        <v>100194025</v>
      </c>
      <c r="E1022" s="117" t="s">
        <v>1921</v>
      </c>
      <c r="F1022" s="117" t="n">
        <v>1112</v>
      </c>
      <c r="G1022" s="117" t="n">
        <v>2019</v>
      </c>
      <c r="H1022" s="117" t="n">
        <v>9</v>
      </c>
      <c r="I1022" s="118" t="n">
        <v>43824</v>
      </c>
      <c r="J1022" s="118" t="n">
        <v>43824</v>
      </c>
      <c r="K1022" s="119" t="n">
        <v>434277.76</v>
      </c>
      <c r="L1022" s="128" t="n">
        <f aca="false">K1022-Q1022+T1022</f>
        <v>434277.76</v>
      </c>
      <c r="M1022" s="117" t="s">
        <v>149</v>
      </c>
      <c r="N1022" s="117" t="n">
        <v>434277.76</v>
      </c>
      <c r="O1022" s="117" t="s">
        <v>149</v>
      </c>
      <c r="P1022" s="117" t="n">
        <v>0</v>
      </c>
      <c r="Q1022" s="117" t="n">
        <v>0</v>
      </c>
      <c r="R1022" s="117" t="n">
        <v>434277.76</v>
      </c>
      <c r="S1022" s="117" t="n">
        <v>0</v>
      </c>
      <c r="T1022" s="117" t="n">
        <v>0</v>
      </c>
      <c r="U1022" s="117" t="n">
        <v>312193</v>
      </c>
      <c r="V1022" s="117" t="s">
        <v>1963</v>
      </c>
      <c r="X1022" s="117" t="s">
        <v>1738</v>
      </c>
      <c r="Z1022" s="117" t="n">
        <v>62394</v>
      </c>
      <c r="AB1022" s="117" t="s">
        <v>2362</v>
      </c>
      <c r="AD1022" s="117" t="n">
        <v>110000</v>
      </c>
      <c r="AE1022" s="117" t="s">
        <v>1966</v>
      </c>
      <c r="AF1022" s="117" t="n">
        <v>110000</v>
      </c>
      <c r="AG1022" s="117" t="s">
        <v>1966</v>
      </c>
      <c r="AI1022" s="117" t="n">
        <v>110000</v>
      </c>
      <c r="AJ1022" s="117" t="s">
        <v>1966</v>
      </c>
      <c r="AK1022" s="117" t="n">
        <v>0</v>
      </c>
      <c r="AL1022" s="117" t="n">
        <v>4</v>
      </c>
      <c r="AM1022" s="117" t="s">
        <v>161</v>
      </c>
      <c r="AR1022" s="118" t="n">
        <v>43824</v>
      </c>
      <c r="AS1022" s="117" t="n">
        <v>0.371284722222222</v>
      </c>
      <c r="AT1022" s="117" t="n">
        <v>0</v>
      </c>
      <c r="AU1022" s="117" t="n">
        <v>0</v>
      </c>
      <c r="AX1022" s="117" t="n">
        <v>31</v>
      </c>
    </row>
    <row r="1023" customFormat="false" ht="13.8" hidden="true" customHeight="false" outlineLevel="0" collapsed="false">
      <c r="A1023" s="117" t="n">
        <v>1000</v>
      </c>
      <c r="B1023" s="117" t="s">
        <v>1962</v>
      </c>
      <c r="C1023" s="117" t="n">
        <v>100162592</v>
      </c>
      <c r="E1023" s="117" t="s">
        <v>1921</v>
      </c>
      <c r="F1023" s="117" t="n">
        <v>1109</v>
      </c>
      <c r="G1023" s="117" t="n">
        <v>2019</v>
      </c>
      <c r="H1023" s="117" t="n">
        <v>8</v>
      </c>
      <c r="I1023" s="118" t="n">
        <v>43792</v>
      </c>
      <c r="J1023" s="118" t="n">
        <v>43792</v>
      </c>
      <c r="K1023" s="119" t="n">
        <v>-1970625.31</v>
      </c>
      <c r="L1023" s="128" t="n">
        <f aca="false">K1023-Q1023+T1023</f>
        <v>-1970625.31</v>
      </c>
      <c r="M1023" s="117" t="s">
        <v>149</v>
      </c>
      <c r="N1023" s="117" t="n">
        <v>-1970625.31</v>
      </c>
      <c r="O1023" s="117" t="s">
        <v>149</v>
      </c>
      <c r="P1023" s="117" t="n">
        <v>0</v>
      </c>
      <c r="Q1023" s="117" t="n">
        <v>0</v>
      </c>
      <c r="R1023" s="117" t="n">
        <v>-1970625.31</v>
      </c>
      <c r="S1023" s="117" t="n">
        <v>0</v>
      </c>
      <c r="T1023" s="117" t="n">
        <v>0</v>
      </c>
      <c r="U1023" s="117" t="n">
        <v>307259</v>
      </c>
      <c r="V1023" s="117" t="s">
        <v>143</v>
      </c>
      <c r="Z1023" s="117" t="n">
        <v>100162592</v>
      </c>
      <c r="AD1023" s="117" t="n">
        <v>110000</v>
      </c>
      <c r="AE1023" s="117" t="s">
        <v>1966</v>
      </c>
      <c r="AF1023" s="117" t="n">
        <v>110000</v>
      </c>
      <c r="AG1023" s="117" t="s">
        <v>1966</v>
      </c>
      <c r="AI1023" s="117" t="n">
        <v>110000</v>
      </c>
      <c r="AJ1023" s="117" t="s">
        <v>1966</v>
      </c>
      <c r="AK1023" s="117" t="n">
        <v>0</v>
      </c>
      <c r="AL1023" s="117" t="n">
        <v>17</v>
      </c>
      <c r="AM1023" s="117" t="s">
        <v>225</v>
      </c>
      <c r="AP1023" s="117" t="n">
        <v>100162592</v>
      </c>
      <c r="AQ1023" s="118" t="n">
        <v>43792</v>
      </c>
      <c r="AR1023" s="118" t="n">
        <v>43792</v>
      </c>
      <c r="AS1023" s="117" t="n">
        <v>0.657199074074074</v>
      </c>
      <c r="AT1023" s="117" t="n">
        <v>0</v>
      </c>
      <c r="AU1023" s="117" t="n">
        <v>0</v>
      </c>
      <c r="AX1023" s="117" t="n">
        <v>2</v>
      </c>
    </row>
    <row r="1024" customFormat="false" ht="13.8" hidden="true" customHeight="false" outlineLevel="0" collapsed="false">
      <c r="A1024" s="117" t="n">
        <v>1000</v>
      </c>
      <c r="B1024" s="117" t="s">
        <v>1962</v>
      </c>
      <c r="C1024" s="117" t="n">
        <v>100141449</v>
      </c>
      <c r="E1024" s="117" t="s">
        <v>1921</v>
      </c>
      <c r="F1024" s="117" t="n">
        <v>1109</v>
      </c>
      <c r="G1024" s="117" t="n">
        <v>2019</v>
      </c>
      <c r="H1024" s="117" t="n">
        <v>7</v>
      </c>
      <c r="I1024" s="118" t="n">
        <v>43766</v>
      </c>
      <c r="J1024" s="118" t="n">
        <v>43766</v>
      </c>
      <c r="K1024" s="119" t="n">
        <v>2271501.31</v>
      </c>
      <c r="L1024" s="128" t="n">
        <f aca="false">K1024-Q1024+T1024</f>
        <v>2271501.31</v>
      </c>
      <c r="M1024" s="117" t="s">
        <v>149</v>
      </c>
      <c r="N1024" s="117" t="n">
        <v>2271501.31</v>
      </c>
      <c r="O1024" s="117" t="s">
        <v>149</v>
      </c>
      <c r="P1024" s="117" t="n">
        <v>0</v>
      </c>
      <c r="Q1024" s="117" t="n">
        <v>0</v>
      </c>
      <c r="R1024" s="117" t="n">
        <v>2271501.31</v>
      </c>
      <c r="S1024" s="117" t="n">
        <v>0</v>
      </c>
      <c r="T1024" s="117" t="n">
        <v>0</v>
      </c>
      <c r="U1024" s="117" t="n">
        <v>312193</v>
      </c>
      <c r="V1024" s="117" t="s">
        <v>1963</v>
      </c>
      <c r="X1024" s="117" t="s">
        <v>2386</v>
      </c>
      <c r="Z1024" s="117" t="n">
        <v>60963</v>
      </c>
      <c r="AB1024" s="117" t="s">
        <v>2124</v>
      </c>
      <c r="AD1024" s="117" t="n">
        <v>110000</v>
      </c>
      <c r="AE1024" s="117" t="s">
        <v>1966</v>
      </c>
      <c r="AF1024" s="117" t="n">
        <v>110000</v>
      </c>
      <c r="AG1024" s="117" t="s">
        <v>1966</v>
      </c>
      <c r="AI1024" s="117" t="n">
        <v>110000</v>
      </c>
      <c r="AJ1024" s="117" t="s">
        <v>1966</v>
      </c>
      <c r="AK1024" s="117" t="n">
        <v>0</v>
      </c>
      <c r="AL1024" s="117" t="n">
        <v>4</v>
      </c>
      <c r="AM1024" s="117" t="s">
        <v>161</v>
      </c>
      <c r="AR1024" s="118" t="n">
        <v>43766</v>
      </c>
      <c r="AS1024" s="117" t="n">
        <v>0.371388888888889</v>
      </c>
      <c r="AT1024" s="117" t="n">
        <v>0</v>
      </c>
      <c r="AU1024" s="117" t="n">
        <v>0</v>
      </c>
      <c r="AX1024" s="117" t="n">
        <v>27</v>
      </c>
    </row>
    <row r="1025" customFormat="false" ht="13.8" hidden="true" customHeight="false" outlineLevel="0" collapsed="false">
      <c r="A1025" s="117" t="n">
        <v>1000</v>
      </c>
      <c r="B1025" s="117" t="s">
        <v>1962</v>
      </c>
      <c r="C1025" s="117" t="n">
        <v>100199799</v>
      </c>
      <c r="E1025" s="117" t="s">
        <v>1921</v>
      </c>
      <c r="F1025" s="117" t="n">
        <v>1112</v>
      </c>
      <c r="G1025" s="117" t="n">
        <v>2019</v>
      </c>
      <c r="H1025" s="117" t="n">
        <v>9</v>
      </c>
      <c r="I1025" s="118" t="n">
        <v>43830</v>
      </c>
      <c r="J1025" s="118" t="n">
        <v>43830</v>
      </c>
      <c r="K1025" s="119" t="n">
        <v>7059.83</v>
      </c>
      <c r="L1025" s="128" t="n">
        <f aca="false">K1025-Q1025+T1025</f>
        <v>7059.83</v>
      </c>
      <c r="M1025" s="117" t="s">
        <v>149</v>
      </c>
      <c r="N1025" s="117" t="n">
        <v>7059.83</v>
      </c>
      <c r="O1025" s="117" t="s">
        <v>149</v>
      </c>
      <c r="P1025" s="117" t="n">
        <v>0</v>
      </c>
      <c r="Q1025" s="117" t="n">
        <v>0</v>
      </c>
      <c r="R1025" s="117" t="n">
        <v>7059.83</v>
      </c>
      <c r="S1025" s="117" t="n">
        <v>0</v>
      </c>
      <c r="T1025" s="117" t="n">
        <v>0</v>
      </c>
      <c r="U1025" s="117" t="n">
        <v>312193</v>
      </c>
      <c r="V1025" s="117" t="s">
        <v>1963</v>
      </c>
      <c r="X1025" s="117" t="s">
        <v>2511</v>
      </c>
      <c r="Z1025" s="117" t="n">
        <v>62194</v>
      </c>
      <c r="AB1025" s="117" t="s">
        <v>2362</v>
      </c>
      <c r="AD1025" s="117" t="n">
        <v>110000</v>
      </c>
      <c r="AE1025" s="117" t="s">
        <v>1966</v>
      </c>
      <c r="AF1025" s="117" t="n">
        <v>110000</v>
      </c>
      <c r="AG1025" s="117" t="s">
        <v>1966</v>
      </c>
      <c r="AI1025" s="117" t="n">
        <v>110000</v>
      </c>
      <c r="AJ1025" s="117" t="s">
        <v>1966</v>
      </c>
      <c r="AK1025" s="117" t="n">
        <v>0</v>
      </c>
      <c r="AL1025" s="117" t="n">
        <v>4</v>
      </c>
      <c r="AM1025" s="117" t="s">
        <v>161</v>
      </c>
      <c r="AR1025" s="118" t="n">
        <v>43830</v>
      </c>
      <c r="AS1025" s="117" t="n">
        <v>0.279467592592593</v>
      </c>
      <c r="AT1025" s="117" t="n">
        <v>0</v>
      </c>
      <c r="AU1025" s="117" t="n">
        <v>0</v>
      </c>
      <c r="AX1025" s="117" t="n">
        <v>6</v>
      </c>
    </row>
    <row r="1026" customFormat="false" ht="13.8" hidden="true" customHeight="false" outlineLevel="0" collapsed="false">
      <c r="A1026" s="117" t="n">
        <v>1000</v>
      </c>
      <c r="B1026" s="117" t="s">
        <v>1962</v>
      </c>
      <c r="C1026" s="117" t="n">
        <v>100199799</v>
      </c>
      <c r="E1026" s="117" t="s">
        <v>1921</v>
      </c>
      <c r="F1026" s="117" t="n">
        <v>1112</v>
      </c>
      <c r="G1026" s="117" t="n">
        <v>2019</v>
      </c>
      <c r="H1026" s="117" t="n">
        <v>9</v>
      </c>
      <c r="I1026" s="118" t="n">
        <v>43830</v>
      </c>
      <c r="J1026" s="118" t="n">
        <v>43830</v>
      </c>
      <c r="K1026" s="119" t="n">
        <v>1105081.8</v>
      </c>
      <c r="L1026" s="128" t="n">
        <f aca="false">K1026-Q1026+T1026</f>
        <v>1105081.8</v>
      </c>
      <c r="M1026" s="117" t="s">
        <v>149</v>
      </c>
      <c r="N1026" s="117" t="n">
        <v>1105081.8</v>
      </c>
      <c r="O1026" s="117" t="s">
        <v>149</v>
      </c>
      <c r="P1026" s="117" t="n">
        <v>0</v>
      </c>
      <c r="Q1026" s="117" t="n">
        <v>0</v>
      </c>
      <c r="R1026" s="117" t="n">
        <v>1105081.8</v>
      </c>
      <c r="S1026" s="117" t="n">
        <v>0</v>
      </c>
      <c r="T1026" s="117" t="n">
        <v>0</v>
      </c>
      <c r="U1026" s="117" t="n">
        <v>312193</v>
      </c>
      <c r="V1026" s="117" t="s">
        <v>1963</v>
      </c>
      <c r="X1026" s="117" t="s">
        <v>2364</v>
      </c>
      <c r="Z1026" s="117" t="n">
        <v>62396</v>
      </c>
      <c r="AB1026" s="117" t="s">
        <v>2362</v>
      </c>
      <c r="AD1026" s="117" t="n">
        <v>110000</v>
      </c>
      <c r="AE1026" s="117" t="s">
        <v>1966</v>
      </c>
      <c r="AF1026" s="117" t="n">
        <v>110000</v>
      </c>
      <c r="AG1026" s="117" t="s">
        <v>1966</v>
      </c>
      <c r="AI1026" s="117" t="n">
        <v>110000</v>
      </c>
      <c r="AJ1026" s="117" t="s">
        <v>1966</v>
      </c>
      <c r="AK1026" s="117" t="n">
        <v>0</v>
      </c>
      <c r="AL1026" s="117" t="n">
        <v>4</v>
      </c>
      <c r="AM1026" s="117" t="s">
        <v>161</v>
      </c>
      <c r="AR1026" s="118" t="n">
        <v>43830</v>
      </c>
      <c r="AS1026" s="117" t="n">
        <v>0.279467592592593</v>
      </c>
      <c r="AT1026" s="117" t="n">
        <v>0</v>
      </c>
      <c r="AU1026" s="117" t="n">
        <v>0</v>
      </c>
      <c r="AX1026" s="117" t="n">
        <v>10</v>
      </c>
    </row>
    <row r="1027" s="106" customFormat="true" ht="13.8" hidden="true" customHeight="false" outlineLevel="0" collapsed="false">
      <c r="A1027" s="106" t="n">
        <v>1000</v>
      </c>
      <c r="B1027" s="106" t="s">
        <v>1962</v>
      </c>
      <c r="C1027" s="106" t="n">
        <v>105504</v>
      </c>
      <c r="D1027" s="106" t="s">
        <v>2538</v>
      </c>
      <c r="E1027" s="106" t="s">
        <v>1970</v>
      </c>
      <c r="F1027" s="106" t="n">
        <v>1109</v>
      </c>
      <c r="G1027" s="106" t="n">
        <v>2019</v>
      </c>
      <c r="H1027" s="106" t="n">
        <v>5</v>
      </c>
      <c r="I1027" s="129" t="n">
        <v>43683</v>
      </c>
      <c r="J1027" s="129" t="n">
        <v>43683</v>
      </c>
      <c r="K1027" s="107" t="n">
        <v>98330.49</v>
      </c>
      <c r="L1027" s="130" t="n">
        <f aca="false">K1027-Q1027+T1027</f>
        <v>83330.92</v>
      </c>
      <c r="M1027" s="106" t="s">
        <v>149</v>
      </c>
      <c r="N1027" s="106" t="n">
        <v>98330.49</v>
      </c>
      <c r="O1027" s="106" t="s">
        <v>149</v>
      </c>
      <c r="P1027" s="106" t="n">
        <v>0</v>
      </c>
      <c r="Q1027" s="107" t="n">
        <v>14999.57</v>
      </c>
      <c r="R1027" s="106" t="n">
        <v>83330.92</v>
      </c>
      <c r="S1027" s="106" t="n">
        <v>0</v>
      </c>
      <c r="T1027" s="106" t="n">
        <v>0</v>
      </c>
      <c r="U1027" s="106" t="n">
        <v>312193</v>
      </c>
      <c r="V1027" s="106" t="s">
        <v>1963</v>
      </c>
      <c r="Z1027" s="106" t="n">
        <v>60002468</v>
      </c>
      <c r="AD1027" s="106" t="n">
        <v>110000</v>
      </c>
      <c r="AE1027" s="106" t="s">
        <v>1966</v>
      </c>
      <c r="AF1027" s="106" t="n">
        <v>501000</v>
      </c>
      <c r="AG1027" s="106" t="s">
        <v>2170</v>
      </c>
      <c r="AI1027" s="106" t="n">
        <v>501000</v>
      </c>
      <c r="AJ1027" s="106" t="s">
        <v>2170</v>
      </c>
      <c r="AK1027" s="106" t="n">
        <v>0</v>
      </c>
      <c r="AL1027" s="106" t="n">
        <v>1</v>
      </c>
      <c r="AM1027" s="106" t="s">
        <v>161</v>
      </c>
      <c r="AP1027" s="106" t="n">
        <v>100078768</v>
      </c>
      <c r="AQ1027" s="129" t="n">
        <v>43706</v>
      </c>
      <c r="AR1027" s="129" t="n">
        <v>43683</v>
      </c>
      <c r="AS1027" s="106" t="n">
        <v>0.607210648148148</v>
      </c>
      <c r="AT1027" s="106" t="n">
        <v>0</v>
      </c>
      <c r="AU1027" s="106" t="n">
        <v>0</v>
      </c>
      <c r="AX1027" s="106" t="n">
        <v>1</v>
      </c>
      <c r="ALU1027" s="0"/>
      <c r="ALV1027" s="0"/>
      <c r="ALW1027" s="0"/>
      <c r="ALX1027" s="0"/>
      <c r="ALY1027" s="0"/>
      <c r="ALZ1027" s="0"/>
      <c r="AMA1027" s="0"/>
      <c r="AMB1027" s="0"/>
      <c r="AMC1027" s="0"/>
      <c r="AMD1027" s="0"/>
      <c r="AME1027" s="0"/>
      <c r="AMF1027" s="0"/>
      <c r="AMG1027" s="0"/>
      <c r="AMH1027" s="0"/>
      <c r="AMI1027" s="0"/>
      <c r="AMJ1027" s="0"/>
    </row>
    <row r="1028" customFormat="false" ht="13.8" hidden="true" customHeight="false" outlineLevel="0" collapsed="false">
      <c r="A1028" s="117" t="n">
        <v>1000</v>
      </c>
      <c r="B1028" s="117" t="s">
        <v>1962</v>
      </c>
      <c r="C1028" s="117" t="n">
        <v>1600000288</v>
      </c>
      <c r="D1028" s="117" t="s">
        <v>2356</v>
      </c>
      <c r="E1028" s="117" t="s">
        <v>1987</v>
      </c>
      <c r="F1028" s="117" t="n">
        <v>1101</v>
      </c>
      <c r="G1028" s="117" t="n">
        <v>2019</v>
      </c>
      <c r="H1028" s="117" t="n">
        <v>8</v>
      </c>
      <c r="I1028" s="118" t="n">
        <v>43795</v>
      </c>
      <c r="J1028" s="118" t="n">
        <v>43795</v>
      </c>
      <c r="K1028" s="119" t="n">
        <v>-9242</v>
      </c>
      <c r="L1028" s="128" t="n">
        <f aca="false">K1028-Q1028+T1028</f>
        <v>-9242</v>
      </c>
      <c r="M1028" s="117" t="s">
        <v>149</v>
      </c>
      <c r="N1028" s="117" t="n">
        <v>-9242</v>
      </c>
      <c r="O1028" s="117" t="s">
        <v>149</v>
      </c>
      <c r="P1028" s="117" t="n">
        <v>-9242</v>
      </c>
      <c r="Q1028" s="117" t="n">
        <v>0</v>
      </c>
      <c r="R1028" s="117" t="n">
        <v>-9242</v>
      </c>
      <c r="S1028" s="117" t="n">
        <v>0</v>
      </c>
      <c r="T1028" s="117" t="n">
        <v>0</v>
      </c>
      <c r="U1028" s="117" t="n">
        <v>312193</v>
      </c>
      <c r="V1028" s="117" t="s">
        <v>1963</v>
      </c>
      <c r="X1028" s="117" t="s">
        <v>2542</v>
      </c>
      <c r="Y1028" s="117" t="s">
        <v>2358</v>
      </c>
      <c r="Z1028" s="117" t="n">
        <v>1600000288</v>
      </c>
      <c r="AD1028" s="117" t="n">
        <v>310300</v>
      </c>
      <c r="AE1028" s="117" t="s">
        <v>1969</v>
      </c>
      <c r="AF1028" s="117" t="n">
        <v>111201</v>
      </c>
      <c r="AG1028" s="117" t="s">
        <v>2165</v>
      </c>
      <c r="AI1028" s="117" t="n">
        <v>111201</v>
      </c>
      <c r="AJ1028" s="117" t="s">
        <v>2165</v>
      </c>
      <c r="AK1028" s="117" t="n">
        <v>0</v>
      </c>
      <c r="AL1028" s="117" t="n">
        <v>19</v>
      </c>
      <c r="AM1028" s="117" t="s">
        <v>225</v>
      </c>
      <c r="AN1028" s="117" t="s">
        <v>1978</v>
      </c>
      <c r="AP1028" s="117" t="n">
        <v>100173563</v>
      </c>
      <c r="AQ1028" s="118" t="n">
        <v>43799</v>
      </c>
      <c r="AR1028" s="118" t="n">
        <v>43795</v>
      </c>
      <c r="AS1028" s="117" t="n">
        <v>0.285</v>
      </c>
      <c r="AT1028" s="117" t="n">
        <v>0</v>
      </c>
      <c r="AU1028" s="117" t="n">
        <v>0</v>
      </c>
      <c r="AX1028" s="117" t="n">
        <v>29</v>
      </c>
    </row>
    <row r="1029" customFormat="false" ht="13.8" hidden="true" customHeight="false" outlineLevel="0" collapsed="false">
      <c r="A1029" s="117" t="n">
        <v>1000</v>
      </c>
      <c r="B1029" s="117" t="s">
        <v>1962</v>
      </c>
      <c r="C1029" s="117" t="n">
        <v>100194025</v>
      </c>
      <c r="E1029" s="117" t="s">
        <v>1921</v>
      </c>
      <c r="F1029" s="117" t="n">
        <v>1112</v>
      </c>
      <c r="G1029" s="117" t="n">
        <v>2019</v>
      </c>
      <c r="H1029" s="117" t="n">
        <v>9</v>
      </c>
      <c r="I1029" s="118" t="n">
        <v>43824</v>
      </c>
      <c r="J1029" s="118" t="n">
        <v>43824</v>
      </c>
      <c r="K1029" s="119" t="n">
        <v>135167.96</v>
      </c>
      <c r="L1029" s="128" t="n">
        <f aca="false">K1029-Q1029+T1029</f>
        <v>135167.96</v>
      </c>
      <c r="M1029" s="117" t="s">
        <v>149</v>
      </c>
      <c r="N1029" s="117" t="n">
        <v>135167.96</v>
      </c>
      <c r="O1029" s="117" t="s">
        <v>149</v>
      </c>
      <c r="P1029" s="117" t="n">
        <v>0</v>
      </c>
      <c r="Q1029" s="117" t="n">
        <v>0</v>
      </c>
      <c r="R1029" s="117" t="n">
        <v>135167.96</v>
      </c>
      <c r="S1029" s="117" t="n">
        <v>0</v>
      </c>
      <c r="T1029" s="117" t="n">
        <v>0</v>
      </c>
      <c r="U1029" s="117" t="n">
        <v>312193</v>
      </c>
      <c r="V1029" s="117" t="s">
        <v>1963</v>
      </c>
      <c r="X1029" s="117" t="s">
        <v>1711</v>
      </c>
      <c r="Z1029" s="117" t="n">
        <v>62149</v>
      </c>
      <c r="AB1029" s="117" t="s">
        <v>2362</v>
      </c>
      <c r="AD1029" s="117" t="n">
        <v>110000</v>
      </c>
      <c r="AE1029" s="117" t="s">
        <v>1966</v>
      </c>
      <c r="AF1029" s="117" t="n">
        <v>110000</v>
      </c>
      <c r="AG1029" s="117" t="s">
        <v>1966</v>
      </c>
      <c r="AI1029" s="117" t="n">
        <v>110000</v>
      </c>
      <c r="AJ1029" s="117" t="s">
        <v>1966</v>
      </c>
      <c r="AK1029" s="117" t="n">
        <v>0</v>
      </c>
      <c r="AL1029" s="117" t="n">
        <v>4</v>
      </c>
      <c r="AM1029" s="117" t="s">
        <v>161</v>
      </c>
      <c r="AR1029" s="118" t="n">
        <v>43824</v>
      </c>
      <c r="AS1029" s="117" t="n">
        <v>0.371284722222222</v>
      </c>
      <c r="AT1029" s="117" t="n">
        <v>0</v>
      </c>
      <c r="AU1029" s="117" t="n">
        <v>0</v>
      </c>
      <c r="AX1029" s="117" t="n">
        <v>19</v>
      </c>
    </row>
    <row r="1030" s="106" customFormat="true" ht="13.8" hidden="true" customHeight="false" outlineLevel="0" collapsed="false">
      <c r="A1030" s="106" t="n">
        <v>1000</v>
      </c>
      <c r="B1030" s="106" t="s">
        <v>1962</v>
      </c>
      <c r="C1030" s="106" t="n">
        <v>110866</v>
      </c>
      <c r="D1030" s="106" t="s">
        <v>2543</v>
      </c>
      <c r="E1030" s="106" t="s">
        <v>1970</v>
      </c>
      <c r="F1030" s="106" t="n">
        <v>1112</v>
      </c>
      <c r="G1030" s="106" t="n">
        <v>2019</v>
      </c>
      <c r="H1030" s="106" t="n">
        <v>9</v>
      </c>
      <c r="I1030" s="129" t="n">
        <v>43828</v>
      </c>
      <c r="J1030" s="129" t="n">
        <v>43828</v>
      </c>
      <c r="K1030" s="107" t="n">
        <v>23537.32</v>
      </c>
      <c r="L1030" s="130" t="n">
        <f aca="false">K1030-Q1030+T1030</f>
        <v>19946.88</v>
      </c>
      <c r="M1030" s="106" t="s">
        <v>149</v>
      </c>
      <c r="N1030" s="106" t="n">
        <v>23537.32</v>
      </c>
      <c r="O1030" s="106" t="s">
        <v>149</v>
      </c>
      <c r="P1030" s="106" t="n">
        <v>0</v>
      </c>
      <c r="Q1030" s="107" t="n">
        <v>3590.44</v>
      </c>
      <c r="R1030" s="106" t="n">
        <v>19946.88</v>
      </c>
      <c r="S1030" s="106" t="n">
        <v>0</v>
      </c>
      <c r="T1030" s="106" t="n">
        <v>0</v>
      </c>
      <c r="U1030" s="106" t="n">
        <v>312193</v>
      </c>
      <c r="V1030" s="106" t="s">
        <v>1963</v>
      </c>
      <c r="Z1030" s="106" t="n">
        <v>62197</v>
      </c>
      <c r="AB1030" s="106" t="s">
        <v>2350</v>
      </c>
      <c r="AD1030" s="106" t="n">
        <v>110000</v>
      </c>
      <c r="AE1030" s="106" t="s">
        <v>1966</v>
      </c>
      <c r="AF1030" s="106" t="n">
        <v>501005</v>
      </c>
      <c r="AG1030" s="106" t="s">
        <v>2033</v>
      </c>
      <c r="AI1030" s="106" t="n">
        <v>501005</v>
      </c>
      <c r="AJ1030" s="106" t="s">
        <v>2033</v>
      </c>
      <c r="AK1030" s="106" t="n">
        <v>0</v>
      </c>
      <c r="AL1030" s="106" t="n">
        <v>1</v>
      </c>
      <c r="AM1030" s="106" t="s">
        <v>161</v>
      </c>
      <c r="AP1030" s="106" t="n">
        <v>100199799</v>
      </c>
      <c r="AQ1030" s="129" t="n">
        <v>43830</v>
      </c>
      <c r="AR1030" s="129" t="n">
        <v>43828</v>
      </c>
      <c r="AS1030" s="106" t="n">
        <v>0.709826388888889</v>
      </c>
      <c r="AT1030" s="106" t="n">
        <v>0</v>
      </c>
      <c r="AU1030" s="106" t="n">
        <v>0</v>
      </c>
      <c r="AX1030" s="106" t="n">
        <v>1</v>
      </c>
      <c r="ALU1030" s="0"/>
      <c r="ALV1030" s="0"/>
      <c r="ALW1030" s="0"/>
      <c r="ALX1030" s="0"/>
      <c r="ALY1030" s="0"/>
      <c r="ALZ1030" s="0"/>
      <c r="AMA1030" s="0"/>
      <c r="AMB1030" s="0"/>
      <c r="AMC1030" s="0"/>
      <c r="AMD1030" s="0"/>
      <c r="AME1030" s="0"/>
      <c r="AMF1030" s="0"/>
      <c r="AMG1030" s="0"/>
      <c r="AMH1030" s="0"/>
      <c r="AMI1030" s="0"/>
      <c r="AMJ1030" s="0"/>
    </row>
    <row r="1031" customFormat="false" ht="13.8" hidden="true" customHeight="false" outlineLevel="0" collapsed="false">
      <c r="A1031" s="117" t="n">
        <v>1000</v>
      </c>
      <c r="B1031" s="117" t="s">
        <v>1962</v>
      </c>
      <c r="C1031" s="117" t="n">
        <v>100194020</v>
      </c>
      <c r="E1031" s="117" t="s">
        <v>1921</v>
      </c>
      <c r="F1031" s="117" t="n">
        <v>1101</v>
      </c>
      <c r="G1031" s="117" t="n">
        <v>2019</v>
      </c>
      <c r="H1031" s="117" t="n">
        <v>9</v>
      </c>
      <c r="I1031" s="118" t="n">
        <v>43824</v>
      </c>
      <c r="J1031" s="118" t="n">
        <v>43824</v>
      </c>
      <c r="K1031" s="119" t="n">
        <v>33408</v>
      </c>
      <c r="L1031" s="128" t="n">
        <f aca="false">K1031-Q1031+T1031</f>
        <v>33408</v>
      </c>
      <c r="M1031" s="117" t="s">
        <v>149</v>
      </c>
      <c r="N1031" s="117" t="n">
        <v>33408</v>
      </c>
      <c r="O1031" s="117" t="s">
        <v>149</v>
      </c>
      <c r="P1031" s="117" t="n">
        <v>0</v>
      </c>
      <c r="Q1031" s="117" t="n">
        <v>0</v>
      </c>
      <c r="R1031" s="117" t="n">
        <v>33408</v>
      </c>
      <c r="S1031" s="117" t="n">
        <v>0</v>
      </c>
      <c r="T1031" s="117" t="n">
        <v>0</v>
      </c>
      <c r="U1031" s="117" t="n">
        <v>304431</v>
      </c>
      <c r="V1031" s="117" t="s">
        <v>2016</v>
      </c>
      <c r="Z1031" s="117" t="n">
        <v>100194020</v>
      </c>
      <c r="AD1031" s="117" t="n">
        <v>310300</v>
      </c>
      <c r="AE1031" s="117" t="s">
        <v>1969</v>
      </c>
      <c r="AF1031" s="117" t="n">
        <v>310300</v>
      </c>
      <c r="AG1031" s="117" t="s">
        <v>1969</v>
      </c>
      <c r="AI1031" s="117" t="n">
        <v>310300</v>
      </c>
      <c r="AJ1031" s="117" t="s">
        <v>1969</v>
      </c>
      <c r="AK1031" s="117" t="n">
        <v>0</v>
      </c>
      <c r="AL1031" s="117" t="n">
        <v>9</v>
      </c>
      <c r="AM1031" s="117" t="s">
        <v>161</v>
      </c>
      <c r="AN1031" s="117" t="s">
        <v>1978</v>
      </c>
      <c r="AP1031" s="117" t="n">
        <v>100194020</v>
      </c>
      <c r="AQ1031" s="118" t="n">
        <v>43824</v>
      </c>
      <c r="AR1031" s="118" t="n">
        <v>43824</v>
      </c>
      <c r="AS1031" s="117" t="n">
        <v>0.357604166666667</v>
      </c>
      <c r="AT1031" s="117" t="n">
        <v>0</v>
      </c>
      <c r="AU1031" s="117" t="n">
        <v>0</v>
      </c>
      <c r="AX1031" s="117" t="n">
        <v>4</v>
      </c>
    </row>
    <row r="1032" customFormat="false" ht="13.8" hidden="true" customHeight="false" outlineLevel="0" collapsed="false">
      <c r="A1032" s="117" t="n">
        <v>1000</v>
      </c>
      <c r="B1032" s="117" t="s">
        <v>1962</v>
      </c>
      <c r="C1032" s="117" t="n">
        <v>100194025</v>
      </c>
      <c r="E1032" s="117" t="s">
        <v>1921</v>
      </c>
      <c r="F1032" s="117" t="n">
        <v>1112</v>
      </c>
      <c r="G1032" s="117" t="n">
        <v>2019</v>
      </c>
      <c r="H1032" s="117" t="n">
        <v>9</v>
      </c>
      <c r="I1032" s="118" t="n">
        <v>43824</v>
      </c>
      <c r="J1032" s="118" t="n">
        <v>43824</v>
      </c>
      <c r="K1032" s="119" t="n">
        <v>93422.26</v>
      </c>
      <c r="L1032" s="128" t="n">
        <f aca="false">K1032-Q1032+T1032</f>
        <v>93422.26</v>
      </c>
      <c r="M1032" s="117" t="s">
        <v>149</v>
      </c>
      <c r="N1032" s="117" t="n">
        <v>93422.26</v>
      </c>
      <c r="O1032" s="117" t="s">
        <v>149</v>
      </c>
      <c r="P1032" s="117" t="n">
        <v>0</v>
      </c>
      <c r="Q1032" s="117" t="n">
        <v>0</v>
      </c>
      <c r="R1032" s="117" t="n">
        <v>93422.26</v>
      </c>
      <c r="S1032" s="117" t="n">
        <v>0</v>
      </c>
      <c r="T1032" s="117" t="n">
        <v>0</v>
      </c>
      <c r="U1032" s="117" t="n">
        <v>312193</v>
      </c>
      <c r="V1032" s="117" t="s">
        <v>1963</v>
      </c>
      <c r="X1032" s="117" t="s">
        <v>2544</v>
      </c>
      <c r="Z1032" s="117" t="n">
        <v>62150</v>
      </c>
      <c r="AB1032" s="117" t="s">
        <v>2350</v>
      </c>
      <c r="AD1032" s="117" t="n">
        <v>110000</v>
      </c>
      <c r="AE1032" s="117" t="s">
        <v>1966</v>
      </c>
      <c r="AF1032" s="117" t="n">
        <v>110000</v>
      </c>
      <c r="AG1032" s="117" t="s">
        <v>1966</v>
      </c>
      <c r="AI1032" s="117" t="n">
        <v>110000</v>
      </c>
      <c r="AJ1032" s="117" t="s">
        <v>1966</v>
      </c>
      <c r="AK1032" s="117" t="n">
        <v>0</v>
      </c>
      <c r="AL1032" s="117" t="n">
        <v>4</v>
      </c>
      <c r="AM1032" s="117" t="s">
        <v>161</v>
      </c>
      <c r="AR1032" s="118" t="n">
        <v>43824</v>
      </c>
      <c r="AS1032" s="117" t="n">
        <v>0.371284722222222</v>
      </c>
      <c r="AT1032" s="117" t="n">
        <v>0</v>
      </c>
      <c r="AU1032" s="117" t="n">
        <v>0</v>
      </c>
      <c r="AX1032" s="117" t="n">
        <v>22</v>
      </c>
    </row>
    <row r="1033" customFormat="false" ht="13.8" hidden="true" customHeight="false" outlineLevel="0" collapsed="false">
      <c r="A1033" s="117" t="n">
        <v>1000</v>
      </c>
      <c r="B1033" s="117" t="s">
        <v>1962</v>
      </c>
      <c r="C1033" s="117" t="n">
        <v>1600000300</v>
      </c>
      <c r="D1033" s="117" t="s">
        <v>2354</v>
      </c>
      <c r="E1033" s="117" t="s">
        <v>1987</v>
      </c>
      <c r="F1033" s="117" t="n">
        <v>1101</v>
      </c>
      <c r="G1033" s="117" t="n">
        <v>2019</v>
      </c>
      <c r="H1033" s="117" t="n">
        <v>8</v>
      </c>
      <c r="I1033" s="118" t="n">
        <v>43797</v>
      </c>
      <c r="J1033" s="118" t="n">
        <v>43797</v>
      </c>
      <c r="K1033" s="119" t="n">
        <v>-2854</v>
      </c>
      <c r="L1033" s="128" t="n">
        <f aca="false">K1033-Q1033+T1033</f>
        <v>-2854</v>
      </c>
      <c r="M1033" s="117" t="s">
        <v>149</v>
      </c>
      <c r="N1033" s="117" t="n">
        <v>-2854</v>
      </c>
      <c r="O1033" s="117" t="s">
        <v>149</v>
      </c>
      <c r="P1033" s="117" t="n">
        <v>-2854</v>
      </c>
      <c r="Q1033" s="117" t="n">
        <v>0</v>
      </c>
      <c r="R1033" s="117" t="n">
        <v>-2854</v>
      </c>
      <c r="S1033" s="117" t="n">
        <v>0</v>
      </c>
      <c r="T1033" s="117" t="n">
        <v>0</v>
      </c>
      <c r="U1033" s="117" t="n">
        <v>318999</v>
      </c>
      <c r="V1033" s="117" t="s">
        <v>143</v>
      </c>
      <c r="X1033" s="117" t="s">
        <v>2545</v>
      </c>
      <c r="Y1033" s="117" t="s">
        <v>2388</v>
      </c>
      <c r="Z1033" s="117" t="n">
        <v>1600000300</v>
      </c>
      <c r="AD1033" s="117" t="n">
        <v>310300</v>
      </c>
      <c r="AE1033" s="117" t="s">
        <v>1969</v>
      </c>
      <c r="AF1033" s="117" t="n">
        <v>111201</v>
      </c>
      <c r="AG1033" s="117" t="s">
        <v>2165</v>
      </c>
      <c r="AI1033" s="117" t="n">
        <v>111201</v>
      </c>
      <c r="AJ1033" s="117" t="s">
        <v>2165</v>
      </c>
      <c r="AK1033" s="117" t="n">
        <v>0</v>
      </c>
      <c r="AL1033" s="117" t="n">
        <v>19</v>
      </c>
      <c r="AM1033" s="117" t="s">
        <v>225</v>
      </c>
      <c r="AN1033" s="117" t="s">
        <v>1978</v>
      </c>
      <c r="AR1033" s="118" t="n">
        <v>43797</v>
      </c>
      <c r="AS1033" s="117" t="n">
        <v>0.231458333333333</v>
      </c>
      <c r="AT1033" s="117" t="n">
        <v>0</v>
      </c>
      <c r="AU1033" s="117" t="n">
        <v>0</v>
      </c>
      <c r="AX1033" s="117" t="n">
        <v>9</v>
      </c>
    </row>
    <row r="1034" customFormat="false" ht="13.8" hidden="true" customHeight="false" outlineLevel="0" collapsed="false">
      <c r="A1034" s="117" t="n">
        <v>1000</v>
      </c>
      <c r="B1034" s="117" t="s">
        <v>1962</v>
      </c>
      <c r="C1034" s="117" t="n">
        <v>100172897</v>
      </c>
      <c r="E1034" s="117" t="s">
        <v>1921</v>
      </c>
      <c r="F1034" s="117" t="n">
        <v>1109</v>
      </c>
      <c r="G1034" s="117" t="n">
        <v>2019</v>
      </c>
      <c r="H1034" s="117" t="n">
        <v>8</v>
      </c>
      <c r="I1034" s="118" t="n">
        <v>43799</v>
      </c>
      <c r="J1034" s="118" t="n">
        <v>43799</v>
      </c>
      <c r="K1034" s="119" t="n">
        <v>-2467760.44</v>
      </c>
      <c r="L1034" s="128" t="n">
        <f aca="false">K1034-Q1034+T1034</f>
        <v>-2467760.44</v>
      </c>
      <c r="M1034" s="117" t="s">
        <v>149</v>
      </c>
      <c r="N1034" s="117" t="n">
        <v>-2467760.44</v>
      </c>
      <c r="O1034" s="117" t="s">
        <v>149</v>
      </c>
      <c r="P1034" s="117" t="n">
        <v>0</v>
      </c>
      <c r="Q1034" s="117" t="n">
        <v>0</v>
      </c>
      <c r="R1034" s="117" t="n">
        <v>-2467760.44</v>
      </c>
      <c r="S1034" s="117" t="n">
        <v>0</v>
      </c>
      <c r="T1034" s="117" t="n">
        <v>0</v>
      </c>
      <c r="U1034" s="117" t="n">
        <v>306546</v>
      </c>
      <c r="V1034" s="117" t="s">
        <v>2177</v>
      </c>
      <c r="Z1034" s="117" t="n">
        <v>100172897</v>
      </c>
      <c r="AD1034" s="117" t="n">
        <v>110000</v>
      </c>
      <c r="AE1034" s="117" t="s">
        <v>1966</v>
      </c>
      <c r="AF1034" s="117" t="n">
        <v>310300</v>
      </c>
      <c r="AG1034" s="117" t="s">
        <v>1969</v>
      </c>
      <c r="AI1034" s="117" t="n">
        <v>310300</v>
      </c>
      <c r="AJ1034" s="117" t="s">
        <v>1969</v>
      </c>
      <c r="AK1034" s="117" t="n">
        <v>0</v>
      </c>
      <c r="AL1034" s="117" t="n">
        <v>17</v>
      </c>
      <c r="AM1034" s="117" t="s">
        <v>225</v>
      </c>
      <c r="AP1034" s="117" t="n">
        <v>100172897</v>
      </c>
      <c r="AQ1034" s="118" t="n">
        <v>43799</v>
      </c>
      <c r="AR1034" s="118" t="n">
        <v>43800</v>
      </c>
      <c r="AS1034" s="117" t="n">
        <v>0.26625</v>
      </c>
      <c r="AT1034" s="117" t="n">
        <v>0</v>
      </c>
      <c r="AU1034" s="117" t="n">
        <v>0</v>
      </c>
      <c r="AX1034" s="117" t="n">
        <v>1</v>
      </c>
    </row>
    <row r="1035" s="106" customFormat="true" ht="13.8" hidden="true" customHeight="false" outlineLevel="0" collapsed="false">
      <c r="A1035" s="106" t="n">
        <v>1000</v>
      </c>
      <c r="B1035" s="106" t="s">
        <v>1962</v>
      </c>
      <c r="C1035" s="106" t="n">
        <v>110416</v>
      </c>
      <c r="D1035" s="106" t="s">
        <v>2544</v>
      </c>
      <c r="E1035" s="106" t="s">
        <v>1970</v>
      </c>
      <c r="F1035" s="106" t="n">
        <v>1112</v>
      </c>
      <c r="G1035" s="106" t="n">
        <v>2019</v>
      </c>
      <c r="H1035" s="106" t="n">
        <v>9</v>
      </c>
      <c r="I1035" s="129" t="n">
        <v>43820</v>
      </c>
      <c r="J1035" s="129" t="n">
        <v>43820</v>
      </c>
      <c r="K1035" s="107" t="n">
        <v>93422.26</v>
      </c>
      <c r="L1035" s="130" t="n">
        <f aca="false">K1035-Q1035+T1035</f>
        <v>79171.4</v>
      </c>
      <c r="M1035" s="106" t="s">
        <v>149</v>
      </c>
      <c r="N1035" s="106" t="n">
        <v>93422.26</v>
      </c>
      <c r="O1035" s="106" t="s">
        <v>149</v>
      </c>
      <c r="P1035" s="106" t="n">
        <v>0</v>
      </c>
      <c r="Q1035" s="107" t="n">
        <v>14250.86</v>
      </c>
      <c r="R1035" s="106" t="n">
        <v>79171.4</v>
      </c>
      <c r="S1035" s="106" t="n">
        <v>0</v>
      </c>
      <c r="T1035" s="106" t="n">
        <v>0</v>
      </c>
      <c r="U1035" s="106" t="n">
        <v>312193</v>
      </c>
      <c r="V1035" s="106" t="s">
        <v>1963</v>
      </c>
      <c r="Z1035" s="106" t="n">
        <v>62150</v>
      </c>
      <c r="AB1035" s="106" t="s">
        <v>2350</v>
      </c>
      <c r="AD1035" s="106" t="n">
        <v>110000</v>
      </c>
      <c r="AE1035" s="106" t="s">
        <v>1966</v>
      </c>
      <c r="AF1035" s="106" t="n">
        <v>501005</v>
      </c>
      <c r="AG1035" s="106" t="s">
        <v>2033</v>
      </c>
      <c r="AI1035" s="106" t="n">
        <v>501005</v>
      </c>
      <c r="AJ1035" s="106" t="s">
        <v>2033</v>
      </c>
      <c r="AK1035" s="106" t="n">
        <v>0</v>
      </c>
      <c r="AL1035" s="106" t="n">
        <v>1</v>
      </c>
      <c r="AM1035" s="106" t="s">
        <v>161</v>
      </c>
      <c r="AP1035" s="106" t="n">
        <v>100194025</v>
      </c>
      <c r="AQ1035" s="129" t="n">
        <v>43824</v>
      </c>
      <c r="AR1035" s="129" t="n">
        <v>43820</v>
      </c>
      <c r="AS1035" s="106" t="n">
        <v>0.610405092592593</v>
      </c>
      <c r="AT1035" s="106" t="n">
        <v>0</v>
      </c>
      <c r="AU1035" s="106" t="n">
        <v>0</v>
      </c>
      <c r="AX1035" s="106" t="n">
        <v>1</v>
      </c>
      <c r="ALU1035" s="0"/>
      <c r="ALV1035" s="0"/>
      <c r="ALW1035" s="0"/>
      <c r="ALX1035" s="0"/>
      <c r="ALY1035" s="0"/>
      <c r="ALZ1035" s="0"/>
      <c r="AMA1035" s="0"/>
      <c r="AMB1035" s="0"/>
      <c r="AMC1035" s="0"/>
      <c r="AMD1035" s="0"/>
      <c r="AME1035" s="0"/>
      <c r="AMF1035" s="0"/>
      <c r="AMG1035" s="0"/>
      <c r="AMH1035" s="0"/>
      <c r="AMI1035" s="0"/>
      <c r="AMJ1035" s="0"/>
    </row>
    <row r="1036" s="106" customFormat="true" ht="13.8" hidden="true" customHeight="false" outlineLevel="0" collapsed="false">
      <c r="A1036" s="106" t="n">
        <v>1000</v>
      </c>
      <c r="B1036" s="106" t="s">
        <v>1962</v>
      </c>
      <c r="C1036" s="106" t="n">
        <v>110857</v>
      </c>
      <c r="D1036" s="106" t="s">
        <v>2411</v>
      </c>
      <c r="E1036" s="106" t="s">
        <v>1970</v>
      </c>
      <c r="F1036" s="106" t="n">
        <v>1112</v>
      </c>
      <c r="G1036" s="106" t="n">
        <v>2019</v>
      </c>
      <c r="H1036" s="106" t="n">
        <v>9</v>
      </c>
      <c r="I1036" s="129" t="n">
        <v>43828</v>
      </c>
      <c r="J1036" s="129" t="n">
        <v>43828</v>
      </c>
      <c r="K1036" s="107" t="n">
        <v>49036.08</v>
      </c>
      <c r="L1036" s="130" t="n">
        <f aca="false">K1036-Q1036+T1036</f>
        <v>41556</v>
      </c>
      <c r="M1036" s="106" t="s">
        <v>149</v>
      </c>
      <c r="N1036" s="106" t="n">
        <v>49036.08</v>
      </c>
      <c r="O1036" s="106" t="s">
        <v>149</v>
      </c>
      <c r="P1036" s="106" t="n">
        <v>0</v>
      </c>
      <c r="Q1036" s="107" t="n">
        <v>7480.08</v>
      </c>
      <c r="R1036" s="106" t="n">
        <v>41556</v>
      </c>
      <c r="S1036" s="106" t="n">
        <v>0</v>
      </c>
      <c r="T1036" s="106" t="n">
        <v>0</v>
      </c>
      <c r="U1036" s="106" t="n">
        <v>312193</v>
      </c>
      <c r="V1036" s="106" t="s">
        <v>1963</v>
      </c>
      <c r="Z1036" s="106" t="n">
        <v>62191</v>
      </c>
      <c r="AB1036" s="106" t="s">
        <v>2350</v>
      </c>
      <c r="AD1036" s="106" t="n">
        <v>110000</v>
      </c>
      <c r="AE1036" s="106" t="s">
        <v>1966</v>
      </c>
      <c r="AF1036" s="106" t="n">
        <v>501005</v>
      </c>
      <c r="AG1036" s="106" t="s">
        <v>2033</v>
      </c>
      <c r="AI1036" s="106" t="n">
        <v>501005</v>
      </c>
      <c r="AJ1036" s="106" t="s">
        <v>2033</v>
      </c>
      <c r="AK1036" s="106" t="n">
        <v>0</v>
      </c>
      <c r="AL1036" s="106" t="n">
        <v>1</v>
      </c>
      <c r="AM1036" s="106" t="s">
        <v>161</v>
      </c>
      <c r="AP1036" s="106" t="n">
        <v>100199799</v>
      </c>
      <c r="AQ1036" s="129" t="n">
        <v>43830</v>
      </c>
      <c r="AR1036" s="129" t="n">
        <v>43828</v>
      </c>
      <c r="AS1036" s="106" t="n">
        <v>0.679791666666667</v>
      </c>
      <c r="AT1036" s="106" t="n">
        <v>0</v>
      </c>
      <c r="AU1036" s="106" t="n">
        <v>0</v>
      </c>
      <c r="AX1036" s="106" t="n">
        <v>1</v>
      </c>
      <c r="ALU1036" s="0"/>
      <c r="ALV1036" s="0"/>
      <c r="ALW1036" s="0"/>
      <c r="ALX1036" s="0"/>
      <c r="ALY1036" s="0"/>
      <c r="ALZ1036" s="0"/>
      <c r="AMA1036" s="0"/>
      <c r="AMB1036" s="0"/>
      <c r="AMC1036" s="0"/>
      <c r="AMD1036" s="0"/>
      <c r="AME1036" s="0"/>
      <c r="AMF1036" s="0"/>
      <c r="AMG1036" s="0"/>
      <c r="AMH1036" s="0"/>
      <c r="AMI1036" s="0"/>
      <c r="AMJ1036" s="0"/>
    </row>
    <row r="1037" customFormat="false" ht="13.8" hidden="true" customHeight="false" outlineLevel="0" collapsed="false">
      <c r="A1037" s="117" t="n">
        <v>1000</v>
      </c>
      <c r="B1037" s="117" t="s">
        <v>1962</v>
      </c>
      <c r="C1037" s="117" t="n">
        <v>100194026</v>
      </c>
      <c r="E1037" s="117" t="s">
        <v>1921</v>
      </c>
      <c r="F1037" s="117" t="n">
        <v>1108</v>
      </c>
      <c r="G1037" s="117" t="n">
        <v>2019</v>
      </c>
      <c r="H1037" s="117" t="n">
        <v>9</v>
      </c>
      <c r="I1037" s="118" t="n">
        <v>43824</v>
      </c>
      <c r="J1037" s="118" t="n">
        <v>43824</v>
      </c>
      <c r="K1037" s="119" t="n">
        <v>29988.47</v>
      </c>
      <c r="L1037" s="128" t="n">
        <f aca="false">K1037-Q1037+T1037</f>
        <v>29988.47</v>
      </c>
      <c r="M1037" s="117" t="s">
        <v>149</v>
      </c>
      <c r="N1037" s="117" t="n">
        <v>29988.47</v>
      </c>
      <c r="O1037" s="117" t="s">
        <v>149</v>
      </c>
      <c r="P1037" s="117" t="n">
        <v>0</v>
      </c>
      <c r="Q1037" s="117" t="n">
        <v>0</v>
      </c>
      <c r="R1037" s="117" t="n">
        <v>29988.47</v>
      </c>
      <c r="S1037" s="117" t="n">
        <v>0</v>
      </c>
      <c r="T1037" s="117" t="n">
        <v>0</v>
      </c>
      <c r="U1037" s="117" t="n">
        <v>313029</v>
      </c>
      <c r="V1037" s="117" t="s">
        <v>143</v>
      </c>
      <c r="X1037" s="117" t="s">
        <v>2546</v>
      </c>
      <c r="Z1037" s="117" t="n">
        <v>2423</v>
      </c>
      <c r="AB1037" s="117" t="s">
        <v>2414</v>
      </c>
      <c r="AD1037" s="117" t="n">
        <v>110000</v>
      </c>
      <c r="AE1037" s="117" t="s">
        <v>1966</v>
      </c>
      <c r="AF1037" s="117" t="n">
        <v>110000</v>
      </c>
      <c r="AG1037" s="117" t="s">
        <v>1966</v>
      </c>
      <c r="AI1037" s="117" t="n">
        <v>110000</v>
      </c>
      <c r="AJ1037" s="117" t="s">
        <v>1966</v>
      </c>
      <c r="AK1037" s="117" t="n">
        <v>0</v>
      </c>
      <c r="AL1037" s="117" t="n">
        <v>4</v>
      </c>
      <c r="AM1037" s="117" t="s">
        <v>161</v>
      </c>
      <c r="AR1037" s="118" t="n">
        <v>43824</v>
      </c>
      <c r="AS1037" s="117" t="n">
        <v>0.372615740740741</v>
      </c>
      <c r="AT1037" s="117" t="n">
        <v>0</v>
      </c>
      <c r="AU1037" s="117" t="n">
        <v>0</v>
      </c>
      <c r="AX1037" s="117" t="n">
        <v>1</v>
      </c>
    </row>
    <row r="1038" customFormat="false" ht="13.8" hidden="true" customHeight="false" outlineLevel="0" collapsed="false">
      <c r="A1038" s="117" t="n">
        <v>1000</v>
      </c>
      <c r="B1038" s="117" t="s">
        <v>1962</v>
      </c>
      <c r="C1038" s="117" t="n">
        <v>100199799</v>
      </c>
      <c r="E1038" s="117" t="s">
        <v>1921</v>
      </c>
      <c r="F1038" s="117" t="n">
        <v>1112</v>
      </c>
      <c r="G1038" s="117" t="n">
        <v>2019</v>
      </c>
      <c r="H1038" s="117" t="n">
        <v>9</v>
      </c>
      <c r="I1038" s="118" t="n">
        <v>43830</v>
      </c>
      <c r="J1038" s="118" t="n">
        <v>43830</v>
      </c>
      <c r="K1038" s="119" t="n">
        <v>6426.28</v>
      </c>
      <c r="L1038" s="128" t="n">
        <f aca="false">K1038-Q1038+T1038</f>
        <v>6426.28</v>
      </c>
      <c r="M1038" s="117" t="s">
        <v>149</v>
      </c>
      <c r="N1038" s="117" t="n">
        <v>6426.28</v>
      </c>
      <c r="O1038" s="117" t="s">
        <v>149</v>
      </c>
      <c r="P1038" s="117" t="n">
        <v>0</v>
      </c>
      <c r="Q1038" s="117" t="n">
        <v>0</v>
      </c>
      <c r="R1038" s="117" t="n">
        <v>6426.28</v>
      </c>
      <c r="S1038" s="117" t="n">
        <v>0</v>
      </c>
      <c r="T1038" s="117" t="n">
        <v>0</v>
      </c>
      <c r="U1038" s="117" t="n">
        <v>312193</v>
      </c>
      <c r="V1038" s="117" t="s">
        <v>1963</v>
      </c>
      <c r="X1038" s="117" t="s">
        <v>2376</v>
      </c>
      <c r="Z1038" s="117" t="n">
        <v>62393</v>
      </c>
      <c r="AB1038" s="117" t="s">
        <v>2350</v>
      </c>
      <c r="AD1038" s="117" t="n">
        <v>110000</v>
      </c>
      <c r="AE1038" s="117" t="s">
        <v>1966</v>
      </c>
      <c r="AF1038" s="117" t="n">
        <v>110000</v>
      </c>
      <c r="AG1038" s="117" t="s">
        <v>1966</v>
      </c>
      <c r="AI1038" s="117" t="n">
        <v>110000</v>
      </c>
      <c r="AJ1038" s="117" t="s">
        <v>1966</v>
      </c>
      <c r="AK1038" s="117" t="n">
        <v>0</v>
      </c>
      <c r="AL1038" s="117" t="n">
        <v>4</v>
      </c>
      <c r="AM1038" s="117" t="s">
        <v>161</v>
      </c>
      <c r="AR1038" s="118" t="n">
        <v>43830</v>
      </c>
      <c r="AS1038" s="117" t="n">
        <v>0.279467592592593</v>
      </c>
      <c r="AT1038" s="117" t="n">
        <v>0</v>
      </c>
      <c r="AU1038" s="117" t="n">
        <v>0</v>
      </c>
      <c r="AX1038" s="117" t="n">
        <v>29</v>
      </c>
    </row>
    <row r="1039" customFormat="false" ht="13.8" hidden="true" customHeight="false" outlineLevel="0" collapsed="false">
      <c r="A1039" s="117" t="n">
        <v>1000</v>
      </c>
      <c r="B1039" s="117" t="s">
        <v>1962</v>
      </c>
      <c r="C1039" s="117" t="n">
        <v>100173564</v>
      </c>
      <c r="E1039" s="117" t="s">
        <v>1921</v>
      </c>
      <c r="F1039" s="117" t="n">
        <v>1109</v>
      </c>
      <c r="G1039" s="117" t="n">
        <v>2019</v>
      </c>
      <c r="H1039" s="117" t="n">
        <v>8</v>
      </c>
      <c r="I1039" s="118" t="n">
        <v>43799</v>
      </c>
      <c r="J1039" s="118" t="n">
        <v>43799</v>
      </c>
      <c r="K1039" s="119" t="n">
        <v>523695.8</v>
      </c>
      <c r="L1039" s="128" t="n">
        <f aca="false">K1039-Q1039+T1039</f>
        <v>523695.8</v>
      </c>
      <c r="M1039" s="117" t="s">
        <v>149</v>
      </c>
      <c r="N1039" s="117" t="n">
        <v>523695.8</v>
      </c>
      <c r="O1039" s="117" t="s">
        <v>149</v>
      </c>
      <c r="P1039" s="117" t="n">
        <v>0</v>
      </c>
      <c r="Q1039" s="117" t="n">
        <v>0</v>
      </c>
      <c r="R1039" s="117" t="n">
        <v>523695.8</v>
      </c>
      <c r="S1039" s="117" t="n">
        <v>0</v>
      </c>
      <c r="T1039" s="117" t="n">
        <v>0</v>
      </c>
      <c r="U1039" s="117" t="n">
        <v>312193</v>
      </c>
      <c r="V1039" s="117" t="s">
        <v>1963</v>
      </c>
      <c r="X1039" s="117" t="s">
        <v>988</v>
      </c>
      <c r="Z1039" s="117" t="n">
        <v>2316</v>
      </c>
      <c r="AB1039" s="117" t="s">
        <v>1965</v>
      </c>
      <c r="AD1039" s="117" t="n">
        <v>110000</v>
      </c>
      <c r="AE1039" s="117" t="s">
        <v>1966</v>
      </c>
      <c r="AF1039" s="117" t="n">
        <v>110000</v>
      </c>
      <c r="AG1039" s="117" t="s">
        <v>1966</v>
      </c>
      <c r="AI1039" s="117" t="n">
        <v>110000</v>
      </c>
      <c r="AJ1039" s="117" t="s">
        <v>1966</v>
      </c>
      <c r="AK1039" s="117" t="n">
        <v>0</v>
      </c>
      <c r="AL1039" s="117" t="n">
        <v>4</v>
      </c>
      <c r="AM1039" s="117" t="s">
        <v>161</v>
      </c>
      <c r="AP1039" s="117" t="n">
        <v>100210304</v>
      </c>
      <c r="AQ1039" s="118" t="n">
        <v>43830</v>
      </c>
      <c r="AR1039" s="118" t="n">
        <v>43800</v>
      </c>
      <c r="AS1039" s="117" t="n">
        <v>0.649189814814815</v>
      </c>
      <c r="AT1039" s="117" t="n">
        <v>0</v>
      </c>
      <c r="AU1039" s="117" t="n">
        <v>0</v>
      </c>
      <c r="AX1039" s="117" t="n">
        <v>4</v>
      </c>
    </row>
    <row r="1040" customFormat="false" ht="13.8" hidden="true" customHeight="false" outlineLevel="0" collapsed="false">
      <c r="A1040" s="117" t="n">
        <v>1000</v>
      </c>
      <c r="B1040" s="117" t="s">
        <v>1962</v>
      </c>
      <c r="C1040" s="117" t="n">
        <v>100199799</v>
      </c>
      <c r="E1040" s="117" t="s">
        <v>1921</v>
      </c>
      <c r="F1040" s="117" t="n">
        <v>1112</v>
      </c>
      <c r="G1040" s="117" t="n">
        <v>2019</v>
      </c>
      <c r="H1040" s="117" t="n">
        <v>9</v>
      </c>
      <c r="I1040" s="118" t="n">
        <v>43830</v>
      </c>
      <c r="J1040" s="118" t="n">
        <v>43830</v>
      </c>
      <c r="K1040" s="119" t="n">
        <v>8492.93</v>
      </c>
      <c r="L1040" s="128" t="n">
        <f aca="false">K1040-Q1040+T1040</f>
        <v>8492.93</v>
      </c>
      <c r="M1040" s="117" t="s">
        <v>149</v>
      </c>
      <c r="N1040" s="117" t="n">
        <v>8492.93</v>
      </c>
      <c r="O1040" s="117" t="s">
        <v>149</v>
      </c>
      <c r="P1040" s="117" t="n">
        <v>0</v>
      </c>
      <c r="Q1040" s="117" t="n">
        <v>0</v>
      </c>
      <c r="R1040" s="117" t="n">
        <v>8492.93</v>
      </c>
      <c r="S1040" s="117" t="n">
        <v>0</v>
      </c>
      <c r="T1040" s="117" t="n">
        <v>0</v>
      </c>
      <c r="U1040" s="117" t="n">
        <v>312193</v>
      </c>
      <c r="V1040" s="117" t="s">
        <v>1963</v>
      </c>
      <c r="X1040" s="117" t="s">
        <v>2403</v>
      </c>
      <c r="Z1040" s="117" t="n">
        <v>62393</v>
      </c>
      <c r="AB1040" s="117" t="s">
        <v>2350</v>
      </c>
      <c r="AD1040" s="117" t="n">
        <v>110000</v>
      </c>
      <c r="AE1040" s="117" t="s">
        <v>1966</v>
      </c>
      <c r="AF1040" s="117" t="n">
        <v>110000</v>
      </c>
      <c r="AG1040" s="117" t="s">
        <v>1966</v>
      </c>
      <c r="AI1040" s="117" t="n">
        <v>110000</v>
      </c>
      <c r="AJ1040" s="117" t="s">
        <v>1966</v>
      </c>
      <c r="AK1040" s="117" t="n">
        <v>0</v>
      </c>
      <c r="AL1040" s="117" t="n">
        <v>4</v>
      </c>
      <c r="AM1040" s="117" t="s">
        <v>161</v>
      </c>
      <c r="AR1040" s="118" t="n">
        <v>43830</v>
      </c>
      <c r="AS1040" s="117" t="n">
        <v>0.279467592592593</v>
      </c>
      <c r="AT1040" s="117" t="n">
        <v>0</v>
      </c>
      <c r="AU1040" s="117" t="n">
        <v>0</v>
      </c>
      <c r="AX1040" s="117" t="n">
        <v>26</v>
      </c>
    </row>
    <row r="1041" customFormat="false" ht="13.8" hidden="false" customHeight="false" outlineLevel="0" collapsed="false">
      <c r="A1041" s="117" t="n">
        <v>1000</v>
      </c>
      <c r="B1041" s="117" t="s">
        <v>1962</v>
      </c>
      <c r="C1041" s="117" t="n">
        <v>100173604</v>
      </c>
      <c r="E1041" s="117" t="s">
        <v>1921</v>
      </c>
      <c r="F1041" s="117" t="n">
        <v>1101</v>
      </c>
      <c r="G1041" s="117" t="n">
        <v>2019</v>
      </c>
      <c r="H1041" s="117" t="n">
        <v>8</v>
      </c>
      <c r="I1041" s="118" t="n">
        <v>43799</v>
      </c>
      <c r="J1041" s="118" t="n">
        <v>43799</v>
      </c>
      <c r="K1041" s="119" t="n">
        <v>-509193.39</v>
      </c>
      <c r="L1041" s="128" t="n">
        <f aca="false">K1041-Q1041+T1041</f>
        <v>-509193.39</v>
      </c>
      <c r="M1041" s="117" t="s">
        <v>149</v>
      </c>
      <c r="N1041" s="117" t="n">
        <v>-509193.39</v>
      </c>
      <c r="O1041" s="117" t="s">
        <v>149</v>
      </c>
      <c r="P1041" s="117" t="n">
        <v>0</v>
      </c>
      <c r="Q1041" s="117" t="n">
        <v>0</v>
      </c>
      <c r="R1041" s="117" t="n">
        <v>-509193.39</v>
      </c>
      <c r="S1041" s="117" t="n">
        <v>0</v>
      </c>
      <c r="T1041" s="117" t="n">
        <v>0</v>
      </c>
      <c r="U1041" s="117" t="n">
        <v>318999</v>
      </c>
      <c r="V1041" s="117" t="s">
        <v>143</v>
      </c>
      <c r="Z1041" s="117" t="n">
        <v>100173604</v>
      </c>
      <c r="AD1041" s="117" t="n">
        <v>111105</v>
      </c>
      <c r="AE1041" s="117" t="s">
        <v>1994</v>
      </c>
      <c r="AF1041" s="117" t="n">
        <v>110000</v>
      </c>
      <c r="AG1041" s="117" t="s">
        <v>1966</v>
      </c>
      <c r="AI1041" s="117" t="n">
        <v>110000</v>
      </c>
      <c r="AJ1041" s="117" t="s">
        <v>1966</v>
      </c>
      <c r="AK1041" s="117" t="n">
        <v>0</v>
      </c>
      <c r="AL1041" s="117" t="n">
        <v>19</v>
      </c>
      <c r="AM1041" s="117" t="s">
        <v>225</v>
      </c>
      <c r="AN1041" s="117" t="s">
        <v>1995</v>
      </c>
      <c r="AP1041" s="117" t="n">
        <v>100173604</v>
      </c>
      <c r="AQ1041" s="118" t="n">
        <v>43799</v>
      </c>
      <c r="AR1041" s="118" t="n">
        <v>43800</v>
      </c>
      <c r="AS1041" s="117" t="n">
        <v>0.705775462962963</v>
      </c>
      <c r="AT1041" s="117" t="n">
        <v>0</v>
      </c>
      <c r="AU1041" s="117" t="n">
        <v>0</v>
      </c>
      <c r="AX1041" s="117" t="n">
        <v>4</v>
      </c>
    </row>
    <row r="1042" customFormat="false" ht="13.8" hidden="true" customHeight="false" outlineLevel="0" collapsed="false">
      <c r="A1042" s="117" t="n">
        <v>1000</v>
      </c>
      <c r="B1042" s="117" t="s">
        <v>1962</v>
      </c>
      <c r="C1042" s="117" t="n">
        <v>100173564</v>
      </c>
      <c r="E1042" s="117" t="s">
        <v>1921</v>
      </c>
      <c r="F1042" s="117" t="n">
        <v>1108</v>
      </c>
      <c r="G1042" s="117" t="n">
        <v>2019</v>
      </c>
      <c r="H1042" s="117" t="n">
        <v>8</v>
      </c>
      <c r="I1042" s="118" t="n">
        <v>43799</v>
      </c>
      <c r="J1042" s="118" t="n">
        <v>43799</v>
      </c>
      <c r="K1042" s="119" t="n">
        <v>182162.5</v>
      </c>
      <c r="L1042" s="128" t="n">
        <f aca="false">K1042-Q1042+T1042</f>
        <v>182162.5</v>
      </c>
      <c r="M1042" s="117" t="s">
        <v>149</v>
      </c>
      <c r="N1042" s="117" t="n">
        <v>182162.5</v>
      </c>
      <c r="O1042" s="117" t="s">
        <v>149</v>
      </c>
      <c r="P1042" s="117" t="n">
        <v>0</v>
      </c>
      <c r="Q1042" s="117" t="n">
        <v>0</v>
      </c>
      <c r="R1042" s="117" t="n">
        <v>182162.5</v>
      </c>
      <c r="S1042" s="117" t="n">
        <v>0</v>
      </c>
      <c r="T1042" s="117" t="n">
        <v>0</v>
      </c>
      <c r="U1042" s="117" t="n">
        <v>312193</v>
      </c>
      <c r="V1042" s="117" t="s">
        <v>1963</v>
      </c>
      <c r="X1042" s="117" t="s">
        <v>1684</v>
      </c>
      <c r="Z1042" s="117" t="n">
        <v>61044</v>
      </c>
      <c r="AB1042" s="117" t="s">
        <v>2109</v>
      </c>
      <c r="AD1042" s="117" t="n">
        <v>110000</v>
      </c>
      <c r="AE1042" s="117" t="s">
        <v>1966</v>
      </c>
      <c r="AF1042" s="117" t="n">
        <v>110000</v>
      </c>
      <c r="AG1042" s="117" t="s">
        <v>1966</v>
      </c>
      <c r="AI1042" s="117" t="n">
        <v>110000</v>
      </c>
      <c r="AJ1042" s="117" t="s">
        <v>1966</v>
      </c>
      <c r="AK1042" s="117" t="n">
        <v>0</v>
      </c>
      <c r="AL1042" s="117" t="n">
        <v>4</v>
      </c>
      <c r="AM1042" s="117" t="s">
        <v>161</v>
      </c>
      <c r="AR1042" s="118" t="n">
        <v>43800</v>
      </c>
      <c r="AS1042" s="117" t="n">
        <v>0.649189814814815</v>
      </c>
      <c r="AT1042" s="117" t="n">
        <v>0</v>
      </c>
      <c r="AU1042" s="117" t="n">
        <v>0</v>
      </c>
      <c r="AX1042" s="117" t="n">
        <v>16</v>
      </c>
    </row>
    <row r="1043" customFormat="false" ht="13.8" hidden="true" customHeight="false" outlineLevel="0" collapsed="false">
      <c r="A1043" s="117" t="n">
        <v>1000</v>
      </c>
      <c r="B1043" s="117" t="s">
        <v>1962</v>
      </c>
      <c r="C1043" s="117" t="n">
        <v>100141419</v>
      </c>
      <c r="E1043" s="117" t="s">
        <v>1921</v>
      </c>
      <c r="F1043" s="117" t="n">
        <v>1109</v>
      </c>
      <c r="G1043" s="117" t="n">
        <v>2019</v>
      </c>
      <c r="H1043" s="117" t="n">
        <v>7</v>
      </c>
      <c r="I1043" s="118" t="n">
        <v>43766</v>
      </c>
      <c r="J1043" s="118" t="n">
        <v>43766</v>
      </c>
      <c r="K1043" s="119" t="n">
        <v>2932389.25</v>
      </c>
      <c r="L1043" s="128" t="n">
        <f aca="false">K1043-Q1043+T1043</f>
        <v>2932389.25</v>
      </c>
      <c r="M1043" s="117" t="s">
        <v>149</v>
      </c>
      <c r="N1043" s="117" t="n">
        <v>2932389.25</v>
      </c>
      <c r="O1043" s="117" t="s">
        <v>149</v>
      </c>
      <c r="P1043" s="117" t="n">
        <v>0</v>
      </c>
      <c r="Q1043" s="117" t="n">
        <v>0</v>
      </c>
      <c r="R1043" s="117" t="n">
        <v>2932389.25</v>
      </c>
      <c r="S1043" s="117" t="n">
        <v>0</v>
      </c>
      <c r="T1043" s="117" t="n">
        <v>0</v>
      </c>
      <c r="U1043" s="117" t="n">
        <v>305576</v>
      </c>
      <c r="V1043" s="117" t="s">
        <v>1973</v>
      </c>
      <c r="X1043" s="117" t="s">
        <v>1690</v>
      </c>
      <c r="Z1043" s="117" t="n">
        <v>61356</v>
      </c>
      <c r="AB1043" s="117" t="s">
        <v>2260</v>
      </c>
      <c r="AD1043" s="117" t="n">
        <v>110000</v>
      </c>
      <c r="AE1043" s="117" t="s">
        <v>1966</v>
      </c>
      <c r="AF1043" s="117" t="n">
        <v>110000</v>
      </c>
      <c r="AG1043" s="117" t="s">
        <v>1966</v>
      </c>
      <c r="AI1043" s="117" t="n">
        <v>110000</v>
      </c>
      <c r="AJ1043" s="117" t="s">
        <v>1966</v>
      </c>
      <c r="AK1043" s="117" t="n">
        <v>0</v>
      </c>
      <c r="AL1043" s="117" t="n">
        <v>4</v>
      </c>
      <c r="AM1043" s="117" t="s">
        <v>161</v>
      </c>
      <c r="AP1043" s="117" t="n">
        <v>100229115</v>
      </c>
      <c r="AQ1043" s="118" t="n">
        <v>43856</v>
      </c>
      <c r="AR1043" s="118" t="n">
        <v>43766</v>
      </c>
      <c r="AS1043" s="117" t="n">
        <v>0.340451388888889</v>
      </c>
      <c r="AT1043" s="117" t="n">
        <v>0</v>
      </c>
      <c r="AU1043" s="117" t="n">
        <v>0</v>
      </c>
      <c r="AX1043" s="117" t="n">
        <v>3</v>
      </c>
    </row>
    <row r="1044" customFormat="false" ht="13.8" hidden="true" customHeight="false" outlineLevel="0" collapsed="false">
      <c r="A1044" s="117" t="n">
        <v>1000</v>
      </c>
      <c r="B1044" s="117" t="s">
        <v>1962</v>
      </c>
      <c r="C1044" s="117" t="n">
        <v>100143915</v>
      </c>
      <c r="E1044" s="117" t="s">
        <v>1921</v>
      </c>
      <c r="F1044" s="117" t="n">
        <v>1101</v>
      </c>
      <c r="G1044" s="117" t="n">
        <v>2019</v>
      </c>
      <c r="H1044" s="117" t="n">
        <v>7</v>
      </c>
      <c r="I1044" s="118" t="n">
        <v>43769</v>
      </c>
      <c r="J1044" s="118" t="n">
        <v>43769</v>
      </c>
      <c r="K1044" s="119" t="n">
        <v>7957.46</v>
      </c>
      <c r="L1044" s="128" t="n">
        <f aca="false">K1044-Q1044+T1044</f>
        <v>7957.46</v>
      </c>
      <c r="M1044" s="117" t="s">
        <v>149</v>
      </c>
      <c r="N1044" s="117" t="n">
        <v>7957.46</v>
      </c>
      <c r="O1044" s="117" t="s">
        <v>149</v>
      </c>
      <c r="P1044" s="117" t="n">
        <v>0</v>
      </c>
      <c r="Q1044" s="117" t="n">
        <v>0</v>
      </c>
      <c r="R1044" s="117" t="n">
        <v>7957.46</v>
      </c>
      <c r="S1044" s="117" t="n">
        <v>0</v>
      </c>
      <c r="T1044" s="117" t="n">
        <v>0</v>
      </c>
      <c r="U1044" s="117" t="n">
        <v>304431</v>
      </c>
      <c r="V1044" s="117" t="s">
        <v>2016</v>
      </c>
      <c r="Z1044" s="117" t="n">
        <v>100143915</v>
      </c>
      <c r="AD1044" s="117" t="n">
        <v>310300</v>
      </c>
      <c r="AE1044" s="117" t="s">
        <v>1969</v>
      </c>
      <c r="AF1044" s="117" t="n">
        <v>110000</v>
      </c>
      <c r="AG1044" s="117" t="s">
        <v>1966</v>
      </c>
      <c r="AI1044" s="117" t="n">
        <v>110000</v>
      </c>
      <c r="AJ1044" s="117" t="s">
        <v>1966</v>
      </c>
      <c r="AK1044" s="117" t="n">
        <v>0</v>
      </c>
      <c r="AL1044" s="117" t="n">
        <v>9</v>
      </c>
      <c r="AM1044" s="117" t="s">
        <v>161</v>
      </c>
      <c r="AN1044" s="117" t="s">
        <v>1978</v>
      </c>
      <c r="AP1044" s="117" t="n">
        <v>100143915</v>
      </c>
      <c r="AQ1044" s="118" t="n">
        <v>43769</v>
      </c>
      <c r="AR1044" s="118" t="n">
        <v>43770</v>
      </c>
      <c r="AS1044" s="117" t="n">
        <v>0.188275462962963</v>
      </c>
      <c r="AT1044" s="117" t="n">
        <v>0</v>
      </c>
      <c r="AU1044" s="117" t="n">
        <v>0</v>
      </c>
      <c r="AX1044" s="117" t="n">
        <v>4</v>
      </c>
    </row>
    <row r="1045" customFormat="false" ht="13.8" hidden="true" customHeight="false" outlineLevel="0" collapsed="false">
      <c r="A1045" s="117" t="n">
        <v>1000</v>
      </c>
      <c r="B1045" s="117" t="s">
        <v>1962</v>
      </c>
      <c r="C1045" s="117" t="n">
        <v>100173566</v>
      </c>
      <c r="E1045" s="117" t="s">
        <v>1921</v>
      </c>
      <c r="F1045" s="117" t="n">
        <v>1102</v>
      </c>
      <c r="G1045" s="117" t="n">
        <v>2019</v>
      </c>
      <c r="H1045" s="117" t="n">
        <v>8</v>
      </c>
      <c r="I1045" s="118" t="n">
        <v>43799</v>
      </c>
      <c r="J1045" s="118" t="n">
        <v>43799</v>
      </c>
      <c r="K1045" s="119" t="n">
        <v>-166417.56</v>
      </c>
      <c r="L1045" s="128" t="n">
        <f aca="false">K1045-Q1045+T1045</f>
        <v>-166417.56</v>
      </c>
      <c r="M1045" s="117" t="s">
        <v>149</v>
      </c>
      <c r="N1045" s="117" t="n">
        <v>-166417.56</v>
      </c>
      <c r="O1045" s="117" t="s">
        <v>149</v>
      </c>
      <c r="P1045" s="117" t="n">
        <v>0</v>
      </c>
      <c r="Q1045" s="117" t="n">
        <v>0</v>
      </c>
      <c r="R1045" s="117" t="n">
        <v>-166417.56</v>
      </c>
      <c r="S1045" s="117" t="n">
        <v>0</v>
      </c>
      <c r="T1045" s="117" t="n">
        <v>0</v>
      </c>
      <c r="U1045" s="117" t="n">
        <v>315113</v>
      </c>
      <c r="V1045" s="117" t="s">
        <v>143</v>
      </c>
      <c r="Z1045" s="117" t="n">
        <v>100173566</v>
      </c>
      <c r="AD1045" s="117" t="n">
        <v>111105</v>
      </c>
      <c r="AE1045" s="117" t="s">
        <v>1994</v>
      </c>
      <c r="AF1045" s="117" t="n">
        <v>110000</v>
      </c>
      <c r="AG1045" s="117" t="s">
        <v>1966</v>
      </c>
      <c r="AI1045" s="117" t="n">
        <v>110000</v>
      </c>
      <c r="AJ1045" s="117" t="s">
        <v>1966</v>
      </c>
      <c r="AK1045" s="117" t="n">
        <v>0</v>
      </c>
      <c r="AL1045" s="117" t="n">
        <v>19</v>
      </c>
      <c r="AM1045" s="117" t="s">
        <v>225</v>
      </c>
      <c r="AN1045" s="117" t="s">
        <v>1995</v>
      </c>
      <c r="AP1045" s="117" t="n">
        <v>100173566</v>
      </c>
      <c r="AQ1045" s="118" t="n">
        <v>43799</v>
      </c>
      <c r="AR1045" s="118" t="n">
        <v>43800</v>
      </c>
      <c r="AS1045" s="117" t="n">
        <v>0.660671296296296</v>
      </c>
      <c r="AT1045" s="117" t="n">
        <v>0</v>
      </c>
      <c r="AU1045" s="117" t="n">
        <v>0</v>
      </c>
      <c r="AX1045" s="117" t="n">
        <v>3</v>
      </c>
    </row>
    <row r="1046" customFormat="false" ht="13.8" hidden="true" customHeight="false" outlineLevel="0" collapsed="false">
      <c r="A1046" s="117" t="n">
        <v>1000</v>
      </c>
      <c r="B1046" s="117" t="s">
        <v>1962</v>
      </c>
      <c r="C1046" s="117" t="n">
        <v>1600000315</v>
      </c>
      <c r="D1046" s="117" t="s">
        <v>2354</v>
      </c>
      <c r="E1046" s="117" t="s">
        <v>1987</v>
      </c>
      <c r="F1046" s="117" t="n">
        <v>1101</v>
      </c>
      <c r="G1046" s="117" t="n">
        <v>2019</v>
      </c>
      <c r="H1046" s="117" t="n">
        <v>8</v>
      </c>
      <c r="I1046" s="118" t="n">
        <v>43798</v>
      </c>
      <c r="J1046" s="118" t="n">
        <v>43798</v>
      </c>
      <c r="K1046" s="119" t="n">
        <v>-4963</v>
      </c>
      <c r="L1046" s="128" t="n">
        <f aca="false">K1046-Q1046+T1046</f>
        <v>-4963</v>
      </c>
      <c r="M1046" s="117" t="s">
        <v>149</v>
      </c>
      <c r="N1046" s="117" t="n">
        <v>-4963</v>
      </c>
      <c r="O1046" s="117" t="s">
        <v>149</v>
      </c>
      <c r="P1046" s="117" t="n">
        <v>-4963</v>
      </c>
      <c r="Q1046" s="117" t="n">
        <v>0</v>
      </c>
      <c r="R1046" s="117" t="n">
        <v>-4963</v>
      </c>
      <c r="S1046" s="117" t="n">
        <v>0</v>
      </c>
      <c r="T1046" s="117" t="n">
        <v>0</v>
      </c>
      <c r="U1046" s="117" t="n">
        <v>312193</v>
      </c>
      <c r="V1046" s="117" t="s">
        <v>1963</v>
      </c>
      <c r="X1046" s="117" t="s">
        <v>2547</v>
      </c>
      <c r="Y1046" s="117" t="s">
        <v>2354</v>
      </c>
      <c r="Z1046" s="117" t="n">
        <v>1600000315</v>
      </c>
      <c r="AD1046" s="117" t="n">
        <v>310300</v>
      </c>
      <c r="AE1046" s="117" t="s">
        <v>1969</v>
      </c>
      <c r="AF1046" s="117" t="n">
        <v>111201</v>
      </c>
      <c r="AG1046" s="117" t="s">
        <v>2165</v>
      </c>
      <c r="AI1046" s="117" t="n">
        <v>111201</v>
      </c>
      <c r="AJ1046" s="117" t="s">
        <v>2165</v>
      </c>
      <c r="AK1046" s="117" t="n">
        <v>0</v>
      </c>
      <c r="AL1046" s="117" t="n">
        <v>19</v>
      </c>
      <c r="AM1046" s="117" t="s">
        <v>225</v>
      </c>
      <c r="AN1046" s="117" t="s">
        <v>1978</v>
      </c>
      <c r="AP1046" s="117" t="n">
        <v>100173563</v>
      </c>
      <c r="AQ1046" s="118" t="n">
        <v>43799</v>
      </c>
      <c r="AR1046" s="118" t="n">
        <v>43798</v>
      </c>
      <c r="AS1046" s="117" t="n">
        <v>0.954837962962963</v>
      </c>
      <c r="AT1046" s="117" t="n">
        <v>0</v>
      </c>
      <c r="AU1046" s="117" t="n">
        <v>0</v>
      </c>
      <c r="AX1046" s="117" t="n">
        <v>44</v>
      </c>
    </row>
    <row r="1047" customFormat="false" ht="13.8" hidden="true" customHeight="false" outlineLevel="0" collapsed="false">
      <c r="A1047" s="117" t="n">
        <v>1000</v>
      </c>
      <c r="B1047" s="117" t="s">
        <v>1962</v>
      </c>
      <c r="C1047" s="117" t="n">
        <v>1600000288</v>
      </c>
      <c r="D1047" s="117" t="s">
        <v>2356</v>
      </c>
      <c r="E1047" s="117" t="s">
        <v>1987</v>
      </c>
      <c r="F1047" s="117" t="n">
        <v>1101</v>
      </c>
      <c r="G1047" s="117" t="n">
        <v>2019</v>
      </c>
      <c r="H1047" s="117" t="n">
        <v>8</v>
      </c>
      <c r="I1047" s="118" t="n">
        <v>43795</v>
      </c>
      <c r="J1047" s="118" t="n">
        <v>43795</v>
      </c>
      <c r="K1047" s="119" t="n">
        <v>-13622</v>
      </c>
      <c r="L1047" s="128" t="n">
        <f aca="false">K1047-Q1047+T1047</f>
        <v>-13622</v>
      </c>
      <c r="M1047" s="117" t="s">
        <v>149</v>
      </c>
      <c r="N1047" s="117" t="n">
        <v>-13622</v>
      </c>
      <c r="O1047" s="117" t="s">
        <v>149</v>
      </c>
      <c r="P1047" s="117" t="n">
        <v>-13622</v>
      </c>
      <c r="Q1047" s="117" t="n">
        <v>0</v>
      </c>
      <c r="R1047" s="117" t="n">
        <v>-13622</v>
      </c>
      <c r="S1047" s="117" t="n">
        <v>0</v>
      </c>
      <c r="T1047" s="117" t="n">
        <v>0</v>
      </c>
      <c r="U1047" s="117" t="n">
        <v>312193</v>
      </c>
      <c r="V1047" s="117" t="s">
        <v>1963</v>
      </c>
      <c r="X1047" s="117" t="s">
        <v>2548</v>
      </c>
      <c r="Y1047" s="117" t="s">
        <v>2358</v>
      </c>
      <c r="Z1047" s="117" t="n">
        <v>1600000288</v>
      </c>
      <c r="AD1047" s="117" t="n">
        <v>310300</v>
      </c>
      <c r="AE1047" s="117" t="s">
        <v>1969</v>
      </c>
      <c r="AF1047" s="117" t="n">
        <v>111201</v>
      </c>
      <c r="AG1047" s="117" t="s">
        <v>2165</v>
      </c>
      <c r="AI1047" s="117" t="n">
        <v>111201</v>
      </c>
      <c r="AJ1047" s="117" t="s">
        <v>2165</v>
      </c>
      <c r="AK1047" s="117" t="n">
        <v>0</v>
      </c>
      <c r="AL1047" s="117" t="n">
        <v>19</v>
      </c>
      <c r="AM1047" s="117" t="s">
        <v>225</v>
      </c>
      <c r="AN1047" s="117" t="s">
        <v>1978</v>
      </c>
      <c r="AP1047" s="117" t="n">
        <v>100173563</v>
      </c>
      <c r="AQ1047" s="118" t="n">
        <v>43799</v>
      </c>
      <c r="AR1047" s="118" t="n">
        <v>43795</v>
      </c>
      <c r="AS1047" s="117" t="n">
        <v>0.285</v>
      </c>
      <c r="AT1047" s="117" t="n">
        <v>0</v>
      </c>
      <c r="AU1047" s="117" t="n">
        <v>0</v>
      </c>
      <c r="AX1047" s="117" t="n">
        <v>37</v>
      </c>
    </row>
    <row r="1048" customFormat="false" ht="13.8" hidden="true" customHeight="false" outlineLevel="0" collapsed="false">
      <c r="A1048" s="117" t="n">
        <v>1000</v>
      </c>
      <c r="B1048" s="117" t="s">
        <v>1962</v>
      </c>
      <c r="C1048" s="117" t="n">
        <v>100141449</v>
      </c>
      <c r="E1048" s="117" t="s">
        <v>1921</v>
      </c>
      <c r="F1048" s="117" t="n">
        <v>1109</v>
      </c>
      <c r="G1048" s="117" t="n">
        <v>2019</v>
      </c>
      <c r="H1048" s="117" t="n">
        <v>7</v>
      </c>
      <c r="I1048" s="118" t="n">
        <v>43766</v>
      </c>
      <c r="J1048" s="118" t="n">
        <v>43766</v>
      </c>
      <c r="K1048" s="119" t="n">
        <v>455884.13</v>
      </c>
      <c r="L1048" s="128" t="n">
        <f aca="false">K1048-Q1048+T1048</f>
        <v>455884.13</v>
      </c>
      <c r="M1048" s="117" t="s">
        <v>149</v>
      </c>
      <c r="N1048" s="117" t="n">
        <v>455884.13</v>
      </c>
      <c r="O1048" s="117" t="s">
        <v>149</v>
      </c>
      <c r="P1048" s="117" t="n">
        <v>0</v>
      </c>
      <c r="Q1048" s="117" t="n">
        <v>0</v>
      </c>
      <c r="R1048" s="117" t="n">
        <v>455884.13</v>
      </c>
      <c r="S1048" s="117" t="n">
        <v>0</v>
      </c>
      <c r="T1048" s="117" t="n">
        <v>0</v>
      </c>
      <c r="U1048" s="117" t="n">
        <v>312193</v>
      </c>
      <c r="V1048" s="117" t="s">
        <v>1963</v>
      </c>
      <c r="X1048" s="117" t="s">
        <v>2309</v>
      </c>
      <c r="Z1048" s="117" t="n">
        <v>60960</v>
      </c>
      <c r="AB1048" s="117" t="s">
        <v>2124</v>
      </c>
      <c r="AD1048" s="117" t="n">
        <v>110000</v>
      </c>
      <c r="AE1048" s="117" t="s">
        <v>1966</v>
      </c>
      <c r="AF1048" s="117" t="n">
        <v>110000</v>
      </c>
      <c r="AG1048" s="117" t="s">
        <v>1966</v>
      </c>
      <c r="AI1048" s="117" t="n">
        <v>110000</v>
      </c>
      <c r="AJ1048" s="117" t="s">
        <v>1966</v>
      </c>
      <c r="AK1048" s="117" t="n">
        <v>0</v>
      </c>
      <c r="AL1048" s="117" t="n">
        <v>4</v>
      </c>
      <c r="AM1048" s="117" t="s">
        <v>161</v>
      </c>
      <c r="AR1048" s="118" t="n">
        <v>43766</v>
      </c>
      <c r="AS1048" s="117" t="n">
        <v>0.371388888888889</v>
      </c>
      <c r="AT1048" s="117" t="n">
        <v>0</v>
      </c>
      <c r="AU1048" s="117" t="n">
        <v>0</v>
      </c>
      <c r="AX1048" s="117" t="n">
        <v>23</v>
      </c>
    </row>
    <row r="1049" s="106" customFormat="true" ht="13.8" hidden="true" customHeight="false" outlineLevel="0" collapsed="false">
      <c r="A1049" s="106" t="n">
        <v>1000</v>
      </c>
      <c r="B1049" s="106" t="s">
        <v>1962</v>
      </c>
      <c r="C1049" s="106" t="n">
        <v>110885</v>
      </c>
      <c r="D1049" s="106" t="s">
        <v>2361</v>
      </c>
      <c r="E1049" s="106" t="s">
        <v>1970</v>
      </c>
      <c r="F1049" s="106" t="n">
        <v>1112</v>
      </c>
      <c r="G1049" s="106" t="n">
        <v>2019</v>
      </c>
      <c r="H1049" s="106" t="n">
        <v>9</v>
      </c>
      <c r="I1049" s="129" t="n">
        <v>43828</v>
      </c>
      <c r="J1049" s="129" t="n">
        <v>43828</v>
      </c>
      <c r="K1049" s="107" t="n">
        <v>989.62</v>
      </c>
      <c r="L1049" s="130" t="n">
        <f aca="false">K1049-Q1049+T1049</f>
        <v>838.66</v>
      </c>
      <c r="M1049" s="106" t="s">
        <v>149</v>
      </c>
      <c r="N1049" s="106" t="n">
        <v>989.62</v>
      </c>
      <c r="O1049" s="106" t="s">
        <v>149</v>
      </c>
      <c r="P1049" s="106" t="n">
        <v>0</v>
      </c>
      <c r="Q1049" s="107" t="n">
        <v>150.96</v>
      </c>
      <c r="R1049" s="106" t="n">
        <v>838.66</v>
      </c>
      <c r="S1049" s="106" t="n">
        <v>0</v>
      </c>
      <c r="T1049" s="106" t="n">
        <v>0</v>
      </c>
      <c r="U1049" s="106" t="n">
        <v>312193</v>
      </c>
      <c r="V1049" s="106" t="s">
        <v>1963</v>
      </c>
      <c r="Z1049" s="106" t="n">
        <v>62391</v>
      </c>
      <c r="AB1049" s="106" t="s">
        <v>2362</v>
      </c>
      <c r="AD1049" s="106" t="n">
        <v>110000</v>
      </c>
      <c r="AE1049" s="106" t="s">
        <v>1966</v>
      </c>
      <c r="AF1049" s="106" t="n">
        <v>501005</v>
      </c>
      <c r="AG1049" s="106" t="s">
        <v>2033</v>
      </c>
      <c r="AI1049" s="106" t="n">
        <v>501005</v>
      </c>
      <c r="AJ1049" s="106" t="s">
        <v>2033</v>
      </c>
      <c r="AK1049" s="106" t="n">
        <v>0</v>
      </c>
      <c r="AL1049" s="106" t="n">
        <v>1</v>
      </c>
      <c r="AM1049" s="106" t="s">
        <v>161</v>
      </c>
      <c r="AP1049" s="106" t="n">
        <v>100199799</v>
      </c>
      <c r="AQ1049" s="129" t="n">
        <v>43830</v>
      </c>
      <c r="AR1049" s="129" t="n">
        <v>43828</v>
      </c>
      <c r="AS1049" s="106" t="n">
        <v>0.759293981481482</v>
      </c>
      <c r="AT1049" s="106" t="n">
        <v>0</v>
      </c>
      <c r="AU1049" s="106" t="n">
        <v>0</v>
      </c>
      <c r="AX1049" s="106" t="n">
        <v>1</v>
      </c>
      <c r="ALU1049" s="0"/>
      <c r="ALV1049" s="0"/>
      <c r="ALW1049" s="0"/>
      <c r="ALX1049" s="0"/>
      <c r="ALY1049" s="0"/>
      <c r="ALZ1049" s="0"/>
      <c r="AMA1049" s="0"/>
      <c r="AMB1049" s="0"/>
      <c r="AMC1049" s="0"/>
      <c r="AMD1049" s="0"/>
      <c r="AME1049" s="0"/>
      <c r="AMF1049" s="0"/>
      <c r="AMG1049" s="0"/>
      <c r="AMH1049" s="0"/>
      <c r="AMI1049" s="0"/>
      <c r="AMJ1049" s="0"/>
    </row>
    <row r="1050" customFormat="false" ht="13.8" hidden="true" customHeight="false" outlineLevel="0" collapsed="false">
      <c r="A1050" s="117" t="n">
        <v>1000</v>
      </c>
      <c r="B1050" s="117" t="s">
        <v>1962</v>
      </c>
      <c r="C1050" s="117" t="n">
        <v>100141449</v>
      </c>
      <c r="E1050" s="117" t="s">
        <v>1921</v>
      </c>
      <c r="F1050" s="117" t="n">
        <v>1109</v>
      </c>
      <c r="G1050" s="117" t="n">
        <v>2019</v>
      </c>
      <c r="H1050" s="117" t="n">
        <v>7</v>
      </c>
      <c r="I1050" s="118" t="n">
        <v>43766</v>
      </c>
      <c r="J1050" s="118" t="n">
        <v>43766</v>
      </c>
      <c r="K1050" s="119" t="n">
        <v>-21390366.09</v>
      </c>
      <c r="L1050" s="128" t="n">
        <f aca="false">K1050-Q1050+T1050</f>
        <v>-21390366.09</v>
      </c>
      <c r="M1050" s="117" t="s">
        <v>149</v>
      </c>
      <c r="N1050" s="117" t="n">
        <v>-21390366.09</v>
      </c>
      <c r="O1050" s="117" t="s">
        <v>149</v>
      </c>
      <c r="P1050" s="117" t="n">
        <v>0</v>
      </c>
      <c r="Q1050" s="117" t="n">
        <v>0</v>
      </c>
      <c r="R1050" s="117" t="n">
        <v>-21390366.09</v>
      </c>
      <c r="S1050" s="117" t="n">
        <v>0</v>
      </c>
      <c r="T1050" s="117" t="n">
        <v>0</v>
      </c>
      <c r="U1050" s="117" t="n">
        <v>312193</v>
      </c>
      <c r="V1050" s="117" t="s">
        <v>1963</v>
      </c>
      <c r="Z1050" s="117" t="n">
        <v>100141449</v>
      </c>
      <c r="AD1050" s="117" t="n">
        <v>110000</v>
      </c>
      <c r="AE1050" s="117" t="s">
        <v>1966</v>
      </c>
      <c r="AF1050" s="117" t="n">
        <v>110000</v>
      </c>
      <c r="AG1050" s="117" t="s">
        <v>1966</v>
      </c>
      <c r="AI1050" s="117" t="n">
        <v>110000</v>
      </c>
      <c r="AJ1050" s="117" t="s">
        <v>1966</v>
      </c>
      <c r="AK1050" s="117" t="n">
        <v>0</v>
      </c>
      <c r="AL1050" s="117" t="n">
        <v>17</v>
      </c>
      <c r="AM1050" s="117" t="s">
        <v>225</v>
      </c>
      <c r="AP1050" s="117" t="n">
        <v>100141449</v>
      </c>
      <c r="AQ1050" s="118" t="n">
        <v>43766</v>
      </c>
      <c r="AR1050" s="118" t="n">
        <v>43766</v>
      </c>
      <c r="AS1050" s="117" t="n">
        <v>0.371388888888889</v>
      </c>
      <c r="AT1050" s="117" t="n">
        <v>0</v>
      </c>
      <c r="AU1050" s="117" t="n">
        <v>0</v>
      </c>
      <c r="AX1050" s="117" t="n">
        <v>29</v>
      </c>
    </row>
    <row r="1051" customFormat="false" ht="13.8" hidden="true" customHeight="false" outlineLevel="0" collapsed="false">
      <c r="A1051" s="117" t="n">
        <v>1000</v>
      </c>
      <c r="B1051" s="117" t="s">
        <v>1962</v>
      </c>
      <c r="C1051" s="117" t="n">
        <v>100141449</v>
      </c>
      <c r="E1051" s="117" t="s">
        <v>1921</v>
      </c>
      <c r="F1051" s="117" t="n">
        <v>1109</v>
      </c>
      <c r="G1051" s="117" t="n">
        <v>2019</v>
      </c>
      <c r="H1051" s="117" t="n">
        <v>7</v>
      </c>
      <c r="I1051" s="118" t="n">
        <v>43766</v>
      </c>
      <c r="J1051" s="118" t="n">
        <v>43766</v>
      </c>
      <c r="K1051" s="119" t="n">
        <v>1386400.99</v>
      </c>
      <c r="L1051" s="128" t="n">
        <f aca="false">K1051-Q1051+T1051</f>
        <v>1386400.99</v>
      </c>
      <c r="M1051" s="117" t="s">
        <v>149</v>
      </c>
      <c r="N1051" s="117" t="n">
        <v>1386400.99</v>
      </c>
      <c r="O1051" s="117" t="s">
        <v>149</v>
      </c>
      <c r="P1051" s="117" t="n">
        <v>0</v>
      </c>
      <c r="Q1051" s="117" t="n">
        <v>0</v>
      </c>
      <c r="R1051" s="117" t="n">
        <v>1386400.99</v>
      </c>
      <c r="S1051" s="117" t="n">
        <v>0</v>
      </c>
      <c r="T1051" s="117" t="n">
        <v>0</v>
      </c>
      <c r="U1051" s="117" t="n">
        <v>312193</v>
      </c>
      <c r="V1051" s="117" t="s">
        <v>1963</v>
      </c>
      <c r="X1051" s="117" t="s">
        <v>2329</v>
      </c>
      <c r="Z1051" s="117" t="n">
        <v>60963</v>
      </c>
      <c r="AB1051" s="117" t="s">
        <v>2124</v>
      </c>
      <c r="AD1051" s="117" t="n">
        <v>110000</v>
      </c>
      <c r="AE1051" s="117" t="s">
        <v>1966</v>
      </c>
      <c r="AF1051" s="117" t="n">
        <v>110000</v>
      </c>
      <c r="AG1051" s="117" t="s">
        <v>1966</v>
      </c>
      <c r="AI1051" s="117" t="n">
        <v>110000</v>
      </c>
      <c r="AJ1051" s="117" t="s">
        <v>1966</v>
      </c>
      <c r="AK1051" s="117" t="n">
        <v>0</v>
      </c>
      <c r="AL1051" s="117" t="n">
        <v>4</v>
      </c>
      <c r="AM1051" s="117" t="s">
        <v>161</v>
      </c>
      <c r="AR1051" s="118" t="n">
        <v>43766</v>
      </c>
      <c r="AS1051" s="117" t="n">
        <v>0.371388888888889</v>
      </c>
      <c r="AT1051" s="117" t="n">
        <v>0</v>
      </c>
      <c r="AU1051" s="117" t="n">
        <v>0</v>
      </c>
      <c r="AX1051" s="117" t="n">
        <v>24</v>
      </c>
    </row>
    <row r="1052" s="106" customFormat="true" ht="13.8" hidden="true" customHeight="false" outlineLevel="0" collapsed="false">
      <c r="A1052" s="106" t="n">
        <v>1000</v>
      </c>
      <c r="B1052" s="106" t="s">
        <v>1962</v>
      </c>
      <c r="C1052" s="106" t="n">
        <v>106587</v>
      </c>
      <c r="D1052" s="106" t="s">
        <v>2549</v>
      </c>
      <c r="E1052" s="106" t="s">
        <v>1970</v>
      </c>
      <c r="F1052" s="106" t="n">
        <v>1109</v>
      </c>
      <c r="G1052" s="106" t="n">
        <v>2019</v>
      </c>
      <c r="H1052" s="106" t="n">
        <v>6</v>
      </c>
      <c r="I1052" s="129" t="n">
        <v>43717</v>
      </c>
      <c r="J1052" s="129" t="n">
        <v>43717</v>
      </c>
      <c r="K1052" s="107" t="n">
        <v>-32162.35</v>
      </c>
      <c r="L1052" s="130" t="n">
        <f aca="false">K1052-Q1052+T1052</f>
        <v>-32162.35</v>
      </c>
      <c r="M1052" s="106" t="s">
        <v>149</v>
      </c>
      <c r="N1052" s="106" t="n">
        <v>-32162.35</v>
      </c>
      <c r="O1052" s="106" t="s">
        <v>149</v>
      </c>
      <c r="P1052" s="106" t="n">
        <v>0</v>
      </c>
      <c r="Q1052" s="107" t="n">
        <v>0</v>
      </c>
      <c r="R1052" s="107" t="n">
        <v>-32162.35</v>
      </c>
      <c r="S1052" s="106" t="n">
        <v>0</v>
      </c>
      <c r="T1052" s="106" t="n">
        <v>0</v>
      </c>
      <c r="U1052" s="106" t="n">
        <v>311155</v>
      </c>
      <c r="V1052" s="106" t="s">
        <v>2022</v>
      </c>
      <c r="Z1052" s="106" t="n">
        <v>60002473</v>
      </c>
      <c r="AB1052" s="106" t="s">
        <v>2550</v>
      </c>
      <c r="AD1052" s="106" t="n">
        <v>110000</v>
      </c>
      <c r="AE1052" s="106" t="s">
        <v>1966</v>
      </c>
      <c r="AF1052" s="106" t="n">
        <v>501005</v>
      </c>
      <c r="AG1052" s="106" t="s">
        <v>2033</v>
      </c>
      <c r="AI1052" s="106" t="n">
        <v>501005</v>
      </c>
      <c r="AJ1052" s="106" t="s">
        <v>2033</v>
      </c>
      <c r="AK1052" s="106" t="n">
        <v>0</v>
      </c>
      <c r="AL1052" s="106" t="n">
        <v>11</v>
      </c>
      <c r="AM1052" s="106" t="s">
        <v>225</v>
      </c>
      <c r="AP1052" s="106" t="n">
        <v>100122462</v>
      </c>
      <c r="AQ1052" s="129" t="n">
        <v>43738</v>
      </c>
      <c r="AR1052" s="129" t="n">
        <v>43717</v>
      </c>
      <c r="AS1052" s="106" t="n">
        <v>0.526886574074074</v>
      </c>
      <c r="AT1052" s="106" t="n">
        <v>0</v>
      </c>
      <c r="AU1052" s="106" t="n">
        <v>0</v>
      </c>
      <c r="AX1052" s="106" t="n">
        <v>1</v>
      </c>
      <c r="ALU1052" s="0"/>
      <c r="ALV1052" s="0"/>
      <c r="ALW1052" s="0"/>
      <c r="ALX1052" s="0"/>
      <c r="ALY1052" s="0"/>
      <c r="ALZ1052" s="0"/>
      <c r="AMA1052" s="0"/>
      <c r="AMB1052" s="0"/>
      <c r="AMC1052" s="0"/>
      <c r="AMD1052" s="0"/>
      <c r="AME1052" s="0"/>
      <c r="AMF1052" s="0"/>
      <c r="AMG1052" s="0"/>
      <c r="AMH1052" s="0"/>
      <c r="AMI1052" s="0"/>
      <c r="AMJ1052" s="0"/>
    </row>
    <row r="1053" s="106" customFormat="true" ht="13.8" hidden="true" customHeight="false" outlineLevel="0" collapsed="false">
      <c r="A1053" s="106" t="n">
        <v>1000</v>
      </c>
      <c r="B1053" s="106" t="s">
        <v>1962</v>
      </c>
      <c r="C1053" s="106" t="n">
        <v>111055</v>
      </c>
      <c r="D1053" s="106" t="s">
        <v>2551</v>
      </c>
      <c r="E1053" s="106" t="s">
        <v>1970</v>
      </c>
      <c r="F1053" s="106" t="n">
        <v>1109</v>
      </c>
      <c r="G1053" s="106" t="n">
        <v>2019</v>
      </c>
      <c r="H1053" s="106" t="n">
        <v>9</v>
      </c>
      <c r="I1053" s="129" t="n">
        <v>43830</v>
      </c>
      <c r="J1053" s="129" t="n">
        <v>43830</v>
      </c>
      <c r="K1053" s="107" t="n">
        <v>3917924.21</v>
      </c>
      <c r="L1053" s="130" t="n">
        <f aca="false">K1053-Q1053+T1053</f>
        <v>3320274.75</v>
      </c>
      <c r="M1053" s="106" t="s">
        <v>149</v>
      </c>
      <c r="N1053" s="107" t="n">
        <v>3917924.21</v>
      </c>
      <c r="O1053" s="106" t="s">
        <v>149</v>
      </c>
      <c r="P1053" s="106" t="n">
        <v>0</v>
      </c>
      <c r="Q1053" s="107" t="n">
        <v>597649.46</v>
      </c>
      <c r="R1053" s="107" t="n">
        <v>3320274.75</v>
      </c>
      <c r="S1053" s="106" t="n">
        <v>0</v>
      </c>
      <c r="T1053" s="106" t="n">
        <v>0</v>
      </c>
      <c r="U1053" s="106" t="n">
        <v>309728</v>
      </c>
      <c r="V1053" s="106" t="s">
        <v>1968</v>
      </c>
      <c r="Z1053" s="106" t="n">
        <v>62731</v>
      </c>
      <c r="AB1053" s="106" t="s">
        <v>2531</v>
      </c>
      <c r="AD1053" s="106" t="n">
        <v>110000</v>
      </c>
      <c r="AE1053" s="106" t="s">
        <v>1966</v>
      </c>
      <c r="AF1053" s="106" t="n">
        <v>501005</v>
      </c>
      <c r="AG1053" s="106" t="s">
        <v>2033</v>
      </c>
      <c r="AI1053" s="106" t="n">
        <v>501005</v>
      </c>
      <c r="AJ1053" s="106" t="s">
        <v>2033</v>
      </c>
      <c r="AK1053" s="106" t="n">
        <v>0</v>
      </c>
      <c r="AL1053" s="106" t="n">
        <v>1</v>
      </c>
      <c r="AM1053" s="106" t="s">
        <v>161</v>
      </c>
      <c r="AP1053" s="106" t="n">
        <v>100209795</v>
      </c>
      <c r="AQ1053" s="129" t="n">
        <v>43830</v>
      </c>
      <c r="AR1053" s="129" t="n">
        <v>43830</v>
      </c>
      <c r="AS1053" s="106" t="n">
        <v>0.742083333333333</v>
      </c>
      <c r="AT1053" s="106" t="n">
        <v>0</v>
      </c>
      <c r="AU1053" s="106" t="n">
        <v>0</v>
      </c>
      <c r="AX1053" s="106" t="n">
        <v>1</v>
      </c>
      <c r="ALU1053" s="0"/>
      <c r="ALV1053" s="0"/>
      <c r="ALW1053" s="0"/>
      <c r="ALX1053" s="0"/>
      <c r="ALY1053" s="0"/>
      <c r="ALZ1053" s="0"/>
      <c r="AMA1053" s="0"/>
      <c r="AMB1053" s="0"/>
      <c r="AMC1053" s="0"/>
      <c r="AMD1053" s="0"/>
      <c r="AME1053" s="0"/>
      <c r="AMF1053" s="0"/>
      <c r="AMG1053" s="0"/>
      <c r="AMH1053" s="0"/>
      <c r="AMI1053" s="0"/>
      <c r="AMJ1053" s="0"/>
    </row>
    <row r="1054" s="106" customFormat="true" ht="13.8" hidden="true" customHeight="false" outlineLevel="0" collapsed="false">
      <c r="A1054" s="106" t="n">
        <v>1000</v>
      </c>
      <c r="B1054" s="106" t="s">
        <v>1962</v>
      </c>
      <c r="C1054" s="106" t="n">
        <v>110414</v>
      </c>
      <c r="D1054" s="106" t="s">
        <v>1714</v>
      </c>
      <c r="E1054" s="106" t="s">
        <v>1970</v>
      </c>
      <c r="F1054" s="106" t="n">
        <v>1112</v>
      </c>
      <c r="G1054" s="106" t="n">
        <v>2019</v>
      </c>
      <c r="H1054" s="106" t="n">
        <v>9</v>
      </c>
      <c r="I1054" s="129" t="n">
        <v>43820</v>
      </c>
      <c r="J1054" s="129" t="n">
        <v>43820</v>
      </c>
      <c r="K1054" s="107" t="n">
        <v>12370.18</v>
      </c>
      <c r="L1054" s="130" t="n">
        <f aca="false">K1054-Q1054+T1054</f>
        <v>10483.2</v>
      </c>
      <c r="M1054" s="106" t="s">
        <v>149</v>
      </c>
      <c r="N1054" s="106" t="n">
        <v>12370.18</v>
      </c>
      <c r="O1054" s="106" t="s">
        <v>149</v>
      </c>
      <c r="P1054" s="106" t="n">
        <v>0</v>
      </c>
      <c r="Q1054" s="107" t="n">
        <v>1886.98</v>
      </c>
      <c r="R1054" s="106" t="n">
        <v>10483.2</v>
      </c>
      <c r="S1054" s="106" t="n">
        <v>0</v>
      </c>
      <c r="T1054" s="106" t="n">
        <v>0</v>
      </c>
      <c r="U1054" s="106" t="n">
        <v>312193</v>
      </c>
      <c r="V1054" s="106" t="s">
        <v>1963</v>
      </c>
      <c r="Z1054" s="106" t="n">
        <v>62149</v>
      </c>
      <c r="AB1054" s="106" t="s">
        <v>2362</v>
      </c>
      <c r="AD1054" s="106" t="n">
        <v>110000</v>
      </c>
      <c r="AE1054" s="106" t="s">
        <v>1966</v>
      </c>
      <c r="AF1054" s="106" t="n">
        <v>501005</v>
      </c>
      <c r="AG1054" s="106" t="s">
        <v>2033</v>
      </c>
      <c r="AI1054" s="106" t="n">
        <v>501005</v>
      </c>
      <c r="AJ1054" s="106" t="s">
        <v>2033</v>
      </c>
      <c r="AK1054" s="106" t="n">
        <v>0</v>
      </c>
      <c r="AL1054" s="106" t="n">
        <v>1</v>
      </c>
      <c r="AM1054" s="106" t="s">
        <v>161</v>
      </c>
      <c r="AP1054" s="106" t="n">
        <v>100194025</v>
      </c>
      <c r="AQ1054" s="129" t="n">
        <v>43824</v>
      </c>
      <c r="AR1054" s="129" t="n">
        <v>43820</v>
      </c>
      <c r="AS1054" s="106" t="n">
        <v>0.606261574074074</v>
      </c>
      <c r="AT1054" s="106" t="n">
        <v>0</v>
      </c>
      <c r="AU1054" s="106" t="n">
        <v>0</v>
      </c>
      <c r="AX1054" s="106" t="n">
        <v>1</v>
      </c>
      <c r="ALU1054" s="0"/>
      <c r="ALV1054" s="0"/>
      <c r="ALW1054" s="0"/>
      <c r="ALX1054" s="0"/>
      <c r="ALY1054" s="0"/>
      <c r="ALZ1054" s="0"/>
      <c r="AMA1054" s="0"/>
      <c r="AMB1054" s="0"/>
      <c r="AMC1054" s="0"/>
      <c r="AMD1054" s="0"/>
      <c r="AME1054" s="0"/>
      <c r="AMF1054" s="0"/>
      <c r="AMG1054" s="0"/>
      <c r="AMH1054" s="0"/>
      <c r="AMI1054" s="0"/>
      <c r="AMJ1054" s="0"/>
    </row>
    <row r="1055" customFormat="false" ht="13.8" hidden="true" customHeight="false" outlineLevel="0" collapsed="false">
      <c r="A1055" s="117" t="n">
        <v>1000</v>
      </c>
      <c r="B1055" s="117" t="s">
        <v>1962</v>
      </c>
      <c r="C1055" s="117" t="n">
        <v>100141449</v>
      </c>
      <c r="E1055" s="117" t="s">
        <v>1921</v>
      </c>
      <c r="F1055" s="117" t="n">
        <v>1109</v>
      </c>
      <c r="G1055" s="117" t="n">
        <v>2019</v>
      </c>
      <c r="H1055" s="117" t="n">
        <v>7</v>
      </c>
      <c r="I1055" s="118" t="n">
        <v>43766</v>
      </c>
      <c r="J1055" s="118" t="n">
        <v>43766</v>
      </c>
      <c r="K1055" s="119" t="n">
        <v>120265.6</v>
      </c>
      <c r="L1055" s="128" t="n">
        <f aca="false">K1055-Q1055+T1055</f>
        <v>120265.6</v>
      </c>
      <c r="M1055" s="117" t="s">
        <v>149</v>
      </c>
      <c r="N1055" s="117" t="n">
        <v>120265.6</v>
      </c>
      <c r="O1055" s="117" t="s">
        <v>149</v>
      </c>
      <c r="P1055" s="117" t="n">
        <v>0</v>
      </c>
      <c r="Q1055" s="117" t="n">
        <v>0</v>
      </c>
      <c r="R1055" s="117" t="n">
        <v>120265.6</v>
      </c>
      <c r="S1055" s="117" t="n">
        <v>0</v>
      </c>
      <c r="T1055" s="117" t="n">
        <v>0</v>
      </c>
      <c r="U1055" s="117" t="n">
        <v>312193</v>
      </c>
      <c r="V1055" s="117" t="s">
        <v>1963</v>
      </c>
      <c r="X1055" s="117" t="s">
        <v>1842</v>
      </c>
      <c r="Z1055" s="117" t="n">
        <v>60964</v>
      </c>
      <c r="AB1055" s="117" t="s">
        <v>2124</v>
      </c>
      <c r="AD1055" s="117" t="n">
        <v>110000</v>
      </c>
      <c r="AE1055" s="117" t="s">
        <v>1966</v>
      </c>
      <c r="AF1055" s="117" t="n">
        <v>110000</v>
      </c>
      <c r="AG1055" s="117" t="s">
        <v>1966</v>
      </c>
      <c r="AI1055" s="117" t="n">
        <v>110000</v>
      </c>
      <c r="AJ1055" s="117" t="s">
        <v>1966</v>
      </c>
      <c r="AK1055" s="117" t="n">
        <v>0</v>
      </c>
      <c r="AL1055" s="117" t="n">
        <v>4</v>
      </c>
      <c r="AM1055" s="117" t="s">
        <v>161</v>
      </c>
      <c r="AR1055" s="118" t="n">
        <v>43766</v>
      </c>
      <c r="AS1055" s="117" t="n">
        <v>0.371388888888889</v>
      </c>
      <c r="AT1055" s="117" t="n">
        <v>0</v>
      </c>
      <c r="AU1055" s="117" t="n">
        <v>0</v>
      </c>
      <c r="AX1055" s="117" t="n">
        <v>20</v>
      </c>
    </row>
    <row r="1056" s="106" customFormat="true" ht="13.8" hidden="true" customHeight="false" outlineLevel="0" collapsed="false">
      <c r="A1056" s="106" t="n">
        <v>1000</v>
      </c>
      <c r="B1056" s="106" t="s">
        <v>1962</v>
      </c>
      <c r="C1056" s="106" t="n">
        <v>109637</v>
      </c>
      <c r="D1056" s="106" t="s">
        <v>1660</v>
      </c>
      <c r="E1056" s="106" t="s">
        <v>1970</v>
      </c>
      <c r="F1056" s="106" t="n">
        <v>1108</v>
      </c>
      <c r="G1056" s="106" t="n">
        <v>2019</v>
      </c>
      <c r="H1056" s="106" t="n">
        <v>8</v>
      </c>
      <c r="I1056" s="129" t="n">
        <v>43798</v>
      </c>
      <c r="J1056" s="129" t="n">
        <v>43798</v>
      </c>
      <c r="K1056" s="107" t="n">
        <v>240685.9</v>
      </c>
      <c r="L1056" s="130" t="n">
        <f aca="false">K1056-Q1056+T1056</f>
        <v>203971.1</v>
      </c>
      <c r="M1056" s="106" t="s">
        <v>149</v>
      </c>
      <c r="N1056" s="106" t="n">
        <v>240685.9</v>
      </c>
      <c r="O1056" s="106" t="s">
        <v>149</v>
      </c>
      <c r="P1056" s="106" t="n">
        <v>0</v>
      </c>
      <c r="Q1056" s="107" t="n">
        <v>36714.8</v>
      </c>
      <c r="R1056" s="106" t="n">
        <v>203971.1</v>
      </c>
      <c r="S1056" s="106" t="n">
        <v>0</v>
      </c>
      <c r="T1056" s="106" t="n">
        <v>0</v>
      </c>
      <c r="U1056" s="106" t="n">
        <v>312193</v>
      </c>
      <c r="V1056" s="106" t="s">
        <v>1963</v>
      </c>
      <c r="Z1056" s="106" t="n">
        <v>61995</v>
      </c>
      <c r="AB1056" s="106" t="s">
        <v>2109</v>
      </c>
      <c r="AD1056" s="106" t="n">
        <v>110000</v>
      </c>
      <c r="AE1056" s="106" t="s">
        <v>1966</v>
      </c>
      <c r="AF1056" s="106" t="n">
        <v>501005</v>
      </c>
      <c r="AG1056" s="106" t="s">
        <v>2033</v>
      </c>
      <c r="AI1056" s="106" t="n">
        <v>501005</v>
      </c>
      <c r="AJ1056" s="106" t="s">
        <v>2033</v>
      </c>
      <c r="AK1056" s="106" t="n">
        <v>0</v>
      </c>
      <c r="AL1056" s="106" t="n">
        <v>1</v>
      </c>
      <c r="AM1056" s="106" t="s">
        <v>161</v>
      </c>
      <c r="AP1056" s="106" t="n">
        <v>100173564</v>
      </c>
      <c r="AQ1056" s="129" t="n">
        <v>43799</v>
      </c>
      <c r="AR1056" s="129" t="n">
        <v>43798</v>
      </c>
      <c r="AS1056" s="106" t="n">
        <v>0.75494212962963</v>
      </c>
      <c r="AT1056" s="106" t="n">
        <v>0</v>
      </c>
      <c r="AU1056" s="106" t="n">
        <v>0</v>
      </c>
      <c r="AX1056" s="106" t="n">
        <v>1</v>
      </c>
      <c r="ALU1056" s="0"/>
      <c r="ALV1056" s="0"/>
      <c r="ALW1056" s="0"/>
      <c r="ALX1056" s="0"/>
      <c r="ALY1056" s="0"/>
      <c r="ALZ1056" s="0"/>
      <c r="AMA1056" s="0"/>
      <c r="AMB1056" s="0"/>
      <c r="AMC1056" s="0"/>
      <c r="AMD1056" s="0"/>
      <c r="AME1056" s="0"/>
      <c r="AMF1056" s="0"/>
      <c r="AMG1056" s="0"/>
      <c r="AMH1056" s="0"/>
      <c r="AMI1056" s="0"/>
      <c r="AMJ1056" s="0"/>
    </row>
    <row r="1057" customFormat="false" ht="13.8" hidden="true" customHeight="false" outlineLevel="0" collapsed="false">
      <c r="A1057" s="117" t="n">
        <v>1000</v>
      </c>
      <c r="B1057" s="117" t="s">
        <v>1962</v>
      </c>
      <c r="C1057" s="117" t="n">
        <v>100173530</v>
      </c>
      <c r="E1057" s="117" t="s">
        <v>1921</v>
      </c>
      <c r="F1057" s="117" t="n">
        <v>1108</v>
      </c>
      <c r="G1057" s="117" t="n">
        <v>2019</v>
      </c>
      <c r="H1057" s="117" t="n">
        <v>8</v>
      </c>
      <c r="I1057" s="118" t="n">
        <v>43799</v>
      </c>
      <c r="J1057" s="118" t="n">
        <v>43799</v>
      </c>
      <c r="K1057" s="119" t="n">
        <v>-68986.16</v>
      </c>
      <c r="L1057" s="128" t="n">
        <f aca="false">K1057-Q1057+T1057</f>
        <v>-68986.16</v>
      </c>
      <c r="M1057" s="117" t="s">
        <v>149</v>
      </c>
      <c r="N1057" s="117" t="n">
        <v>-68986.16</v>
      </c>
      <c r="O1057" s="117" t="s">
        <v>149</v>
      </c>
      <c r="P1057" s="117" t="n">
        <v>0</v>
      </c>
      <c r="Q1057" s="117" t="n">
        <v>0</v>
      </c>
      <c r="R1057" s="117" t="n">
        <v>-68986.16</v>
      </c>
      <c r="S1057" s="117" t="n">
        <v>0</v>
      </c>
      <c r="T1057" s="117" t="n">
        <v>0</v>
      </c>
      <c r="U1057" s="117" t="n">
        <v>312193</v>
      </c>
      <c r="V1057" s="117" t="s">
        <v>1963</v>
      </c>
      <c r="Z1057" s="117" t="n">
        <v>100173530</v>
      </c>
      <c r="AD1057" s="117" t="n">
        <v>110000</v>
      </c>
      <c r="AE1057" s="117" t="s">
        <v>1966</v>
      </c>
      <c r="AF1057" s="117" t="n">
        <v>110000</v>
      </c>
      <c r="AG1057" s="117" t="s">
        <v>1966</v>
      </c>
      <c r="AI1057" s="117" t="n">
        <v>110000</v>
      </c>
      <c r="AJ1057" s="117" t="s">
        <v>1966</v>
      </c>
      <c r="AK1057" s="117" t="n">
        <v>0</v>
      </c>
      <c r="AL1057" s="117" t="n">
        <v>17</v>
      </c>
      <c r="AM1057" s="117" t="s">
        <v>225</v>
      </c>
      <c r="AP1057" s="117" t="n">
        <v>100173530</v>
      </c>
      <c r="AQ1057" s="118" t="n">
        <v>43799</v>
      </c>
      <c r="AR1057" s="118" t="n">
        <v>43800</v>
      </c>
      <c r="AS1057" s="117" t="n">
        <v>0.629131944444444</v>
      </c>
      <c r="AT1057" s="117" t="n">
        <v>0</v>
      </c>
      <c r="AU1057" s="117" t="n">
        <v>0</v>
      </c>
      <c r="AX1057" s="117" t="n">
        <v>7</v>
      </c>
    </row>
    <row r="1058" customFormat="false" ht="13.8" hidden="true" customHeight="false" outlineLevel="0" collapsed="false">
      <c r="A1058" s="117" t="n">
        <v>1000</v>
      </c>
      <c r="B1058" s="117" t="s">
        <v>1962</v>
      </c>
      <c r="C1058" s="117" t="n">
        <v>100199799</v>
      </c>
      <c r="E1058" s="117" t="s">
        <v>1921</v>
      </c>
      <c r="F1058" s="117" t="n">
        <v>1112</v>
      </c>
      <c r="G1058" s="117" t="n">
        <v>2019</v>
      </c>
      <c r="H1058" s="117" t="n">
        <v>9</v>
      </c>
      <c r="I1058" s="118" t="n">
        <v>43830</v>
      </c>
      <c r="J1058" s="118" t="n">
        <v>43830</v>
      </c>
      <c r="K1058" s="119" t="n">
        <v>9706.21</v>
      </c>
      <c r="L1058" s="128" t="n">
        <f aca="false">K1058-Q1058+T1058</f>
        <v>9706.21</v>
      </c>
      <c r="M1058" s="117" t="s">
        <v>149</v>
      </c>
      <c r="N1058" s="117" t="n">
        <v>9706.21</v>
      </c>
      <c r="O1058" s="117" t="s">
        <v>149</v>
      </c>
      <c r="P1058" s="117" t="n">
        <v>0</v>
      </c>
      <c r="Q1058" s="117" t="n">
        <v>0</v>
      </c>
      <c r="R1058" s="117" t="n">
        <v>9706.21</v>
      </c>
      <c r="S1058" s="117" t="n">
        <v>0</v>
      </c>
      <c r="T1058" s="117" t="n">
        <v>0</v>
      </c>
      <c r="U1058" s="117" t="n">
        <v>312193</v>
      </c>
      <c r="V1058" s="117" t="s">
        <v>1963</v>
      </c>
      <c r="X1058" s="117" t="s">
        <v>2455</v>
      </c>
      <c r="Z1058" s="117" t="n">
        <v>62201</v>
      </c>
      <c r="AB1058" s="117" t="s">
        <v>2350</v>
      </c>
      <c r="AD1058" s="117" t="n">
        <v>110000</v>
      </c>
      <c r="AE1058" s="117" t="s">
        <v>1966</v>
      </c>
      <c r="AF1058" s="117" t="n">
        <v>110000</v>
      </c>
      <c r="AG1058" s="117" t="s">
        <v>1966</v>
      </c>
      <c r="AI1058" s="117" t="n">
        <v>110000</v>
      </c>
      <c r="AJ1058" s="117" t="s">
        <v>1966</v>
      </c>
      <c r="AK1058" s="117" t="n">
        <v>0</v>
      </c>
      <c r="AL1058" s="117" t="n">
        <v>4</v>
      </c>
      <c r="AM1058" s="117" t="s">
        <v>161</v>
      </c>
      <c r="AR1058" s="118" t="n">
        <v>43830</v>
      </c>
      <c r="AS1058" s="117" t="n">
        <v>0.279467592592593</v>
      </c>
      <c r="AT1058" s="117" t="n">
        <v>0</v>
      </c>
      <c r="AU1058" s="117" t="n">
        <v>0</v>
      </c>
      <c r="AX1058" s="117" t="n">
        <v>23</v>
      </c>
    </row>
    <row r="1059" s="106" customFormat="true" ht="13.8" hidden="true" customHeight="false" outlineLevel="0" collapsed="false">
      <c r="A1059" s="106" t="n">
        <v>1000</v>
      </c>
      <c r="B1059" s="106" t="s">
        <v>1962</v>
      </c>
      <c r="C1059" s="106" t="n">
        <v>108797</v>
      </c>
      <c r="D1059" s="106" t="s">
        <v>2552</v>
      </c>
      <c r="E1059" s="106" t="s">
        <v>1970</v>
      </c>
      <c r="F1059" s="106" t="n">
        <v>1109</v>
      </c>
      <c r="G1059" s="106" t="n">
        <v>2019</v>
      </c>
      <c r="H1059" s="106" t="n">
        <v>8</v>
      </c>
      <c r="I1059" s="129" t="n">
        <v>43776</v>
      </c>
      <c r="J1059" s="129" t="n">
        <v>43776</v>
      </c>
      <c r="K1059" s="107" t="n">
        <v>-33288.56</v>
      </c>
      <c r="L1059" s="130" t="n">
        <f aca="false">K1059-Q1059+T1059</f>
        <v>-33288.56</v>
      </c>
      <c r="M1059" s="106" t="s">
        <v>149</v>
      </c>
      <c r="N1059" s="106" t="n">
        <v>-33288.56</v>
      </c>
      <c r="O1059" s="106" t="s">
        <v>149</v>
      </c>
      <c r="P1059" s="106" t="n">
        <v>0</v>
      </c>
      <c r="Q1059" s="107" t="n">
        <v>0</v>
      </c>
      <c r="R1059" s="107" t="n">
        <v>-33288.56</v>
      </c>
      <c r="S1059" s="106" t="n">
        <v>0</v>
      </c>
      <c r="T1059" s="106" t="n">
        <v>0</v>
      </c>
      <c r="U1059" s="106" t="n">
        <v>314258</v>
      </c>
      <c r="V1059" s="106" t="s">
        <v>143</v>
      </c>
      <c r="Z1059" s="106" t="n">
        <v>60002546</v>
      </c>
      <c r="AB1059" s="106" t="s">
        <v>2553</v>
      </c>
      <c r="AD1059" s="106" t="n">
        <v>110000</v>
      </c>
      <c r="AE1059" s="106" t="s">
        <v>1966</v>
      </c>
      <c r="AF1059" s="106" t="n">
        <v>501005</v>
      </c>
      <c r="AG1059" s="106" t="s">
        <v>2033</v>
      </c>
      <c r="AI1059" s="106" t="n">
        <v>501005</v>
      </c>
      <c r="AJ1059" s="106" t="s">
        <v>2033</v>
      </c>
      <c r="AK1059" s="106" t="n">
        <v>0</v>
      </c>
      <c r="AL1059" s="106" t="n">
        <v>11</v>
      </c>
      <c r="AM1059" s="106" t="s">
        <v>225</v>
      </c>
      <c r="AP1059" s="106" t="n">
        <v>100162640</v>
      </c>
      <c r="AQ1059" s="129" t="n">
        <v>43792</v>
      </c>
      <c r="AR1059" s="129" t="n">
        <v>43776</v>
      </c>
      <c r="AS1059" s="106" t="n">
        <v>0.707847222222222</v>
      </c>
      <c r="AT1059" s="106" t="n">
        <v>0</v>
      </c>
      <c r="AU1059" s="106" t="n">
        <v>0</v>
      </c>
      <c r="AX1059" s="106" t="n">
        <v>1</v>
      </c>
      <c r="ALU1059" s="0"/>
      <c r="ALV1059" s="0"/>
      <c r="ALW1059" s="0"/>
      <c r="ALX1059" s="0"/>
      <c r="ALY1059" s="0"/>
      <c r="ALZ1059" s="0"/>
      <c r="AMA1059" s="0"/>
      <c r="AMB1059" s="0"/>
      <c r="AMC1059" s="0"/>
      <c r="AMD1059" s="0"/>
      <c r="AME1059" s="0"/>
      <c r="AMF1059" s="0"/>
      <c r="AMG1059" s="0"/>
      <c r="AMH1059" s="0"/>
      <c r="AMI1059" s="0"/>
      <c r="AMJ1059" s="0"/>
    </row>
    <row r="1060" s="106" customFormat="true" ht="13.8" hidden="true" customHeight="false" outlineLevel="0" collapsed="false">
      <c r="A1060" s="106" t="n">
        <v>1000</v>
      </c>
      <c r="B1060" s="106" t="s">
        <v>1962</v>
      </c>
      <c r="C1060" s="106" t="n">
        <v>110413</v>
      </c>
      <c r="D1060" s="106" t="s">
        <v>1711</v>
      </c>
      <c r="E1060" s="106" t="s">
        <v>1970</v>
      </c>
      <c r="F1060" s="106" t="n">
        <v>1112</v>
      </c>
      <c r="G1060" s="106" t="n">
        <v>2019</v>
      </c>
      <c r="H1060" s="106" t="n">
        <v>9</v>
      </c>
      <c r="I1060" s="129" t="n">
        <v>43820</v>
      </c>
      <c r="J1060" s="129" t="n">
        <v>43820</v>
      </c>
      <c r="K1060" s="107" t="n">
        <v>135167.96</v>
      </c>
      <c r="L1060" s="130" t="n">
        <f aca="false">K1060-Q1060+T1060</f>
        <v>114549.12</v>
      </c>
      <c r="M1060" s="106" t="s">
        <v>149</v>
      </c>
      <c r="N1060" s="106" t="n">
        <v>135167.96</v>
      </c>
      <c r="O1060" s="106" t="s">
        <v>149</v>
      </c>
      <c r="P1060" s="106" t="n">
        <v>0</v>
      </c>
      <c r="Q1060" s="107" t="n">
        <v>20618.84</v>
      </c>
      <c r="R1060" s="106" t="n">
        <v>114549.12</v>
      </c>
      <c r="S1060" s="106" t="n">
        <v>0</v>
      </c>
      <c r="T1060" s="106" t="n">
        <v>0</v>
      </c>
      <c r="U1060" s="106" t="n">
        <v>312193</v>
      </c>
      <c r="V1060" s="106" t="s">
        <v>1963</v>
      </c>
      <c r="Z1060" s="106" t="n">
        <v>62149</v>
      </c>
      <c r="AB1060" s="106" t="s">
        <v>2362</v>
      </c>
      <c r="AD1060" s="106" t="n">
        <v>110000</v>
      </c>
      <c r="AE1060" s="106" t="s">
        <v>1966</v>
      </c>
      <c r="AF1060" s="106" t="n">
        <v>501005</v>
      </c>
      <c r="AG1060" s="106" t="s">
        <v>2033</v>
      </c>
      <c r="AI1060" s="106" t="n">
        <v>501005</v>
      </c>
      <c r="AJ1060" s="106" t="s">
        <v>2033</v>
      </c>
      <c r="AK1060" s="106" t="n">
        <v>0</v>
      </c>
      <c r="AL1060" s="106" t="n">
        <v>1</v>
      </c>
      <c r="AM1060" s="106" t="s">
        <v>161</v>
      </c>
      <c r="AP1060" s="106" t="n">
        <v>100194025</v>
      </c>
      <c r="AQ1060" s="129" t="n">
        <v>43824</v>
      </c>
      <c r="AR1060" s="129" t="n">
        <v>43820</v>
      </c>
      <c r="AS1060" s="106" t="n">
        <v>0.603958333333333</v>
      </c>
      <c r="AT1060" s="106" t="n">
        <v>0</v>
      </c>
      <c r="AU1060" s="106" t="n">
        <v>0</v>
      </c>
      <c r="AX1060" s="106" t="n">
        <v>1</v>
      </c>
      <c r="ALU1060" s="0"/>
      <c r="ALV1060" s="0"/>
      <c r="ALW1060" s="0"/>
      <c r="ALX1060" s="0"/>
      <c r="ALY1060" s="0"/>
      <c r="ALZ1060" s="0"/>
      <c r="AMA1060" s="0"/>
      <c r="AMB1060" s="0"/>
      <c r="AMC1060" s="0"/>
      <c r="AMD1060" s="0"/>
      <c r="AME1060" s="0"/>
      <c r="AMF1060" s="0"/>
      <c r="AMG1060" s="0"/>
      <c r="AMH1060" s="0"/>
      <c r="AMI1060" s="0"/>
      <c r="AMJ1060" s="0"/>
    </row>
    <row r="1061" customFormat="false" ht="13.8" hidden="true" customHeight="false" outlineLevel="0" collapsed="false">
      <c r="A1061" s="117" t="n">
        <v>1000</v>
      </c>
      <c r="B1061" s="117" t="s">
        <v>1962</v>
      </c>
      <c r="C1061" s="117" t="n">
        <v>1600000403</v>
      </c>
      <c r="D1061" s="117" t="s">
        <v>2352</v>
      </c>
      <c r="E1061" s="117" t="s">
        <v>1987</v>
      </c>
      <c r="F1061" s="117" t="n">
        <v>1106</v>
      </c>
      <c r="G1061" s="117" t="n">
        <v>2019</v>
      </c>
      <c r="H1061" s="117" t="n">
        <v>9</v>
      </c>
      <c r="I1061" s="118" t="n">
        <v>43830</v>
      </c>
      <c r="J1061" s="118" t="n">
        <v>43830</v>
      </c>
      <c r="K1061" s="119" t="n">
        <v>34692</v>
      </c>
      <c r="L1061" s="128" t="n">
        <f aca="false">K1061-Q1061+T1061</f>
        <v>34692</v>
      </c>
      <c r="M1061" s="117" t="s">
        <v>149</v>
      </c>
      <c r="N1061" s="117" t="n">
        <v>34692</v>
      </c>
      <c r="O1061" s="117" t="s">
        <v>149</v>
      </c>
      <c r="P1061" s="117" t="n">
        <v>34692</v>
      </c>
      <c r="Q1061" s="117" t="n">
        <v>0</v>
      </c>
      <c r="R1061" s="117" t="n">
        <v>34692</v>
      </c>
      <c r="S1061" s="117" t="n">
        <v>0</v>
      </c>
      <c r="T1061" s="117" t="n">
        <v>0</v>
      </c>
      <c r="U1061" s="117" t="n">
        <v>312193</v>
      </c>
      <c r="V1061" s="117" t="s">
        <v>1963</v>
      </c>
      <c r="X1061" s="117" t="s">
        <v>2353</v>
      </c>
      <c r="Y1061" s="117" t="s">
        <v>1898</v>
      </c>
      <c r="Z1061" s="117" t="n">
        <v>1600000403</v>
      </c>
      <c r="AD1061" s="117" t="n">
        <v>110000</v>
      </c>
      <c r="AE1061" s="117" t="s">
        <v>1966</v>
      </c>
      <c r="AF1061" s="117" t="n">
        <v>312193</v>
      </c>
      <c r="AG1061" s="117" t="s">
        <v>1963</v>
      </c>
      <c r="AI1061" s="117" t="n">
        <v>312193</v>
      </c>
      <c r="AJ1061" s="131" t="s">
        <v>1963</v>
      </c>
      <c r="AK1061" s="117" t="n">
        <v>0</v>
      </c>
      <c r="AL1061" s="117" t="n">
        <v>4</v>
      </c>
      <c r="AM1061" s="117" t="s">
        <v>161</v>
      </c>
      <c r="AR1061" s="118" t="n">
        <v>43831</v>
      </c>
      <c r="AS1061" s="117" t="n">
        <v>0.409108796296296</v>
      </c>
      <c r="AT1061" s="117" t="n">
        <v>0</v>
      </c>
      <c r="AU1061" s="117" t="n">
        <v>0</v>
      </c>
      <c r="AX1061" s="117" t="n">
        <v>1</v>
      </c>
    </row>
    <row r="1062" s="106" customFormat="true" ht="13.8" hidden="true" customHeight="false" outlineLevel="0" collapsed="false">
      <c r="A1062" s="106" t="n">
        <v>1000</v>
      </c>
      <c r="B1062" s="106" t="s">
        <v>1962</v>
      </c>
      <c r="C1062" s="106" t="n">
        <v>110873</v>
      </c>
      <c r="D1062" s="106" t="s">
        <v>2349</v>
      </c>
      <c r="E1062" s="106" t="s">
        <v>1970</v>
      </c>
      <c r="F1062" s="106" t="n">
        <v>1112</v>
      </c>
      <c r="G1062" s="106" t="n">
        <v>2019</v>
      </c>
      <c r="H1062" s="106" t="n">
        <v>9</v>
      </c>
      <c r="I1062" s="129" t="n">
        <v>43828</v>
      </c>
      <c r="J1062" s="129" t="n">
        <v>43828</v>
      </c>
      <c r="K1062" s="107" t="n">
        <v>29877.6</v>
      </c>
      <c r="L1062" s="130" t="n">
        <f aca="false">K1062-Q1062+T1062</f>
        <v>25320</v>
      </c>
      <c r="M1062" s="106" t="s">
        <v>149</v>
      </c>
      <c r="N1062" s="106" t="n">
        <v>29877.6</v>
      </c>
      <c r="O1062" s="106" t="s">
        <v>149</v>
      </c>
      <c r="P1062" s="106" t="n">
        <v>0</v>
      </c>
      <c r="Q1062" s="107" t="n">
        <v>4557.6</v>
      </c>
      <c r="R1062" s="106" t="n">
        <v>25320</v>
      </c>
      <c r="S1062" s="106" t="n">
        <v>0</v>
      </c>
      <c r="T1062" s="106" t="n">
        <v>0</v>
      </c>
      <c r="U1062" s="106" t="n">
        <v>312193</v>
      </c>
      <c r="V1062" s="106" t="s">
        <v>1963</v>
      </c>
      <c r="Z1062" s="106" t="n">
        <v>62195</v>
      </c>
      <c r="AB1062" s="106" t="s">
        <v>2350</v>
      </c>
      <c r="AD1062" s="106" t="n">
        <v>110000</v>
      </c>
      <c r="AE1062" s="106" t="s">
        <v>1966</v>
      </c>
      <c r="AF1062" s="106" t="n">
        <v>501000</v>
      </c>
      <c r="AG1062" s="106" t="s">
        <v>2170</v>
      </c>
      <c r="AI1062" s="106" t="n">
        <v>501000</v>
      </c>
      <c r="AJ1062" s="106" t="s">
        <v>2170</v>
      </c>
      <c r="AK1062" s="106" t="n">
        <v>0</v>
      </c>
      <c r="AL1062" s="106" t="n">
        <v>1</v>
      </c>
      <c r="AM1062" s="106" t="s">
        <v>161</v>
      </c>
      <c r="AP1062" s="106" t="n">
        <v>100199799</v>
      </c>
      <c r="AQ1062" s="129" t="n">
        <v>43830</v>
      </c>
      <c r="AR1062" s="129" t="n">
        <v>43828</v>
      </c>
      <c r="AS1062" s="106" t="n">
        <v>0.720729166666667</v>
      </c>
      <c r="AT1062" s="106" t="n">
        <v>0</v>
      </c>
      <c r="AU1062" s="106" t="n">
        <v>0</v>
      </c>
      <c r="AX1062" s="106" t="n">
        <v>1</v>
      </c>
      <c r="ALU1062" s="0"/>
      <c r="ALV1062" s="0"/>
      <c r="ALW1062" s="0"/>
      <c r="ALX1062" s="0"/>
      <c r="ALY1062" s="0"/>
      <c r="ALZ1062" s="0"/>
      <c r="AMA1062" s="0"/>
      <c r="AMB1062" s="0"/>
      <c r="AMC1062" s="0"/>
      <c r="AMD1062" s="0"/>
      <c r="AME1062" s="0"/>
      <c r="AMF1062" s="0"/>
      <c r="AMG1062" s="0"/>
      <c r="AMH1062" s="0"/>
      <c r="AMI1062" s="0"/>
      <c r="AMJ1062" s="0"/>
    </row>
    <row r="1063" customFormat="false" ht="13.8" hidden="false" customHeight="false" outlineLevel="0" collapsed="false">
      <c r="A1063" s="117" t="n">
        <v>1000</v>
      </c>
      <c r="B1063" s="117" t="s">
        <v>1962</v>
      </c>
      <c r="C1063" s="117" t="n">
        <v>100173604</v>
      </c>
      <c r="E1063" s="117" t="s">
        <v>1921</v>
      </c>
      <c r="F1063" s="117" t="n">
        <v>1101</v>
      </c>
      <c r="G1063" s="117" t="n">
        <v>2019</v>
      </c>
      <c r="H1063" s="117" t="n">
        <v>8</v>
      </c>
      <c r="I1063" s="118" t="n">
        <v>43799</v>
      </c>
      <c r="J1063" s="118" t="n">
        <v>43799</v>
      </c>
      <c r="K1063" s="119" t="n">
        <v>-4271936.54</v>
      </c>
      <c r="L1063" s="128" t="n">
        <f aca="false">K1063-Q1063+T1063</f>
        <v>-4271936.54</v>
      </c>
      <c r="M1063" s="117" t="s">
        <v>149</v>
      </c>
      <c r="N1063" s="117" t="n">
        <v>-4271936.54</v>
      </c>
      <c r="O1063" s="117" t="s">
        <v>149</v>
      </c>
      <c r="P1063" s="117" t="n">
        <v>0</v>
      </c>
      <c r="Q1063" s="117" t="n">
        <v>0</v>
      </c>
      <c r="R1063" s="117" t="n">
        <v>-4271936.54</v>
      </c>
      <c r="S1063" s="117" t="n">
        <v>0</v>
      </c>
      <c r="T1063" s="117" t="n">
        <v>0</v>
      </c>
      <c r="U1063" s="117" t="n">
        <v>318999</v>
      </c>
      <c r="V1063" s="117" t="s">
        <v>143</v>
      </c>
      <c r="Z1063" s="117" t="n">
        <v>100173604</v>
      </c>
      <c r="AD1063" s="117" t="n">
        <v>110000</v>
      </c>
      <c r="AE1063" s="117" t="s">
        <v>1966</v>
      </c>
      <c r="AF1063" s="117" t="n">
        <v>110000</v>
      </c>
      <c r="AG1063" s="117" t="s">
        <v>1966</v>
      </c>
      <c r="AI1063" s="117" t="n">
        <v>110000</v>
      </c>
      <c r="AJ1063" s="117" t="s">
        <v>1966</v>
      </c>
      <c r="AK1063" s="117" t="n">
        <v>0</v>
      </c>
      <c r="AL1063" s="117" t="n">
        <v>17</v>
      </c>
      <c r="AM1063" s="117" t="s">
        <v>225</v>
      </c>
      <c r="AP1063" s="117" t="n">
        <v>100173604</v>
      </c>
      <c r="AQ1063" s="118" t="n">
        <v>43799</v>
      </c>
      <c r="AR1063" s="118" t="n">
        <v>43800</v>
      </c>
      <c r="AS1063" s="117" t="n">
        <v>0.705775462962963</v>
      </c>
      <c r="AT1063" s="117" t="n">
        <v>0</v>
      </c>
      <c r="AU1063" s="117" t="n">
        <v>0</v>
      </c>
      <c r="AX1063" s="117" t="n">
        <v>3</v>
      </c>
    </row>
    <row r="1064" s="106" customFormat="true" ht="13.8" hidden="true" customHeight="false" outlineLevel="0" collapsed="false">
      <c r="A1064" s="106" t="n">
        <v>1000</v>
      </c>
      <c r="B1064" s="106" t="s">
        <v>1962</v>
      </c>
      <c r="C1064" s="106" t="n">
        <v>109639</v>
      </c>
      <c r="D1064" s="106" t="s">
        <v>1666</v>
      </c>
      <c r="E1064" s="106" t="s">
        <v>1970</v>
      </c>
      <c r="F1064" s="106" t="n">
        <v>1108</v>
      </c>
      <c r="G1064" s="106" t="n">
        <v>2019</v>
      </c>
      <c r="H1064" s="106" t="n">
        <v>8</v>
      </c>
      <c r="I1064" s="129" t="n">
        <v>43798</v>
      </c>
      <c r="J1064" s="129" t="n">
        <v>43798</v>
      </c>
      <c r="K1064" s="107" t="n">
        <v>114495.08</v>
      </c>
      <c r="L1064" s="130" t="n">
        <f aca="false">K1064-Q1064+T1064</f>
        <v>97029.73</v>
      </c>
      <c r="M1064" s="106" t="s">
        <v>149</v>
      </c>
      <c r="N1064" s="106" t="n">
        <v>114495.08</v>
      </c>
      <c r="O1064" s="106" t="s">
        <v>149</v>
      </c>
      <c r="P1064" s="106" t="n">
        <v>0</v>
      </c>
      <c r="Q1064" s="107" t="n">
        <v>17465.35</v>
      </c>
      <c r="R1064" s="106" t="n">
        <v>97029.73</v>
      </c>
      <c r="S1064" s="106" t="n">
        <v>0</v>
      </c>
      <c r="T1064" s="106" t="n">
        <v>0</v>
      </c>
      <c r="U1064" s="106" t="n">
        <v>312193</v>
      </c>
      <c r="V1064" s="106" t="s">
        <v>1963</v>
      </c>
      <c r="Z1064" s="106" t="n">
        <v>61997</v>
      </c>
      <c r="AB1064" s="106" t="s">
        <v>2109</v>
      </c>
      <c r="AD1064" s="106" t="n">
        <v>110000</v>
      </c>
      <c r="AE1064" s="106" t="s">
        <v>1966</v>
      </c>
      <c r="AF1064" s="106" t="n">
        <v>501005</v>
      </c>
      <c r="AG1064" s="106" t="s">
        <v>2033</v>
      </c>
      <c r="AI1064" s="106" t="n">
        <v>501005</v>
      </c>
      <c r="AJ1064" s="106" t="s">
        <v>2033</v>
      </c>
      <c r="AK1064" s="106" t="n">
        <v>0</v>
      </c>
      <c r="AL1064" s="106" t="n">
        <v>1</v>
      </c>
      <c r="AM1064" s="106" t="s">
        <v>161</v>
      </c>
      <c r="AP1064" s="106" t="n">
        <v>100173564</v>
      </c>
      <c r="AQ1064" s="129" t="n">
        <v>43799</v>
      </c>
      <c r="AR1064" s="129" t="n">
        <v>43798</v>
      </c>
      <c r="AS1064" s="106" t="n">
        <v>0.758576388888889</v>
      </c>
      <c r="AT1064" s="106" t="n">
        <v>0</v>
      </c>
      <c r="AU1064" s="106" t="n">
        <v>0</v>
      </c>
      <c r="AX1064" s="106" t="n">
        <v>1</v>
      </c>
      <c r="ALU1064" s="0"/>
      <c r="ALV1064" s="0"/>
      <c r="ALW1064" s="0"/>
      <c r="ALX1064" s="0"/>
      <c r="ALY1064" s="0"/>
      <c r="ALZ1064" s="0"/>
      <c r="AMA1064" s="0"/>
      <c r="AMB1064" s="0"/>
      <c r="AMC1064" s="0"/>
      <c r="AMD1064" s="0"/>
      <c r="AME1064" s="0"/>
      <c r="AMF1064" s="0"/>
      <c r="AMG1064" s="0"/>
      <c r="AMH1064" s="0"/>
      <c r="AMI1064" s="0"/>
      <c r="AMJ1064" s="0"/>
    </row>
    <row r="1065" customFormat="false" ht="13.8" hidden="true" customHeight="false" outlineLevel="0" collapsed="false">
      <c r="A1065" s="117" t="n">
        <v>1000</v>
      </c>
      <c r="B1065" s="117" t="s">
        <v>1962</v>
      </c>
      <c r="C1065" s="117" t="n">
        <v>100173563</v>
      </c>
      <c r="E1065" s="117" t="s">
        <v>1921</v>
      </c>
      <c r="F1065" s="117" t="n">
        <v>1101</v>
      </c>
      <c r="G1065" s="117" t="n">
        <v>2019</v>
      </c>
      <c r="H1065" s="117" t="n">
        <v>8</v>
      </c>
      <c r="I1065" s="118" t="n">
        <v>43799</v>
      </c>
      <c r="J1065" s="118" t="n">
        <v>43799</v>
      </c>
      <c r="K1065" s="119" t="n">
        <v>-17181</v>
      </c>
      <c r="L1065" s="128" t="n">
        <f aca="false">K1065-Q1065+T1065</f>
        <v>-17181</v>
      </c>
      <c r="M1065" s="117" t="s">
        <v>149</v>
      </c>
      <c r="N1065" s="117" t="n">
        <v>-17181</v>
      </c>
      <c r="O1065" s="117" t="s">
        <v>149</v>
      </c>
      <c r="P1065" s="117" t="n">
        <v>0</v>
      </c>
      <c r="Q1065" s="117" t="n">
        <v>0</v>
      </c>
      <c r="R1065" s="117" t="n">
        <v>-17181</v>
      </c>
      <c r="S1065" s="117" t="n">
        <v>0</v>
      </c>
      <c r="T1065" s="117" t="n">
        <v>0</v>
      </c>
      <c r="U1065" s="117" t="n">
        <v>312193</v>
      </c>
      <c r="V1065" s="117" t="s">
        <v>1963</v>
      </c>
      <c r="Z1065" s="117" t="n">
        <v>100173563</v>
      </c>
      <c r="AD1065" s="117" t="n">
        <v>110000</v>
      </c>
      <c r="AE1065" s="117" t="s">
        <v>1966</v>
      </c>
      <c r="AF1065" s="117" t="n">
        <v>310300</v>
      </c>
      <c r="AG1065" s="117" t="s">
        <v>1969</v>
      </c>
      <c r="AI1065" s="117" t="n">
        <v>310300</v>
      </c>
      <c r="AJ1065" s="117" t="s">
        <v>1969</v>
      </c>
      <c r="AK1065" s="117" t="n">
        <v>0</v>
      </c>
      <c r="AL1065" s="117" t="n">
        <v>17</v>
      </c>
      <c r="AM1065" s="117" t="s">
        <v>225</v>
      </c>
      <c r="AP1065" s="117" t="n">
        <v>100173563</v>
      </c>
      <c r="AQ1065" s="118" t="n">
        <v>43799</v>
      </c>
      <c r="AR1065" s="118" t="n">
        <v>43800</v>
      </c>
      <c r="AS1065" s="117" t="n">
        <v>0.641574074074074</v>
      </c>
      <c r="AT1065" s="117" t="n">
        <v>0</v>
      </c>
      <c r="AU1065" s="117" t="n">
        <v>0</v>
      </c>
      <c r="AX1065" s="117" t="n">
        <v>2</v>
      </c>
    </row>
    <row r="1066" customFormat="false" ht="13.8" hidden="true" customHeight="false" outlineLevel="0" collapsed="false">
      <c r="A1066" s="117" t="n">
        <v>1000</v>
      </c>
      <c r="B1066" s="117" t="s">
        <v>1962</v>
      </c>
      <c r="C1066" s="117" t="n">
        <v>100141449</v>
      </c>
      <c r="E1066" s="117" t="s">
        <v>1921</v>
      </c>
      <c r="F1066" s="117" t="n">
        <v>1109</v>
      </c>
      <c r="G1066" s="117" t="n">
        <v>2019</v>
      </c>
      <c r="H1066" s="117" t="n">
        <v>7</v>
      </c>
      <c r="I1066" s="118" t="n">
        <v>43766</v>
      </c>
      <c r="J1066" s="118" t="n">
        <v>43766</v>
      </c>
      <c r="K1066" s="119" t="n">
        <v>30396.8</v>
      </c>
      <c r="L1066" s="128" t="n">
        <f aca="false">K1066-Q1066+T1066</f>
        <v>30396.8</v>
      </c>
      <c r="M1066" s="117" t="s">
        <v>149</v>
      </c>
      <c r="N1066" s="117" t="n">
        <v>30396.8</v>
      </c>
      <c r="O1066" s="117" t="s">
        <v>149</v>
      </c>
      <c r="P1066" s="117" t="n">
        <v>0</v>
      </c>
      <c r="Q1066" s="117" t="n">
        <v>0</v>
      </c>
      <c r="R1066" s="117" t="n">
        <v>30396.8</v>
      </c>
      <c r="S1066" s="117" t="n">
        <v>0</v>
      </c>
      <c r="T1066" s="117" t="n">
        <v>0</v>
      </c>
      <c r="U1066" s="117" t="n">
        <v>312193</v>
      </c>
      <c r="V1066" s="117" t="s">
        <v>1963</v>
      </c>
      <c r="X1066" s="117" t="s">
        <v>1833</v>
      </c>
      <c r="Z1066" s="117" t="n">
        <v>60962</v>
      </c>
      <c r="AB1066" s="117" t="s">
        <v>2124</v>
      </c>
      <c r="AD1066" s="117" t="n">
        <v>110000</v>
      </c>
      <c r="AE1066" s="117" t="s">
        <v>1966</v>
      </c>
      <c r="AF1066" s="117" t="n">
        <v>110000</v>
      </c>
      <c r="AG1066" s="117" t="s">
        <v>1966</v>
      </c>
      <c r="AI1066" s="117" t="n">
        <v>110000</v>
      </c>
      <c r="AJ1066" s="117" t="s">
        <v>1966</v>
      </c>
      <c r="AK1066" s="117" t="n">
        <v>0</v>
      </c>
      <c r="AL1066" s="117" t="n">
        <v>4</v>
      </c>
      <c r="AM1066" s="117" t="s">
        <v>161</v>
      </c>
      <c r="AR1066" s="118" t="n">
        <v>43766</v>
      </c>
      <c r="AS1066" s="117" t="n">
        <v>0.371388888888889</v>
      </c>
      <c r="AT1066" s="117" t="n">
        <v>0</v>
      </c>
      <c r="AU1066" s="117" t="n">
        <v>0</v>
      </c>
      <c r="AX1066" s="117" t="n">
        <v>18</v>
      </c>
    </row>
    <row r="1067" s="106" customFormat="true" ht="13.8" hidden="true" customHeight="false" outlineLevel="0" collapsed="false">
      <c r="A1067" s="106" t="n">
        <v>1000</v>
      </c>
      <c r="B1067" s="106" t="s">
        <v>1962</v>
      </c>
      <c r="C1067" s="106" t="n">
        <v>107604</v>
      </c>
      <c r="D1067" s="106" t="s">
        <v>1452</v>
      </c>
      <c r="E1067" s="106" t="s">
        <v>1970</v>
      </c>
      <c r="F1067" s="106" t="n">
        <v>1101</v>
      </c>
      <c r="G1067" s="106" t="n">
        <v>2019</v>
      </c>
      <c r="H1067" s="106" t="n">
        <v>7</v>
      </c>
      <c r="I1067" s="129" t="n">
        <v>43742</v>
      </c>
      <c r="J1067" s="129" t="n">
        <v>43742</v>
      </c>
      <c r="K1067" s="107" t="n">
        <v>923939.6</v>
      </c>
      <c r="L1067" s="130" t="n">
        <f aca="false">K1067-Q1067+T1067</f>
        <v>782999.66</v>
      </c>
      <c r="M1067" s="106" t="s">
        <v>149</v>
      </c>
      <c r="N1067" s="106" t="n">
        <v>923939.6</v>
      </c>
      <c r="O1067" s="106" t="s">
        <v>149</v>
      </c>
      <c r="P1067" s="106" t="n">
        <v>0</v>
      </c>
      <c r="Q1067" s="107" t="n">
        <v>140939.94</v>
      </c>
      <c r="R1067" s="106" t="n">
        <v>782999.66</v>
      </c>
      <c r="S1067" s="106" t="n">
        <v>0</v>
      </c>
      <c r="T1067" s="106" t="n">
        <v>0</v>
      </c>
      <c r="U1067" s="106" t="n">
        <v>318999</v>
      </c>
      <c r="V1067" s="106" t="s">
        <v>143</v>
      </c>
      <c r="Z1067" s="106" t="n">
        <v>2388</v>
      </c>
      <c r="AB1067" s="106" t="s">
        <v>2019</v>
      </c>
      <c r="AD1067" s="106" t="n">
        <v>110000</v>
      </c>
      <c r="AE1067" s="106" t="s">
        <v>1966</v>
      </c>
      <c r="AF1067" s="106" t="n">
        <v>501020</v>
      </c>
      <c r="AG1067" s="106" t="s">
        <v>1971</v>
      </c>
      <c r="AI1067" s="106" t="n">
        <v>501020</v>
      </c>
      <c r="AJ1067" s="106" t="s">
        <v>1971</v>
      </c>
      <c r="AK1067" s="106" t="n">
        <v>0</v>
      </c>
      <c r="AL1067" s="106" t="n">
        <v>1</v>
      </c>
      <c r="AM1067" s="106" t="s">
        <v>161</v>
      </c>
      <c r="AP1067" s="106" t="n">
        <v>100141514</v>
      </c>
      <c r="AQ1067" s="129" t="n">
        <v>43766</v>
      </c>
      <c r="AR1067" s="129" t="n">
        <v>43742</v>
      </c>
      <c r="AS1067" s="106" t="n">
        <v>0.557048611111111</v>
      </c>
      <c r="AT1067" s="106" t="n">
        <v>0</v>
      </c>
      <c r="AU1067" s="106" t="n">
        <v>0</v>
      </c>
      <c r="AX1067" s="106" t="n">
        <v>1</v>
      </c>
      <c r="ALU1067" s="0"/>
      <c r="ALV1067" s="0"/>
      <c r="ALW1067" s="0"/>
      <c r="ALX1067" s="0"/>
      <c r="ALY1067" s="0"/>
      <c r="ALZ1067" s="0"/>
      <c r="AMA1067" s="0"/>
      <c r="AMB1067" s="0"/>
      <c r="AMC1067" s="0"/>
      <c r="AMD1067" s="0"/>
      <c r="AME1067" s="0"/>
      <c r="AMF1067" s="0"/>
      <c r="AMG1067" s="0"/>
      <c r="AMH1067" s="0"/>
      <c r="AMI1067" s="0"/>
      <c r="AMJ1067" s="0"/>
    </row>
    <row r="1068" customFormat="false" ht="13.8" hidden="true" customHeight="false" outlineLevel="0" collapsed="false">
      <c r="A1068" s="117" t="n">
        <v>1000</v>
      </c>
      <c r="B1068" s="117" t="s">
        <v>1962</v>
      </c>
      <c r="C1068" s="117" t="n">
        <v>1400008875</v>
      </c>
      <c r="E1068" s="117" t="s">
        <v>1972</v>
      </c>
      <c r="F1068" s="117" t="n">
        <v>1101</v>
      </c>
      <c r="G1068" s="117" t="n">
        <v>2019</v>
      </c>
      <c r="H1068" s="117" t="n">
        <v>9</v>
      </c>
      <c r="I1068" s="118" t="n">
        <v>43817</v>
      </c>
      <c r="J1068" s="118" t="n">
        <v>43817</v>
      </c>
      <c r="K1068" s="119" t="n">
        <v>-296339.2</v>
      </c>
      <c r="L1068" s="128" t="n">
        <f aca="false">K1068-Q1068+T1068</f>
        <v>-296339.2</v>
      </c>
      <c r="M1068" s="117" t="s">
        <v>149</v>
      </c>
      <c r="N1068" s="117" t="n">
        <v>-296339.2</v>
      </c>
      <c r="O1068" s="117" t="s">
        <v>149</v>
      </c>
      <c r="P1068" s="117" t="n">
        <v>0</v>
      </c>
      <c r="Q1068" s="117" t="n">
        <v>0</v>
      </c>
      <c r="R1068" s="117" t="n">
        <v>-296339.2</v>
      </c>
      <c r="S1068" s="117" t="n">
        <v>0</v>
      </c>
      <c r="T1068" s="117" t="n">
        <v>0</v>
      </c>
      <c r="U1068" s="117" t="n">
        <v>312948</v>
      </c>
      <c r="V1068" s="117" t="s">
        <v>1984</v>
      </c>
      <c r="X1068" s="117" t="s">
        <v>2554</v>
      </c>
      <c r="Y1068" s="117" t="s">
        <v>2555</v>
      </c>
      <c r="Z1068" s="117" t="n">
        <v>1400008875</v>
      </c>
      <c r="AC1068" s="117" t="s">
        <v>1976</v>
      </c>
      <c r="AD1068" s="117" t="n">
        <v>310300</v>
      </c>
      <c r="AE1068" s="117" t="s">
        <v>1969</v>
      </c>
      <c r="AF1068" s="117" t="n">
        <v>101105</v>
      </c>
      <c r="AG1068" s="117" t="s">
        <v>1977</v>
      </c>
      <c r="AI1068" s="117" t="n">
        <v>101105</v>
      </c>
      <c r="AJ1068" s="117" t="s">
        <v>1977</v>
      </c>
      <c r="AK1068" s="117" t="n">
        <v>0</v>
      </c>
      <c r="AL1068" s="117" t="n">
        <v>19</v>
      </c>
      <c r="AM1068" s="117" t="s">
        <v>225</v>
      </c>
      <c r="AN1068" s="117" t="s">
        <v>1978</v>
      </c>
      <c r="AP1068" s="117" t="n">
        <v>100197100</v>
      </c>
      <c r="AQ1068" s="118" t="n">
        <v>43827</v>
      </c>
      <c r="AR1068" s="118" t="n">
        <v>43825</v>
      </c>
      <c r="AS1068" s="117" t="n">
        <v>0.465011574074074</v>
      </c>
      <c r="AT1068" s="117" t="n">
        <v>0</v>
      </c>
      <c r="AU1068" s="117" t="n">
        <v>0</v>
      </c>
      <c r="AX1068" s="117" t="n">
        <v>2</v>
      </c>
    </row>
    <row r="1069" s="106" customFormat="true" ht="13.8" hidden="true" customHeight="false" outlineLevel="0" collapsed="false">
      <c r="A1069" s="106" t="n">
        <v>1000</v>
      </c>
      <c r="B1069" s="106" t="s">
        <v>1962</v>
      </c>
      <c r="C1069" s="106" t="n">
        <v>111100</v>
      </c>
      <c r="D1069" s="106" t="s">
        <v>2530</v>
      </c>
      <c r="E1069" s="106" t="s">
        <v>1970</v>
      </c>
      <c r="F1069" s="106" t="n">
        <v>1109</v>
      </c>
      <c r="G1069" s="106" t="n">
        <v>2019</v>
      </c>
      <c r="H1069" s="106" t="n">
        <v>9</v>
      </c>
      <c r="I1069" s="129" t="n">
        <v>43830</v>
      </c>
      <c r="J1069" s="129" t="n">
        <v>43830</v>
      </c>
      <c r="K1069" s="107" t="n">
        <v>1250608.57</v>
      </c>
      <c r="L1069" s="130" t="n">
        <f aca="false">K1069-Q1069+T1069</f>
        <v>1059837.77</v>
      </c>
      <c r="M1069" s="106" t="s">
        <v>149</v>
      </c>
      <c r="N1069" s="107" t="n">
        <v>1250608.57</v>
      </c>
      <c r="O1069" s="106" t="s">
        <v>149</v>
      </c>
      <c r="P1069" s="106" t="n">
        <v>0</v>
      </c>
      <c r="Q1069" s="107" t="n">
        <v>190770.8</v>
      </c>
      <c r="R1069" s="107" t="n">
        <v>1059837.77</v>
      </c>
      <c r="S1069" s="106" t="n">
        <v>0</v>
      </c>
      <c r="T1069" s="106" t="n">
        <v>0</v>
      </c>
      <c r="U1069" s="106" t="n">
        <v>309728</v>
      </c>
      <c r="V1069" s="106" t="s">
        <v>1968</v>
      </c>
      <c r="Z1069" s="106" t="n">
        <v>62731</v>
      </c>
      <c r="AB1069" s="106" t="s">
        <v>2531</v>
      </c>
      <c r="AD1069" s="106" t="n">
        <v>110000</v>
      </c>
      <c r="AE1069" s="106" t="s">
        <v>1966</v>
      </c>
      <c r="AF1069" s="106" t="n">
        <v>501005</v>
      </c>
      <c r="AG1069" s="106" t="s">
        <v>2033</v>
      </c>
      <c r="AI1069" s="106" t="n">
        <v>501005</v>
      </c>
      <c r="AJ1069" s="106" t="s">
        <v>2033</v>
      </c>
      <c r="AK1069" s="106" t="n">
        <v>0</v>
      </c>
      <c r="AL1069" s="106" t="n">
        <v>1</v>
      </c>
      <c r="AM1069" s="106" t="s">
        <v>161</v>
      </c>
      <c r="AP1069" s="106" t="n">
        <v>100209795</v>
      </c>
      <c r="AQ1069" s="129" t="n">
        <v>43830</v>
      </c>
      <c r="AR1069" s="129" t="n">
        <v>43830</v>
      </c>
      <c r="AS1069" s="106" t="n">
        <v>0.94056712962963</v>
      </c>
      <c r="AT1069" s="106" t="n">
        <v>0</v>
      </c>
      <c r="AU1069" s="106" t="n">
        <v>0</v>
      </c>
      <c r="AX1069" s="106" t="n">
        <v>1</v>
      </c>
      <c r="ALU1069" s="0"/>
      <c r="ALV1069" s="0"/>
      <c r="ALW1069" s="0"/>
      <c r="ALX1069" s="0"/>
      <c r="ALY1069" s="0"/>
      <c r="ALZ1069" s="0"/>
      <c r="AMA1069" s="0"/>
      <c r="AMB1069" s="0"/>
      <c r="AMC1069" s="0"/>
      <c r="AMD1069" s="0"/>
      <c r="AME1069" s="0"/>
      <c r="AMF1069" s="0"/>
      <c r="AMG1069" s="0"/>
      <c r="AMH1069" s="0"/>
      <c r="AMI1069" s="0"/>
      <c r="AMJ1069" s="0"/>
    </row>
    <row r="1070" customFormat="false" ht="13.8" hidden="true" customHeight="false" outlineLevel="0" collapsed="false">
      <c r="A1070" s="117" t="n">
        <v>1000</v>
      </c>
      <c r="B1070" s="117" t="s">
        <v>1962</v>
      </c>
      <c r="C1070" s="117" t="n">
        <v>100199799</v>
      </c>
      <c r="E1070" s="117" t="s">
        <v>1921</v>
      </c>
      <c r="F1070" s="117" t="n">
        <v>1112</v>
      </c>
      <c r="G1070" s="117" t="n">
        <v>2019</v>
      </c>
      <c r="H1070" s="117" t="n">
        <v>9</v>
      </c>
      <c r="I1070" s="118" t="n">
        <v>43830</v>
      </c>
      <c r="J1070" s="118" t="n">
        <v>43830</v>
      </c>
      <c r="K1070" s="119" t="n">
        <v>23537.32</v>
      </c>
      <c r="L1070" s="128" t="n">
        <f aca="false">K1070-Q1070+T1070</f>
        <v>23537.32</v>
      </c>
      <c r="M1070" s="117" t="s">
        <v>149</v>
      </c>
      <c r="N1070" s="117" t="n">
        <v>23537.32</v>
      </c>
      <c r="O1070" s="117" t="s">
        <v>149</v>
      </c>
      <c r="P1070" s="117" t="n">
        <v>0</v>
      </c>
      <c r="Q1070" s="117" t="n">
        <v>0</v>
      </c>
      <c r="R1070" s="117" t="n">
        <v>23537.32</v>
      </c>
      <c r="S1070" s="117" t="n">
        <v>0</v>
      </c>
      <c r="T1070" s="117" t="n">
        <v>0</v>
      </c>
      <c r="U1070" s="117" t="n">
        <v>312193</v>
      </c>
      <c r="V1070" s="117" t="s">
        <v>1963</v>
      </c>
      <c r="X1070" s="117" t="s">
        <v>2543</v>
      </c>
      <c r="Z1070" s="117" t="n">
        <v>62197</v>
      </c>
      <c r="AB1070" s="117" t="s">
        <v>2350</v>
      </c>
      <c r="AD1070" s="117" t="n">
        <v>110000</v>
      </c>
      <c r="AE1070" s="117" t="s">
        <v>1966</v>
      </c>
      <c r="AF1070" s="117" t="n">
        <v>110000</v>
      </c>
      <c r="AG1070" s="117" t="s">
        <v>1966</v>
      </c>
      <c r="AI1070" s="117" t="n">
        <v>110000</v>
      </c>
      <c r="AJ1070" s="117" t="s">
        <v>1966</v>
      </c>
      <c r="AK1070" s="117" t="n">
        <v>0</v>
      </c>
      <c r="AL1070" s="117" t="n">
        <v>4</v>
      </c>
      <c r="AM1070" s="117" t="s">
        <v>161</v>
      </c>
      <c r="AR1070" s="118" t="n">
        <v>43830</v>
      </c>
      <c r="AS1070" s="117" t="n">
        <v>0.279467592592593</v>
      </c>
      <c r="AT1070" s="117" t="n">
        <v>0</v>
      </c>
      <c r="AU1070" s="117" t="n">
        <v>0</v>
      </c>
      <c r="AX1070" s="117" t="n">
        <v>12</v>
      </c>
    </row>
    <row r="1071" customFormat="false" ht="13.8" hidden="true" customHeight="false" outlineLevel="0" collapsed="false">
      <c r="A1071" s="117" t="n">
        <v>1000</v>
      </c>
      <c r="B1071" s="117" t="s">
        <v>1962</v>
      </c>
      <c r="C1071" s="117" t="n">
        <v>100190616</v>
      </c>
      <c r="E1071" s="117" t="s">
        <v>1921</v>
      </c>
      <c r="F1071" s="117" t="n">
        <v>1109</v>
      </c>
      <c r="G1071" s="117" t="n">
        <v>2019</v>
      </c>
      <c r="H1071" s="117" t="n">
        <v>9</v>
      </c>
      <c r="I1071" s="118" t="n">
        <v>43819</v>
      </c>
      <c r="J1071" s="118" t="n">
        <v>43819</v>
      </c>
      <c r="K1071" s="119" t="n">
        <v>1102632.68</v>
      </c>
      <c r="L1071" s="128" t="n">
        <f aca="false">K1071-Q1071+T1071</f>
        <v>1102632.68</v>
      </c>
      <c r="M1071" s="117" t="s">
        <v>149</v>
      </c>
      <c r="N1071" s="117" t="n">
        <v>1102632.68</v>
      </c>
      <c r="O1071" s="117" t="s">
        <v>149</v>
      </c>
      <c r="P1071" s="117" t="n">
        <v>0</v>
      </c>
      <c r="Q1071" s="117" t="n">
        <v>0</v>
      </c>
      <c r="R1071" s="117" t="n">
        <v>1102632.68</v>
      </c>
      <c r="S1071" s="117" t="n">
        <v>0</v>
      </c>
      <c r="T1071" s="117" t="n">
        <v>0</v>
      </c>
      <c r="U1071" s="117" t="n">
        <v>311155</v>
      </c>
      <c r="V1071" s="117" t="s">
        <v>2022</v>
      </c>
      <c r="X1071" s="117" t="s">
        <v>1234</v>
      </c>
      <c r="Z1071" s="117" t="n">
        <v>62562</v>
      </c>
      <c r="AB1071" s="117" t="s">
        <v>2422</v>
      </c>
      <c r="AD1071" s="117" t="n">
        <v>110000</v>
      </c>
      <c r="AE1071" s="117" t="s">
        <v>1966</v>
      </c>
      <c r="AF1071" s="117" t="n">
        <v>110000</v>
      </c>
      <c r="AG1071" s="117" t="s">
        <v>1966</v>
      </c>
      <c r="AI1071" s="117" t="n">
        <v>110000</v>
      </c>
      <c r="AJ1071" s="117" t="s">
        <v>1966</v>
      </c>
      <c r="AK1071" s="117" t="n">
        <v>0</v>
      </c>
      <c r="AL1071" s="117" t="n">
        <v>4</v>
      </c>
      <c r="AM1071" s="117" t="s">
        <v>161</v>
      </c>
      <c r="AR1071" s="118" t="n">
        <v>43819</v>
      </c>
      <c r="AS1071" s="117" t="n">
        <v>0.670034722222222</v>
      </c>
      <c r="AT1071" s="117" t="n">
        <v>0</v>
      </c>
      <c r="AU1071" s="117" t="n">
        <v>0</v>
      </c>
      <c r="AX1071" s="117" t="n">
        <v>2</v>
      </c>
    </row>
    <row r="1072" customFormat="false" ht="13.8" hidden="true" customHeight="false" outlineLevel="0" collapsed="false">
      <c r="A1072" s="117" t="n">
        <v>1000</v>
      </c>
      <c r="B1072" s="117" t="s">
        <v>1962</v>
      </c>
      <c r="C1072" s="117" t="n">
        <v>1600000300</v>
      </c>
      <c r="D1072" s="117" t="s">
        <v>2354</v>
      </c>
      <c r="E1072" s="117" t="s">
        <v>1987</v>
      </c>
      <c r="F1072" s="117" t="n">
        <v>1101</v>
      </c>
      <c r="G1072" s="117" t="n">
        <v>2019</v>
      </c>
      <c r="H1072" s="117" t="n">
        <v>8</v>
      </c>
      <c r="I1072" s="118" t="n">
        <v>43797</v>
      </c>
      <c r="J1072" s="118" t="n">
        <v>43797</v>
      </c>
      <c r="K1072" s="119" t="n">
        <v>-3341</v>
      </c>
      <c r="L1072" s="128" t="n">
        <f aca="false">K1072-Q1072+T1072</f>
        <v>-3341</v>
      </c>
      <c r="M1072" s="117" t="s">
        <v>149</v>
      </c>
      <c r="N1072" s="117" t="n">
        <v>-3341</v>
      </c>
      <c r="O1072" s="117" t="s">
        <v>149</v>
      </c>
      <c r="P1072" s="117" t="n">
        <v>-3341</v>
      </c>
      <c r="Q1072" s="117" t="n">
        <v>0</v>
      </c>
      <c r="R1072" s="117" t="n">
        <v>-3341</v>
      </c>
      <c r="S1072" s="117" t="n">
        <v>0</v>
      </c>
      <c r="T1072" s="117" t="n">
        <v>0</v>
      </c>
      <c r="U1072" s="117" t="n">
        <v>318999</v>
      </c>
      <c r="V1072" s="117" t="s">
        <v>143</v>
      </c>
      <c r="X1072" s="117" t="s">
        <v>2556</v>
      </c>
      <c r="Y1072" s="117" t="s">
        <v>2388</v>
      </c>
      <c r="Z1072" s="117" t="n">
        <v>1600000300</v>
      </c>
      <c r="AD1072" s="117" t="n">
        <v>310300</v>
      </c>
      <c r="AE1072" s="117" t="s">
        <v>1969</v>
      </c>
      <c r="AF1072" s="117" t="n">
        <v>111201</v>
      </c>
      <c r="AG1072" s="117" t="s">
        <v>2165</v>
      </c>
      <c r="AI1072" s="117" t="n">
        <v>111201</v>
      </c>
      <c r="AJ1072" s="117" t="s">
        <v>2165</v>
      </c>
      <c r="AK1072" s="117" t="n">
        <v>0</v>
      </c>
      <c r="AL1072" s="117" t="n">
        <v>19</v>
      </c>
      <c r="AM1072" s="117" t="s">
        <v>225</v>
      </c>
      <c r="AN1072" s="117" t="s">
        <v>1978</v>
      </c>
      <c r="AR1072" s="118" t="n">
        <v>43797</v>
      </c>
      <c r="AS1072" s="117" t="n">
        <v>0.231458333333333</v>
      </c>
      <c r="AT1072" s="117" t="n">
        <v>0</v>
      </c>
      <c r="AU1072" s="117" t="n">
        <v>0</v>
      </c>
      <c r="AX1072" s="117" t="n">
        <v>11</v>
      </c>
    </row>
    <row r="1073" customFormat="false" ht="13.8" hidden="true" customHeight="false" outlineLevel="0" collapsed="false">
      <c r="A1073" s="117" t="n">
        <v>1000</v>
      </c>
      <c r="B1073" s="117" t="s">
        <v>1962</v>
      </c>
      <c r="C1073" s="117" t="n">
        <v>100141449</v>
      </c>
      <c r="E1073" s="117" t="s">
        <v>1921</v>
      </c>
      <c r="F1073" s="117" t="n">
        <v>1109</v>
      </c>
      <c r="G1073" s="117" t="n">
        <v>2019</v>
      </c>
      <c r="H1073" s="117" t="n">
        <v>7</v>
      </c>
      <c r="I1073" s="118" t="n">
        <v>43766</v>
      </c>
      <c r="J1073" s="118" t="n">
        <v>43766</v>
      </c>
      <c r="K1073" s="119" t="n">
        <v>227105.86</v>
      </c>
      <c r="L1073" s="128" t="n">
        <f aca="false">K1073-Q1073+T1073</f>
        <v>227105.86</v>
      </c>
      <c r="M1073" s="117" t="s">
        <v>149</v>
      </c>
      <c r="N1073" s="117" t="n">
        <v>227105.86</v>
      </c>
      <c r="O1073" s="117" t="s">
        <v>149</v>
      </c>
      <c r="P1073" s="117" t="n">
        <v>0</v>
      </c>
      <c r="Q1073" s="117" t="n">
        <v>0</v>
      </c>
      <c r="R1073" s="117" t="n">
        <v>227105.86</v>
      </c>
      <c r="S1073" s="117" t="n">
        <v>0</v>
      </c>
      <c r="T1073" s="117" t="n">
        <v>0</v>
      </c>
      <c r="U1073" s="117" t="n">
        <v>312193</v>
      </c>
      <c r="V1073" s="117" t="s">
        <v>1963</v>
      </c>
      <c r="X1073" s="117" t="s">
        <v>1816</v>
      </c>
      <c r="Z1073" s="117" t="n">
        <v>60958</v>
      </c>
      <c r="AB1073" s="117" t="s">
        <v>2124</v>
      </c>
      <c r="AD1073" s="117" t="n">
        <v>110000</v>
      </c>
      <c r="AE1073" s="117" t="s">
        <v>1966</v>
      </c>
      <c r="AF1073" s="117" t="n">
        <v>110000</v>
      </c>
      <c r="AG1073" s="117" t="s">
        <v>1966</v>
      </c>
      <c r="AI1073" s="117" t="n">
        <v>110000</v>
      </c>
      <c r="AJ1073" s="117" t="s">
        <v>1966</v>
      </c>
      <c r="AK1073" s="117" t="n">
        <v>0</v>
      </c>
      <c r="AL1073" s="117" t="n">
        <v>4</v>
      </c>
      <c r="AM1073" s="117" t="s">
        <v>161</v>
      </c>
      <c r="AR1073" s="118" t="n">
        <v>43766</v>
      </c>
      <c r="AS1073" s="117" t="n">
        <v>0.371388888888889</v>
      </c>
      <c r="AT1073" s="117" t="n">
        <v>0</v>
      </c>
      <c r="AU1073" s="117" t="n">
        <v>0</v>
      </c>
      <c r="AX1073" s="117" t="n">
        <v>9</v>
      </c>
    </row>
    <row r="1074" s="106" customFormat="true" ht="13.8" hidden="true" customHeight="false" outlineLevel="0" collapsed="false">
      <c r="A1074" s="106" t="n">
        <v>1000</v>
      </c>
      <c r="B1074" s="106" t="s">
        <v>1962</v>
      </c>
      <c r="C1074" s="106" t="n">
        <v>112980</v>
      </c>
      <c r="D1074" s="106" t="s">
        <v>2557</v>
      </c>
      <c r="E1074" s="106" t="s">
        <v>1970</v>
      </c>
      <c r="F1074" s="106" t="n">
        <v>1109</v>
      </c>
      <c r="G1074" s="106" t="n">
        <v>2019</v>
      </c>
      <c r="H1074" s="106" t="n">
        <v>11</v>
      </c>
      <c r="I1074" s="129" t="n">
        <v>43883</v>
      </c>
      <c r="J1074" s="129" t="n">
        <v>43883</v>
      </c>
      <c r="K1074" s="107" t="n">
        <v>-42565.18</v>
      </c>
      <c r="L1074" s="130" t="n">
        <f aca="false">K1074-Q1074+T1074</f>
        <v>-42565.18</v>
      </c>
      <c r="M1074" s="106" t="s">
        <v>149</v>
      </c>
      <c r="N1074" s="106" t="n">
        <v>-42565.18</v>
      </c>
      <c r="O1074" s="106" t="s">
        <v>149</v>
      </c>
      <c r="P1074" s="106" t="n">
        <v>0</v>
      </c>
      <c r="Q1074" s="107" t="n">
        <v>0</v>
      </c>
      <c r="R1074" s="107" t="n">
        <v>-42565.18</v>
      </c>
      <c r="S1074" s="106" t="n">
        <v>0</v>
      </c>
      <c r="T1074" s="106" t="n">
        <v>0</v>
      </c>
      <c r="U1074" s="106" t="n">
        <v>311155</v>
      </c>
      <c r="V1074" s="106" t="s">
        <v>2022</v>
      </c>
      <c r="Z1074" s="106" t="n">
        <v>60002647</v>
      </c>
      <c r="AB1074" s="106" t="s">
        <v>2558</v>
      </c>
      <c r="AD1074" s="106" t="n">
        <v>110000</v>
      </c>
      <c r="AE1074" s="106" t="s">
        <v>1966</v>
      </c>
      <c r="AF1074" s="106" t="n">
        <v>501005</v>
      </c>
      <c r="AG1074" s="106" t="s">
        <v>2033</v>
      </c>
      <c r="AI1074" s="106" t="n">
        <v>501005</v>
      </c>
      <c r="AJ1074" s="106" t="s">
        <v>2033</v>
      </c>
      <c r="AK1074" s="106" t="n">
        <v>0</v>
      </c>
      <c r="AL1074" s="106" t="n">
        <v>11</v>
      </c>
      <c r="AM1074" s="106" t="s">
        <v>225</v>
      </c>
      <c r="AQ1074" s="129"/>
      <c r="AR1074" s="129" t="n">
        <v>43883</v>
      </c>
      <c r="AS1074" s="106" t="n">
        <v>0.621909722222222</v>
      </c>
      <c r="AT1074" s="106" t="n">
        <v>0</v>
      </c>
      <c r="AU1074" s="106" t="n">
        <v>0</v>
      </c>
      <c r="AX1074" s="106" t="n">
        <v>1</v>
      </c>
      <c r="ALU1074" s="0"/>
      <c r="ALV1074" s="0"/>
      <c r="ALW1074" s="0"/>
      <c r="ALX1074" s="0"/>
      <c r="ALY1074" s="0"/>
      <c r="ALZ1074" s="0"/>
      <c r="AMA1074" s="0"/>
      <c r="AMB1074" s="0"/>
      <c r="AMC1074" s="0"/>
      <c r="AMD1074" s="0"/>
      <c r="AME1074" s="0"/>
      <c r="AMF1074" s="0"/>
      <c r="AMG1074" s="0"/>
      <c r="AMH1074" s="0"/>
      <c r="AMI1074" s="0"/>
      <c r="AMJ1074" s="0"/>
    </row>
    <row r="1075" customFormat="false" ht="13.8" hidden="true" customHeight="false" outlineLevel="0" collapsed="false">
      <c r="A1075" s="117" t="n">
        <v>1000</v>
      </c>
      <c r="B1075" s="117" t="s">
        <v>1962</v>
      </c>
      <c r="C1075" s="117" t="n">
        <v>100173568</v>
      </c>
      <c r="E1075" s="117" t="s">
        <v>1921</v>
      </c>
      <c r="F1075" s="117" t="n">
        <v>1109</v>
      </c>
      <c r="G1075" s="117" t="n">
        <v>2019</v>
      </c>
      <c r="H1075" s="117" t="n">
        <v>8</v>
      </c>
      <c r="I1075" s="118" t="n">
        <v>43799</v>
      </c>
      <c r="J1075" s="118" t="n">
        <v>43799</v>
      </c>
      <c r="K1075" s="119" t="n">
        <v>-1439935.34</v>
      </c>
      <c r="L1075" s="128" t="n">
        <f aca="false">K1075-Q1075+T1075</f>
        <v>-1439935.34</v>
      </c>
      <c r="M1075" s="117" t="s">
        <v>149</v>
      </c>
      <c r="N1075" s="117" t="n">
        <v>-1439935.34</v>
      </c>
      <c r="O1075" s="117" t="s">
        <v>149</v>
      </c>
      <c r="P1075" s="117" t="n">
        <v>0</v>
      </c>
      <c r="Q1075" s="117" t="n">
        <v>0</v>
      </c>
      <c r="R1075" s="117" t="n">
        <v>-1439935.34</v>
      </c>
      <c r="S1075" s="117" t="n">
        <v>0</v>
      </c>
      <c r="T1075" s="117" t="n">
        <v>0</v>
      </c>
      <c r="U1075" s="117" t="n">
        <v>315113</v>
      </c>
      <c r="V1075" s="117" t="s">
        <v>143</v>
      </c>
      <c r="Z1075" s="117" t="n">
        <v>100173568</v>
      </c>
      <c r="AD1075" s="117" t="n">
        <v>110000</v>
      </c>
      <c r="AE1075" s="117" t="s">
        <v>1966</v>
      </c>
      <c r="AF1075" s="117" t="n">
        <v>110000</v>
      </c>
      <c r="AG1075" s="117" t="s">
        <v>1966</v>
      </c>
      <c r="AI1075" s="117" t="n">
        <v>110000</v>
      </c>
      <c r="AJ1075" s="117" t="s">
        <v>1966</v>
      </c>
      <c r="AK1075" s="117" t="n">
        <v>0</v>
      </c>
      <c r="AL1075" s="117" t="n">
        <v>17</v>
      </c>
      <c r="AM1075" s="117" t="s">
        <v>225</v>
      </c>
      <c r="AP1075" s="117" t="n">
        <v>100173568</v>
      </c>
      <c r="AQ1075" s="118" t="n">
        <v>43799</v>
      </c>
      <c r="AR1075" s="118" t="n">
        <v>43800</v>
      </c>
      <c r="AS1075" s="117" t="n">
        <v>0.661851851851852</v>
      </c>
      <c r="AT1075" s="117" t="n">
        <v>0</v>
      </c>
      <c r="AU1075" s="117" t="n">
        <v>0</v>
      </c>
      <c r="AX1075" s="117" t="n">
        <v>3</v>
      </c>
    </row>
    <row r="1076" customFormat="false" ht="13.8" hidden="true" customHeight="false" outlineLevel="0" collapsed="false">
      <c r="A1076" s="117" t="n">
        <v>1000</v>
      </c>
      <c r="B1076" s="117" t="s">
        <v>1962</v>
      </c>
      <c r="C1076" s="117" t="n">
        <v>100143931</v>
      </c>
      <c r="E1076" s="117" t="s">
        <v>1921</v>
      </c>
      <c r="F1076" s="117" t="n">
        <v>1109</v>
      </c>
      <c r="G1076" s="117" t="n">
        <v>2019</v>
      </c>
      <c r="H1076" s="117" t="n">
        <v>7</v>
      </c>
      <c r="I1076" s="118" t="n">
        <v>43769</v>
      </c>
      <c r="J1076" s="118" t="n">
        <v>43769</v>
      </c>
      <c r="K1076" s="119" t="n">
        <v>1685495.9</v>
      </c>
      <c r="L1076" s="128" t="n">
        <f aca="false">K1076-Q1076+T1076</f>
        <v>1685495.9</v>
      </c>
      <c r="M1076" s="117" t="s">
        <v>149</v>
      </c>
      <c r="N1076" s="117" t="n">
        <v>1685495.9</v>
      </c>
      <c r="O1076" s="117" t="s">
        <v>149</v>
      </c>
      <c r="P1076" s="117" t="n">
        <v>0</v>
      </c>
      <c r="Q1076" s="117" t="n">
        <v>0</v>
      </c>
      <c r="R1076" s="117" t="n">
        <v>1685495.9</v>
      </c>
      <c r="S1076" s="117" t="n">
        <v>0</v>
      </c>
      <c r="T1076" s="117" t="n">
        <v>0</v>
      </c>
      <c r="U1076" s="117" t="n">
        <v>311155</v>
      </c>
      <c r="V1076" s="117" t="s">
        <v>2022</v>
      </c>
      <c r="X1076" s="117" t="s">
        <v>1310</v>
      </c>
      <c r="Z1076" s="117" t="n">
        <v>61624</v>
      </c>
      <c r="AB1076" s="117" t="s">
        <v>2288</v>
      </c>
      <c r="AD1076" s="117" t="n">
        <v>110000</v>
      </c>
      <c r="AE1076" s="117" t="s">
        <v>1966</v>
      </c>
      <c r="AF1076" s="117" t="n">
        <v>110000</v>
      </c>
      <c r="AG1076" s="117" t="s">
        <v>1966</v>
      </c>
      <c r="AI1076" s="117" t="n">
        <v>110000</v>
      </c>
      <c r="AJ1076" s="117" t="s">
        <v>1966</v>
      </c>
      <c r="AK1076" s="117" t="n">
        <v>0</v>
      </c>
      <c r="AL1076" s="117" t="n">
        <v>4</v>
      </c>
      <c r="AM1076" s="117" t="s">
        <v>161</v>
      </c>
      <c r="AP1076" s="117" t="n">
        <v>100210316</v>
      </c>
      <c r="AQ1076" s="118" t="n">
        <v>43830</v>
      </c>
      <c r="AR1076" s="118" t="n">
        <v>43770</v>
      </c>
      <c r="AS1076" s="117" t="n">
        <v>0.207824074074074</v>
      </c>
      <c r="AT1076" s="117" t="n">
        <v>0</v>
      </c>
      <c r="AU1076" s="117" t="n">
        <v>0</v>
      </c>
      <c r="AX1076" s="117" t="n">
        <v>2</v>
      </c>
    </row>
    <row r="1077" s="106" customFormat="true" ht="13.8" hidden="true" customHeight="false" outlineLevel="0" collapsed="false">
      <c r="A1077" s="106" t="n">
        <v>1000</v>
      </c>
      <c r="B1077" s="106" t="s">
        <v>1962</v>
      </c>
      <c r="C1077" s="106" t="n">
        <v>110428</v>
      </c>
      <c r="D1077" s="106" t="s">
        <v>1741</v>
      </c>
      <c r="E1077" s="106" t="s">
        <v>1970</v>
      </c>
      <c r="F1077" s="106" t="n">
        <v>1112</v>
      </c>
      <c r="G1077" s="106" t="n">
        <v>2019</v>
      </c>
      <c r="H1077" s="106" t="n">
        <v>9</v>
      </c>
      <c r="I1077" s="129" t="n">
        <v>43820</v>
      </c>
      <c r="J1077" s="129" t="n">
        <v>43820</v>
      </c>
      <c r="K1077" s="107" t="n">
        <v>155099.2</v>
      </c>
      <c r="L1077" s="130" t="n">
        <f aca="false">K1077-Q1077+T1077</f>
        <v>131440</v>
      </c>
      <c r="M1077" s="106" t="s">
        <v>149</v>
      </c>
      <c r="N1077" s="106" t="n">
        <v>155099.2</v>
      </c>
      <c r="O1077" s="106" t="s">
        <v>149</v>
      </c>
      <c r="P1077" s="106" t="n">
        <v>0</v>
      </c>
      <c r="Q1077" s="107" t="n">
        <v>23659.2</v>
      </c>
      <c r="R1077" s="106" t="n">
        <v>131440</v>
      </c>
      <c r="S1077" s="106" t="n">
        <v>0</v>
      </c>
      <c r="T1077" s="106" t="n">
        <v>0</v>
      </c>
      <c r="U1077" s="106" t="n">
        <v>312193</v>
      </c>
      <c r="V1077" s="106" t="s">
        <v>1963</v>
      </c>
      <c r="Z1077" s="106" t="n">
        <v>62396</v>
      </c>
      <c r="AB1077" s="106" t="s">
        <v>2362</v>
      </c>
      <c r="AD1077" s="106" t="n">
        <v>110000</v>
      </c>
      <c r="AE1077" s="106" t="s">
        <v>1966</v>
      </c>
      <c r="AF1077" s="106" t="n">
        <v>501005</v>
      </c>
      <c r="AG1077" s="106" t="s">
        <v>2033</v>
      </c>
      <c r="AI1077" s="106" t="n">
        <v>501005</v>
      </c>
      <c r="AJ1077" s="106" t="s">
        <v>2033</v>
      </c>
      <c r="AK1077" s="106" t="n">
        <v>0</v>
      </c>
      <c r="AL1077" s="106" t="n">
        <v>1</v>
      </c>
      <c r="AM1077" s="106" t="s">
        <v>161</v>
      </c>
      <c r="AP1077" s="106" t="n">
        <v>100194025</v>
      </c>
      <c r="AQ1077" s="129" t="n">
        <v>43824</v>
      </c>
      <c r="AR1077" s="129" t="n">
        <v>43820</v>
      </c>
      <c r="AS1077" s="106" t="n">
        <v>0.633715277777778</v>
      </c>
      <c r="AT1077" s="106" t="n">
        <v>0</v>
      </c>
      <c r="AU1077" s="106" t="n">
        <v>0</v>
      </c>
      <c r="AX1077" s="106" t="n">
        <v>1</v>
      </c>
      <c r="ALU1077" s="0"/>
      <c r="ALV1077" s="0"/>
      <c r="ALW1077" s="0"/>
      <c r="ALX1077" s="0"/>
      <c r="ALY1077" s="0"/>
      <c r="ALZ1077" s="0"/>
      <c r="AMA1077" s="0"/>
      <c r="AMB1077" s="0"/>
      <c r="AMC1077" s="0"/>
      <c r="AMD1077" s="0"/>
      <c r="AME1077" s="0"/>
      <c r="AMF1077" s="0"/>
      <c r="AMG1077" s="0"/>
      <c r="AMH1077" s="0"/>
      <c r="AMI1077" s="0"/>
      <c r="AMJ1077" s="0"/>
    </row>
    <row r="1078" customFormat="false" ht="13.8" hidden="true" customHeight="false" outlineLevel="0" collapsed="false">
      <c r="A1078" s="117" t="n">
        <v>1000</v>
      </c>
      <c r="B1078" s="117" t="s">
        <v>1962</v>
      </c>
      <c r="C1078" s="117" t="n">
        <v>1600000315</v>
      </c>
      <c r="D1078" s="117" t="s">
        <v>2354</v>
      </c>
      <c r="E1078" s="117" t="s">
        <v>1987</v>
      </c>
      <c r="F1078" s="117" t="n">
        <v>1101</v>
      </c>
      <c r="G1078" s="117" t="n">
        <v>2019</v>
      </c>
      <c r="H1078" s="117" t="n">
        <v>8</v>
      </c>
      <c r="I1078" s="118" t="n">
        <v>43798</v>
      </c>
      <c r="J1078" s="118" t="n">
        <v>43798</v>
      </c>
      <c r="K1078" s="119" t="n">
        <v>-3561</v>
      </c>
      <c r="L1078" s="128" t="n">
        <f aca="false">K1078-Q1078+T1078</f>
        <v>-3561</v>
      </c>
      <c r="M1078" s="117" t="s">
        <v>149</v>
      </c>
      <c r="N1078" s="117" t="n">
        <v>-3561</v>
      </c>
      <c r="O1078" s="117" t="s">
        <v>149</v>
      </c>
      <c r="P1078" s="117" t="n">
        <v>-3561</v>
      </c>
      <c r="Q1078" s="117" t="n">
        <v>0</v>
      </c>
      <c r="R1078" s="117" t="n">
        <v>-3561</v>
      </c>
      <c r="S1078" s="117" t="n">
        <v>0</v>
      </c>
      <c r="T1078" s="117" t="n">
        <v>0</v>
      </c>
      <c r="U1078" s="117" t="n">
        <v>312193</v>
      </c>
      <c r="V1078" s="117" t="s">
        <v>1963</v>
      </c>
      <c r="X1078" s="117" t="s">
        <v>2559</v>
      </c>
      <c r="Y1078" s="117" t="s">
        <v>2354</v>
      </c>
      <c r="Z1078" s="117" t="n">
        <v>1600000315</v>
      </c>
      <c r="AD1078" s="117" t="n">
        <v>310300</v>
      </c>
      <c r="AE1078" s="117" t="s">
        <v>1969</v>
      </c>
      <c r="AF1078" s="117" t="n">
        <v>111201</v>
      </c>
      <c r="AG1078" s="117" t="s">
        <v>2165</v>
      </c>
      <c r="AI1078" s="117" t="n">
        <v>111201</v>
      </c>
      <c r="AJ1078" s="117" t="s">
        <v>2165</v>
      </c>
      <c r="AK1078" s="117" t="n">
        <v>0</v>
      </c>
      <c r="AL1078" s="117" t="n">
        <v>19</v>
      </c>
      <c r="AM1078" s="117" t="s">
        <v>225</v>
      </c>
      <c r="AN1078" s="117" t="s">
        <v>1978</v>
      </c>
      <c r="AP1078" s="117" t="n">
        <v>100173563</v>
      </c>
      <c r="AQ1078" s="118" t="n">
        <v>43799</v>
      </c>
      <c r="AR1078" s="118" t="n">
        <v>43798</v>
      </c>
      <c r="AS1078" s="117" t="n">
        <v>0.954837962962963</v>
      </c>
      <c r="AT1078" s="117" t="n">
        <v>0</v>
      </c>
      <c r="AU1078" s="117" t="n">
        <v>0</v>
      </c>
      <c r="AX1078" s="117" t="n">
        <v>31</v>
      </c>
    </row>
    <row r="1079" customFormat="false" ht="13.8" hidden="false" customHeight="false" outlineLevel="0" collapsed="false">
      <c r="A1079" s="117" t="n">
        <v>1000</v>
      </c>
      <c r="B1079" s="117" t="s">
        <v>1962</v>
      </c>
      <c r="C1079" s="117" t="n">
        <v>1400007426</v>
      </c>
      <c r="E1079" s="117" t="s">
        <v>1972</v>
      </c>
      <c r="F1079" s="117" t="n">
        <v>1101</v>
      </c>
      <c r="G1079" s="117" t="n">
        <v>2019</v>
      </c>
      <c r="H1079" s="117" t="n">
        <v>8</v>
      </c>
      <c r="I1079" s="118" t="n">
        <v>43776</v>
      </c>
      <c r="J1079" s="118" t="n">
        <v>43776</v>
      </c>
      <c r="K1079" s="119" t="n">
        <v>-1763761.46</v>
      </c>
      <c r="L1079" s="128" t="n">
        <f aca="false">K1079-Q1079+T1079</f>
        <v>-1763761.46</v>
      </c>
      <c r="M1079" s="117" t="s">
        <v>149</v>
      </c>
      <c r="N1079" s="117" t="n">
        <v>-1763761.46</v>
      </c>
      <c r="O1079" s="117" t="s">
        <v>149</v>
      </c>
      <c r="P1079" s="117" t="n">
        <v>0</v>
      </c>
      <c r="Q1079" s="117" t="n">
        <v>0</v>
      </c>
      <c r="R1079" s="117" t="n">
        <v>-1763761.46</v>
      </c>
      <c r="S1079" s="117" t="n">
        <v>0</v>
      </c>
      <c r="T1079" s="117" t="n">
        <v>0</v>
      </c>
      <c r="U1079" s="117" t="n">
        <v>318999</v>
      </c>
      <c r="V1079" s="117" t="s">
        <v>143</v>
      </c>
      <c r="X1079" s="117" t="s">
        <v>2560</v>
      </c>
      <c r="Y1079" s="117" t="s">
        <v>2561</v>
      </c>
      <c r="Z1079" s="117" t="n">
        <v>1400007426</v>
      </c>
      <c r="AC1079" s="117" t="s">
        <v>1976</v>
      </c>
      <c r="AD1079" s="117" t="n">
        <v>310300</v>
      </c>
      <c r="AE1079" s="117" t="s">
        <v>1969</v>
      </c>
      <c r="AF1079" s="117" t="n">
        <v>101105</v>
      </c>
      <c r="AG1079" s="117" t="s">
        <v>1977</v>
      </c>
      <c r="AI1079" s="117" t="n">
        <v>101105</v>
      </c>
      <c r="AJ1079" s="117" t="s">
        <v>1977</v>
      </c>
      <c r="AK1079" s="117" t="n">
        <v>0</v>
      </c>
      <c r="AL1079" s="117" t="n">
        <v>19</v>
      </c>
      <c r="AM1079" s="117" t="s">
        <v>225</v>
      </c>
      <c r="AN1079" s="117" t="s">
        <v>1978</v>
      </c>
      <c r="AP1079" s="117" t="n">
        <v>100173604</v>
      </c>
      <c r="AQ1079" s="118" t="n">
        <v>43799</v>
      </c>
      <c r="AR1079" s="118" t="n">
        <v>43777</v>
      </c>
      <c r="AS1079" s="117" t="n">
        <v>0.603298611111111</v>
      </c>
      <c r="AT1079" s="117" t="n">
        <v>0</v>
      </c>
      <c r="AU1079" s="117" t="n">
        <v>0</v>
      </c>
      <c r="AX1079" s="117" t="n">
        <v>2</v>
      </c>
    </row>
    <row r="1080" customFormat="false" ht="13.8" hidden="true" customHeight="false" outlineLevel="0" collapsed="false">
      <c r="A1080" s="117" t="n">
        <v>1000</v>
      </c>
      <c r="B1080" s="117" t="s">
        <v>1962</v>
      </c>
      <c r="C1080" s="117" t="n">
        <v>100141455</v>
      </c>
      <c r="E1080" s="117" t="s">
        <v>1921</v>
      </c>
      <c r="F1080" s="117" t="n">
        <v>1108</v>
      </c>
      <c r="G1080" s="117" t="n">
        <v>2019</v>
      </c>
      <c r="H1080" s="117" t="n">
        <v>7</v>
      </c>
      <c r="I1080" s="118" t="n">
        <v>43766</v>
      </c>
      <c r="J1080" s="118" t="n">
        <v>43766</v>
      </c>
      <c r="K1080" s="119" t="n">
        <v>-1769392.3</v>
      </c>
      <c r="L1080" s="128" t="n">
        <f aca="false">K1080-Q1080+T1080</f>
        <v>-1769392.3</v>
      </c>
      <c r="M1080" s="117" t="s">
        <v>149</v>
      </c>
      <c r="N1080" s="117" t="n">
        <v>-1769392.3</v>
      </c>
      <c r="O1080" s="117" t="s">
        <v>149</v>
      </c>
      <c r="P1080" s="117" t="n">
        <v>0</v>
      </c>
      <c r="Q1080" s="117" t="n">
        <v>0</v>
      </c>
      <c r="R1080" s="117" t="n">
        <v>-1769392.3</v>
      </c>
      <c r="S1080" s="117" t="n">
        <v>0</v>
      </c>
      <c r="T1080" s="117" t="n">
        <v>0</v>
      </c>
      <c r="U1080" s="117" t="n">
        <v>313029</v>
      </c>
      <c r="V1080" s="117" t="s">
        <v>143</v>
      </c>
      <c r="Z1080" s="117" t="n">
        <v>100141455</v>
      </c>
      <c r="AD1080" s="117" t="n">
        <v>110000</v>
      </c>
      <c r="AE1080" s="117" t="s">
        <v>1966</v>
      </c>
      <c r="AF1080" s="117" t="n">
        <v>110000</v>
      </c>
      <c r="AG1080" s="117" t="s">
        <v>1966</v>
      </c>
      <c r="AI1080" s="117" t="n">
        <v>110000</v>
      </c>
      <c r="AJ1080" s="117" t="s">
        <v>1966</v>
      </c>
      <c r="AK1080" s="117" t="n">
        <v>0</v>
      </c>
      <c r="AL1080" s="117" t="n">
        <v>17</v>
      </c>
      <c r="AM1080" s="117" t="s">
        <v>225</v>
      </c>
      <c r="AP1080" s="117" t="n">
        <v>100141455</v>
      </c>
      <c r="AQ1080" s="118" t="n">
        <v>43766</v>
      </c>
      <c r="AR1080" s="118" t="n">
        <v>43766</v>
      </c>
      <c r="AS1080" s="117" t="n">
        <v>0.37525462962963</v>
      </c>
      <c r="AT1080" s="117" t="n">
        <v>0</v>
      </c>
      <c r="AU1080" s="117" t="n">
        <v>0</v>
      </c>
      <c r="AX1080" s="117" t="n">
        <v>2</v>
      </c>
    </row>
    <row r="1081" s="106" customFormat="true" ht="13.8" hidden="true" customHeight="false" outlineLevel="0" collapsed="false">
      <c r="A1081" s="106" t="n">
        <v>1000</v>
      </c>
      <c r="B1081" s="106" t="s">
        <v>1962</v>
      </c>
      <c r="C1081" s="106" t="n">
        <v>113168</v>
      </c>
      <c r="D1081" s="106" t="s">
        <v>2562</v>
      </c>
      <c r="E1081" s="106" t="s">
        <v>1970</v>
      </c>
      <c r="F1081" s="106" t="n">
        <v>1109</v>
      </c>
      <c r="G1081" s="106" t="n">
        <v>2019</v>
      </c>
      <c r="H1081" s="106" t="n">
        <v>11</v>
      </c>
      <c r="I1081" s="129" t="n">
        <v>43887</v>
      </c>
      <c r="J1081" s="129" t="n">
        <v>43887</v>
      </c>
      <c r="K1081" s="107" t="n">
        <v>-10454.51</v>
      </c>
      <c r="L1081" s="130" t="n">
        <f aca="false">K1081-Q1081+T1081</f>
        <v>-8859.75</v>
      </c>
      <c r="M1081" s="106" t="s">
        <v>149</v>
      </c>
      <c r="N1081" s="106" t="n">
        <v>-10454.51</v>
      </c>
      <c r="O1081" s="106" t="s">
        <v>149</v>
      </c>
      <c r="P1081" s="106" t="n">
        <v>0</v>
      </c>
      <c r="Q1081" s="107" t="n">
        <v>-1594.76</v>
      </c>
      <c r="R1081" s="107" t="n">
        <v>-8859.75</v>
      </c>
      <c r="S1081" s="106" t="n">
        <v>0</v>
      </c>
      <c r="T1081" s="106" t="n">
        <v>0</v>
      </c>
      <c r="U1081" s="106" t="n">
        <v>312193</v>
      </c>
      <c r="V1081" s="106" t="s">
        <v>1963</v>
      </c>
      <c r="Z1081" s="106" t="n">
        <v>60002645</v>
      </c>
      <c r="AD1081" s="106" t="n">
        <v>110000</v>
      </c>
      <c r="AE1081" s="106" t="s">
        <v>1966</v>
      </c>
      <c r="AF1081" s="106" t="n">
        <v>501020</v>
      </c>
      <c r="AG1081" s="106" t="s">
        <v>1971</v>
      </c>
      <c r="AI1081" s="106" t="n">
        <v>501020</v>
      </c>
      <c r="AJ1081" s="106" t="s">
        <v>1971</v>
      </c>
      <c r="AK1081" s="106" t="n">
        <v>0</v>
      </c>
      <c r="AL1081" s="106" t="n">
        <v>11</v>
      </c>
      <c r="AM1081" s="106" t="s">
        <v>225</v>
      </c>
      <c r="AQ1081" s="129"/>
      <c r="AR1081" s="129" t="n">
        <v>43887</v>
      </c>
      <c r="AS1081" s="106" t="n">
        <v>0.470277777777778</v>
      </c>
      <c r="AT1081" s="106" t="n">
        <v>0</v>
      </c>
      <c r="AU1081" s="106" t="n">
        <v>0</v>
      </c>
      <c r="AX1081" s="106" t="n">
        <v>1</v>
      </c>
      <c r="ALU1081" s="0"/>
      <c r="ALV1081" s="0"/>
      <c r="ALW1081" s="0"/>
      <c r="ALX1081" s="0"/>
      <c r="ALY1081" s="0"/>
      <c r="ALZ1081" s="0"/>
      <c r="AMA1081" s="0"/>
      <c r="AMB1081" s="0"/>
      <c r="AMC1081" s="0"/>
      <c r="AMD1081" s="0"/>
      <c r="AME1081" s="0"/>
      <c r="AMF1081" s="0"/>
      <c r="AMG1081" s="0"/>
      <c r="AMH1081" s="0"/>
      <c r="AMI1081" s="0"/>
      <c r="AMJ1081" s="0"/>
    </row>
    <row r="1082" customFormat="false" ht="13.8" hidden="true" customHeight="false" outlineLevel="0" collapsed="false">
      <c r="A1082" s="117" t="n">
        <v>1000</v>
      </c>
      <c r="B1082" s="117" t="s">
        <v>1962</v>
      </c>
      <c r="C1082" s="117" t="n">
        <v>100143915</v>
      </c>
      <c r="E1082" s="117" t="s">
        <v>1921</v>
      </c>
      <c r="F1082" s="117" t="n">
        <v>1109</v>
      </c>
      <c r="G1082" s="117" t="n">
        <v>2019</v>
      </c>
      <c r="H1082" s="117" t="n">
        <v>7</v>
      </c>
      <c r="I1082" s="118" t="n">
        <v>43769</v>
      </c>
      <c r="J1082" s="118" t="n">
        <v>43769</v>
      </c>
      <c r="K1082" s="119" t="n">
        <v>33984</v>
      </c>
      <c r="L1082" s="128" t="n">
        <f aca="false">K1082-Q1082+T1082</f>
        <v>33984</v>
      </c>
      <c r="M1082" s="117" t="s">
        <v>149</v>
      </c>
      <c r="N1082" s="117" t="n">
        <v>33984</v>
      </c>
      <c r="O1082" s="117" t="s">
        <v>149</v>
      </c>
      <c r="P1082" s="117" t="n">
        <v>0</v>
      </c>
      <c r="Q1082" s="117" t="n">
        <v>0</v>
      </c>
      <c r="R1082" s="117" t="n">
        <v>33984</v>
      </c>
      <c r="S1082" s="117" t="n">
        <v>0</v>
      </c>
      <c r="T1082" s="117" t="n">
        <v>0</v>
      </c>
      <c r="U1082" s="117" t="n">
        <v>304431</v>
      </c>
      <c r="V1082" s="117" t="s">
        <v>2016</v>
      </c>
      <c r="X1082" s="117" t="s">
        <v>1198</v>
      </c>
      <c r="Z1082" s="117" t="n">
        <v>2417</v>
      </c>
      <c r="AB1082" s="117" t="s">
        <v>2082</v>
      </c>
      <c r="AD1082" s="117" t="n">
        <v>110000</v>
      </c>
      <c r="AE1082" s="117" t="s">
        <v>1966</v>
      </c>
      <c r="AF1082" s="117" t="n">
        <v>110000</v>
      </c>
      <c r="AG1082" s="117" t="s">
        <v>1966</v>
      </c>
      <c r="AI1082" s="117" t="n">
        <v>110000</v>
      </c>
      <c r="AJ1082" s="117" t="s">
        <v>1966</v>
      </c>
      <c r="AK1082" s="117" t="n">
        <v>0</v>
      </c>
      <c r="AL1082" s="117" t="n">
        <v>4</v>
      </c>
      <c r="AM1082" s="117" t="s">
        <v>161</v>
      </c>
      <c r="AP1082" s="117" t="n">
        <v>100173526</v>
      </c>
      <c r="AQ1082" s="118" t="n">
        <v>43799</v>
      </c>
      <c r="AR1082" s="118" t="n">
        <v>43770</v>
      </c>
      <c r="AS1082" s="117" t="n">
        <v>0.188275462962963</v>
      </c>
      <c r="AT1082" s="117" t="n">
        <v>0</v>
      </c>
      <c r="AU1082" s="117" t="n">
        <v>0</v>
      </c>
      <c r="AX1082" s="117" t="n">
        <v>1</v>
      </c>
    </row>
    <row r="1083" s="106" customFormat="true" ht="13.8" hidden="true" customHeight="false" outlineLevel="0" collapsed="false">
      <c r="A1083" s="106" t="n">
        <v>1000</v>
      </c>
      <c r="B1083" s="106" t="s">
        <v>1962</v>
      </c>
      <c r="C1083" s="106" t="n">
        <v>110848</v>
      </c>
      <c r="D1083" s="106" t="s">
        <v>2470</v>
      </c>
      <c r="E1083" s="106" t="s">
        <v>1970</v>
      </c>
      <c r="F1083" s="106" t="n">
        <v>1112</v>
      </c>
      <c r="G1083" s="106" t="n">
        <v>2019</v>
      </c>
      <c r="H1083" s="106" t="n">
        <v>9</v>
      </c>
      <c r="I1083" s="129" t="n">
        <v>43828</v>
      </c>
      <c r="J1083" s="129" t="n">
        <v>43828</v>
      </c>
      <c r="K1083" s="107" t="n">
        <v>494464.48</v>
      </c>
      <c r="L1083" s="130" t="n">
        <f aca="false">K1083-Q1083+T1083</f>
        <v>419037.69</v>
      </c>
      <c r="M1083" s="106" t="s">
        <v>149</v>
      </c>
      <c r="N1083" s="106" t="n">
        <v>494464.48</v>
      </c>
      <c r="O1083" s="106" t="s">
        <v>149</v>
      </c>
      <c r="P1083" s="106" t="n">
        <v>0</v>
      </c>
      <c r="Q1083" s="107" t="n">
        <v>75426.79</v>
      </c>
      <c r="R1083" s="106" t="n">
        <v>419037.69</v>
      </c>
      <c r="S1083" s="106" t="n">
        <v>0</v>
      </c>
      <c r="T1083" s="106" t="n">
        <v>0</v>
      </c>
      <c r="U1083" s="106" t="n">
        <v>312193</v>
      </c>
      <c r="V1083" s="106" t="s">
        <v>1963</v>
      </c>
      <c r="Z1083" s="106" t="n">
        <v>62190</v>
      </c>
      <c r="AB1083" s="106" t="s">
        <v>2362</v>
      </c>
      <c r="AD1083" s="106" t="n">
        <v>110000</v>
      </c>
      <c r="AE1083" s="106" t="s">
        <v>1966</v>
      </c>
      <c r="AF1083" s="106" t="n">
        <v>501005</v>
      </c>
      <c r="AG1083" s="106" t="s">
        <v>2033</v>
      </c>
      <c r="AI1083" s="106" t="n">
        <v>501005</v>
      </c>
      <c r="AJ1083" s="106" t="s">
        <v>2033</v>
      </c>
      <c r="AK1083" s="106" t="n">
        <v>0</v>
      </c>
      <c r="AL1083" s="106" t="n">
        <v>1</v>
      </c>
      <c r="AM1083" s="106" t="s">
        <v>161</v>
      </c>
      <c r="AP1083" s="106" t="n">
        <v>100199799</v>
      </c>
      <c r="AQ1083" s="129" t="n">
        <v>43830</v>
      </c>
      <c r="AR1083" s="129" t="n">
        <v>43828</v>
      </c>
      <c r="AS1083" s="106" t="n">
        <v>0.654444444444444</v>
      </c>
      <c r="AT1083" s="106" t="n">
        <v>0</v>
      </c>
      <c r="AU1083" s="106" t="n">
        <v>0</v>
      </c>
      <c r="AX1083" s="106" t="n">
        <v>1</v>
      </c>
      <c r="ALU1083" s="0"/>
      <c r="ALV1083" s="0"/>
      <c r="ALW1083" s="0"/>
      <c r="ALX1083" s="0"/>
      <c r="ALY1083" s="0"/>
      <c r="ALZ1083" s="0"/>
      <c r="AMA1083" s="0"/>
      <c r="AMB1083" s="0"/>
      <c r="AMC1083" s="0"/>
      <c r="AMD1083" s="0"/>
      <c r="AME1083" s="0"/>
      <c r="AMF1083" s="0"/>
      <c r="AMG1083" s="0"/>
      <c r="AMH1083" s="0"/>
      <c r="AMI1083" s="0"/>
      <c r="AMJ1083" s="0"/>
    </row>
    <row r="1084" customFormat="false" ht="13.8" hidden="true" customHeight="false" outlineLevel="0" collapsed="false">
      <c r="A1084" s="117" t="n">
        <v>1000</v>
      </c>
      <c r="B1084" s="117" t="s">
        <v>1962</v>
      </c>
      <c r="C1084" s="117" t="n">
        <v>100194025</v>
      </c>
      <c r="E1084" s="117" t="s">
        <v>1921</v>
      </c>
      <c r="F1084" s="117" t="n">
        <v>1112</v>
      </c>
      <c r="G1084" s="117" t="n">
        <v>2019</v>
      </c>
      <c r="H1084" s="117" t="n">
        <v>9</v>
      </c>
      <c r="I1084" s="118" t="n">
        <v>43824</v>
      </c>
      <c r="J1084" s="118" t="n">
        <v>43824</v>
      </c>
      <c r="K1084" s="119" t="n">
        <v>46388.16</v>
      </c>
      <c r="L1084" s="128" t="n">
        <f aca="false">K1084-Q1084+T1084</f>
        <v>46388.16</v>
      </c>
      <c r="M1084" s="117" t="s">
        <v>149</v>
      </c>
      <c r="N1084" s="117" t="n">
        <v>46388.16</v>
      </c>
      <c r="O1084" s="117" t="s">
        <v>149</v>
      </c>
      <c r="P1084" s="117" t="n">
        <v>0</v>
      </c>
      <c r="Q1084" s="117" t="n">
        <v>0</v>
      </c>
      <c r="R1084" s="117" t="n">
        <v>46388.16</v>
      </c>
      <c r="S1084" s="117" t="n">
        <v>0</v>
      </c>
      <c r="T1084" s="117" t="n">
        <v>0</v>
      </c>
      <c r="U1084" s="117" t="n">
        <v>312193</v>
      </c>
      <c r="V1084" s="117" t="s">
        <v>1963</v>
      </c>
      <c r="X1084" s="117" t="s">
        <v>1717</v>
      </c>
      <c r="Z1084" s="117" t="n">
        <v>62190</v>
      </c>
      <c r="AB1084" s="117" t="s">
        <v>2362</v>
      </c>
      <c r="AD1084" s="117" t="n">
        <v>110000</v>
      </c>
      <c r="AE1084" s="117" t="s">
        <v>1966</v>
      </c>
      <c r="AF1084" s="117" t="n">
        <v>110000</v>
      </c>
      <c r="AG1084" s="117" t="s">
        <v>1966</v>
      </c>
      <c r="AI1084" s="117" t="n">
        <v>110000</v>
      </c>
      <c r="AJ1084" s="117" t="s">
        <v>1966</v>
      </c>
      <c r="AK1084" s="117" t="n">
        <v>0</v>
      </c>
      <c r="AL1084" s="117" t="n">
        <v>4</v>
      </c>
      <c r="AM1084" s="117" t="s">
        <v>161</v>
      </c>
      <c r="AR1084" s="118" t="n">
        <v>43824</v>
      </c>
      <c r="AS1084" s="117" t="n">
        <v>0.371284722222222</v>
      </c>
      <c r="AT1084" s="117" t="n">
        <v>0</v>
      </c>
      <c r="AU1084" s="117" t="n">
        <v>0</v>
      </c>
      <c r="AX1084" s="117" t="n">
        <v>24</v>
      </c>
    </row>
    <row r="1085" s="106" customFormat="true" ht="13.8" hidden="true" customHeight="false" outlineLevel="0" collapsed="false">
      <c r="A1085" s="106" t="n">
        <v>1000</v>
      </c>
      <c r="B1085" s="106" t="s">
        <v>1962</v>
      </c>
      <c r="C1085" s="106" t="n">
        <v>114395</v>
      </c>
      <c r="D1085" s="106" t="s">
        <v>2563</v>
      </c>
      <c r="E1085" s="106" t="s">
        <v>1970</v>
      </c>
      <c r="F1085" s="106" t="n">
        <v>1109</v>
      </c>
      <c r="G1085" s="106" t="n">
        <v>2019</v>
      </c>
      <c r="H1085" s="106" t="n">
        <v>12</v>
      </c>
      <c r="I1085" s="129" t="n">
        <v>43921</v>
      </c>
      <c r="J1085" s="129" t="n">
        <v>43921</v>
      </c>
      <c r="K1085" s="107" t="n">
        <v>-48208.23</v>
      </c>
      <c r="L1085" s="130" t="n">
        <f aca="false">K1085-Q1085+T1085</f>
        <v>-48208.23</v>
      </c>
      <c r="M1085" s="106" t="s">
        <v>149</v>
      </c>
      <c r="N1085" s="106" t="n">
        <v>-48208.23</v>
      </c>
      <c r="O1085" s="106" t="s">
        <v>149</v>
      </c>
      <c r="P1085" s="106" t="n">
        <v>0</v>
      </c>
      <c r="Q1085" s="107" t="n">
        <v>0</v>
      </c>
      <c r="R1085" s="107" t="n">
        <v>-48208.23</v>
      </c>
      <c r="S1085" s="106" t="n">
        <v>0</v>
      </c>
      <c r="T1085" s="106" t="n">
        <v>0</v>
      </c>
      <c r="U1085" s="106" t="n">
        <v>311155</v>
      </c>
      <c r="V1085" s="106" t="s">
        <v>2022</v>
      </c>
      <c r="Z1085" s="106" t="n">
        <v>60002699</v>
      </c>
      <c r="AB1085" s="106" t="s">
        <v>2564</v>
      </c>
      <c r="AD1085" s="106" t="n">
        <v>110000</v>
      </c>
      <c r="AE1085" s="106" t="s">
        <v>1966</v>
      </c>
      <c r="AF1085" s="106" t="n">
        <v>501005</v>
      </c>
      <c r="AG1085" s="106" t="s">
        <v>2033</v>
      </c>
      <c r="AI1085" s="106" t="n">
        <v>501005</v>
      </c>
      <c r="AJ1085" s="106" t="s">
        <v>2033</v>
      </c>
      <c r="AK1085" s="106" t="n">
        <v>0</v>
      </c>
      <c r="AL1085" s="106" t="n">
        <v>11</v>
      </c>
      <c r="AM1085" s="106" t="s">
        <v>225</v>
      </c>
      <c r="AP1085" s="106" t="n">
        <v>100312133</v>
      </c>
      <c r="AQ1085" s="129" t="n">
        <v>43921</v>
      </c>
      <c r="AR1085" s="129" t="n">
        <v>43921</v>
      </c>
      <c r="AS1085" s="106" t="n">
        <v>0.657719907407407</v>
      </c>
      <c r="AT1085" s="106" t="n">
        <v>0</v>
      </c>
      <c r="AU1085" s="106" t="n">
        <v>0</v>
      </c>
      <c r="AX1085" s="106" t="n">
        <v>1</v>
      </c>
      <c r="ALU1085" s="0"/>
      <c r="ALV1085" s="0"/>
      <c r="ALW1085" s="0"/>
      <c r="ALX1085" s="0"/>
      <c r="ALY1085" s="0"/>
      <c r="ALZ1085" s="0"/>
      <c r="AMA1085" s="0"/>
      <c r="AMB1085" s="0"/>
      <c r="AMC1085" s="0"/>
      <c r="AMD1085" s="0"/>
      <c r="AME1085" s="0"/>
      <c r="AMF1085" s="0"/>
      <c r="AMG1085" s="0"/>
      <c r="AMH1085" s="0"/>
      <c r="AMI1085" s="0"/>
      <c r="AMJ1085" s="0"/>
    </row>
    <row r="1086" s="106" customFormat="true" ht="13.8" hidden="true" customHeight="false" outlineLevel="0" collapsed="false">
      <c r="A1086" s="106" t="n">
        <v>1000</v>
      </c>
      <c r="B1086" s="106" t="s">
        <v>1962</v>
      </c>
      <c r="C1086" s="106" t="n">
        <v>110897</v>
      </c>
      <c r="D1086" s="106" t="s">
        <v>2393</v>
      </c>
      <c r="E1086" s="106" t="s">
        <v>1970</v>
      </c>
      <c r="F1086" s="106" t="n">
        <v>1112</v>
      </c>
      <c r="G1086" s="106" t="n">
        <v>2019</v>
      </c>
      <c r="H1086" s="106" t="n">
        <v>9</v>
      </c>
      <c r="I1086" s="129" t="n">
        <v>43828</v>
      </c>
      <c r="J1086" s="129" t="n">
        <v>43828</v>
      </c>
      <c r="K1086" s="107" t="n">
        <v>55832.88</v>
      </c>
      <c r="L1086" s="130" t="n">
        <f aca="false">K1086-Q1086+T1086</f>
        <v>47316</v>
      </c>
      <c r="M1086" s="106" t="s">
        <v>149</v>
      </c>
      <c r="N1086" s="106" t="n">
        <v>55832.88</v>
      </c>
      <c r="O1086" s="106" t="s">
        <v>149</v>
      </c>
      <c r="P1086" s="106" t="n">
        <v>0</v>
      </c>
      <c r="Q1086" s="107" t="n">
        <v>8516.88</v>
      </c>
      <c r="R1086" s="106" t="n">
        <v>47316</v>
      </c>
      <c r="S1086" s="106" t="n">
        <v>0</v>
      </c>
      <c r="T1086" s="106" t="n">
        <v>0</v>
      </c>
      <c r="U1086" s="106" t="n">
        <v>312193</v>
      </c>
      <c r="V1086" s="106" t="s">
        <v>1963</v>
      </c>
      <c r="Z1086" s="106" t="n">
        <v>62395</v>
      </c>
      <c r="AB1086" s="106" t="s">
        <v>2350</v>
      </c>
      <c r="AD1086" s="106" t="n">
        <v>110000</v>
      </c>
      <c r="AE1086" s="106" t="s">
        <v>1966</v>
      </c>
      <c r="AF1086" s="106" t="n">
        <v>501000</v>
      </c>
      <c r="AG1086" s="106" t="s">
        <v>2170</v>
      </c>
      <c r="AI1086" s="106" t="n">
        <v>501000</v>
      </c>
      <c r="AJ1086" s="106" t="s">
        <v>2170</v>
      </c>
      <c r="AK1086" s="106" t="n">
        <v>0</v>
      </c>
      <c r="AL1086" s="106" t="n">
        <v>1</v>
      </c>
      <c r="AM1086" s="106" t="s">
        <v>161</v>
      </c>
      <c r="AP1086" s="106" t="n">
        <v>100199799</v>
      </c>
      <c r="AQ1086" s="129" t="n">
        <v>43830</v>
      </c>
      <c r="AR1086" s="129" t="n">
        <v>43828</v>
      </c>
      <c r="AS1086" s="106" t="n">
        <v>0.796516203703704</v>
      </c>
      <c r="AT1086" s="106" t="n">
        <v>0</v>
      </c>
      <c r="AU1086" s="106" t="n">
        <v>0</v>
      </c>
      <c r="AX1086" s="106" t="n">
        <v>1</v>
      </c>
      <c r="ALU1086" s="0"/>
      <c r="ALV1086" s="0"/>
      <c r="ALW1086" s="0"/>
      <c r="ALX1086" s="0"/>
      <c r="ALY1086" s="0"/>
      <c r="ALZ1086" s="0"/>
      <c r="AMA1086" s="0"/>
      <c r="AMB1086" s="0"/>
      <c r="AMC1086" s="0"/>
      <c r="AMD1086" s="0"/>
      <c r="AME1086" s="0"/>
      <c r="AMF1086" s="0"/>
      <c r="AMG1086" s="0"/>
      <c r="AMH1086" s="0"/>
      <c r="AMI1086" s="0"/>
      <c r="AMJ1086" s="0"/>
    </row>
    <row r="1087" customFormat="false" ht="13.8" hidden="true" customHeight="false" outlineLevel="0" collapsed="false">
      <c r="A1087" s="117" t="n">
        <v>1000</v>
      </c>
      <c r="B1087" s="117" t="s">
        <v>1962</v>
      </c>
      <c r="C1087" s="117" t="n">
        <v>1600000288</v>
      </c>
      <c r="D1087" s="117" t="s">
        <v>2356</v>
      </c>
      <c r="E1087" s="117" t="s">
        <v>1987</v>
      </c>
      <c r="F1087" s="117" t="n">
        <v>1101</v>
      </c>
      <c r="G1087" s="117" t="n">
        <v>2019</v>
      </c>
      <c r="H1087" s="117" t="n">
        <v>8</v>
      </c>
      <c r="I1087" s="118" t="n">
        <v>43795</v>
      </c>
      <c r="J1087" s="118" t="n">
        <v>43795</v>
      </c>
      <c r="K1087" s="119" t="n">
        <v>-7953</v>
      </c>
      <c r="L1087" s="128" t="n">
        <f aca="false">K1087-Q1087+T1087</f>
        <v>-7953</v>
      </c>
      <c r="M1087" s="117" t="s">
        <v>149</v>
      </c>
      <c r="N1087" s="117" t="n">
        <v>-7953</v>
      </c>
      <c r="O1087" s="117" t="s">
        <v>149</v>
      </c>
      <c r="P1087" s="117" t="n">
        <v>-7953</v>
      </c>
      <c r="Q1087" s="117" t="n">
        <v>0</v>
      </c>
      <c r="R1087" s="117" t="n">
        <v>-7953</v>
      </c>
      <c r="S1087" s="117" t="n">
        <v>0</v>
      </c>
      <c r="T1087" s="117" t="n">
        <v>0</v>
      </c>
      <c r="U1087" s="117" t="n">
        <v>312193</v>
      </c>
      <c r="V1087" s="117" t="s">
        <v>1963</v>
      </c>
      <c r="X1087" s="117" t="s">
        <v>2565</v>
      </c>
      <c r="Y1087" s="117" t="s">
        <v>2358</v>
      </c>
      <c r="Z1087" s="117" t="n">
        <v>1600000288</v>
      </c>
      <c r="AD1087" s="117" t="n">
        <v>310300</v>
      </c>
      <c r="AE1087" s="117" t="s">
        <v>1969</v>
      </c>
      <c r="AF1087" s="117" t="n">
        <v>111201</v>
      </c>
      <c r="AG1087" s="117" t="s">
        <v>2165</v>
      </c>
      <c r="AI1087" s="117" t="n">
        <v>111201</v>
      </c>
      <c r="AJ1087" s="117" t="s">
        <v>2165</v>
      </c>
      <c r="AK1087" s="117" t="n">
        <v>0</v>
      </c>
      <c r="AL1087" s="117" t="n">
        <v>19</v>
      </c>
      <c r="AM1087" s="117" t="s">
        <v>225</v>
      </c>
      <c r="AN1087" s="117" t="s">
        <v>1978</v>
      </c>
      <c r="AP1087" s="117" t="n">
        <v>100173563</v>
      </c>
      <c r="AQ1087" s="118" t="n">
        <v>43799</v>
      </c>
      <c r="AR1087" s="118" t="n">
        <v>43795</v>
      </c>
      <c r="AS1087" s="117" t="n">
        <v>0.285</v>
      </c>
      <c r="AT1087" s="117" t="n">
        <v>0</v>
      </c>
      <c r="AU1087" s="117" t="n">
        <v>0</v>
      </c>
      <c r="AX1087" s="117" t="n">
        <v>30</v>
      </c>
    </row>
    <row r="1088" s="106" customFormat="true" ht="13.8" hidden="true" customHeight="false" outlineLevel="0" collapsed="false">
      <c r="A1088" s="106" t="n">
        <v>1000</v>
      </c>
      <c r="B1088" s="106" t="s">
        <v>1962</v>
      </c>
      <c r="C1088" s="106" t="n">
        <v>110164</v>
      </c>
      <c r="D1088" s="106" t="s">
        <v>1779</v>
      </c>
      <c r="E1088" s="106" t="s">
        <v>1970</v>
      </c>
      <c r="F1088" s="106" t="n">
        <v>1112</v>
      </c>
      <c r="G1088" s="106" t="n">
        <v>2019</v>
      </c>
      <c r="H1088" s="106" t="n">
        <v>9</v>
      </c>
      <c r="I1088" s="129" t="n">
        <v>43813</v>
      </c>
      <c r="J1088" s="129" t="n">
        <v>43813</v>
      </c>
      <c r="K1088" s="107" t="n">
        <v>465297.6</v>
      </c>
      <c r="L1088" s="130" t="n">
        <f aca="false">K1088-Q1088+T1088</f>
        <v>394320</v>
      </c>
      <c r="M1088" s="106" t="s">
        <v>149</v>
      </c>
      <c r="N1088" s="106" t="n">
        <v>465297.6</v>
      </c>
      <c r="O1088" s="106" t="s">
        <v>149</v>
      </c>
      <c r="P1088" s="106" t="n">
        <v>0</v>
      </c>
      <c r="Q1088" s="107" t="n">
        <v>70977.6</v>
      </c>
      <c r="R1088" s="106" t="n">
        <v>394320</v>
      </c>
      <c r="S1088" s="106" t="n">
        <v>0</v>
      </c>
      <c r="T1088" s="106" t="n">
        <v>0</v>
      </c>
      <c r="U1088" s="106" t="n">
        <v>312193</v>
      </c>
      <c r="V1088" s="106" t="s">
        <v>1963</v>
      </c>
      <c r="Z1088" s="106" t="n">
        <v>62109</v>
      </c>
      <c r="AB1088" s="106" t="s">
        <v>2362</v>
      </c>
      <c r="AD1088" s="106" t="n">
        <v>110000</v>
      </c>
      <c r="AE1088" s="106" t="s">
        <v>1966</v>
      </c>
      <c r="AF1088" s="106" t="n">
        <v>501005</v>
      </c>
      <c r="AG1088" s="106" t="s">
        <v>2033</v>
      </c>
      <c r="AI1088" s="106" t="n">
        <v>501005</v>
      </c>
      <c r="AJ1088" s="106" t="s">
        <v>2033</v>
      </c>
      <c r="AK1088" s="106" t="n">
        <v>0</v>
      </c>
      <c r="AL1088" s="106" t="n">
        <v>1</v>
      </c>
      <c r="AM1088" s="106" t="s">
        <v>161</v>
      </c>
      <c r="AP1088" s="106" t="n">
        <v>100194025</v>
      </c>
      <c r="AQ1088" s="129" t="n">
        <v>43824</v>
      </c>
      <c r="AR1088" s="129" t="n">
        <v>43813</v>
      </c>
      <c r="AS1088" s="106" t="n">
        <v>0.701712962962963</v>
      </c>
      <c r="AT1088" s="106" t="n">
        <v>0</v>
      </c>
      <c r="AU1088" s="106" t="n">
        <v>0</v>
      </c>
      <c r="AX1088" s="106" t="n">
        <v>1</v>
      </c>
      <c r="ALU1088" s="0"/>
      <c r="ALV1088" s="0"/>
      <c r="ALW1088" s="0"/>
      <c r="ALX1088" s="0"/>
      <c r="ALY1088" s="0"/>
      <c r="ALZ1088" s="0"/>
      <c r="AMA1088" s="0"/>
      <c r="AMB1088" s="0"/>
      <c r="AMC1088" s="0"/>
      <c r="AMD1088" s="0"/>
      <c r="AME1088" s="0"/>
      <c r="AMF1088" s="0"/>
      <c r="AMG1088" s="0"/>
      <c r="AMH1088" s="0"/>
      <c r="AMI1088" s="0"/>
      <c r="AMJ1088" s="0"/>
    </row>
    <row r="1089" customFormat="false" ht="13.8" hidden="true" customHeight="false" outlineLevel="0" collapsed="false">
      <c r="A1089" s="117" t="n">
        <v>1000</v>
      </c>
      <c r="B1089" s="117" t="s">
        <v>1962</v>
      </c>
      <c r="C1089" s="117" t="n">
        <v>100199799</v>
      </c>
      <c r="E1089" s="117" t="s">
        <v>1921</v>
      </c>
      <c r="F1089" s="117" t="n">
        <v>1112</v>
      </c>
      <c r="G1089" s="117" t="n">
        <v>2019</v>
      </c>
      <c r="H1089" s="117" t="n">
        <v>9</v>
      </c>
      <c r="I1089" s="118" t="n">
        <v>43830</v>
      </c>
      <c r="J1089" s="118" t="n">
        <v>43830</v>
      </c>
      <c r="K1089" s="119" t="n">
        <v>91369.76</v>
      </c>
      <c r="L1089" s="128" t="n">
        <f aca="false">K1089-Q1089+T1089</f>
        <v>91369.76</v>
      </c>
      <c r="M1089" s="117" t="s">
        <v>149</v>
      </c>
      <c r="N1089" s="117" t="n">
        <v>91369.76</v>
      </c>
      <c r="O1089" s="117" t="s">
        <v>149</v>
      </c>
      <c r="P1089" s="117" t="n">
        <v>0</v>
      </c>
      <c r="Q1089" s="117" t="n">
        <v>0</v>
      </c>
      <c r="R1089" s="117" t="n">
        <v>91369.76</v>
      </c>
      <c r="S1089" s="117" t="n">
        <v>0</v>
      </c>
      <c r="T1089" s="117" t="n">
        <v>0</v>
      </c>
      <c r="U1089" s="117" t="n">
        <v>312193</v>
      </c>
      <c r="V1089" s="117" t="s">
        <v>1963</v>
      </c>
      <c r="X1089" s="117" t="s">
        <v>2449</v>
      </c>
      <c r="Z1089" s="117" t="n">
        <v>62199</v>
      </c>
      <c r="AB1089" s="117" t="s">
        <v>2350</v>
      </c>
      <c r="AD1089" s="117" t="n">
        <v>110000</v>
      </c>
      <c r="AE1089" s="117" t="s">
        <v>1966</v>
      </c>
      <c r="AF1089" s="117" t="n">
        <v>110000</v>
      </c>
      <c r="AG1089" s="117" t="s">
        <v>1966</v>
      </c>
      <c r="AI1089" s="117" t="n">
        <v>110000</v>
      </c>
      <c r="AJ1089" s="117" t="s">
        <v>1966</v>
      </c>
      <c r="AK1089" s="117" t="n">
        <v>0</v>
      </c>
      <c r="AL1089" s="117" t="n">
        <v>4</v>
      </c>
      <c r="AM1089" s="117" t="s">
        <v>161</v>
      </c>
      <c r="AR1089" s="118" t="n">
        <v>43830</v>
      </c>
      <c r="AS1089" s="117" t="n">
        <v>0.279467592592593</v>
      </c>
      <c r="AT1089" s="117" t="n">
        <v>0</v>
      </c>
      <c r="AU1089" s="117" t="n">
        <v>0</v>
      </c>
      <c r="AX1089" s="117" t="n">
        <v>19</v>
      </c>
    </row>
    <row r="1090" s="106" customFormat="true" ht="13.8" hidden="true" customHeight="false" outlineLevel="0" collapsed="false">
      <c r="A1090" s="106" t="n">
        <v>1000</v>
      </c>
      <c r="B1090" s="106" t="s">
        <v>1962</v>
      </c>
      <c r="C1090" s="106" t="n">
        <v>110862</v>
      </c>
      <c r="D1090" s="106" t="s">
        <v>2412</v>
      </c>
      <c r="E1090" s="106" t="s">
        <v>1970</v>
      </c>
      <c r="F1090" s="106" t="n">
        <v>1112</v>
      </c>
      <c r="G1090" s="106" t="n">
        <v>2019</v>
      </c>
      <c r="H1090" s="106" t="n">
        <v>9</v>
      </c>
      <c r="I1090" s="129" t="n">
        <v>43828</v>
      </c>
      <c r="J1090" s="129" t="n">
        <v>43828</v>
      </c>
      <c r="K1090" s="107" t="n">
        <v>7192.37</v>
      </c>
      <c r="L1090" s="130" t="n">
        <f aca="false">K1090-Q1090+T1090</f>
        <v>6095.23</v>
      </c>
      <c r="M1090" s="106" t="s">
        <v>149</v>
      </c>
      <c r="N1090" s="106" t="n">
        <v>7192.37</v>
      </c>
      <c r="O1090" s="106" t="s">
        <v>149</v>
      </c>
      <c r="P1090" s="106" t="n">
        <v>0</v>
      </c>
      <c r="Q1090" s="107" t="n">
        <v>1097.14</v>
      </c>
      <c r="R1090" s="106" t="n">
        <v>6095.23</v>
      </c>
      <c r="S1090" s="106" t="n">
        <v>0</v>
      </c>
      <c r="T1090" s="106" t="n">
        <v>0</v>
      </c>
      <c r="U1090" s="106" t="n">
        <v>312193</v>
      </c>
      <c r="V1090" s="106" t="s">
        <v>1963</v>
      </c>
      <c r="Z1090" s="106" t="n">
        <v>62196</v>
      </c>
      <c r="AB1090" s="106" t="s">
        <v>2362</v>
      </c>
      <c r="AD1090" s="106" t="n">
        <v>110000</v>
      </c>
      <c r="AE1090" s="106" t="s">
        <v>1966</v>
      </c>
      <c r="AF1090" s="106" t="n">
        <v>501005</v>
      </c>
      <c r="AG1090" s="106" t="s">
        <v>2033</v>
      </c>
      <c r="AI1090" s="106" t="n">
        <v>501005</v>
      </c>
      <c r="AJ1090" s="106" t="s">
        <v>2033</v>
      </c>
      <c r="AK1090" s="106" t="n">
        <v>0</v>
      </c>
      <c r="AL1090" s="106" t="n">
        <v>1</v>
      </c>
      <c r="AM1090" s="106" t="s">
        <v>161</v>
      </c>
      <c r="AP1090" s="106" t="n">
        <v>100199799</v>
      </c>
      <c r="AQ1090" s="129" t="n">
        <v>43830</v>
      </c>
      <c r="AR1090" s="129" t="n">
        <v>43828</v>
      </c>
      <c r="AS1090" s="106" t="n">
        <v>0.699918981481482</v>
      </c>
      <c r="AT1090" s="106" t="n">
        <v>0</v>
      </c>
      <c r="AU1090" s="106" t="n">
        <v>0</v>
      </c>
      <c r="AX1090" s="106" t="n">
        <v>1</v>
      </c>
      <c r="ALU1090" s="0"/>
      <c r="ALV1090" s="0"/>
      <c r="ALW1090" s="0"/>
      <c r="ALX1090" s="0"/>
      <c r="ALY1090" s="0"/>
      <c r="ALZ1090" s="0"/>
      <c r="AMA1090" s="0"/>
      <c r="AMB1090" s="0"/>
      <c r="AMC1090" s="0"/>
      <c r="AMD1090" s="0"/>
      <c r="AME1090" s="0"/>
      <c r="AMF1090" s="0"/>
      <c r="AMG1090" s="0"/>
      <c r="AMH1090" s="0"/>
      <c r="AMI1090" s="0"/>
      <c r="AMJ1090" s="0"/>
    </row>
    <row r="1091" s="106" customFormat="true" ht="13.8" hidden="true" customHeight="false" outlineLevel="0" collapsed="false">
      <c r="A1091" s="106" t="n">
        <v>1000</v>
      </c>
      <c r="B1091" s="106" t="s">
        <v>1962</v>
      </c>
      <c r="C1091" s="106" t="n">
        <v>100172</v>
      </c>
      <c r="D1091" s="106" t="s">
        <v>1403</v>
      </c>
      <c r="E1091" s="106" t="s">
        <v>1970</v>
      </c>
      <c r="F1091" s="106" t="n">
        <v>1109</v>
      </c>
      <c r="G1091" s="106" t="n">
        <v>2019</v>
      </c>
      <c r="H1091" s="106" t="n">
        <v>1</v>
      </c>
      <c r="I1091" s="129" t="n">
        <v>43565</v>
      </c>
      <c r="J1091" s="129" t="n">
        <v>43565</v>
      </c>
      <c r="K1091" s="107" t="n">
        <v>187065.11</v>
      </c>
      <c r="L1091" s="130" t="n">
        <f aca="false">K1091-Q1091+T1091</f>
        <v>158529.75</v>
      </c>
      <c r="M1091" s="106" t="s">
        <v>149</v>
      </c>
      <c r="N1091" s="106" t="n">
        <v>187065.11</v>
      </c>
      <c r="O1091" s="106" t="s">
        <v>149</v>
      </c>
      <c r="P1091" s="106" t="n">
        <v>0</v>
      </c>
      <c r="Q1091" s="107" t="n">
        <v>28535.36</v>
      </c>
      <c r="R1091" s="106" t="n">
        <v>158529.75</v>
      </c>
      <c r="S1091" s="106" t="n">
        <v>0</v>
      </c>
      <c r="T1091" s="106" t="n">
        <v>0</v>
      </c>
      <c r="U1091" s="106" t="n">
        <v>318420</v>
      </c>
      <c r="V1091" s="106" t="s">
        <v>2153</v>
      </c>
      <c r="Z1091" s="106" t="n">
        <v>2391</v>
      </c>
      <c r="AB1091" s="106" t="s">
        <v>2228</v>
      </c>
      <c r="AD1091" s="106" t="n">
        <v>110000</v>
      </c>
      <c r="AE1091" s="106" t="s">
        <v>1966</v>
      </c>
      <c r="AF1091" s="106" t="n">
        <v>501020</v>
      </c>
      <c r="AG1091" s="106" t="s">
        <v>1971</v>
      </c>
      <c r="AI1091" s="106" t="n">
        <v>501020</v>
      </c>
      <c r="AJ1091" s="106" t="s">
        <v>1971</v>
      </c>
      <c r="AK1091" s="106" t="n">
        <v>0</v>
      </c>
      <c r="AL1091" s="106" t="n">
        <v>1</v>
      </c>
      <c r="AM1091" s="106" t="s">
        <v>161</v>
      </c>
      <c r="AP1091" s="106" t="n">
        <v>100004403</v>
      </c>
      <c r="AQ1091" s="129" t="n">
        <v>43583</v>
      </c>
      <c r="AR1091" s="129" t="n">
        <v>43565</v>
      </c>
      <c r="AS1091" s="106" t="n">
        <v>0.537488425925926</v>
      </c>
      <c r="AT1091" s="106" t="n">
        <v>0</v>
      </c>
      <c r="AU1091" s="106" t="n">
        <v>0</v>
      </c>
      <c r="AX1091" s="106" t="n">
        <v>1</v>
      </c>
      <c r="ALU1091" s="0"/>
      <c r="ALV1091" s="0"/>
      <c r="ALW1091" s="0"/>
      <c r="ALX1091" s="0"/>
      <c r="ALY1091" s="0"/>
      <c r="ALZ1091" s="0"/>
      <c r="AMA1091" s="0"/>
      <c r="AMB1091" s="0"/>
      <c r="AMC1091" s="0"/>
      <c r="AMD1091" s="0"/>
      <c r="AME1091" s="0"/>
      <c r="AMF1091" s="0"/>
      <c r="AMG1091" s="0"/>
      <c r="AMH1091" s="0"/>
      <c r="AMI1091" s="0"/>
      <c r="AMJ1091" s="0"/>
    </row>
    <row r="1092" s="106" customFormat="true" ht="13.8" hidden="true" customHeight="false" outlineLevel="0" collapsed="false">
      <c r="A1092" s="106" t="n">
        <v>1000</v>
      </c>
      <c r="B1092" s="106" t="s">
        <v>1962</v>
      </c>
      <c r="C1092" s="106" t="n">
        <v>108829</v>
      </c>
      <c r="D1092" s="106" t="s">
        <v>1481</v>
      </c>
      <c r="E1092" s="106" t="s">
        <v>1970</v>
      </c>
      <c r="F1092" s="106" t="n">
        <v>1108</v>
      </c>
      <c r="G1092" s="106" t="n">
        <v>2019</v>
      </c>
      <c r="H1092" s="106" t="n">
        <v>8</v>
      </c>
      <c r="I1092" s="129" t="n">
        <v>43777</v>
      </c>
      <c r="J1092" s="129" t="n">
        <v>43777</v>
      </c>
      <c r="K1092" s="107" t="n">
        <v>1167316.42</v>
      </c>
      <c r="L1092" s="130" t="n">
        <f aca="false">K1092-Q1092+T1092</f>
        <v>989251.2</v>
      </c>
      <c r="M1092" s="106" t="s">
        <v>149</v>
      </c>
      <c r="N1092" s="106" t="n">
        <v>1167316.42</v>
      </c>
      <c r="O1092" s="106" t="s">
        <v>149</v>
      </c>
      <c r="P1092" s="106" t="n">
        <v>0</v>
      </c>
      <c r="Q1092" s="107" t="n">
        <v>178065.22</v>
      </c>
      <c r="R1092" s="106" t="n">
        <v>989251.2</v>
      </c>
      <c r="S1092" s="106" t="n">
        <v>0</v>
      </c>
      <c r="T1092" s="106" t="n">
        <v>0</v>
      </c>
      <c r="U1092" s="106" t="n">
        <v>312193</v>
      </c>
      <c r="V1092" s="106" t="s">
        <v>1963</v>
      </c>
      <c r="Z1092" s="106" t="n">
        <v>2491</v>
      </c>
      <c r="AB1092" s="106" t="s">
        <v>2467</v>
      </c>
      <c r="AD1092" s="106" t="n">
        <v>110000</v>
      </c>
      <c r="AE1092" s="106" t="s">
        <v>1966</v>
      </c>
      <c r="AF1092" s="106" t="n">
        <v>501020</v>
      </c>
      <c r="AG1092" s="106" t="s">
        <v>1971</v>
      </c>
      <c r="AI1092" s="106" t="n">
        <v>501020</v>
      </c>
      <c r="AJ1092" s="106" t="s">
        <v>1971</v>
      </c>
      <c r="AK1092" s="106" t="n">
        <v>0</v>
      </c>
      <c r="AL1092" s="106" t="n">
        <v>1</v>
      </c>
      <c r="AM1092" s="106" t="s">
        <v>161</v>
      </c>
      <c r="AP1092" s="106" t="n">
        <v>100173564</v>
      </c>
      <c r="AQ1092" s="129" t="n">
        <v>43799</v>
      </c>
      <c r="AR1092" s="129" t="n">
        <v>43777</v>
      </c>
      <c r="AS1092" s="106" t="n">
        <v>0.724409722222222</v>
      </c>
      <c r="AT1092" s="106" t="n">
        <v>0</v>
      </c>
      <c r="AU1092" s="106" t="n">
        <v>0</v>
      </c>
      <c r="AX1092" s="106" t="n">
        <v>1</v>
      </c>
      <c r="ALU1092" s="0"/>
      <c r="ALV1092" s="0"/>
      <c r="ALW1092" s="0"/>
      <c r="ALX1092" s="0"/>
      <c r="ALY1092" s="0"/>
      <c r="ALZ1092" s="0"/>
      <c r="AMA1092" s="0"/>
      <c r="AMB1092" s="0"/>
      <c r="AMC1092" s="0"/>
      <c r="AMD1092" s="0"/>
      <c r="AME1092" s="0"/>
      <c r="AMF1092" s="0"/>
      <c r="AMG1092" s="0"/>
      <c r="AMH1092" s="0"/>
      <c r="AMI1092" s="0"/>
      <c r="AMJ1092" s="0"/>
    </row>
    <row r="1093" customFormat="false" ht="13.8" hidden="true" customHeight="false" outlineLevel="0" collapsed="false">
      <c r="A1093" s="117" t="n">
        <v>1000</v>
      </c>
      <c r="B1093" s="117" t="s">
        <v>1962</v>
      </c>
      <c r="C1093" s="117" t="n">
        <v>100143952</v>
      </c>
      <c r="E1093" s="117" t="s">
        <v>1921</v>
      </c>
      <c r="F1093" s="117" t="n">
        <v>1101</v>
      </c>
      <c r="G1093" s="117" t="n">
        <v>2019</v>
      </c>
      <c r="H1093" s="117" t="n">
        <v>7</v>
      </c>
      <c r="I1093" s="118" t="n">
        <v>43769</v>
      </c>
      <c r="J1093" s="118" t="n">
        <v>43769</v>
      </c>
      <c r="K1093" s="119" t="n">
        <v>21923.99</v>
      </c>
      <c r="L1093" s="128" t="n">
        <f aca="false">K1093-Q1093+T1093</f>
        <v>21923.99</v>
      </c>
      <c r="M1093" s="117" t="s">
        <v>149</v>
      </c>
      <c r="N1093" s="117" t="n">
        <v>21923.99</v>
      </c>
      <c r="O1093" s="117" t="s">
        <v>149</v>
      </c>
      <c r="P1093" s="117" t="n">
        <v>0</v>
      </c>
      <c r="Q1093" s="117" t="n">
        <v>0</v>
      </c>
      <c r="R1093" s="117" t="n">
        <v>21923.99</v>
      </c>
      <c r="S1093" s="117" t="n">
        <v>0</v>
      </c>
      <c r="T1093" s="117" t="n">
        <v>0</v>
      </c>
      <c r="U1093" s="117" t="n">
        <v>318999</v>
      </c>
      <c r="V1093" s="117" t="s">
        <v>143</v>
      </c>
      <c r="X1093" s="117" t="s">
        <v>2566</v>
      </c>
      <c r="Z1093" s="117" t="n">
        <v>2388</v>
      </c>
      <c r="AB1093" s="117" t="s">
        <v>2019</v>
      </c>
      <c r="AD1093" s="117" t="n">
        <v>110000</v>
      </c>
      <c r="AE1093" s="117" t="s">
        <v>1966</v>
      </c>
      <c r="AF1093" s="117" t="n">
        <v>110000</v>
      </c>
      <c r="AG1093" s="117" t="s">
        <v>1966</v>
      </c>
      <c r="AI1093" s="117" t="n">
        <v>110000</v>
      </c>
      <c r="AJ1093" s="117" t="s">
        <v>1966</v>
      </c>
      <c r="AK1093" s="117" t="n">
        <v>0</v>
      </c>
      <c r="AL1093" s="117" t="n">
        <v>4</v>
      </c>
      <c r="AM1093" s="117" t="s">
        <v>161</v>
      </c>
      <c r="AP1093" s="117" t="n">
        <v>100173605</v>
      </c>
      <c r="AQ1093" s="118" t="n">
        <v>43799</v>
      </c>
      <c r="AR1093" s="118" t="n">
        <v>43770</v>
      </c>
      <c r="AS1093" s="117" t="n">
        <v>0.242766203703704</v>
      </c>
      <c r="AT1093" s="117" t="n">
        <v>0</v>
      </c>
      <c r="AU1093" s="117" t="n">
        <v>0</v>
      </c>
      <c r="AX1093" s="117" t="n">
        <v>1</v>
      </c>
    </row>
    <row r="1094" customFormat="false" ht="13.8" hidden="true" customHeight="false" outlineLevel="0" collapsed="false">
      <c r="A1094" s="117" t="n">
        <v>1000</v>
      </c>
      <c r="B1094" s="117" t="s">
        <v>1962</v>
      </c>
      <c r="C1094" s="117" t="n">
        <v>1600000315</v>
      </c>
      <c r="D1094" s="117" t="s">
        <v>2354</v>
      </c>
      <c r="E1094" s="117" t="s">
        <v>1987</v>
      </c>
      <c r="F1094" s="117" t="n">
        <v>1101</v>
      </c>
      <c r="G1094" s="117" t="n">
        <v>2019</v>
      </c>
      <c r="H1094" s="117" t="n">
        <v>8</v>
      </c>
      <c r="I1094" s="118" t="n">
        <v>43798</v>
      </c>
      <c r="J1094" s="118" t="n">
        <v>43798</v>
      </c>
      <c r="K1094" s="119" t="n">
        <v>-5837</v>
      </c>
      <c r="L1094" s="128" t="n">
        <f aca="false">K1094-Q1094+T1094</f>
        <v>-5837</v>
      </c>
      <c r="M1094" s="117" t="s">
        <v>149</v>
      </c>
      <c r="N1094" s="117" t="n">
        <v>-5837</v>
      </c>
      <c r="O1094" s="117" t="s">
        <v>149</v>
      </c>
      <c r="P1094" s="117" t="n">
        <v>-5837</v>
      </c>
      <c r="Q1094" s="117" t="n">
        <v>0</v>
      </c>
      <c r="R1094" s="117" t="n">
        <v>-5837</v>
      </c>
      <c r="S1094" s="117" t="n">
        <v>0</v>
      </c>
      <c r="T1094" s="117" t="n">
        <v>0</v>
      </c>
      <c r="U1094" s="117" t="n">
        <v>312193</v>
      </c>
      <c r="V1094" s="117" t="s">
        <v>1963</v>
      </c>
      <c r="X1094" s="117" t="s">
        <v>2567</v>
      </c>
      <c r="Y1094" s="117" t="s">
        <v>2354</v>
      </c>
      <c r="Z1094" s="117" t="n">
        <v>1600000315</v>
      </c>
      <c r="AD1094" s="117" t="n">
        <v>310300</v>
      </c>
      <c r="AE1094" s="117" t="s">
        <v>1969</v>
      </c>
      <c r="AF1094" s="117" t="n">
        <v>111201</v>
      </c>
      <c r="AG1094" s="117" t="s">
        <v>2165</v>
      </c>
      <c r="AI1094" s="117" t="n">
        <v>111201</v>
      </c>
      <c r="AJ1094" s="117" t="s">
        <v>2165</v>
      </c>
      <c r="AK1094" s="117" t="n">
        <v>0</v>
      </c>
      <c r="AL1094" s="117" t="n">
        <v>19</v>
      </c>
      <c r="AM1094" s="117" t="s">
        <v>225</v>
      </c>
      <c r="AN1094" s="117" t="s">
        <v>1978</v>
      </c>
      <c r="AP1094" s="117" t="n">
        <v>100173563</v>
      </c>
      <c r="AQ1094" s="118" t="n">
        <v>43799</v>
      </c>
      <c r="AR1094" s="118" t="n">
        <v>43798</v>
      </c>
      <c r="AS1094" s="117" t="n">
        <v>0.954837962962963</v>
      </c>
      <c r="AT1094" s="117" t="n">
        <v>0</v>
      </c>
      <c r="AU1094" s="117" t="n">
        <v>0</v>
      </c>
      <c r="AX1094" s="117" t="n">
        <v>35</v>
      </c>
    </row>
    <row r="1095" s="106" customFormat="true" ht="13.8" hidden="true" customHeight="false" outlineLevel="0" collapsed="false">
      <c r="A1095" s="106" t="n">
        <v>1000</v>
      </c>
      <c r="B1095" s="106" t="s">
        <v>1962</v>
      </c>
      <c r="C1095" s="106" t="n">
        <v>100613</v>
      </c>
      <c r="D1095" s="106" t="s">
        <v>904</v>
      </c>
      <c r="E1095" s="106" t="s">
        <v>1970</v>
      </c>
      <c r="F1095" s="106" t="n">
        <v>1109</v>
      </c>
      <c r="G1095" s="106" t="n">
        <v>2019</v>
      </c>
      <c r="H1095" s="106" t="n">
        <v>1</v>
      </c>
      <c r="I1095" s="129" t="n">
        <v>43574</v>
      </c>
      <c r="J1095" s="129" t="n">
        <v>43574</v>
      </c>
      <c r="K1095" s="107" t="n">
        <v>241003.2</v>
      </c>
      <c r="L1095" s="130" t="n">
        <f aca="false">K1095-Q1095+T1095</f>
        <v>204240</v>
      </c>
      <c r="M1095" s="106" t="s">
        <v>149</v>
      </c>
      <c r="N1095" s="106" t="n">
        <v>241003.2</v>
      </c>
      <c r="O1095" s="106" t="s">
        <v>149</v>
      </c>
      <c r="P1095" s="106" t="n">
        <v>0</v>
      </c>
      <c r="Q1095" s="107" t="n">
        <v>36763.2</v>
      </c>
      <c r="R1095" s="106" t="n">
        <v>204240</v>
      </c>
      <c r="S1095" s="106" t="n">
        <v>0</v>
      </c>
      <c r="T1095" s="106" t="n">
        <v>0</v>
      </c>
      <c r="U1095" s="106" t="n">
        <v>304431</v>
      </c>
      <c r="V1095" s="106" t="s">
        <v>2016</v>
      </c>
      <c r="Z1095" s="106" t="n">
        <v>2247</v>
      </c>
      <c r="AB1095" s="106" t="s">
        <v>2043</v>
      </c>
      <c r="AD1095" s="106" t="n">
        <v>110000</v>
      </c>
      <c r="AE1095" s="106" t="s">
        <v>1966</v>
      </c>
      <c r="AF1095" s="106" t="n">
        <v>501020</v>
      </c>
      <c r="AG1095" s="106" t="s">
        <v>1971</v>
      </c>
      <c r="AI1095" s="106" t="n">
        <v>501020</v>
      </c>
      <c r="AJ1095" s="106" t="s">
        <v>1971</v>
      </c>
      <c r="AK1095" s="106" t="n">
        <v>0</v>
      </c>
      <c r="AL1095" s="106" t="n">
        <v>1</v>
      </c>
      <c r="AM1095" s="106" t="s">
        <v>161</v>
      </c>
      <c r="AP1095" s="106" t="n">
        <v>100004316</v>
      </c>
      <c r="AQ1095" s="129" t="n">
        <v>43583</v>
      </c>
      <c r="AR1095" s="129" t="n">
        <v>43574</v>
      </c>
      <c r="AS1095" s="106" t="n">
        <v>0.729513888888889</v>
      </c>
      <c r="AT1095" s="106" t="n">
        <v>0</v>
      </c>
      <c r="AU1095" s="106" t="n">
        <v>0</v>
      </c>
      <c r="AX1095" s="106" t="n">
        <v>1</v>
      </c>
      <c r="ALU1095" s="0"/>
      <c r="ALV1095" s="0"/>
      <c r="ALW1095" s="0"/>
      <c r="ALX1095" s="0"/>
      <c r="ALY1095" s="0"/>
      <c r="ALZ1095" s="0"/>
      <c r="AMA1095" s="0"/>
      <c r="AMB1095" s="0"/>
      <c r="AMC1095" s="0"/>
      <c r="AMD1095" s="0"/>
      <c r="AME1095" s="0"/>
      <c r="AMF1095" s="0"/>
      <c r="AMG1095" s="0"/>
      <c r="AMH1095" s="0"/>
      <c r="AMI1095" s="0"/>
      <c r="AMJ1095" s="0"/>
    </row>
    <row r="1096" s="106" customFormat="true" ht="13.8" hidden="true" customHeight="false" outlineLevel="0" collapsed="false">
      <c r="A1096" s="106" t="n">
        <v>1000</v>
      </c>
      <c r="B1096" s="106" t="s">
        <v>1962</v>
      </c>
      <c r="C1096" s="106" t="n">
        <v>111164</v>
      </c>
      <c r="D1096" s="106" t="s">
        <v>2568</v>
      </c>
      <c r="E1096" s="106" t="s">
        <v>1970</v>
      </c>
      <c r="F1096" s="106" t="n">
        <v>1109</v>
      </c>
      <c r="G1096" s="106" t="n">
        <v>2019</v>
      </c>
      <c r="H1096" s="106" t="n">
        <v>10</v>
      </c>
      <c r="I1096" s="129" t="n">
        <v>43837</v>
      </c>
      <c r="J1096" s="129" t="n">
        <v>43837</v>
      </c>
      <c r="K1096" s="107" t="n">
        <v>-70342.05</v>
      </c>
      <c r="L1096" s="130" t="n">
        <f aca="false">K1096-Q1096+T1096</f>
        <v>-70342.05</v>
      </c>
      <c r="M1096" s="106" t="s">
        <v>149</v>
      </c>
      <c r="N1096" s="107" t="n">
        <v>-70342.05</v>
      </c>
      <c r="O1096" s="106" t="s">
        <v>149</v>
      </c>
      <c r="P1096" s="106" t="n">
        <v>0</v>
      </c>
      <c r="Q1096" s="107" t="n">
        <v>0</v>
      </c>
      <c r="R1096" s="107" t="n">
        <v>-70342.05</v>
      </c>
      <c r="S1096" s="106" t="n">
        <v>0</v>
      </c>
      <c r="T1096" s="106" t="n">
        <v>0</v>
      </c>
      <c r="U1096" s="106" t="n">
        <v>311155</v>
      </c>
      <c r="V1096" s="106" t="s">
        <v>2022</v>
      </c>
      <c r="Z1096" s="106" t="n">
        <v>60002615</v>
      </c>
      <c r="AB1096" s="106" t="s">
        <v>2569</v>
      </c>
      <c r="AD1096" s="106" t="n">
        <v>110000</v>
      </c>
      <c r="AE1096" s="106" t="s">
        <v>1966</v>
      </c>
      <c r="AF1096" s="106" t="n">
        <v>501005</v>
      </c>
      <c r="AG1096" s="106" t="s">
        <v>2033</v>
      </c>
      <c r="AI1096" s="106" t="n">
        <v>501005</v>
      </c>
      <c r="AJ1096" s="106" t="s">
        <v>2033</v>
      </c>
      <c r="AK1096" s="106" t="n">
        <v>0</v>
      </c>
      <c r="AL1096" s="106" t="n">
        <v>11</v>
      </c>
      <c r="AM1096" s="106" t="s">
        <v>225</v>
      </c>
      <c r="AP1096" s="106" t="n">
        <v>100229130</v>
      </c>
      <c r="AQ1096" s="129" t="n">
        <v>43856</v>
      </c>
      <c r="AR1096" s="129" t="n">
        <v>43837</v>
      </c>
      <c r="AS1096" s="106" t="n">
        <v>0.522164351851852</v>
      </c>
      <c r="AT1096" s="106" t="n">
        <v>0</v>
      </c>
      <c r="AU1096" s="106" t="n">
        <v>0</v>
      </c>
      <c r="AX1096" s="106" t="n">
        <v>1</v>
      </c>
      <c r="ALU1096" s="0"/>
      <c r="ALV1096" s="0"/>
      <c r="ALW1096" s="0"/>
      <c r="ALX1096" s="0"/>
      <c r="ALY1096" s="0"/>
      <c r="ALZ1096" s="0"/>
      <c r="AMA1096" s="0"/>
      <c r="AMB1096" s="0"/>
      <c r="AMC1096" s="0"/>
      <c r="AMD1096" s="0"/>
      <c r="AME1096" s="0"/>
      <c r="AMF1096" s="0"/>
      <c r="AMG1096" s="0"/>
      <c r="AMH1096" s="0"/>
      <c r="AMI1096" s="0"/>
      <c r="AMJ1096" s="0"/>
    </row>
    <row r="1097" customFormat="false" ht="13.8" hidden="true" customHeight="false" outlineLevel="0" collapsed="false">
      <c r="A1097" s="117" t="n">
        <v>1000</v>
      </c>
      <c r="B1097" s="117" t="s">
        <v>1962</v>
      </c>
      <c r="C1097" s="117" t="n">
        <v>100173564</v>
      </c>
      <c r="E1097" s="117" t="s">
        <v>1921</v>
      </c>
      <c r="F1097" s="117" t="n">
        <v>1109</v>
      </c>
      <c r="G1097" s="117" t="n">
        <v>2019</v>
      </c>
      <c r="H1097" s="117" t="n">
        <v>8</v>
      </c>
      <c r="I1097" s="118" t="n">
        <v>43799</v>
      </c>
      <c r="J1097" s="118" t="n">
        <v>43799</v>
      </c>
      <c r="K1097" s="119" t="n">
        <v>-1907323.3</v>
      </c>
      <c r="L1097" s="128" t="n">
        <f aca="false">K1097-Q1097+T1097</f>
        <v>-1907323.3</v>
      </c>
      <c r="M1097" s="117" t="s">
        <v>149</v>
      </c>
      <c r="N1097" s="117" t="n">
        <v>-1907323.3</v>
      </c>
      <c r="O1097" s="117" t="s">
        <v>149</v>
      </c>
      <c r="P1097" s="117" t="n">
        <v>0</v>
      </c>
      <c r="Q1097" s="117" t="n">
        <v>0</v>
      </c>
      <c r="R1097" s="117" t="n">
        <v>-1907323.3</v>
      </c>
      <c r="S1097" s="117" t="n">
        <v>0</v>
      </c>
      <c r="T1097" s="117" t="n">
        <v>0</v>
      </c>
      <c r="U1097" s="117" t="n">
        <v>312193</v>
      </c>
      <c r="V1097" s="117" t="s">
        <v>1963</v>
      </c>
      <c r="Z1097" s="117" t="n">
        <v>100173564</v>
      </c>
      <c r="AD1097" s="117" t="n">
        <v>110000</v>
      </c>
      <c r="AE1097" s="117" t="s">
        <v>1966</v>
      </c>
      <c r="AF1097" s="117" t="n">
        <v>110000</v>
      </c>
      <c r="AG1097" s="117" t="s">
        <v>1966</v>
      </c>
      <c r="AI1097" s="117" t="n">
        <v>110000</v>
      </c>
      <c r="AJ1097" s="117" t="s">
        <v>1966</v>
      </c>
      <c r="AK1097" s="117" t="n">
        <v>0</v>
      </c>
      <c r="AL1097" s="117" t="n">
        <v>17</v>
      </c>
      <c r="AM1097" s="117" t="s">
        <v>225</v>
      </c>
      <c r="AP1097" s="117" t="n">
        <v>100173564</v>
      </c>
      <c r="AQ1097" s="118" t="n">
        <v>43799</v>
      </c>
      <c r="AR1097" s="118" t="n">
        <v>43800</v>
      </c>
      <c r="AS1097" s="117" t="n">
        <v>0.649189814814815</v>
      </c>
      <c r="AT1097" s="117" t="n">
        <v>0</v>
      </c>
      <c r="AU1097" s="117" t="n">
        <v>0</v>
      </c>
      <c r="AX1097" s="117" t="n">
        <v>27</v>
      </c>
    </row>
    <row r="1098" s="106" customFormat="true" ht="13.8" hidden="true" customHeight="false" outlineLevel="0" collapsed="false">
      <c r="A1098" s="106" t="n">
        <v>1000</v>
      </c>
      <c r="B1098" s="106" t="s">
        <v>1962</v>
      </c>
      <c r="C1098" s="106" t="n">
        <v>110898</v>
      </c>
      <c r="D1098" s="106" t="s">
        <v>2437</v>
      </c>
      <c r="E1098" s="106" t="s">
        <v>1970</v>
      </c>
      <c r="F1098" s="106" t="n">
        <v>1112</v>
      </c>
      <c r="G1098" s="106" t="n">
        <v>2019</v>
      </c>
      <c r="H1098" s="106" t="n">
        <v>9</v>
      </c>
      <c r="I1098" s="129" t="n">
        <v>43828</v>
      </c>
      <c r="J1098" s="129" t="n">
        <v>43828</v>
      </c>
      <c r="K1098" s="107" t="n">
        <v>91605.76</v>
      </c>
      <c r="L1098" s="130" t="n">
        <f aca="false">K1098-Q1098+T1098</f>
        <v>77632</v>
      </c>
      <c r="M1098" s="106" t="s">
        <v>149</v>
      </c>
      <c r="N1098" s="106" t="n">
        <v>91605.76</v>
      </c>
      <c r="O1098" s="106" t="s">
        <v>149</v>
      </c>
      <c r="P1098" s="106" t="n">
        <v>0</v>
      </c>
      <c r="Q1098" s="107" t="n">
        <v>13973.76</v>
      </c>
      <c r="R1098" s="106" t="n">
        <v>77632</v>
      </c>
      <c r="S1098" s="106" t="n">
        <v>0</v>
      </c>
      <c r="T1098" s="106" t="n">
        <v>0</v>
      </c>
      <c r="U1098" s="106" t="n">
        <v>312193</v>
      </c>
      <c r="V1098" s="106" t="s">
        <v>1963</v>
      </c>
      <c r="Z1098" s="106" t="n">
        <v>62397</v>
      </c>
      <c r="AB1098" s="106" t="s">
        <v>2350</v>
      </c>
      <c r="AD1098" s="106" t="n">
        <v>110000</v>
      </c>
      <c r="AE1098" s="106" t="s">
        <v>1966</v>
      </c>
      <c r="AF1098" s="106" t="n">
        <v>501000</v>
      </c>
      <c r="AG1098" s="106" t="s">
        <v>2170</v>
      </c>
      <c r="AI1098" s="106" t="n">
        <v>501000</v>
      </c>
      <c r="AJ1098" s="106" t="s">
        <v>2170</v>
      </c>
      <c r="AK1098" s="106" t="n">
        <v>0</v>
      </c>
      <c r="AL1098" s="106" t="n">
        <v>1</v>
      </c>
      <c r="AM1098" s="106" t="s">
        <v>161</v>
      </c>
      <c r="AP1098" s="106" t="n">
        <v>100199799</v>
      </c>
      <c r="AQ1098" s="129" t="n">
        <v>43830</v>
      </c>
      <c r="AR1098" s="129" t="n">
        <v>43828</v>
      </c>
      <c r="AS1098" s="106" t="n">
        <v>0.800543981481482</v>
      </c>
      <c r="AT1098" s="106" t="n">
        <v>0</v>
      </c>
      <c r="AU1098" s="106" t="n">
        <v>0</v>
      </c>
      <c r="AX1098" s="106" t="n">
        <v>1</v>
      </c>
      <c r="ALU1098" s="0"/>
      <c r="ALV1098" s="0"/>
      <c r="ALW1098" s="0"/>
      <c r="ALX1098" s="0"/>
      <c r="ALY1098" s="0"/>
      <c r="ALZ1098" s="0"/>
      <c r="AMA1098" s="0"/>
      <c r="AMB1098" s="0"/>
      <c r="AMC1098" s="0"/>
      <c r="AMD1098" s="0"/>
      <c r="AME1098" s="0"/>
      <c r="AMF1098" s="0"/>
      <c r="AMG1098" s="0"/>
      <c r="AMH1098" s="0"/>
      <c r="AMI1098" s="0"/>
      <c r="AMJ1098" s="0"/>
    </row>
    <row r="1099" customFormat="false" ht="13.8" hidden="true" customHeight="false" outlineLevel="0" collapsed="false">
      <c r="A1099" s="117" t="n">
        <v>1000</v>
      </c>
      <c r="B1099" s="117" t="s">
        <v>1962</v>
      </c>
      <c r="C1099" s="117" t="n">
        <v>1400008007</v>
      </c>
      <c r="E1099" s="117" t="s">
        <v>1972</v>
      </c>
      <c r="F1099" s="117" t="n">
        <v>1106</v>
      </c>
      <c r="G1099" s="117" t="n">
        <v>2019</v>
      </c>
      <c r="H1099" s="117" t="n">
        <v>8</v>
      </c>
      <c r="I1099" s="118" t="n">
        <v>43796</v>
      </c>
      <c r="J1099" s="118" t="n">
        <v>43796</v>
      </c>
      <c r="K1099" s="119" t="n">
        <v>-2467760.44</v>
      </c>
      <c r="L1099" s="128" t="n">
        <f aca="false">K1099-Q1099+T1099</f>
        <v>-2467760.44</v>
      </c>
      <c r="M1099" s="117" t="s">
        <v>149</v>
      </c>
      <c r="N1099" s="117" t="n">
        <v>-2467760.44</v>
      </c>
      <c r="O1099" s="117" t="s">
        <v>149</v>
      </c>
      <c r="P1099" s="117" t="n">
        <v>0</v>
      </c>
      <c r="Q1099" s="117" t="n">
        <v>0</v>
      </c>
      <c r="R1099" s="117" t="n">
        <v>-2467760.44</v>
      </c>
      <c r="S1099" s="117" t="n">
        <v>0</v>
      </c>
      <c r="T1099" s="117" t="n">
        <v>0</v>
      </c>
      <c r="U1099" s="117" t="n">
        <v>306546</v>
      </c>
      <c r="V1099" s="117" t="s">
        <v>2177</v>
      </c>
      <c r="X1099" s="117" t="s">
        <v>2570</v>
      </c>
      <c r="Y1099" s="117" t="s">
        <v>2571</v>
      </c>
      <c r="Z1099" s="117" t="n">
        <v>1400008007</v>
      </c>
      <c r="AC1099" s="117" t="s">
        <v>1976</v>
      </c>
      <c r="AD1099" s="117" t="n">
        <v>310300</v>
      </c>
      <c r="AE1099" s="117" t="s">
        <v>1969</v>
      </c>
      <c r="AF1099" s="117" t="n">
        <v>101105</v>
      </c>
      <c r="AG1099" s="117" t="s">
        <v>1977</v>
      </c>
      <c r="AI1099" s="117" t="n">
        <v>101105</v>
      </c>
      <c r="AJ1099" s="117" t="s">
        <v>1977</v>
      </c>
      <c r="AK1099" s="117" t="n">
        <v>0</v>
      </c>
      <c r="AL1099" s="117" t="n">
        <v>19</v>
      </c>
      <c r="AM1099" s="117" t="s">
        <v>225</v>
      </c>
      <c r="AN1099" s="117" t="s">
        <v>1978</v>
      </c>
      <c r="AP1099" s="117" t="n">
        <v>100172897</v>
      </c>
      <c r="AQ1099" s="118" t="n">
        <v>43799</v>
      </c>
      <c r="AR1099" s="118" t="n">
        <v>43797</v>
      </c>
      <c r="AS1099" s="117" t="n">
        <v>0.497719907407407</v>
      </c>
      <c r="AT1099" s="117" t="n">
        <v>0</v>
      </c>
      <c r="AU1099" s="117" t="n">
        <v>0</v>
      </c>
      <c r="AX1099" s="117" t="n">
        <v>2</v>
      </c>
    </row>
    <row r="1100" customFormat="false" ht="13.8" hidden="true" customHeight="false" outlineLevel="0" collapsed="false">
      <c r="A1100" s="117" t="n">
        <v>1000</v>
      </c>
      <c r="B1100" s="117" t="s">
        <v>1962</v>
      </c>
      <c r="C1100" s="117" t="n">
        <v>100141514</v>
      </c>
      <c r="E1100" s="117" t="s">
        <v>1921</v>
      </c>
      <c r="F1100" s="117" t="n">
        <v>1101</v>
      </c>
      <c r="G1100" s="117" t="n">
        <v>2019</v>
      </c>
      <c r="H1100" s="117" t="n">
        <v>7</v>
      </c>
      <c r="I1100" s="118" t="n">
        <v>43766</v>
      </c>
      <c r="J1100" s="118" t="n">
        <v>43766</v>
      </c>
      <c r="K1100" s="119" t="n">
        <v>70003.45</v>
      </c>
      <c r="L1100" s="128" t="n">
        <f aca="false">K1100-Q1100+T1100</f>
        <v>70003.45</v>
      </c>
      <c r="M1100" s="117" t="s">
        <v>149</v>
      </c>
      <c r="N1100" s="117" t="n">
        <v>70003.45</v>
      </c>
      <c r="O1100" s="117" t="s">
        <v>149</v>
      </c>
      <c r="P1100" s="117" t="n">
        <v>0</v>
      </c>
      <c r="Q1100" s="117" t="n">
        <v>0</v>
      </c>
      <c r="R1100" s="117" t="n">
        <v>70003.45</v>
      </c>
      <c r="S1100" s="117" t="n">
        <v>0</v>
      </c>
      <c r="T1100" s="117" t="n">
        <v>0</v>
      </c>
      <c r="U1100" s="117" t="n">
        <v>318999</v>
      </c>
      <c r="V1100" s="117" t="s">
        <v>143</v>
      </c>
      <c r="X1100" s="117" t="s">
        <v>2404</v>
      </c>
      <c r="Z1100" s="117" t="n">
        <v>61350</v>
      </c>
      <c r="AB1100" s="117" t="n">
        <v>2300050954</v>
      </c>
      <c r="AD1100" s="117" t="n">
        <v>110000</v>
      </c>
      <c r="AE1100" s="117" t="s">
        <v>1966</v>
      </c>
      <c r="AF1100" s="117" t="n">
        <v>110000</v>
      </c>
      <c r="AG1100" s="117" t="s">
        <v>1966</v>
      </c>
      <c r="AI1100" s="117" t="n">
        <v>110000</v>
      </c>
      <c r="AJ1100" s="117" t="s">
        <v>1966</v>
      </c>
      <c r="AK1100" s="117" t="n">
        <v>0</v>
      </c>
      <c r="AL1100" s="117" t="n">
        <v>4</v>
      </c>
      <c r="AM1100" s="117" t="s">
        <v>161</v>
      </c>
      <c r="AR1100" s="118" t="n">
        <v>43766</v>
      </c>
      <c r="AS1100" s="117" t="n">
        <v>0.417013888888889</v>
      </c>
      <c r="AT1100" s="117" t="n">
        <v>0</v>
      </c>
      <c r="AU1100" s="117" t="n">
        <v>0</v>
      </c>
      <c r="AX1100" s="117" t="n">
        <v>3</v>
      </c>
    </row>
    <row r="1101" customFormat="false" ht="13.8" hidden="true" customHeight="false" outlineLevel="0" collapsed="false">
      <c r="A1101" s="117" t="n">
        <v>1000</v>
      </c>
      <c r="B1101" s="117" t="s">
        <v>1962</v>
      </c>
      <c r="C1101" s="117" t="n">
        <v>100209795</v>
      </c>
      <c r="E1101" s="117" t="s">
        <v>1921</v>
      </c>
      <c r="F1101" s="117" t="n">
        <v>1109</v>
      </c>
      <c r="G1101" s="117" t="n">
        <v>2019</v>
      </c>
      <c r="H1101" s="117" t="n">
        <v>9</v>
      </c>
      <c r="I1101" s="118" t="n">
        <v>43830</v>
      </c>
      <c r="J1101" s="118" t="n">
        <v>43830</v>
      </c>
      <c r="K1101" s="119" t="n">
        <v>3917924.21</v>
      </c>
      <c r="L1101" s="128" t="n">
        <f aca="false">K1101-Q1101+T1101</f>
        <v>3917924.21</v>
      </c>
      <c r="M1101" s="117" t="s">
        <v>149</v>
      </c>
      <c r="N1101" s="117" t="n">
        <v>3917924.21</v>
      </c>
      <c r="O1101" s="117" t="s">
        <v>149</v>
      </c>
      <c r="P1101" s="117" t="n">
        <v>0</v>
      </c>
      <c r="Q1101" s="117" t="n">
        <v>0</v>
      </c>
      <c r="R1101" s="117" t="n">
        <v>3917924.21</v>
      </c>
      <c r="S1101" s="117" t="n">
        <v>0</v>
      </c>
      <c r="T1101" s="117" t="n">
        <v>0</v>
      </c>
      <c r="U1101" s="117" t="n">
        <v>309728</v>
      </c>
      <c r="V1101" s="117" t="s">
        <v>1968</v>
      </c>
      <c r="X1101" s="117" t="s">
        <v>2551</v>
      </c>
      <c r="Z1101" s="117" t="n">
        <v>62731</v>
      </c>
      <c r="AB1101" s="117" t="s">
        <v>2531</v>
      </c>
      <c r="AD1101" s="117" t="n">
        <v>110000</v>
      </c>
      <c r="AE1101" s="117" t="s">
        <v>1966</v>
      </c>
      <c r="AF1101" s="117" t="n">
        <v>110000</v>
      </c>
      <c r="AG1101" s="117" t="s">
        <v>1966</v>
      </c>
      <c r="AI1101" s="117" t="n">
        <v>110000</v>
      </c>
      <c r="AJ1101" s="117" t="s">
        <v>1966</v>
      </c>
      <c r="AK1101" s="117" t="n">
        <v>0</v>
      </c>
      <c r="AL1101" s="117" t="n">
        <v>4</v>
      </c>
      <c r="AM1101" s="117" t="s">
        <v>161</v>
      </c>
      <c r="AR1101" s="118" t="n">
        <v>43831</v>
      </c>
      <c r="AS1101" s="117" t="n">
        <v>0.181446759259259</v>
      </c>
      <c r="AT1101" s="117" t="n">
        <v>0</v>
      </c>
      <c r="AU1101" s="117" t="n">
        <v>0</v>
      </c>
      <c r="AX1101" s="117" t="n">
        <v>1</v>
      </c>
    </row>
    <row r="1102" customFormat="false" ht="13.8" hidden="true" customHeight="false" outlineLevel="0" collapsed="false">
      <c r="A1102" s="117" t="n">
        <v>1000</v>
      </c>
      <c r="B1102" s="117" t="s">
        <v>1962</v>
      </c>
      <c r="C1102" s="117" t="n">
        <v>100173564</v>
      </c>
      <c r="E1102" s="117" t="s">
        <v>1921</v>
      </c>
      <c r="F1102" s="117" t="n">
        <v>1108</v>
      </c>
      <c r="G1102" s="117" t="n">
        <v>2019</v>
      </c>
      <c r="H1102" s="117" t="n">
        <v>8</v>
      </c>
      <c r="I1102" s="118" t="n">
        <v>43799</v>
      </c>
      <c r="J1102" s="118" t="n">
        <v>43799</v>
      </c>
      <c r="K1102" s="119" t="n">
        <v>28184.89</v>
      </c>
      <c r="L1102" s="128" t="n">
        <f aca="false">K1102-Q1102+T1102</f>
        <v>28184.89</v>
      </c>
      <c r="M1102" s="117" t="s">
        <v>149</v>
      </c>
      <c r="N1102" s="117" t="n">
        <v>28184.89</v>
      </c>
      <c r="O1102" s="117" t="s">
        <v>149</v>
      </c>
      <c r="P1102" s="117" t="n">
        <v>0</v>
      </c>
      <c r="Q1102" s="117" t="n">
        <v>0</v>
      </c>
      <c r="R1102" s="117" t="n">
        <v>28184.89</v>
      </c>
      <c r="S1102" s="117" t="n">
        <v>0</v>
      </c>
      <c r="T1102" s="117" t="n">
        <v>0</v>
      </c>
      <c r="U1102" s="117" t="n">
        <v>312193</v>
      </c>
      <c r="V1102" s="117" t="s">
        <v>1963</v>
      </c>
      <c r="X1102" s="117" t="s">
        <v>1657</v>
      </c>
      <c r="Z1102" s="117" t="n">
        <v>61997</v>
      </c>
      <c r="AB1102" s="117" t="s">
        <v>2109</v>
      </c>
      <c r="AD1102" s="117" t="n">
        <v>110000</v>
      </c>
      <c r="AE1102" s="117" t="s">
        <v>1966</v>
      </c>
      <c r="AF1102" s="117" t="n">
        <v>110000</v>
      </c>
      <c r="AG1102" s="117" t="s">
        <v>1966</v>
      </c>
      <c r="AI1102" s="117" t="n">
        <v>110000</v>
      </c>
      <c r="AJ1102" s="117" t="s">
        <v>1966</v>
      </c>
      <c r="AK1102" s="117" t="n">
        <v>0</v>
      </c>
      <c r="AL1102" s="117" t="n">
        <v>4</v>
      </c>
      <c r="AM1102" s="117" t="s">
        <v>161</v>
      </c>
      <c r="AR1102" s="118" t="n">
        <v>43800</v>
      </c>
      <c r="AS1102" s="117" t="n">
        <v>0.649189814814815</v>
      </c>
      <c r="AT1102" s="117" t="n">
        <v>0</v>
      </c>
      <c r="AU1102" s="117" t="n">
        <v>0</v>
      </c>
      <c r="AX1102" s="117" t="n">
        <v>25</v>
      </c>
    </row>
    <row r="1103" s="106" customFormat="true" ht="13.8" hidden="true" customHeight="false" outlineLevel="0" collapsed="false">
      <c r="A1103" s="106" t="n">
        <v>1000</v>
      </c>
      <c r="B1103" s="106" t="s">
        <v>1962</v>
      </c>
      <c r="C1103" s="106" t="n">
        <v>111241</v>
      </c>
      <c r="D1103" s="106" t="s">
        <v>2572</v>
      </c>
      <c r="E1103" s="106" t="s">
        <v>1970</v>
      </c>
      <c r="F1103" s="106" t="n">
        <v>1108</v>
      </c>
      <c r="G1103" s="106" t="n">
        <v>2019</v>
      </c>
      <c r="H1103" s="106" t="n">
        <v>10</v>
      </c>
      <c r="I1103" s="129" t="n">
        <v>43839</v>
      </c>
      <c r="J1103" s="129" t="n">
        <v>43839</v>
      </c>
      <c r="K1103" s="107" t="n">
        <v>673505.06</v>
      </c>
      <c r="L1103" s="130" t="n">
        <f aca="false">K1103-Q1103+T1103</f>
        <v>570767</v>
      </c>
      <c r="M1103" s="106" t="s">
        <v>149</v>
      </c>
      <c r="N1103" s="106" t="n">
        <v>673505.06</v>
      </c>
      <c r="O1103" s="106" t="s">
        <v>149</v>
      </c>
      <c r="P1103" s="106" t="n">
        <v>0</v>
      </c>
      <c r="Q1103" s="107" t="n">
        <v>102738.06</v>
      </c>
      <c r="R1103" s="106" t="n">
        <v>570767</v>
      </c>
      <c r="S1103" s="106" t="n">
        <v>0</v>
      </c>
      <c r="T1103" s="106" t="n">
        <v>0</v>
      </c>
      <c r="U1103" s="106" t="n">
        <v>313029</v>
      </c>
      <c r="V1103" s="106" t="s">
        <v>143</v>
      </c>
      <c r="Z1103" s="106" t="n">
        <v>2423</v>
      </c>
      <c r="AB1103" s="106" t="s">
        <v>2414</v>
      </c>
      <c r="AD1103" s="106" t="n">
        <v>110000</v>
      </c>
      <c r="AE1103" s="106" t="s">
        <v>1966</v>
      </c>
      <c r="AF1103" s="106" t="n">
        <v>501020</v>
      </c>
      <c r="AG1103" s="106" t="s">
        <v>1971</v>
      </c>
      <c r="AI1103" s="106" t="n">
        <v>501020</v>
      </c>
      <c r="AJ1103" s="106" t="s">
        <v>1971</v>
      </c>
      <c r="AK1103" s="106" t="n">
        <v>0</v>
      </c>
      <c r="AL1103" s="106" t="n">
        <v>1</v>
      </c>
      <c r="AM1103" s="106" t="s">
        <v>161</v>
      </c>
      <c r="AP1103" s="106" t="n">
        <v>100229154</v>
      </c>
      <c r="AQ1103" s="129" t="n">
        <v>43856</v>
      </c>
      <c r="AR1103" s="129" t="n">
        <v>43839</v>
      </c>
      <c r="AS1103" s="106" t="n">
        <v>0.614710648148148</v>
      </c>
      <c r="AT1103" s="106" t="n">
        <v>0</v>
      </c>
      <c r="AU1103" s="106" t="n">
        <v>0</v>
      </c>
      <c r="AX1103" s="106" t="n">
        <v>1</v>
      </c>
      <c r="ALU1103" s="0"/>
      <c r="ALV1103" s="0"/>
      <c r="ALW1103" s="0"/>
      <c r="ALX1103" s="0"/>
      <c r="ALY1103" s="0"/>
      <c r="ALZ1103" s="0"/>
      <c r="AMA1103" s="0"/>
      <c r="AMB1103" s="0"/>
      <c r="AMC1103" s="0"/>
      <c r="AMD1103" s="0"/>
      <c r="AME1103" s="0"/>
      <c r="AMF1103" s="0"/>
      <c r="AMG1103" s="0"/>
      <c r="AMH1103" s="0"/>
      <c r="AMI1103" s="0"/>
      <c r="AMJ1103" s="0"/>
    </row>
    <row r="1104" customFormat="false" ht="13.8" hidden="true" customHeight="false" outlineLevel="0" collapsed="false">
      <c r="A1104" s="117" t="n">
        <v>1000</v>
      </c>
      <c r="B1104" s="117" t="s">
        <v>1962</v>
      </c>
      <c r="C1104" s="117" t="n">
        <v>100210304</v>
      </c>
      <c r="E1104" s="117" t="s">
        <v>1921</v>
      </c>
      <c r="F1104" s="117" t="n">
        <v>1109</v>
      </c>
      <c r="G1104" s="117" t="n">
        <v>2019</v>
      </c>
      <c r="H1104" s="117" t="n">
        <v>9</v>
      </c>
      <c r="I1104" s="118" t="n">
        <v>43830</v>
      </c>
      <c r="J1104" s="118" t="n">
        <v>43830</v>
      </c>
      <c r="K1104" s="119" t="n">
        <v>8877</v>
      </c>
      <c r="L1104" s="128" t="n">
        <f aca="false">K1104-Q1104+T1104</f>
        <v>8877</v>
      </c>
      <c r="M1104" s="117" t="s">
        <v>149</v>
      </c>
      <c r="N1104" s="117" t="n">
        <v>8877</v>
      </c>
      <c r="O1104" s="117" t="s">
        <v>149</v>
      </c>
      <c r="P1104" s="117" t="n">
        <v>0</v>
      </c>
      <c r="Q1104" s="117" t="n">
        <v>0</v>
      </c>
      <c r="R1104" s="117" t="n">
        <v>8877</v>
      </c>
      <c r="S1104" s="117" t="n">
        <v>0</v>
      </c>
      <c r="T1104" s="117" t="n">
        <v>0</v>
      </c>
      <c r="U1104" s="117" t="n">
        <v>312193</v>
      </c>
      <c r="V1104" s="117" t="s">
        <v>1963</v>
      </c>
      <c r="X1104" s="117" t="s">
        <v>2573</v>
      </c>
      <c r="Z1104" s="117" t="n">
        <v>2316</v>
      </c>
      <c r="AB1104" s="117" t="s">
        <v>1965</v>
      </c>
      <c r="AD1104" s="117" t="n">
        <v>110000</v>
      </c>
      <c r="AE1104" s="117" t="s">
        <v>1966</v>
      </c>
      <c r="AF1104" s="117" t="n">
        <v>110000</v>
      </c>
      <c r="AG1104" s="117" t="s">
        <v>1966</v>
      </c>
      <c r="AI1104" s="117" t="n">
        <v>110000</v>
      </c>
      <c r="AJ1104" s="117" t="s">
        <v>1966</v>
      </c>
      <c r="AK1104" s="117" t="n">
        <v>0</v>
      </c>
      <c r="AL1104" s="117" t="n">
        <v>4</v>
      </c>
      <c r="AM1104" s="117" t="s">
        <v>161</v>
      </c>
      <c r="AR1104" s="118" t="n">
        <v>43831</v>
      </c>
      <c r="AS1104" s="117" t="n">
        <v>0.411388888888889</v>
      </c>
      <c r="AT1104" s="117" t="n">
        <v>0</v>
      </c>
      <c r="AU1104" s="117" t="n">
        <v>0</v>
      </c>
      <c r="AX1104" s="117" t="n">
        <v>1</v>
      </c>
    </row>
    <row r="1105" customFormat="false" ht="13.8" hidden="true" customHeight="false" outlineLevel="0" collapsed="false">
      <c r="A1105" s="117" t="n">
        <v>1000</v>
      </c>
      <c r="B1105" s="117" t="s">
        <v>1962</v>
      </c>
      <c r="C1105" s="117" t="n">
        <v>1600000288</v>
      </c>
      <c r="D1105" s="117" t="s">
        <v>2356</v>
      </c>
      <c r="E1105" s="117" t="s">
        <v>1987</v>
      </c>
      <c r="F1105" s="117" t="n">
        <v>1101</v>
      </c>
      <c r="G1105" s="117" t="n">
        <v>2019</v>
      </c>
      <c r="H1105" s="117" t="n">
        <v>8</v>
      </c>
      <c r="I1105" s="118" t="n">
        <v>43795</v>
      </c>
      <c r="J1105" s="118" t="n">
        <v>43795</v>
      </c>
      <c r="K1105" s="119" t="n">
        <v>-8806</v>
      </c>
      <c r="L1105" s="128" t="n">
        <f aca="false">K1105-Q1105+T1105</f>
        <v>-8806</v>
      </c>
      <c r="M1105" s="117" t="s">
        <v>149</v>
      </c>
      <c r="N1105" s="117" t="n">
        <v>-8806</v>
      </c>
      <c r="O1105" s="117" t="s">
        <v>149</v>
      </c>
      <c r="P1105" s="117" t="n">
        <v>-8806</v>
      </c>
      <c r="Q1105" s="117" t="n">
        <v>0</v>
      </c>
      <c r="R1105" s="117" t="n">
        <v>-8806</v>
      </c>
      <c r="S1105" s="117" t="n">
        <v>0</v>
      </c>
      <c r="T1105" s="117" t="n">
        <v>0</v>
      </c>
      <c r="U1105" s="117" t="n">
        <v>312193</v>
      </c>
      <c r="V1105" s="117" t="s">
        <v>1963</v>
      </c>
      <c r="X1105" s="117" t="s">
        <v>2574</v>
      </c>
      <c r="Y1105" s="117" t="s">
        <v>2358</v>
      </c>
      <c r="Z1105" s="117" t="n">
        <v>1600000288</v>
      </c>
      <c r="AD1105" s="117" t="n">
        <v>310300</v>
      </c>
      <c r="AE1105" s="117" t="s">
        <v>1969</v>
      </c>
      <c r="AF1105" s="117" t="n">
        <v>111201</v>
      </c>
      <c r="AG1105" s="117" t="s">
        <v>2165</v>
      </c>
      <c r="AI1105" s="117" t="n">
        <v>111201</v>
      </c>
      <c r="AJ1105" s="117" t="s">
        <v>2165</v>
      </c>
      <c r="AK1105" s="117" t="n">
        <v>0</v>
      </c>
      <c r="AL1105" s="117" t="n">
        <v>19</v>
      </c>
      <c r="AM1105" s="117" t="s">
        <v>225</v>
      </c>
      <c r="AN1105" s="117" t="s">
        <v>1978</v>
      </c>
      <c r="AP1105" s="117" t="n">
        <v>100173563</v>
      </c>
      <c r="AQ1105" s="118" t="n">
        <v>43799</v>
      </c>
      <c r="AR1105" s="118" t="n">
        <v>43795</v>
      </c>
      <c r="AS1105" s="117" t="n">
        <v>0.285</v>
      </c>
      <c r="AT1105" s="117" t="n">
        <v>0</v>
      </c>
      <c r="AU1105" s="117" t="n">
        <v>0</v>
      </c>
      <c r="AX1105" s="117" t="n">
        <v>25</v>
      </c>
    </row>
    <row r="1106" s="106" customFormat="true" ht="13.8" hidden="true" customHeight="false" outlineLevel="0" collapsed="false">
      <c r="A1106" s="106" t="n">
        <v>1000</v>
      </c>
      <c r="B1106" s="106" t="s">
        <v>1962</v>
      </c>
      <c r="C1106" s="106" t="n">
        <v>111487</v>
      </c>
      <c r="D1106" s="106" t="s">
        <v>2575</v>
      </c>
      <c r="E1106" s="106" t="s">
        <v>1970</v>
      </c>
      <c r="F1106" s="106" t="n">
        <v>1109</v>
      </c>
      <c r="G1106" s="106" t="n">
        <v>2019</v>
      </c>
      <c r="H1106" s="106" t="n">
        <v>10</v>
      </c>
      <c r="I1106" s="129" t="n">
        <v>43847</v>
      </c>
      <c r="J1106" s="129" t="n">
        <v>43847</v>
      </c>
      <c r="K1106" s="107" t="n">
        <v>781093.9</v>
      </c>
      <c r="L1106" s="130" t="n">
        <f aca="false">K1106-Q1106+T1106</f>
        <v>661943.98</v>
      </c>
      <c r="M1106" s="106" t="s">
        <v>149</v>
      </c>
      <c r="N1106" s="107" t="n">
        <v>781093.9</v>
      </c>
      <c r="O1106" s="106" t="s">
        <v>149</v>
      </c>
      <c r="P1106" s="106" t="n">
        <v>0</v>
      </c>
      <c r="Q1106" s="107" t="n">
        <v>119149.92</v>
      </c>
      <c r="R1106" s="107" t="n">
        <v>661943.98</v>
      </c>
      <c r="S1106" s="106" t="n">
        <v>0</v>
      </c>
      <c r="T1106" s="106" t="n">
        <v>0</v>
      </c>
      <c r="U1106" s="106" t="n">
        <v>309728</v>
      </c>
      <c r="V1106" s="106" t="s">
        <v>1968</v>
      </c>
      <c r="Z1106" s="106" t="n">
        <v>62731</v>
      </c>
      <c r="AB1106" s="106" t="s">
        <v>2531</v>
      </c>
      <c r="AD1106" s="106" t="n">
        <v>110000</v>
      </c>
      <c r="AE1106" s="106" t="s">
        <v>1966</v>
      </c>
      <c r="AF1106" s="106" t="n">
        <v>501005</v>
      </c>
      <c r="AG1106" s="106" t="s">
        <v>2033</v>
      </c>
      <c r="AI1106" s="106" t="n">
        <v>501005</v>
      </c>
      <c r="AJ1106" s="106" t="s">
        <v>2033</v>
      </c>
      <c r="AK1106" s="106" t="n">
        <v>0</v>
      </c>
      <c r="AL1106" s="106" t="n">
        <v>1</v>
      </c>
      <c r="AM1106" s="106" t="s">
        <v>161</v>
      </c>
      <c r="AP1106" s="106" t="n">
        <v>100229124</v>
      </c>
      <c r="AQ1106" s="129" t="n">
        <v>43856</v>
      </c>
      <c r="AR1106" s="129" t="n">
        <v>43847</v>
      </c>
      <c r="AS1106" s="106" t="n">
        <v>0.457002314814815</v>
      </c>
      <c r="AT1106" s="106" t="n">
        <v>0</v>
      </c>
      <c r="AU1106" s="106" t="n">
        <v>0</v>
      </c>
      <c r="AX1106" s="106" t="n">
        <v>1</v>
      </c>
      <c r="ALU1106" s="0"/>
      <c r="ALV1106" s="0"/>
      <c r="ALW1106" s="0"/>
      <c r="ALX1106" s="0"/>
      <c r="ALY1106" s="0"/>
      <c r="ALZ1106" s="0"/>
      <c r="AMA1106" s="0"/>
      <c r="AMB1106" s="0"/>
      <c r="AMC1106" s="0"/>
      <c r="AMD1106" s="0"/>
      <c r="AME1106" s="0"/>
      <c r="AMF1106" s="0"/>
      <c r="AMG1106" s="0"/>
      <c r="AMH1106" s="0"/>
      <c r="AMI1106" s="0"/>
      <c r="AMJ1106" s="0"/>
    </row>
    <row r="1107" customFormat="false" ht="13.8" hidden="true" customHeight="false" outlineLevel="0" collapsed="false">
      <c r="A1107" s="117" t="n">
        <v>1000</v>
      </c>
      <c r="B1107" s="117" t="s">
        <v>1962</v>
      </c>
      <c r="C1107" s="117" t="n">
        <v>100194020</v>
      </c>
      <c r="E1107" s="117" t="s">
        <v>1921</v>
      </c>
      <c r="F1107" s="117" t="n">
        <v>1109</v>
      </c>
      <c r="G1107" s="117" t="n">
        <v>2019</v>
      </c>
      <c r="H1107" s="117" t="n">
        <v>9</v>
      </c>
      <c r="I1107" s="118" t="n">
        <v>43824</v>
      </c>
      <c r="J1107" s="118" t="n">
        <v>43824</v>
      </c>
      <c r="K1107" s="119" t="n">
        <v>576</v>
      </c>
      <c r="L1107" s="128" t="n">
        <f aca="false">K1107-Q1107+T1107</f>
        <v>576</v>
      </c>
      <c r="M1107" s="117" t="s">
        <v>149</v>
      </c>
      <c r="N1107" s="117" t="n">
        <v>576</v>
      </c>
      <c r="O1107" s="117" t="s">
        <v>149</v>
      </c>
      <c r="P1107" s="117" t="n">
        <v>0</v>
      </c>
      <c r="Q1107" s="117" t="n">
        <v>0</v>
      </c>
      <c r="R1107" s="117" t="n">
        <v>576</v>
      </c>
      <c r="S1107" s="117" t="n">
        <v>0</v>
      </c>
      <c r="T1107" s="117" t="n">
        <v>0</v>
      </c>
      <c r="U1107" s="117" t="n">
        <v>304431</v>
      </c>
      <c r="V1107" s="117" t="s">
        <v>2016</v>
      </c>
      <c r="X1107" s="117" t="s">
        <v>2576</v>
      </c>
      <c r="Z1107" s="117" t="n">
        <v>2417</v>
      </c>
      <c r="AB1107" s="117" t="s">
        <v>2082</v>
      </c>
      <c r="AD1107" s="117" t="n">
        <v>110000</v>
      </c>
      <c r="AE1107" s="117" t="s">
        <v>1966</v>
      </c>
      <c r="AF1107" s="117" t="n">
        <v>310300</v>
      </c>
      <c r="AG1107" s="117" t="s">
        <v>1969</v>
      </c>
      <c r="AI1107" s="117" t="n">
        <v>310300</v>
      </c>
      <c r="AJ1107" s="117" t="s">
        <v>1969</v>
      </c>
      <c r="AK1107" s="117" t="n">
        <v>0</v>
      </c>
      <c r="AL1107" s="117" t="n">
        <v>4</v>
      </c>
      <c r="AM1107" s="117" t="s">
        <v>161</v>
      </c>
      <c r="AR1107" s="118" t="n">
        <v>43824</v>
      </c>
      <c r="AS1107" s="117" t="n">
        <v>0.357604166666667</v>
      </c>
      <c r="AT1107" s="117" t="n">
        <v>0</v>
      </c>
      <c r="AU1107" s="117" t="n">
        <v>0</v>
      </c>
      <c r="AX1107" s="117" t="n">
        <v>1</v>
      </c>
    </row>
    <row r="1108" customFormat="false" ht="13.8" hidden="true" customHeight="false" outlineLevel="0" collapsed="false">
      <c r="A1108" s="117" t="n">
        <v>1000</v>
      </c>
      <c r="B1108" s="117" t="s">
        <v>1962</v>
      </c>
      <c r="C1108" s="117" t="n">
        <v>100141416</v>
      </c>
      <c r="E1108" s="117" t="s">
        <v>1921</v>
      </c>
      <c r="F1108" s="117" t="n">
        <v>1109</v>
      </c>
      <c r="G1108" s="117" t="n">
        <v>2019</v>
      </c>
      <c r="H1108" s="117" t="n">
        <v>7</v>
      </c>
      <c r="I1108" s="118" t="n">
        <v>43766</v>
      </c>
      <c r="J1108" s="118" t="n">
        <v>43766</v>
      </c>
      <c r="K1108" s="119" t="n">
        <v>2043</v>
      </c>
      <c r="L1108" s="128" t="n">
        <f aca="false">K1108-Q1108+T1108</f>
        <v>2043</v>
      </c>
      <c r="M1108" s="117" t="s">
        <v>149</v>
      </c>
      <c r="N1108" s="117" t="n">
        <v>2043</v>
      </c>
      <c r="O1108" s="117" t="s">
        <v>149</v>
      </c>
      <c r="P1108" s="117" t="n">
        <v>0</v>
      </c>
      <c r="Q1108" s="117" t="n">
        <v>0</v>
      </c>
      <c r="R1108" s="117" t="n">
        <v>2043</v>
      </c>
      <c r="S1108" s="117" t="n">
        <v>0</v>
      </c>
      <c r="T1108" s="117" t="n">
        <v>0</v>
      </c>
      <c r="U1108" s="117" t="n">
        <v>304431</v>
      </c>
      <c r="V1108" s="117" t="s">
        <v>2016</v>
      </c>
      <c r="X1108" s="117" t="s">
        <v>2577</v>
      </c>
      <c r="Z1108" s="117" t="n">
        <v>2447</v>
      </c>
      <c r="AB1108" s="117" t="s">
        <v>2052</v>
      </c>
      <c r="AD1108" s="117" t="n">
        <v>110000</v>
      </c>
      <c r="AE1108" s="117" t="s">
        <v>1966</v>
      </c>
      <c r="AF1108" s="117" t="n">
        <v>110000</v>
      </c>
      <c r="AG1108" s="117" t="s">
        <v>1966</v>
      </c>
      <c r="AI1108" s="117" t="n">
        <v>110000</v>
      </c>
      <c r="AJ1108" s="117" t="s">
        <v>1966</v>
      </c>
      <c r="AK1108" s="117" t="n">
        <v>0</v>
      </c>
      <c r="AL1108" s="117" t="n">
        <v>4</v>
      </c>
      <c r="AM1108" s="117" t="s">
        <v>161</v>
      </c>
      <c r="AP1108" s="117" t="n">
        <v>100172891</v>
      </c>
      <c r="AQ1108" s="118" t="n">
        <v>43799</v>
      </c>
      <c r="AR1108" s="118" t="n">
        <v>43766</v>
      </c>
      <c r="AS1108" s="117" t="n">
        <v>0.331469907407407</v>
      </c>
      <c r="AT1108" s="117" t="n">
        <v>0</v>
      </c>
      <c r="AU1108" s="117" t="n">
        <v>0</v>
      </c>
      <c r="AX1108" s="117" t="n">
        <v>2</v>
      </c>
    </row>
    <row r="1109" customFormat="false" ht="13.8" hidden="true" customHeight="false" outlineLevel="0" collapsed="false">
      <c r="A1109" s="117" t="n">
        <v>1000</v>
      </c>
      <c r="B1109" s="117" t="s">
        <v>1962</v>
      </c>
      <c r="C1109" s="117" t="n">
        <v>1600000315</v>
      </c>
      <c r="D1109" s="117" t="s">
        <v>2354</v>
      </c>
      <c r="E1109" s="117" t="s">
        <v>1987</v>
      </c>
      <c r="F1109" s="117" t="n">
        <v>1101</v>
      </c>
      <c r="G1109" s="117" t="n">
        <v>2019</v>
      </c>
      <c r="H1109" s="117" t="n">
        <v>8</v>
      </c>
      <c r="I1109" s="118" t="n">
        <v>43798</v>
      </c>
      <c r="J1109" s="118" t="n">
        <v>43798</v>
      </c>
      <c r="K1109" s="119" t="n">
        <v>-9127</v>
      </c>
      <c r="L1109" s="128" t="n">
        <f aca="false">K1109-Q1109+T1109</f>
        <v>-9127</v>
      </c>
      <c r="M1109" s="117" t="s">
        <v>149</v>
      </c>
      <c r="N1109" s="117" t="n">
        <v>-9127</v>
      </c>
      <c r="O1109" s="117" t="s">
        <v>149</v>
      </c>
      <c r="P1109" s="117" t="n">
        <v>-9127</v>
      </c>
      <c r="Q1109" s="117" t="n">
        <v>0</v>
      </c>
      <c r="R1109" s="117" t="n">
        <v>-9127</v>
      </c>
      <c r="S1109" s="117" t="n">
        <v>0</v>
      </c>
      <c r="T1109" s="117" t="n">
        <v>0</v>
      </c>
      <c r="U1109" s="117" t="n">
        <v>312193</v>
      </c>
      <c r="V1109" s="117" t="s">
        <v>1963</v>
      </c>
      <c r="X1109" s="117" t="s">
        <v>2578</v>
      </c>
      <c r="Y1109" s="117" t="s">
        <v>2354</v>
      </c>
      <c r="Z1109" s="117" t="n">
        <v>1600000315</v>
      </c>
      <c r="AD1109" s="117" t="n">
        <v>310300</v>
      </c>
      <c r="AE1109" s="117" t="s">
        <v>1969</v>
      </c>
      <c r="AF1109" s="117" t="n">
        <v>111201</v>
      </c>
      <c r="AG1109" s="117" t="s">
        <v>2165</v>
      </c>
      <c r="AI1109" s="117" t="n">
        <v>111201</v>
      </c>
      <c r="AJ1109" s="117" t="s">
        <v>2165</v>
      </c>
      <c r="AK1109" s="117" t="n">
        <v>0</v>
      </c>
      <c r="AL1109" s="117" t="n">
        <v>19</v>
      </c>
      <c r="AM1109" s="117" t="s">
        <v>225</v>
      </c>
      <c r="AN1109" s="117" t="s">
        <v>1978</v>
      </c>
      <c r="AP1109" s="117" t="n">
        <v>100173563</v>
      </c>
      <c r="AQ1109" s="118" t="n">
        <v>43799</v>
      </c>
      <c r="AR1109" s="118" t="n">
        <v>43798</v>
      </c>
      <c r="AS1109" s="117" t="n">
        <v>0.954837962962963</v>
      </c>
      <c r="AT1109" s="117" t="n">
        <v>0</v>
      </c>
      <c r="AU1109" s="117" t="n">
        <v>0</v>
      </c>
      <c r="AX1109" s="117" t="n">
        <v>29</v>
      </c>
    </row>
    <row r="1110" customFormat="false" ht="13.8" hidden="true" customHeight="false" outlineLevel="0" collapsed="false">
      <c r="A1110" s="117" t="n">
        <v>1000</v>
      </c>
      <c r="B1110" s="117" t="s">
        <v>1962</v>
      </c>
      <c r="C1110" s="117" t="n">
        <v>100143928</v>
      </c>
      <c r="E1110" s="117" t="s">
        <v>1921</v>
      </c>
      <c r="F1110" s="117" t="n">
        <v>1109</v>
      </c>
      <c r="G1110" s="117" t="n">
        <v>2019</v>
      </c>
      <c r="H1110" s="117" t="n">
        <v>7</v>
      </c>
      <c r="I1110" s="118" t="n">
        <v>43769</v>
      </c>
      <c r="J1110" s="118" t="n">
        <v>43769</v>
      </c>
      <c r="K1110" s="119" t="n">
        <v>255509.38</v>
      </c>
      <c r="L1110" s="128" t="n">
        <f aca="false">K1110-Q1110+T1110</f>
        <v>255509.38</v>
      </c>
      <c r="M1110" s="117" t="s">
        <v>149</v>
      </c>
      <c r="N1110" s="117" t="n">
        <v>255509.38</v>
      </c>
      <c r="O1110" s="117" t="s">
        <v>149</v>
      </c>
      <c r="P1110" s="117" t="n">
        <v>0</v>
      </c>
      <c r="Q1110" s="117" t="n">
        <v>0</v>
      </c>
      <c r="R1110" s="117" t="n">
        <v>255509.38</v>
      </c>
      <c r="S1110" s="117" t="n">
        <v>0</v>
      </c>
      <c r="T1110" s="117" t="n">
        <v>0</v>
      </c>
      <c r="U1110" s="117" t="n">
        <v>310187</v>
      </c>
      <c r="V1110" s="117" t="s">
        <v>2394</v>
      </c>
      <c r="X1110" s="117" t="s">
        <v>2400</v>
      </c>
      <c r="Z1110" s="117" t="n">
        <v>61379</v>
      </c>
      <c r="AB1110" s="117" t="s">
        <v>2401</v>
      </c>
      <c r="AD1110" s="117" t="n">
        <v>110000</v>
      </c>
      <c r="AE1110" s="117" t="s">
        <v>1966</v>
      </c>
      <c r="AF1110" s="117" t="n">
        <v>110000</v>
      </c>
      <c r="AG1110" s="117" t="s">
        <v>1966</v>
      </c>
      <c r="AI1110" s="117" t="n">
        <v>110000</v>
      </c>
      <c r="AJ1110" s="117" t="s">
        <v>1966</v>
      </c>
      <c r="AK1110" s="117" t="n">
        <v>0</v>
      </c>
      <c r="AL1110" s="117" t="n">
        <v>4</v>
      </c>
      <c r="AM1110" s="117" t="s">
        <v>161</v>
      </c>
      <c r="AP1110" s="117" t="n">
        <v>100229128</v>
      </c>
      <c r="AQ1110" s="118" t="n">
        <v>43856</v>
      </c>
      <c r="AR1110" s="118" t="n">
        <v>43770</v>
      </c>
      <c r="AS1110" s="117" t="n">
        <v>0.203842592592593</v>
      </c>
      <c r="AT1110" s="117" t="n">
        <v>0</v>
      </c>
      <c r="AU1110" s="117" t="n">
        <v>0</v>
      </c>
      <c r="AX1110" s="117" t="n">
        <v>1</v>
      </c>
    </row>
    <row r="1111" s="106" customFormat="true" ht="13.8" hidden="true" customHeight="false" outlineLevel="0" collapsed="false">
      <c r="A1111" s="106" t="n">
        <v>1000</v>
      </c>
      <c r="B1111" s="106" t="s">
        <v>1962</v>
      </c>
      <c r="C1111" s="106" t="n">
        <v>113356</v>
      </c>
      <c r="D1111" s="106" t="s">
        <v>2579</v>
      </c>
      <c r="E1111" s="106" t="s">
        <v>1970</v>
      </c>
      <c r="F1111" s="106" t="n">
        <v>1109</v>
      </c>
      <c r="G1111" s="106" t="n">
        <v>2019</v>
      </c>
      <c r="H1111" s="106" t="n">
        <v>11</v>
      </c>
      <c r="I1111" s="129" t="n">
        <v>43889</v>
      </c>
      <c r="J1111" s="129" t="n">
        <v>43889</v>
      </c>
      <c r="K1111" s="107" t="n">
        <v>797495.35</v>
      </c>
      <c r="L1111" s="130" t="n">
        <f aca="false">K1111-Q1111+T1111</f>
        <v>675843.52</v>
      </c>
      <c r="M1111" s="106" t="s">
        <v>149</v>
      </c>
      <c r="N1111" s="107" t="n">
        <v>797495.35</v>
      </c>
      <c r="O1111" s="106" t="s">
        <v>149</v>
      </c>
      <c r="P1111" s="106" t="n">
        <v>0</v>
      </c>
      <c r="Q1111" s="107" t="n">
        <v>121651.83</v>
      </c>
      <c r="R1111" s="107" t="n">
        <v>675843.52</v>
      </c>
      <c r="S1111" s="106" t="n">
        <v>0</v>
      </c>
      <c r="T1111" s="106" t="n">
        <v>0</v>
      </c>
      <c r="U1111" s="106" t="n">
        <v>312193</v>
      </c>
      <c r="V1111" s="106" t="s">
        <v>1963</v>
      </c>
      <c r="Z1111" s="106" t="n">
        <v>2495</v>
      </c>
      <c r="AB1111" s="106" t="s">
        <v>2451</v>
      </c>
      <c r="AD1111" s="106" t="n">
        <v>110000</v>
      </c>
      <c r="AE1111" s="106" t="s">
        <v>1966</v>
      </c>
      <c r="AF1111" s="106" t="n">
        <v>501020</v>
      </c>
      <c r="AG1111" s="106" t="s">
        <v>1971</v>
      </c>
      <c r="AI1111" s="106" t="n">
        <v>501020</v>
      </c>
      <c r="AJ1111" s="106" t="s">
        <v>1971</v>
      </c>
      <c r="AK1111" s="106" t="n">
        <v>0</v>
      </c>
      <c r="AL1111" s="106" t="n">
        <v>1</v>
      </c>
      <c r="AM1111" s="106" t="s">
        <v>161</v>
      </c>
      <c r="AP1111" s="106" t="n">
        <v>100277640</v>
      </c>
      <c r="AQ1111" s="129" t="n">
        <v>43890</v>
      </c>
      <c r="AR1111" s="129" t="n">
        <v>43889</v>
      </c>
      <c r="AS1111" s="106" t="n">
        <v>0.593553240740741</v>
      </c>
      <c r="AT1111" s="106" t="n">
        <v>0</v>
      </c>
      <c r="AU1111" s="106" t="n">
        <v>0</v>
      </c>
      <c r="AX1111" s="106" t="n">
        <v>1</v>
      </c>
      <c r="ALU1111" s="0"/>
      <c r="ALV1111" s="0"/>
      <c r="ALW1111" s="0"/>
      <c r="ALX1111" s="0"/>
      <c r="ALY1111" s="0"/>
      <c r="ALZ1111" s="0"/>
      <c r="AMA1111" s="0"/>
      <c r="AMB1111" s="0"/>
      <c r="AMC1111" s="0"/>
      <c r="AMD1111" s="0"/>
      <c r="AME1111" s="0"/>
      <c r="AMF1111" s="0"/>
      <c r="AMG1111" s="0"/>
      <c r="AMH1111" s="0"/>
      <c r="AMI1111" s="0"/>
      <c r="AMJ1111" s="0"/>
    </row>
    <row r="1112" customFormat="false" ht="13.8" hidden="true" customHeight="false" outlineLevel="0" collapsed="false">
      <c r="A1112" s="117" t="n">
        <v>1000</v>
      </c>
      <c r="B1112" s="117" t="s">
        <v>1962</v>
      </c>
      <c r="C1112" s="117" t="n">
        <v>100173605</v>
      </c>
      <c r="E1112" s="117" t="s">
        <v>1921</v>
      </c>
      <c r="F1112" s="117" t="n">
        <v>1101</v>
      </c>
      <c r="G1112" s="117" t="n">
        <v>2019</v>
      </c>
      <c r="H1112" s="117" t="n">
        <v>8</v>
      </c>
      <c r="I1112" s="118" t="n">
        <v>43799</v>
      </c>
      <c r="J1112" s="118" t="n">
        <v>43799</v>
      </c>
      <c r="K1112" s="119" t="n">
        <v>-0.01</v>
      </c>
      <c r="L1112" s="128" t="n">
        <f aca="false">K1112-Q1112+T1112</f>
        <v>-0.01</v>
      </c>
      <c r="M1112" s="117" t="s">
        <v>149</v>
      </c>
      <c r="N1112" s="117" t="n">
        <v>-0.01</v>
      </c>
      <c r="O1112" s="117" t="s">
        <v>149</v>
      </c>
      <c r="P1112" s="117" t="n">
        <v>0</v>
      </c>
      <c r="Q1112" s="117" t="n">
        <v>0</v>
      </c>
      <c r="R1112" s="117" t="n">
        <v>-0.01</v>
      </c>
      <c r="S1112" s="117" t="n">
        <v>0</v>
      </c>
      <c r="T1112" s="117" t="n">
        <v>0</v>
      </c>
      <c r="U1112" s="117" t="n">
        <v>318999</v>
      </c>
      <c r="V1112" s="117" t="s">
        <v>143</v>
      </c>
      <c r="Z1112" s="117" t="n">
        <v>100173605</v>
      </c>
      <c r="AD1112" s="117" t="n">
        <v>310300</v>
      </c>
      <c r="AE1112" s="117" t="s">
        <v>1969</v>
      </c>
      <c r="AF1112" s="117" t="n">
        <v>310300</v>
      </c>
      <c r="AG1112" s="117" t="s">
        <v>1969</v>
      </c>
      <c r="AI1112" s="117" t="n">
        <v>310300</v>
      </c>
      <c r="AJ1112" s="117" t="s">
        <v>1969</v>
      </c>
      <c r="AK1112" s="117" t="n">
        <v>0</v>
      </c>
      <c r="AL1112" s="117" t="n">
        <v>19</v>
      </c>
      <c r="AM1112" s="117" t="s">
        <v>225</v>
      </c>
      <c r="AN1112" s="117" t="s">
        <v>1978</v>
      </c>
      <c r="AR1112" s="118" t="n">
        <v>43800</v>
      </c>
      <c r="AS1112" s="117" t="n">
        <v>0.706608796296296</v>
      </c>
      <c r="AT1112" s="117" t="n">
        <v>0</v>
      </c>
      <c r="AU1112" s="117" t="n">
        <v>0</v>
      </c>
      <c r="AX1112" s="117" t="n">
        <v>1</v>
      </c>
    </row>
    <row r="1113" s="106" customFormat="true" ht="13.8" hidden="true" customHeight="false" outlineLevel="0" collapsed="false">
      <c r="A1113" s="106" t="n">
        <v>1000</v>
      </c>
      <c r="B1113" s="106" t="s">
        <v>1962</v>
      </c>
      <c r="C1113" s="106" t="n">
        <v>101118</v>
      </c>
      <c r="D1113" s="106" t="s">
        <v>2240</v>
      </c>
      <c r="E1113" s="106" t="s">
        <v>1970</v>
      </c>
      <c r="F1113" s="106" t="n">
        <v>1109</v>
      </c>
      <c r="G1113" s="106" t="n">
        <v>2019</v>
      </c>
      <c r="H1113" s="106" t="n">
        <v>1</v>
      </c>
      <c r="I1113" s="129" t="n">
        <v>43585</v>
      </c>
      <c r="J1113" s="129" t="n">
        <v>43585</v>
      </c>
      <c r="K1113" s="107" t="n">
        <v>478962</v>
      </c>
      <c r="L1113" s="130" t="n">
        <f aca="false">K1113-Q1113+T1113</f>
        <v>405900</v>
      </c>
      <c r="M1113" s="106" t="s">
        <v>149</v>
      </c>
      <c r="N1113" s="106" t="n">
        <v>478962</v>
      </c>
      <c r="O1113" s="106" t="s">
        <v>149</v>
      </c>
      <c r="P1113" s="106" t="n">
        <v>0</v>
      </c>
      <c r="Q1113" s="107" t="n">
        <v>73062</v>
      </c>
      <c r="R1113" s="106" t="n">
        <v>405900</v>
      </c>
      <c r="S1113" s="106" t="n">
        <v>0</v>
      </c>
      <c r="T1113" s="106" t="n">
        <v>0</v>
      </c>
      <c r="U1113" s="106" t="n">
        <v>312193</v>
      </c>
      <c r="V1113" s="106" t="s">
        <v>1963</v>
      </c>
      <c r="Z1113" s="106" t="n">
        <v>2316</v>
      </c>
      <c r="AB1113" s="106" t="s">
        <v>1965</v>
      </c>
      <c r="AD1113" s="106" t="n">
        <v>110000</v>
      </c>
      <c r="AE1113" s="106" t="s">
        <v>1966</v>
      </c>
      <c r="AF1113" s="106" t="n">
        <v>501020</v>
      </c>
      <c r="AG1113" s="106" t="s">
        <v>1971</v>
      </c>
      <c r="AI1113" s="106" t="n">
        <v>501020</v>
      </c>
      <c r="AJ1113" s="106" t="s">
        <v>1971</v>
      </c>
      <c r="AK1113" s="106" t="n">
        <v>0</v>
      </c>
      <c r="AL1113" s="106" t="n">
        <v>1</v>
      </c>
      <c r="AM1113" s="106" t="s">
        <v>161</v>
      </c>
      <c r="AP1113" s="106" t="n">
        <v>100005107</v>
      </c>
      <c r="AQ1113" s="129" t="n">
        <v>43585</v>
      </c>
      <c r="AR1113" s="129" t="n">
        <v>43585</v>
      </c>
      <c r="AS1113" s="106" t="n">
        <v>0.63212962962963</v>
      </c>
      <c r="AT1113" s="106" t="n">
        <v>0</v>
      </c>
      <c r="AU1113" s="106" t="n">
        <v>0</v>
      </c>
      <c r="AX1113" s="106" t="n">
        <v>1</v>
      </c>
      <c r="ALU1113" s="0"/>
      <c r="ALV1113" s="0"/>
      <c r="ALW1113" s="0"/>
      <c r="ALX1113" s="0"/>
      <c r="ALY1113" s="0"/>
      <c r="ALZ1113" s="0"/>
      <c r="AMA1113" s="0"/>
      <c r="AMB1113" s="0"/>
      <c r="AMC1113" s="0"/>
      <c r="AMD1113" s="0"/>
      <c r="AME1113" s="0"/>
      <c r="AMF1113" s="0"/>
      <c r="AMG1113" s="0"/>
      <c r="AMH1113" s="0"/>
      <c r="AMI1113" s="0"/>
      <c r="AMJ1113" s="0"/>
    </row>
    <row r="1114" customFormat="false" ht="13.8" hidden="true" customHeight="false" outlineLevel="0" collapsed="false">
      <c r="A1114" s="117" t="n">
        <v>1000</v>
      </c>
      <c r="B1114" s="117" t="s">
        <v>1962</v>
      </c>
      <c r="C1114" s="117" t="n">
        <v>100173566</v>
      </c>
      <c r="E1114" s="117" t="s">
        <v>1921</v>
      </c>
      <c r="F1114" s="117" t="n">
        <v>1101</v>
      </c>
      <c r="G1114" s="117" t="n">
        <v>2019</v>
      </c>
      <c r="H1114" s="117" t="n">
        <v>8</v>
      </c>
      <c r="I1114" s="118" t="n">
        <v>43799</v>
      </c>
      <c r="J1114" s="118" t="n">
        <v>43799</v>
      </c>
      <c r="K1114" s="119" t="n">
        <v>440540.73</v>
      </c>
      <c r="L1114" s="128" t="n">
        <f aca="false">K1114-Q1114+T1114</f>
        <v>440540.73</v>
      </c>
      <c r="M1114" s="117" t="s">
        <v>149</v>
      </c>
      <c r="N1114" s="117" t="n">
        <v>440540.73</v>
      </c>
      <c r="O1114" s="117" t="s">
        <v>149</v>
      </c>
      <c r="P1114" s="117" t="n">
        <v>0</v>
      </c>
      <c r="Q1114" s="117" t="n">
        <v>0</v>
      </c>
      <c r="R1114" s="117" t="n">
        <v>440540.73</v>
      </c>
      <c r="S1114" s="117" t="n">
        <v>0</v>
      </c>
      <c r="T1114" s="117" t="n">
        <v>0</v>
      </c>
      <c r="U1114" s="117" t="n">
        <v>315113</v>
      </c>
      <c r="V1114" s="117" t="s">
        <v>143</v>
      </c>
      <c r="Z1114" s="117" t="n">
        <v>100173566</v>
      </c>
      <c r="AD1114" s="117" t="n">
        <v>310300</v>
      </c>
      <c r="AE1114" s="117" t="s">
        <v>1969</v>
      </c>
      <c r="AF1114" s="117" t="n">
        <v>111105</v>
      </c>
      <c r="AG1114" s="117" t="s">
        <v>1994</v>
      </c>
      <c r="AI1114" s="117" t="n">
        <v>111105</v>
      </c>
      <c r="AJ1114" s="117" t="s">
        <v>1994</v>
      </c>
      <c r="AK1114" s="117" t="n">
        <v>0</v>
      </c>
      <c r="AL1114" s="117" t="n">
        <v>9</v>
      </c>
      <c r="AM1114" s="117" t="s">
        <v>161</v>
      </c>
      <c r="AN1114" s="117" t="s">
        <v>1978</v>
      </c>
      <c r="AP1114" s="117" t="n">
        <v>100173566</v>
      </c>
      <c r="AQ1114" s="118" t="n">
        <v>43799</v>
      </c>
      <c r="AR1114" s="118" t="n">
        <v>43800</v>
      </c>
      <c r="AS1114" s="117" t="n">
        <v>0.660671296296296</v>
      </c>
      <c r="AT1114" s="117" t="n">
        <v>0</v>
      </c>
      <c r="AU1114" s="117" t="n">
        <v>0</v>
      </c>
      <c r="AX1114" s="117" t="n">
        <v>4</v>
      </c>
    </row>
    <row r="1115" customFormat="false" ht="13.8" hidden="true" customHeight="false" outlineLevel="0" collapsed="false">
      <c r="A1115" s="117" t="n">
        <v>1000</v>
      </c>
      <c r="B1115" s="117" t="s">
        <v>1962</v>
      </c>
      <c r="C1115" s="117" t="n">
        <v>100194025</v>
      </c>
      <c r="E1115" s="117" t="s">
        <v>1921</v>
      </c>
      <c r="F1115" s="117" t="n">
        <v>1112</v>
      </c>
      <c r="G1115" s="117" t="n">
        <v>2019</v>
      </c>
      <c r="H1115" s="117" t="n">
        <v>9</v>
      </c>
      <c r="I1115" s="118" t="n">
        <v>43824</v>
      </c>
      <c r="J1115" s="118" t="n">
        <v>43824</v>
      </c>
      <c r="K1115" s="119" t="n">
        <v>17751.2</v>
      </c>
      <c r="L1115" s="128" t="n">
        <f aca="false">K1115-Q1115+T1115</f>
        <v>17751.2</v>
      </c>
      <c r="M1115" s="117" t="s">
        <v>149</v>
      </c>
      <c r="N1115" s="117" t="n">
        <v>17751.2</v>
      </c>
      <c r="O1115" s="117" t="s">
        <v>149</v>
      </c>
      <c r="P1115" s="117" t="n">
        <v>0</v>
      </c>
      <c r="Q1115" s="117" t="n">
        <v>0</v>
      </c>
      <c r="R1115" s="117" t="n">
        <v>17751.2</v>
      </c>
      <c r="S1115" s="117" t="n">
        <v>0</v>
      </c>
      <c r="T1115" s="117" t="n">
        <v>0</v>
      </c>
      <c r="U1115" s="117" t="n">
        <v>312193</v>
      </c>
      <c r="V1115" s="117" t="s">
        <v>1963</v>
      </c>
      <c r="X1115" s="117" t="s">
        <v>1773</v>
      </c>
      <c r="Z1115" s="117" t="n">
        <v>62148</v>
      </c>
      <c r="AB1115" s="117" t="s">
        <v>2362</v>
      </c>
      <c r="AD1115" s="117" t="n">
        <v>110000</v>
      </c>
      <c r="AE1115" s="117" t="s">
        <v>1966</v>
      </c>
      <c r="AF1115" s="117" t="n">
        <v>110000</v>
      </c>
      <c r="AG1115" s="117" t="s">
        <v>1966</v>
      </c>
      <c r="AI1115" s="117" t="n">
        <v>110000</v>
      </c>
      <c r="AJ1115" s="117" t="s">
        <v>1966</v>
      </c>
      <c r="AK1115" s="117" t="n">
        <v>0</v>
      </c>
      <c r="AL1115" s="117" t="n">
        <v>4</v>
      </c>
      <c r="AM1115" s="117" t="s">
        <v>161</v>
      </c>
      <c r="AR1115" s="118" t="n">
        <v>43824</v>
      </c>
      <c r="AS1115" s="117" t="n">
        <v>0.371284722222222</v>
      </c>
      <c r="AT1115" s="117" t="n">
        <v>0</v>
      </c>
      <c r="AU1115" s="117" t="n">
        <v>0</v>
      </c>
      <c r="AX1115" s="117" t="n">
        <v>4</v>
      </c>
    </row>
    <row r="1116" customFormat="false" ht="13.8" hidden="true" customHeight="false" outlineLevel="0" collapsed="false">
      <c r="A1116" s="117" t="n">
        <v>1000</v>
      </c>
      <c r="B1116" s="117" t="s">
        <v>1962</v>
      </c>
      <c r="C1116" s="117" t="n">
        <v>1400008493</v>
      </c>
      <c r="E1116" s="117" t="s">
        <v>1972</v>
      </c>
      <c r="F1116" s="117" t="n">
        <v>1101</v>
      </c>
      <c r="G1116" s="117" t="n">
        <v>2019</v>
      </c>
      <c r="H1116" s="117" t="n">
        <v>9</v>
      </c>
      <c r="I1116" s="118" t="n">
        <v>43810</v>
      </c>
      <c r="J1116" s="118" t="n">
        <v>43810</v>
      </c>
      <c r="K1116" s="119" t="n">
        <v>-1739403.83</v>
      </c>
      <c r="L1116" s="128" t="n">
        <f aca="false">K1116-Q1116+T1116</f>
        <v>-1739403.83</v>
      </c>
      <c r="M1116" s="117" t="s">
        <v>149</v>
      </c>
      <c r="N1116" s="117" t="n">
        <v>-1739403.83</v>
      </c>
      <c r="O1116" s="117" t="s">
        <v>149</v>
      </c>
      <c r="P1116" s="117" t="n">
        <v>0</v>
      </c>
      <c r="Q1116" s="117" t="n">
        <v>0</v>
      </c>
      <c r="R1116" s="117" t="n">
        <v>-1739403.83</v>
      </c>
      <c r="S1116" s="117" t="n">
        <v>0</v>
      </c>
      <c r="T1116" s="117" t="n">
        <v>0</v>
      </c>
      <c r="U1116" s="117" t="n">
        <v>313029</v>
      </c>
      <c r="V1116" s="117" t="s">
        <v>143</v>
      </c>
      <c r="X1116" s="117" t="s">
        <v>2580</v>
      </c>
      <c r="Y1116" s="117" t="s">
        <v>2581</v>
      </c>
      <c r="Z1116" s="117" t="n">
        <v>1400008493</v>
      </c>
      <c r="AC1116" s="117" t="s">
        <v>1976</v>
      </c>
      <c r="AD1116" s="117" t="n">
        <v>310300</v>
      </c>
      <c r="AE1116" s="117" t="s">
        <v>1969</v>
      </c>
      <c r="AF1116" s="117" t="n">
        <v>101105</v>
      </c>
      <c r="AG1116" s="117" t="s">
        <v>1977</v>
      </c>
      <c r="AI1116" s="117" t="n">
        <v>101105</v>
      </c>
      <c r="AJ1116" s="117" t="s">
        <v>1977</v>
      </c>
      <c r="AK1116" s="117" t="n">
        <v>0</v>
      </c>
      <c r="AL1116" s="117" t="n">
        <v>19</v>
      </c>
      <c r="AM1116" s="117" t="s">
        <v>225</v>
      </c>
      <c r="AN1116" s="117" t="s">
        <v>1978</v>
      </c>
      <c r="AP1116" s="117" t="n">
        <v>100194026</v>
      </c>
      <c r="AQ1116" s="118" t="n">
        <v>43824</v>
      </c>
      <c r="AR1116" s="118" t="n">
        <v>43811</v>
      </c>
      <c r="AS1116" s="117" t="n">
        <v>0.545034722222222</v>
      </c>
      <c r="AT1116" s="117" t="n">
        <v>0</v>
      </c>
      <c r="AU1116" s="117" t="n">
        <v>0</v>
      </c>
      <c r="AX1116" s="117" t="n">
        <v>2</v>
      </c>
    </row>
    <row r="1117" customFormat="false" ht="13.8" hidden="true" customHeight="false" outlineLevel="0" collapsed="false">
      <c r="A1117" s="117" t="n">
        <v>1000</v>
      </c>
      <c r="B1117" s="117" t="s">
        <v>1962</v>
      </c>
      <c r="C1117" s="117" t="n">
        <v>1600000352</v>
      </c>
      <c r="D1117" s="117" t="s">
        <v>2458</v>
      </c>
      <c r="E1117" s="117" t="s">
        <v>1987</v>
      </c>
      <c r="F1117" s="117" t="n">
        <v>1106</v>
      </c>
      <c r="G1117" s="117" t="n">
        <v>2019</v>
      </c>
      <c r="H1117" s="117" t="n">
        <v>8</v>
      </c>
      <c r="I1117" s="118" t="n">
        <v>43799</v>
      </c>
      <c r="J1117" s="118" t="n">
        <v>43799</v>
      </c>
      <c r="K1117" s="119" t="n">
        <v>-7774.53</v>
      </c>
      <c r="L1117" s="128" t="n">
        <f aca="false">K1117-Q1117+T1117</f>
        <v>-7774.53</v>
      </c>
      <c r="M1117" s="117" t="s">
        <v>149</v>
      </c>
      <c r="N1117" s="117" t="n">
        <v>-7774.53</v>
      </c>
      <c r="O1117" s="117" t="s">
        <v>149</v>
      </c>
      <c r="P1117" s="117" t="n">
        <v>-7774.53</v>
      </c>
      <c r="Q1117" s="117" t="n">
        <v>0</v>
      </c>
      <c r="R1117" s="117" t="n">
        <v>-7774.53</v>
      </c>
      <c r="S1117" s="117" t="n">
        <v>0</v>
      </c>
      <c r="T1117" s="117" t="n">
        <v>0</v>
      </c>
      <c r="U1117" s="117" t="n">
        <v>315113</v>
      </c>
      <c r="V1117" s="117" t="s">
        <v>143</v>
      </c>
      <c r="X1117" s="117" t="s">
        <v>2458</v>
      </c>
      <c r="Y1117" s="117" t="s">
        <v>2458</v>
      </c>
      <c r="Z1117" s="117" t="n">
        <v>1600000352</v>
      </c>
      <c r="AD1117" s="117" t="n">
        <v>110000</v>
      </c>
      <c r="AE1117" s="117" t="s">
        <v>1966</v>
      </c>
      <c r="AF1117" s="117" t="n">
        <v>315113</v>
      </c>
      <c r="AG1117" s="117" t="s">
        <v>143</v>
      </c>
      <c r="AI1117" s="117" t="n">
        <v>315113</v>
      </c>
      <c r="AJ1117" s="131" t="s">
        <v>143</v>
      </c>
      <c r="AK1117" s="117" t="n">
        <v>0</v>
      </c>
      <c r="AL1117" s="117" t="n">
        <v>14</v>
      </c>
      <c r="AM1117" s="117" t="s">
        <v>225</v>
      </c>
      <c r="AP1117" s="117" t="n">
        <v>100173566</v>
      </c>
      <c r="AQ1117" s="118" t="n">
        <v>43799</v>
      </c>
      <c r="AR1117" s="118" t="n">
        <v>43800</v>
      </c>
      <c r="AS1117" s="117" t="n">
        <v>0.660023148148148</v>
      </c>
      <c r="AT1117" s="117" t="n">
        <v>0</v>
      </c>
      <c r="AU1117" s="117" t="n">
        <v>0</v>
      </c>
      <c r="AX1117" s="117" t="n">
        <v>2</v>
      </c>
    </row>
    <row r="1118" s="106" customFormat="true" ht="13.8" hidden="true" customHeight="false" outlineLevel="0" collapsed="false">
      <c r="A1118" s="106" t="n">
        <v>1000</v>
      </c>
      <c r="B1118" s="106" t="s">
        <v>1962</v>
      </c>
      <c r="C1118" s="106" t="n">
        <v>109740</v>
      </c>
      <c r="D1118" s="106" t="s">
        <v>1639</v>
      </c>
      <c r="E1118" s="106" t="s">
        <v>1970</v>
      </c>
      <c r="F1118" s="106" t="n">
        <v>1108</v>
      </c>
      <c r="G1118" s="106" t="n">
        <v>2019</v>
      </c>
      <c r="H1118" s="106" t="n">
        <v>8</v>
      </c>
      <c r="I1118" s="129" t="n">
        <v>43799</v>
      </c>
      <c r="J1118" s="129" t="n">
        <v>43799</v>
      </c>
      <c r="K1118" s="107" t="n">
        <v>74782.5</v>
      </c>
      <c r="L1118" s="130" t="n">
        <f aca="false">K1118-Q1118+T1118</f>
        <v>63375</v>
      </c>
      <c r="M1118" s="106" t="s">
        <v>149</v>
      </c>
      <c r="N1118" s="106" t="n">
        <v>74782.5</v>
      </c>
      <c r="O1118" s="106" t="s">
        <v>149</v>
      </c>
      <c r="P1118" s="106" t="n">
        <v>0</v>
      </c>
      <c r="Q1118" s="107" t="n">
        <v>11407.5</v>
      </c>
      <c r="R1118" s="106" t="n">
        <v>63375</v>
      </c>
      <c r="S1118" s="106" t="n">
        <v>0</v>
      </c>
      <c r="T1118" s="106" t="n">
        <v>0</v>
      </c>
      <c r="U1118" s="106" t="n">
        <v>312193</v>
      </c>
      <c r="V1118" s="106" t="s">
        <v>1963</v>
      </c>
      <c r="Z1118" s="106" t="n">
        <v>61993</v>
      </c>
      <c r="AB1118" s="106" t="s">
        <v>2109</v>
      </c>
      <c r="AD1118" s="106" t="n">
        <v>110000</v>
      </c>
      <c r="AE1118" s="106" t="s">
        <v>1966</v>
      </c>
      <c r="AF1118" s="106" t="n">
        <v>501000</v>
      </c>
      <c r="AG1118" s="106" t="s">
        <v>2170</v>
      </c>
      <c r="AI1118" s="106" t="n">
        <v>501000</v>
      </c>
      <c r="AJ1118" s="106" t="s">
        <v>2170</v>
      </c>
      <c r="AK1118" s="106" t="n">
        <v>0</v>
      </c>
      <c r="AL1118" s="106" t="n">
        <v>1</v>
      </c>
      <c r="AM1118" s="106" t="s">
        <v>161</v>
      </c>
      <c r="AP1118" s="106" t="n">
        <v>100173564</v>
      </c>
      <c r="AQ1118" s="129" t="n">
        <v>43799</v>
      </c>
      <c r="AR1118" s="129" t="n">
        <v>43799</v>
      </c>
      <c r="AS1118" s="106" t="n">
        <v>0.749837962962963</v>
      </c>
      <c r="AT1118" s="106" t="n">
        <v>0</v>
      </c>
      <c r="AU1118" s="106" t="n">
        <v>0</v>
      </c>
      <c r="AX1118" s="106" t="n">
        <v>1</v>
      </c>
      <c r="ALU1118" s="0"/>
      <c r="ALV1118" s="0"/>
      <c r="ALW1118" s="0"/>
      <c r="ALX1118" s="0"/>
      <c r="ALY1118" s="0"/>
      <c r="ALZ1118" s="0"/>
      <c r="AMA1118" s="0"/>
      <c r="AMB1118" s="0"/>
      <c r="AMC1118" s="0"/>
      <c r="AMD1118" s="0"/>
      <c r="AME1118" s="0"/>
      <c r="AMF1118" s="0"/>
      <c r="AMG1118" s="0"/>
      <c r="AMH1118" s="0"/>
      <c r="AMI1118" s="0"/>
      <c r="AMJ1118" s="0"/>
    </row>
    <row r="1119" s="106" customFormat="true" ht="13.8" hidden="true" customHeight="false" outlineLevel="0" collapsed="false">
      <c r="A1119" s="106" t="n">
        <v>1000</v>
      </c>
      <c r="B1119" s="106" t="s">
        <v>1962</v>
      </c>
      <c r="C1119" s="106" t="n">
        <v>110180</v>
      </c>
      <c r="D1119" s="106" t="s">
        <v>2541</v>
      </c>
      <c r="E1119" s="106" t="s">
        <v>1970</v>
      </c>
      <c r="F1119" s="106" t="n">
        <v>1112</v>
      </c>
      <c r="G1119" s="106" t="n">
        <v>2019</v>
      </c>
      <c r="H1119" s="106" t="n">
        <v>9</v>
      </c>
      <c r="I1119" s="129" t="n">
        <v>43813</v>
      </c>
      <c r="J1119" s="129" t="n">
        <v>43813</v>
      </c>
      <c r="K1119" s="107" t="n">
        <v>184269.18</v>
      </c>
      <c r="L1119" s="130" t="n">
        <f aca="false">K1119-Q1119+T1119</f>
        <v>156160.32</v>
      </c>
      <c r="M1119" s="106" t="s">
        <v>149</v>
      </c>
      <c r="N1119" s="106" t="n">
        <v>184269.18</v>
      </c>
      <c r="O1119" s="106" t="s">
        <v>149</v>
      </c>
      <c r="P1119" s="106" t="n">
        <v>0</v>
      </c>
      <c r="Q1119" s="107" t="n">
        <v>28108.86</v>
      </c>
      <c r="R1119" s="106" t="n">
        <v>156160.32</v>
      </c>
      <c r="S1119" s="106" t="n">
        <v>0</v>
      </c>
      <c r="T1119" s="106" t="n">
        <v>0</v>
      </c>
      <c r="U1119" s="106" t="n">
        <v>312193</v>
      </c>
      <c r="V1119" s="106" t="s">
        <v>1963</v>
      </c>
      <c r="Z1119" s="106" t="n">
        <v>62187</v>
      </c>
      <c r="AB1119" s="106" t="s">
        <v>2350</v>
      </c>
      <c r="AD1119" s="106" t="n">
        <v>110000</v>
      </c>
      <c r="AE1119" s="106" t="s">
        <v>1966</v>
      </c>
      <c r="AF1119" s="106" t="n">
        <v>501005</v>
      </c>
      <c r="AG1119" s="106" t="s">
        <v>2033</v>
      </c>
      <c r="AI1119" s="106" t="n">
        <v>501005</v>
      </c>
      <c r="AJ1119" s="106" t="s">
        <v>2033</v>
      </c>
      <c r="AK1119" s="106" t="n">
        <v>0</v>
      </c>
      <c r="AL1119" s="106" t="n">
        <v>1</v>
      </c>
      <c r="AM1119" s="106" t="s">
        <v>161</v>
      </c>
      <c r="AP1119" s="106" t="n">
        <v>100194025</v>
      </c>
      <c r="AQ1119" s="129" t="n">
        <v>43824</v>
      </c>
      <c r="AR1119" s="129" t="n">
        <v>43813</v>
      </c>
      <c r="AS1119" s="106" t="n">
        <v>0.7484375</v>
      </c>
      <c r="AT1119" s="106" t="n">
        <v>0</v>
      </c>
      <c r="AU1119" s="106" t="n">
        <v>0</v>
      </c>
      <c r="AX1119" s="106" t="n">
        <v>1</v>
      </c>
      <c r="ALU1119" s="0"/>
      <c r="ALV1119" s="0"/>
      <c r="ALW1119" s="0"/>
      <c r="ALX1119" s="0"/>
      <c r="ALY1119" s="0"/>
      <c r="ALZ1119" s="0"/>
      <c r="AMA1119" s="0"/>
      <c r="AMB1119" s="0"/>
      <c r="AMC1119" s="0"/>
      <c r="AMD1119" s="0"/>
      <c r="AME1119" s="0"/>
      <c r="AMF1119" s="0"/>
      <c r="AMG1119" s="0"/>
      <c r="AMH1119" s="0"/>
      <c r="AMI1119" s="0"/>
      <c r="AMJ1119" s="0"/>
    </row>
    <row r="1120" s="106" customFormat="true" ht="13.8" hidden="true" customHeight="false" outlineLevel="0" collapsed="false">
      <c r="A1120" s="106" t="n">
        <v>1000</v>
      </c>
      <c r="B1120" s="106" t="s">
        <v>1962</v>
      </c>
      <c r="C1120" s="106" t="n">
        <v>110163</v>
      </c>
      <c r="D1120" s="106" t="s">
        <v>1776</v>
      </c>
      <c r="E1120" s="106" t="s">
        <v>1970</v>
      </c>
      <c r="F1120" s="106" t="n">
        <v>1112</v>
      </c>
      <c r="G1120" s="106" t="n">
        <v>2019</v>
      </c>
      <c r="H1120" s="106" t="n">
        <v>9</v>
      </c>
      <c r="I1120" s="129" t="n">
        <v>43813</v>
      </c>
      <c r="J1120" s="129" t="n">
        <v>43813</v>
      </c>
      <c r="K1120" s="107" t="n">
        <v>387748</v>
      </c>
      <c r="L1120" s="130" t="n">
        <f aca="false">K1120-Q1120+T1120</f>
        <v>328600</v>
      </c>
      <c r="M1120" s="106" t="s">
        <v>149</v>
      </c>
      <c r="N1120" s="106" t="n">
        <v>387748</v>
      </c>
      <c r="O1120" s="106" t="s">
        <v>149</v>
      </c>
      <c r="P1120" s="106" t="n">
        <v>0</v>
      </c>
      <c r="Q1120" s="107" t="n">
        <v>59148</v>
      </c>
      <c r="R1120" s="106" t="n">
        <v>328600</v>
      </c>
      <c r="S1120" s="106" t="n">
        <v>0</v>
      </c>
      <c r="T1120" s="106" t="n">
        <v>0</v>
      </c>
      <c r="U1120" s="106" t="n">
        <v>312193</v>
      </c>
      <c r="V1120" s="106" t="s">
        <v>1963</v>
      </c>
      <c r="Z1120" s="106" t="n">
        <v>62149</v>
      </c>
      <c r="AB1120" s="106" t="s">
        <v>2362</v>
      </c>
      <c r="AD1120" s="106" t="n">
        <v>110000</v>
      </c>
      <c r="AE1120" s="106" t="s">
        <v>1966</v>
      </c>
      <c r="AF1120" s="106" t="n">
        <v>501005</v>
      </c>
      <c r="AG1120" s="106" t="s">
        <v>2033</v>
      </c>
      <c r="AI1120" s="106" t="n">
        <v>501005</v>
      </c>
      <c r="AJ1120" s="106" t="s">
        <v>2033</v>
      </c>
      <c r="AK1120" s="106" t="n">
        <v>0</v>
      </c>
      <c r="AL1120" s="106" t="n">
        <v>1</v>
      </c>
      <c r="AM1120" s="106" t="s">
        <v>161</v>
      </c>
      <c r="AP1120" s="106" t="n">
        <v>100194025</v>
      </c>
      <c r="AQ1120" s="129" t="n">
        <v>43824</v>
      </c>
      <c r="AR1120" s="129" t="n">
        <v>43813</v>
      </c>
      <c r="AS1120" s="106" t="n">
        <v>0.698472222222222</v>
      </c>
      <c r="AT1120" s="106" t="n">
        <v>0</v>
      </c>
      <c r="AU1120" s="106" t="n">
        <v>0</v>
      </c>
      <c r="AX1120" s="106" t="n">
        <v>1</v>
      </c>
      <c r="ALU1120" s="0"/>
      <c r="ALV1120" s="0"/>
      <c r="ALW1120" s="0"/>
      <c r="ALX1120" s="0"/>
      <c r="ALY1120" s="0"/>
      <c r="ALZ1120" s="0"/>
      <c r="AMA1120" s="0"/>
      <c r="AMB1120" s="0"/>
      <c r="AMC1120" s="0"/>
      <c r="AMD1120" s="0"/>
      <c r="AME1120" s="0"/>
      <c r="AMF1120" s="0"/>
      <c r="AMG1120" s="0"/>
      <c r="AMH1120" s="0"/>
      <c r="AMI1120" s="0"/>
      <c r="AMJ1120" s="0"/>
    </row>
    <row r="1121" customFormat="false" ht="13.8" hidden="true" customHeight="false" outlineLevel="0" collapsed="false">
      <c r="A1121" s="117" t="n">
        <v>1000</v>
      </c>
      <c r="B1121" s="117" t="s">
        <v>1962</v>
      </c>
      <c r="C1121" s="117" t="n">
        <v>100173566</v>
      </c>
      <c r="E1121" s="117" t="s">
        <v>1921</v>
      </c>
      <c r="F1121" s="117" t="n">
        <v>1106</v>
      </c>
      <c r="G1121" s="117" t="n">
        <v>2019</v>
      </c>
      <c r="H1121" s="117" t="n">
        <v>8</v>
      </c>
      <c r="I1121" s="118" t="n">
        <v>43799</v>
      </c>
      <c r="J1121" s="118" t="n">
        <v>43799</v>
      </c>
      <c r="K1121" s="119" t="n">
        <v>7774.53</v>
      </c>
      <c r="L1121" s="128" t="n">
        <f aca="false">K1121-Q1121+T1121</f>
        <v>7774.53</v>
      </c>
      <c r="M1121" s="117" t="s">
        <v>149</v>
      </c>
      <c r="N1121" s="117" t="n">
        <v>7774.53</v>
      </c>
      <c r="O1121" s="117" t="s">
        <v>149</v>
      </c>
      <c r="P1121" s="117" t="n">
        <v>0</v>
      </c>
      <c r="Q1121" s="117" t="n">
        <v>0</v>
      </c>
      <c r="R1121" s="117" t="n">
        <v>7774.53</v>
      </c>
      <c r="S1121" s="117" t="n">
        <v>0</v>
      </c>
      <c r="T1121" s="117" t="n">
        <v>0</v>
      </c>
      <c r="U1121" s="117" t="n">
        <v>315113</v>
      </c>
      <c r="V1121" s="117" t="s">
        <v>143</v>
      </c>
      <c r="Z1121" s="117" t="n">
        <v>100173566</v>
      </c>
      <c r="AD1121" s="117" t="n">
        <v>110000</v>
      </c>
      <c r="AE1121" s="117" t="s">
        <v>1966</v>
      </c>
      <c r="AF1121" s="117" t="n">
        <v>111105</v>
      </c>
      <c r="AG1121" s="117" t="s">
        <v>1994</v>
      </c>
      <c r="AI1121" s="117" t="n">
        <v>111105</v>
      </c>
      <c r="AJ1121" s="117" t="s">
        <v>1994</v>
      </c>
      <c r="AK1121" s="117" t="n">
        <v>0</v>
      </c>
      <c r="AL1121" s="117" t="n">
        <v>7</v>
      </c>
      <c r="AM1121" s="117" t="s">
        <v>161</v>
      </c>
      <c r="AP1121" s="117" t="n">
        <v>100173566</v>
      </c>
      <c r="AQ1121" s="118" t="n">
        <v>43799</v>
      </c>
      <c r="AR1121" s="118" t="n">
        <v>43800</v>
      </c>
      <c r="AS1121" s="117" t="n">
        <v>0.660671296296296</v>
      </c>
      <c r="AT1121" s="117" t="n">
        <v>0</v>
      </c>
      <c r="AU1121" s="117" t="n">
        <v>0</v>
      </c>
      <c r="AX1121" s="117" t="n">
        <v>1</v>
      </c>
    </row>
    <row r="1122" customFormat="false" ht="13.8" hidden="true" customHeight="false" outlineLevel="0" collapsed="false">
      <c r="A1122" s="117" t="n">
        <v>1000</v>
      </c>
      <c r="B1122" s="117" t="s">
        <v>1962</v>
      </c>
      <c r="C1122" s="117" t="n">
        <v>1600000288</v>
      </c>
      <c r="D1122" s="117" t="s">
        <v>2356</v>
      </c>
      <c r="E1122" s="117" t="s">
        <v>1987</v>
      </c>
      <c r="F1122" s="117" t="n">
        <v>1101</v>
      </c>
      <c r="G1122" s="117" t="n">
        <v>2019</v>
      </c>
      <c r="H1122" s="117" t="n">
        <v>8</v>
      </c>
      <c r="I1122" s="118" t="n">
        <v>43795</v>
      </c>
      <c r="J1122" s="118" t="n">
        <v>43795</v>
      </c>
      <c r="K1122" s="119" t="n">
        <v>-9800</v>
      </c>
      <c r="L1122" s="128" t="n">
        <f aca="false">K1122-Q1122+T1122</f>
        <v>-9800</v>
      </c>
      <c r="M1122" s="117" t="s">
        <v>149</v>
      </c>
      <c r="N1122" s="117" t="n">
        <v>-9800</v>
      </c>
      <c r="O1122" s="117" t="s">
        <v>149</v>
      </c>
      <c r="P1122" s="117" t="n">
        <v>-9800</v>
      </c>
      <c r="Q1122" s="117" t="n">
        <v>0</v>
      </c>
      <c r="R1122" s="117" t="n">
        <v>-9800</v>
      </c>
      <c r="S1122" s="117" t="n">
        <v>0</v>
      </c>
      <c r="T1122" s="117" t="n">
        <v>0</v>
      </c>
      <c r="U1122" s="117" t="n">
        <v>312193</v>
      </c>
      <c r="V1122" s="117" t="s">
        <v>1963</v>
      </c>
      <c r="X1122" s="117" t="s">
        <v>2582</v>
      </c>
      <c r="Y1122" s="117" t="s">
        <v>2358</v>
      </c>
      <c r="Z1122" s="117" t="n">
        <v>1600000288</v>
      </c>
      <c r="AD1122" s="117" t="n">
        <v>310300</v>
      </c>
      <c r="AE1122" s="117" t="s">
        <v>1969</v>
      </c>
      <c r="AF1122" s="117" t="n">
        <v>111201</v>
      </c>
      <c r="AG1122" s="117" t="s">
        <v>2165</v>
      </c>
      <c r="AI1122" s="117" t="n">
        <v>111201</v>
      </c>
      <c r="AJ1122" s="117" t="s">
        <v>2165</v>
      </c>
      <c r="AK1122" s="117" t="n">
        <v>0</v>
      </c>
      <c r="AL1122" s="117" t="n">
        <v>19</v>
      </c>
      <c r="AM1122" s="117" t="s">
        <v>225</v>
      </c>
      <c r="AN1122" s="117" t="s">
        <v>1978</v>
      </c>
      <c r="AP1122" s="117" t="n">
        <v>100173563</v>
      </c>
      <c r="AQ1122" s="118" t="n">
        <v>43799</v>
      </c>
      <c r="AR1122" s="118" t="n">
        <v>43795</v>
      </c>
      <c r="AS1122" s="117" t="n">
        <v>0.285</v>
      </c>
      <c r="AT1122" s="117" t="n">
        <v>0</v>
      </c>
      <c r="AU1122" s="117" t="n">
        <v>0</v>
      </c>
      <c r="AX1122" s="117" t="n">
        <v>23</v>
      </c>
    </row>
    <row r="1123" customFormat="false" ht="13.8" hidden="true" customHeight="false" outlineLevel="0" collapsed="false">
      <c r="A1123" s="117" t="n">
        <v>1000</v>
      </c>
      <c r="B1123" s="117" t="s">
        <v>1962</v>
      </c>
      <c r="C1123" s="117" t="n">
        <v>100194025</v>
      </c>
      <c r="E1123" s="117" t="s">
        <v>1921</v>
      </c>
      <c r="F1123" s="117" t="n">
        <v>1112</v>
      </c>
      <c r="G1123" s="117" t="n">
        <v>2019</v>
      </c>
      <c r="H1123" s="117" t="n">
        <v>9</v>
      </c>
      <c r="I1123" s="118" t="n">
        <v>43824</v>
      </c>
      <c r="J1123" s="118" t="n">
        <v>43824</v>
      </c>
      <c r="K1123" s="119" t="n">
        <v>40536.49</v>
      </c>
      <c r="L1123" s="128" t="n">
        <f aca="false">K1123-Q1123+T1123</f>
        <v>40536.49</v>
      </c>
      <c r="M1123" s="117" t="s">
        <v>149</v>
      </c>
      <c r="N1123" s="117" t="n">
        <v>40536.49</v>
      </c>
      <c r="O1123" s="117" t="s">
        <v>149</v>
      </c>
      <c r="P1123" s="117" t="n">
        <v>0</v>
      </c>
      <c r="Q1123" s="117" t="n">
        <v>0</v>
      </c>
      <c r="R1123" s="117" t="n">
        <v>40536.49</v>
      </c>
      <c r="S1123" s="117" t="n">
        <v>0</v>
      </c>
      <c r="T1123" s="117" t="n">
        <v>0</v>
      </c>
      <c r="U1123" s="117" t="n">
        <v>312193</v>
      </c>
      <c r="V1123" s="117" t="s">
        <v>1963</v>
      </c>
      <c r="X1123" s="117" t="s">
        <v>2484</v>
      </c>
      <c r="Z1123" s="117" t="n">
        <v>62146</v>
      </c>
      <c r="AB1123" s="117" t="s">
        <v>2350</v>
      </c>
      <c r="AD1123" s="117" t="n">
        <v>110000</v>
      </c>
      <c r="AE1123" s="117" t="s">
        <v>1966</v>
      </c>
      <c r="AF1123" s="117" t="n">
        <v>110000</v>
      </c>
      <c r="AG1123" s="117" t="s">
        <v>1966</v>
      </c>
      <c r="AI1123" s="117" t="n">
        <v>110000</v>
      </c>
      <c r="AJ1123" s="117" t="s">
        <v>1966</v>
      </c>
      <c r="AK1123" s="117" t="n">
        <v>0</v>
      </c>
      <c r="AL1123" s="117" t="n">
        <v>4</v>
      </c>
      <c r="AM1123" s="117" t="s">
        <v>161</v>
      </c>
      <c r="AR1123" s="118" t="n">
        <v>43824</v>
      </c>
      <c r="AS1123" s="117" t="n">
        <v>0.371284722222222</v>
      </c>
      <c r="AT1123" s="117" t="n">
        <v>0</v>
      </c>
      <c r="AU1123" s="117" t="n">
        <v>0</v>
      </c>
      <c r="AX1123" s="117" t="n">
        <v>15</v>
      </c>
    </row>
    <row r="1124" customFormat="false" ht="13.8" hidden="true" customHeight="false" outlineLevel="0" collapsed="false">
      <c r="A1124" s="117" t="n">
        <v>1000</v>
      </c>
      <c r="B1124" s="117" t="s">
        <v>1962</v>
      </c>
      <c r="C1124" s="117" t="n">
        <v>1400008697</v>
      </c>
      <c r="E1124" s="117" t="s">
        <v>1972</v>
      </c>
      <c r="F1124" s="117" t="n">
        <v>1101</v>
      </c>
      <c r="G1124" s="117" t="n">
        <v>2019</v>
      </c>
      <c r="H1124" s="117" t="n">
        <v>9</v>
      </c>
      <c r="I1124" s="118" t="n">
        <v>43817</v>
      </c>
      <c r="J1124" s="118" t="n">
        <v>43817</v>
      </c>
      <c r="K1124" s="119" t="n">
        <v>-33408</v>
      </c>
      <c r="L1124" s="128" t="n">
        <f aca="false">K1124-Q1124+T1124</f>
        <v>-33408</v>
      </c>
      <c r="M1124" s="117" t="s">
        <v>149</v>
      </c>
      <c r="N1124" s="117" t="n">
        <v>-33408</v>
      </c>
      <c r="O1124" s="117" t="s">
        <v>149</v>
      </c>
      <c r="P1124" s="117" t="n">
        <v>0</v>
      </c>
      <c r="Q1124" s="117" t="n">
        <v>0</v>
      </c>
      <c r="R1124" s="117" t="n">
        <v>-33408</v>
      </c>
      <c r="S1124" s="117" t="n">
        <v>0</v>
      </c>
      <c r="T1124" s="117" t="n">
        <v>0</v>
      </c>
      <c r="U1124" s="117" t="n">
        <v>304431</v>
      </c>
      <c r="V1124" s="117" t="s">
        <v>2016</v>
      </c>
      <c r="X1124" s="117" t="s">
        <v>2583</v>
      </c>
      <c r="Y1124" s="117" t="s">
        <v>2584</v>
      </c>
      <c r="Z1124" s="117" t="n">
        <v>1400008697</v>
      </c>
      <c r="AC1124" s="117" t="s">
        <v>1976</v>
      </c>
      <c r="AD1124" s="117" t="n">
        <v>310300</v>
      </c>
      <c r="AE1124" s="117" t="s">
        <v>1969</v>
      </c>
      <c r="AF1124" s="117" t="n">
        <v>101105</v>
      </c>
      <c r="AG1124" s="117" t="s">
        <v>1977</v>
      </c>
      <c r="AI1124" s="117" t="n">
        <v>101105</v>
      </c>
      <c r="AJ1124" s="117" t="s">
        <v>1977</v>
      </c>
      <c r="AK1124" s="117" t="n">
        <v>0</v>
      </c>
      <c r="AL1124" s="117" t="n">
        <v>19</v>
      </c>
      <c r="AM1124" s="117" t="s">
        <v>225</v>
      </c>
      <c r="AN1124" s="117" t="s">
        <v>1978</v>
      </c>
      <c r="AP1124" s="117" t="n">
        <v>100194020</v>
      </c>
      <c r="AQ1124" s="118" t="n">
        <v>43824</v>
      </c>
      <c r="AR1124" s="118" t="n">
        <v>43818</v>
      </c>
      <c r="AS1124" s="117" t="n">
        <v>0.628993055555555</v>
      </c>
      <c r="AT1124" s="117" t="n">
        <v>0</v>
      </c>
      <c r="AU1124" s="117" t="n">
        <v>0</v>
      </c>
      <c r="AX1124" s="117" t="n">
        <v>2</v>
      </c>
    </row>
    <row r="1125" customFormat="false" ht="13.8" hidden="true" customHeight="false" outlineLevel="0" collapsed="false">
      <c r="A1125" s="117" t="n">
        <v>1000</v>
      </c>
      <c r="B1125" s="117" t="s">
        <v>1962</v>
      </c>
      <c r="C1125" s="117" t="n">
        <v>1600000315</v>
      </c>
      <c r="D1125" s="117" t="s">
        <v>2354</v>
      </c>
      <c r="E1125" s="117" t="s">
        <v>1987</v>
      </c>
      <c r="F1125" s="117" t="n">
        <v>1101</v>
      </c>
      <c r="G1125" s="117" t="n">
        <v>2019</v>
      </c>
      <c r="H1125" s="117" t="n">
        <v>8</v>
      </c>
      <c r="I1125" s="118" t="n">
        <v>43798</v>
      </c>
      <c r="J1125" s="118" t="n">
        <v>43798</v>
      </c>
      <c r="K1125" s="119" t="n">
        <v>-8118</v>
      </c>
      <c r="L1125" s="128" t="n">
        <f aca="false">K1125-Q1125+T1125</f>
        <v>-8118</v>
      </c>
      <c r="M1125" s="117" t="s">
        <v>149</v>
      </c>
      <c r="N1125" s="117" t="n">
        <v>-8118</v>
      </c>
      <c r="O1125" s="117" t="s">
        <v>149</v>
      </c>
      <c r="P1125" s="117" t="n">
        <v>-8118</v>
      </c>
      <c r="Q1125" s="117" t="n">
        <v>0</v>
      </c>
      <c r="R1125" s="117" t="n">
        <v>-8118</v>
      </c>
      <c r="S1125" s="117" t="n">
        <v>0</v>
      </c>
      <c r="T1125" s="117" t="n">
        <v>0</v>
      </c>
      <c r="U1125" s="117" t="n">
        <v>312193</v>
      </c>
      <c r="V1125" s="117" t="s">
        <v>1963</v>
      </c>
      <c r="X1125" s="117" t="s">
        <v>2585</v>
      </c>
      <c r="Y1125" s="117" t="s">
        <v>2354</v>
      </c>
      <c r="Z1125" s="117" t="n">
        <v>1600000315</v>
      </c>
      <c r="AD1125" s="117" t="n">
        <v>310300</v>
      </c>
      <c r="AE1125" s="117" t="s">
        <v>1969</v>
      </c>
      <c r="AF1125" s="117" t="n">
        <v>111201</v>
      </c>
      <c r="AG1125" s="117" t="s">
        <v>2165</v>
      </c>
      <c r="AI1125" s="117" t="n">
        <v>111201</v>
      </c>
      <c r="AJ1125" s="117" t="s">
        <v>2165</v>
      </c>
      <c r="AK1125" s="117" t="n">
        <v>0</v>
      </c>
      <c r="AL1125" s="117" t="n">
        <v>19</v>
      </c>
      <c r="AM1125" s="117" t="s">
        <v>225</v>
      </c>
      <c r="AN1125" s="117" t="s">
        <v>1978</v>
      </c>
      <c r="AP1125" s="117" t="n">
        <v>100173563</v>
      </c>
      <c r="AQ1125" s="118" t="n">
        <v>43799</v>
      </c>
      <c r="AR1125" s="118" t="n">
        <v>43798</v>
      </c>
      <c r="AS1125" s="117" t="n">
        <v>0.954837962962963</v>
      </c>
      <c r="AT1125" s="117" t="n">
        <v>0</v>
      </c>
      <c r="AU1125" s="117" t="n">
        <v>0</v>
      </c>
      <c r="AX1125" s="117" t="n">
        <v>42</v>
      </c>
    </row>
    <row r="1126" s="106" customFormat="true" ht="13.8" hidden="false" customHeight="false" outlineLevel="0" collapsed="false">
      <c r="A1126" s="106" t="n">
        <v>1000</v>
      </c>
      <c r="B1126" s="106" t="s">
        <v>1962</v>
      </c>
      <c r="C1126" s="106" t="n">
        <v>108746</v>
      </c>
      <c r="D1126" s="106" t="s">
        <v>1381</v>
      </c>
      <c r="E1126" s="106" t="s">
        <v>1970</v>
      </c>
      <c r="F1126" s="106" t="n">
        <v>1101</v>
      </c>
      <c r="G1126" s="106" t="n">
        <v>2019</v>
      </c>
      <c r="H1126" s="106" t="n">
        <v>8</v>
      </c>
      <c r="I1126" s="129" t="n">
        <v>43775</v>
      </c>
      <c r="J1126" s="129" t="n">
        <v>43775</v>
      </c>
      <c r="K1126" s="107" t="n">
        <v>2196923.06</v>
      </c>
      <c r="L1126" s="130" t="n">
        <f aca="false">K1126-Q1126+T1126</f>
        <v>1861799.2</v>
      </c>
      <c r="M1126" s="106" t="s">
        <v>149</v>
      </c>
      <c r="N1126" s="106" t="n">
        <v>2196923.06</v>
      </c>
      <c r="O1126" s="106" t="s">
        <v>149</v>
      </c>
      <c r="P1126" s="106" t="n">
        <v>0</v>
      </c>
      <c r="Q1126" s="107" t="n">
        <v>335123.86</v>
      </c>
      <c r="R1126" s="106" t="n">
        <v>1861799.2</v>
      </c>
      <c r="S1126" s="106" t="n">
        <v>0</v>
      </c>
      <c r="T1126" s="106" t="n">
        <v>0</v>
      </c>
      <c r="U1126" s="106" t="n">
        <v>318999</v>
      </c>
      <c r="V1126" s="106" t="s">
        <v>143</v>
      </c>
      <c r="Z1126" s="106" t="n">
        <v>2388</v>
      </c>
      <c r="AB1126" s="106" t="s">
        <v>2019</v>
      </c>
      <c r="AD1126" s="106" t="n">
        <v>110000</v>
      </c>
      <c r="AE1126" s="106" t="s">
        <v>1966</v>
      </c>
      <c r="AF1126" s="106" t="n">
        <v>501020</v>
      </c>
      <c r="AG1126" s="106" t="s">
        <v>1971</v>
      </c>
      <c r="AI1126" s="106" t="n">
        <v>501020</v>
      </c>
      <c r="AJ1126" s="106" t="s">
        <v>1971</v>
      </c>
      <c r="AK1126" s="106" t="n">
        <v>0</v>
      </c>
      <c r="AL1126" s="106" t="n">
        <v>1</v>
      </c>
      <c r="AM1126" s="106" t="s">
        <v>161</v>
      </c>
      <c r="AP1126" s="106" t="n">
        <v>100173604</v>
      </c>
      <c r="AQ1126" s="129" t="n">
        <v>43799</v>
      </c>
      <c r="AR1126" s="129" t="n">
        <v>43775</v>
      </c>
      <c r="AS1126" s="106" t="n">
        <v>0.585706018518519</v>
      </c>
      <c r="AT1126" s="106" t="n">
        <v>0</v>
      </c>
      <c r="AU1126" s="106" t="n">
        <v>0</v>
      </c>
      <c r="AX1126" s="106" t="n">
        <v>1</v>
      </c>
      <c r="ALU1126" s="0"/>
      <c r="ALV1126" s="0"/>
      <c r="ALW1126" s="0"/>
      <c r="ALX1126" s="0"/>
      <c r="ALY1126" s="0"/>
      <c r="ALZ1126" s="0"/>
      <c r="AMA1126" s="0"/>
      <c r="AMB1126" s="0"/>
      <c r="AMC1126" s="0"/>
      <c r="AMD1126" s="0"/>
      <c r="AME1126" s="0"/>
      <c r="AMF1126" s="0"/>
      <c r="AMG1126" s="0"/>
      <c r="AMH1126" s="0"/>
      <c r="AMI1126" s="0"/>
      <c r="AMJ1126" s="0"/>
    </row>
    <row r="1127" s="106" customFormat="true" ht="13.8" hidden="true" customHeight="false" outlineLevel="0" collapsed="false">
      <c r="A1127" s="106" t="n">
        <v>1000</v>
      </c>
      <c r="B1127" s="106" t="s">
        <v>1962</v>
      </c>
      <c r="C1127" s="106" t="n">
        <v>110895</v>
      </c>
      <c r="D1127" s="106" t="s">
        <v>2368</v>
      </c>
      <c r="E1127" s="106" t="s">
        <v>1970</v>
      </c>
      <c r="F1127" s="106" t="n">
        <v>1112</v>
      </c>
      <c r="G1127" s="106" t="n">
        <v>2019</v>
      </c>
      <c r="H1127" s="106" t="n">
        <v>9</v>
      </c>
      <c r="I1127" s="129" t="n">
        <v>43828</v>
      </c>
      <c r="J1127" s="129" t="n">
        <v>43828</v>
      </c>
      <c r="K1127" s="107" t="n">
        <v>7856.44</v>
      </c>
      <c r="L1127" s="130" t="n">
        <f aca="false">K1127-Q1127+T1127</f>
        <v>6658</v>
      </c>
      <c r="M1127" s="106" t="s">
        <v>149</v>
      </c>
      <c r="N1127" s="106" t="n">
        <v>7856.44</v>
      </c>
      <c r="O1127" s="106" t="s">
        <v>149</v>
      </c>
      <c r="P1127" s="106" t="n">
        <v>0</v>
      </c>
      <c r="Q1127" s="107" t="n">
        <v>1198.44</v>
      </c>
      <c r="R1127" s="106" t="n">
        <v>6658</v>
      </c>
      <c r="S1127" s="106" t="n">
        <v>0</v>
      </c>
      <c r="T1127" s="106" t="n">
        <v>0</v>
      </c>
      <c r="U1127" s="106" t="n">
        <v>312193</v>
      </c>
      <c r="V1127" s="106" t="s">
        <v>1963</v>
      </c>
      <c r="Z1127" s="106" t="n">
        <v>62201</v>
      </c>
      <c r="AB1127" s="106" t="s">
        <v>2350</v>
      </c>
      <c r="AD1127" s="106" t="n">
        <v>110000</v>
      </c>
      <c r="AE1127" s="106" t="s">
        <v>1966</v>
      </c>
      <c r="AF1127" s="106" t="n">
        <v>501000</v>
      </c>
      <c r="AG1127" s="106" t="s">
        <v>2170</v>
      </c>
      <c r="AI1127" s="106" t="n">
        <v>501000</v>
      </c>
      <c r="AJ1127" s="106" t="s">
        <v>2170</v>
      </c>
      <c r="AK1127" s="106" t="n">
        <v>0</v>
      </c>
      <c r="AL1127" s="106" t="n">
        <v>1</v>
      </c>
      <c r="AM1127" s="106" t="s">
        <v>161</v>
      </c>
      <c r="AP1127" s="106" t="n">
        <v>100199799</v>
      </c>
      <c r="AQ1127" s="129" t="n">
        <v>43830</v>
      </c>
      <c r="AR1127" s="129" t="n">
        <v>43828</v>
      </c>
      <c r="AS1127" s="106" t="n">
        <v>0.787615740740741</v>
      </c>
      <c r="AT1127" s="106" t="n">
        <v>0</v>
      </c>
      <c r="AU1127" s="106" t="n">
        <v>0</v>
      </c>
      <c r="AX1127" s="106" t="n">
        <v>1</v>
      </c>
      <c r="ALU1127" s="0"/>
      <c r="ALV1127" s="0"/>
      <c r="ALW1127" s="0"/>
      <c r="ALX1127" s="0"/>
      <c r="ALY1127" s="0"/>
      <c r="ALZ1127" s="0"/>
      <c r="AMA1127" s="0"/>
      <c r="AMB1127" s="0"/>
      <c r="AMC1127" s="0"/>
      <c r="AMD1127" s="0"/>
      <c r="AME1127" s="0"/>
      <c r="AMF1127" s="0"/>
      <c r="AMG1127" s="0"/>
      <c r="AMH1127" s="0"/>
      <c r="AMI1127" s="0"/>
      <c r="AMJ1127" s="0"/>
    </row>
    <row r="1128" s="106" customFormat="true" ht="13.8" hidden="true" customHeight="false" outlineLevel="0" collapsed="false">
      <c r="A1128" s="106" t="n">
        <v>1000</v>
      </c>
      <c r="B1128" s="106" t="s">
        <v>1962</v>
      </c>
      <c r="C1128" s="106" t="n">
        <v>110419</v>
      </c>
      <c r="D1128" s="106" t="s">
        <v>1717</v>
      </c>
      <c r="E1128" s="106" t="s">
        <v>1970</v>
      </c>
      <c r="F1128" s="106" t="n">
        <v>1112</v>
      </c>
      <c r="G1128" s="106" t="n">
        <v>2019</v>
      </c>
      <c r="H1128" s="106" t="n">
        <v>9</v>
      </c>
      <c r="I1128" s="129" t="n">
        <v>43820</v>
      </c>
      <c r="J1128" s="129" t="n">
        <v>43820</v>
      </c>
      <c r="K1128" s="107" t="n">
        <v>46388.16</v>
      </c>
      <c r="L1128" s="130" t="n">
        <f aca="false">K1128-Q1128+T1128</f>
        <v>39312</v>
      </c>
      <c r="M1128" s="106" t="s">
        <v>149</v>
      </c>
      <c r="N1128" s="106" t="n">
        <v>46388.16</v>
      </c>
      <c r="O1128" s="106" t="s">
        <v>149</v>
      </c>
      <c r="P1128" s="106" t="n">
        <v>0</v>
      </c>
      <c r="Q1128" s="107" t="n">
        <v>7076.16</v>
      </c>
      <c r="R1128" s="106" t="n">
        <v>39312</v>
      </c>
      <c r="S1128" s="106" t="n">
        <v>0</v>
      </c>
      <c r="T1128" s="106" t="n">
        <v>0</v>
      </c>
      <c r="U1128" s="106" t="n">
        <v>312193</v>
      </c>
      <c r="V1128" s="106" t="s">
        <v>1963</v>
      </c>
      <c r="Z1128" s="106" t="n">
        <v>62190</v>
      </c>
      <c r="AB1128" s="106" t="s">
        <v>2362</v>
      </c>
      <c r="AD1128" s="106" t="n">
        <v>110000</v>
      </c>
      <c r="AE1128" s="106" t="s">
        <v>1966</v>
      </c>
      <c r="AF1128" s="106" t="n">
        <v>501005</v>
      </c>
      <c r="AG1128" s="106" t="s">
        <v>2033</v>
      </c>
      <c r="AI1128" s="106" t="n">
        <v>501005</v>
      </c>
      <c r="AJ1128" s="106" t="s">
        <v>2033</v>
      </c>
      <c r="AK1128" s="106" t="n">
        <v>0</v>
      </c>
      <c r="AL1128" s="106" t="n">
        <v>1</v>
      </c>
      <c r="AM1128" s="106" t="s">
        <v>161</v>
      </c>
      <c r="AP1128" s="106" t="n">
        <v>100194025</v>
      </c>
      <c r="AQ1128" s="129" t="n">
        <v>43824</v>
      </c>
      <c r="AR1128" s="129" t="n">
        <v>43820</v>
      </c>
      <c r="AS1128" s="106" t="n">
        <v>0.616331018518519</v>
      </c>
      <c r="AT1128" s="106" t="n">
        <v>0</v>
      </c>
      <c r="AU1128" s="106" t="n">
        <v>0</v>
      </c>
      <c r="AX1128" s="106" t="n">
        <v>1</v>
      </c>
      <c r="ALU1128" s="0"/>
      <c r="ALV1128" s="0"/>
      <c r="ALW1128" s="0"/>
      <c r="ALX1128" s="0"/>
      <c r="ALY1128" s="0"/>
      <c r="ALZ1128" s="0"/>
      <c r="AMA1128" s="0"/>
      <c r="AMB1128" s="0"/>
      <c r="AMC1128" s="0"/>
      <c r="AMD1128" s="0"/>
      <c r="AME1128" s="0"/>
      <c r="AMF1128" s="0"/>
      <c r="AMG1128" s="0"/>
      <c r="AMH1128" s="0"/>
      <c r="AMI1128" s="0"/>
      <c r="AMJ1128" s="0"/>
    </row>
    <row r="1129" customFormat="false" ht="13.8" hidden="true" customHeight="false" outlineLevel="0" collapsed="false">
      <c r="A1129" s="117" t="n">
        <v>1000</v>
      </c>
      <c r="B1129" s="117" t="s">
        <v>1962</v>
      </c>
      <c r="C1129" s="117" t="n">
        <v>100199795</v>
      </c>
      <c r="E1129" s="117" t="s">
        <v>1921</v>
      </c>
      <c r="F1129" s="117" t="n">
        <v>1106</v>
      </c>
      <c r="G1129" s="117" t="n">
        <v>2019</v>
      </c>
      <c r="H1129" s="117" t="n">
        <v>9</v>
      </c>
      <c r="I1129" s="118" t="n">
        <v>43830</v>
      </c>
      <c r="J1129" s="118" t="n">
        <v>43830</v>
      </c>
      <c r="K1129" s="119" t="n">
        <v>2407200</v>
      </c>
      <c r="L1129" s="128" t="n">
        <f aca="false">K1129-Q1129+T1129</f>
        <v>2407200</v>
      </c>
      <c r="M1129" s="117" t="s">
        <v>149</v>
      </c>
      <c r="N1129" s="117" t="n">
        <v>2407200</v>
      </c>
      <c r="O1129" s="117" t="s">
        <v>149</v>
      </c>
      <c r="P1129" s="117" t="n">
        <v>0</v>
      </c>
      <c r="Q1129" s="117" t="n">
        <v>0</v>
      </c>
      <c r="R1129" s="117" t="n">
        <v>2407200</v>
      </c>
      <c r="S1129" s="117" t="n">
        <v>0</v>
      </c>
      <c r="T1129" s="117" t="n">
        <v>0</v>
      </c>
      <c r="U1129" s="117" t="n">
        <v>311155</v>
      </c>
      <c r="V1129" s="117" t="s">
        <v>2022</v>
      </c>
      <c r="Z1129" s="117" t="n">
        <v>100199795</v>
      </c>
      <c r="AD1129" s="117" t="n">
        <v>310300</v>
      </c>
      <c r="AE1129" s="117" t="s">
        <v>1969</v>
      </c>
      <c r="AF1129" s="117" t="n">
        <v>110000</v>
      </c>
      <c r="AG1129" s="117" t="s">
        <v>1966</v>
      </c>
      <c r="AI1129" s="117" t="n">
        <v>110000</v>
      </c>
      <c r="AJ1129" s="117" t="s">
        <v>1966</v>
      </c>
      <c r="AK1129" s="117" t="n">
        <v>0</v>
      </c>
      <c r="AL1129" s="117" t="n">
        <v>9</v>
      </c>
      <c r="AM1129" s="117" t="s">
        <v>161</v>
      </c>
      <c r="AN1129" s="117" t="s">
        <v>1978</v>
      </c>
      <c r="AP1129" s="117" t="n">
        <v>100199795</v>
      </c>
      <c r="AQ1129" s="118" t="n">
        <v>43830</v>
      </c>
      <c r="AR1129" s="118" t="n">
        <v>43830</v>
      </c>
      <c r="AS1129" s="117" t="n">
        <v>0.269201388888889</v>
      </c>
      <c r="AT1129" s="117" t="n">
        <v>0</v>
      </c>
      <c r="AU1129" s="117" t="n">
        <v>0</v>
      </c>
      <c r="AX1129" s="117" t="n">
        <v>2</v>
      </c>
    </row>
    <row r="1130" customFormat="false" ht="13.8" hidden="true" customHeight="false" outlineLevel="0" collapsed="false">
      <c r="A1130" s="117" t="n">
        <v>1000</v>
      </c>
      <c r="B1130" s="117" t="s">
        <v>1962</v>
      </c>
      <c r="C1130" s="117" t="n">
        <v>100210304</v>
      </c>
      <c r="E1130" s="117" t="s">
        <v>1921</v>
      </c>
      <c r="F1130" s="117" t="n">
        <v>1109</v>
      </c>
      <c r="G1130" s="117" t="n">
        <v>2019</v>
      </c>
      <c r="H1130" s="117" t="n">
        <v>9</v>
      </c>
      <c r="I1130" s="118" t="n">
        <v>43830</v>
      </c>
      <c r="J1130" s="118" t="n">
        <v>43830</v>
      </c>
      <c r="K1130" s="119" t="n">
        <v>9490</v>
      </c>
      <c r="L1130" s="128" t="n">
        <f aca="false">K1130-Q1130+T1130</f>
        <v>9490</v>
      </c>
      <c r="M1130" s="117" t="s">
        <v>149</v>
      </c>
      <c r="N1130" s="117" t="n">
        <v>9490</v>
      </c>
      <c r="O1130" s="117" t="s">
        <v>149</v>
      </c>
      <c r="P1130" s="117" t="n">
        <v>0</v>
      </c>
      <c r="Q1130" s="117" t="n">
        <v>0</v>
      </c>
      <c r="R1130" s="117" t="n">
        <v>9490</v>
      </c>
      <c r="S1130" s="117" t="n">
        <v>0</v>
      </c>
      <c r="T1130" s="117" t="n">
        <v>0</v>
      </c>
      <c r="U1130" s="117" t="n">
        <v>312193</v>
      </c>
      <c r="V1130" s="117" t="s">
        <v>1963</v>
      </c>
      <c r="X1130" s="117" t="s">
        <v>2586</v>
      </c>
      <c r="Z1130" s="117" t="n">
        <v>2316</v>
      </c>
      <c r="AB1130" s="117" t="s">
        <v>1965</v>
      </c>
      <c r="AD1130" s="117" t="n">
        <v>110000</v>
      </c>
      <c r="AE1130" s="117" t="s">
        <v>1966</v>
      </c>
      <c r="AF1130" s="117" t="n">
        <v>110000</v>
      </c>
      <c r="AG1130" s="117" t="s">
        <v>1966</v>
      </c>
      <c r="AI1130" s="117" t="n">
        <v>110000</v>
      </c>
      <c r="AJ1130" s="117" t="s">
        <v>1966</v>
      </c>
      <c r="AK1130" s="117" t="n">
        <v>0</v>
      </c>
      <c r="AL1130" s="117" t="n">
        <v>4</v>
      </c>
      <c r="AM1130" s="117" t="s">
        <v>161</v>
      </c>
      <c r="AR1130" s="118" t="n">
        <v>43831</v>
      </c>
      <c r="AS1130" s="117" t="n">
        <v>0.411388888888889</v>
      </c>
      <c r="AT1130" s="117" t="n">
        <v>0</v>
      </c>
      <c r="AU1130" s="117" t="n">
        <v>0</v>
      </c>
      <c r="AX1130" s="117" t="n">
        <v>3</v>
      </c>
    </row>
    <row r="1131" customFormat="false" ht="13.8" hidden="true" customHeight="false" outlineLevel="0" collapsed="false">
      <c r="A1131" s="117" t="n">
        <v>1000</v>
      </c>
      <c r="B1131" s="117" t="s">
        <v>1962</v>
      </c>
      <c r="C1131" s="117" t="n">
        <v>100194025</v>
      </c>
      <c r="E1131" s="117" t="s">
        <v>1921</v>
      </c>
      <c r="F1131" s="117" t="n">
        <v>1112</v>
      </c>
      <c r="G1131" s="117" t="n">
        <v>2019</v>
      </c>
      <c r="H1131" s="117" t="n">
        <v>9</v>
      </c>
      <c r="I1131" s="118" t="n">
        <v>43824</v>
      </c>
      <c r="J1131" s="118" t="n">
        <v>43824</v>
      </c>
      <c r="K1131" s="119" t="n">
        <v>153594.09</v>
      </c>
      <c r="L1131" s="128" t="n">
        <f aca="false">K1131-Q1131+T1131</f>
        <v>153594.09</v>
      </c>
      <c r="M1131" s="117" t="s">
        <v>149</v>
      </c>
      <c r="N1131" s="117" t="n">
        <v>153594.09</v>
      </c>
      <c r="O1131" s="117" t="s">
        <v>149</v>
      </c>
      <c r="P1131" s="117" t="n">
        <v>0</v>
      </c>
      <c r="Q1131" s="117" t="n">
        <v>0</v>
      </c>
      <c r="R1131" s="117" t="n">
        <v>153594.09</v>
      </c>
      <c r="S1131" s="117" t="n">
        <v>0</v>
      </c>
      <c r="T1131" s="117" t="n">
        <v>0</v>
      </c>
      <c r="U1131" s="117" t="n">
        <v>312193</v>
      </c>
      <c r="V1131" s="117" t="s">
        <v>1963</v>
      </c>
      <c r="X1131" s="117" t="s">
        <v>1705</v>
      </c>
      <c r="Z1131" s="117" t="n">
        <v>62109</v>
      </c>
      <c r="AB1131" s="117" t="s">
        <v>2362</v>
      </c>
      <c r="AD1131" s="117" t="n">
        <v>110000</v>
      </c>
      <c r="AE1131" s="117" t="s">
        <v>1966</v>
      </c>
      <c r="AF1131" s="117" t="n">
        <v>110000</v>
      </c>
      <c r="AG1131" s="117" t="s">
        <v>1966</v>
      </c>
      <c r="AI1131" s="117" t="n">
        <v>110000</v>
      </c>
      <c r="AJ1131" s="117" t="s">
        <v>1966</v>
      </c>
      <c r="AK1131" s="117" t="n">
        <v>0</v>
      </c>
      <c r="AL1131" s="117" t="n">
        <v>4</v>
      </c>
      <c r="AM1131" s="117" t="s">
        <v>161</v>
      </c>
      <c r="AR1131" s="118" t="n">
        <v>43824</v>
      </c>
      <c r="AS1131" s="117" t="n">
        <v>0.371284722222222</v>
      </c>
      <c r="AT1131" s="117" t="n">
        <v>0</v>
      </c>
      <c r="AU1131" s="117" t="n">
        <v>0</v>
      </c>
      <c r="AX1131" s="117" t="n">
        <v>14</v>
      </c>
    </row>
    <row r="1132" customFormat="false" ht="13.8" hidden="true" customHeight="false" outlineLevel="0" collapsed="false">
      <c r="A1132" s="117" t="n">
        <v>1000</v>
      </c>
      <c r="B1132" s="117" t="s">
        <v>1962</v>
      </c>
      <c r="C1132" s="117" t="n">
        <v>100141449</v>
      </c>
      <c r="E1132" s="117" t="s">
        <v>1921</v>
      </c>
      <c r="F1132" s="117" t="n">
        <v>1109</v>
      </c>
      <c r="G1132" s="117" t="n">
        <v>2019</v>
      </c>
      <c r="H1132" s="117" t="n">
        <v>7</v>
      </c>
      <c r="I1132" s="118" t="n">
        <v>43766</v>
      </c>
      <c r="J1132" s="118" t="n">
        <v>43766</v>
      </c>
      <c r="K1132" s="119" t="n">
        <v>1670602.32</v>
      </c>
      <c r="L1132" s="128" t="n">
        <f aca="false">K1132-Q1132+T1132</f>
        <v>1670602.32</v>
      </c>
      <c r="M1132" s="117" t="s">
        <v>149</v>
      </c>
      <c r="N1132" s="117" t="n">
        <v>1670602.32</v>
      </c>
      <c r="O1132" s="117" t="s">
        <v>149</v>
      </c>
      <c r="P1132" s="117" t="n">
        <v>0</v>
      </c>
      <c r="Q1132" s="117" t="n">
        <v>0</v>
      </c>
      <c r="R1132" s="117" t="n">
        <v>1670602.32</v>
      </c>
      <c r="S1132" s="117" t="n">
        <v>0</v>
      </c>
      <c r="T1132" s="117" t="n">
        <v>0</v>
      </c>
      <c r="U1132" s="117" t="n">
        <v>312193</v>
      </c>
      <c r="V1132" s="117" t="s">
        <v>1963</v>
      </c>
      <c r="X1132" s="117" t="s">
        <v>2391</v>
      </c>
      <c r="Z1132" s="117" t="n">
        <v>60964</v>
      </c>
      <c r="AB1132" s="117" t="s">
        <v>2124</v>
      </c>
      <c r="AD1132" s="117" t="n">
        <v>110000</v>
      </c>
      <c r="AE1132" s="117" t="s">
        <v>1966</v>
      </c>
      <c r="AF1132" s="117" t="n">
        <v>110000</v>
      </c>
      <c r="AG1132" s="117" t="s">
        <v>1966</v>
      </c>
      <c r="AI1132" s="117" t="n">
        <v>110000</v>
      </c>
      <c r="AJ1132" s="117" t="s">
        <v>1966</v>
      </c>
      <c r="AK1132" s="117" t="n">
        <v>0</v>
      </c>
      <c r="AL1132" s="117" t="n">
        <v>4</v>
      </c>
      <c r="AM1132" s="117" t="s">
        <v>161</v>
      </c>
      <c r="AR1132" s="118" t="n">
        <v>43766</v>
      </c>
      <c r="AS1132" s="117" t="n">
        <v>0.371388888888889</v>
      </c>
      <c r="AT1132" s="117" t="n">
        <v>0</v>
      </c>
      <c r="AU1132" s="117" t="n">
        <v>0</v>
      </c>
      <c r="AX1132" s="117" t="n">
        <v>28</v>
      </c>
    </row>
    <row r="1133" customFormat="false" ht="13.8" hidden="true" customHeight="false" outlineLevel="0" collapsed="false">
      <c r="A1133" s="117" t="n">
        <v>1000</v>
      </c>
      <c r="B1133" s="117" t="s">
        <v>1962</v>
      </c>
      <c r="C1133" s="117" t="n">
        <v>1600000315</v>
      </c>
      <c r="D1133" s="117" t="s">
        <v>2354</v>
      </c>
      <c r="E1133" s="117" t="s">
        <v>1987</v>
      </c>
      <c r="F1133" s="117" t="n">
        <v>1101</v>
      </c>
      <c r="G1133" s="117" t="n">
        <v>2019</v>
      </c>
      <c r="H1133" s="117" t="n">
        <v>8</v>
      </c>
      <c r="I1133" s="118" t="n">
        <v>43798</v>
      </c>
      <c r="J1133" s="118" t="n">
        <v>43798</v>
      </c>
      <c r="K1133" s="119" t="n">
        <v>-7644</v>
      </c>
      <c r="L1133" s="128" t="n">
        <f aca="false">K1133-Q1133+T1133</f>
        <v>-7644</v>
      </c>
      <c r="M1133" s="117" t="s">
        <v>149</v>
      </c>
      <c r="N1133" s="117" t="n">
        <v>-7644</v>
      </c>
      <c r="O1133" s="117" t="s">
        <v>149</v>
      </c>
      <c r="P1133" s="117" t="n">
        <v>-7644</v>
      </c>
      <c r="Q1133" s="117" t="n">
        <v>0</v>
      </c>
      <c r="R1133" s="117" t="n">
        <v>-7644</v>
      </c>
      <c r="S1133" s="117" t="n">
        <v>0</v>
      </c>
      <c r="T1133" s="117" t="n">
        <v>0</v>
      </c>
      <c r="U1133" s="117" t="n">
        <v>312193</v>
      </c>
      <c r="V1133" s="117" t="s">
        <v>1963</v>
      </c>
      <c r="X1133" s="117" t="s">
        <v>2587</v>
      </c>
      <c r="Y1133" s="117" t="s">
        <v>2354</v>
      </c>
      <c r="Z1133" s="117" t="n">
        <v>1600000315</v>
      </c>
      <c r="AD1133" s="117" t="n">
        <v>310300</v>
      </c>
      <c r="AE1133" s="117" t="s">
        <v>1969</v>
      </c>
      <c r="AF1133" s="117" t="n">
        <v>111201</v>
      </c>
      <c r="AG1133" s="117" t="s">
        <v>2165</v>
      </c>
      <c r="AI1133" s="117" t="n">
        <v>111201</v>
      </c>
      <c r="AJ1133" s="117" t="s">
        <v>2165</v>
      </c>
      <c r="AK1133" s="117" t="n">
        <v>0</v>
      </c>
      <c r="AL1133" s="117" t="n">
        <v>19</v>
      </c>
      <c r="AM1133" s="117" t="s">
        <v>225</v>
      </c>
      <c r="AN1133" s="117" t="s">
        <v>1978</v>
      </c>
      <c r="AP1133" s="117" t="n">
        <v>100173563</v>
      </c>
      <c r="AQ1133" s="118" t="n">
        <v>43799</v>
      </c>
      <c r="AR1133" s="118" t="n">
        <v>43798</v>
      </c>
      <c r="AS1133" s="117" t="n">
        <v>0.954837962962963</v>
      </c>
      <c r="AT1133" s="117" t="n">
        <v>0</v>
      </c>
      <c r="AU1133" s="117" t="n">
        <v>0</v>
      </c>
      <c r="AX1133" s="117" t="n">
        <v>36</v>
      </c>
    </row>
    <row r="1134" customFormat="false" ht="13.8" hidden="true" customHeight="false" outlineLevel="0" collapsed="false">
      <c r="A1134" s="117" t="n">
        <v>1000</v>
      </c>
      <c r="B1134" s="117" t="s">
        <v>1962</v>
      </c>
      <c r="C1134" s="117" t="n">
        <v>1600000315</v>
      </c>
      <c r="D1134" s="117" t="s">
        <v>2354</v>
      </c>
      <c r="E1134" s="117" t="s">
        <v>1987</v>
      </c>
      <c r="F1134" s="117" t="n">
        <v>1101</v>
      </c>
      <c r="G1134" s="117" t="n">
        <v>2019</v>
      </c>
      <c r="H1134" s="117" t="n">
        <v>8</v>
      </c>
      <c r="I1134" s="118" t="n">
        <v>43798</v>
      </c>
      <c r="J1134" s="118" t="n">
        <v>43798</v>
      </c>
      <c r="K1134" s="119" t="n">
        <v>-5641</v>
      </c>
      <c r="L1134" s="128" t="n">
        <f aca="false">K1134-Q1134+T1134</f>
        <v>-5641</v>
      </c>
      <c r="M1134" s="117" t="s">
        <v>149</v>
      </c>
      <c r="N1134" s="117" t="n">
        <v>-5641</v>
      </c>
      <c r="O1134" s="117" t="s">
        <v>149</v>
      </c>
      <c r="P1134" s="117" t="n">
        <v>-5641</v>
      </c>
      <c r="Q1134" s="117" t="n">
        <v>0</v>
      </c>
      <c r="R1134" s="117" t="n">
        <v>-5641</v>
      </c>
      <c r="S1134" s="117" t="n">
        <v>0</v>
      </c>
      <c r="T1134" s="117" t="n">
        <v>0</v>
      </c>
      <c r="U1134" s="117" t="n">
        <v>312193</v>
      </c>
      <c r="V1134" s="117" t="s">
        <v>1963</v>
      </c>
      <c r="X1134" s="117" t="s">
        <v>2588</v>
      </c>
      <c r="Y1134" s="117" t="s">
        <v>2354</v>
      </c>
      <c r="Z1134" s="117" t="n">
        <v>1600000315</v>
      </c>
      <c r="AD1134" s="117" t="n">
        <v>310300</v>
      </c>
      <c r="AE1134" s="117" t="s">
        <v>1969</v>
      </c>
      <c r="AF1134" s="117" t="n">
        <v>111201</v>
      </c>
      <c r="AG1134" s="117" t="s">
        <v>2165</v>
      </c>
      <c r="AI1134" s="117" t="n">
        <v>111201</v>
      </c>
      <c r="AJ1134" s="117" t="s">
        <v>2165</v>
      </c>
      <c r="AK1134" s="117" t="n">
        <v>0</v>
      </c>
      <c r="AL1134" s="117" t="n">
        <v>19</v>
      </c>
      <c r="AM1134" s="117" t="s">
        <v>225</v>
      </c>
      <c r="AN1134" s="117" t="s">
        <v>1978</v>
      </c>
      <c r="AP1134" s="117" t="n">
        <v>100173563</v>
      </c>
      <c r="AQ1134" s="118" t="n">
        <v>43799</v>
      </c>
      <c r="AR1134" s="118" t="n">
        <v>43798</v>
      </c>
      <c r="AS1134" s="117" t="n">
        <v>0.954837962962963</v>
      </c>
      <c r="AT1134" s="117" t="n">
        <v>0</v>
      </c>
      <c r="AU1134" s="117" t="n">
        <v>0</v>
      </c>
      <c r="AX1134" s="117" t="n">
        <v>45</v>
      </c>
    </row>
    <row r="1135" s="106" customFormat="true" ht="13.8" hidden="true" customHeight="false" outlineLevel="0" collapsed="false">
      <c r="A1135" s="106" t="n">
        <v>1000</v>
      </c>
      <c r="B1135" s="106" t="s">
        <v>1962</v>
      </c>
      <c r="C1135" s="106" t="n">
        <v>110883</v>
      </c>
      <c r="D1135" s="106" t="s">
        <v>2487</v>
      </c>
      <c r="E1135" s="106" t="s">
        <v>1970</v>
      </c>
      <c r="F1135" s="106" t="n">
        <v>1112</v>
      </c>
      <c r="G1135" s="106" t="n">
        <v>2019</v>
      </c>
      <c r="H1135" s="106" t="n">
        <v>9</v>
      </c>
      <c r="I1135" s="129" t="n">
        <v>43828</v>
      </c>
      <c r="J1135" s="129" t="n">
        <v>43828</v>
      </c>
      <c r="K1135" s="107" t="n">
        <v>5230.52</v>
      </c>
      <c r="L1135" s="130" t="n">
        <f aca="false">K1135-Q1135+T1135</f>
        <v>4432.64</v>
      </c>
      <c r="M1135" s="106" t="s">
        <v>149</v>
      </c>
      <c r="N1135" s="106" t="n">
        <v>5230.52</v>
      </c>
      <c r="O1135" s="106" t="s">
        <v>149</v>
      </c>
      <c r="P1135" s="106" t="n">
        <v>0</v>
      </c>
      <c r="Q1135" s="107" t="n">
        <v>797.88</v>
      </c>
      <c r="R1135" s="106" t="n">
        <v>4432.64</v>
      </c>
      <c r="S1135" s="106" t="n">
        <v>0</v>
      </c>
      <c r="T1135" s="106" t="n">
        <v>0</v>
      </c>
      <c r="U1135" s="106" t="n">
        <v>312193</v>
      </c>
      <c r="V1135" s="106" t="s">
        <v>1963</v>
      </c>
      <c r="Z1135" s="106" t="n">
        <v>62201</v>
      </c>
      <c r="AB1135" s="106" t="s">
        <v>2350</v>
      </c>
      <c r="AD1135" s="106" t="n">
        <v>110000</v>
      </c>
      <c r="AE1135" s="106" t="s">
        <v>1966</v>
      </c>
      <c r="AF1135" s="106" t="n">
        <v>501005</v>
      </c>
      <c r="AG1135" s="106" t="s">
        <v>2033</v>
      </c>
      <c r="AI1135" s="106" t="n">
        <v>501005</v>
      </c>
      <c r="AJ1135" s="106" t="s">
        <v>2033</v>
      </c>
      <c r="AK1135" s="106" t="n">
        <v>0</v>
      </c>
      <c r="AL1135" s="106" t="n">
        <v>1</v>
      </c>
      <c r="AM1135" s="106" t="s">
        <v>161</v>
      </c>
      <c r="AP1135" s="106" t="n">
        <v>100199799</v>
      </c>
      <c r="AQ1135" s="129" t="n">
        <v>43830</v>
      </c>
      <c r="AR1135" s="129" t="n">
        <v>43828</v>
      </c>
      <c r="AS1135" s="106" t="n">
        <v>0.753206018518518</v>
      </c>
      <c r="AT1135" s="106" t="n">
        <v>0</v>
      </c>
      <c r="AU1135" s="106" t="n">
        <v>0</v>
      </c>
      <c r="AX1135" s="106" t="n">
        <v>1</v>
      </c>
      <c r="ALU1135" s="0"/>
      <c r="ALV1135" s="0"/>
      <c r="ALW1135" s="0"/>
      <c r="ALX1135" s="0"/>
      <c r="ALY1135" s="0"/>
      <c r="ALZ1135" s="0"/>
      <c r="AMA1135" s="0"/>
      <c r="AMB1135" s="0"/>
      <c r="AMC1135" s="0"/>
      <c r="AMD1135" s="0"/>
      <c r="AME1135" s="0"/>
      <c r="AMF1135" s="0"/>
      <c r="AMG1135" s="0"/>
      <c r="AMH1135" s="0"/>
      <c r="AMI1135" s="0"/>
      <c r="AMJ1135" s="0"/>
    </row>
    <row r="1136" s="106" customFormat="true" ht="13.8" hidden="true" customHeight="false" outlineLevel="0" collapsed="false">
      <c r="A1136" s="106" t="n">
        <v>1000</v>
      </c>
      <c r="B1136" s="106" t="s">
        <v>1962</v>
      </c>
      <c r="C1136" s="106" t="n">
        <v>110158</v>
      </c>
      <c r="D1136" s="106" t="s">
        <v>1764</v>
      </c>
      <c r="E1136" s="106" t="s">
        <v>1970</v>
      </c>
      <c r="F1136" s="106" t="n">
        <v>1112</v>
      </c>
      <c r="G1136" s="106" t="n">
        <v>2019</v>
      </c>
      <c r="H1136" s="106" t="n">
        <v>9</v>
      </c>
      <c r="I1136" s="129" t="n">
        <v>43813</v>
      </c>
      <c r="J1136" s="129" t="n">
        <v>43813</v>
      </c>
      <c r="K1136" s="107" t="n">
        <v>566112.08</v>
      </c>
      <c r="L1136" s="130" t="n">
        <f aca="false">K1136-Q1136+T1136</f>
        <v>479756</v>
      </c>
      <c r="M1136" s="106" t="s">
        <v>149</v>
      </c>
      <c r="N1136" s="106" t="n">
        <v>566112.08</v>
      </c>
      <c r="O1136" s="106" t="s">
        <v>149</v>
      </c>
      <c r="P1136" s="106" t="n">
        <v>0</v>
      </c>
      <c r="Q1136" s="107" t="n">
        <v>86356.08</v>
      </c>
      <c r="R1136" s="106" t="n">
        <v>479756</v>
      </c>
      <c r="S1136" s="106" t="n">
        <v>0</v>
      </c>
      <c r="T1136" s="106" t="n">
        <v>0</v>
      </c>
      <c r="U1136" s="106" t="n">
        <v>312193</v>
      </c>
      <c r="V1136" s="106" t="s">
        <v>1963</v>
      </c>
      <c r="Z1136" s="106" t="n">
        <v>62186</v>
      </c>
      <c r="AB1136" s="106" t="s">
        <v>2362</v>
      </c>
      <c r="AD1136" s="106" t="n">
        <v>110000</v>
      </c>
      <c r="AE1136" s="106" t="s">
        <v>1966</v>
      </c>
      <c r="AF1136" s="106" t="n">
        <v>501005</v>
      </c>
      <c r="AG1136" s="106" t="s">
        <v>2033</v>
      </c>
      <c r="AI1136" s="106" t="n">
        <v>501005</v>
      </c>
      <c r="AJ1136" s="106" t="s">
        <v>2033</v>
      </c>
      <c r="AK1136" s="106" t="n">
        <v>0</v>
      </c>
      <c r="AL1136" s="106" t="n">
        <v>1</v>
      </c>
      <c r="AM1136" s="106" t="s">
        <v>161</v>
      </c>
      <c r="AP1136" s="106" t="n">
        <v>100194025</v>
      </c>
      <c r="AQ1136" s="129" t="n">
        <v>43824</v>
      </c>
      <c r="AR1136" s="129" t="n">
        <v>43813</v>
      </c>
      <c r="AS1136" s="106" t="n">
        <v>0.670011574074074</v>
      </c>
      <c r="AT1136" s="106" t="n">
        <v>0</v>
      </c>
      <c r="AU1136" s="106" t="n">
        <v>0</v>
      </c>
      <c r="AX1136" s="106" t="n">
        <v>1</v>
      </c>
      <c r="ALU1136" s="0"/>
      <c r="ALV1136" s="0"/>
      <c r="ALW1136" s="0"/>
      <c r="ALX1136" s="0"/>
      <c r="ALY1136" s="0"/>
      <c r="ALZ1136" s="0"/>
      <c r="AMA1136" s="0"/>
      <c r="AMB1136" s="0"/>
      <c r="AMC1136" s="0"/>
      <c r="AMD1136" s="0"/>
      <c r="AME1136" s="0"/>
      <c r="AMF1136" s="0"/>
      <c r="AMG1136" s="0"/>
      <c r="AMH1136" s="0"/>
      <c r="AMI1136" s="0"/>
      <c r="AMJ1136" s="0"/>
    </row>
    <row r="1137" customFormat="false" ht="13.8" hidden="true" customHeight="false" outlineLevel="0" collapsed="false">
      <c r="A1137" s="117" t="n">
        <v>1000</v>
      </c>
      <c r="B1137" s="117" t="s">
        <v>1962</v>
      </c>
      <c r="C1137" s="117" t="n">
        <v>100141449</v>
      </c>
      <c r="E1137" s="117" t="s">
        <v>1921</v>
      </c>
      <c r="F1137" s="117" t="n">
        <v>1109</v>
      </c>
      <c r="G1137" s="117" t="n">
        <v>2019</v>
      </c>
      <c r="H1137" s="117" t="n">
        <v>7</v>
      </c>
      <c r="I1137" s="118" t="n">
        <v>43766</v>
      </c>
      <c r="J1137" s="118" t="n">
        <v>43766</v>
      </c>
      <c r="K1137" s="119" t="n">
        <v>162556.8</v>
      </c>
      <c r="L1137" s="128" t="n">
        <f aca="false">K1137-Q1137+T1137</f>
        <v>162556.8</v>
      </c>
      <c r="M1137" s="117" t="s">
        <v>149</v>
      </c>
      <c r="N1137" s="117" t="n">
        <v>162556.8</v>
      </c>
      <c r="O1137" s="117" t="s">
        <v>149</v>
      </c>
      <c r="P1137" s="117" t="n">
        <v>0</v>
      </c>
      <c r="Q1137" s="117" t="n">
        <v>0</v>
      </c>
      <c r="R1137" s="117" t="n">
        <v>162556.8</v>
      </c>
      <c r="S1137" s="117" t="n">
        <v>0</v>
      </c>
      <c r="T1137" s="117" t="n">
        <v>0</v>
      </c>
      <c r="U1137" s="117" t="n">
        <v>312193</v>
      </c>
      <c r="V1137" s="117" t="s">
        <v>1963</v>
      </c>
      <c r="X1137" s="117" t="s">
        <v>1866</v>
      </c>
      <c r="Z1137" s="117" t="n">
        <v>60963</v>
      </c>
      <c r="AB1137" s="117" t="s">
        <v>2124</v>
      </c>
      <c r="AD1137" s="117" t="n">
        <v>110000</v>
      </c>
      <c r="AE1137" s="117" t="s">
        <v>1966</v>
      </c>
      <c r="AF1137" s="117" t="n">
        <v>110000</v>
      </c>
      <c r="AG1137" s="117" t="s">
        <v>1966</v>
      </c>
      <c r="AI1137" s="117" t="n">
        <v>110000</v>
      </c>
      <c r="AJ1137" s="117" t="s">
        <v>1966</v>
      </c>
      <c r="AK1137" s="117" t="n">
        <v>0</v>
      </c>
      <c r="AL1137" s="117" t="n">
        <v>4</v>
      </c>
      <c r="AM1137" s="117" t="s">
        <v>161</v>
      </c>
      <c r="AR1137" s="118" t="n">
        <v>43766</v>
      </c>
      <c r="AS1137" s="117" t="n">
        <v>0.371388888888889</v>
      </c>
      <c r="AT1137" s="117" t="n">
        <v>0</v>
      </c>
      <c r="AU1137" s="117" t="n">
        <v>0</v>
      </c>
      <c r="AX1137" s="117" t="n">
        <v>7</v>
      </c>
    </row>
    <row r="1138" customFormat="false" ht="13.8" hidden="true" customHeight="false" outlineLevel="0" collapsed="false">
      <c r="A1138" s="117" t="n">
        <v>1000</v>
      </c>
      <c r="B1138" s="117" t="s">
        <v>1962</v>
      </c>
      <c r="C1138" s="117" t="n">
        <v>100172897</v>
      </c>
      <c r="E1138" s="117" t="s">
        <v>1921</v>
      </c>
      <c r="F1138" s="117" t="n">
        <v>1106</v>
      </c>
      <c r="G1138" s="117" t="n">
        <v>2019</v>
      </c>
      <c r="H1138" s="117" t="n">
        <v>8</v>
      </c>
      <c r="I1138" s="118" t="n">
        <v>43799</v>
      </c>
      <c r="J1138" s="118" t="n">
        <v>43799</v>
      </c>
      <c r="K1138" s="119" t="n">
        <v>2467760.44</v>
      </c>
      <c r="L1138" s="128" t="n">
        <f aca="false">K1138-Q1138+T1138</f>
        <v>2467760.44</v>
      </c>
      <c r="M1138" s="117" t="s">
        <v>149</v>
      </c>
      <c r="N1138" s="117" t="n">
        <v>2467760.44</v>
      </c>
      <c r="O1138" s="117" t="s">
        <v>149</v>
      </c>
      <c r="P1138" s="117" t="n">
        <v>0</v>
      </c>
      <c r="Q1138" s="117" t="n">
        <v>0</v>
      </c>
      <c r="R1138" s="117" t="n">
        <v>2467760.44</v>
      </c>
      <c r="S1138" s="117" t="n">
        <v>0</v>
      </c>
      <c r="T1138" s="117" t="n">
        <v>0</v>
      </c>
      <c r="U1138" s="117" t="n">
        <v>306546</v>
      </c>
      <c r="V1138" s="117" t="s">
        <v>2177</v>
      </c>
      <c r="Z1138" s="117" t="n">
        <v>100172897</v>
      </c>
      <c r="AD1138" s="117" t="n">
        <v>310300</v>
      </c>
      <c r="AE1138" s="117" t="s">
        <v>1969</v>
      </c>
      <c r="AF1138" s="117" t="n">
        <v>110000</v>
      </c>
      <c r="AG1138" s="117" t="s">
        <v>1966</v>
      </c>
      <c r="AI1138" s="117" t="n">
        <v>110000</v>
      </c>
      <c r="AJ1138" s="117" t="s">
        <v>1966</v>
      </c>
      <c r="AK1138" s="117" t="n">
        <v>0</v>
      </c>
      <c r="AL1138" s="117" t="n">
        <v>9</v>
      </c>
      <c r="AM1138" s="117" t="s">
        <v>161</v>
      </c>
      <c r="AN1138" s="117" t="s">
        <v>1978</v>
      </c>
      <c r="AP1138" s="117" t="n">
        <v>100172897</v>
      </c>
      <c r="AQ1138" s="118" t="n">
        <v>43799</v>
      </c>
      <c r="AR1138" s="118" t="n">
        <v>43800</v>
      </c>
      <c r="AS1138" s="117" t="n">
        <v>0.26625</v>
      </c>
      <c r="AT1138" s="117" t="n">
        <v>0</v>
      </c>
      <c r="AU1138" s="117" t="n">
        <v>0</v>
      </c>
      <c r="AX1138" s="117" t="n">
        <v>2</v>
      </c>
    </row>
    <row r="1139" customFormat="false" ht="13.8" hidden="true" customHeight="false" outlineLevel="0" collapsed="false">
      <c r="A1139" s="117" t="n">
        <v>1000</v>
      </c>
      <c r="B1139" s="117" t="s">
        <v>1962</v>
      </c>
      <c r="C1139" s="117" t="n">
        <v>100194025</v>
      </c>
      <c r="E1139" s="117" t="s">
        <v>1921</v>
      </c>
      <c r="F1139" s="117" t="n">
        <v>1112</v>
      </c>
      <c r="G1139" s="117" t="n">
        <v>2019</v>
      </c>
      <c r="H1139" s="117" t="n">
        <v>9</v>
      </c>
      <c r="I1139" s="118" t="n">
        <v>43824</v>
      </c>
      <c r="J1139" s="118" t="n">
        <v>43824</v>
      </c>
      <c r="K1139" s="119" t="n">
        <v>186186.11</v>
      </c>
      <c r="L1139" s="128" t="n">
        <f aca="false">K1139-Q1139+T1139</f>
        <v>186186.11</v>
      </c>
      <c r="M1139" s="117" t="s">
        <v>149</v>
      </c>
      <c r="N1139" s="117" t="n">
        <v>186186.11</v>
      </c>
      <c r="O1139" s="117" t="s">
        <v>149</v>
      </c>
      <c r="P1139" s="117" t="n">
        <v>0</v>
      </c>
      <c r="Q1139" s="117" t="n">
        <v>0</v>
      </c>
      <c r="R1139" s="117" t="n">
        <v>186186.11</v>
      </c>
      <c r="S1139" s="117" t="n">
        <v>0</v>
      </c>
      <c r="T1139" s="117" t="n">
        <v>0</v>
      </c>
      <c r="U1139" s="117" t="n">
        <v>312193</v>
      </c>
      <c r="V1139" s="117" t="s">
        <v>1963</v>
      </c>
      <c r="X1139" s="117" t="s">
        <v>1788</v>
      </c>
      <c r="Z1139" s="117" t="n">
        <v>62186</v>
      </c>
      <c r="AB1139" s="117" t="s">
        <v>2362</v>
      </c>
      <c r="AD1139" s="117" t="n">
        <v>110000</v>
      </c>
      <c r="AE1139" s="117" t="s">
        <v>1966</v>
      </c>
      <c r="AF1139" s="117" t="n">
        <v>110000</v>
      </c>
      <c r="AG1139" s="117" t="s">
        <v>1966</v>
      </c>
      <c r="AI1139" s="117" t="n">
        <v>110000</v>
      </c>
      <c r="AJ1139" s="117" t="s">
        <v>1966</v>
      </c>
      <c r="AK1139" s="117" t="n">
        <v>0</v>
      </c>
      <c r="AL1139" s="117" t="n">
        <v>4</v>
      </c>
      <c r="AM1139" s="117" t="s">
        <v>161</v>
      </c>
      <c r="AR1139" s="118" t="n">
        <v>43824</v>
      </c>
      <c r="AS1139" s="117" t="n">
        <v>0.371284722222222</v>
      </c>
      <c r="AT1139" s="117" t="n">
        <v>0</v>
      </c>
      <c r="AU1139" s="117" t="n">
        <v>0</v>
      </c>
      <c r="AX1139" s="117" t="n">
        <v>13</v>
      </c>
    </row>
    <row r="1140" customFormat="false" ht="13.8" hidden="true" customHeight="false" outlineLevel="0" collapsed="false">
      <c r="A1140" s="117" t="n">
        <v>1000</v>
      </c>
      <c r="B1140" s="117" t="s">
        <v>1962</v>
      </c>
      <c r="C1140" s="117" t="n">
        <v>100173605</v>
      </c>
      <c r="E1140" s="117" t="s">
        <v>1921</v>
      </c>
      <c r="F1140" s="117" t="n">
        <v>1101</v>
      </c>
      <c r="G1140" s="117" t="n">
        <v>2019</v>
      </c>
      <c r="H1140" s="117" t="n">
        <v>8</v>
      </c>
      <c r="I1140" s="118" t="n">
        <v>43799</v>
      </c>
      <c r="J1140" s="118" t="n">
        <v>43799</v>
      </c>
      <c r="K1140" s="119" t="n">
        <v>77675</v>
      </c>
      <c r="L1140" s="128" t="n">
        <f aca="false">K1140-Q1140+T1140</f>
        <v>77675</v>
      </c>
      <c r="M1140" s="117" t="s">
        <v>149</v>
      </c>
      <c r="N1140" s="117" t="n">
        <v>77675</v>
      </c>
      <c r="O1140" s="117" t="s">
        <v>149</v>
      </c>
      <c r="P1140" s="117" t="n">
        <v>0</v>
      </c>
      <c r="Q1140" s="117" t="n">
        <v>0</v>
      </c>
      <c r="R1140" s="117" t="n">
        <v>77675</v>
      </c>
      <c r="S1140" s="117" t="n">
        <v>0</v>
      </c>
      <c r="T1140" s="117" t="n">
        <v>0</v>
      </c>
      <c r="U1140" s="117" t="n">
        <v>318999</v>
      </c>
      <c r="V1140" s="117" t="s">
        <v>143</v>
      </c>
      <c r="Z1140" s="117" t="n">
        <v>100173605</v>
      </c>
      <c r="AD1140" s="117" t="n">
        <v>310300</v>
      </c>
      <c r="AE1140" s="117" t="s">
        <v>1969</v>
      </c>
      <c r="AF1140" s="117" t="n">
        <v>310300</v>
      </c>
      <c r="AG1140" s="117" t="s">
        <v>1969</v>
      </c>
      <c r="AI1140" s="117" t="n">
        <v>310300</v>
      </c>
      <c r="AJ1140" s="117" t="s">
        <v>1969</v>
      </c>
      <c r="AK1140" s="117" t="n">
        <v>0</v>
      </c>
      <c r="AL1140" s="117" t="n">
        <v>9</v>
      </c>
      <c r="AM1140" s="117" t="s">
        <v>161</v>
      </c>
      <c r="AN1140" s="117" t="s">
        <v>1978</v>
      </c>
      <c r="AP1140" s="117" t="n">
        <v>100173605</v>
      </c>
      <c r="AQ1140" s="118" t="n">
        <v>43799</v>
      </c>
      <c r="AR1140" s="118" t="n">
        <v>43800</v>
      </c>
      <c r="AS1140" s="117" t="n">
        <v>0.706608796296296</v>
      </c>
      <c r="AT1140" s="117" t="n">
        <v>0</v>
      </c>
      <c r="AU1140" s="117" t="n">
        <v>0</v>
      </c>
      <c r="AX1140" s="117" t="n">
        <v>3</v>
      </c>
    </row>
    <row r="1141" customFormat="false" ht="13.8" hidden="true" customHeight="false" outlineLevel="0" collapsed="false">
      <c r="A1141" s="117" t="n">
        <v>1000</v>
      </c>
      <c r="B1141" s="117" t="s">
        <v>1962</v>
      </c>
      <c r="C1141" s="117" t="n">
        <v>100173564</v>
      </c>
      <c r="E1141" s="117" t="s">
        <v>1921</v>
      </c>
      <c r="F1141" s="117" t="n">
        <v>1108</v>
      </c>
      <c r="G1141" s="117" t="n">
        <v>2019</v>
      </c>
      <c r="H1141" s="117" t="n">
        <v>8</v>
      </c>
      <c r="I1141" s="118" t="n">
        <v>43799</v>
      </c>
      <c r="J1141" s="118" t="n">
        <v>43799</v>
      </c>
      <c r="K1141" s="119" t="n">
        <v>69849.51</v>
      </c>
      <c r="L1141" s="128" t="n">
        <f aca="false">K1141-Q1141+T1141</f>
        <v>69849.51</v>
      </c>
      <c r="M1141" s="117" t="s">
        <v>149</v>
      </c>
      <c r="N1141" s="117" t="n">
        <v>69849.51</v>
      </c>
      <c r="O1141" s="117" t="s">
        <v>149</v>
      </c>
      <c r="P1141" s="117" t="n">
        <v>0</v>
      </c>
      <c r="Q1141" s="117" t="n">
        <v>0</v>
      </c>
      <c r="R1141" s="117" t="n">
        <v>69849.51</v>
      </c>
      <c r="S1141" s="117" t="n">
        <v>0</v>
      </c>
      <c r="T1141" s="117" t="n">
        <v>0</v>
      </c>
      <c r="U1141" s="117" t="n">
        <v>312193</v>
      </c>
      <c r="V1141" s="117" t="s">
        <v>1963</v>
      </c>
      <c r="X1141" s="117" t="s">
        <v>1645</v>
      </c>
      <c r="Z1141" s="117" t="n">
        <v>61994</v>
      </c>
      <c r="AB1141" s="117" t="s">
        <v>2109</v>
      </c>
      <c r="AD1141" s="117" t="n">
        <v>110000</v>
      </c>
      <c r="AE1141" s="117" t="s">
        <v>1966</v>
      </c>
      <c r="AF1141" s="117" t="n">
        <v>110000</v>
      </c>
      <c r="AG1141" s="117" t="s">
        <v>1966</v>
      </c>
      <c r="AI1141" s="117" t="n">
        <v>110000</v>
      </c>
      <c r="AJ1141" s="117" t="s">
        <v>1966</v>
      </c>
      <c r="AK1141" s="117" t="n">
        <v>0</v>
      </c>
      <c r="AL1141" s="117" t="n">
        <v>4</v>
      </c>
      <c r="AM1141" s="117" t="s">
        <v>161</v>
      </c>
      <c r="AR1141" s="118" t="n">
        <v>43800</v>
      </c>
      <c r="AS1141" s="117" t="n">
        <v>0.649189814814815</v>
      </c>
      <c r="AT1141" s="117" t="n">
        <v>0</v>
      </c>
      <c r="AU1141" s="117" t="n">
        <v>0</v>
      </c>
      <c r="AX1141" s="117" t="n">
        <v>21</v>
      </c>
    </row>
    <row r="1142" customFormat="false" ht="13.8" hidden="true" customHeight="false" outlineLevel="0" collapsed="false">
      <c r="A1142" s="117" t="n">
        <v>1000</v>
      </c>
      <c r="B1142" s="117" t="s">
        <v>1962</v>
      </c>
      <c r="C1142" s="117" t="n">
        <v>100260160</v>
      </c>
      <c r="E1142" s="117" t="s">
        <v>1921</v>
      </c>
      <c r="F1142" s="117" t="n">
        <v>1109</v>
      </c>
      <c r="G1142" s="117" t="n">
        <v>2019</v>
      </c>
      <c r="H1142" s="117" t="n">
        <v>11</v>
      </c>
      <c r="I1142" s="118" t="n">
        <v>43883</v>
      </c>
      <c r="J1142" s="118" t="n">
        <v>43883</v>
      </c>
      <c r="K1142" s="119" t="n">
        <v>109858</v>
      </c>
      <c r="L1142" s="128" t="n">
        <f aca="false">K1142-Q1142+T1142</f>
        <v>109858</v>
      </c>
      <c r="M1142" s="117" t="s">
        <v>149</v>
      </c>
      <c r="N1142" s="117" t="n">
        <v>109858</v>
      </c>
      <c r="O1142" s="117" t="s">
        <v>149</v>
      </c>
      <c r="P1142" s="117" t="n">
        <v>0</v>
      </c>
      <c r="Q1142" s="117" t="n">
        <v>0</v>
      </c>
      <c r="R1142" s="117" t="n">
        <v>109858</v>
      </c>
      <c r="S1142" s="117" t="n">
        <v>0</v>
      </c>
      <c r="T1142" s="117" t="n">
        <v>0</v>
      </c>
      <c r="U1142" s="117" t="n">
        <v>305576</v>
      </c>
      <c r="V1142" s="117" t="s">
        <v>1973</v>
      </c>
      <c r="X1142" s="117" t="s">
        <v>2465</v>
      </c>
      <c r="Z1142" s="117" t="n">
        <v>63586</v>
      </c>
      <c r="AB1142" s="117" t="s">
        <v>2466</v>
      </c>
      <c r="AD1142" s="117" t="n">
        <v>110000</v>
      </c>
      <c r="AE1142" s="117" t="s">
        <v>1966</v>
      </c>
      <c r="AF1142" s="117" t="n">
        <v>110000</v>
      </c>
      <c r="AG1142" s="117" t="s">
        <v>1966</v>
      </c>
      <c r="AI1142" s="117" t="n">
        <v>110000</v>
      </c>
      <c r="AJ1142" s="117" t="s">
        <v>1966</v>
      </c>
      <c r="AK1142" s="117" t="n">
        <v>0</v>
      </c>
      <c r="AL1142" s="117" t="n">
        <v>4</v>
      </c>
      <c r="AM1142" s="117" t="s">
        <v>161</v>
      </c>
      <c r="AR1142" s="118" t="n">
        <v>43883</v>
      </c>
      <c r="AS1142" s="117" t="n">
        <v>0.336875</v>
      </c>
      <c r="AT1142" s="117" t="n">
        <v>0</v>
      </c>
      <c r="AU1142" s="117" t="n">
        <v>0</v>
      </c>
      <c r="AX1142" s="117" t="n">
        <v>2</v>
      </c>
    </row>
    <row r="1143" customFormat="false" ht="13.8" hidden="true" customHeight="false" outlineLevel="0" collapsed="false">
      <c r="A1143" s="117" t="n">
        <v>1000</v>
      </c>
      <c r="B1143" s="117" t="s">
        <v>1962</v>
      </c>
      <c r="C1143" s="117" t="n">
        <v>1400009990</v>
      </c>
      <c r="E1143" s="117" t="s">
        <v>1972</v>
      </c>
      <c r="F1143" s="117" t="n">
        <v>1101</v>
      </c>
      <c r="G1143" s="117" t="n">
        <v>2019</v>
      </c>
      <c r="H1143" s="117" t="n">
        <v>10</v>
      </c>
      <c r="I1143" s="118" t="n">
        <v>43847</v>
      </c>
      <c r="J1143" s="118" t="n">
        <v>43847</v>
      </c>
      <c r="K1143" s="119" t="n">
        <v>-230723.4</v>
      </c>
      <c r="L1143" s="128" t="n">
        <f aca="false">K1143-Q1143+T1143</f>
        <v>-230723.4</v>
      </c>
      <c r="M1143" s="117" t="s">
        <v>149</v>
      </c>
      <c r="N1143" s="117" t="n">
        <v>-230723.4</v>
      </c>
      <c r="O1143" s="117" t="s">
        <v>149</v>
      </c>
      <c r="P1143" s="117" t="n">
        <v>0</v>
      </c>
      <c r="Q1143" s="117" t="n">
        <v>0</v>
      </c>
      <c r="R1143" s="117" t="n">
        <v>-230723.4</v>
      </c>
      <c r="S1143" s="117" t="n">
        <v>0</v>
      </c>
      <c r="T1143" s="117" t="n">
        <v>0</v>
      </c>
      <c r="U1143" s="117" t="n">
        <v>312948</v>
      </c>
      <c r="V1143" s="117" t="s">
        <v>1984</v>
      </c>
      <c r="X1143" s="117" t="s">
        <v>2589</v>
      </c>
      <c r="Y1143" s="117" t="s">
        <v>2590</v>
      </c>
      <c r="Z1143" s="117" t="n">
        <v>1400009990</v>
      </c>
      <c r="AC1143" s="117" t="s">
        <v>1976</v>
      </c>
      <c r="AD1143" s="117" t="n">
        <v>310300</v>
      </c>
      <c r="AE1143" s="117" t="s">
        <v>1969</v>
      </c>
      <c r="AF1143" s="117" t="n">
        <v>101105</v>
      </c>
      <c r="AG1143" s="117" t="s">
        <v>1977</v>
      </c>
      <c r="AI1143" s="117" t="n">
        <v>101105</v>
      </c>
      <c r="AJ1143" s="117" t="s">
        <v>1977</v>
      </c>
      <c r="AK1143" s="117" t="n">
        <v>0</v>
      </c>
      <c r="AL1143" s="117" t="n">
        <v>19</v>
      </c>
      <c r="AM1143" s="117" t="s">
        <v>225</v>
      </c>
      <c r="AN1143" s="117" t="s">
        <v>1978</v>
      </c>
      <c r="AP1143" s="117" t="n">
        <v>100242355</v>
      </c>
      <c r="AQ1143" s="118" t="n">
        <v>43861</v>
      </c>
      <c r="AR1143" s="118" t="n">
        <v>43857</v>
      </c>
      <c r="AS1143" s="117" t="n">
        <v>0.501678240740741</v>
      </c>
      <c r="AT1143" s="117" t="n">
        <v>0</v>
      </c>
      <c r="AU1143" s="117" t="n">
        <v>0</v>
      </c>
      <c r="AX1143" s="117" t="n">
        <v>2</v>
      </c>
    </row>
    <row r="1144" customFormat="false" ht="13.8" hidden="true" customHeight="false" outlineLevel="0" collapsed="false">
      <c r="A1144" s="117" t="n">
        <v>1000</v>
      </c>
      <c r="B1144" s="117" t="s">
        <v>1962</v>
      </c>
      <c r="C1144" s="117" t="n">
        <v>100231547</v>
      </c>
      <c r="E1144" s="117" t="s">
        <v>1921</v>
      </c>
      <c r="F1144" s="117" t="n">
        <v>1101</v>
      </c>
      <c r="G1144" s="117" t="n">
        <v>2019</v>
      </c>
      <c r="H1144" s="117" t="n">
        <v>10</v>
      </c>
      <c r="I1144" s="118" t="n">
        <v>43859</v>
      </c>
      <c r="J1144" s="118" t="n">
        <v>43859</v>
      </c>
      <c r="K1144" s="119" t="n">
        <v>-5851979.36</v>
      </c>
      <c r="L1144" s="128" t="n">
        <f aca="false">K1144-Q1144+T1144</f>
        <v>-5851979.36</v>
      </c>
      <c r="M1144" s="117" t="s">
        <v>149</v>
      </c>
      <c r="N1144" s="117" t="n">
        <v>-5851979.36</v>
      </c>
      <c r="O1144" s="117" t="s">
        <v>149</v>
      </c>
      <c r="P1144" s="117" t="n">
        <v>0</v>
      </c>
      <c r="Q1144" s="117" t="n">
        <v>0</v>
      </c>
      <c r="R1144" s="117" t="n">
        <v>-5851979.36</v>
      </c>
      <c r="S1144" s="117" t="n">
        <v>0</v>
      </c>
      <c r="T1144" s="117" t="n">
        <v>0</v>
      </c>
      <c r="U1144" s="117" t="n">
        <v>312193</v>
      </c>
      <c r="V1144" s="117" t="s">
        <v>1963</v>
      </c>
      <c r="Z1144" s="117" t="n">
        <v>100231547</v>
      </c>
      <c r="AD1144" s="117" t="n">
        <v>110000</v>
      </c>
      <c r="AE1144" s="117" t="s">
        <v>1966</v>
      </c>
      <c r="AF1144" s="117" t="n">
        <v>110000</v>
      </c>
      <c r="AG1144" s="117" t="s">
        <v>1966</v>
      </c>
      <c r="AI1144" s="117" t="n">
        <v>110000</v>
      </c>
      <c r="AJ1144" s="117" t="s">
        <v>1966</v>
      </c>
      <c r="AK1144" s="117" t="n">
        <v>0</v>
      </c>
      <c r="AL1144" s="117" t="n">
        <v>17</v>
      </c>
      <c r="AM1144" s="117" t="s">
        <v>225</v>
      </c>
      <c r="AP1144" s="117" t="n">
        <v>100231547</v>
      </c>
      <c r="AQ1144" s="118" t="n">
        <v>43859</v>
      </c>
      <c r="AR1144" s="118" t="n">
        <v>43859</v>
      </c>
      <c r="AS1144" s="117" t="n">
        <v>0.26912037037037</v>
      </c>
      <c r="AT1144" s="117" t="n">
        <v>0</v>
      </c>
      <c r="AU1144" s="117" t="n">
        <v>0</v>
      </c>
      <c r="AX1144" s="117" t="n">
        <v>5</v>
      </c>
    </row>
    <row r="1145" customFormat="false" ht="13.8" hidden="true" customHeight="false" outlineLevel="0" collapsed="false">
      <c r="A1145" s="117" t="n">
        <v>1000</v>
      </c>
      <c r="B1145" s="117" t="s">
        <v>1962</v>
      </c>
      <c r="C1145" s="117" t="n">
        <v>1400010024</v>
      </c>
      <c r="D1145" s="117" t="s">
        <v>2591</v>
      </c>
      <c r="E1145" s="117" t="s">
        <v>1972</v>
      </c>
      <c r="F1145" s="117" t="n">
        <v>1106</v>
      </c>
      <c r="G1145" s="117" t="n">
        <v>2019</v>
      </c>
      <c r="H1145" s="117" t="n">
        <v>10</v>
      </c>
      <c r="I1145" s="118" t="n">
        <v>43847</v>
      </c>
      <c r="J1145" s="118" t="n">
        <v>43847</v>
      </c>
      <c r="K1145" s="119" t="n">
        <v>-39600.9</v>
      </c>
      <c r="L1145" s="128" t="n">
        <f aca="false">K1145-Q1145+T1145</f>
        <v>-39600.9</v>
      </c>
      <c r="M1145" s="117" t="s">
        <v>149</v>
      </c>
      <c r="N1145" s="117" t="n">
        <v>-39600.9</v>
      </c>
      <c r="O1145" s="117" t="s">
        <v>149</v>
      </c>
      <c r="P1145" s="117" t="n">
        <v>-39600.9</v>
      </c>
      <c r="Q1145" s="117" t="n">
        <v>0</v>
      </c>
      <c r="R1145" s="117" t="n">
        <v>-39600.9</v>
      </c>
      <c r="S1145" s="117" t="n">
        <v>0</v>
      </c>
      <c r="T1145" s="117" t="n">
        <v>0</v>
      </c>
      <c r="U1145" s="117" t="n">
        <v>312193</v>
      </c>
      <c r="V1145" s="117" t="s">
        <v>1963</v>
      </c>
      <c r="X1145" s="117" t="s">
        <v>2592</v>
      </c>
      <c r="Y1145" s="117" t="s">
        <v>2593</v>
      </c>
      <c r="Z1145" s="117" t="n">
        <v>1400010024</v>
      </c>
      <c r="AC1145" s="117" t="s">
        <v>1976</v>
      </c>
      <c r="AD1145" s="117" t="n">
        <v>310300</v>
      </c>
      <c r="AE1145" s="117" t="s">
        <v>1969</v>
      </c>
      <c r="AF1145" s="117" t="n">
        <v>101105</v>
      </c>
      <c r="AG1145" s="117" t="s">
        <v>1977</v>
      </c>
      <c r="AI1145" s="117" t="n">
        <v>101105</v>
      </c>
      <c r="AJ1145" s="117" t="s">
        <v>1977</v>
      </c>
      <c r="AK1145" s="117" t="n">
        <v>0</v>
      </c>
      <c r="AL1145" s="117" t="n">
        <v>19</v>
      </c>
      <c r="AM1145" s="117" t="s">
        <v>225</v>
      </c>
      <c r="AN1145" s="117" t="s">
        <v>1978</v>
      </c>
      <c r="AP1145" s="117" t="n">
        <v>100231550</v>
      </c>
      <c r="AQ1145" s="118" t="n">
        <v>43859</v>
      </c>
      <c r="AR1145" s="118" t="n">
        <v>43857</v>
      </c>
      <c r="AS1145" s="117" t="n">
        <v>0.708078703703704</v>
      </c>
      <c r="AT1145" s="117" t="n">
        <v>0</v>
      </c>
      <c r="AU1145" s="117" t="n">
        <v>0</v>
      </c>
      <c r="AX1145" s="117" t="n">
        <v>2</v>
      </c>
    </row>
    <row r="1146" customFormat="false" ht="13.8" hidden="true" customHeight="false" outlineLevel="0" collapsed="false">
      <c r="A1146" s="117" t="n">
        <v>1000</v>
      </c>
      <c r="B1146" s="117" t="s">
        <v>1962</v>
      </c>
      <c r="C1146" s="117" t="n">
        <v>1600000451</v>
      </c>
      <c r="D1146" s="117" t="s">
        <v>2175</v>
      </c>
      <c r="E1146" s="117" t="s">
        <v>1987</v>
      </c>
      <c r="F1146" s="117" t="n">
        <v>1106</v>
      </c>
      <c r="G1146" s="117" t="n">
        <v>2019</v>
      </c>
      <c r="H1146" s="117" t="n">
        <v>11</v>
      </c>
      <c r="I1146" s="118" t="n">
        <v>43884</v>
      </c>
      <c r="J1146" s="118" t="n">
        <v>43884</v>
      </c>
      <c r="K1146" s="119" t="n">
        <v>-6505.34</v>
      </c>
      <c r="L1146" s="128" t="n">
        <f aca="false">K1146-Q1146+T1146</f>
        <v>-6505.34</v>
      </c>
      <c r="M1146" s="117" t="s">
        <v>149</v>
      </c>
      <c r="N1146" s="117" t="n">
        <v>-6505.34</v>
      </c>
      <c r="O1146" s="117" t="s">
        <v>149</v>
      </c>
      <c r="P1146" s="117" t="n">
        <v>-6505.34</v>
      </c>
      <c r="Q1146" s="117" t="n">
        <v>0</v>
      </c>
      <c r="R1146" s="117" t="n">
        <v>-6505.34</v>
      </c>
      <c r="S1146" s="117" t="n">
        <v>0</v>
      </c>
      <c r="T1146" s="117" t="n">
        <v>0</v>
      </c>
      <c r="U1146" s="117" t="n">
        <v>315113</v>
      </c>
      <c r="V1146" s="117" t="s">
        <v>143</v>
      </c>
      <c r="X1146" s="117" t="s">
        <v>2176</v>
      </c>
      <c r="Y1146" s="117" t="s">
        <v>2176</v>
      </c>
      <c r="Z1146" s="117" t="n">
        <v>1600000451</v>
      </c>
      <c r="AD1146" s="117" t="n">
        <v>110000</v>
      </c>
      <c r="AE1146" s="117" t="s">
        <v>1966</v>
      </c>
      <c r="AF1146" s="117" t="n">
        <v>315113</v>
      </c>
      <c r="AG1146" s="117" t="s">
        <v>143</v>
      </c>
      <c r="AI1146" s="117" t="n">
        <v>315113</v>
      </c>
      <c r="AJ1146" s="131" t="s">
        <v>143</v>
      </c>
      <c r="AK1146" s="117" t="n">
        <v>0</v>
      </c>
      <c r="AL1146" s="117" t="n">
        <v>14</v>
      </c>
      <c r="AM1146" s="117" t="s">
        <v>225</v>
      </c>
      <c r="AP1146" s="117" t="n">
        <v>100261921</v>
      </c>
      <c r="AQ1146" s="118" t="n">
        <v>43884</v>
      </c>
      <c r="AR1146" s="118" t="n">
        <v>43884</v>
      </c>
      <c r="AS1146" s="117" t="n">
        <v>0.574710648148148</v>
      </c>
      <c r="AT1146" s="117" t="n">
        <v>0</v>
      </c>
      <c r="AU1146" s="117" t="n">
        <v>0</v>
      </c>
      <c r="AX1146" s="117" t="n">
        <v>2</v>
      </c>
    </row>
    <row r="1147" s="106" customFormat="true" ht="13.8" hidden="true" customHeight="false" outlineLevel="0" collapsed="false">
      <c r="A1147" s="106" t="n">
        <v>1000</v>
      </c>
      <c r="B1147" s="106" t="s">
        <v>1962</v>
      </c>
      <c r="C1147" s="106" t="n">
        <v>111277</v>
      </c>
      <c r="D1147" s="106" t="s">
        <v>2594</v>
      </c>
      <c r="E1147" s="106" t="s">
        <v>1970</v>
      </c>
      <c r="F1147" s="106" t="n">
        <v>1112</v>
      </c>
      <c r="G1147" s="106" t="n">
        <v>2019</v>
      </c>
      <c r="H1147" s="106" t="n">
        <v>10</v>
      </c>
      <c r="I1147" s="129" t="n">
        <v>43840</v>
      </c>
      <c r="J1147" s="129" t="n">
        <v>43840</v>
      </c>
      <c r="K1147" s="107" t="n">
        <v>16213.2</v>
      </c>
      <c r="L1147" s="130" t="n">
        <f aca="false">K1147-Q1147+T1147</f>
        <v>13740</v>
      </c>
      <c r="M1147" s="106" t="s">
        <v>149</v>
      </c>
      <c r="N1147" s="106" t="n">
        <v>16213.2</v>
      </c>
      <c r="O1147" s="106" t="s">
        <v>149</v>
      </c>
      <c r="P1147" s="106" t="n">
        <v>0</v>
      </c>
      <c r="Q1147" s="107" t="n">
        <v>2473.2</v>
      </c>
      <c r="R1147" s="106" t="n">
        <v>13740</v>
      </c>
      <c r="S1147" s="106" t="n">
        <v>0</v>
      </c>
      <c r="T1147" s="106" t="n">
        <v>0</v>
      </c>
      <c r="U1147" s="106" t="n">
        <v>312193</v>
      </c>
      <c r="V1147" s="106" t="s">
        <v>1963</v>
      </c>
      <c r="Z1147" s="106" t="n">
        <v>62199</v>
      </c>
      <c r="AB1147" s="106" t="s">
        <v>2350</v>
      </c>
      <c r="AD1147" s="106" t="n">
        <v>110000</v>
      </c>
      <c r="AE1147" s="106" t="s">
        <v>1966</v>
      </c>
      <c r="AF1147" s="106" t="n">
        <v>501000</v>
      </c>
      <c r="AG1147" s="106" t="s">
        <v>2170</v>
      </c>
      <c r="AI1147" s="106" t="n">
        <v>501000</v>
      </c>
      <c r="AJ1147" s="106" t="s">
        <v>2170</v>
      </c>
      <c r="AK1147" s="106" t="n">
        <v>0</v>
      </c>
      <c r="AL1147" s="106" t="n">
        <v>1</v>
      </c>
      <c r="AM1147" s="106" t="s">
        <v>161</v>
      </c>
      <c r="AP1147" s="106" t="n">
        <v>100231557</v>
      </c>
      <c r="AQ1147" s="129" t="n">
        <v>43859</v>
      </c>
      <c r="AR1147" s="129" t="n">
        <v>43840</v>
      </c>
      <c r="AS1147" s="106" t="n">
        <v>0.454675925925926</v>
      </c>
      <c r="AT1147" s="106" t="n">
        <v>0</v>
      </c>
      <c r="AU1147" s="106" t="n">
        <v>0</v>
      </c>
      <c r="AX1147" s="106" t="n">
        <v>1</v>
      </c>
      <c r="ALU1147" s="0"/>
      <c r="ALV1147" s="0"/>
      <c r="ALW1147" s="0"/>
      <c r="ALX1147" s="0"/>
      <c r="ALY1147" s="0"/>
      <c r="ALZ1147" s="0"/>
      <c r="AMA1147" s="0"/>
      <c r="AMB1147" s="0"/>
      <c r="AMC1147" s="0"/>
      <c r="AMD1147" s="0"/>
      <c r="AME1147" s="0"/>
      <c r="AMF1147" s="0"/>
      <c r="AMG1147" s="0"/>
      <c r="AMH1147" s="0"/>
      <c r="AMI1147" s="0"/>
      <c r="AMJ1147" s="0"/>
    </row>
    <row r="1148" customFormat="false" ht="13.8" hidden="true" customHeight="false" outlineLevel="0" collapsed="false">
      <c r="A1148" s="117" t="n">
        <v>1000</v>
      </c>
      <c r="B1148" s="117" t="s">
        <v>1962</v>
      </c>
      <c r="C1148" s="117" t="n">
        <v>100260197</v>
      </c>
      <c r="E1148" s="117" t="s">
        <v>1921</v>
      </c>
      <c r="F1148" s="117" t="n">
        <v>1101</v>
      </c>
      <c r="G1148" s="117" t="n">
        <v>2019</v>
      </c>
      <c r="H1148" s="117" t="n">
        <v>11</v>
      </c>
      <c r="I1148" s="118" t="n">
        <v>43883</v>
      </c>
      <c r="J1148" s="118" t="n">
        <v>43883</v>
      </c>
      <c r="K1148" s="119" t="n">
        <v>612508.5</v>
      </c>
      <c r="L1148" s="128" t="n">
        <f aca="false">K1148-Q1148+T1148</f>
        <v>612508.5</v>
      </c>
      <c r="M1148" s="117" t="s">
        <v>149</v>
      </c>
      <c r="N1148" s="117" t="n">
        <v>612508.5</v>
      </c>
      <c r="O1148" s="117" t="s">
        <v>149</v>
      </c>
      <c r="P1148" s="117" t="n">
        <v>0</v>
      </c>
      <c r="Q1148" s="117" t="n">
        <v>0</v>
      </c>
      <c r="R1148" s="117" t="n">
        <v>612508.5</v>
      </c>
      <c r="S1148" s="117" t="n">
        <v>0</v>
      </c>
      <c r="T1148" s="117" t="n">
        <v>0</v>
      </c>
      <c r="U1148" s="117" t="n">
        <v>312948</v>
      </c>
      <c r="V1148" s="117" t="s">
        <v>1984</v>
      </c>
      <c r="Z1148" s="117" t="n">
        <v>100260197</v>
      </c>
      <c r="AD1148" s="117" t="n">
        <v>310300</v>
      </c>
      <c r="AE1148" s="117" t="s">
        <v>1969</v>
      </c>
      <c r="AF1148" s="117" t="n">
        <v>110000</v>
      </c>
      <c r="AG1148" s="117" t="s">
        <v>1966</v>
      </c>
      <c r="AI1148" s="117" t="n">
        <v>110000</v>
      </c>
      <c r="AJ1148" s="117" t="s">
        <v>1966</v>
      </c>
      <c r="AK1148" s="117" t="n">
        <v>0</v>
      </c>
      <c r="AL1148" s="117" t="n">
        <v>9</v>
      </c>
      <c r="AM1148" s="117" t="s">
        <v>161</v>
      </c>
      <c r="AN1148" s="117" t="s">
        <v>1978</v>
      </c>
      <c r="AP1148" s="117" t="n">
        <v>100260197</v>
      </c>
      <c r="AQ1148" s="118" t="n">
        <v>43883</v>
      </c>
      <c r="AR1148" s="118" t="n">
        <v>43883</v>
      </c>
      <c r="AS1148" s="117" t="n">
        <v>0.358125</v>
      </c>
      <c r="AT1148" s="117" t="n">
        <v>0</v>
      </c>
      <c r="AU1148" s="117" t="n">
        <v>0</v>
      </c>
      <c r="AX1148" s="117" t="n">
        <v>3</v>
      </c>
    </row>
    <row r="1149" customFormat="false" ht="13.8" hidden="true" customHeight="false" outlineLevel="0" collapsed="false">
      <c r="A1149" s="117" t="n">
        <v>1000</v>
      </c>
      <c r="B1149" s="117" t="s">
        <v>1962</v>
      </c>
      <c r="C1149" s="117" t="n">
        <v>100261130</v>
      </c>
      <c r="E1149" s="117" t="s">
        <v>1921</v>
      </c>
      <c r="F1149" s="117" t="n">
        <v>1101</v>
      </c>
      <c r="G1149" s="117" t="n">
        <v>2019</v>
      </c>
      <c r="H1149" s="117" t="n">
        <v>11</v>
      </c>
      <c r="I1149" s="118" t="n">
        <v>43883</v>
      </c>
      <c r="J1149" s="118" t="n">
        <v>43883</v>
      </c>
      <c r="K1149" s="119" t="n">
        <v>13920.6</v>
      </c>
      <c r="L1149" s="128" t="n">
        <f aca="false">K1149-Q1149+T1149</f>
        <v>13920.6</v>
      </c>
      <c r="M1149" s="117" t="s">
        <v>149</v>
      </c>
      <c r="N1149" s="117" t="n">
        <v>13920.6</v>
      </c>
      <c r="O1149" s="117" t="s">
        <v>149</v>
      </c>
      <c r="P1149" s="117" t="n">
        <v>13920.6</v>
      </c>
      <c r="Q1149" s="117" t="n">
        <v>0</v>
      </c>
      <c r="R1149" s="117" t="n">
        <v>13920.6</v>
      </c>
      <c r="S1149" s="117" t="n">
        <v>0</v>
      </c>
      <c r="T1149" s="117" t="n">
        <v>0</v>
      </c>
      <c r="U1149" s="117" t="n">
        <v>318999</v>
      </c>
      <c r="V1149" s="117" t="s">
        <v>143</v>
      </c>
      <c r="X1149" s="117" t="s">
        <v>2595</v>
      </c>
      <c r="Z1149" s="117" t="n">
        <v>100261130</v>
      </c>
      <c r="AD1149" s="117" t="n">
        <v>111105</v>
      </c>
      <c r="AE1149" s="117" t="s">
        <v>1994</v>
      </c>
      <c r="AF1149" s="117" t="n">
        <v>111105</v>
      </c>
      <c r="AG1149" s="117" t="s">
        <v>1994</v>
      </c>
      <c r="AI1149" s="117" t="n">
        <v>111105</v>
      </c>
      <c r="AJ1149" s="117" t="s">
        <v>1994</v>
      </c>
      <c r="AK1149" s="117" t="n">
        <v>0</v>
      </c>
      <c r="AL1149" s="117" t="n">
        <v>9</v>
      </c>
      <c r="AM1149" s="117" t="s">
        <v>161</v>
      </c>
      <c r="AN1149" s="117" t="s">
        <v>1995</v>
      </c>
      <c r="AR1149" s="118" t="n">
        <v>43883</v>
      </c>
      <c r="AS1149" s="117" t="n">
        <v>0.64537037037037</v>
      </c>
      <c r="AT1149" s="117" t="n">
        <v>0</v>
      </c>
      <c r="AU1149" s="117" t="n">
        <v>0</v>
      </c>
      <c r="AX1149" s="117" t="n">
        <v>1</v>
      </c>
    </row>
    <row r="1150" customFormat="false" ht="13.8" hidden="true" customHeight="false" outlineLevel="0" collapsed="false">
      <c r="A1150" s="117" t="n">
        <v>1000</v>
      </c>
      <c r="B1150" s="117" t="s">
        <v>1962</v>
      </c>
      <c r="C1150" s="117" t="n">
        <v>1600000414</v>
      </c>
      <c r="D1150" s="117" t="s">
        <v>2175</v>
      </c>
      <c r="E1150" s="117" t="s">
        <v>1987</v>
      </c>
      <c r="F1150" s="117" t="n">
        <v>1109</v>
      </c>
      <c r="G1150" s="117" t="n">
        <v>2019</v>
      </c>
      <c r="H1150" s="117" t="n">
        <v>10</v>
      </c>
      <c r="I1150" s="118" t="n">
        <v>43859</v>
      </c>
      <c r="J1150" s="118" t="n">
        <v>43859</v>
      </c>
      <c r="K1150" s="119" t="n">
        <v>-5036</v>
      </c>
      <c r="L1150" s="128" t="n">
        <f aca="false">K1150-Q1150+T1150</f>
        <v>-5036</v>
      </c>
      <c r="M1150" s="117" t="s">
        <v>149</v>
      </c>
      <c r="N1150" s="117" t="n">
        <v>-5036</v>
      </c>
      <c r="O1150" s="117" t="s">
        <v>149</v>
      </c>
      <c r="P1150" s="117" t="n">
        <v>-5036</v>
      </c>
      <c r="Q1150" s="117" t="n">
        <v>0</v>
      </c>
      <c r="R1150" s="117" t="n">
        <v>-5036</v>
      </c>
      <c r="S1150" s="117" t="n">
        <v>0</v>
      </c>
      <c r="T1150" s="117" t="n">
        <v>0</v>
      </c>
      <c r="U1150" s="117" t="n">
        <v>312193</v>
      </c>
      <c r="V1150" s="117" t="s">
        <v>1963</v>
      </c>
      <c r="X1150" s="117" t="s">
        <v>2176</v>
      </c>
      <c r="Y1150" s="117" t="s">
        <v>2176</v>
      </c>
      <c r="Z1150" s="117" t="n">
        <v>1600000414</v>
      </c>
      <c r="AD1150" s="117" t="n">
        <v>110000</v>
      </c>
      <c r="AE1150" s="117" t="s">
        <v>1966</v>
      </c>
      <c r="AF1150" s="117" t="n">
        <v>312193</v>
      </c>
      <c r="AG1150" s="117" t="s">
        <v>1963</v>
      </c>
      <c r="AI1150" s="117" t="n">
        <v>312193</v>
      </c>
      <c r="AJ1150" s="131" t="s">
        <v>1963</v>
      </c>
      <c r="AK1150" s="117" t="n">
        <v>0</v>
      </c>
      <c r="AL1150" s="117" t="n">
        <v>14</v>
      </c>
      <c r="AM1150" s="117" t="s">
        <v>225</v>
      </c>
      <c r="AP1150" s="117" t="n">
        <v>100231548</v>
      </c>
      <c r="AQ1150" s="118" t="n">
        <v>43859</v>
      </c>
      <c r="AR1150" s="118" t="n">
        <v>43859</v>
      </c>
      <c r="AS1150" s="117" t="n">
        <v>0.273368055555556</v>
      </c>
      <c r="AT1150" s="117" t="n">
        <v>0</v>
      </c>
      <c r="AU1150" s="117" t="n">
        <v>0</v>
      </c>
      <c r="AX1150" s="117" t="n">
        <v>2</v>
      </c>
    </row>
    <row r="1151" customFormat="false" ht="13.8" hidden="true" customHeight="false" outlineLevel="0" collapsed="false">
      <c r="A1151" s="117" t="n">
        <v>1000</v>
      </c>
      <c r="B1151" s="117" t="s">
        <v>1962</v>
      </c>
      <c r="C1151" s="117" t="n">
        <v>100229115</v>
      </c>
      <c r="E1151" s="117" t="s">
        <v>1921</v>
      </c>
      <c r="F1151" s="117" t="n">
        <v>1109</v>
      </c>
      <c r="G1151" s="117" t="n">
        <v>2019</v>
      </c>
      <c r="H1151" s="117" t="n">
        <v>10</v>
      </c>
      <c r="I1151" s="118" t="n">
        <v>43856</v>
      </c>
      <c r="J1151" s="118" t="n">
        <v>43856</v>
      </c>
      <c r="K1151" s="119" t="n">
        <v>109858</v>
      </c>
      <c r="L1151" s="128" t="n">
        <f aca="false">K1151-Q1151+T1151</f>
        <v>109858</v>
      </c>
      <c r="M1151" s="117" t="s">
        <v>149</v>
      </c>
      <c r="N1151" s="117" t="n">
        <v>109858</v>
      </c>
      <c r="O1151" s="117" t="s">
        <v>149</v>
      </c>
      <c r="P1151" s="117" t="n">
        <v>0</v>
      </c>
      <c r="Q1151" s="117" t="n">
        <v>0</v>
      </c>
      <c r="R1151" s="117" t="n">
        <v>109858</v>
      </c>
      <c r="S1151" s="117" t="n">
        <v>0</v>
      </c>
      <c r="T1151" s="117" t="n">
        <v>0</v>
      </c>
      <c r="U1151" s="117" t="n">
        <v>305576</v>
      </c>
      <c r="V1151" s="117" t="s">
        <v>1973</v>
      </c>
      <c r="X1151" s="117" t="s">
        <v>1184</v>
      </c>
      <c r="Z1151" s="117" t="n">
        <v>63209</v>
      </c>
      <c r="AB1151" s="117" t="s">
        <v>2438</v>
      </c>
      <c r="AD1151" s="117" t="n">
        <v>110000</v>
      </c>
      <c r="AE1151" s="117" t="s">
        <v>1966</v>
      </c>
      <c r="AF1151" s="117" t="n">
        <v>110000</v>
      </c>
      <c r="AG1151" s="117" t="s">
        <v>1966</v>
      </c>
      <c r="AI1151" s="117" t="n">
        <v>110000</v>
      </c>
      <c r="AJ1151" s="117" t="s">
        <v>1966</v>
      </c>
      <c r="AK1151" s="117" t="n">
        <v>0</v>
      </c>
      <c r="AL1151" s="117" t="n">
        <v>4</v>
      </c>
      <c r="AM1151" s="117" t="s">
        <v>161</v>
      </c>
      <c r="AR1151" s="118" t="n">
        <v>43856</v>
      </c>
      <c r="AS1151" s="117" t="n">
        <v>0.54568287037037</v>
      </c>
      <c r="AT1151" s="117" t="n">
        <v>0</v>
      </c>
      <c r="AU1151" s="117" t="n">
        <v>0</v>
      </c>
      <c r="AX1151" s="117" t="n">
        <v>1</v>
      </c>
    </row>
    <row r="1152" s="106" customFormat="true" ht="13.8" hidden="true" customHeight="false" outlineLevel="0" collapsed="false">
      <c r="A1152" s="106" t="n">
        <v>1000</v>
      </c>
      <c r="B1152" s="106" t="s">
        <v>1962</v>
      </c>
      <c r="C1152" s="106" t="n">
        <v>101138</v>
      </c>
      <c r="D1152" s="106" t="s">
        <v>2243</v>
      </c>
      <c r="E1152" s="106" t="s">
        <v>1970</v>
      </c>
      <c r="F1152" s="106" t="n">
        <v>1109</v>
      </c>
      <c r="G1152" s="106" t="n">
        <v>2019</v>
      </c>
      <c r="H1152" s="106" t="n">
        <v>1</v>
      </c>
      <c r="I1152" s="129" t="n">
        <v>43585</v>
      </c>
      <c r="J1152" s="129" t="n">
        <v>43585</v>
      </c>
      <c r="K1152" s="107" t="n">
        <v>383618</v>
      </c>
      <c r="L1152" s="130" t="n">
        <f aca="false">K1152-Q1152+T1152</f>
        <v>325100</v>
      </c>
      <c r="M1152" s="106" t="s">
        <v>149</v>
      </c>
      <c r="N1152" s="106" t="n">
        <v>383618</v>
      </c>
      <c r="O1152" s="106" t="s">
        <v>149</v>
      </c>
      <c r="P1152" s="106" t="n">
        <v>0</v>
      </c>
      <c r="Q1152" s="107" t="n">
        <v>58518</v>
      </c>
      <c r="R1152" s="106" t="n">
        <v>325100</v>
      </c>
      <c r="S1152" s="106" t="n">
        <v>0</v>
      </c>
      <c r="T1152" s="106" t="n">
        <v>0</v>
      </c>
      <c r="U1152" s="106" t="n">
        <v>312193</v>
      </c>
      <c r="V1152" s="106" t="s">
        <v>1963</v>
      </c>
      <c r="Z1152" s="106" t="n">
        <v>2316</v>
      </c>
      <c r="AB1152" s="106" t="s">
        <v>1965</v>
      </c>
      <c r="AD1152" s="106" t="n">
        <v>110000</v>
      </c>
      <c r="AE1152" s="106" t="s">
        <v>1966</v>
      </c>
      <c r="AF1152" s="106" t="n">
        <v>501020</v>
      </c>
      <c r="AG1152" s="106" t="s">
        <v>1971</v>
      </c>
      <c r="AI1152" s="106" t="n">
        <v>501020</v>
      </c>
      <c r="AJ1152" s="106" t="s">
        <v>1971</v>
      </c>
      <c r="AK1152" s="106" t="n">
        <v>0</v>
      </c>
      <c r="AL1152" s="106" t="n">
        <v>1</v>
      </c>
      <c r="AM1152" s="106" t="s">
        <v>161</v>
      </c>
      <c r="AP1152" s="106" t="n">
        <v>100005107</v>
      </c>
      <c r="AQ1152" s="129" t="n">
        <v>43585</v>
      </c>
      <c r="AR1152" s="129" t="n">
        <v>43585</v>
      </c>
      <c r="AS1152" s="106" t="n">
        <v>0.719502314814815</v>
      </c>
      <c r="AT1152" s="106" t="n">
        <v>0</v>
      </c>
      <c r="AU1152" s="106" t="n">
        <v>0</v>
      </c>
      <c r="AX1152" s="106" t="n">
        <v>1</v>
      </c>
      <c r="ALU1152" s="0"/>
      <c r="ALV1152" s="0"/>
      <c r="ALW1152" s="0"/>
      <c r="ALX1152" s="0"/>
      <c r="ALY1152" s="0"/>
      <c r="ALZ1152" s="0"/>
      <c r="AMA1152" s="0"/>
      <c r="AMB1152" s="0"/>
      <c r="AMC1152" s="0"/>
      <c r="AMD1152" s="0"/>
      <c r="AME1152" s="0"/>
      <c r="AMF1152" s="0"/>
      <c r="AMG1152" s="0"/>
      <c r="AMH1152" s="0"/>
      <c r="AMI1152" s="0"/>
      <c r="AMJ1152" s="0"/>
    </row>
    <row r="1153" s="106" customFormat="true" ht="13.8" hidden="true" customHeight="false" outlineLevel="0" collapsed="false">
      <c r="A1153" s="106" t="n">
        <v>1000</v>
      </c>
      <c r="B1153" s="106" t="s">
        <v>1962</v>
      </c>
      <c r="C1153" s="106" t="n">
        <v>101159</v>
      </c>
      <c r="D1153" s="106" t="s">
        <v>2217</v>
      </c>
      <c r="E1153" s="106" t="s">
        <v>1970</v>
      </c>
      <c r="F1153" s="106" t="n">
        <v>1109</v>
      </c>
      <c r="G1153" s="106" t="n">
        <v>2019</v>
      </c>
      <c r="H1153" s="106" t="n">
        <v>1</v>
      </c>
      <c r="I1153" s="129" t="n">
        <v>43585</v>
      </c>
      <c r="J1153" s="129" t="n">
        <v>43585</v>
      </c>
      <c r="K1153" s="107" t="n">
        <v>292794.58</v>
      </c>
      <c r="L1153" s="130" t="n">
        <f aca="false">K1153-Q1153+T1153</f>
        <v>248131</v>
      </c>
      <c r="M1153" s="106" t="s">
        <v>149</v>
      </c>
      <c r="N1153" s="106" t="n">
        <v>292794.58</v>
      </c>
      <c r="O1153" s="106" t="s">
        <v>149</v>
      </c>
      <c r="P1153" s="106" t="n">
        <v>0</v>
      </c>
      <c r="Q1153" s="107" t="n">
        <v>44663.58</v>
      </c>
      <c r="R1153" s="106" t="n">
        <v>248131</v>
      </c>
      <c r="S1153" s="106" t="n">
        <v>0</v>
      </c>
      <c r="T1153" s="106" t="n">
        <v>0</v>
      </c>
      <c r="U1153" s="106" t="n">
        <v>312193</v>
      </c>
      <c r="V1153" s="106" t="s">
        <v>1963</v>
      </c>
      <c r="Z1153" s="106" t="n">
        <v>2316</v>
      </c>
      <c r="AB1153" s="106" t="s">
        <v>1965</v>
      </c>
      <c r="AD1153" s="106" t="n">
        <v>110000</v>
      </c>
      <c r="AE1153" s="106" t="s">
        <v>1966</v>
      </c>
      <c r="AF1153" s="106" t="n">
        <v>501020</v>
      </c>
      <c r="AG1153" s="106" t="s">
        <v>1971</v>
      </c>
      <c r="AI1153" s="106" t="n">
        <v>501020</v>
      </c>
      <c r="AJ1153" s="106" t="s">
        <v>1971</v>
      </c>
      <c r="AK1153" s="106" t="n">
        <v>0</v>
      </c>
      <c r="AL1153" s="106" t="n">
        <v>1</v>
      </c>
      <c r="AM1153" s="106" t="s">
        <v>161</v>
      </c>
      <c r="AP1153" s="106" t="n">
        <v>100005107</v>
      </c>
      <c r="AQ1153" s="129" t="n">
        <v>43585</v>
      </c>
      <c r="AR1153" s="129" t="n">
        <v>43585</v>
      </c>
      <c r="AS1153" s="106" t="n">
        <v>0.772083333333333</v>
      </c>
      <c r="AT1153" s="106" t="n">
        <v>0</v>
      </c>
      <c r="AU1153" s="106" t="n">
        <v>0</v>
      </c>
      <c r="AX1153" s="106" t="n">
        <v>1</v>
      </c>
      <c r="ALU1153" s="0"/>
      <c r="ALV1153" s="0"/>
      <c r="ALW1153" s="0"/>
      <c r="ALX1153" s="0"/>
      <c r="ALY1153" s="0"/>
      <c r="ALZ1153" s="0"/>
      <c r="AMA1153" s="0"/>
      <c r="AMB1153" s="0"/>
      <c r="AMC1153" s="0"/>
      <c r="AMD1153" s="0"/>
      <c r="AME1153" s="0"/>
      <c r="AMF1153" s="0"/>
      <c r="AMG1153" s="0"/>
      <c r="AMH1153" s="0"/>
      <c r="AMI1153" s="0"/>
      <c r="AMJ1153" s="0"/>
    </row>
    <row r="1154" customFormat="false" ht="13.8" hidden="true" customHeight="false" outlineLevel="0" collapsed="false">
      <c r="A1154" s="117" t="n">
        <v>1000</v>
      </c>
      <c r="B1154" s="117" t="s">
        <v>1962</v>
      </c>
      <c r="C1154" s="117" t="n">
        <v>100260160</v>
      </c>
      <c r="E1154" s="117" t="s">
        <v>1921</v>
      </c>
      <c r="F1154" s="117" t="n">
        <v>1109</v>
      </c>
      <c r="G1154" s="117" t="n">
        <v>2019</v>
      </c>
      <c r="H1154" s="117" t="n">
        <v>11</v>
      </c>
      <c r="I1154" s="118" t="n">
        <v>43883</v>
      </c>
      <c r="J1154" s="118" t="n">
        <v>43883</v>
      </c>
      <c r="K1154" s="119" t="n">
        <v>1320466.02</v>
      </c>
      <c r="L1154" s="128" t="n">
        <f aca="false">K1154-Q1154+T1154</f>
        <v>1320466.02</v>
      </c>
      <c r="M1154" s="117" t="s">
        <v>149</v>
      </c>
      <c r="N1154" s="117" t="n">
        <v>1320466.02</v>
      </c>
      <c r="O1154" s="117" t="s">
        <v>149</v>
      </c>
      <c r="P1154" s="117" t="n">
        <v>0</v>
      </c>
      <c r="Q1154" s="117" t="n">
        <v>0</v>
      </c>
      <c r="R1154" s="117" t="n">
        <v>1320466.02</v>
      </c>
      <c r="S1154" s="117" t="n">
        <v>0</v>
      </c>
      <c r="T1154" s="117" t="n">
        <v>0</v>
      </c>
      <c r="U1154" s="117" t="n">
        <v>305576</v>
      </c>
      <c r="V1154" s="117" t="s">
        <v>1973</v>
      </c>
      <c r="X1154" s="117" t="s">
        <v>2460</v>
      </c>
      <c r="Z1154" s="117" t="n">
        <v>63628</v>
      </c>
      <c r="AB1154" s="117" t="s">
        <v>2461</v>
      </c>
      <c r="AD1154" s="117" t="n">
        <v>110000</v>
      </c>
      <c r="AE1154" s="117" t="s">
        <v>1966</v>
      </c>
      <c r="AF1154" s="117" t="n">
        <v>110000</v>
      </c>
      <c r="AG1154" s="117" t="s">
        <v>1966</v>
      </c>
      <c r="AI1154" s="117" t="n">
        <v>110000</v>
      </c>
      <c r="AJ1154" s="117" t="s">
        <v>1966</v>
      </c>
      <c r="AK1154" s="117" t="n">
        <v>0</v>
      </c>
      <c r="AL1154" s="117" t="n">
        <v>4</v>
      </c>
      <c r="AM1154" s="117" t="s">
        <v>161</v>
      </c>
      <c r="AR1154" s="118" t="n">
        <v>43883</v>
      </c>
      <c r="AS1154" s="117" t="n">
        <v>0.336875</v>
      </c>
      <c r="AT1154" s="117" t="n">
        <v>0</v>
      </c>
      <c r="AU1154" s="117" t="n">
        <v>0</v>
      </c>
      <c r="AX1154" s="117" t="n">
        <v>1</v>
      </c>
    </row>
    <row r="1155" customFormat="false" ht="13.8" hidden="true" customHeight="false" outlineLevel="0" collapsed="false">
      <c r="A1155" s="117" t="n">
        <v>1000</v>
      </c>
      <c r="B1155" s="117" t="s">
        <v>1962</v>
      </c>
      <c r="C1155" s="117" t="n">
        <v>1600000415</v>
      </c>
      <c r="D1155" s="117" t="s">
        <v>2175</v>
      </c>
      <c r="E1155" s="117" t="s">
        <v>1987</v>
      </c>
      <c r="F1155" s="117" t="n">
        <v>1109</v>
      </c>
      <c r="G1155" s="117" t="n">
        <v>2019</v>
      </c>
      <c r="H1155" s="117" t="n">
        <v>10</v>
      </c>
      <c r="I1155" s="118" t="n">
        <v>43859</v>
      </c>
      <c r="J1155" s="118" t="n">
        <v>43859</v>
      </c>
      <c r="K1155" s="119" t="n">
        <v>-8721</v>
      </c>
      <c r="L1155" s="128" t="n">
        <f aca="false">K1155-Q1155+T1155</f>
        <v>-8721</v>
      </c>
      <c r="M1155" s="117" t="s">
        <v>149</v>
      </c>
      <c r="N1155" s="117" t="n">
        <v>-8721</v>
      </c>
      <c r="O1155" s="117" t="s">
        <v>149</v>
      </c>
      <c r="P1155" s="117" t="n">
        <v>-8721</v>
      </c>
      <c r="Q1155" s="117" t="n">
        <v>0</v>
      </c>
      <c r="R1155" s="117" t="n">
        <v>-8721</v>
      </c>
      <c r="S1155" s="117" t="n">
        <v>0</v>
      </c>
      <c r="T1155" s="117" t="n">
        <v>0</v>
      </c>
      <c r="U1155" s="117" t="n">
        <v>312193</v>
      </c>
      <c r="V1155" s="117" t="s">
        <v>1963</v>
      </c>
      <c r="X1155" s="117" t="s">
        <v>2176</v>
      </c>
      <c r="Y1155" s="117" t="s">
        <v>2176</v>
      </c>
      <c r="Z1155" s="117" t="n">
        <v>1600000415</v>
      </c>
      <c r="AD1155" s="117" t="n">
        <v>110000</v>
      </c>
      <c r="AE1155" s="117" t="s">
        <v>1966</v>
      </c>
      <c r="AF1155" s="117" t="n">
        <v>312193</v>
      </c>
      <c r="AG1155" s="117" t="s">
        <v>1963</v>
      </c>
      <c r="AI1155" s="117" t="n">
        <v>312193</v>
      </c>
      <c r="AJ1155" s="131" t="s">
        <v>1963</v>
      </c>
      <c r="AK1155" s="117" t="n">
        <v>0</v>
      </c>
      <c r="AL1155" s="117" t="n">
        <v>14</v>
      </c>
      <c r="AM1155" s="117" t="s">
        <v>225</v>
      </c>
      <c r="AP1155" s="117" t="n">
        <v>100231549</v>
      </c>
      <c r="AQ1155" s="118" t="n">
        <v>43859</v>
      </c>
      <c r="AR1155" s="118" t="n">
        <v>43859</v>
      </c>
      <c r="AS1155" s="117" t="n">
        <v>0.278055555555556</v>
      </c>
      <c r="AT1155" s="117" t="n">
        <v>0</v>
      </c>
      <c r="AU1155" s="117" t="n">
        <v>0</v>
      </c>
      <c r="AX1155" s="117" t="n">
        <v>2</v>
      </c>
    </row>
    <row r="1156" customFormat="false" ht="13.8" hidden="true" customHeight="false" outlineLevel="0" collapsed="false">
      <c r="A1156" s="117" t="n">
        <v>1000</v>
      </c>
      <c r="B1156" s="117" t="s">
        <v>1962</v>
      </c>
      <c r="C1156" s="117" t="n">
        <v>100231557</v>
      </c>
      <c r="E1156" s="117" t="s">
        <v>1921</v>
      </c>
      <c r="F1156" s="117" t="n">
        <v>1112</v>
      </c>
      <c r="G1156" s="117" t="n">
        <v>2019</v>
      </c>
      <c r="H1156" s="117" t="n">
        <v>10</v>
      </c>
      <c r="I1156" s="118" t="n">
        <v>43859</v>
      </c>
      <c r="J1156" s="118" t="n">
        <v>43859</v>
      </c>
      <c r="K1156" s="119" t="n">
        <v>-1531386.37</v>
      </c>
      <c r="L1156" s="128" t="n">
        <f aca="false">K1156-Q1156+T1156</f>
        <v>-1531386.37</v>
      </c>
      <c r="M1156" s="117" t="s">
        <v>149</v>
      </c>
      <c r="N1156" s="117" t="n">
        <v>-1531386.37</v>
      </c>
      <c r="O1156" s="117" t="s">
        <v>149</v>
      </c>
      <c r="P1156" s="117" t="n">
        <v>0</v>
      </c>
      <c r="Q1156" s="117" t="n">
        <v>0</v>
      </c>
      <c r="R1156" s="117" t="n">
        <v>-1531386.37</v>
      </c>
      <c r="S1156" s="117" t="n">
        <v>0</v>
      </c>
      <c r="T1156" s="117" t="n">
        <v>0</v>
      </c>
      <c r="U1156" s="117" t="n">
        <v>312193</v>
      </c>
      <c r="V1156" s="117" t="s">
        <v>1963</v>
      </c>
      <c r="Z1156" s="117" t="n">
        <v>100231557</v>
      </c>
      <c r="AD1156" s="117" t="n">
        <v>110000</v>
      </c>
      <c r="AE1156" s="117" t="s">
        <v>1966</v>
      </c>
      <c r="AF1156" s="117" t="n">
        <v>110000</v>
      </c>
      <c r="AG1156" s="117" t="s">
        <v>1966</v>
      </c>
      <c r="AI1156" s="117" t="n">
        <v>110000</v>
      </c>
      <c r="AJ1156" s="117" t="s">
        <v>1966</v>
      </c>
      <c r="AK1156" s="117" t="n">
        <v>0</v>
      </c>
      <c r="AL1156" s="117" t="n">
        <v>17</v>
      </c>
      <c r="AM1156" s="117" t="s">
        <v>225</v>
      </c>
      <c r="AP1156" s="117" t="n">
        <v>100231557</v>
      </c>
      <c r="AQ1156" s="118" t="n">
        <v>43859</v>
      </c>
      <c r="AR1156" s="118" t="n">
        <v>43859</v>
      </c>
      <c r="AS1156" s="117" t="n">
        <v>0.289224537037037</v>
      </c>
      <c r="AT1156" s="117" t="n">
        <v>0</v>
      </c>
      <c r="AU1156" s="117" t="n">
        <v>0</v>
      </c>
      <c r="AX1156" s="117" t="n">
        <v>15</v>
      </c>
    </row>
    <row r="1157" customFormat="false" ht="13.8" hidden="true" customHeight="false" outlineLevel="0" collapsed="false">
      <c r="A1157" s="117" t="n">
        <v>1000</v>
      </c>
      <c r="B1157" s="117" t="s">
        <v>1962</v>
      </c>
      <c r="C1157" s="117" t="n">
        <v>100231550</v>
      </c>
      <c r="E1157" s="117" t="s">
        <v>1921</v>
      </c>
      <c r="F1157" s="117" t="n">
        <v>1109</v>
      </c>
      <c r="G1157" s="117" t="n">
        <v>2019</v>
      </c>
      <c r="H1157" s="117" t="n">
        <v>10</v>
      </c>
      <c r="I1157" s="118" t="n">
        <v>43859</v>
      </c>
      <c r="J1157" s="118" t="n">
        <v>43859</v>
      </c>
      <c r="K1157" s="119" t="n">
        <v>683.2</v>
      </c>
      <c r="L1157" s="128" t="n">
        <f aca="false">K1157-Q1157+T1157</f>
        <v>683.2</v>
      </c>
      <c r="M1157" s="117" t="s">
        <v>149</v>
      </c>
      <c r="N1157" s="117" t="n">
        <v>683.2</v>
      </c>
      <c r="O1157" s="117" t="s">
        <v>149</v>
      </c>
      <c r="P1157" s="117" t="n">
        <v>0</v>
      </c>
      <c r="Q1157" s="117" t="n">
        <v>0</v>
      </c>
      <c r="R1157" s="117" t="n">
        <v>683.2</v>
      </c>
      <c r="S1157" s="117" t="n">
        <v>0</v>
      </c>
      <c r="T1157" s="117" t="n">
        <v>0</v>
      </c>
      <c r="U1157" s="117" t="n">
        <v>312193</v>
      </c>
      <c r="V1157" s="117" t="s">
        <v>1963</v>
      </c>
      <c r="X1157" s="117" t="s">
        <v>2596</v>
      </c>
      <c r="Z1157" s="117" t="n">
        <v>2495</v>
      </c>
      <c r="AB1157" s="117" t="s">
        <v>2451</v>
      </c>
      <c r="AD1157" s="117" t="n">
        <v>110000</v>
      </c>
      <c r="AE1157" s="117" t="s">
        <v>1966</v>
      </c>
      <c r="AF1157" s="117" t="n">
        <v>110000</v>
      </c>
      <c r="AG1157" s="117" t="s">
        <v>1966</v>
      </c>
      <c r="AI1157" s="117" t="n">
        <v>110000</v>
      </c>
      <c r="AJ1157" s="117" t="s">
        <v>1966</v>
      </c>
      <c r="AK1157" s="117" t="n">
        <v>0</v>
      </c>
      <c r="AL1157" s="117" t="n">
        <v>4</v>
      </c>
      <c r="AM1157" s="117" t="s">
        <v>161</v>
      </c>
      <c r="AR1157" s="118" t="n">
        <v>43859</v>
      </c>
      <c r="AS1157" s="117" t="n">
        <v>0.282858796296296</v>
      </c>
      <c r="AT1157" s="117" t="n">
        <v>0</v>
      </c>
      <c r="AU1157" s="117" t="n">
        <v>0</v>
      </c>
      <c r="AX1157" s="117" t="n">
        <v>1</v>
      </c>
    </row>
    <row r="1158" s="106" customFormat="true" ht="13.8" hidden="true" customHeight="false" outlineLevel="0" collapsed="false">
      <c r="A1158" s="106" t="n">
        <v>1000</v>
      </c>
      <c r="B1158" s="106" t="s">
        <v>1962</v>
      </c>
      <c r="C1158" s="106" t="n">
        <v>111269</v>
      </c>
      <c r="D1158" s="106" t="s">
        <v>1590</v>
      </c>
      <c r="E1158" s="106" t="s">
        <v>1970</v>
      </c>
      <c r="F1158" s="106" t="n">
        <v>1112</v>
      </c>
      <c r="G1158" s="106" t="n">
        <v>2019</v>
      </c>
      <c r="H1158" s="106" t="n">
        <v>10</v>
      </c>
      <c r="I1158" s="129" t="n">
        <v>43840</v>
      </c>
      <c r="J1158" s="129" t="n">
        <v>43840</v>
      </c>
      <c r="K1158" s="107" t="n">
        <v>141275.56</v>
      </c>
      <c r="L1158" s="130" t="n">
        <f aca="false">K1158-Q1158+T1158</f>
        <v>119725.05</v>
      </c>
      <c r="M1158" s="106" t="s">
        <v>149</v>
      </c>
      <c r="N1158" s="106" t="n">
        <v>141275.56</v>
      </c>
      <c r="O1158" s="106" t="s">
        <v>149</v>
      </c>
      <c r="P1158" s="106" t="n">
        <v>0</v>
      </c>
      <c r="Q1158" s="107" t="n">
        <v>21550.51</v>
      </c>
      <c r="R1158" s="106" t="n">
        <v>119725.05</v>
      </c>
      <c r="S1158" s="106" t="n">
        <v>0</v>
      </c>
      <c r="T1158" s="106" t="n">
        <v>0</v>
      </c>
      <c r="U1158" s="106" t="n">
        <v>312193</v>
      </c>
      <c r="V1158" s="106" t="s">
        <v>1963</v>
      </c>
      <c r="Z1158" s="106" t="n">
        <v>62394</v>
      </c>
      <c r="AB1158" s="106" t="s">
        <v>2362</v>
      </c>
      <c r="AD1158" s="106" t="n">
        <v>110000</v>
      </c>
      <c r="AE1158" s="106" t="s">
        <v>1966</v>
      </c>
      <c r="AF1158" s="106" t="n">
        <v>501005</v>
      </c>
      <c r="AG1158" s="106" t="s">
        <v>2033</v>
      </c>
      <c r="AI1158" s="106" t="n">
        <v>501005</v>
      </c>
      <c r="AJ1158" s="106" t="s">
        <v>2033</v>
      </c>
      <c r="AK1158" s="106" t="n">
        <v>0</v>
      </c>
      <c r="AL1158" s="106" t="n">
        <v>1</v>
      </c>
      <c r="AM1158" s="106" t="s">
        <v>161</v>
      </c>
      <c r="AP1158" s="106" t="n">
        <v>100231557</v>
      </c>
      <c r="AQ1158" s="129" t="n">
        <v>43859</v>
      </c>
      <c r="AR1158" s="129" t="n">
        <v>43840</v>
      </c>
      <c r="AS1158" s="106" t="n">
        <v>0.425034722222222</v>
      </c>
      <c r="AT1158" s="106" t="n">
        <v>0</v>
      </c>
      <c r="AU1158" s="106" t="n">
        <v>0</v>
      </c>
      <c r="AX1158" s="106" t="n">
        <v>1</v>
      </c>
      <c r="ALU1158" s="0"/>
      <c r="ALV1158" s="0"/>
      <c r="ALW1158" s="0"/>
      <c r="ALX1158" s="0"/>
      <c r="ALY1158" s="0"/>
      <c r="ALZ1158" s="0"/>
      <c r="AMA1158" s="0"/>
      <c r="AMB1158" s="0"/>
      <c r="AMC1158" s="0"/>
      <c r="AMD1158" s="0"/>
      <c r="AME1158" s="0"/>
      <c r="AMF1158" s="0"/>
      <c r="AMG1158" s="0"/>
      <c r="AMH1158" s="0"/>
      <c r="AMI1158" s="0"/>
      <c r="AMJ1158" s="0"/>
    </row>
    <row r="1159" customFormat="false" ht="13.8" hidden="true" customHeight="false" outlineLevel="0" collapsed="false">
      <c r="A1159" s="117" t="n">
        <v>1000</v>
      </c>
      <c r="B1159" s="117" t="s">
        <v>1962</v>
      </c>
      <c r="C1159" s="117" t="n">
        <v>100231551</v>
      </c>
      <c r="E1159" s="117" t="s">
        <v>1921</v>
      </c>
      <c r="F1159" s="117" t="n">
        <v>1108</v>
      </c>
      <c r="G1159" s="117" t="n">
        <v>2019</v>
      </c>
      <c r="H1159" s="117" t="n">
        <v>10</v>
      </c>
      <c r="I1159" s="118" t="n">
        <v>43859</v>
      </c>
      <c r="J1159" s="118" t="n">
        <v>43859</v>
      </c>
      <c r="K1159" s="119" t="n">
        <v>-1784213.22</v>
      </c>
      <c r="L1159" s="128" t="n">
        <f aca="false">K1159-Q1159+T1159</f>
        <v>-1784213.22</v>
      </c>
      <c r="M1159" s="117" t="s">
        <v>149</v>
      </c>
      <c r="N1159" s="117" t="n">
        <v>-1784213.22</v>
      </c>
      <c r="O1159" s="117" t="s">
        <v>149</v>
      </c>
      <c r="P1159" s="117" t="n">
        <v>0</v>
      </c>
      <c r="Q1159" s="117" t="n">
        <v>0</v>
      </c>
      <c r="R1159" s="117" t="n">
        <v>-1784213.22</v>
      </c>
      <c r="S1159" s="117" t="n">
        <v>0</v>
      </c>
      <c r="T1159" s="117" t="n">
        <v>0</v>
      </c>
      <c r="U1159" s="117" t="n">
        <v>312193</v>
      </c>
      <c r="V1159" s="117" t="s">
        <v>1963</v>
      </c>
      <c r="Z1159" s="117" t="n">
        <v>100231551</v>
      </c>
      <c r="AD1159" s="117" t="n">
        <v>110000</v>
      </c>
      <c r="AE1159" s="117" t="s">
        <v>1966</v>
      </c>
      <c r="AF1159" s="117" t="n">
        <v>110000</v>
      </c>
      <c r="AG1159" s="117" t="s">
        <v>1966</v>
      </c>
      <c r="AI1159" s="117" t="n">
        <v>110000</v>
      </c>
      <c r="AJ1159" s="117" t="s">
        <v>1966</v>
      </c>
      <c r="AK1159" s="117" t="n">
        <v>0</v>
      </c>
      <c r="AL1159" s="117" t="n">
        <v>17</v>
      </c>
      <c r="AM1159" s="117" t="s">
        <v>225</v>
      </c>
      <c r="AP1159" s="117" t="n">
        <v>100231551</v>
      </c>
      <c r="AQ1159" s="118" t="n">
        <v>43859</v>
      </c>
      <c r="AR1159" s="118" t="n">
        <v>43859</v>
      </c>
      <c r="AS1159" s="117" t="n">
        <v>0.28443287037037</v>
      </c>
      <c r="AT1159" s="117" t="n">
        <v>0</v>
      </c>
      <c r="AU1159" s="117" t="n">
        <v>0</v>
      </c>
      <c r="AX1159" s="117" t="n">
        <v>2</v>
      </c>
    </row>
    <row r="1160" customFormat="false" ht="13.8" hidden="true" customHeight="false" outlineLevel="0" collapsed="false">
      <c r="A1160" s="117" t="n">
        <v>1000</v>
      </c>
      <c r="B1160" s="117" t="s">
        <v>1962</v>
      </c>
      <c r="C1160" s="117" t="n">
        <v>100260188</v>
      </c>
      <c r="E1160" s="117" t="s">
        <v>1921</v>
      </c>
      <c r="F1160" s="117" t="n">
        <v>1109</v>
      </c>
      <c r="G1160" s="117" t="n">
        <v>2019</v>
      </c>
      <c r="H1160" s="117" t="n">
        <v>11</v>
      </c>
      <c r="I1160" s="118" t="n">
        <v>43883</v>
      </c>
      <c r="J1160" s="118" t="n">
        <v>43883</v>
      </c>
      <c r="K1160" s="119" t="n">
        <v>42129.2</v>
      </c>
      <c r="L1160" s="128" t="n">
        <f aca="false">K1160-Q1160+T1160</f>
        <v>42129.2</v>
      </c>
      <c r="M1160" s="117" t="s">
        <v>149</v>
      </c>
      <c r="N1160" s="117" t="n">
        <v>42129.2</v>
      </c>
      <c r="O1160" s="117" t="s">
        <v>149</v>
      </c>
      <c r="P1160" s="117" t="n">
        <v>0</v>
      </c>
      <c r="Q1160" s="117" t="n">
        <v>0</v>
      </c>
      <c r="R1160" s="117" t="n">
        <v>42129.2</v>
      </c>
      <c r="S1160" s="117" t="n">
        <v>0</v>
      </c>
      <c r="T1160" s="117" t="n">
        <v>0</v>
      </c>
      <c r="U1160" s="117" t="n">
        <v>311155</v>
      </c>
      <c r="V1160" s="117" t="s">
        <v>2022</v>
      </c>
      <c r="X1160" s="117" t="s">
        <v>1162</v>
      </c>
      <c r="Z1160" s="117" t="n">
        <v>62745</v>
      </c>
      <c r="AB1160" s="117" t="s">
        <v>2423</v>
      </c>
      <c r="AD1160" s="117" t="n">
        <v>110000</v>
      </c>
      <c r="AE1160" s="117" t="s">
        <v>1966</v>
      </c>
      <c r="AF1160" s="117" t="n">
        <v>110000</v>
      </c>
      <c r="AG1160" s="117" t="s">
        <v>1966</v>
      </c>
      <c r="AI1160" s="117" t="n">
        <v>110000</v>
      </c>
      <c r="AJ1160" s="117" t="s">
        <v>1966</v>
      </c>
      <c r="AK1160" s="117" t="n">
        <v>0</v>
      </c>
      <c r="AL1160" s="117" t="n">
        <v>4</v>
      </c>
      <c r="AM1160" s="117" t="s">
        <v>161</v>
      </c>
      <c r="AR1160" s="118" t="n">
        <v>43883</v>
      </c>
      <c r="AS1160" s="117" t="n">
        <v>0.350601851851852</v>
      </c>
      <c r="AT1160" s="117" t="n">
        <v>0</v>
      </c>
      <c r="AU1160" s="117" t="n">
        <v>0</v>
      </c>
      <c r="AX1160" s="117" t="n">
        <v>2</v>
      </c>
    </row>
    <row r="1161" s="106" customFormat="true" ht="13.8" hidden="true" customHeight="false" outlineLevel="0" collapsed="false">
      <c r="A1161" s="106" t="n">
        <v>1000</v>
      </c>
      <c r="B1161" s="106" t="s">
        <v>1962</v>
      </c>
      <c r="C1161" s="106" t="n">
        <v>113147</v>
      </c>
      <c r="D1161" s="106" t="s">
        <v>2597</v>
      </c>
      <c r="E1161" s="106" t="s">
        <v>1970</v>
      </c>
      <c r="F1161" s="106" t="n">
        <v>1108</v>
      </c>
      <c r="G1161" s="106" t="n">
        <v>2019</v>
      </c>
      <c r="H1161" s="106" t="n">
        <v>11</v>
      </c>
      <c r="I1161" s="129" t="n">
        <v>43886</v>
      </c>
      <c r="J1161" s="129" t="n">
        <v>43886</v>
      </c>
      <c r="K1161" s="107" t="n">
        <v>2058298.2</v>
      </c>
      <c r="L1161" s="130" t="n">
        <f aca="false">K1161-Q1161+T1161</f>
        <v>1744320.52</v>
      </c>
      <c r="M1161" s="106" t="s">
        <v>149</v>
      </c>
      <c r="N1161" s="106" t="n">
        <v>2058298.2</v>
      </c>
      <c r="O1161" s="106" t="s">
        <v>149</v>
      </c>
      <c r="P1161" s="106" t="n">
        <v>0</v>
      </c>
      <c r="Q1161" s="107" t="n">
        <v>313977.68</v>
      </c>
      <c r="R1161" s="106" t="n">
        <v>1744320.52</v>
      </c>
      <c r="S1161" s="106" t="n">
        <v>0</v>
      </c>
      <c r="T1161" s="106" t="n">
        <v>0</v>
      </c>
      <c r="U1161" s="106" t="n">
        <v>306263</v>
      </c>
      <c r="V1161" s="106" t="s">
        <v>2006</v>
      </c>
      <c r="Z1161" s="106" t="n">
        <v>63866</v>
      </c>
      <c r="AB1161" s="106" t="s">
        <v>2598</v>
      </c>
      <c r="AD1161" s="106" t="n">
        <v>110000</v>
      </c>
      <c r="AE1161" s="106" t="s">
        <v>1966</v>
      </c>
      <c r="AF1161" s="106" t="n">
        <v>501005</v>
      </c>
      <c r="AG1161" s="106" t="s">
        <v>2033</v>
      </c>
      <c r="AI1161" s="106" t="n">
        <v>501005</v>
      </c>
      <c r="AJ1161" s="106" t="s">
        <v>2033</v>
      </c>
      <c r="AK1161" s="106" t="n">
        <v>0</v>
      </c>
      <c r="AL1161" s="106" t="n">
        <v>1</v>
      </c>
      <c r="AM1161" s="106" t="s">
        <v>161</v>
      </c>
      <c r="AQ1161" s="129"/>
      <c r="AR1161" s="129" t="n">
        <v>43886</v>
      </c>
      <c r="AS1161" s="106" t="n">
        <v>0.728958333333333</v>
      </c>
      <c r="AT1161" s="106" t="n">
        <v>0</v>
      </c>
      <c r="AU1161" s="106" t="n">
        <v>0</v>
      </c>
      <c r="AX1161" s="106" t="n">
        <v>1</v>
      </c>
      <c r="ALU1161" s="0"/>
      <c r="ALV1161" s="0"/>
      <c r="ALW1161" s="0"/>
      <c r="ALX1161" s="0"/>
      <c r="ALY1161" s="0"/>
      <c r="ALZ1161" s="0"/>
      <c r="AMA1161" s="0"/>
      <c r="AMB1161" s="0"/>
      <c r="AMC1161" s="0"/>
      <c r="AMD1161" s="0"/>
      <c r="AME1161" s="0"/>
      <c r="AMF1161" s="0"/>
      <c r="AMG1161" s="0"/>
      <c r="AMH1161" s="0"/>
      <c r="AMI1161" s="0"/>
      <c r="AMJ1161" s="0"/>
    </row>
    <row r="1162" s="106" customFormat="true" ht="13.8" hidden="true" customHeight="false" outlineLevel="0" collapsed="false">
      <c r="A1162" s="106" t="n">
        <v>1000</v>
      </c>
      <c r="B1162" s="106" t="s">
        <v>1962</v>
      </c>
      <c r="C1162" s="106" t="n">
        <v>111270</v>
      </c>
      <c r="D1162" s="106" t="s">
        <v>2599</v>
      </c>
      <c r="E1162" s="106" t="s">
        <v>1970</v>
      </c>
      <c r="F1162" s="106" t="n">
        <v>1112</v>
      </c>
      <c r="G1162" s="106" t="n">
        <v>2019</v>
      </c>
      <c r="H1162" s="106" t="n">
        <v>10</v>
      </c>
      <c r="I1162" s="129" t="n">
        <v>43840</v>
      </c>
      <c r="J1162" s="129" t="n">
        <v>43840</v>
      </c>
      <c r="K1162" s="107" t="n">
        <v>14383.92</v>
      </c>
      <c r="L1162" s="130" t="n">
        <f aca="false">K1162-Q1162+T1162</f>
        <v>12189.76</v>
      </c>
      <c r="M1162" s="106" t="s">
        <v>149</v>
      </c>
      <c r="N1162" s="106" t="n">
        <v>14383.92</v>
      </c>
      <c r="O1162" s="106" t="s">
        <v>149</v>
      </c>
      <c r="P1162" s="106" t="n">
        <v>0</v>
      </c>
      <c r="Q1162" s="107" t="n">
        <v>2194.16</v>
      </c>
      <c r="R1162" s="106" t="n">
        <v>12189.76</v>
      </c>
      <c r="S1162" s="106" t="n">
        <v>0</v>
      </c>
      <c r="T1162" s="106" t="n">
        <v>0</v>
      </c>
      <c r="U1162" s="106" t="n">
        <v>312193</v>
      </c>
      <c r="V1162" s="106" t="s">
        <v>1963</v>
      </c>
      <c r="Z1162" s="106" t="n">
        <v>62395</v>
      </c>
      <c r="AB1162" s="106" t="s">
        <v>2350</v>
      </c>
      <c r="AD1162" s="106" t="n">
        <v>110000</v>
      </c>
      <c r="AE1162" s="106" t="s">
        <v>1966</v>
      </c>
      <c r="AF1162" s="106" t="n">
        <v>501005</v>
      </c>
      <c r="AG1162" s="106" t="s">
        <v>2033</v>
      </c>
      <c r="AI1162" s="106" t="n">
        <v>501005</v>
      </c>
      <c r="AJ1162" s="106" t="s">
        <v>2033</v>
      </c>
      <c r="AK1162" s="106" t="n">
        <v>0</v>
      </c>
      <c r="AL1162" s="106" t="n">
        <v>1</v>
      </c>
      <c r="AM1162" s="106" t="s">
        <v>161</v>
      </c>
      <c r="AP1162" s="106" t="n">
        <v>100231557</v>
      </c>
      <c r="AQ1162" s="129" t="n">
        <v>43859</v>
      </c>
      <c r="AR1162" s="129" t="n">
        <v>43840</v>
      </c>
      <c r="AS1162" s="106" t="n">
        <v>0.428078703703704</v>
      </c>
      <c r="AT1162" s="106" t="n">
        <v>0</v>
      </c>
      <c r="AU1162" s="106" t="n">
        <v>0</v>
      </c>
      <c r="AX1162" s="106" t="n">
        <v>1</v>
      </c>
      <c r="ALU1162" s="0"/>
      <c r="ALV1162" s="0"/>
      <c r="ALW1162" s="0"/>
      <c r="ALX1162" s="0"/>
      <c r="ALY1162" s="0"/>
      <c r="ALZ1162" s="0"/>
      <c r="AMA1162" s="0"/>
      <c r="AMB1162" s="0"/>
      <c r="AMC1162" s="0"/>
      <c r="AMD1162" s="0"/>
      <c r="AME1162" s="0"/>
      <c r="AMF1162" s="0"/>
      <c r="AMG1162" s="0"/>
      <c r="AMH1162" s="0"/>
      <c r="AMI1162" s="0"/>
      <c r="AMJ1162" s="0"/>
    </row>
    <row r="1163" s="106" customFormat="true" ht="13.8" hidden="true" customHeight="false" outlineLevel="0" collapsed="false">
      <c r="A1163" s="106" t="n">
        <v>1000</v>
      </c>
      <c r="B1163" s="106" t="s">
        <v>1962</v>
      </c>
      <c r="C1163" s="106" t="n">
        <v>103179</v>
      </c>
      <c r="D1163" s="106" t="s">
        <v>1417</v>
      </c>
      <c r="E1163" s="106" t="s">
        <v>1970</v>
      </c>
      <c r="F1163" s="106" t="n">
        <v>1109</v>
      </c>
      <c r="G1163" s="106" t="n">
        <v>2019</v>
      </c>
      <c r="H1163" s="106" t="n">
        <v>3</v>
      </c>
      <c r="I1163" s="129" t="n">
        <v>43630</v>
      </c>
      <c r="J1163" s="129" t="n">
        <v>43630</v>
      </c>
      <c r="K1163" s="107" t="n">
        <v>318171.66</v>
      </c>
      <c r="L1163" s="130" t="n">
        <f aca="false">K1163-Q1163+T1163</f>
        <v>269637</v>
      </c>
      <c r="M1163" s="106" t="s">
        <v>149</v>
      </c>
      <c r="N1163" s="106" t="n">
        <v>318171.66</v>
      </c>
      <c r="O1163" s="106" t="s">
        <v>149</v>
      </c>
      <c r="P1163" s="106" t="n">
        <v>0</v>
      </c>
      <c r="Q1163" s="107" t="n">
        <v>48534.66</v>
      </c>
      <c r="R1163" s="106" t="n">
        <v>269637</v>
      </c>
      <c r="S1163" s="106" t="n">
        <v>0</v>
      </c>
      <c r="T1163" s="106" t="n">
        <v>0</v>
      </c>
      <c r="U1163" s="106" t="n">
        <v>304431</v>
      </c>
      <c r="V1163" s="106" t="s">
        <v>2016</v>
      </c>
      <c r="Z1163" s="106" t="n">
        <v>2247</v>
      </c>
      <c r="AB1163" s="106" t="s">
        <v>2043</v>
      </c>
      <c r="AD1163" s="106" t="n">
        <v>110000</v>
      </c>
      <c r="AE1163" s="106" t="s">
        <v>1966</v>
      </c>
      <c r="AF1163" s="106" t="n">
        <v>501020</v>
      </c>
      <c r="AG1163" s="106" t="s">
        <v>1971</v>
      </c>
      <c r="AI1163" s="106" t="n">
        <v>501020</v>
      </c>
      <c r="AJ1163" s="106" t="s">
        <v>1971</v>
      </c>
      <c r="AK1163" s="106" t="n">
        <v>0</v>
      </c>
      <c r="AL1163" s="106" t="n">
        <v>1</v>
      </c>
      <c r="AM1163" s="106" t="s">
        <v>161</v>
      </c>
      <c r="AP1163" s="106" t="n">
        <v>100039075</v>
      </c>
      <c r="AQ1163" s="129" t="n">
        <v>43644</v>
      </c>
      <c r="AR1163" s="129" t="n">
        <v>43630</v>
      </c>
      <c r="AS1163" s="106" t="n">
        <v>0.758298611111111</v>
      </c>
      <c r="AT1163" s="106" t="n">
        <v>0</v>
      </c>
      <c r="AU1163" s="106" t="n">
        <v>0</v>
      </c>
      <c r="AX1163" s="106" t="n">
        <v>1</v>
      </c>
      <c r="ALU1163" s="0"/>
      <c r="ALV1163" s="0"/>
      <c r="ALW1163" s="0"/>
      <c r="ALX1163" s="0"/>
      <c r="ALY1163" s="0"/>
      <c r="ALZ1163" s="0"/>
      <c r="AMA1163" s="0"/>
      <c r="AMB1163" s="0"/>
      <c r="AMC1163" s="0"/>
      <c r="AMD1163" s="0"/>
      <c r="AME1163" s="0"/>
      <c r="AMF1163" s="0"/>
      <c r="AMG1163" s="0"/>
      <c r="AMH1163" s="0"/>
      <c r="AMI1163" s="0"/>
      <c r="AMJ1163" s="0"/>
    </row>
    <row r="1164" s="106" customFormat="true" ht="13.8" hidden="true" customHeight="false" outlineLevel="0" collapsed="false">
      <c r="A1164" s="106" t="n">
        <v>1000</v>
      </c>
      <c r="B1164" s="106" t="s">
        <v>1962</v>
      </c>
      <c r="C1164" s="106" t="n">
        <v>103759</v>
      </c>
      <c r="D1164" s="106" t="s">
        <v>2216</v>
      </c>
      <c r="E1164" s="106" t="s">
        <v>1970</v>
      </c>
      <c r="F1164" s="106" t="n">
        <v>1109</v>
      </c>
      <c r="G1164" s="106" t="n">
        <v>2019</v>
      </c>
      <c r="H1164" s="106" t="n">
        <v>3</v>
      </c>
      <c r="I1164" s="129" t="n">
        <v>43642</v>
      </c>
      <c r="J1164" s="129" t="n">
        <v>43642</v>
      </c>
      <c r="K1164" s="107" t="n">
        <v>408079.4</v>
      </c>
      <c r="L1164" s="130" t="n">
        <f aca="false">K1164-Q1164+T1164</f>
        <v>345830</v>
      </c>
      <c r="M1164" s="106" t="s">
        <v>149</v>
      </c>
      <c r="N1164" s="106" t="n">
        <v>408079.4</v>
      </c>
      <c r="O1164" s="106" t="s">
        <v>149</v>
      </c>
      <c r="P1164" s="106" t="n">
        <v>0</v>
      </c>
      <c r="Q1164" s="107" t="n">
        <v>62249.4</v>
      </c>
      <c r="R1164" s="106" t="n">
        <v>345830</v>
      </c>
      <c r="S1164" s="106" t="n">
        <v>0</v>
      </c>
      <c r="T1164" s="106" t="n">
        <v>0</v>
      </c>
      <c r="U1164" s="106" t="n">
        <v>312193</v>
      </c>
      <c r="V1164" s="106" t="s">
        <v>1963</v>
      </c>
      <c r="Z1164" s="106" t="n">
        <v>2316</v>
      </c>
      <c r="AB1164" s="106" t="s">
        <v>1965</v>
      </c>
      <c r="AD1164" s="106" t="n">
        <v>110000</v>
      </c>
      <c r="AE1164" s="106" t="s">
        <v>1966</v>
      </c>
      <c r="AF1164" s="106" t="n">
        <v>501020</v>
      </c>
      <c r="AG1164" s="106" t="s">
        <v>1971</v>
      </c>
      <c r="AI1164" s="106" t="n">
        <v>501020</v>
      </c>
      <c r="AJ1164" s="106" t="s">
        <v>1971</v>
      </c>
      <c r="AK1164" s="106" t="n">
        <v>0</v>
      </c>
      <c r="AL1164" s="106" t="n">
        <v>1</v>
      </c>
      <c r="AM1164" s="106" t="s">
        <v>161</v>
      </c>
      <c r="AP1164" s="106" t="n">
        <v>100039103</v>
      </c>
      <c r="AQ1164" s="129" t="n">
        <v>43644</v>
      </c>
      <c r="AR1164" s="129" t="n">
        <v>43642</v>
      </c>
      <c r="AS1164" s="106" t="n">
        <v>0.501458333333333</v>
      </c>
      <c r="AT1164" s="106" t="n">
        <v>0</v>
      </c>
      <c r="AU1164" s="106" t="n">
        <v>0</v>
      </c>
      <c r="AX1164" s="106" t="n">
        <v>1</v>
      </c>
      <c r="ALU1164" s="0"/>
      <c r="ALV1164" s="0"/>
      <c r="ALW1164" s="0"/>
      <c r="ALX1164" s="0"/>
      <c r="ALY1164" s="0"/>
      <c r="ALZ1164" s="0"/>
      <c r="AMA1164" s="0"/>
      <c r="AMB1164" s="0"/>
      <c r="AMC1164" s="0"/>
      <c r="AMD1164" s="0"/>
      <c r="AME1164" s="0"/>
      <c r="AMF1164" s="0"/>
      <c r="AMG1164" s="0"/>
      <c r="AMH1164" s="0"/>
      <c r="AMI1164" s="0"/>
      <c r="AMJ1164" s="0"/>
    </row>
    <row r="1165" customFormat="false" ht="13.8" hidden="true" customHeight="false" outlineLevel="0" collapsed="false">
      <c r="A1165" s="117" t="n">
        <v>1000</v>
      </c>
      <c r="B1165" s="117" t="s">
        <v>1962</v>
      </c>
      <c r="C1165" s="117" t="n">
        <v>100260158</v>
      </c>
      <c r="E1165" s="117" t="s">
        <v>1921</v>
      </c>
      <c r="F1165" s="117" t="n">
        <v>1109</v>
      </c>
      <c r="G1165" s="117" t="n">
        <v>2019</v>
      </c>
      <c r="H1165" s="117" t="n">
        <v>11</v>
      </c>
      <c r="I1165" s="118" t="n">
        <v>43883</v>
      </c>
      <c r="J1165" s="118" t="n">
        <v>43883</v>
      </c>
      <c r="K1165" s="119" t="n">
        <v>-835840.14</v>
      </c>
      <c r="L1165" s="128" t="n">
        <f aca="false">K1165-Q1165+T1165</f>
        <v>-835840.14</v>
      </c>
      <c r="M1165" s="117" t="s">
        <v>149</v>
      </c>
      <c r="N1165" s="117" t="n">
        <v>-835840.14</v>
      </c>
      <c r="O1165" s="117" t="s">
        <v>149</v>
      </c>
      <c r="P1165" s="117" t="n">
        <v>0</v>
      </c>
      <c r="Q1165" s="117" t="n">
        <v>0</v>
      </c>
      <c r="R1165" s="117" t="n">
        <v>-835840.14</v>
      </c>
      <c r="S1165" s="117" t="n">
        <v>0</v>
      </c>
      <c r="T1165" s="117" t="n">
        <v>0</v>
      </c>
      <c r="U1165" s="117" t="n">
        <v>304431</v>
      </c>
      <c r="V1165" s="117" t="s">
        <v>2016</v>
      </c>
      <c r="Z1165" s="117" t="n">
        <v>100260158</v>
      </c>
      <c r="AD1165" s="117" t="n">
        <v>110000</v>
      </c>
      <c r="AE1165" s="117" t="s">
        <v>1966</v>
      </c>
      <c r="AF1165" s="117" t="n">
        <v>110000</v>
      </c>
      <c r="AG1165" s="117" t="s">
        <v>1966</v>
      </c>
      <c r="AI1165" s="117" t="n">
        <v>110000</v>
      </c>
      <c r="AJ1165" s="117" t="s">
        <v>1966</v>
      </c>
      <c r="AK1165" s="117" t="n">
        <v>0</v>
      </c>
      <c r="AL1165" s="117" t="n">
        <v>17</v>
      </c>
      <c r="AM1165" s="117" t="s">
        <v>225</v>
      </c>
      <c r="AP1165" s="117" t="n">
        <v>100260158</v>
      </c>
      <c r="AQ1165" s="118" t="n">
        <v>43883</v>
      </c>
      <c r="AR1165" s="118" t="n">
        <v>43883</v>
      </c>
      <c r="AS1165" s="117" t="n">
        <v>0.334178240740741</v>
      </c>
      <c r="AT1165" s="117" t="n">
        <v>0</v>
      </c>
      <c r="AU1165" s="117" t="n">
        <v>0</v>
      </c>
      <c r="AX1165" s="117" t="n">
        <v>3</v>
      </c>
    </row>
    <row r="1166" customFormat="false" ht="13.8" hidden="true" customHeight="false" outlineLevel="0" collapsed="false">
      <c r="A1166" s="117" t="n">
        <v>1000</v>
      </c>
      <c r="B1166" s="117" t="s">
        <v>1962</v>
      </c>
      <c r="C1166" s="117" t="n">
        <v>100231548</v>
      </c>
      <c r="E1166" s="117" t="s">
        <v>1921</v>
      </c>
      <c r="F1166" s="117" t="n">
        <v>1108</v>
      </c>
      <c r="G1166" s="117" t="n">
        <v>2019</v>
      </c>
      <c r="H1166" s="117" t="n">
        <v>10</v>
      </c>
      <c r="I1166" s="118" t="n">
        <v>43859</v>
      </c>
      <c r="J1166" s="118" t="n">
        <v>43859</v>
      </c>
      <c r="K1166" s="119" t="n">
        <v>-100717.43</v>
      </c>
      <c r="L1166" s="128" t="n">
        <f aca="false">K1166-Q1166+T1166</f>
        <v>-100717.43</v>
      </c>
      <c r="M1166" s="117" t="s">
        <v>149</v>
      </c>
      <c r="N1166" s="117" t="n">
        <v>-100717.43</v>
      </c>
      <c r="O1166" s="117" t="s">
        <v>149</v>
      </c>
      <c r="P1166" s="117" t="n">
        <v>0</v>
      </c>
      <c r="Q1166" s="117" t="n">
        <v>0</v>
      </c>
      <c r="R1166" s="117" t="n">
        <v>-100717.43</v>
      </c>
      <c r="S1166" s="117" t="n">
        <v>0</v>
      </c>
      <c r="T1166" s="117" t="n">
        <v>0</v>
      </c>
      <c r="U1166" s="117" t="n">
        <v>312193</v>
      </c>
      <c r="V1166" s="117" t="s">
        <v>1963</v>
      </c>
      <c r="Z1166" s="117" t="n">
        <v>100231548</v>
      </c>
      <c r="AD1166" s="117" t="n">
        <v>110000</v>
      </c>
      <c r="AE1166" s="117" t="s">
        <v>1966</v>
      </c>
      <c r="AF1166" s="117" t="n">
        <v>110000</v>
      </c>
      <c r="AG1166" s="117" t="s">
        <v>1966</v>
      </c>
      <c r="AI1166" s="117" t="n">
        <v>110000</v>
      </c>
      <c r="AJ1166" s="117" t="s">
        <v>1966</v>
      </c>
      <c r="AK1166" s="117" t="n">
        <v>0</v>
      </c>
      <c r="AL1166" s="117" t="n">
        <v>17</v>
      </c>
      <c r="AM1166" s="117" t="s">
        <v>225</v>
      </c>
      <c r="AP1166" s="117" t="n">
        <v>100231548</v>
      </c>
      <c r="AQ1166" s="118" t="n">
        <v>43859</v>
      </c>
      <c r="AR1166" s="118" t="n">
        <v>43859</v>
      </c>
      <c r="AS1166" s="117" t="n">
        <v>0.274976851851852</v>
      </c>
      <c r="AT1166" s="117" t="n">
        <v>0</v>
      </c>
      <c r="AU1166" s="117" t="n">
        <v>0</v>
      </c>
      <c r="AX1166" s="117" t="n">
        <v>2</v>
      </c>
    </row>
    <row r="1167" s="106" customFormat="true" ht="13.8" hidden="true" customHeight="false" outlineLevel="0" collapsed="false">
      <c r="A1167" s="106" t="n">
        <v>1000</v>
      </c>
      <c r="B1167" s="106" t="s">
        <v>1962</v>
      </c>
      <c r="C1167" s="106" t="n">
        <v>111275</v>
      </c>
      <c r="D1167" s="106" t="s">
        <v>2600</v>
      </c>
      <c r="E1167" s="106" t="s">
        <v>1970</v>
      </c>
      <c r="F1167" s="106" t="n">
        <v>1112</v>
      </c>
      <c r="G1167" s="106" t="n">
        <v>2019</v>
      </c>
      <c r="H1167" s="106" t="n">
        <v>10</v>
      </c>
      <c r="I1167" s="129" t="n">
        <v>43840</v>
      </c>
      <c r="J1167" s="129" t="n">
        <v>43840</v>
      </c>
      <c r="K1167" s="107" t="n">
        <v>367622.63</v>
      </c>
      <c r="L1167" s="130" t="n">
        <f aca="false">K1167-Q1167+T1167</f>
        <v>311544.6</v>
      </c>
      <c r="M1167" s="106" t="s">
        <v>149</v>
      </c>
      <c r="N1167" s="106" t="n">
        <v>367622.63</v>
      </c>
      <c r="O1167" s="106" t="s">
        <v>149</v>
      </c>
      <c r="P1167" s="106" t="n">
        <v>0</v>
      </c>
      <c r="Q1167" s="107" t="n">
        <v>56078.03</v>
      </c>
      <c r="R1167" s="106" t="n">
        <v>311544.6</v>
      </c>
      <c r="S1167" s="106" t="n">
        <v>0</v>
      </c>
      <c r="T1167" s="106" t="n">
        <v>0</v>
      </c>
      <c r="U1167" s="106" t="n">
        <v>312193</v>
      </c>
      <c r="V1167" s="106" t="s">
        <v>1963</v>
      </c>
      <c r="Z1167" s="106" t="n">
        <v>62397</v>
      </c>
      <c r="AB1167" s="106" t="s">
        <v>2350</v>
      </c>
      <c r="AD1167" s="106" t="n">
        <v>110000</v>
      </c>
      <c r="AE1167" s="106" t="s">
        <v>1966</v>
      </c>
      <c r="AF1167" s="106" t="n">
        <v>501005</v>
      </c>
      <c r="AG1167" s="106" t="s">
        <v>2033</v>
      </c>
      <c r="AI1167" s="106" t="n">
        <v>501005</v>
      </c>
      <c r="AJ1167" s="106" t="s">
        <v>2033</v>
      </c>
      <c r="AK1167" s="106" t="n">
        <v>0</v>
      </c>
      <c r="AL1167" s="106" t="n">
        <v>1</v>
      </c>
      <c r="AM1167" s="106" t="s">
        <v>161</v>
      </c>
      <c r="AP1167" s="106" t="n">
        <v>100231557</v>
      </c>
      <c r="AQ1167" s="129" t="n">
        <v>43859</v>
      </c>
      <c r="AR1167" s="129" t="n">
        <v>43840</v>
      </c>
      <c r="AS1167" s="106" t="n">
        <v>0.443622685185185</v>
      </c>
      <c r="AT1167" s="106" t="n">
        <v>0</v>
      </c>
      <c r="AU1167" s="106" t="n">
        <v>0</v>
      </c>
      <c r="AX1167" s="106" t="n">
        <v>1</v>
      </c>
      <c r="ALU1167" s="0"/>
      <c r="ALV1167" s="0"/>
      <c r="ALW1167" s="0"/>
      <c r="ALX1167" s="0"/>
      <c r="ALY1167" s="0"/>
      <c r="ALZ1167" s="0"/>
      <c r="AMA1167" s="0"/>
      <c r="AMB1167" s="0"/>
      <c r="AMC1167" s="0"/>
      <c r="AMD1167" s="0"/>
      <c r="AME1167" s="0"/>
      <c r="AMF1167" s="0"/>
      <c r="AMG1167" s="0"/>
      <c r="AMH1167" s="0"/>
      <c r="AMI1167" s="0"/>
      <c r="AMJ1167" s="0"/>
    </row>
    <row r="1168" customFormat="false" ht="13.8" hidden="true" customHeight="false" outlineLevel="0" collapsed="false">
      <c r="A1168" s="117" t="n">
        <v>1000</v>
      </c>
      <c r="B1168" s="117" t="s">
        <v>1962</v>
      </c>
      <c r="C1168" s="117" t="n">
        <v>100261921</v>
      </c>
      <c r="E1168" s="117" t="s">
        <v>1921</v>
      </c>
      <c r="F1168" s="117" t="n">
        <v>1101</v>
      </c>
      <c r="G1168" s="117" t="n">
        <v>2019</v>
      </c>
      <c r="H1168" s="117" t="n">
        <v>11</v>
      </c>
      <c r="I1168" s="118" t="n">
        <v>43884</v>
      </c>
      <c r="J1168" s="118" t="n">
        <v>43884</v>
      </c>
      <c r="K1168" s="119" t="n">
        <v>121506.46</v>
      </c>
      <c r="L1168" s="128" t="n">
        <f aca="false">K1168-Q1168+T1168</f>
        <v>121506.46</v>
      </c>
      <c r="M1168" s="117" t="s">
        <v>149</v>
      </c>
      <c r="N1168" s="117" t="n">
        <v>121506.46</v>
      </c>
      <c r="O1168" s="117" t="s">
        <v>149</v>
      </c>
      <c r="P1168" s="117" t="n">
        <v>0</v>
      </c>
      <c r="Q1168" s="117" t="n">
        <v>0</v>
      </c>
      <c r="R1168" s="117" t="n">
        <v>121506.46</v>
      </c>
      <c r="S1168" s="117" t="n">
        <v>0</v>
      </c>
      <c r="T1168" s="117" t="n">
        <v>0</v>
      </c>
      <c r="U1168" s="117" t="n">
        <v>315113</v>
      </c>
      <c r="V1168" s="117" t="s">
        <v>143</v>
      </c>
      <c r="Z1168" s="117" t="n">
        <v>100261921</v>
      </c>
      <c r="AD1168" s="117" t="n">
        <v>310300</v>
      </c>
      <c r="AE1168" s="117" t="s">
        <v>1969</v>
      </c>
      <c r="AF1168" s="117" t="n">
        <v>110000</v>
      </c>
      <c r="AG1168" s="117" t="s">
        <v>1966</v>
      </c>
      <c r="AI1168" s="117" t="n">
        <v>110000</v>
      </c>
      <c r="AJ1168" s="117" t="s">
        <v>1966</v>
      </c>
      <c r="AK1168" s="117" t="n">
        <v>0</v>
      </c>
      <c r="AL1168" s="117" t="n">
        <v>9</v>
      </c>
      <c r="AM1168" s="117" t="s">
        <v>161</v>
      </c>
      <c r="AN1168" s="117" t="s">
        <v>1978</v>
      </c>
      <c r="AP1168" s="117" t="n">
        <v>100261921</v>
      </c>
      <c r="AQ1168" s="118" t="n">
        <v>43884</v>
      </c>
      <c r="AR1168" s="118" t="n">
        <v>43884</v>
      </c>
      <c r="AS1168" s="117" t="n">
        <v>0.575451388888889</v>
      </c>
      <c r="AT1168" s="117" t="n">
        <v>0</v>
      </c>
      <c r="AU1168" s="117" t="n">
        <v>0</v>
      </c>
      <c r="AX1168" s="117" t="n">
        <v>4</v>
      </c>
    </row>
    <row r="1169" customFormat="false" ht="13.8" hidden="true" customHeight="false" outlineLevel="0" collapsed="false">
      <c r="A1169" s="117" t="n">
        <v>1000</v>
      </c>
      <c r="B1169" s="117" t="s">
        <v>1962</v>
      </c>
      <c r="C1169" s="117" t="n">
        <v>100260180</v>
      </c>
      <c r="E1169" s="117" t="s">
        <v>1921</v>
      </c>
      <c r="F1169" s="117" t="n">
        <v>1109</v>
      </c>
      <c r="G1169" s="117" t="n">
        <v>2019</v>
      </c>
      <c r="H1169" s="117" t="n">
        <v>11</v>
      </c>
      <c r="I1169" s="118" t="n">
        <v>43883</v>
      </c>
      <c r="J1169" s="118" t="n">
        <v>43883</v>
      </c>
      <c r="K1169" s="119" t="n">
        <v>981760</v>
      </c>
      <c r="L1169" s="128" t="n">
        <f aca="false">K1169-Q1169+T1169</f>
        <v>981760</v>
      </c>
      <c r="M1169" s="117" t="s">
        <v>149</v>
      </c>
      <c r="N1169" s="117" t="n">
        <v>981760</v>
      </c>
      <c r="O1169" s="117" t="s">
        <v>149</v>
      </c>
      <c r="P1169" s="117" t="n">
        <v>0</v>
      </c>
      <c r="Q1169" s="117" t="n">
        <v>0</v>
      </c>
      <c r="R1169" s="117" t="n">
        <v>981760</v>
      </c>
      <c r="S1169" s="117" t="n">
        <v>0</v>
      </c>
      <c r="T1169" s="117" t="n">
        <v>0</v>
      </c>
      <c r="U1169" s="117" t="n">
        <v>309990</v>
      </c>
      <c r="V1169" s="117" t="s">
        <v>2456</v>
      </c>
      <c r="X1169" s="117" t="s">
        <v>1204</v>
      </c>
      <c r="Z1169" s="117" t="n">
        <v>63580</v>
      </c>
      <c r="AB1169" s="117" t="s">
        <v>2457</v>
      </c>
      <c r="AD1169" s="117" t="n">
        <v>110000</v>
      </c>
      <c r="AE1169" s="117" t="s">
        <v>1966</v>
      </c>
      <c r="AF1169" s="117" t="n">
        <v>110000</v>
      </c>
      <c r="AG1169" s="117" t="s">
        <v>1966</v>
      </c>
      <c r="AI1169" s="117" t="n">
        <v>110000</v>
      </c>
      <c r="AJ1169" s="117" t="s">
        <v>1966</v>
      </c>
      <c r="AK1169" s="117" t="n">
        <v>0</v>
      </c>
      <c r="AL1169" s="117" t="n">
        <v>4</v>
      </c>
      <c r="AM1169" s="117" t="s">
        <v>161</v>
      </c>
      <c r="AR1169" s="118" t="n">
        <v>43883</v>
      </c>
      <c r="AS1169" s="117" t="n">
        <v>0.345243055555556</v>
      </c>
      <c r="AT1169" s="117" t="n">
        <v>0</v>
      </c>
      <c r="AU1169" s="117" t="n">
        <v>0</v>
      </c>
      <c r="AX1169" s="117" t="n">
        <v>1</v>
      </c>
    </row>
    <row r="1170" customFormat="false" ht="13.8" hidden="true" customHeight="false" outlineLevel="0" collapsed="false">
      <c r="A1170" s="117" t="n">
        <v>1000</v>
      </c>
      <c r="B1170" s="117" t="s">
        <v>1962</v>
      </c>
      <c r="C1170" s="117" t="n">
        <v>100242355</v>
      </c>
      <c r="E1170" s="117" t="s">
        <v>1921</v>
      </c>
      <c r="F1170" s="117" t="n">
        <v>1108</v>
      </c>
      <c r="G1170" s="117" t="n">
        <v>2019</v>
      </c>
      <c r="H1170" s="117" t="n">
        <v>10</v>
      </c>
      <c r="I1170" s="118" t="n">
        <v>43861</v>
      </c>
      <c r="J1170" s="118" t="n">
        <v>43861</v>
      </c>
      <c r="K1170" s="119" t="n">
        <v>-230723.4</v>
      </c>
      <c r="L1170" s="128" t="n">
        <f aca="false">K1170-Q1170+T1170</f>
        <v>-230723.4</v>
      </c>
      <c r="M1170" s="117" t="s">
        <v>149</v>
      </c>
      <c r="N1170" s="117" t="n">
        <v>-230723.4</v>
      </c>
      <c r="O1170" s="117" t="s">
        <v>149</v>
      </c>
      <c r="P1170" s="117" t="n">
        <v>0</v>
      </c>
      <c r="Q1170" s="117" t="n">
        <v>0</v>
      </c>
      <c r="R1170" s="117" t="n">
        <v>-230723.4</v>
      </c>
      <c r="S1170" s="117" t="n">
        <v>0</v>
      </c>
      <c r="T1170" s="117" t="n">
        <v>0</v>
      </c>
      <c r="U1170" s="117" t="n">
        <v>312948</v>
      </c>
      <c r="V1170" s="117" t="s">
        <v>1984</v>
      </c>
      <c r="Z1170" s="117" t="n">
        <v>100242355</v>
      </c>
      <c r="AD1170" s="117" t="n">
        <v>110000</v>
      </c>
      <c r="AE1170" s="117" t="s">
        <v>1966</v>
      </c>
      <c r="AF1170" s="117" t="n">
        <v>310300</v>
      </c>
      <c r="AG1170" s="117" t="s">
        <v>1969</v>
      </c>
      <c r="AI1170" s="117" t="n">
        <v>310300</v>
      </c>
      <c r="AJ1170" s="117" t="s">
        <v>1969</v>
      </c>
      <c r="AK1170" s="117" t="n">
        <v>0</v>
      </c>
      <c r="AL1170" s="117" t="n">
        <v>17</v>
      </c>
      <c r="AM1170" s="117" t="s">
        <v>225</v>
      </c>
      <c r="AP1170" s="117" t="n">
        <v>100242355</v>
      </c>
      <c r="AQ1170" s="118" t="n">
        <v>43861</v>
      </c>
      <c r="AR1170" s="118" t="n">
        <v>43863</v>
      </c>
      <c r="AS1170" s="117" t="n">
        <v>0.584733796296296</v>
      </c>
      <c r="AT1170" s="117" t="n">
        <v>0</v>
      </c>
      <c r="AU1170" s="117" t="n">
        <v>0</v>
      </c>
      <c r="AX1170" s="117" t="n">
        <v>1</v>
      </c>
    </row>
    <row r="1171" s="106" customFormat="true" ht="13.8" hidden="true" customHeight="false" outlineLevel="0" collapsed="false">
      <c r="A1171" s="106" t="n">
        <v>1000</v>
      </c>
      <c r="B1171" s="106" t="s">
        <v>1962</v>
      </c>
      <c r="C1171" s="106" t="n">
        <v>103798</v>
      </c>
      <c r="D1171" s="106" t="s">
        <v>2317</v>
      </c>
      <c r="E1171" s="106" t="s">
        <v>1970</v>
      </c>
      <c r="F1171" s="106" t="n">
        <v>1109</v>
      </c>
      <c r="G1171" s="106" t="n">
        <v>2019</v>
      </c>
      <c r="H1171" s="106" t="n">
        <v>3</v>
      </c>
      <c r="I1171" s="129" t="n">
        <v>43642</v>
      </c>
      <c r="J1171" s="129" t="n">
        <v>43642</v>
      </c>
      <c r="K1171" s="107" t="n">
        <v>423124.4</v>
      </c>
      <c r="L1171" s="130" t="n">
        <f aca="false">K1171-Q1171+T1171</f>
        <v>358580</v>
      </c>
      <c r="M1171" s="106" t="s">
        <v>149</v>
      </c>
      <c r="N1171" s="106" t="n">
        <v>423124.4</v>
      </c>
      <c r="O1171" s="106" t="s">
        <v>149</v>
      </c>
      <c r="P1171" s="106" t="n">
        <v>0</v>
      </c>
      <c r="Q1171" s="107" t="n">
        <v>64544.4</v>
      </c>
      <c r="R1171" s="106" t="n">
        <v>358580</v>
      </c>
      <c r="S1171" s="106" t="n">
        <v>0</v>
      </c>
      <c r="T1171" s="106" t="n">
        <v>0</v>
      </c>
      <c r="U1171" s="106" t="n">
        <v>312193</v>
      </c>
      <c r="V1171" s="106" t="s">
        <v>1963</v>
      </c>
      <c r="Z1171" s="106" t="n">
        <v>2316</v>
      </c>
      <c r="AB1171" s="106" t="s">
        <v>1965</v>
      </c>
      <c r="AD1171" s="106" t="n">
        <v>110000</v>
      </c>
      <c r="AE1171" s="106" t="s">
        <v>1966</v>
      </c>
      <c r="AF1171" s="106" t="n">
        <v>501020</v>
      </c>
      <c r="AG1171" s="106" t="s">
        <v>1971</v>
      </c>
      <c r="AI1171" s="106" t="n">
        <v>501020</v>
      </c>
      <c r="AJ1171" s="106" t="s">
        <v>1971</v>
      </c>
      <c r="AK1171" s="106" t="n">
        <v>0</v>
      </c>
      <c r="AL1171" s="106" t="n">
        <v>1</v>
      </c>
      <c r="AM1171" s="106" t="s">
        <v>161</v>
      </c>
      <c r="AP1171" s="106" t="n">
        <v>100039103</v>
      </c>
      <c r="AQ1171" s="129" t="n">
        <v>43644</v>
      </c>
      <c r="AR1171" s="129" t="n">
        <v>43642</v>
      </c>
      <c r="AS1171" s="106" t="n">
        <v>0.716226851851852</v>
      </c>
      <c r="AT1171" s="106" t="n">
        <v>0</v>
      </c>
      <c r="AU1171" s="106" t="n">
        <v>0</v>
      </c>
      <c r="AX1171" s="106" t="n">
        <v>1</v>
      </c>
      <c r="ALU1171" s="0"/>
      <c r="ALV1171" s="0"/>
      <c r="ALW1171" s="0"/>
      <c r="ALX1171" s="0"/>
      <c r="ALY1171" s="0"/>
      <c r="ALZ1171" s="0"/>
      <c r="AMA1171" s="0"/>
      <c r="AMB1171" s="0"/>
      <c r="AMC1171" s="0"/>
      <c r="AMD1171" s="0"/>
      <c r="AME1171" s="0"/>
      <c r="AMF1171" s="0"/>
      <c r="AMG1171" s="0"/>
      <c r="AMH1171" s="0"/>
      <c r="AMI1171" s="0"/>
      <c r="AMJ1171" s="0"/>
    </row>
    <row r="1172" s="106" customFormat="true" ht="13.8" hidden="true" customHeight="false" outlineLevel="0" collapsed="false">
      <c r="A1172" s="106" t="n">
        <v>1000</v>
      </c>
      <c r="B1172" s="106" t="s">
        <v>1962</v>
      </c>
      <c r="C1172" s="106" t="n">
        <v>103881</v>
      </c>
      <c r="D1172" s="106" t="s">
        <v>2219</v>
      </c>
      <c r="E1172" s="106" t="s">
        <v>1970</v>
      </c>
      <c r="F1172" s="106" t="n">
        <v>1109</v>
      </c>
      <c r="G1172" s="106" t="n">
        <v>2019</v>
      </c>
      <c r="H1172" s="106" t="n">
        <v>3</v>
      </c>
      <c r="I1172" s="129" t="n">
        <v>43643</v>
      </c>
      <c r="J1172" s="129" t="n">
        <v>43643</v>
      </c>
      <c r="K1172" s="107" t="n">
        <v>454064</v>
      </c>
      <c r="L1172" s="130" t="n">
        <f aca="false">K1172-Q1172+T1172</f>
        <v>384800</v>
      </c>
      <c r="M1172" s="106" t="s">
        <v>149</v>
      </c>
      <c r="N1172" s="106" t="n">
        <v>454064</v>
      </c>
      <c r="O1172" s="106" t="s">
        <v>149</v>
      </c>
      <c r="P1172" s="106" t="n">
        <v>0</v>
      </c>
      <c r="Q1172" s="107" t="n">
        <v>69264</v>
      </c>
      <c r="R1172" s="106" t="n">
        <v>384800</v>
      </c>
      <c r="S1172" s="106" t="n">
        <v>0</v>
      </c>
      <c r="T1172" s="106" t="n">
        <v>0</v>
      </c>
      <c r="U1172" s="106" t="n">
        <v>312193</v>
      </c>
      <c r="V1172" s="106" t="s">
        <v>1963</v>
      </c>
      <c r="Z1172" s="106" t="n">
        <v>2316</v>
      </c>
      <c r="AB1172" s="106" t="s">
        <v>1965</v>
      </c>
      <c r="AD1172" s="106" t="n">
        <v>110000</v>
      </c>
      <c r="AE1172" s="106" t="s">
        <v>1966</v>
      </c>
      <c r="AF1172" s="106" t="n">
        <v>501020</v>
      </c>
      <c r="AG1172" s="106" t="s">
        <v>1971</v>
      </c>
      <c r="AI1172" s="106" t="n">
        <v>501020</v>
      </c>
      <c r="AJ1172" s="106" t="s">
        <v>1971</v>
      </c>
      <c r="AK1172" s="106" t="n">
        <v>0</v>
      </c>
      <c r="AL1172" s="106" t="n">
        <v>1</v>
      </c>
      <c r="AM1172" s="106" t="s">
        <v>161</v>
      </c>
      <c r="AP1172" s="106" t="n">
        <v>100039103</v>
      </c>
      <c r="AQ1172" s="129" t="n">
        <v>43644</v>
      </c>
      <c r="AR1172" s="129" t="n">
        <v>43643</v>
      </c>
      <c r="AS1172" s="106" t="n">
        <v>0.713993055555556</v>
      </c>
      <c r="AT1172" s="106" t="n">
        <v>0</v>
      </c>
      <c r="AU1172" s="106" t="n">
        <v>0</v>
      </c>
      <c r="AX1172" s="106" t="n">
        <v>1</v>
      </c>
      <c r="ALU1172" s="0"/>
      <c r="ALV1172" s="0"/>
      <c r="ALW1172" s="0"/>
      <c r="ALX1172" s="0"/>
      <c r="ALY1172" s="0"/>
      <c r="ALZ1172" s="0"/>
      <c r="AMA1172" s="0"/>
      <c r="AMB1172" s="0"/>
      <c r="AMC1172" s="0"/>
      <c r="AMD1172" s="0"/>
      <c r="AME1172" s="0"/>
      <c r="AMF1172" s="0"/>
      <c r="AMG1172" s="0"/>
      <c r="AMH1172" s="0"/>
      <c r="AMI1172" s="0"/>
      <c r="AMJ1172" s="0"/>
    </row>
    <row r="1173" customFormat="false" ht="13.8" hidden="true" customHeight="false" outlineLevel="0" collapsed="false">
      <c r="A1173" s="117" t="n">
        <v>1000</v>
      </c>
      <c r="B1173" s="117" t="s">
        <v>1962</v>
      </c>
      <c r="C1173" s="117" t="n">
        <v>100229124</v>
      </c>
      <c r="E1173" s="117" t="s">
        <v>1921</v>
      </c>
      <c r="F1173" s="117" t="n">
        <v>1109</v>
      </c>
      <c r="G1173" s="117" t="n">
        <v>2019</v>
      </c>
      <c r="H1173" s="117" t="n">
        <v>10</v>
      </c>
      <c r="I1173" s="118" t="n">
        <v>43856</v>
      </c>
      <c r="J1173" s="118" t="n">
        <v>43856</v>
      </c>
      <c r="K1173" s="119" t="n">
        <v>781093.9</v>
      </c>
      <c r="L1173" s="128" t="n">
        <f aca="false">K1173-Q1173+T1173</f>
        <v>781093.9</v>
      </c>
      <c r="M1173" s="117" t="s">
        <v>149</v>
      </c>
      <c r="N1173" s="117" t="n">
        <v>781093.9</v>
      </c>
      <c r="O1173" s="117" t="s">
        <v>149</v>
      </c>
      <c r="P1173" s="117" t="n">
        <v>0</v>
      </c>
      <c r="Q1173" s="117" t="n">
        <v>0</v>
      </c>
      <c r="R1173" s="117" t="n">
        <v>781093.9</v>
      </c>
      <c r="S1173" s="117" t="n">
        <v>0</v>
      </c>
      <c r="T1173" s="117" t="n">
        <v>0</v>
      </c>
      <c r="U1173" s="117" t="n">
        <v>309728</v>
      </c>
      <c r="V1173" s="117" t="s">
        <v>1968</v>
      </c>
      <c r="X1173" s="117" t="s">
        <v>2575</v>
      </c>
      <c r="Z1173" s="117" t="n">
        <v>62731</v>
      </c>
      <c r="AB1173" s="117" t="s">
        <v>2531</v>
      </c>
      <c r="AD1173" s="117" t="n">
        <v>110000</v>
      </c>
      <c r="AE1173" s="117" t="s">
        <v>1966</v>
      </c>
      <c r="AF1173" s="117" t="n">
        <v>110000</v>
      </c>
      <c r="AG1173" s="117" t="s">
        <v>1966</v>
      </c>
      <c r="AI1173" s="117" t="n">
        <v>110000</v>
      </c>
      <c r="AJ1173" s="117" t="s">
        <v>1966</v>
      </c>
      <c r="AK1173" s="117" t="n">
        <v>0</v>
      </c>
      <c r="AL1173" s="117" t="n">
        <v>4</v>
      </c>
      <c r="AM1173" s="117" t="s">
        <v>161</v>
      </c>
      <c r="AR1173" s="118" t="n">
        <v>43856</v>
      </c>
      <c r="AS1173" s="117" t="n">
        <v>0.5525</v>
      </c>
      <c r="AT1173" s="117" t="n">
        <v>0</v>
      </c>
      <c r="AU1173" s="117" t="n">
        <v>0</v>
      </c>
      <c r="AX1173" s="117" t="n">
        <v>1</v>
      </c>
    </row>
    <row r="1174" s="106" customFormat="true" ht="13.8" hidden="true" customHeight="false" outlineLevel="0" collapsed="false">
      <c r="A1174" s="106" t="n">
        <v>1000</v>
      </c>
      <c r="B1174" s="106" t="s">
        <v>1962</v>
      </c>
      <c r="C1174" s="106" t="n">
        <v>103914</v>
      </c>
      <c r="D1174" s="106" t="s">
        <v>2254</v>
      </c>
      <c r="E1174" s="106" t="s">
        <v>1970</v>
      </c>
      <c r="F1174" s="106" t="n">
        <v>1109</v>
      </c>
      <c r="G1174" s="106" t="n">
        <v>2019</v>
      </c>
      <c r="H1174" s="106" t="n">
        <v>3</v>
      </c>
      <c r="I1174" s="129" t="n">
        <v>43644</v>
      </c>
      <c r="J1174" s="129" t="n">
        <v>43644</v>
      </c>
      <c r="K1174" s="107" t="n">
        <v>432824</v>
      </c>
      <c r="L1174" s="130" t="n">
        <f aca="false">K1174-Q1174+T1174</f>
        <v>366800</v>
      </c>
      <c r="M1174" s="106" t="s">
        <v>149</v>
      </c>
      <c r="N1174" s="106" t="n">
        <v>432824</v>
      </c>
      <c r="O1174" s="106" t="s">
        <v>149</v>
      </c>
      <c r="P1174" s="106" t="n">
        <v>0</v>
      </c>
      <c r="Q1174" s="107" t="n">
        <v>66024</v>
      </c>
      <c r="R1174" s="106" t="n">
        <v>366800</v>
      </c>
      <c r="S1174" s="106" t="n">
        <v>0</v>
      </c>
      <c r="T1174" s="106" t="n">
        <v>0</v>
      </c>
      <c r="U1174" s="106" t="n">
        <v>312193</v>
      </c>
      <c r="V1174" s="106" t="s">
        <v>1963</v>
      </c>
      <c r="Z1174" s="106" t="n">
        <v>2316</v>
      </c>
      <c r="AB1174" s="106" t="s">
        <v>1965</v>
      </c>
      <c r="AD1174" s="106" t="n">
        <v>110000</v>
      </c>
      <c r="AE1174" s="106" t="s">
        <v>1966</v>
      </c>
      <c r="AF1174" s="106" t="n">
        <v>501020</v>
      </c>
      <c r="AG1174" s="106" t="s">
        <v>1971</v>
      </c>
      <c r="AI1174" s="106" t="n">
        <v>501020</v>
      </c>
      <c r="AJ1174" s="106" t="s">
        <v>1971</v>
      </c>
      <c r="AK1174" s="106" t="n">
        <v>0</v>
      </c>
      <c r="AL1174" s="106" t="n">
        <v>1</v>
      </c>
      <c r="AM1174" s="106" t="s">
        <v>161</v>
      </c>
      <c r="AP1174" s="106" t="n">
        <v>100048554</v>
      </c>
      <c r="AQ1174" s="129" t="n">
        <v>43646</v>
      </c>
      <c r="AR1174" s="129" t="n">
        <v>43644</v>
      </c>
      <c r="AS1174" s="106" t="n">
        <v>0.498113425925926</v>
      </c>
      <c r="AT1174" s="106" t="n">
        <v>0</v>
      </c>
      <c r="AU1174" s="106" t="n">
        <v>0</v>
      </c>
      <c r="AX1174" s="106" t="n">
        <v>1</v>
      </c>
      <c r="ALU1174" s="0"/>
      <c r="ALV1174" s="0"/>
      <c r="ALW1174" s="0"/>
      <c r="ALX1174" s="0"/>
      <c r="ALY1174" s="0"/>
      <c r="ALZ1174" s="0"/>
      <c r="AMA1174" s="0"/>
      <c r="AMB1174" s="0"/>
      <c r="AMC1174" s="0"/>
      <c r="AMD1174" s="0"/>
      <c r="AME1174" s="0"/>
      <c r="AMF1174" s="0"/>
      <c r="AMG1174" s="0"/>
      <c r="AMH1174" s="0"/>
      <c r="AMI1174" s="0"/>
      <c r="AMJ1174" s="0"/>
    </row>
    <row r="1175" customFormat="false" ht="13.8" hidden="true" customHeight="false" outlineLevel="0" collapsed="false">
      <c r="A1175" s="117" t="n">
        <v>1000</v>
      </c>
      <c r="B1175" s="117" t="s">
        <v>1962</v>
      </c>
      <c r="C1175" s="117" t="n">
        <v>100231547</v>
      </c>
      <c r="E1175" s="117" t="s">
        <v>1921</v>
      </c>
      <c r="F1175" s="117" t="n">
        <v>1108</v>
      </c>
      <c r="G1175" s="117" t="n">
        <v>2019</v>
      </c>
      <c r="H1175" s="117" t="n">
        <v>10</v>
      </c>
      <c r="I1175" s="118" t="n">
        <v>43859</v>
      </c>
      <c r="J1175" s="118" t="n">
        <v>43859</v>
      </c>
      <c r="K1175" s="119" t="n">
        <v>18796.43</v>
      </c>
      <c r="L1175" s="128" t="n">
        <f aca="false">K1175-Q1175+T1175</f>
        <v>18796.43</v>
      </c>
      <c r="M1175" s="117" t="s">
        <v>149</v>
      </c>
      <c r="N1175" s="117" t="n">
        <v>18796.43</v>
      </c>
      <c r="O1175" s="117" t="s">
        <v>149</v>
      </c>
      <c r="P1175" s="117" t="n">
        <v>0</v>
      </c>
      <c r="Q1175" s="117" t="n">
        <v>0</v>
      </c>
      <c r="R1175" s="117" t="n">
        <v>18796.43</v>
      </c>
      <c r="S1175" s="117" t="n">
        <v>0</v>
      </c>
      <c r="T1175" s="117" t="n">
        <v>0</v>
      </c>
      <c r="U1175" s="117" t="n">
        <v>312193</v>
      </c>
      <c r="V1175" s="117" t="s">
        <v>1963</v>
      </c>
      <c r="X1175" s="117" t="s">
        <v>2601</v>
      </c>
      <c r="Z1175" s="117" t="n">
        <v>2491</v>
      </c>
      <c r="AB1175" s="117" t="s">
        <v>2467</v>
      </c>
      <c r="AD1175" s="117" t="n">
        <v>110000</v>
      </c>
      <c r="AE1175" s="117" t="s">
        <v>1966</v>
      </c>
      <c r="AF1175" s="117" t="n">
        <v>110000</v>
      </c>
      <c r="AG1175" s="117" t="s">
        <v>1966</v>
      </c>
      <c r="AI1175" s="117" t="n">
        <v>110000</v>
      </c>
      <c r="AJ1175" s="117" t="s">
        <v>1966</v>
      </c>
      <c r="AK1175" s="117" t="n">
        <v>0</v>
      </c>
      <c r="AL1175" s="117" t="n">
        <v>4</v>
      </c>
      <c r="AM1175" s="117" t="s">
        <v>161</v>
      </c>
      <c r="AR1175" s="118" t="n">
        <v>43859</v>
      </c>
      <c r="AS1175" s="117" t="n">
        <v>0.26912037037037</v>
      </c>
      <c r="AT1175" s="117" t="n">
        <v>0</v>
      </c>
      <c r="AU1175" s="117" t="n">
        <v>0</v>
      </c>
      <c r="AX1175" s="117" t="n">
        <v>4</v>
      </c>
    </row>
    <row r="1176" customFormat="false" ht="13.8" hidden="true" customHeight="false" outlineLevel="0" collapsed="false">
      <c r="A1176" s="117" t="n">
        <v>1000</v>
      </c>
      <c r="B1176" s="117" t="s">
        <v>1962</v>
      </c>
      <c r="C1176" s="117" t="n">
        <v>100231551</v>
      </c>
      <c r="E1176" s="117" t="s">
        <v>1921</v>
      </c>
      <c r="F1176" s="117" t="n">
        <v>1109</v>
      </c>
      <c r="G1176" s="117" t="n">
        <v>2019</v>
      </c>
      <c r="H1176" s="117" t="n">
        <v>10</v>
      </c>
      <c r="I1176" s="118" t="n">
        <v>43859</v>
      </c>
      <c r="J1176" s="118" t="n">
        <v>43859</v>
      </c>
      <c r="K1176" s="119" t="n">
        <v>0.47</v>
      </c>
      <c r="L1176" s="128" t="n">
        <f aca="false">K1176-Q1176+T1176</f>
        <v>0.47</v>
      </c>
      <c r="M1176" s="117" t="s">
        <v>149</v>
      </c>
      <c r="N1176" s="117" t="n">
        <v>0.47</v>
      </c>
      <c r="O1176" s="117" t="s">
        <v>149</v>
      </c>
      <c r="P1176" s="117" t="n">
        <v>0</v>
      </c>
      <c r="Q1176" s="117" t="n">
        <v>0</v>
      </c>
      <c r="R1176" s="117" t="n">
        <v>0.47</v>
      </c>
      <c r="S1176" s="117" t="n">
        <v>0</v>
      </c>
      <c r="T1176" s="117" t="n">
        <v>0</v>
      </c>
      <c r="U1176" s="117" t="n">
        <v>312193</v>
      </c>
      <c r="V1176" s="117" t="s">
        <v>1963</v>
      </c>
      <c r="Z1176" s="117" t="n">
        <v>55901</v>
      </c>
      <c r="AB1176" s="117" t="s">
        <v>2235</v>
      </c>
      <c r="AD1176" s="117" t="n">
        <v>110000</v>
      </c>
      <c r="AE1176" s="117" t="s">
        <v>1966</v>
      </c>
      <c r="AF1176" s="117" t="n">
        <v>110000</v>
      </c>
      <c r="AG1176" s="117" t="s">
        <v>1966</v>
      </c>
      <c r="AI1176" s="117" t="n">
        <v>110000</v>
      </c>
      <c r="AJ1176" s="117" t="s">
        <v>1966</v>
      </c>
      <c r="AK1176" s="117" t="n">
        <v>0</v>
      </c>
      <c r="AL1176" s="117" t="n">
        <v>4</v>
      </c>
      <c r="AM1176" s="117" t="s">
        <v>161</v>
      </c>
      <c r="AR1176" s="118" t="n">
        <v>43859</v>
      </c>
      <c r="AS1176" s="117" t="n">
        <v>0.28443287037037</v>
      </c>
      <c r="AT1176" s="117" t="n">
        <v>0</v>
      </c>
      <c r="AU1176" s="117" t="n">
        <v>0</v>
      </c>
      <c r="AX1176" s="117" t="n">
        <v>1</v>
      </c>
    </row>
    <row r="1177" s="106" customFormat="true" ht="13.8" hidden="true" customHeight="false" outlineLevel="0" collapsed="false">
      <c r="A1177" s="106" t="n">
        <v>1000</v>
      </c>
      <c r="B1177" s="106" t="s">
        <v>1962</v>
      </c>
      <c r="C1177" s="106" t="n">
        <v>111273</v>
      </c>
      <c r="D1177" s="106" t="s">
        <v>1593</v>
      </c>
      <c r="E1177" s="106" t="s">
        <v>1970</v>
      </c>
      <c r="F1177" s="106" t="n">
        <v>1112</v>
      </c>
      <c r="G1177" s="106" t="n">
        <v>2019</v>
      </c>
      <c r="H1177" s="106" t="n">
        <v>10</v>
      </c>
      <c r="I1177" s="129" t="n">
        <v>43840</v>
      </c>
      <c r="J1177" s="129" t="n">
        <v>43840</v>
      </c>
      <c r="K1177" s="107" t="n">
        <v>248423.04</v>
      </c>
      <c r="L1177" s="130" t="n">
        <f aca="false">K1177-Q1177+T1177</f>
        <v>210528</v>
      </c>
      <c r="M1177" s="106" t="s">
        <v>149</v>
      </c>
      <c r="N1177" s="106" t="n">
        <v>248423.04</v>
      </c>
      <c r="O1177" s="106" t="s">
        <v>149</v>
      </c>
      <c r="P1177" s="106" t="n">
        <v>0</v>
      </c>
      <c r="Q1177" s="107" t="n">
        <v>37895.04</v>
      </c>
      <c r="R1177" s="106" t="n">
        <v>210528</v>
      </c>
      <c r="S1177" s="106" t="n">
        <v>0</v>
      </c>
      <c r="T1177" s="106" t="n">
        <v>0</v>
      </c>
      <c r="U1177" s="106" t="n">
        <v>312193</v>
      </c>
      <c r="V1177" s="106" t="s">
        <v>1963</v>
      </c>
      <c r="Z1177" s="106" t="n">
        <v>62396</v>
      </c>
      <c r="AB1177" s="106" t="s">
        <v>2362</v>
      </c>
      <c r="AD1177" s="106" t="n">
        <v>110000</v>
      </c>
      <c r="AE1177" s="106" t="s">
        <v>1966</v>
      </c>
      <c r="AF1177" s="106" t="n">
        <v>501005</v>
      </c>
      <c r="AG1177" s="106" t="s">
        <v>2033</v>
      </c>
      <c r="AI1177" s="106" t="n">
        <v>501005</v>
      </c>
      <c r="AJ1177" s="106" t="s">
        <v>2033</v>
      </c>
      <c r="AK1177" s="106" t="n">
        <v>0</v>
      </c>
      <c r="AL1177" s="106" t="n">
        <v>1</v>
      </c>
      <c r="AM1177" s="106" t="s">
        <v>161</v>
      </c>
      <c r="AP1177" s="106" t="n">
        <v>100231557</v>
      </c>
      <c r="AQ1177" s="129" t="n">
        <v>43859</v>
      </c>
      <c r="AR1177" s="129" t="n">
        <v>43840</v>
      </c>
      <c r="AS1177" s="106" t="n">
        <v>0.437592592592593</v>
      </c>
      <c r="AT1177" s="106" t="n">
        <v>0</v>
      </c>
      <c r="AU1177" s="106" t="n">
        <v>0</v>
      </c>
      <c r="AX1177" s="106" t="n">
        <v>1</v>
      </c>
      <c r="ALU1177" s="0"/>
      <c r="ALV1177" s="0"/>
      <c r="ALW1177" s="0"/>
      <c r="ALX1177" s="0"/>
      <c r="ALY1177" s="0"/>
      <c r="ALZ1177" s="0"/>
      <c r="AMA1177" s="0"/>
      <c r="AMB1177" s="0"/>
      <c r="AMC1177" s="0"/>
      <c r="AMD1177" s="0"/>
      <c r="AME1177" s="0"/>
      <c r="AMF1177" s="0"/>
      <c r="AMG1177" s="0"/>
      <c r="AMH1177" s="0"/>
      <c r="AMI1177" s="0"/>
      <c r="AMJ1177" s="0"/>
    </row>
    <row r="1178" customFormat="false" ht="13.8" hidden="true" customHeight="false" outlineLevel="0" collapsed="false">
      <c r="A1178" s="117" t="n">
        <v>1000</v>
      </c>
      <c r="B1178" s="117" t="s">
        <v>1962</v>
      </c>
      <c r="C1178" s="117" t="n">
        <v>100260188</v>
      </c>
      <c r="E1178" s="117" t="s">
        <v>1921</v>
      </c>
      <c r="F1178" s="117" t="n">
        <v>1109</v>
      </c>
      <c r="G1178" s="117" t="n">
        <v>2019</v>
      </c>
      <c r="H1178" s="117" t="n">
        <v>11</v>
      </c>
      <c r="I1178" s="118" t="n">
        <v>43883</v>
      </c>
      <c r="J1178" s="118" t="n">
        <v>43883</v>
      </c>
      <c r="K1178" s="119" t="n">
        <v>435.98</v>
      </c>
      <c r="L1178" s="128" t="n">
        <f aca="false">K1178-Q1178+T1178</f>
        <v>435.98</v>
      </c>
      <c r="M1178" s="117" t="s">
        <v>149</v>
      </c>
      <c r="N1178" s="117" t="n">
        <v>435.98</v>
      </c>
      <c r="O1178" s="117" t="s">
        <v>149</v>
      </c>
      <c r="P1178" s="117" t="n">
        <v>0</v>
      </c>
      <c r="Q1178" s="117" t="n">
        <v>0</v>
      </c>
      <c r="R1178" s="117" t="n">
        <v>435.98</v>
      </c>
      <c r="S1178" s="117" t="n">
        <v>0</v>
      </c>
      <c r="T1178" s="117" t="n">
        <v>0</v>
      </c>
      <c r="U1178" s="117" t="n">
        <v>311155</v>
      </c>
      <c r="V1178" s="117" t="s">
        <v>2022</v>
      </c>
      <c r="X1178" s="117" t="s">
        <v>1234</v>
      </c>
      <c r="Z1178" s="117" t="n">
        <v>62562</v>
      </c>
      <c r="AB1178" s="117" t="s">
        <v>2422</v>
      </c>
      <c r="AD1178" s="117" t="n">
        <v>110000</v>
      </c>
      <c r="AE1178" s="117" t="s">
        <v>1966</v>
      </c>
      <c r="AF1178" s="117" t="n">
        <v>110000</v>
      </c>
      <c r="AG1178" s="117" t="s">
        <v>1966</v>
      </c>
      <c r="AI1178" s="117" t="n">
        <v>110000</v>
      </c>
      <c r="AJ1178" s="117" t="s">
        <v>1966</v>
      </c>
      <c r="AK1178" s="117" t="n">
        <v>0</v>
      </c>
      <c r="AL1178" s="117" t="n">
        <v>4</v>
      </c>
      <c r="AM1178" s="117" t="s">
        <v>161</v>
      </c>
      <c r="AR1178" s="118" t="n">
        <v>43883</v>
      </c>
      <c r="AS1178" s="117" t="n">
        <v>0.350601851851852</v>
      </c>
      <c r="AT1178" s="117" t="n">
        <v>0</v>
      </c>
      <c r="AU1178" s="117" t="n">
        <v>0</v>
      </c>
      <c r="AX1178" s="117" t="n">
        <v>1</v>
      </c>
    </row>
    <row r="1179" customFormat="false" ht="13.8" hidden="true" customHeight="false" outlineLevel="0" collapsed="false">
      <c r="A1179" s="117" t="n">
        <v>1000</v>
      </c>
      <c r="B1179" s="117" t="s">
        <v>1962</v>
      </c>
      <c r="C1179" s="117" t="n">
        <v>1600000413</v>
      </c>
      <c r="D1179" s="117" t="s">
        <v>2175</v>
      </c>
      <c r="E1179" s="117" t="s">
        <v>1987</v>
      </c>
      <c r="F1179" s="117" t="n">
        <v>1106</v>
      </c>
      <c r="G1179" s="117" t="n">
        <v>2019</v>
      </c>
      <c r="H1179" s="117" t="n">
        <v>10</v>
      </c>
      <c r="I1179" s="118" t="n">
        <v>43859</v>
      </c>
      <c r="J1179" s="118" t="n">
        <v>43859</v>
      </c>
      <c r="K1179" s="119" t="n">
        <v>33344</v>
      </c>
      <c r="L1179" s="128" t="n">
        <f aca="false">K1179-Q1179+T1179</f>
        <v>33344</v>
      </c>
      <c r="M1179" s="117" t="s">
        <v>149</v>
      </c>
      <c r="N1179" s="117" t="n">
        <v>33344</v>
      </c>
      <c r="O1179" s="117" t="s">
        <v>149</v>
      </c>
      <c r="P1179" s="117" t="n">
        <v>33344</v>
      </c>
      <c r="Q1179" s="117" t="n">
        <v>0</v>
      </c>
      <c r="R1179" s="117" t="n">
        <v>33344</v>
      </c>
      <c r="S1179" s="117" t="n">
        <v>0</v>
      </c>
      <c r="T1179" s="117" t="n">
        <v>0</v>
      </c>
      <c r="U1179" s="117" t="n">
        <v>312193</v>
      </c>
      <c r="V1179" s="117" t="s">
        <v>1963</v>
      </c>
      <c r="X1179" s="117" t="s">
        <v>2602</v>
      </c>
      <c r="Y1179" s="117" t="s">
        <v>2176</v>
      </c>
      <c r="Z1179" s="117" t="n">
        <v>1600000413</v>
      </c>
      <c r="AD1179" s="117" t="n">
        <v>111105</v>
      </c>
      <c r="AE1179" s="117" t="s">
        <v>1994</v>
      </c>
      <c r="AF1179" s="117" t="n">
        <v>312193</v>
      </c>
      <c r="AG1179" s="117" t="s">
        <v>1963</v>
      </c>
      <c r="AI1179" s="117" t="n">
        <v>312193</v>
      </c>
      <c r="AJ1179" s="131" t="s">
        <v>1963</v>
      </c>
      <c r="AK1179" s="117" t="n">
        <v>0</v>
      </c>
      <c r="AL1179" s="117" t="n">
        <v>9</v>
      </c>
      <c r="AM1179" s="117" t="s">
        <v>161</v>
      </c>
      <c r="AN1179" s="117" t="s">
        <v>1995</v>
      </c>
      <c r="AR1179" s="118" t="n">
        <v>43859</v>
      </c>
      <c r="AS1179" s="117" t="n">
        <v>0.266435185185185</v>
      </c>
      <c r="AT1179" s="117" t="n">
        <v>0</v>
      </c>
      <c r="AU1179" s="117" t="n">
        <v>0</v>
      </c>
      <c r="AX1179" s="117" t="n">
        <v>1</v>
      </c>
    </row>
    <row r="1180" customFormat="false" ht="13.8" hidden="true" customHeight="false" outlineLevel="0" collapsed="false">
      <c r="A1180" s="117" t="n">
        <v>1000</v>
      </c>
      <c r="B1180" s="117" t="s">
        <v>1962</v>
      </c>
      <c r="C1180" s="117" t="n">
        <v>1600000413</v>
      </c>
      <c r="D1180" s="117" t="s">
        <v>2175</v>
      </c>
      <c r="E1180" s="117" t="s">
        <v>1987</v>
      </c>
      <c r="F1180" s="117" t="n">
        <v>1106</v>
      </c>
      <c r="G1180" s="117" t="n">
        <v>2019</v>
      </c>
      <c r="H1180" s="117" t="n">
        <v>10</v>
      </c>
      <c r="I1180" s="118" t="n">
        <v>43859</v>
      </c>
      <c r="J1180" s="118" t="n">
        <v>43859</v>
      </c>
      <c r="K1180" s="119" t="n">
        <v>-58366</v>
      </c>
      <c r="L1180" s="128" t="n">
        <f aca="false">K1180-Q1180+T1180</f>
        <v>-58366</v>
      </c>
      <c r="M1180" s="117" t="s">
        <v>149</v>
      </c>
      <c r="N1180" s="117" t="n">
        <v>-58366</v>
      </c>
      <c r="O1180" s="117" t="s">
        <v>149</v>
      </c>
      <c r="P1180" s="117" t="n">
        <v>-58366</v>
      </c>
      <c r="Q1180" s="117" t="n">
        <v>0</v>
      </c>
      <c r="R1180" s="117" t="n">
        <v>-58366</v>
      </c>
      <c r="S1180" s="117" t="n">
        <v>0</v>
      </c>
      <c r="T1180" s="117" t="n">
        <v>0</v>
      </c>
      <c r="U1180" s="117" t="n">
        <v>312193</v>
      </c>
      <c r="V1180" s="117" t="s">
        <v>1963</v>
      </c>
      <c r="X1180" s="117" t="s">
        <v>2176</v>
      </c>
      <c r="Y1180" s="117" t="s">
        <v>2176</v>
      </c>
      <c r="Z1180" s="117" t="n">
        <v>1600000413</v>
      </c>
      <c r="AD1180" s="117" t="n">
        <v>110000</v>
      </c>
      <c r="AE1180" s="117" t="s">
        <v>1966</v>
      </c>
      <c r="AF1180" s="117" t="n">
        <v>312193</v>
      </c>
      <c r="AG1180" s="117" t="s">
        <v>1963</v>
      </c>
      <c r="AI1180" s="117" t="n">
        <v>312193</v>
      </c>
      <c r="AJ1180" s="131" t="s">
        <v>1963</v>
      </c>
      <c r="AK1180" s="117" t="n">
        <v>0</v>
      </c>
      <c r="AL1180" s="117" t="n">
        <v>14</v>
      </c>
      <c r="AM1180" s="117" t="s">
        <v>225</v>
      </c>
      <c r="AP1180" s="117" t="n">
        <v>100231547</v>
      </c>
      <c r="AQ1180" s="118" t="n">
        <v>43859</v>
      </c>
      <c r="AR1180" s="118" t="n">
        <v>43859</v>
      </c>
      <c r="AS1180" s="117" t="n">
        <v>0.266435185185185</v>
      </c>
      <c r="AT1180" s="117" t="n">
        <v>0</v>
      </c>
      <c r="AU1180" s="117" t="n">
        <v>0</v>
      </c>
      <c r="AX1180" s="117" t="n">
        <v>4</v>
      </c>
    </row>
    <row r="1181" s="106" customFormat="true" ht="13.8" hidden="true" customHeight="false" outlineLevel="0" collapsed="false">
      <c r="A1181" s="106" t="n">
        <v>1000</v>
      </c>
      <c r="B1181" s="106" t="s">
        <v>1962</v>
      </c>
      <c r="C1181" s="106" t="n">
        <v>105309</v>
      </c>
      <c r="D1181" s="106" t="s">
        <v>1964</v>
      </c>
      <c r="E1181" s="106" t="s">
        <v>1970</v>
      </c>
      <c r="F1181" s="106" t="n">
        <v>1109</v>
      </c>
      <c r="G1181" s="106" t="n">
        <v>2019</v>
      </c>
      <c r="H1181" s="106" t="n">
        <v>4</v>
      </c>
      <c r="I1181" s="129" t="n">
        <v>43677</v>
      </c>
      <c r="J1181" s="129" t="n">
        <v>43677</v>
      </c>
      <c r="K1181" s="107" t="n">
        <v>463358.86</v>
      </c>
      <c r="L1181" s="130" t="n">
        <f aca="false">K1181-Q1181+T1181</f>
        <v>392677</v>
      </c>
      <c r="M1181" s="106" t="s">
        <v>149</v>
      </c>
      <c r="N1181" s="106" t="n">
        <v>463358.86</v>
      </c>
      <c r="O1181" s="106" t="s">
        <v>149</v>
      </c>
      <c r="P1181" s="106" t="n">
        <v>0</v>
      </c>
      <c r="Q1181" s="107" t="n">
        <v>70681.86</v>
      </c>
      <c r="R1181" s="106" t="n">
        <v>392677</v>
      </c>
      <c r="S1181" s="106" t="n">
        <v>0</v>
      </c>
      <c r="T1181" s="106" t="n">
        <v>0</v>
      </c>
      <c r="U1181" s="106" t="n">
        <v>312193</v>
      </c>
      <c r="V1181" s="106" t="s">
        <v>1963</v>
      </c>
      <c r="Z1181" s="106" t="n">
        <v>2316</v>
      </c>
      <c r="AB1181" s="106" t="s">
        <v>1965</v>
      </c>
      <c r="AD1181" s="106" t="n">
        <v>110000</v>
      </c>
      <c r="AE1181" s="106" t="s">
        <v>1966</v>
      </c>
      <c r="AF1181" s="106" t="n">
        <v>501020</v>
      </c>
      <c r="AG1181" s="106" t="s">
        <v>1971</v>
      </c>
      <c r="AI1181" s="106" t="n">
        <v>501020</v>
      </c>
      <c r="AJ1181" s="106" t="s">
        <v>1971</v>
      </c>
      <c r="AK1181" s="106" t="n">
        <v>0</v>
      </c>
      <c r="AL1181" s="106" t="n">
        <v>1</v>
      </c>
      <c r="AM1181" s="106" t="s">
        <v>161</v>
      </c>
      <c r="AP1181" s="106" t="n">
        <v>100058209</v>
      </c>
      <c r="AQ1181" s="129" t="n">
        <v>43677</v>
      </c>
      <c r="AR1181" s="129" t="n">
        <v>43677</v>
      </c>
      <c r="AS1181" s="106" t="n">
        <v>0.61224537037037</v>
      </c>
      <c r="AT1181" s="106" t="n">
        <v>0</v>
      </c>
      <c r="AU1181" s="106" t="n">
        <v>0</v>
      </c>
      <c r="AX1181" s="106" t="n">
        <v>1</v>
      </c>
      <c r="ALU1181" s="0"/>
      <c r="ALV1181" s="0"/>
      <c r="ALW1181" s="0"/>
      <c r="ALX1181" s="0"/>
      <c r="ALY1181" s="0"/>
      <c r="ALZ1181" s="0"/>
      <c r="AMA1181" s="0"/>
      <c r="AMB1181" s="0"/>
      <c r="AMC1181" s="0"/>
      <c r="AMD1181" s="0"/>
      <c r="AME1181" s="0"/>
      <c r="AMF1181" s="0"/>
      <c r="AMG1181" s="0"/>
      <c r="AMH1181" s="0"/>
      <c r="AMI1181" s="0"/>
      <c r="AMJ1181" s="0"/>
    </row>
    <row r="1182" customFormat="false" ht="13.8" hidden="true" customHeight="false" outlineLevel="0" collapsed="false">
      <c r="A1182" s="117" t="n">
        <v>1000</v>
      </c>
      <c r="B1182" s="117" t="s">
        <v>1962</v>
      </c>
      <c r="C1182" s="117" t="n">
        <v>100229115</v>
      </c>
      <c r="E1182" s="117" t="s">
        <v>1921</v>
      </c>
      <c r="F1182" s="117" t="n">
        <v>1109</v>
      </c>
      <c r="G1182" s="117" t="n">
        <v>2019</v>
      </c>
      <c r="H1182" s="117" t="n">
        <v>10</v>
      </c>
      <c r="I1182" s="118" t="n">
        <v>43856</v>
      </c>
      <c r="J1182" s="118" t="n">
        <v>43856</v>
      </c>
      <c r="K1182" s="119" t="n">
        <v>1423428.42</v>
      </c>
      <c r="L1182" s="128" t="n">
        <f aca="false">K1182-Q1182+T1182</f>
        <v>1423428.42</v>
      </c>
      <c r="M1182" s="117" t="s">
        <v>149</v>
      </c>
      <c r="N1182" s="117" t="n">
        <v>1423428.42</v>
      </c>
      <c r="O1182" s="117" t="s">
        <v>149</v>
      </c>
      <c r="P1182" s="117" t="n">
        <v>0</v>
      </c>
      <c r="Q1182" s="117" t="n">
        <v>0</v>
      </c>
      <c r="R1182" s="117" t="n">
        <v>1423428.42</v>
      </c>
      <c r="S1182" s="117" t="n">
        <v>0</v>
      </c>
      <c r="T1182" s="117" t="n">
        <v>0</v>
      </c>
      <c r="U1182" s="117" t="n">
        <v>305576</v>
      </c>
      <c r="V1182" s="117" t="s">
        <v>1973</v>
      </c>
      <c r="X1182" s="117" t="s">
        <v>2446</v>
      </c>
      <c r="Z1182" s="117" t="n">
        <v>62123</v>
      </c>
      <c r="AB1182" s="117" t="s">
        <v>2260</v>
      </c>
      <c r="AD1182" s="117" t="n">
        <v>110000</v>
      </c>
      <c r="AE1182" s="117" t="s">
        <v>1966</v>
      </c>
      <c r="AF1182" s="117" t="n">
        <v>110000</v>
      </c>
      <c r="AG1182" s="117" t="s">
        <v>1966</v>
      </c>
      <c r="AI1182" s="117" t="n">
        <v>110000</v>
      </c>
      <c r="AJ1182" s="117" t="s">
        <v>1966</v>
      </c>
      <c r="AK1182" s="117" t="n">
        <v>0</v>
      </c>
      <c r="AL1182" s="117" t="n">
        <v>4</v>
      </c>
      <c r="AM1182" s="117" t="s">
        <v>161</v>
      </c>
      <c r="AR1182" s="118" t="n">
        <v>43856</v>
      </c>
      <c r="AS1182" s="117" t="n">
        <v>0.54568287037037</v>
      </c>
      <c r="AT1182" s="117" t="n">
        <v>0</v>
      </c>
      <c r="AU1182" s="117" t="n">
        <v>0</v>
      </c>
      <c r="AX1182" s="117" t="n">
        <v>3</v>
      </c>
    </row>
    <row r="1183" customFormat="false" ht="13.8" hidden="true" customHeight="false" outlineLevel="0" collapsed="false">
      <c r="A1183" s="117" t="n">
        <v>1000</v>
      </c>
      <c r="B1183" s="117" t="s">
        <v>1962</v>
      </c>
      <c r="C1183" s="117" t="n">
        <v>1400009376</v>
      </c>
      <c r="D1183" s="117" t="s">
        <v>2603</v>
      </c>
      <c r="E1183" s="117" t="s">
        <v>1972</v>
      </c>
      <c r="F1183" s="117" t="n">
        <v>1106</v>
      </c>
      <c r="G1183" s="117" t="n">
        <v>2019</v>
      </c>
      <c r="H1183" s="117" t="n">
        <v>10</v>
      </c>
      <c r="I1183" s="118" t="n">
        <v>43831</v>
      </c>
      <c r="J1183" s="118" t="n">
        <v>43831</v>
      </c>
      <c r="K1183" s="119" t="n">
        <v>-255509.38</v>
      </c>
      <c r="L1183" s="128" t="n">
        <f aca="false">K1183-Q1183+T1183</f>
        <v>-255509.38</v>
      </c>
      <c r="M1183" s="117" t="s">
        <v>149</v>
      </c>
      <c r="N1183" s="117" t="n">
        <v>-255509.38</v>
      </c>
      <c r="O1183" s="117" t="s">
        <v>149</v>
      </c>
      <c r="P1183" s="117" t="n">
        <v>-255509.38</v>
      </c>
      <c r="Q1183" s="117" t="n">
        <v>0</v>
      </c>
      <c r="R1183" s="117" t="n">
        <v>-255509.38</v>
      </c>
      <c r="S1183" s="117" t="n">
        <v>0</v>
      </c>
      <c r="T1183" s="117" t="n">
        <v>0</v>
      </c>
      <c r="U1183" s="117" t="n">
        <v>310187</v>
      </c>
      <c r="V1183" s="117" t="s">
        <v>2394</v>
      </c>
      <c r="X1183" s="117" t="s">
        <v>2604</v>
      </c>
      <c r="Y1183" s="117" t="s">
        <v>2605</v>
      </c>
      <c r="Z1183" s="117" t="n">
        <v>1400009376</v>
      </c>
      <c r="AC1183" s="117" t="s">
        <v>1976</v>
      </c>
      <c r="AD1183" s="117" t="n">
        <v>310300</v>
      </c>
      <c r="AE1183" s="117" t="s">
        <v>1969</v>
      </c>
      <c r="AF1183" s="117" t="n">
        <v>101105</v>
      </c>
      <c r="AG1183" s="117" t="s">
        <v>1977</v>
      </c>
      <c r="AI1183" s="117" t="n">
        <v>101105</v>
      </c>
      <c r="AJ1183" s="117" t="s">
        <v>1977</v>
      </c>
      <c r="AK1183" s="117" t="n">
        <v>0</v>
      </c>
      <c r="AL1183" s="117" t="n">
        <v>19</v>
      </c>
      <c r="AM1183" s="117" t="s">
        <v>225</v>
      </c>
      <c r="AN1183" s="117" t="s">
        <v>1978</v>
      </c>
      <c r="AP1183" s="117" t="n">
        <v>100229128</v>
      </c>
      <c r="AQ1183" s="118" t="n">
        <v>43856</v>
      </c>
      <c r="AR1183" s="118" t="n">
        <v>43837</v>
      </c>
      <c r="AS1183" s="117" t="n">
        <v>0.475243055555556</v>
      </c>
      <c r="AT1183" s="117" t="n">
        <v>0</v>
      </c>
      <c r="AU1183" s="117" t="n">
        <v>0</v>
      </c>
      <c r="AX1183" s="117" t="n">
        <v>3</v>
      </c>
    </row>
    <row r="1184" s="106" customFormat="true" ht="13.8" hidden="true" customHeight="false" outlineLevel="0" collapsed="false">
      <c r="A1184" s="106" t="n">
        <v>1000</v>
      </c>
      <c r="B1184" s="106" t="s">
        <v>1962</v>
      </c>
      <c r="C1184" s="106" t="n">
        <v>105315</v>
      </c>
      <c r="D1184" s="106" t="s">
        <v>2100</v>
      </c>
      <c r="E1184" s="106" t="s">
        <v>1970</v>
      </c>
      <c r="F1184" s="106" t="n">
        <v>1109</v>
      </c>
      <c r="G1184" s="106" t="n">
        <v>2019</v>
      </c>
      <c r="H1184" s="106" t="n">
        <v>4</v>
      </c>
      <c r="I1184" s="129" t="n">
        <v>43677</v>
      </c>
      <c r="J1184" s="129" t="n">
        <v>43677</v>
      </c>
      <c r="K1184" s="107" t="n">
        <v>450960.6</v>
      </c>
      <c r="L1184" s="130" t="n">
        <f aca="false">K1184-Q1184+T1184</f>
        <v>382170</v>
      </c>
      <c r="M1184" s="106" t="s">
        <v>149</v>
      </c>
      <c r="N1184" s="106" t="n">
        <v>450960.6</v>
      </c>
      <c r="O1184" s="106" t="s">
        <v>149</v>
      </c>
      <c r="P1184" s="106" t="n">
        <v>0</v>
      </c>
      <c r="Q1184" s="107" t="n">
        <v>68790.6</v>
      </c>
      <c r="R1184" s="106" t="n">
        <v>382170</v>
      </c>
      <c r="S1184" s="106" t="n">
        <v>0</v>
      </c>
      <c r="T1184" s="106" t="n">
        <v>0</v>
      </c>
      <c r="U1184" s="106" t="n">
        <v>312193</v>
      </c>
      <c r="V1184" s="106" t="s">
        <v>1963</v>
      </c>
      <c r="Z1184" s="106" t="n">
        <v>2316</v>
      </c>
      <c r="AB1184" s="106" t="s">
        <v>1965</v>
      </c>
      <c r="AD1184" s="106" t="n">
        <v>110000</v>
      </c>
      <c r="AE1184" s="106" t="s">
        <v>1966</v>
      </c>
      <c r="AF1184" s="106" t="n">
        <v>501020</v>
      </c>
      <c r="AG1184" s="106" t="s">
        <v>1971</v>
      </c>
      <c r="AI1184" s="106" t="n">
        <v>501020</v>
      </c>
      <c r="AJ1184" s="106" t="s">
        <v>1971</v>
      </c>
      <c r="AK1184" s="106" t="n">
        <v>0</v>
      </c>
      <c r="AL1184" s="106" t="n">
        <v>1</v>
      </c>
      <c r="AM1184" s="106" t="s">
        <v>161</v>
      </c>
      <c r="AP1184" s="106" t="n">
        <v>100058209</v>
      </c>
      <c r="AQ1184" s="129" t="n">
        <v>43677</v>
      </c>
      <c r="AR1184" s="129" t="n">
        <v>43677</v>
      </c>
      <c r="AS1184" s="106" t="n">
        <v>0.638912037037037</v>
      </c>
      <c r="AT1184" s="106" t="n">
        <v>0</v>
      </c>
      <c r="AU1184" s="106" t="n">
        <v>0</v>
      </c>
      <c r="AX1184" s="106" t="n">
        <v>1</v>
      </c>
      <c r="ALU1184" s="0"/>
      <c r="ALV1184" s="0"/>
      <c r="ALW1184" s="0"/>
      <c r="ALX1184" s="0"/>
      <c r="ALY1184" s="0"/>
      <c r="ALZ1184" s="0"/>
      <c r="AMA1184" s="0"/>
      <c r="AMB1184" s="0"/>
      <c r="AMC1184" s="0"/>
      <c r="AMD1184" s="0"/>
      <c r="AME1184" s="0"/>
      <c r="AMF1184" s="0"/>
      <c r="AMG1184" s="0"/>
      <c r="AMH1184" s="0"/>
      <c r="AMI1184" s="0"/>
      <c r="AMJ1184" s="0"/>
    </row>
    <row r="1185" customFormat="false" ht="13.8" hidden="true" customHeight="false" outlineLevel="0" collapsed="false">
      <c r="A1185" s="117" t="n">
        <v>1000</v>
      </c>
      <c r="B1185" s="117" t="s">
        <v>1962</v>
      </c>
      <c r="C1185" s="117" t="n">
        <v>100231547</v>
      </c>
      <c r="E1185" s="117" t="s">
        <v>1921</v>
      </c>
      <c r="F1185" s="117" t="n">
        <v>1101</v>
      </c>
      <c r="G1185" s="117" t="n">
        <v>2019</v>
      </c>
      <c r="H1185" s="117" t="n">
        <v>10</v>
      </c>
      <c r="I1185" s="118" t="n">
        <v>43859</v>
      </c>
      <c r="J1185" s="118" t="n">
        <v>43859</v>
      </c>
      <c r="K1185" s="119" t="n">
        <v>10319736.12</v>
      </c>
      <c r="L1185" s="128" t="n">
        <f aca="false">K1185-Q1185+T1185</f>
        <v>10319736.12</v>
      </c>
      <c r="M1185" s="117" t="s">
        <v>149</v>
      </c>
      <c r="N1185" s="117" t="n">
        <v>10319736.12</v>
      </c>
      <c r="O1185" s="117" t="s">
        <v>149</v>
      </c>
      <c r="P1185" s="117" t="n">
        <v>0</v>
      </c>
      <c r="Q1185" s="117" t="n">
        <v>0</v>
      </c>
      <c r="R1185" s="117" t="n">
        <v>10319736.12</v>
      </c>
      <c r="S1185" s="117" t="n">
        <v>0</v>
      </c>
      <c r="T1185" s="117" t="n">
        <v>0</v>
      </c>
      <c r="U1185" s="117" t="n">
        <v>312193</v>
      </c>
      <c r="V1185" s="117" t="s">
        <v>1963</v>
      </c>
      <c r="Z1185" s="117" t="n">
        <v>100231547</v>
      </c>
      <c r="AD1185" s="117" t="n">
        <v>310300</v>
      </c>
      <c r="AE1185" s="117" t="s">
        <v>1969</v>
      </c>
      <c r="AF1185" s="117" t="n">
        <v>110000</v>
      </c>
      <c r="AG1185" s="117" t="s">
        <v>1966</v>
      </c>
      <c r="AI1185" s="117" t="n">
        <v>110000</v>
      </c>
      <c r="AJ1185" s="117" t="s">
        <v>1966</v>
      </c>
      <c r="AK1185" s="117" t="n">
        <v>0</v>
      </c>
      <c r="AL1185" s="117" t="n">
        <v>9</v>
      </c>
      <c r="AM1185" s="117" t="s">
        <v>161</v>
      </c>
      <c r="AN1185" s="117" t="s">
        <v>1978</v>
      </c>
      <c r="AP1185" s="117" t="n">
        <v>100231547</v>
      </c>
      <c r="AQ1185" s="118" t="n">
        <v>43859</v>
      </c>
      <c r="AR1185" s="118" t="n">
        <v>43859</v>
      </c>
      <c r="AS1185" s="117" t="n">
        <v>0.26912037037037</v>
      </c>
      <c r="AT1185" s="117" t="n">
        <v>0</v>
      </c>
      <c r="AU1185" s="117" t="n">
        <v>0</v>
      </c>
      <c r="AX1185" s="117" t="n">
        <v>8</v>
      </c>
    </row>
    <row r="1186" s="106" customFormat="true" ht="13.8" hidden="true" customHeight="false" outlineLevel="0" collapsed="false">
      <c r="A1186" s="106" t="n">
        <v>1000</v>
      </c>
      <c r="B1186" s="106" t="s">
        <v>1962</v>
      </c>
      <c r="C1186" s="106" t="n">
        <v>111271</v>
      </c>
      <c r="D1186" s="106" t="s">
        <v>2606</v>
      </c>
      <c r="E1186" s="106" t="s">
        <v>1970</v>
      </c>
      <c r="F1186" s="106" t="n">
        <v>1112</v>
      </c>
      <c r="G1186" s="106" t="n">
        <v>2019</v>
      </c>
      <c r="H1186" s="106" t="n">
        <v>10</v>
      </c>
      <c r="I1186" s="129" t="n">
        <v>43840</v>
      </c>
      <c r="J1186" s="129" t="n">
        <v>43840</v>
      </c>
      <c r="K1186" s="107" t="n">
        <v>242655.2</v>
      </c>
      <c r="L1186" s="130" t="n">
        <f aca="false">K1186-Q1186+T1186</f>
        <v>205640</v>
      </c>
      <c r="M1186" s="106" t="s">
        <v>149</v>
      </c>
      <c r="N1186" s="106" t="n">
        <v>242655.2</v>
      </c>
      <c r="O1186" s="106" t="s">
        <v>149</v>
      </c>
      <c r="P1186" s="106" t="n">
        <v>0</v>
      </c>
      <c r="Q1186" s="107" t="n">
        <v>37015.2</v>
      </c>
      <c r="R1186" s="106" t="n">
        <v>205640</v>
      </c>
      <c r="S1186" s="106" t="n">
        <v>0</v>
      </c>
      <c r="T1186" s="106" t="n">
        <v>0</v>
      </c>
      <c r="U1186" s="106" t="n">
        <v>312193</v>
      </c>
      <c r="V1186" s="106" t="s">
        <v>1963</v>
      </c>
      <c r="Z1186" s="106" t="n">
        <v>62395</v>
      </c>
      <c r="AB1186" s="106" t="s">
        <v>2350</v>
      </c>
      <c r="AD1186" s="106" t="n">
        <v>110000</v>
      </c>
      <c r="AE1186" s="106" t="s">
        <v>1966</v>
      </c>
      <c r="AF1186" s="106" t="n">
        <v>501005</v>
      </c>
      <c r="AG1186" s="106" t="s">
        <v>2033</v>
      </c>
      <c r="AI1186" s="106" t="n">
        <v>501005</v>
      </c>
      <c r="AJ1186" s="106" t="s">
        <v>2033</v>
      </c>
      <c r="AK1186" s="106" t="n">
        <v>0</v>
      </c>
      <c r="AL1186" s="106" t="n">
        <v>1</v>
      </c>
      <c r="AM1186" s="106" t="s">
        <v>161</v>
      </c>
      <c r="AP1186" s="106" t="n">
        <v>100231557</v>
      </c>
      <c r="AQ1186" s="129" t="n">
        <v>43859</v>
      </c>
      <c r="AR1186" s="129" t="n">
        <v>43840</v>
      </c>
      <c r="AS1186" s="106" t="n">
        <v>0.431793981481482</v>
      </c>
      <c r="AT1186" s="106" t="n">
        <v>0</v>
      </c>
      <c r="AU1186" s="106" t="n">
        <v>0</v>
      </c>
      <c r="AX1186" s="106" t="n">
        <v>1</v>
      </c>
      <c r="ALU1186" s="0"/>
      <c r="ALV1186" s="0"/>
      <c r="ALW1186" s="0"/>
      <c r="ALX1186" s="0"/>
      <c r="ALY1186" s="0"/>
      <c r="ALZ1186" s="0"/>
      <c r="AMA1186" s="0"/>
      <c r="AMB1186" s="0"/>
      <c r="AMC1186" s="0"/>
      <c r="AMD1186" s="0"/>
      <c r="AME1186" s="0"/>
      <c r="AMF1186" s="0"/>
      <c r="AMG1186" s="0"/>
      <c r="AMH1186" s="0"/>
      <c r="AMI1186" s="0"/>
      <c r="AMJ1186" s="0"/>
    </row>
    <row r="1187" customFormat="false" ht="13.8" hidden="true" customHeight="false" outlineLevel="0" collapsed="false">
      <c r="A1187" s="117" t="n">
        <v>1000</v>
      </c>
      <c r="B1187" s="117" t="s">
        <v>1962</v>
      </c>
      <c r="C1187" s="117" t="n">
        <v>100260188</v>
      </c>
      <c r="E1187" s="117" t="s">
        <v>1921</v>
      </c>
      <c r="F1187" s="117" t="n">
        <v>1109</v>
      </c>
      <c r="G1187" s="117" t="n">
        <v>2019</v>
      </c>
      <c r="H1187" s="117" t="n">
        <v>11</v>
      </c>
      <c r="I1187" s="118" t="n">
        <v>43883</v>
      </c>
      <c r="J1187" s="118" t="n">
        <v>43883</v>
      </c>
      <c r="K1187" s="119" t="n">
        <v>-4473624.48</v>
      </c>
      <c r="L1187" s="128" t="n">
        <f aca="false">K1187-Q1187+T1187</f>
        <v>-4473624.48</v>
      </c>
      <c r="M1187" s="117" t="s">
        <v>149</v>
      </c>
      <c r="N1187" s="117" t="n">
        <v>-4473624.48</v>
      </c>
      <c r="O1187" s="117" t="s">
        <v>149</v>
      </c>
      <c r="P1187" s="117" t="n">
        <v>0</v>
      </c>
      <c r="Q1187" s="117" t="n">
        <v>0</v>
      </c>
      <c r="R1187" s="117" t="n">
        <v>-4473624.48</v>
      </c>
      <c r="S1187" s="117" t="n">
        <v>0</v>
      </c>
      <c r="T1187" s="117" t="n">
        <v>0</v>
      </c>
      <c r="U1187" s="117" t="n">
        <v>311155</v>
      </c>
      <c r="V1187" s="117" t="s">
        <v>2022</v>
      </c>
      <c r="Z1187" s="117" t="n">
        <v>100260188</v>
      </c>
      <c r="AD1187" s="117" t="n">
        <v>110000</v>
      </c>
      <c r="AE1187" s="117" t="s">
        <v>1966</v>
      </c>
      <c r="AF1187" s="117" t="n">
        <v>110000</v>
      </c>
      <c r="AG1187" s="117" t="s">
        <v>1966</v>
      </c>
      <c r="AI1187" s="117" t="n">
        <v>110000</v>
      </c>
      <c r="AJ1187" s="117" t="s">
        <v>1966</v>
      </c>
      <c r="AK1187" s="117" t="n">
        <v>0</v>
      </c>
      <c r="AL1187" s="117" t="n">
        <v>17</v>
      </c>
      <c r="AM1187" s="117" t="s">
        <v>225</v>
      </c>
      <c r="AP1187" s="117" t="n">
        <v>100260188</v>
      </c>
      <c r="AQ1187" s="118" t="n">
        <v>43883</v>
      </c>
      <c r="AR1187" s="118" t="n">
        <v>43883</v>
      </c>
      <c r="AS1187" s="117" t="n">
        <v>0.350601851851852</v>
      </c>
      <c r="AT1187" s="117" t="n">
        <v>0</v>
      </c>
      <c r="AU1187" s="117" t="n">
        <v>0</v>
      </c>
      <c r="AX1187" s="117" t="n">
        <v>3</v>
      </c>
    </row>
    <row r="1188" customFormat="false" ht="13.8" hidden="true" customHeight="false" outlineLevel="0" collapsed="false">
      <c r="A1188" s="117" t="n">
        <v>1000</v>
      </c>
      <c r="B1188" s="117" t="s">
        <v>1962</v>
      </c>
      <c r="C1188" s="117" t="n">
        <v>100229537</v>
      </c>
      <c r="E1188" s="117" t="s">
        <v>1921</v>
      </c>
      <c r="F1188" s="117" t="n">
        <v>1109</v>
      </c>
      <c r="G1188" s="117" t="n">
        <v>2019</v>
      </c>
      <c r="H1188" s="117" t="n">
        <v>10</v>
      </c>
      <c r="I1188" s="118" t="n">
        <v>43857</v>
      </c>
      <c r="J1188" s="118" t="n">
        <v>43857</v>
      </c>
      <c r="K1188" s="119" t="n">
        <v>469.88</v>
      </c>
      <c r="L1188" s="128" t="n">
        <f aca="false">K1188-Q1188+T1188</f>
        <v>469.88</v>
      </c>
      <c r="M1188" s="117" t="s">
        <v>149</v>
      </c>
      <c r="N1188" s="117" t="n">
        <v>469.88</v>
      </c>
      <c r="O1188" s="117" t="s">
        <v>149</v>
      </c>
      <c r="P1188" s="117" t="n">
        <v>0</v>
      </c>
      <c r="Q1188" s="117" t="n">
        <v>0</v>
      </c>
      <c r="R1188" s="117" t="n">
        <v>469.88</v>
      </c>
      <c r="S1188" s="117" t="n">
        <v>0</v>
      </c>
      <c r="T1188" s="117" t="n">
        <v>0</v>
      </c>
      <c r="U1188" s="117" t="n">
        <v>315113</v>
      </c>
      <c r="V1188" s="117" t="s">
        <v>143</v>
      </c>
      <c r="X1188" s="117" t="s">
        <v>2607</v>
      </c>
      <c r="Z1188" s="117" t="n">
        <v>60728</v>
      </c>
      <c r="AB1188" s="117" t="s">
        <v>2078</v>
      </c>
      <c r="AD1188" s="117" t="n">
        <v>110000</v>
      </c>
      <c r="AE1188" s="117" t="s">
        <v>1966</v>
      </c>
      <c r="AF1188" s="117" t="n">
        <v>110000</v>
      </c>
      <c r="AG1188" s="117" t="s">
        <v>1966</v>
      </c>
      <c r="AI1188" s="117" t="n">
        <v>110000</v>
      </c>
      <c r="AJ1188" s="117" t="s">
        <v>1966</v>
      </c>
      <c r="AK1188" s="117" t="n">
        <v>0</v>
      </c>
      <c r="AL1188" s="117" t="n">
        <v>4</v>
      </c>
      <c r="AM1188" s="117" t="s">
        <v>161</v>
      </c>
      <c r="AR1188" s="118" t="n">
        <v>43857</v>
      </c>
      <c r="AS1188" s="117" t="n">
        <v>0.288831018518518</v>
      </c>
      <c r="AT1188" s="117" t="n">
        <v>0</v>
      </c>
      <c r="AU1188" s="117" t="n">
        <v>0</v>
      </c>
      <c r="AX1188" s="117" t="n">
        <v>1</v>
      </c>
    </row>
    <row r="1189" customFormat="false" ht="13.8" hidden="true" customHeight="false" outlineLevel="0" collapsed="false">
      <c r="A1189" s="117" t="n">
        <v>1000</v>
      </c>
      <c r="B1189" s="117" t="s">
        <v>1962</v>
      </c>
      <c r="C1189" s="117" t="n">
        <v>100242271</v>
      </c>
      <c r="E1189" s="117" t="s">
        <v>1921</v>
      </c>
      <c r="F1189" s="117" t="n">
        <v>1109</v>
      </c>
      <c r="G1189" s="117" t="n">
        <v>2019</v>
      </c>
      <c r="H1189" s="117" t="n">
        <v>10</v>
      </c>
      <c r="I1189" s="118" t="n">
        <v>43861</v>
      </c>
      <c r="J1189" s="118" t="n">
        <v>43861</v>
      </c>
      <c r="K1189" s="119" t="n">
        <v>-423929.84</v>
      </c>
      <c r="L1189" s="128" t="n">
        <f aca="false">K1189-Q1189+T1189</f>
        <v>-423929.84</v>
      </c>
      <c r="M1189" s="117" t="s">
        <v>149</v>
      </c>
      <c r="N1189" s="117" t="n">
        <v>-423929.84</v>
      </c>
      <c r="O1189" s="117" t="s">
        <v>149</v>
      </c>
      <c r="P1189" s="117" t="n">
        <v>0</v>
      </c>
      <c r="Q1189" s="117" t="n">
        <v>0</v>
      </c>
      <c r="R1189" s="117" t="n">
        <v>-423929.84</v>
      </c>
      <c r="S1189" s="117" t="n">
        <v>0</v>
      </c>
      <c r="T1189" s="117" t="n">
        <v>0</v>
      </c>
      <c r="U1189" s="117" t="n">
        <v>310187</v>
      </c>
      <c r="V1189" s="117" t="s">
        <v>2394</v>
      </c>
      <c r="Z1189" s="117" t="n">
        <v>100242271</v>
      </c>
      <c r="AD1189" s="117" t="n">
        <v>110000</v>
      </c>
      <c r="AE1189" s="117" t="s">
        <v>1966</v>
      </c>
      <c r="AF1189" s="117" t="n">
        <v>110000</v>
      </c>
      <c r="AG1189" s="117" t="s">
        <v>1966</v>
      </c>
      <c r="AI1189" s="117" t="n">
        <v>110000</v>
      </c>
      <c r="AJ1189" s="117" t="s">
        <v>1966</v>
      </c>
      <c r="AK1189" s="117" t="n">
        <v>0</v>
      </c>
      <c r="AL1189" s="117" t="n">
        <v>17</v>
      </c>
      <c r="AM1189" s="117" t="s">
        <v>225</v>
      </c>
      <c r="AP1189" s="117" t="n">
        <v>100242271</v>
      </c>
      <c r="AQ1189" s="118" t="n">
        <v>43861</v>
      </c>
      <c r="AR1189" s="118" t="n">
        <v>43863</v>
      </c>
      <c r="AS1189" s="117" t="n">
        <v>0.425092592592593</v>
      </c>
      <c r="AT1189" s="117" t="n">
        <v>0</v>
      </c>
      <c r="AU1189" s="117" t="n">
        <v>0</v>
      </c>
      <c r="AX1189" s="117" t="n">
        <v>2</v>
      </c>
    </row>
    <row r="1190" customFormat="false" ht="13.8" hidden="true" customHeight="false" outlineLevel="0" collapsed="false">
      <c r="A1190" s="117" t="n">
        <v>1000</v>
      </c>
      <c r="B1190" s="117" t="s">
        <v>1962</v>
      </c>
      <c r="C1190" s="117" t="n">
        <v>1400010208</v>
      </c>
      <c r="E1190" s="117" t="s">
        <v>1972</v>
      </c>
      <c r="F1190" s="117" t="n">
        <v>1101</v>
      </c>
      <c r="G1190" s="117" t="n">
        <v>2019</v>
      </c>
      <c r="H1190" s="117" t="n">
        <v>10</v>
      </c>
      <c r="I1190" s="118" t="n">
        <v>43859</v>
      </c>
      <c r="J1190" s="118" t="n">
        <v>43859</v>
      </c>
      <c r="K1190" s="119" t="n">
        <v>-240420.8</v>
      </c>
      <c r="L1190" s="128" t="n">
        <f aca="false">K1190-Q1190+T1190</f>
        <v>-240420.8</v>
      </c>
      <c r="M1190" s="117" t="s">
        <v>149</v>
      </c>
      <c r="N1190" s="117" t="n">
        <v>-240420.8</v>
      </c>
      <c r="O1190" s="117" t="s">
        <v>149</v>
      </c>
      <c r="P1190" s="117" t="n">
        <v>0</v>
      </c>
      <c r="Q1190" s="117" t="n">
        <v>0</v>
      </c>
      <c r="R1190" s="117" t="n">
        <v>-240420.8</v>
      </c>
      <c r="S1190" s="117" t="n">
        <v>0</v>
      </c>
      <c r="T1190" s="117" t="n">
        <v>0</v>
      </c>
      <c r="U1190" s="117" t="n">
        <v>312193</v>
      </c>
      <c r="V1190" s="117" t="s">
        <v>1963</v>
      </c>
      <c r="X1190" s="117" t="s">
        <v>2608</v>
      </c>
      <c r="Y1190" s="117" t="s">
        <v>2609</v>
      </c>
      <c r="Z1190" s="117" t="n">
        <v>1400010208</v>
      </c>
      <c r="AC1190" s="117" t="s">
        <v>1976</v>
      </c>
      <c r="AD1190" s="117" t="n">
        <v>310300</v>
      </c>
      <c r="AE1190" s="117" t="s">
        <v>1969</v>
      </c>
      <c r="AF1190" s="117" t="n">
        <v>101105</v>
      </c>
      <c r="AG1190" s="117" t="s">
        <v>1977</v>
      </c>
      <c r="AI1190" s="117" t="n">
        <v>101105</v>
      </c>
      <c r="AJ1190" s="117" t="s">
        <v>1977</v>
      </c>
      <c r="AK1190" s="117" t="n">
        <v>0</v>
      </c>
      <c r="AL1190" s="117" t="n">
        <v>19</v>
      </c>
      <c r="AM1190" s="117" t="s">
        <v>225</v>
      </c>
      <c r="AN1190" s="117" t="s">
        <v>1978</v>
      </c>
      <c r="AP1190" s="117" t="n">
        <v>100242296</v>
      </c>
      <c r="AQ1190" s="118" t="n">
        <v>43861</v>
      </c>
      <c r="AR1190" s="118" t="n">
        <v>43860</v>
      </c>
      <c r="AS1190" s="117" t="n">
        <v>0.471643518518519</v>
      </c>
      <c r="AT1190" s="117" t="n">
        <v>0</v>
      </c>
      <c r="AU1190" s="117" t="n">
        <v>0</v>
      </c>
      <c r="AX1190" s="117" t="n">
        <v>2</v>
      </c>
    </row>
    <row r="1191" s="106" customFormat="true" ht="13.8" hidden="true" customHeight="false" outlineLevel="0" collapsed="false">
      <c r="A1191" s="106" t="n">
        <v>1000</v>
      </c>
      <c r="B1191" s="106" t="s">
        <v>1962</v>
      </c>
      <c r="C1191" s="106" t="n">
        <v>111266</v>
      </c>
      <c r="D1191" s="106" t="s">
        <v>2610</v>
      </c>
      <c r="E1191" s="106" t="s">
        <v>1970</v>
      </c>
      <c r="F1191" s="106" t="n">
        <v>1112</v>
      </c>
      <c r="G1191" s="106" t="n">
        <v>2019</v>
      </c>
      <c r="H1191" s="106" t="n">
        <v>10</v>
      </c>
      <c r="I1191" s="129" t="n">
        <v>43840</v>
      </c>
      <c r="J1191" s="129" t="n">
        <v>43840</v>
      </c>
      <c r="K1191" s="107" t="n">
        <v>49744.32</v>
      </c>
      <c r="L1191" s="130" t="n">
        <f aca="false">K1191-Q1191+T1191</f>
        <v>42156.2</v>
      </c>
      <c r="M1191" s="106" t="s">
        <v>149</v>
      </c>
      <c r="N1191" s="106" t="n">
        <v>49744.32</v>
      </c>
      <c r="O1191" s="106" t="s">
        <v>149</v>
      </c>
      <c r="P1191" s="106" t="n">
        <v>0</v>
      </c>
      <c r="Q1191" s="107" t="n">
        <v>7588.12</v>
      </c>
      <c r="R1191" s="106" t="n">
        <v>42156.2</v>
      </c>
      <c r="S1191" s="106" t="n">
        <v>0</v>
      </c>
      <c r="T1191" s="106" t="n">
        <v>0</v>
      </c>
      <c r="U1191" s="106" t="n">
        <v>312193</v>
      </c>
      <c r="V1191" s="106" t="s">
        <v>1963</v>
      </c>
      <c r="Z1191" s="106" t="n">
        <v>62199</v>
      </c>
      <c r="AB1191" s="106" t="s">
        <v>2350</v>
      </c>
      <c r="AD1191" s="106" t="n">
        <v>110000</v>
      </c>
      <c r="AE1191" s="106" t="s">
        <v>1966</v>
      </c>
      <c r="AF1191" s="106" t="n">
        <v>501005</v>
      </c>
      <c r="AG1191" s="106" t="s">
        <v>2033</v>
      </c>
      <c r="AI1191" s="106" t="n">
        <v>501005</v>
      </c>
      <c r="AJ1191" s="106" t="s">
        <v>2033</v>
      </c>
      <c r="AK1191" s="106" t="n">
        <v>0</v>
      </c>
      <c r="AL1191" s="106" t="n">
        <v>1</v>
      </c>
      <c r="AM1191" s="106" t="s">
        <v>161</v>
      </c>
      <c r="AP1191" s="106" t="n">
        <v>100231557</v>
      </c>
      <c r="AQ1191" s="129" t="n">
        <v>43859</v>
      </c>
      <c r="AR1191" s="129" t="n">
        <v>43840</v>
      </c>
      <c r="AS1191" s="106" t="n">
        <v>0.415601851851852</v>
      </c>
      <c r="AT1191" s="106" t="n">
        <v>0</v>
      </c>
      <c r="AU1191" s="106" t="n">
        <v>0</v>
      </c>
      <c r="AX1191" s="106" t="n">
        <v>1</v>
      </c>
      <c r="ALU1191" s="0"/>
      <c r="ALV1191" s="0"/>
      <c r="ALW1191" s="0"/>
      <c r="ALX1191" s="0"/>
      <c r="ALY1191" s="0"/>
      <c r="ALZ1191" s="0"/>
      <c r="AMA1191" s="0"/>
      <c r="AMB1191" s="0"/>
      <c r="AMC1191" s="0"/>
      <c r="AMD1191" s="0"/>
      <c r="AME1191" s="0"/>
      <c r="AMF1191" s="0"/>
      <c r="AMG1191" s="0"/>
      <c r="AMH1191" s="0"/>
      <c r="AMI1191" s="0"/>
      <c r="AMJ1191" s="0"/>
    </row>
    <row r="1192" customFormat="false" ht="13.8" hidden="true" customHeight="false" outlineLevel="0" collapsed="false">
      <c r="A1192" s="117" t="n">
        <v>1000</v>
      </c>
      <c r="B1192" s="117" t="s">
        <v>1962</v>
      </c>
      <c r="C1192" s="117" t="n">
        <v>1600000416</v>
      </c>
      <c r="D1192" s="117" t="s">
        <v>2175</v>
      </c>
      <c r="E1192" s="117" t="s">
        <v>1987</v>
      </c>
      <c r="F1192" s="117" t="n">
        <v>1109</v>
      </c>
      <c r="G1192" s="117" t="n">
        <v>2019</v>
      </c>
      <c r="H1192" s="117" t="n">
        <v>10</v>
      </c>
      <c r="I1192" s="118" t="n">
        <v>43859</v>
      </c>
      <c r="J1192" s="118" t="n">
        <v>43859</v>
      </c>
      <c r="K1192" s="119" t="n">
        <v>2120</v>
      </c>
      <c r="L1192" s="128" t="n">
        <f aca="false">K1192-Q1192+T1192</f>
        <v>2120</v>
      </c>
      <c r="M1192" s="117" t="s">
        <v>149</v>
      </c>
      <c r="N1192" s="117" t="n">
        <v>2120</v>
      </c>
      <c r="O1192" s="117" t="s">
        <v>149</v>
      </c>
      <c r="P1192" s="117" t="n">
        <v>2120</v>
      </c>
      <c r="Q1192" s="117" t="n">
        <v>0</v>
      </c>
      <c r="R1192" s="117" t="n">
        <v>2120</v>
      </c>
      <c r="S1192" s="117" t="n">
        <v>0</v>
      </c>
      <c r="T1192" s="117" t="n">
        <v>0</v>
      </c>
      <c r="U1192" s="117" t="n">
        <v>312193</v>
      </c>
      <c r="V1192" s="117" t="s">
        <v>1963</v>
      </c>
      <c r="X1192" s="117" t="s">
        <v>2611</v>
      </c>
      <c r="Y1192" s="117" t="s">
        <v>2176</v>
      </c>
      <c r="Z1192" s="117" t="n">
        <v>1600000416</v>
      </c>
      <c r="AD1192" s="117" t="n">
        <v>111105</v>
      </c>
      <c r="AE1192" s="117" t="s">
        <v>1994</v>
      </c>
      <c r="AF1192" s="117" t="n">
        <v>312193</v>
      </c>
      <c r="AG1192" s="117" t="s">
        <v>1963</v>
      </c>
      <c r="AI1192" s="117" t="n">
        <v>312193</v>
      </c>
      <c r="AJ1192" s="131" t="s">
        <v>1963</v>
      </c>
      <c r="AK1192" s="117" t="n">
        <v>0</v>
      </c>
      <c r="AL1192" s="117" t="n">
        <v>9</v>
      </c>
      <c r="AM1192" s="117" t="s">
        <v>161</v>
      </c>
      <c r="AN1192" s="117" t="s">
        <v>1995</v>
      </c>
      <c r="AR1192" s="118" t="n">
        <v>43859</v>
      </c>
      <c r="AS1192" s="117" t="n">
        <v>0.281979166666667</v>
      </c>
      <c r="AT1192" s="117" t="n">
        <v>0</v>
      </c>
      <c r="AU1192" s="117" t="n">
        <v>0</v>
      </c>
      <c r="AX1192" s="117" t="n">
        <v>1</v>
      </c>
    </row>
    <row r="1193" customFormat="false" ht="13.8" hidden="true" customHeight="false" outlineLevel="0" collapsed="false">
      <c r="A1193" s="117" t="n">
        <v>1000</v>
      </c>
      <c r="B1193" s="117" t="s">
        <v>1962</v>
      </c>
      <c r="C1193" s="117" t="n">
        <v>100231547</v>
      </c>
      <c r="E1193" s="117" t="s">
        <v>1921</v>
      </c>
      <c r="F1193" s="117" t="n">
        <v>1106</v>
      </c>
      <c r="G1193" s="117" t="n">
        <v>2019</v>
      </c>
      <c r="H1193" s="117" t="n">
        <v>10</v>
      </c>
      <c r="I1193" s="118" t="n">
        <v>43859</v>
      </c>
      <c r="J1193" s="118" t="n">
        <v>43859</v>
      </c>
      <c r="K1193" s="119" t="n">
        <v>91710</v>
      </c>
      <c r="L1193" s="128" t="n">
        <f aca="false">K1193-Q1193+T1193</f>
        <v>91710</v>
      </c>
      <c r="M1193" s="117" t="s">
        <v>149</v>
      </c>
      <c r="N1193" s="117" t="n">
        <v>91710</v>
      </c>
      <c r="O1193" s="117" t="s">
        <v>149</v>
      </c>
      <c r="P1193" s="117" t="n">
        <v>0</v>
      </c>
      <c r="Q1193" s="117" t="n">
        <v>0</v>
      </c>
      <c r="R1193" s="117" t="n">
        <v>91710</v>
      </c>
      <c r="S1193" s="117" t="n">
        <v>0</v>
      </c>
      <c r="T1193" s="117" t="n">
        <v>0</v>
      </c>
      <c r="U1193" s="117" t="n">
        <v>312193</v>
      </c>
      <c r="V1193" s="117" t="s">
        <v>1963</v>
      </c>
      <c r="Z1193" s="117" t="n">
        <v>100231547</v>
      </c>
      <c r="AD1193" s="117" t="n">
        <v>110000</v>
      </c>
      <c r="AE1193" s="117" t="s">
        <v>1966</v>
      </c>
      <c r="AF1193" s="117" t="n">
        <v>110000</v>
      </c>
      <c r="AG1193" s="117" t="s">
        <v>1966</v>
      </c>
      <c r="AI1193" s="117" t="n">
        <v>110000</v>
      </c>
      <c r="AJ1193" s="117" t="s">
        <v>1966</v>
      </c>
      <c r="AK1193" s="117" t="n">
        <v>0</v>
      </c>
      <c r="AL1193" s="117" t="n">
        <v>7</v>
      </c>
      <c r="AM1193" s="117" t="s">
        <v>161</v>
      </c>
      <c r="AP1193" s="117" t="n">
        <v>100231547</v>
      </c>
      <c r="AQ1193" s="118" t="n">
        <v>43859</v>
      </c>
      <c r="AR1193" s="118" t="n">
        <v>43859</v>
      </c>
      <c r="AS1193" s="117" t="n">
        <v>0.26912037037037</v>
      </c>
      <c r="AT1193" s="117" t="n">
        <v>0</v>
      </c>
      <c r="AU1193" s="117" t="n">
        <v>0</v>
      </c>
      <c r="AX1193" s="117" t="n">
        <v>6</v>
      </c>
    </row>
    <row r="1194" customFormat="false" ht="13.8" hidden="true" customHeight="false" outlineLevel="0" collapsed="false">
      <c r="A1194" s="117" t="n">
        <v>1000</v>
      </c>
      <c r="B1194" s="117" t="s">
        <v>1962</v>
      </c>
      <c r="C1194" s="117" t="n">
        <v>100260158</v>
      </c>
      <c r="E1194" s="117" t="s">
        <v>1921</v>
      </c>
      <c r="F1194" s="117" t="n">
        <v>1109</v>
      </c>
      <c r="G1194" s="117" t="n">
        <v>2019</v>
      </c>
      <c r="H1194" s="117" t="n">
        <v>11</v>
      </c>
      <c r="I1194" s="118" t="n">
        <v>43883</v>
      </c>
      <c r="J1194" s="118" t="n">
        <v>43883</v>
      </c>
      <c r="K1194" s="119" t="n">
        <v>394156.7</v>
      </c>
      <c r="L1194" s="128" t="n">
        <f aca="false">K1194-Q1194+T1194</f>
        <v>394156.7</v>
      </c>
      <c r="M1194" s="117" t="s">
        <v>149</v>
      </c>
      <c r="N1194" s="117" t="n">
        <v>394156.7</v>
      </c>
      <c r="O1194" s="117" t="s">
        <v>149</v>
      </c>
      <c r="P1194" s="117" t="n">
        <v>0</v>
      </c>
      <c r="Q1194" s="117" t="n">
        <v>0</v>
      </c>
      <c r="R1194" s="117" t="n">
        <v>394156.7</v>
      </c>
      <c r="S1194" s="117" t="n">
        <v>0</v>
      </c>
      <c r="T1194" s="117" t="n">
        <v>0</v>
      </c>
      <c r="U1194" s="117" t="n">
        <v>304431</v>
      </c>
      <c r="V1194" s="117" t="s">
        <v>2016</v>
      </c>
      <c r="X1194" s="117" t="s">
        <v>1174</v>
      </c>
      <c r="Z1194" s="117" t="n">
        <v>2447</v>
      </c>
      <c r="AB1194" s="117" t="s">
        <v>2052</v>
      </c>
      <c r="AD1194" s="117" t="n">
        <v>110000</v>
      </c>
      <c r="AE1194" s="117" t="s">
        <v>1966</v>
      </c>
      <c r="AF1194" s="117" t="n">
        <v>110000</v>
      </c>
      <c r="AG1194" s="117" t="s">
        <v>1966</v>
      </c>
      <c r="AI1194" s="117" t="n">
        <v>110000</v>
      </c>
      <c r="AJ1194" s="117" t="s">
        <v>1966</v>
      </c>
      <c r="AK1194" s="117" t="n">
        <v>0</v>
      </c>
      <c r="AL1194" s="117" t="n">
        <v>4</v>
      </c>
      <c r="AM1194" s="117" t="s">
        <v>161</v>
      </c>
      <c r="AR1194" s="118" t="n">
        <v>43883</v>
      </c>
      <c r="AS1194" s="117" t="n">
        <v>0.334178240740741</v>
      </c>
      <c r="AT1194" s="117" t="n">
        <v>0</v>
      </c>
      <c r="AU1194" s="117" t="n">
        <v>0</v>
      </c>
      <c r="AX1194" s="117" t="n">
        <v>1</v>
      </c>
    </row>
    <row r="1195" customFormat="false" ht="13.8" hidden="true" customHeight="false" outlineLevel="0" collapsed="false">
      <c r="A1195" s="117" t="n">
        <v>1000</v>
      </c>
      <c r="B1195" s="117" t="s">
        <v>1962</v>
      </c>
      <c r="C1195" s="117" t="n">
        <v>1400010604</v>
      </c>
      <c r="E1195" s="117" t="s">
        <v>1972</v>
      </c>
      <c r="F1195" s="117" t="n">
        <v>1101</v>
      </c>
      <c r="G1195" s="117" t="n">
        <v>2019</v>
      </c>
      <c r="H1195" s="117" t="n">
        <v>11</v>
      </c>
      <c r="I1195" s="118" t="n">
        <v>43868</v>
      </c>
      <c r="J1195" s="118" t="n">
        <v>43868</v>
      </c>
      <c r="K1195" s="119" t="n">
        <v>-612508.5</v>
      </c>
      <c r="L1195" s="128" t="n">
        <f aca="false">K1195-Q1195+T1195</f>
        <v>-612508.5</v>
      </c>
      <c r="M1195" s="117" t="s">
        <v>149</v>
      </c>
      <c r="N1195" s="117" t="n">
        <v>-612508.5</v>
      </c>
      <c r="O1195" s="117" t="s">
        <v>149</v>
      </c>
      <c r="P1195" s="117" t="n">
        <v>0</v>
      </c>
      <c r="Q1195" s="117" t="n">
        <v>0</v>
      </c>
      <c r="R1195" s="117" t="n">
        <v>-612508.5</v>
      </c>
      <c r="S1195" s="117" t="n">
        <v>0</v>
      </c>
      <c r="T1195" s="117" t="n">
        <v>0</v>
      </c>
      <c r="U1195" s="117" t="n">
        <v>312948</v>
      </c>
      <c r="V1195" s="117" t="s">
        <v>1984</v>
      </c>
      <c r="X1195" s="117" t="s">
        <v>2612</v>
      </c>
      <c r="Y1195" s="117" t="s">
        <v>2613</v>
      </c>
      <c r="Z1195" s="117" t="n">
        <v>1400010604</v>
      </c>
      <c r="AC1195" s="117" t="s">
        <v>1976</v>
      </c>
      <c r="AD1195" s="117" t="n">
        <v>310300</v>
      </c>
      <c r="AE1195" s="117" t="s">
        <v>1969</v>
      </c>
      <c r="AF1195" s="117" t="n">
        <v>101105</v>
      </c>
      <c r="AG1195" s="117" t="s">
        <v>1977</v>
      </c>
      <c r="AI1195" s="117" t="n">
        <v>101105</v>
      </c>
      <c r="AJ1195" s="117" t="s">
        <v>1977</v>
      </c>
      <c r="AK1195" s="117" t="n">
        <v>0</v>
      </c>
      <c r="AL1195" s="117" t="n">
        <v>19</v>
      </c>
      <c r="AM1195" s="117" t="s">
        <v>225</v>
      </c>
      <c r="AN1195" s="117" t="s">
        <v>1978</v>
      </c>
      <c r="AP1195" s="117" t="n">
        <v>100260197</v>
      </c>
      <c r="AQ1195" s="118" t="n">
        <v>43883</v>
      </c>
      <c r="AR1195" s="118" t="n">
        <v>43871</v>
      </c>
      <c r="AS1195" s="117" t="n">
        <v>0.522511574074074</v>
      </c>
      <c r="AT1195" s="117" t="n">
        <v>0</v>
      </c>
      <c r="AU1195" s="117" t="n">
        <v>0</v>
      </c>
      <c r="AX1195" s="117" t="n">
        <v>2</v>
      </c>
    </row>
    <row r="1196" s="106" customFormat="true" ht="13.8" hidden="true" customHeight="false" outlineLevel="0" collapsed="false">
      <c r="A1196" s="106" t="n">
        <v>1000</v>
      </c>
      <c r="B1196" s="106" t="s">
        <v>1962</v>
      </c>
      <c r="C1196" s="106" t="n">
        <v>105345</v>
      </c>
      <c r="D1196" s="106" t="s">
        <v>2038</v>
      </c>
      <c r="E1196" s="106" t="s">
        <v>1970</v>
      </c>
      <c r="F1196" s="106" t="n">
        <v>1109</v>
      </c>
      <c r="G1196" s="106" t="n">
        <v>2019</v>
      </c>
      <c r="H1196" s="106" t="n">
        <v>4</v>
      </c>
      <c r="I1196" s="129" t="n">
        <v>43677</v>
      </c>
      <c r="J1196" s="129" t="n">
        <v>43677</v>
      </c>
      <c r="K1196" s="107" t="n">
        <v>344383</v>
      </c>
      <c r="L1196" s="130" t="n">
        <f aca="false">K1196-Q1196+T1196</f>
        <v>291850</v>
      </c>
      <c r="M1196" s="106" t="s">
        <v>149</v>
      </c>
      <c r="N1196" s="106" t="n">
        <v>344383</v>
      </c>
      <c r="O1196" s="106" t="s">
        <v>149</v>
      </c>
      <c r="P1196" s="106" t="n">
        <v>0</v>
      </c>
      <c r="Q1196" s="107" t="n">
        <v>52533</v>
      </c>
      <c r="R1196" s="106" t="n">
        <v>291850</v>
      </c>
      <c r="S1196" s="106" t="n">
        <v>0</v>
      </c>
      <c r="T1196" s="106" t="n">
        <v>0</v>
      </c>
      <c r="U1196" s="106" t="n">
        <v>312193</v>
      </c>
      <c r="V1196" s="106" t="s">
        <v>1963</v>
      </c>
      <c r="Z1196" s="106" t="n">
        <v>2316</v>
      </c>
      <c r="AB1196" s="106" t="s">
        <v>1965</v>
      </c>
      <c r="AD1196" s="106" t="n">
        <v>110000</v>
      </c>
      <c r="AE1196" s="106" t="s">
        <v>1966</v>
      </c>
      <c r="AF1196" s="106" t="n">
        <v>501020</v>
      </c>
      <c r="AG1196" s="106" t="s">
        <v>1971</v>
      </c>
      <c r="AI1196" s="106" t="n">
        <v>501020</v>
      </c>
      <c r="AJ1196" s="106" t="s">
        <v>1971</v>
      </c>
      <c r="AK1196" s="106" t="n">
        <v>0</v>
      </c>
      <c r="AL1196" s="106" t="n">
        <v>1</v>
      </c>
      <c r="AM1196" s="106" t="s">
        <v>161</v>
      </c>
      <c r="AP1196" s="106" t="n">
        <v>100058209</v>
      </c>
      <c r="AQ1196" s="129" t="n">
        <v>43677</v>
      </c>
      <c r="AR1196" s="129" t="n">
        <v>43677</v>
      </c>
      <c r="AS1196" s="106" t="n">
        <v>0.744155092592593</v>
      </c>
      <c r="AT1196" s="106" t="n">
        <v>0</v>
      </c>
      <c r="AU1196" s="106" t="n">
        <v>0</v>
      </c>
      <c r="AX1196" s="106" t="n">
        <v>1</v>
      </c>
      <c r="ALU1196" s="0"/>
      <c r="ALV1196" s="0"/>
      <c r="ALW1196" s="0"/>
      <c r="ALX1196" s="0"/>
      <c r="ALY1196" s="0"/>
      <c r="ALZ1196" s="0"/>
      <c r="AMA1196" s="0"/>
      <c r="AMB1196" s="0"/>
      <c r="AMC1196" s="0"/>
      <c r="AMD1196" s="0"/>
      <c r="AME1196" s="0"/>
      <c r="AMF1196" s="0"/>
      <c r="AMG1196" s="0"/>
      <c r="AMH1196" s="0"/>
      <c r="AMI1196" s="0"/>
      <c r="AMJ1196" s="0"/>
    </row>
    <row r="1197" customFormat="false" ht="13.8" hidden="true" customHeight="false" outlineLevel="0" collapsed="false">
      <c r="A1197" s="117" t="n">
        <v>1000</v>
      </c>
      <c r="B1197" s="117" t="s">
        <v>1962</v>
      </c>
      <c r="C1197" s="117" t="n">
        <v>100231548</v>
      </c>
      <c r="E1197" s="117" t="s">
        <v>1921</v>
      </c>
      <c r="F1197" s="117" t="n">
        <v>1106</v>
      </c>
      <c r="G1197" s="117" t="n">
        <v>2019</v>
      </c>
      <c r="H1197" s="117" t="n">
        <v>10</v>
      </c>
      <c r="I1197" s="118" t="n">
        <v>43859</v>
      </c>
      <c r="J1197" s="118" t="n">
        <v>43859</v>
      </c>
      <c r="K1197" s="119" t="n">
        <v>94059.56</v>
      </c>
      <c r="L1197" s="128" t="n">
        <f aca="false">K1197-Q1197+T1197</f>
        <v>94059.56</v>
      </c>
      <c r="M1197" s="117" t="s">
        <v>149</v>
      </c>
      <c r="N1197" s="117" t="n">
        <v>94059.56</v>
      </c>
      <c r="O1197" s="117" t="s">
        <v>149</v>
      </c>
      <c r="P1197" s="117" t="n">
        <v>0</v>
      </c>
      <c r="Q1197" s="117" t="n">
        <v>0</v>
      </c>
      <c r="R1197" s="117" t="n">
        <v>94059.56</v>
      </c>
      <c r="S1197" s="117" t="n">
        <v>0</v>
      </c>
      <c r="T1197" s="117" t="n">
        <v>0</v>
      </c>
      <c r="U1197" s="117" t="n">
        <v>312193</v>
      </c>
      <c r="V1197" s="117" t="s">
        <v>1963</v>
      </c>
      <c r="Z1197" s="117" t="n">
        <v>100231548</v>
      </c>
      <c r="AD1197" s="117" t="n">
        <v>310300</v>
      </c>
      <c r="AE1197" s="117" t="s">
        <v>1969</v>
      </c>
      <c r="AF1197" s="117" t="n">
        <v>110000</v>
      </c>
      <c r="AG1197" s="117" t="s">
        <v>1966</v>
      </c>
      <c r="AI1197" s="117" t="n">
        <v>110000</v>
      </c>
      <c r="AJ1197" s="117" t="s">
        <v>1966</v>
      </c>
      <c r="AK1197" s="117" t="n">
        <v>0</v>
      </c>
      <c r="AL1197" s="117" t="n">
        <v>9</v>
      </c>
      <c r="AM1197" s="117" t="s">
        <v>161</v>
      </c>
      <c r="AN1197" s="117" t="s">
        <v>1978</v>
      </c>
      <c r="AP1197" s="117" t="n">
        <v>100231548</v>
      </c>
      <c r="AQ1197" s="118" t="n">
        <v>43859</v>
      </c>
      <c r="AR1197" s="118" t="n">
        <v>43859</v>
      </c>
      <c r="AS1197" s="117" t="n">
        <v>0.274976851851852</v>
      </c>
      <c r="AT1197" s="117" t="n">
        <v>0</v>
      </c>
      <c r="AU1197" s="117" t="n">
        <v>0</v>
      </c>
      <c r="AX1197" s="117" t="n">
        <v>4</v>
      </c>
    </row>
    <row r="1198" customFormat="false" ht="13.8" hidden="true" customHeight="false" outlineLevel="0" collapsed="false">
      <c r="A1198" s="117" t="n">
        <v>1000</v>
      </c>
      <c r="B1198" s="117" t="s">
        <v>1962</v>
      </c>
      <c r="C1198" s="117" t="n">
        <v>100242954</v>
      </c>
      <c r="E1198" s="117" t="s">
        <v>1921</v>
      </c>
      <c r="F1198" s="117" t="n">
        <v>1101</v>
      </c>
      <c r="G1198" s="117" t="n">
        <v>2019</v>
      </c>
      <c r="H1198" s="117" t="n">
        <v>10</v>
      </c>
      <c r="I1198" s="118" t="n">
        <v>43861</v>
      </c>
      <c r="J1198" s="118" t="n">
        <v>43861</v>
      </c>
      <c r="K1198" s="119" t="n">
        <v>19306.46</v>
      </c>
      <c r="L1198" s="128" t="n">
        <f aca="false">K1198-Q1198+T1198</f>
        <v>19306.46</v>
      </c>
      <c r="M1198" s="117" t="s">
        <v>149</v>
      </c>
      <c r="N1198" s="117" t="n">
        <v>19306.46</v>
      </c>
      <c r="O1198" s="117" t="s">
        <v>149</v>
      </c>
      <c r="P1198" s="117" t="n">
        <v>0</v>
      </c>
      <c r="Q1198" s="117" t="n">
        <v>0</v>
      </c>
      <c r="R1198" s="117" t="n">
        <v>19306.46</v>
      </c>
      <c r="S1198" s="117" t="n">
        <v>0</v>
      </c>
      <c r="T1198" s="117" t="n">
        <v>0</v>
      </c>
      <c r="U1198" s="117" t="n">
        <v>318169</v>
      </c>
      <c r="V1198" s="117" t="s">
        <v>2158</v>
      </c>
      <c r="Z1198" s="117" t="n">
        <v>100242954</v>
      </c>
      <c r="AD1198" s="117" t="n">
        <v>310300</v>
      </c>
      <c r="AE1198" s="117" t="s">
        <v>1969</v>
      </c>
      <c r="AF1198" s="117" t="n">
        <v>111105</v>
      </c>
      <c r="AG1198" s="117" t="s">
        <v>1994</v>
      </c>
      <c r="AI1198" s="117" t="n">
        <v>111105</v>
      </c>
      <c r="AJ1198" s="117" t="s">
        <v>1994</v>
      </c>
      <c r="AK1198" s="117" t="n">
        <v>0</v>
      </c>
      <c r="AL1198" s="117" t="n">
        <v>9</v>
      </c>
      <c r="AM1198" s="117" t="s">
        <v>161</v>
      </c>
      <c r="AN1198" s="117" t="s">
        <v>1978</v>
      </c>
      <c r="AP1198" s="117" t="n">
        <v>100242954</v>
      </c>
      <c r="AQ1198" s="118" t="n">
        <v>43861</v>
      </c>
      <c r="AR1198" s="118" t="n">
        <v>43864</v>
      </c>
      <c r="AS1198" s="117" t="n">
        <v>0.486446759259259</v>
      </c>
      <c r="AT1198" s="117" t="n">
        <v>0</v>
      </c>
      <c r="AU1198" s="117" t="n">
        <v>0</v>
      </c>
      <c r="AX1198" s="117" t="n">
        <v>3</v>
      </c>
    </row>
    <row r="1199" s="106" customFormat="true" ht="13.8" hidden="true" customHeight="false" outlineLevel="0" collapsed="false">
      <c r="A1199" s="106" t="n">
        <v>1000</v>
      </c>
      <c r="B1199" s="106" t="s">
        <v>1962</v>
      </c>
      <c r="C1199" s="106" t="n">
        <v>105355</v>
      </c>
      <c r="D1199" s="106" t="s">
        <v>2017</v>
      </c>
      <c r="E1199" s="106" t="s">
        <v>1970</v>
      </c>
      <c r="F1199" s="106" t="n">
        <v>1109</v>
      </c>
      <c r="G1199" s="106" t="n">
        <v>2019</v>
      </c>
      <c r="H1199" s="106" t="n">
        <v>4</v>
      </c>
      <c r="I1199" s="129" t="n">
        <v>43677</v>
      </c>
      <c r="J1199" s="129" t="n">
        <v>43677</v>
      </c>
      <c r="K1199" s="107" t="n">
        <v>388161</v>
      </c>
      <c r="L1199" s="130" t="n">
        <f aca="false">K1199-Q1199+T1199</f>
        <v>328950</v>
      </c>
      <c r="M1199" s="106" t="s">
        <v>149</v>
      </c>
      <c r="N1199" s="106" t="n">
        <v>388161</v>
      </c>
      <c r="O1199" s="106" t="s">
        <v>149</v>
      </c>
      <c r="P1199" s="106" t="n">
        <v>0</v>
      </c>
      <c r="Q1199" s="107" t="n">
        <v>59211</v>
      </c>
      <c r="R1199" s="106" t="n">
        <v>328950</v>
      </c>
      <c r="S1199" s="106" t="n">
        <v>0</v>
      </c>
      <c r="T1199" s="106" t="n">
        <v>0</v>
      </c>
      <c r="U1199" s="106" t="n">
        <v>312193</v>
      </c>
      <c r="V1199" s="106" t="s">
        <v>1963</v>
      </c>
      <c r="Z1199" s="106" t="n">
        <v>2316</v>
      </c>
      <c r="AB1199" s="106" t="s">
        <v>1965</v>
      </c>
      <c r="AD1199" s="106" t="n">
        <v>110000</v>
      </c>
      <c r="AE1199" s="106" t="s">
        <v>1966</v>
      </c>
      <c r="AF1199" s="106" t="n">
        <v>501020</v>
      </c>
      <c r="AG1199" s="106" t="s">
        <v>1971</v>
      </c>
      <c r="AI1199" s="106" t="n">
        <v>501020</v>
      </c>
      <c r="AJ1199" s="106" t="s">
        <v>1971</v>
      </c>
      <c r="AK1199" s="106" t="n">
        <v>0</v>
      </c>
      <c r="AL1199" s="106" t="n">
        <v>1</v>
      </c>
      <c r="AM1199" s="106" t="s">
        <v>161</v>
      </c>
      <c r="AP1199" s="106" t="n">
        <v>100058209</v>
      </c>
      <c r="AQ1199" s="129" t="n">
        <v>43677</v>
      </c>
      <c r="AR1199" s="129" t="n">
        <v>43677</v>
      </c>
      <c r="AS1199" s="106" t="n">
        <v>0.765636574074074</v>
      </c>
      <c r="AT1199" s="106" t="n">
        <v>0</v>
      </c>
      <c r="AU1199" s="106" t="n">
        <v>0</v>
      </c>
      <c r="AX1199" s="106" t="n">
        <v>1</v>
      </c>
      <c r="ALU1199" s="0"/>
      <c r="ALV1199" s="0"/>
      <c r="ALW1199" s="0"/>
      <c r="ALX1199" s="0"/>
      <c r="ALY1199" s="0"/>
      <c r="ALZ1199" s="0"/>
      <c r="AMA1199" s="0"/>
      <c r="AMB1199" s="0"/>
      <c r="AMC1199" s="0"/>
      <c r="AMD1199" s="0"/>
      <c r="AME1199" s="0"/>
      <c r="AMF1199" s="0"/>
      <c r="AMG1199" s="0"/>
      <c r="AMH1199" s="0"/>
      <c r="AMI1199" s="0"/>
      <c r="AMJ1199" s="0"/>
    </row>
    <row r="1200" customFormat="false" ht="13.8" hidden="true" customHeight="false" outlineLevel="0" collapsed="false">
      <c r="A1200" s="117" t="n">
        <v>1000</v>
      </c>
      <c r="B1200" s="117" t="s">
        <v>1962</v>
      </c>
      <c r="C1200" s="117" t="n">
        <v>1400009738</v>
      </c>
      <c r="E1200" s="117" t="s">
        <v>1972</v>
      </c>
      <c r="F1200" s="117" t="n">
        <v>1106</v>
      </c>
      <c r="G1200" s="117" t="n">
        <v>2019</v>
      </c>
      <c r="H1200" s="117" t="n">
        <v>10</v>
      </c>
      <c r="I1200" s="118" t="n">
        <v>43847</v>
      </c>
      <c r="J1200" s="118" t="n">
        <v>43847</v>
      </c>
      <c r="K1200" s="119" t="n">
        <v>-1765280</v>
      </c>
      <c r="L1200" s="128" t="n">
        <f aca="false">K1200-Q1200+T1200</f>
        <v>-1765280</v>
      </c>
      <c r="M1200" s="117" t="s">
        <v>149</v>
      </c>
      <c r="N1200" s="117" t="n">
        <v>-1765280</v>
      </c>
      <c r="O1200" s="117" t="s">
        <v>149</v>
      </c>
      <c r="P1200" s="117" t="n">
        <v>0</v>
      </c>
      <c r="Q1200" s="117" t="n">
        <v>0</v>
      </c>
      <c r="R1200" s="117" t="n">
        <v>-1765280</v>
      </c>
      <c r="S1200" s="117" t="n">
        <v>0</v>
      </c>
      <c r="T1200" s="117" t="n">
        <v>0</v>
      </c>
      <c r="U1200" s="117" t="n">
        <v>311155</v>
      </c>
      <c r="V1200" s="117" t="s">
        <v>2022</v>
      </c>
      <c r="X1200" s="117" t="s">
        <v>2614</v>
      </c>
      <c r="Y1200" s="117" t="s">
        <v>2615</v>
      </c>
      <c r="Z1200" s="117" t="n">
        <v>1400009738</v>
      </c>
      <c r="AC1200" s="117" t="s">
        <v>1976</v>
      </c>
      <c r="AD1200" s="117" t="n">
        <v>310300</v>
      </c>
      <c r="AE1200" s="117" t="s">
        <v>1969</v>
      </c>
      <c r="AF1200" s="117" t="n">
        <v>101105</v>
      </c>
      <c r="AG1200" s="117" t="s">
        <v>1977</v>
      </c>
      <c r="AI1200" s="117" t="n">
        <v>101105</v>
      </c>
      <c r="AJ1200" s="117" t="s">
        <v>1977</v>
      </c>
      <c r="AK1200" s="117" t="n">
        <v>0</v>
      </c>
      <c r="AL1200" s="117" t="n">
        <v>19</v>
      </c>
      <c r="AM1200" s="117" t="s">
        <v>225</v>
      </c>
      <c r="AN1200" s="117" t="s">
        <v>1978</v>
      </c>
      <c r="AP1200" s="117" t="n">
        <v>100229130</v>
      </c>
      <c r="AQ1200" s="118" t="n">
        <v>43856</v>
      </c>
      <c r="AR1200" s="118" t="n">
        <v>43850</v>
      </c>
      <c r="AS1200" s="117" t="n">
        <v>0.675416666666667</v>
      </c>
      <c r="AT1200" s="117" t="n">
        <v>0</v>
      </c>
      <c r="AU1200" s="117" t="n">
        <v>0</v>
      </c>
      <c r="AX1200" s="117" t="n">
        <v>2</v>
      </c>
    </row>
    <row r="1201" customFormat="false" ht="13.8" hidden="true" customHeight="false" outlineLevel="0" collapsed="false">
      <c r="A1201" s="117" t="n">
        <v>1000</v>
      </c>
      <c r="B1201" s="117" t="s">
        <v>1962</v>
      </c>
      <c r="C1201" s="117" t="n">
        <v>1400009376</v>
      </c>
      <c r="D1201" s="117" t="s">
        <v>2603</v>
      </c>
      <c r="E1201" s="117" t="s">
        <v>1972</v>
      </c>
      <c r="F1201" s="117" t="n">
        <v>1106</v>
      </c>
      <c r="G1201" s="117" t="n">
        <v>2019</v>
      </c>
      <c r="H1201" s="117" t="n">
        <v>10</v>
      </c>
      <c r="I1201" s="118" t="n">
        <v>43831</v>
      </c>
      <c r="J1201" s="118" t="n">
        <v>43831</v>
      </c>
      <c r="K1201" s="119" t="n">
        <v>-1703903.64</v>
      </c>
      <c r="L1201" s="128" t="n">
        <f aca="false">K1201-Q1201+T1201</f>
        <v>-1703903.64</v>
      </c>
      <c r="M1201" s="117" t="s">
        <v>149</v>
      </c>
      <c r="N1201" s="117" t="n">
        <v>-1703903.64</v>
      </c>
      <c r="O1201" s="117" t="s">
        <v>149</v>
      </c>
      <c r="P1201" s="117" t="n">
        <v>-1703903.64</v>
      </c>
      <c r="Q1201" s="117" t="n">
        <v>0</v>
      </c>
      <c r="R1201" s="117" t="n">
        <v>-1703903.64</v>
      </c>
      <c r="S1201" s="117" t="n">
        <v>0</v>
      </c>
      <c r="T1201" s="117" t="n">
        <v>0</v>
      </c>
      <c r="U1201" s="117" t="n">
        <v>315113</v>
      </c>
      <c r="V1201" s="117" t="s">
        <v>143</v>
      </c>
      <c r="X1201" s="117" t="s">
        <v>2604</v>
      </c>
      <c r="Y1201" s="117" t="s">
        <v>2605</v>
      </c>
      <c r="Z1201" s="117" t="n">
        <v>1400009376</v>
      </c>
      <c r="AC1201" s="117" t="s">
        <v>1976</v>
      </c>
      <c r="AD1201" s="117" t="n">
        <v>310300</v>
      </c>
      <c r="AE1201" s="117" t="s">
        <v>1969</v>
      </c>
      <c r="AF1201" s="117" t="n">
        <v>101105</v>
      </c>
      <c r="AG1201" s="117" t="s">
        <v>1977</v>
      </c>
      <c r="AI1201" s="117" t="n">
        <v>101105</v>
      </c>
      <c r="AJ1201" s="117" t="s">
        <v>1977</v>
      </c>
      <c r="AK1201" s="117" t="n">
        <v>0</v>
      </c>
      <c r="AL1201" s="117" t="n">
        <v>19</v>
      </c>
      <c r="AM1201" s="117" t="s">
        <v>225</v>
      </c>
      <c r="AN1201" s="117" t="s">
        <v>1978</v>
      </c>
      <c r="AP1201" s="117" t="n">
        <v>100229537</v>
      </c>
      <c r="AQ1201" s="118" t="n">
        <v>43857</v>
      </c>
      <c r="AR1201" s="118" t="n">
        <v>43837</v>
      </c>
      <c r="AS1201" s="117" t="n">
        <v>0.475243055555556</v>
      </c>
      <c r="AT1201" s="117" t="n">
        <v>0</v>
      </c>
      <c r="AU1201" s="117" t="n">
        <v>0</v>
      </c>
      <c r="AX1201" s="117" t="n">
        <v>2</v>
      </c>
    </row>
    <row r="1202" s="106" customFormat="true" ht="13.8" hidden="true" customHeight="false" outlineLevel="0" collapsed="false">
      <c r="A1202" s="106" t="n">
        <v>1000</v>
      </c>
      <c r="B1202" s="106" t="s">
        <v>1962</v>
      </c>
      <c r="C1202" s="106" t="n">
        <v>111268</v>
      </c>
      <c r="D1202" s="106" t="s">
        <v>1585</v>
      </c>
      <c r="E1202" s="106" t="s">
        <v>1970</v>
      </c>
      <c r="F1202" s="106" t="n">
        <v>1112</v>
      </c>
      <c r="G1202" s="106" t="n">
        <v>2019</v>
      </c>
      <c r="H1202" s="106" t="n">
        <v>10</v>
      </c>
      <c r="I1202" s="129" t="n">
        <v>43840</v>
      </c>
      <c r="J1202" s="129" t="n">
        <v>43840</v>
      </c>
      <c r="K1202" s="107" t="n">
        <v>11504.25</v>
      </c>
      <c r="L1202" s="130" t="n">
        <f aca="false">K1202-Q1202+T1202</f>
        <v>9749.37</v>
      </c>
      <c r="M1202" s="106" t="s">
        <v>149</v>
      </c>
      <c r="N1202" s="106" t="n">
        <v>11504.25</v>
      </c>
      <c r="O1202" s="106" t="s">
        <v>149</v>
      </c>
      <c r="P1202" s="106" t="n">
        <v>0</v>
      </c>
      <c r="Q1202" s="107" t="n">
        <v>1754.88</v>
      </c>
      <c r="R1202" s="106" t="n">
        <v>9749.37</v>
      </c>
      <c r="S1202" s="106" t="n">
        <v>0</v>
      </c>
      <c r="T1202" s="106" t="n">
        <v>0</v>
      </c>
      <c r="U1202" s="106" t="n">
        <v>312193</v>
      </c>
      <c r="V1202" s="106" t="s">
        <v>1963</v>
      </c>
      <c r="Z1202" s="106" t="n">
        <v>62391</v>
      </c>
      <c r="AB1202" s="106" t="s">
        <v>2362</v>
      </c>
      <c r="AD1202" s="106" t="n">
        <v>110000</v>
      </c>
      <c r="AE1202" s="106" t="s">
        <v>1966</v>
      </c>
      <c r="AF1202" s="106" t="n">
        <v>501005</v>
      </c>
      <c r="AG1202" s="106" t="s">
        <v>2033</v>
      </c>
      <c r="AI1202" s="106" t="n">
        <v>501005</v>
      </c>
      <c r="AJ1202" s="106" t="s">
        <v>2033</v>
      </c>
      <c r="AK1202" s="106" t="n">
        <v>0</v>
      </c>
      <c r="AL1202" s="106" t="n">
        <v>1</v>
      </c>
      <c r="AM1202" s="106" t="s">
        <v>161</v>
      </c>
      <c r="AP1202" s="106" t="n">
        <v>100231557</v>
      </c>
      <c r="AQ1202" s="129" t="n">
        <v>43859</v>
      </c>
      <c r="AR1202" s="129" t="n">
        <v>43840</v>
      </c>
      <c r="AS1202" s="106" t="n">
        <v>0.421354166666667</v>
      </c>
      <c r="AT1202" s="106" t="n">
        <v>0</v>
      </c>
      <c r="AU1202" s="106" t="n">
        <v>0</v>
      </c>
      <c r="AX1202" s="106" t="n">
        <v>1</v>
      </c>
      <c r="ALU1202" s="0"/>
      <c r="ALV1202" s="0"/>
      <c r="ALW1202" s="0"/>
      <c r="ALX1202" s="0"/>
      <c r="ALY1202" s="0"/>
      <c r="ALZ1202" s="0"/>
      <c r="AMA1202" s="0"/>
      <c r="AMB1202" s="0"/>
      <c r="AMC1202" s="0"/>
      <c r="AMD1202" s="0"/>
      <c r="AME1202" s="0"/>
      <c r="AMF1202" s="0"/>
      <c r="AMG1202" s="0"/>
      <c r="AMH1202" s="0"/>
      <c r="AMI1202" s="0"/>
      <c r="AMJ1202" s="0"/>
    </row>
    <row r="1203" customFormat="false" ht="13.8" hidden="true" customHeight="false" outlineLevel="0" collapsed="false">
      <c r="A1203" s="117" t="n">
        <v>1000</v>
      </c>
      <c r="B1203" s="117" t="s">
        <v>1962</v>
      </c>
      <c r="C1203" s="117" t="n">
        <v>100231557</v>
      </c>
      <c r="E1203" s="117" t="s">
        <v>1921</v>
      </c>
      <c r="F1203" s="117" t="n">
        <v>1112</v>
      </c>
      <c r="G1203" s="117" t="n">
        <v>2019</v>
      </c>
      <c r="H1203" s="117" t="n">
        <v>10</v>
      </c>
      <c r="I1203" s="118" t="n">
        <v>43859</v>
      </c>
      <c r="J1203" s="118" t="n">
        <v>43859</v>
      </c>
      <c r="K1203" s="119" t="n">
        <v>367622.63</v>
      </c>
      <c r="L1203" s="128" t="n">
        <f aca="false">K1203-Q1203+T1203</f>
        <v>367622.63</v>
      </c>
      <c r="M1203" s="117" t="s">
        <v>149</v>
      </c>
      <c r="N1203" s="117" t="n">
        <v>367622.63</v>
      </c>
      <c r="O1203" s="117" t="s">
        <v>149</v>
      </c>
      <c r="P1203" s="117" t="n">
        <v>0</v>
      </c>
      <c r="Q1203" s="117" t="n">
        <v>0</v>
      </c>
      <c r="R1203" s="117" t="n">
        <v>367622.63</v>
      </c>
      <c r="S1203" s="117" t="n">
        <v>0</v>
      </c>
      <c r="T1203" s="117" t="n">
        <v>0</v>
      </c>
      <c r="U1203" s="117" t="n">
        <v>312193</v>
      </c>
      <c r="V1203" s="117" t="s">
        <v>1963</v>
      </c>
      <c r="X1203" s="117" t="s">
        <v>2600</v>
      </c>
      <c r="Z1203" s="117" t="n">
        <v>62397</v>
      </c>
      <c r="AB1203" s="117" t="s">
        <v>2350</v>
      </c>
      <c r="AD1203" s="117" t="n">
        <v>110000</v>
      </c>
      <c r="AE1203" s="117" t="s">
        <v>1966</v>
      </c>
      <c r="AF1203" s="117" t="n">
        <v>110000</v>
      </c>
      <c r="AG1203" s="117" t="s">
        <v>1966</v>
      </c>
      <c r="AI1203" s="117" t="n">
        <v>110000</v>
      </c>
      <c r="AJ1203" s="117" t="s">
        <v>1966</v>
      </c>
      <c r="AK1203" s="117" t="n">
        <v>0</v>
      </c>
      <c r="AL1203" s="117" t="n">
        <v>4</v>
      </c>
      <c r="AM1203" s="117" t="s">
        <v>161</v>
      </c>
      <c r="AR1203" s="118" t="n">
        <v>43859</v>
      </c>
      <c r="AS1203" s="117" t="n">
        <v>0.289224537037037</v>
      </c>
      <c r="AT1203" s="117" t="n">
        <v>0</v>
      </c>
      <c r="AU1203" s="117" t="n">
        <v>0</v>
      </c>
      <c r="AX1203" s="117" t="n">
        <v>12</v>
      </c>
    </row>
    <row r="1204" customFormat="false" ht="13.8" hidden="true" customHeight="false" outlineLevel="0" collapsed="false">
      <c r="A1204" s="117" t="n">
        <v>1000</v>
      </c>
      <c r="B1204" s="117" t="s">
        <v>1962</v>
      </c>
      <c r="C1204" s="117" t="n">
        <v>100231549</v>
      </c>
      <c r="E1204" s="117" t="s">
        <v>1921</v>
      </c>
      <c r="F1204" s="117" t="n">
        <v>1108</v>
      </c>
      <c r="G1204" s="117" t="n">
        <v>2019</v>
      </c>
      <c r="H1204" s="117" t="n">
        <v>10</v>
      </c>
      <c r="I1204" s="118" t="n">
        <v>43859</v>
      </c>
      <c r="J1204" s="118" t="n">
        <v>43859</v>
      </c>
      <c r="K1204" s="119" t="n">
        <v>-174427.12</v>
      </c>
      <c r="L1204" s="128" t="n">
        <f aca="false">K1204-Q1204+T1204</f>
        <v>-174427.12</v>
      </c>
      <c r="M1204" s="117" t="s">
        <v>149</v>
      </c>
      <c r="N1204" s="117" t="n">
        <v>-174427.12</v>
      </c>
      <c r="O1204" s="117" t="s">
        <v>149</v>
      </c>
      <c r="P1204" s="117" t="n">
        <v>0</v>
      </c>
      <c r="Q1204" s="117" t="n">
        <v>0</v>
      </c>
      <c r="R1204" s="117" t="n">
        <v>-174427.12</v>
      </c>
      <c r="S1204" s="117" t="n">
        <v>0</v>
      </c>
      <c r="T1204" s="117" t="n">
        <v>0</v>
      </c>
      <c r="U1204" s="117" t="n">
        <v>312193</v>
      </c>
      <c r="V1204" s="117" t="s">
        <v>1963</v>
      </c>
      <c r="Z1204" s="117" t="n">
        <v>100231549</v>
      </c>
      <c r="AD1204" s="117" t="n">
        <v>110000</v>
      </c>
      <c r="AE1204" s="117" t="s">
        <v>1966</v>
      </c>
      <c r="AF1204" s="117" t="n">
        <v>110000</v>
      </c>
      <c r="AG1204" s="117" t="s">
        <v>1966</v>
      </c>
      <c r="AI1204" s="117" t="n">
        <v>110000</v>
      </c>
      <c r="AJ1204" s="117" t="s">
        <v>1966</v>
      </c>
      <c r="AK1204" s="117" t="n">
        <v>0</v>
      </c>
      <c r="AL1204" s="117" t="n">
        <v>17</v>
      </c>
      <c r="AM1204" s="117" t="s">
        <v>225</v>
      </c>
      <c r="AP1204" s="117" t="n">
        <v>100231549</v>
      </c>
      <c r="AQ1204" s="118" t="n">
        <v>43859</v>
      </c>
      <c r="AR1204" s="118" t="n">
        <v>43859</v>
      </c>
      <c r="AS1204" s="117" t="n">
        <v>0.27931712962963</v>
      </c>
      <c r="AT1204" s="117" t="n">
        <v>0</v>
      </c>
      <c r="AU1204" s="117" t="n">
        <v>0</v>
      </c>
      <c r="AX1204" s="117" t="n">
        <v>2</v>
      </c>
    </row>
    <row r="1205" customFormat="false" ht="13.8" hidden="true" customHeight="false" outlineLevel="0" collapsed="false">
      <c r="A1205" s="117" t="n">
        <v>1000</v>
      </c>
      <c r="B1205" s="117" t="s">
        <v>1962</v>
      </c>
      <c r="C1205" s="117" t="n">
        <v>100231557</v>
      </c>
      <c r="E1205" s="117" t="s">
        <v>1921</v>
      </c>
      <c r="F1205" s="117" t="n">
        <v>1112</v>
      </c>
      <c r="G1205" s="117" t="n">
        <v>2019</v>
      </c>
      <c r="H1205" s="117" t="n">
        <v>10</v>
      </c>
      <c r="I1205" s="118" t="n">
        <v>43859</v>
      </c>
      <c r="J1205" s="118" t="n">
        <v>43859</v>
      </c>
      <c r="K1205" s="119" t="n">
        <v>220950.37</v>
      </c>
      <c r="L1205" s="128" t="n">
        <f aca="false">K1205-Q1205+T1205</f>
        <v>220950.37</v>
      </c>
      <c r="M1205" s="117" t="s">
        <v>149</v>
      </c>
      <c r="N1205" s="117" t="n">
        <v>220950.37</v>
      </c>
      <c r="O1205" s="117" t="s">
        <v>149</v>
      </c>
      <c r="P1205" s="117" t="n">
        <v>0</v>
      </c>
      <c r="Q1205" s="117" t="n">
        <v>0</v>
      </c>
      <c r="R1205" s="117" t="n">
        <v>220950.37</v>
      </c>
      <c r="S1205" s="117" t="n">
        <v>0</v>
      </c>
      <c r="T1205" s="117" t="n">
        <v>0</v>
      </c>
      <c r="U1205" s="117" t="n">
        <v>312193</v>
      </c>
      <c r="V1205" s="117" t="s">
        <v>1963</v>
      </c>
      <c r="X1205" s="117" t="s">
        <v>1588</v>
      </c>
      <c r="Z1205" s="117" t="n">
        <v>62198</v>
      </c>
      <c r="AB1205" s="117" t="s">
        <v>2362</v>
      </c>
      <c r="AD1205" s="117" t="n">
        <v>110000</v>
      </c>
      <c r="AE1205" s="117" t="s">
        <v>1966</v>
      </c>
      <c r="AF1205" s="117" t="n">
        <v>110000</v>
      </c>
      <c r="AG1205" s="117" t="s">
        <v>1966</v>
      </c>
      <c r="AI1205" s="117" t="n">
        <v>110000</v>
      </c>
      <c r="AJ1205" s="117" t="s">
        <v>1966</v>
      </c>
      <c r="AK1205" s="117" t="n">
        <v>0</v>
      </c>
      <c r="AL1205" s="117" t="n">
        <v>4</v>
      </c>
      <c r="AM1205" s="117" t="s">
        <v>161</v>
      </c>
      <c r="AR1205" s="118" t="n">
        <v>43859</v>
      </c>
      <c r="AS1205" s="117" t="n">
        <v>0.289224537037037</v>
      </c>
      <c r="AT1205" s="117" t="n">
        <v>0</v>
      </c>
      <c r="AU1205" s="117" t="n">
        <v>0</v>
      </c>
      <c r="AX1205" s="117" t="n">
        <v>3</v>
      </c>
    </row>
    <row r="1206" customFormat="false" ht="13.8" hidden="true" customHeight="false" outlineLevel="0" collapsed="false">
      <c r="A1206" s="117" t="n">
        <v>1000</v>
      </c>
      <c r="B1206" s="117" t="s">
        <v>1962</v>
      </c>
      <c r="C1206" s="117" t="n">
        <v>100229130</v>
      </c>
      <c r="E1206" s="117" t="s">
        <v>1921</v>
      </c>
      <c r="F1206" s="117" t="n">
        <v>1109</v>
      </c>
      <c r="G1206" s="117" t="n">
        <v>2019</v>
      </c>
      <c r="H1206" s="117" t="n">
        <v>10</v>
      </c>
      <c r="I1206" s="118" t="n">
        <v>43856</v>
      </c>
      <c r="J1206" s="118" t="n">
        <v>43856</v>
      </c>
      <c r="K1206" s="119" t="n">
        <v>2925134.33</v>
      </c>
      <c r="L1206" s="128" t="n">
        <f aca="false">K1206-Q1206+T1206</f>
        <v>2925134.33</v>
      </c>
      <c r="M1206" s="117" t="s">
        <v>149</v>
      </c>
      <c r="N1206" s="117" t="n">
        <v>2925134.33</v>
      </c>
      <c r="O1206" s="117" t="s">
        <v>149</v>
      </c>
      <c r="P1206" s="117" t="n">
        <v>0</v>
      </c>
      <c r="Q1206" s="117" t="n">
        <v>0</v>
      </c>
      <c r="R1206" s="117" t="n">
        <v>2925134.33</v>
      </c>
      <c r="S1206" s="117" t="n">
        <v>0</v>
      </c>
      <c r="T1206" s="117" t="n">
        <v>0</v>
      </c>
      <c r="U1206" s="117" t="n">
        <v>311155</v>
      </c>
      <c r="V1206" s="117" t="s">
        <v>2022</v>
      </c>
      <c r="X1206" s="117" t="s">
        <v>1278</v>
      </c>
      <c r="Z1206" s="117" t="n">
        <v>63060</v>
      </c>
      <c r="AB1206" s="117" t="s">
        <v>2431</v>
      </c>
      <c r="AD1206" s="117" t="n">
        <v>110000</v>
      </c>
      <c r="AE1206" s="117" t="s">
        <v>1966</v>
      </c>
      <c r="AF1206" s="117" t="n">
        <v>110000</v>
      </c>
      <c r="AG1206" s="117" t="s">
        <v>1966</v>
      </c>
      <c r="AI1206" s="117" t="n">
        <v>110000</v>
      </c>
      <c r="AJ1206" s="117" t="s">
        <v>1966</v>
      </c>
      <c r="AK1206" s="117" t="n">
        <v>0</v>
      </c>
      <c r="AL1206" s="117" t="n">
        <v>4</v>
      </c>
      <c r="AM1206" s="117" t="s">
        <v>161</v>
      </c>
      <c r="AR1206" s="118" t="n">
        <v>43856</v>
      </c>
      <c r="AS1206" s="117" t="n">
        <v>0.555729166666667</v>
      </c>
      <c r="AT1206" s="117" t="n">
        <v>0</v>
      </c>
      <c r="AU1206" s="117" t="n">
        <v>0</v>
      </c>
      <c r="AX1206" s="117" t="n">
        <v>1</v>
      </c>
    </row>
    <row r="1207" customFormat="false" ht="13.8" hidden="true" customHeight="false" outlineLevel="0" collapsed="false">
      <c r="A1207" s="117" t="n">
        <v>1000</v>
      </c>
      <c r="B1207" s="117" t="s">
        <v>1962</v>
      </c>
      <c r="C1207" s="117" t="n">
        <v>1600000414</v>
      </c>
      <c r="D1207" s="117" t="s">
        <v>2175</v>
      </c>
      <c r="E1207" s="117" t="s">
        <v>1987</v>
      </c>
      <c r="F1207" s="117" t="n">
        <v>1109</v>
      </c>
      <c r="G1207" s="117" t="n">
        <v>2019</v>
      </c>
      <c r="H1207" s="117" t="n">
        <v>10</v>
      </c>
      <c r="I1207" s="118" t="n">
        <v>43859</v>
      </c>
      <c r="J1207" s="118" t="n">
        <v>43859</v>
      </c>
      <c r="K1207" s="119" t="n">
        <v>5036</v>
      </c>
      <c r="L1207" s="128" t="n">
        <f aca="false">K1207-Q1207+T1207</f>
        <v>5036</v>
      </c>
      <c r="M1207" s="117" t="s">
        <v>149</v>
      </c>
      <c r="N1207" s="117" t="n">
        <v>5036</v>
      </c>
      <c r="O1207" s="117" t="s">
        <v>149</v>
      </c>
      <c r="P1207" s="117" t="n">
        <v>5036</v>
      </c>
      <c r="Q1207" s="117" t="n">
        <v>0</v>
      </c>
      <c r="R1207" s="117" t="n">
        <v>5036</v>
      </c>
      <c r="S1207" s="117" t="n">
        <v>0</v>
      </c>
      <c r="T1207" s="117" t="n">
        <v>0</v>
      </c>
      <c r="U1207" s="117" t="n">
        <v>312193</v>
      </c>
      <c r="V1207" s="117" t="s">
        <v>1963</v>
      </c>
      <c r="X1207" s="117" t="s">
        <v>2616</v>
      </c>
      <c r="Y1207" s="117" t="s">
        <v>2176</v>
      </c>
      <c r="Z1207" s="117" t="n">
        <v>1600000414</v>
      </c>
      <c r="AD1207" s="117" t="n">
        <v>111105</v>
      </c>
      <c r="AE1207" s="117" t="s">
        <v>1994</v>
      </c>
      <c r="AF1207" s="117" t="n">
        <v>312193</v>
      </c>
      <c r="AG1207" s="117" t="s">
        <v>1963</v>
      </c>
      <c r="AI1207" s="117" t="n">
        <v>312193</v>
      </c>
      <c r="AJ1207" s="131" t="s">
        <v>1963</v>
      </c>
      <c r="AK1207" s="117" t="n">
        <v>0</v>
      </c>
      <c r="AL1207" s="117" t="n">
        <v>9</v>
      </c>
      <c r="AM1207" s="117" t="s">
        <v>161</v>
      </c>
      <c r="AN1207" s="117" t="s">
        <v>1995</v>
      </c>
      <c r="AR1207" s="118" t="n">
        <v>43859</v>
      </c>
      <c r="AS1207" s="117" t="n">
        <v>0.273368055555556</v>
      </c>
      <c r="AT1207" s="117" t="n">
        <v>0</v>
      </c>
      <c r="AU1207" s="117" t="n">
        <v>0</v>
      </c>
      <c r="AX1207" s="117" t="n">
        <v>1</v>
      </c>
    </row>
    <row r="1208" customFormat="false" ht="13.8" hidden="true" customHeight="false" outlineLevel="0" collapsed="false">
      <c r="A1208" s="117" t="n">
        <v>1000</v>
      </c>
      <c r="B1208" s="117" t="s">
        <v>1962</v>
      </c>
      <c r="C1208" s="117" t="n">
        <v>100231557</v>
      </c>
      <c r="E1208" s="117" t="s">
        <v>1921</v>
      </c>
      <c r="F1208" s="117" t="n">
        <v>1112</v>
      </c>
      <c r="G1208" s="117" t="n">
        <v>2019</v>
      </c>
      <c r="H1208" s="117" t="n">
        <v>10</v>
      </c>
      <c r="I1208" s="118" t="n">
        <v>43859</v>
      </c>
      <c r="J1208" s="118" t="n">
        <v>43859</v>
      </c>
      <c r="K1208" s="119" t="n">
        <v>14383.92</v>
      </c>
      <c r="L1208" s="128" t="n">
        <f aca="false">K1208-Q1208+T1208</f>
        <v>14383.92</v>
      </c>
      <c r="M1208" s="117" t="s">
        <v>149</v>
      </c>
      <c r="N1208" s="117" t="n">
        <v>14383.92</v>
      </c>
      <c r="O1208" s="117" t="s">
        <v>149</v>
      </c>
      <c r="P1208" s="117" t="n">
        <v>0</v>
      </c>
      <c r="Q1208" s="117" t="n">
        <v>0</v>
      </c>
      <c r="R1208" s="117" t="n">
        <v>14383.92</v>
      </c>
      <c r="S1208" s="117" t="n">
        <v>0</v>
      </c>
      <c r="T1208" s="117" t="n">
        <v>0</v>
      </c>
      <c r="U1208" s="117" t="n">
        <v>312193</v>
      </c>
      <c r="V1208" s="117" t="s">
        <v>1963</v>
      </c>
      <c r="X1208" s="117" t="s">
        <v>2599</v>
      </c>
      <c r="Z1208" s="117" t="n">
        <v>62395</v>
      </c>
      <c r="AB1208" s="117" t="s">
        <v>2350</v>
      </c>
      <c r="AD1208" s="117" t="n">
        <v>110000</v>
      </c>
      <c r="AE1208" s="117" t="s">
        <v>1966</v>
      </c>
      <c r="AF1208" s="117" t="n">
        <v>110000</v>
      </c>
      <c r="AG1208" s="117" t="s">
        <v>1966</v>
      </c>
      <c r="AI1208" s="117" t="n">
        <v>110000</v>
      </c>
      <c r="AJ1208" s="117" t="s">
        <v>1966</v>
      </c>
      <c r="AK1208" s="117" t="n">
        <v>0</v>
      </c>
      <c r="AL1208" s="117" t="n">
        <v>4</v>
      </c>
      <c r="AM1208" s="117" t="s">
        <v>161</v>
      </c>
      <c r="AR1208" s="118" t="n">
        <v>43859</v>
      </c>
      <c r="AS1208" s="117" t="n">
        <v>0.289224537037037</v>
      </c>
      <c r="AT1208" s="117" t="n">
        <v>0</v>
      </c>
      <c r="AU1208" s="117" t="n">
        <v>0</v>
      </c>
      <c r="AX1208" s="117" t="n">
        <v>8</v>
      </c>
    </row>
    <row r="1209" customFormat="false" ht="13.8" hidden="true" customHeight="false" outlineLevel="0" collapsed="false">
      <c r="A1209" s="117" t="n">
        <v>1000</v>
      </c>
      <c r="B1209" s="117" t="s">
        <v>1962</v>
      </c>
      <c r="C1209" s="117" t="n">
        <v>1400010076</v>
      </c>
      <c r="E1209" s="117" t="s">
        <v>1972</v>
      </c>
      <c r="F1209" s="117" t="n">
        <v>1106</v>
      </c>
      <c r="G1209" s="117" t="n">
        <v>2019</v>
      </c>
      <c r="H1209" s="117" t="n">
        <v>10</v>
      </c>
      <c r="I1209" s="118" t="n">
        <v>43857</v>
      </c>
      <c r="J1209" s="118" t="n">
        <v>43857</v>
      </c>
      <c r="K1209" s="119" t="n">
        <v>-1784213.07</v>
      </c>
      <c r="L1209" s="128" t="n">
        <f aca="false">K1209-Q1209+T1209</f>
        <v>-1784213.07</v>
      </c>
      <c r="M1209" s="117" t="s">
        <v>149</v>
      </c>
      <c r="N1209" s="117" t="n">
        <v>-1784213.07</v>
      </c>
      <c r="O1209" s="117" t="s">
        <v>149</v>
      </c>
      <c r="P1209" s="117" t="n">
        <v>0</v>
      </c>
      <c r="Q1209" s="117" t="n">
        <v>0</v>
      </c>
      <c r="R1209" s="117" t="n">
        <v>-1784213.07</v>
      </c>
      <c r="S1209" s="117" t="n">
        <v>0</v>
      </c>
      <c r="T1209" s="117" t="n">
        <v>0</v>
      </c>
      <c r="U1209" s="117" t="n">
        <v>312193</v>
      </c>
      <c r="V1209" s="117" t="s">
        <v>1963</v>
      </c>
      <c r="X1209" s="117" t="s">
        <v>2617</v>
      </c>
      <c r="Y1209" s="117" t="s">
        <v>2618</v>
      </c>
      <c r="Z1209" s="117" t="n">
        <v>1400010076</v>
      </c>
      <c r="AC1209" s="117" t="s">
        <v>1976</v>
      </c>
      <c r="AD1209" s="117" t="n">
        <v>310300</v>
      </c>
      <c r="AE1209" s="117" t="s">
        <v>1969</v>
      </c>
      <c r="AF1209" s="117" t="n">
        <v>101105</v>
      </c>
      <c r="AG1209" s="117" t="s">
        <v>1977</v>
      </c>
      <c r="AI1209" s="117" t="n">
        <v>101105</v>
      </c>
      <c r="AJ1209" s="117" t="s">
        <v>1977</v>
      </c>
      <c r="AK1209" s="117" t="n">
        <v>0</v>
      </c>
      <c r="AL1209" s="117" t="n">
        <v>19</v>
      </c>
      <c r="AM1209" s="117" t="s">
        <v>225</v>
      </c>
      <c r="AN1209" s="117" t="s">
        <v>1978</v>
      </c>
      <c r="AP1209" s="117" t="n">
        <v>100231551</v>
      </c>
      <c r="AQ1209" s="118" t="n">
        <v>43859</v>
      </c>
      <c r="AR1209" s="118" t="n">
        <v>43858</v>
      </c>
      <c r="AS1209" s="117" t="n">
        <v>0.516643518518519</v>
      </c>
      <c r="AT1209" s="117" t="n">
        <v>0</v>
      </c>
      <c r="AU1209" s="117" t="n">
        <v>0</v>
      </c>
      <c r="AX1209" s="117" t="n">
        <v>2</v>
      </c>
    </row>
    <row r="1210" customFormat="false" ht="13.8" hidden="true" customHeight="false" outlineLevel="0" collapsed="false">
      <c r="A1210" s="117" t="n">
        <v>1000</v>
      </c>
      <c r="B1210" s="117" t="s">
        <v>1962</v>
      </c>
      <c r="C1210" s="117" t="n">
        <v>100231557</v>
      </c>
      <c r="E1210" s="117" t="s">
        <v>1921</v>
      </c>
      <c r="F1210" s="117" t="n">
        <v>1112</v>
      </c>
      <c r="G1210" s="117" t="n">
        <v>2019</v>
      </c>
      <c r="H1210" s="117" t="n">
        <v>10</v>
      </c>
      <c r="I1210" s="118" t="n">
        <v>43859</v>
      </c>
      <c r="J1210" s="118" t="n">
        <v>43859</v>
      </c>
      <c r="K1210" s="119" t="n">
        <v>13502.53</v>
      </c>
      <c r="L1210" s="128" t="n">
        <f aca="false">K1210-Q1210+T1210</f>
        <v>13502.53</v>
      </c>
      <c r="M1210" s="117" t="s">
        <v>149</v>
      </c>
      <c r="N1210" s="117" t="n">
        <v>13502.53</v>
      </c>
      <c r="O1210" s="117" t="s">
        <v>149</v>
      </c>
      <c r="P1210" s="117" t="n">
        <v>0</v>
      </c>
      <c r="Q1210" s="117" t="n">
        <v>0</v>
      </c>
      <c r="R1210" s="117" t="n">
        <v>13502.53</v>
      </c>
      <c r="S1210" s="117" t="n">
        <v>0</v>
      </c>
      <c r="T1210" s="117" t="n">
        <v>0</v>
      </c>
      <c r="U1210" s="117" t="n">
        <v>312193</v>
      </c>
      <c r="V1210" s="117" t="s">
        <v>1963</v>
      </c>
      <c r="X1210" s="117" t="s">
        <v>1582</v>
      </c>
      <c r="Z1210" s="117" t="n">
        <v>62200</v>
      </c>
      <c r="AB1210" s="117" t="s">
        <v>2362</v>
      </c>
      <c r="AD1210" s="117" t="n">
        <v>110000</v>
      </c>
      <c r="AE1210" s="117" t="s">
        <v>1966</v>
      </c>
      <c r="AF1210" s="117" t="n">
        <v>110000</v>
      </c>
      <c r="AG1210" s="117" t="s">
        <v>1966</v>
      </c>
      <c r="AI1210" s="117" t="n">
        <v>110000</v>
      </c>
      <c r="AJ1210" s="117" t="s">
        <v>1966</v>
      </c>
      <c r="AK1210" s="117" t="n">
        <v>0</v>
      </c>
      <c r="AL1210" s="117" t="n">
        <v>4</v>
      </c>
      <c r="AM1210" s="117" t="s">
        <v>161</v>
      </c>
      <c r="AR1210" s="118" t="n">
        <v>43859</v>
      </c>
      <c r="AS1210" s="117" t="n">
        <v>0.289224537037037</v>
      </c>
      <c r="AT1210" s="117" t="n">
        <v>0</v>
      </c>
      <c r="AU1210" s="117" t="n">
        <v>0</v>
      </c>
      <c r="AX1210" s="117" t="n">
        <v>5</v>
      </c>
    </row>
    <row r="1211" customFormat="false" ht="13.8" hidden="true" customHeight="false" outlineLevel="0" collapsed="false">
      <c r="A1211" s="117" t="n">
        <v>1000</v>
      </c>
      <c r="B1211" s="117" t="s">
        <v>1962</v>
      </c>
      <c r="C1211" s="117" t="n">
        <v>100231547</v>
      </c>
      <c r="E1211" s="117" t="s">
        <v>1921</v>
      </c>
      <c r="F1211" s="117" t="n">
        <v>1108</v>
      </c>
      <c r="G1211" s="117" t="n">
        <v>2019</v>
      </c>
      <c r="H1211" s="117" t="n">
        <v>10</v>
      </c>
      <c r="I1211" s="118" t="n">
        <v>43859</v>
      </c>
      <c r="J1211" s="118" t="n">
        <v>43859</v>
      </c>
      <c r="K1211" s="119" t="n">
        <v>10738</v>
      </c>
      <c r="L1211" s="128" t="n">
        <f aca="false">K1211-Q1211+T1211</f>
        <v>10738</v>
      </c>
      <c r="M1211" s="117" t="s">
        <v>149</v>
      </c>
      <c r="N1211" s="117" t="n">
        <v>10738</v>
      </c>
      <c r="O1211" s="117" t="s">
        <v>149</v>
      </c>
      <c r="P1211" s="117" t="n">
        <v>0</v>
      </c>
      <c r="Q1211" s="117" t="n">
        <v>0</v>
      </c>
      <c r="R1211" s="117" t="n">
        <v>10738</v>
      </c>
      <c r="S1211" s="117" t="n">
        <v>0</v>
      </c>
      <c r="T1211" s="117" t="n">
        <v>0</v>
      </c>
      <c r="U1211" s="117" t="n">
        <v>312193</v>
      </c>
      <c r="V1211" s="117" t="s">
        <v>1963</v>
      </c>
      <c r="X1211" s="117" t="s">
        <v>2619</v>
      </c>
      <c r="Z1211" s="117" t="n">
        <v>2460</v>
      </c>
      <c r="AB1211" s="117" t="s">
        <v>2122</v>
      </c>
      <c r="AD1211" s="117" t="n">
        <v>110000</v>
      </c>
      <c r="AE1211" s="117" t="s">
        <v>1966</v>
      </c>
      <c r="AF1211" s="117" t="n">
        <v>110000</v>
      </c>
      <c r="AG1211" s="117" t="s">
        <v>1966</v>
      </c>
      <c r="AI1211" s="117" t="n">
        <v>110000</v>
      </c>
      <c r="AJ1211" s="117" t="s">
        <v>1966</v>
      </c>
      <c r="AK1211" s="117" t="n">
        <v>0</v>
      </c>
      <c r="AL1211" s="117" t="n">
        <v>4</v>
      </c>
      <c r="AM1211" s="117" t="s">
        <v>161</v>
      </c>
      <c r="AR1211" s="118" t="n">
        <v>43859</v>
      </c>
      <c r="AS1211" s="117" t="n">
        <v>0.26912037037037</v>
      </c>
      <c r="AT1211" s="117" t="n">
        <v>0</v>
      </c>
      <c r="AU1211" s="117" t="n">
        <v>0</v>
      </c>
      <c r="AX1211" s="117" t="n">
        <v>3</v>
      </c>
    </row>
    <row r="1212" s="106" customFormat="true" ht="13.8" hidden="true" customHeight="false" outlineLevel="0" collapsed="false">
      <c r="A1212" s="106" t="n">
        <v>1000</v>
      </c>
      <c r="B1212" s="106" t="s">
        <v>1962</v>
      </c>
      <c r="C1212" s="106" t="n">
        <v>111265</v>
      </c>
      <c r="D1212" s="106" t="s">
        <v>1588</v>
      </c>
      <c r="E1212" s="106" t="s">
        <v>1970</v>
      </c>
      <c r="F1212" s="106" t="n">
        <v>1112</v>
      </c>
      <c r="G1212" s="106" t="n">
        <v>2019</v>
      </c>
      <c r="H1212" s="106" t="n">
        <v>10</v>
      </c>
      <c r="I1212" s="129" t="n">
        <v>43840</v>
      </c>
      <c r="J1212" s="129" t="n">
        <v>43840</v>
      </c>
      <c r="K1212" s="107" t="n">
        <v>220950.37</v>
      </c>
      <c r="L1212" s="130" t="n">
        <f aca="false">K1212-Q1212+T1212</f>
        <v>187246.08</v>
      </c>
      <c r="M1212" s="106" t="s">
        <v>149</v>
      </c>
      <c r="N1212" s="106" t="n">
        <v>220950.37</v>
      </c>
      <c r="O1212" s="106" t="s">
        <v>149</v>
      </c>
      <c r="P1212" s="106" t="n">
        <v>0</v>
      </c>
      <c r="Q1212" s="107" t="n">
        <v>33704.29</v>
      </c>
      <c r="R1212" s="106" t="n">
        <v>187246.08</v>
      </c>
      <c r="S1212" s="106" t="n">
        <v>0</v>
      </c>
      <c r="T1212" s="106" t="n">
        <v>0</v>
      </c>
      <c r="U1212" s="106" t="n">
        <v>312193</v>
      </c>
      <c r="V1212" s="106" t="s">
        <v>1963</v>
      </c>
      <c r="Z1212" s="106" t="n">
        <v>62198</v>
      </c>
      <c r="AB1212" s="106" t="s">
        <v>2362</v>
      </c>
      <c r="AD1212" s="106" t="n">
        <v>110000</v>
      </c>
      <c r="AE1212" s="106" t="s">
        <v>1966</v>
      </c>
      <c r="AF1212" s="106" t="n">
        <v>501005</v>
      </c>
      <c r="AG1212" s="106" t="s">
        <v>2033</v>
      </c>
      <c r="AI1212" s="106" t="n">
        <v>501005</v>
      </c>
      <c r="AJ1212" s="106" t="s">
        <v>2033</v>
      </c>
      <c r="AK1212" s="106" t="n">
        <v>0</v>
      </c>
      <c r="AL1212" s="106" t="n">
        <v>1</v>
      </c>
      <c r="AM1212" s="106" t="s">
        <v>161</v>
      </c>
      <c r="AP1212" s="106" t="n">
        <v>100231557</v>
      </c>
      <c r="AQ1212" s="129" t="n">
        <v>43859</v>
      </c>
      <c r="AR1212" s="129" t="n">
        <v>43840</v>
      </c>
      <c r="AS1212" s="106" t="n">
        <v>0.411898148148148</v>
      </c>
      <c r="AT1212" s="106" t="n">
        <v>0</v>
      </c>
      <c r="AU1212" s="106" t="n">
        <v>0</v>
      </c>
      <c r="AX1212" s="106" t="n">
        <v>1</v>
      </c>
      <c r="ALU1212" s="0"/>
      <c r="ALV1212" s="0"/>
      <c r="ALW1212" s="0"/>
      <c r="ALX1212" s="0"/>
      <c r="ALY1212" s="0"/>
      <c r="ALZ1212" s="0"/>
      <c r="AMA1212" s="0"/>
      <c r="AMB1212" s="0"/>
      <c r="AMC1212" s="0"/>
      <c r="AMD1212" s="0"/>
      <c r="AME1212" s="0"/>
      <c r="AMF1212" s="0"/>
      <c r="AMG1212" s="0"/>
      <c r="AMH1212" s="0"/>
      <c r="AMI1212" s="0"/>
      <c r="AMJ1212" s="0"/>
    </row>
    <row r="1213" s="106" customFormat="true" ht="13.8" hidden="true" customHeight="false" outlineLevel="0" collapsed="false">
      <c r="A1213" s="106" t="n">
        <v>1000</v>
      </c>
      <c r="B1213" s="106" t="s">
        <v>1962</v>
      </c>
      <c r="C1213" s="106" t="n">
        <v>105363</v>
      </c>
      <c r="D1213" s="106" t="s">
        <v>2146</v>
      </c>
      <c r="E1213" s="106" t="s">
        <v>1970</v>
      </c>
      <c r="F1213" s="106" t="n">
        <v>1109</v>
      </c>
      <c r="G1213" s="106" t="n">
        <v>2019</v>
      </c>
      <c r="H1213" s="106" t="n">
        <v>4</v>
      </c>
      <c r="I1213" s="129" t="n">
        <v>43677</v>
      </c>
      <c r="J1213" s="129" t="n">
        <v>43677</v>
      </c>
      <c r="K1213" s="107" t="n">
        <v>437024.8</v>
      </c>
      <c r="L1213" s="130" t="n">
        <f aca="false">K1213-Q1213+T1213</f>
        <v>370360</v>
      </c>
      <c r="M1213" s="106" t="s">
        <v>149</v>
      </c>
      <c r="N1213" s="106" t="n">
        <v>437024.8</v>
      </c>
      <c r="O1213" s="106" t="s">
        <v>149</v>
      </c>
      <c r="P1213" s="106" t="n">
        <v>0</v>
      </c>
      <c r="Q1213" s="107" t="n">
        <v>66664.8</v>
      </c>
      <c r="R1213" s="106" t="n">
        <v>370360</v>
      </c>
      <c r="S1213" s="106" t="n">
        <v>0</v>
      </c>
      <c r="T1213" s="106" t="n">
        <v>0</v>
      </c>
      <c r="U1213" s="106" t="n">
        <v>312193</v>
      </c>
      <c r="V1213" s="106" t="s">
        <v>1963</v>
      </c>
      <c r="Z1213" s="106" t="n">
        <v>2316</v>
      </c>
      <c r="AB1213" s="106" t="s">
        <v>1965</v>
      </c>
      <c r="AD1213" s="106" t="n">
        <v>110000</v>
      </c>
      <c r="AE1213" s="106" t="s">
        <v>1966</v>
      </c>
      <c r="AF1213" s="106" t="n">
        <v>501020</v>
      </c>
      <c r="AG1213" s="106" t="s">
        <v>1971</v>
      </c>
      <c r="AI1213" s="106" t="n">
        <v>501020</v>
      </c>
      <c r="AJ1213" s="106" t="s">
        <v>1971</v>
      </c>
      <c r="AK1213" s="106" t="n">
        <v>0</v>
      </c>
      <c r="AL1213" s="106" t="n">
        <v>1</v>
      </c>
      <c r="AM1213" s="106" t="s">
        <v>161</v>
      </c>
      <c r="AP1213" s="106" t="n">
        <v>100058209</v>
      </c>
      <c r="AQ1213" s="129" t="n">
        <v>43677</v>
      </c>
      <c r="AR1213" s="129" t="n">
        <v>43677</v>
      </c>
      <c r="AS1213" s="106" t="n">
        <v>0.783900462962963</v>
      </c>
      <c r="AT1213" s="106" t="n">
        <v>0</v>
      </c>
      <c r="AU1213" s="106" t="n">
        <v>0</v>
      </c>
      <c r="AX1213" s="106" t="n">
        <v>1</v>
      </c>
      <c r="ALU1213" s="0"/>
      <c r="ALV1213" s="0"/>
      <c r="ALW1213" s="0"/>
      <c r="ALX1213" s="0"/>
      <c r="ALY1213" s="0"/>
      <c r="ALZ1213" s="0"/>
      <c r="AMA1213" s="0"/>
      <c r="AMB1213" s="0"/>
      <c r="AMC1213" s="0"/>
      <c r="AMD1213" s="0"/>
      <c r="AME1213" s="0"/>
      <c r="AMF1213" s="0"/>
      <c r="AMG1213" s="0"/>
      <c r="AMH1213" s="0"/>
      <c r="AMI1213" s="0"/>
      <c r="AMJ1213" s="0"/>
    </row>
    <row r="1214" customFormat="false" ht="13.8" hidden="true" customHeight="false" outlineLevel="0" collapsed="false">
      <c r="A1214" s="117" t="n">
        <v>1000</v>
      </c>
      <c r="B1214" s="117" t="s">
        <v>1962</v>
      </c>
      <c r="C1214" s="117" t="n">
        <v>100229130</v>
      </c>
      <c r="E1214" s="117" t="s">
        <v>1921</v>
      </c>
      <c r="F1214" s="117" t="n">
        <v>1106</v>
      </c>
      <c r="G1214" s="117" t="n">
        <v>2019</v>
      </c>
      <c r="H1214" s="117" t="n">
        <v>10</v>
      </c>
      <c r="I1214" s="118" t="n">
        <v>43856</v>
      </c>
      <c r="J1214" s="118" t="n">
        <v>43856</v>
      </c>
      <c r="K1214" s="119" t="n">
        <v>1765280</v>
      </c>
      <c r="L1214" s="128" t="n">
        <f aca="false">K1214-Q1214+T1214</f>
        <v>1765280</v>
      </c>
      <c r="M1214" s="117" t="s">
        <v>149</v>
      </c>
      <c r="N1214" s="117" t="n">
        <v>1765280</v>
      </c>
      <c r="O1214" s="117" t="s">
        <v>149</v>
      </c>
      <c r="P1214" s="117" t="n">
        <v>0</v>
      </c>
      <c r="Q1214" s="117" t="n">
        <v>0</v>
      </c>
      <c r="R1214" s="117" t="n">
        <v>1765280</v>
      </c>
      <c r="S1214" s="117" t="n">
        <v>0</v>
      </c>
      <c r="T1214" s="117" t="n">
        <v>0</v>
      </c>
      <c r="U1214" s="117" t="n">
        <v>311155</v>
      </c>
      <c r="V1214" s="117" t="s">
        <v>2022</v>
      </c>
      <c r="Z1214" s="117" t="n">
        <v>100229130</v>
      </c>
      <c r="AD1214" s="117" t="n">
        <v>310300</v>
      </c>
      <c r="AE1214" s="117" t="s">
        <v>1969</v>
      </c>
      <c r="AF1214" s="117" t="n">
        <v>110000</v>
      </c>
      <c r="AG1214" s="117" t="s">
        <v>1966</v>
      </c>
      <c r="AI1214" s="117" t="n">
        <v>110000</v>
      </c>
      <c r="AJ1214" s="117" t="s">
        <v>1966</v>
      </c>
      <c r="AK1214" s="117" t="n">
        <v>0</v>
      </c>
      <c r="AL1214" s="117" t="n">
        <v>9</v>
      </c>
      <c r="AM1214" s="117" t="s">
        <v>161</v>
      </c>
      <c r="AN1214" s="117" t="s">
        <v>1978</v>
      </c>
      <c r="AP1214" s="117" t="n">
        <v>100229130</v>
      </c>
      <c r="AQ1214" s="118" t="n">
        <v>43856</v>
      </c>
      <c r="AR1214" s="118" t="n">
        <v>43856</v>
      </c>
      <c r="AS1214" s="117" t="n">
        <v>0.555729166666667</v>
      </c>
      <c r="AT1214" s="117" t="n">
        <v>0</v>
      </c>
      <c r="AU1214" s="117" t="n">
        <v>0</v>
      </c>
      <c r="AX1214" s="117" t="n">
        <v>3</v>
      </c>
    </row>
    <row r="1215" customFormat="false" ht="13.8" hidden="true" customHeight="false" outlineLevel="0" collapsed="false">
      <c r="A1215" s="117" t="n">
        <v>1000</v>
      </c>
      <c r="B1215" s="117" t="s">
        <v>1962</v>
      </c>
      <c r="C1215" s="117" t="n">
        <v>100229154</v>
      </c>
      <c r="E1215" s="117" t="s">
        <v>1921</v>
      </c>
      <c r="F1215" s="117" t="n">
        <v>1109</v>
      </c>
      <c r="G1215" s="117" t="n">
        <v>2019</v>
      </c>
      <c r="H1215" s="117" t="n">
        <v>10</v>
      </c>
      <c r="I1215" s="118" t="n">
        <v>43856</v>
      </c>
      <c r="J1215" s="118" t="n">
        <v>43856</v>
      </c>
      <c r="K1215" s="119" t="n">
        <v>-384680</v>
      </c>
      <c r="L1215" s="128" t="n">
        <f aca="false">K1215-Q1215+T1215</f>
        <v>-384680</v>
      </c>
      <c r="M1215" s="117" t="s">
        <v>149</v>
      </c>
      <c r="N1215" s="117" t="n">
        <v>-384680</v>
      </c>
      <c r="O1215" s="117" t="s">
        <v>149</v>
      </c>
      <c r="P1215" s="117" t="n">
        <v>0</v>
      </c>
      <c r="Q1215" s="117" t="n">
        <v>0</v>
      </c>
      <c r="R1215" s="117" t="n">
        <v>-384680</v>
      </c>
      <c r="S1215" s="117" t="n">
        <v>0</v>
      </c>
      <c r="T1215" s="117" t="n">
        <v>0</v>
      </c>
      <c r="U1215" s="117" t="n">
        <v>313029</v>
      </c>
      <c r="V1215" s="117" t="s">
        <v>143</v>
      </c>
      <c r="Z1215" s="117" t="n">
        <v>100229154</v>
      </c>
      <c r="AD1215" s="117" t="n">
        <v>110000</v>
      </c>
      <c r="AE1215" s="117" t="s">
        <v>1966</v>
      </c>
      <c r="AF1215" s="117" t="n">
        <v>110000</v>
      </c>
      <c r="AG1215" s="117" t="s">
        <v>1966</v>
      </c>
      <c r="AI1215" s="117" t="n">
        <v>110000</v>
      </c>
      <c r="AJ1215" s="117" t="s">
        <v>1966</v>
      </c>
      <c r="AK1215" s="117" t="n">
        <v>0</v>
      </c>
      <c r="AL1215" s="117" t="n">
        <v>17</v>
      </c>
      <c r="AM1215" s="117" t="s">
        <v>225</v>
      </c>
      <c r="AP1215" s="117" t="n">
        <v>100229154</v>
      </c>
      <c r="AQ1215" s="118" t="n">
        <v>43856</v>
      </c>
      <c r="AR1215" s="118" t="n">
        <v>43856</v>
      </c>
      <c r="AS1215" s="117" t="n">
        <v>0.564652777777778</v>
      </c>
      <c r="AT1215" s="117" t="n">
        <v>0</v>
      </c>
      <c r="AU1215" s="117" t="n">
        <v>0</v>
      </c>
      <c r="AX1215" s="117" t="n">
        <v>3</v>
      </c>
    </row>
    <row r="1216" s="106" customFormat="true" ht="13.8" hidden="true" customHeight="false" outlineLevel="0" collapsed="false">
      <c r="A1216" s="106" t="n">
        <v>1000</v>
      </c>
      <c r="B1216" s="106" t="s">
        <v>1962</v>
      </c>
      <c r="C1216" s="106" t="n">
        <v>105369</v>
      </c>
      <c r="D1216" s="106" t="s">
        <v>2046</v>
      </c>
      <c r="E1216" s="106" t="s">
        <v>1970</v>
      </c>
      <c r="F1216" s="106" t="n">
        <v>1109</v>
      </c>
      <c r="G1216" s="106" t="n">
        <v>2019</v>
      </c>
      <c r="H1216" s="106" t="n">
        <v>4</v>
      </c>
      <c r="I1216" s="129" t="n">
        <v>43677</v>
      </c>
      <c r="J1216" s="129" t="n">
        <v>43677</v>
      </c>
      <c r="K1216" s="107" t="n">
        <v>362094.8</v>
      </c>
      <c r="L1216" s="130" t="n">
        <f aca="false">K1216-Q1216+T1216</f>
        <v>306860</v>
      </c>
      <c r="M1216" s="106" t="s">
        <v>149</v>
      </c>
      <c r="N1216" s="106" t="n">
        <v>362094.8</v>
      </c>
      <c r="O1216" s="106" t="s">
        <v>149</v>
      </c>
      <c r="P1216" s="106" t="n">
        <v>0</v>
      </c>
      <c r="Q1216" s="107" t="n">
        <v>55234.8</v>
      </c>
      <c r="R1216" s="106" t="n">
        <v>306860</v>
      </c>
      <c r="S1216" s="106" t="n">
        <v>0</v>
      </c>
      <c r="T1216" s="106" t="n">
        <v>0</v>
      </c>
      <c r="U1216" s="106" t="n">
        <v>312193</v>
      </c>
      <c r="V1216" s="106" t="s">
        <v>1963</v>
      </c>
      <c r="Z1216" s="106" t="n">
        <v>2316</v>
      </c>
      <c r="AB1216" s="106" t="s">
        <v>1965</v>
      </c>
      <c r="AD1216" s="106" t="n">
        <v>110000</v>
      </c>
      <c r="AE1216" s="106" t="s">
        <v>1966</v>
      </c>
      <c r="AF1216" s="106" t="n">
        <v>501020</v>
      </c>
      <c r="AG1216" s="106" t="s">
        <v>1971</v>
      </c>
      <c r="AI1216" s="106" t="n">
        <v>501020</v>
      </c>
      <c r="AJ1216" s="106" t="s">
        <v>1971</v>
      </c>
      <c r="AK1216" s="106" t="n">
        <v>0</v>
      </c>
      <c r="AL1216" s="106" t="n">
        <v>1</v>
      </c>
      <c r="AM1216" s="106" t="s">
        <v>161</v>
      </c>
      <c r="AP1216" s="106" t="n">
        <v>100058209</v>
      </c>
      <c r="AQ1216" s="129" t="n">
        <v>43677</v>
      </c>
      <c r="AR1216" s="129" t="n">
        <v>43677</v>
      </c>
      <c r="AS1216" s="106" t="n">
        <v>0.794490740740741</v>
      </c>
      <c r="AT1216" s="106" t="n">
        <v>0</v>
      </c>
      <c r="AU1216" s="106" t="n">
        <v>0</v>
      </c>
      <c r="AX1216" s="106" t="n">
        <v>1</v>
      </c>
      <c r="ALU1216" s="0"/>
      <c r="ALV1216" s="0"/>
      <c r="ALW1216" s="0"/>
      <c r="ALX1216" s="0"/>
      <c r="ALY1216" s="0"/>
      <c r="ALZ1216" s="0"/>
      <c r="AMA1216" s="0"/>
      <c r="AMB1216" s="0"/>
      <c r="AMC1216" s="0"/>
      <c r="AMD1216" s="0"/>
      <c r="AME1216" s="0"/>
      <c r="AMF1216" s="0"/>
      <c r="AMG1216" s="0"/>
      <c r="AMH1216" s="0"/>
      <c r="AMI1216" s="0"/>
      <c r="AMJ1216" s="0"/>
    </row>
    <row r="1217" customFormat="false" ht="13.8" hidden="true" customHeight="false" outlineLevel="0" collapsed="false">
      <c r="A1217" s="117" t="n">
        <v>1000</v>
      </c>
      <c r="B1217" s="117" t="s">
        <v>1962</v>
      </c>
      <c r="C1217" s="117" t="n">
        <v>100260197</v>
      </c>
      <c r="E1217" s="117" t="s">
        <v>1921</v>
      </c>
      <c r="F1217" s="117" t="n">
        <v>1108</v>
      </c>
      <c r="G1217" s="117" t="n">
        <v>2019</v>
      </c>
      <c r="H1217" s="117" t="n">
        <v>11</v>
      </c>
      <c r="I1217" s="118" t="n">
        <v>43883</v>
      </c>
      <c r="J1217" s="118" t="n">
        <v>43883</v>
      </c>
      <c r="K1217" s="119" t="n">
        <v>-612546.83</v>
      </c>
      <c r="L1217" s="128" t="n">
        <f aca="false">K1217-Q1217+T1217</f>
        <v>-612546.83</v>
      </c>
      <c r="M1217" s="117" t="s">
        <v>149</v>
      </c>
      <c r="N1217" s="117" t="n">
        <v>-612546.83</v>
      </c>
      <c r="O1217" s="117" t="s">
        <v>149</v>
      </c>
      <c r="P1217" s="117" t="n">
        <v>0</v>
      </c>
      <c r="Q1217" s="117" t="n">
        <v>0</v>
      </c>
      <c r="R1217" s="117" t="n">
        <v>-612546.83</v>
      </c>
      <c r="S1217" s="117" t="n">
        <v>0</v>
      </c>
      <c r="T1217" s="117" t="n">
        <v>0</v>
      </c>
      <c r="U1217" s="117" t="n">
        <v>312948</v>
      </c>
      <c r="V1217" s="117" t="s">
        <v>1984</v>
      </c>
      <c r="Z1217" s="117" t="n">
        <v>100260197</v>
      </c>
      <c r="AD1217" s="117" t="n">
        <v>110000</v>
      </c>
      <c r="AE1217" s="117" t="s">
        <v>1966</v>
      </c>
      <c r="AF1217" s="117" t="n">
        <v>110000</v>
      </c>
      <c r="AG1217" s="117" t="s">
        <v>1966</v>
      </c>
      <c r="AI1217" s="117" t="n">
        <v>110000</v>
      </c>
      <c r="AJ1217" s="117" t="s">
        <v>1966</v>
      </c>
      <c r="AK1217" s="117" t="n">
        <v>0</v>
      </c>
      <c r="AL1217" s="117" t="n">
        <v>17</v>
      </c>
      <c r="AM1217" s="117" t="s">
        <v>225</v>
      </c>
      <c r="AP1217" s="117" t="n">
        <v>100260197</v>
      </c>
      <c r="AQ1217" s="118" t="n">
        <v>43883</v>
      </c>
      <c r="AR1217" s="118" t="n">
        <v>43883</v>
      </c>
      <c r="AS1217" s="117" t="n">
        <v>0.358125</v>
      </c>
      <c r="AT1217" s="117" t="n">
        <v>0</v>
      </c>
      <c r="AU1217" s="117" t="n">
        <v>0</v>
      </c>
      <c r="AX1217" s="117" t="n">
        <v>2</v>
      </c>
    </row>
    <row r="1218" s="106" customFormat="true" ht="13.8" hidden="true" customHeight="false" outlineLevel="0" collapsed="false">
      <c r="A1218" s="106" t="n">
        <v>1000</v>
      </c>
      <c r="B1218" s="106" t="s">
        <v>1962</v>
      </c>
      <c r="C1218" s="106" t="n">
        <v>105620</v>
      </c>
      <c r="D1218" s="106" t="s">
        <v>2620</v>
      </c>
      <c r="E1218" s="106" t="s">
        <v>1970</v>
      </c>
      <c r="F1218" s="106" t="n">
        <v>1109</v>
      </c>
      <c r="G1218" s="106" t="n">
        <v>2019</v>
      </c>
      <c r="H1218" s="106" t="n">
        <v>5</v>
      </c>
      <c r="I1218" s="129" t="n">
        <v>43686</v>
      </c>
      <c r="J1218" s="129" t="n">
        <v>43686</v>
      </c>
      <c r="K1218" s="107" t="n">
        <v>538493</v>
      </c>
      <c r="L1218" s="130" t="n">
        <f aca="false">K1218-Q1218+T1218</f>
        <v>456350</v>
      </c>
      <c r="M1218" s="106" t="s">
        <v>149</v>
      </c>
      <c r="N1218" s="106" t="n">
        <v>538493</v>
      </c>
      <c r="O1218" s="106" t="s">
        <v>149</v>
      </c>
      <c r="P1218" s="106" t="n">
        <v>0</v>
      </c>
      <c r="Q1218" s="107" t="n">
        <v>82143</v>
      </c>
      <c r="R1218" s="106" t="n">
        <v>456350</v>
      </c>
      <c r="S1218" s="106" t="n">
        <v>0</v>
      </c>
      <c r="T1218" s="106" t="n">
        <v>0</v>
      </c>
      <c r="U1218" s="106" t="n">
        <v>312193</v>
      </c>
      <c r="V1218" s="106" t="s">
        <v>1963</v>
      </c>
      <c r="Z1218" s="106" t="n">
        <v>2316</v>
      </c>
      <c r="AB1218" s="106" t="s">
        <v>1965</v>
      </c>
      <c r="AD1218" s="106" t="n">
        <v>110000</v>
      </c>
      <c r="AE1218" s="106" t="s">
        <v>1966</v>
      </c>
      <c r="AF1218" s="106" t="n">
        <v>501020</v>
      </c>
      <c r="AG1218" s="106" t="s">
        <v>1971</v>
      </c>
      <c r="AI1218" s="106" t="n">
        <v>501020</v>
      </c>
      <c r="AJ1218" s="106" t="s">
        <v>1971</v>
      </c>
      <c r="AK1218" s="106" t="n">
        <v>0</v>
      </c>
      <c r="AL1218" s="106" t="n">
        <v>1</v>
      </c>
      <c r="AM1218" s="106" t="s">
        <v>161</v>
      </c>
      <c r="AP1218" s="106" t="n">
        <v>100078765</v>
      </c>
      <c r="AQ1218" s="129" t="n">
        <v>43706</v>
      </c>
      <c r="AR1218" s="129" t="n">
        <v>43686</v>
      </c>
      <c r="AS1218" s="106" t="n">
        <v>0.612615740740741</v>
      </c>
      <c r="AT1218" s="106" t="n">
        <v>0</v>
      </c>
      <c r="AU1218" s="106" t="n">
        <v>0</v>
      </c>
      <c r="AX1218" s="106" t="n">
        <v>1</v>
      </c>
      <c r="ALU1218" s="0"/>
      <c r="ALV1218" s="0"/>
      <c r="ALW1218" s="0"/>
      <c r="ALX1218" s="0"/>
      <c r="ALY1218" s="0"/>
      <c r="ALZ1218" s="0"/>
      <c r="AMA1218" s="0"/>
      <c r="AMB1218" s="0"/>
      <c r="AMC1218" s="0"/>
      <c r="AMD1218" s="0"/>
      <c r="AME1218" s="0"/>
      <c r="AMF1218" s="0"/>
      <c r="AMG1218" s="0"/>
      <c r="AMH1218" s="0"/>
      <c r="AMI1218" s="0"/>
      <c r="AMJ1218" s="0"/>
    </row>
    <row r="1219" customFormat="false" ht="13.8" hidden="true" customHeight="false" outlineLevel="0" collapsed="false">
      <c r="A1219" s="117" t="n">
        <v>1000</v>
      </c>
      <c r="B1219" s="117" t="s">
        <v>1962</v>
      </c>
      <c r="C1219" s="117" t="n">
        <v>100229154</v>
      </c>
      <c r="E1219" s="117" t="s">
        <v>1921</v>
      </c>
      <c r="F1219" s="117" t="n">
        <v>1108</v>
      </c>
      <c r="G1219" s="117" t="n">
        <v>2019</v>
      </c>
      <c r="H1219" s="117" t="n">
        <v>10</v>
      </c>
      <c r="I1219" s="118" t="n">
        <v>43856</v>
      </c>
      <c r="J1219" s="118" t="n">
        <v>43856</v>
      </c>
      <c r="K1219" s="119" t="n">
        <v>673505.06</v>
      </c>
      <c r="L1219" s="128" t="n">
        <f aca="false">K1219-Q1219+T1219</f>
        <v>673505.06</v>
      </c>
      <c r="M1219" s="117" t="s">
        <v>149</v>
      </c>
      <c r="N1219" s="117" t="n">
        <v>673505.06</v>
      </c>
      <c r="O1219" s="117" t="s">
        <v>149</v>
      </c>
      <c r="P1219" s="117" t="n">
        <v>0</v>
      </c>
      <c r="Q1219" s="117" t="n">
        <v>0</v>
      </c>
      <c r="R1219" s="117" t="n">
        <v>673505.06</v>
      </c>
      <c r="S1219" s="117" t="n">
        <v>0</v>
      </c>
      <c r="T1219" s="117" t="n">
        <v>0</v>
      </c>
      <c r="U1219" s="117" t="n">
        <v>313029</v>
      </c>
      <c r="V1219" s="117" t="s">
        <v>143</v>
      </c>
      <c r="X1219" s="117" t="s">
        <v>2572</v>
      </c>
      <c r="Z1219" s="117" t="n">
        <v>2423</v>
      </c>
      <c r="AB1219" s="117" t="s">
        <v>2414</v>
      </c>
      <c r="AD1219" s="117" t="n">
        <v>110000</v>
      </c>
      <c r="AE1219" s="117" t="s">
        <v>1966</v>
      </c>
      <c r="AF1219" s="117" t="n">
        <v>110000</v>
      </c>
      <c r="AG1219" s="117" t="s">
        <v>1966</v>
      </c>
      <c r="AI1219" s="117" t="n">
        <v>110000</v>
      </c>
      <c r="AJ1219" s="117" t="s">
        <v>1966</v>
      </c>
      <c r="AK1219" s="117" t="n">
        <v>0</v>
      </c>
      <c r="AL1219" s="117" t="n">
        <v>4</v>
      </c>
      <c r="AM1219" s="117" t="s">
        <v>161</v>
      </c>
      <c r="AR1219" s="118" t="n">
        <v>43856</v>
      </c>
      <c r="AS1219" s="117" t="n">
        <v>0.564652777777778</v>
      </c>
      <c r="AT1219" s="117" t="n">
        <v>0</v>
      </c>
      <c r="AU1219" s="117" t="n">
        <v>0</v>
      </c>
      <c r="AX1219" s="117" t="n">
        <v>1</v>
      </c>
    </row>
    <row r="1220" customFormat="false" ht="13.8" hidden="true" customHeight="false" outlineLevel="0" collapsed="false">
      <c r="A1220" s="117" t="n">
        <v>1000</v>
      </c>
      <c r="B1220" s="117" t="s">
        <v>1962</v>
      </c>
      <c r="C1220" s="117" t="n">
        <v>100260180</v>
      </c>
      <c r="E1220" s="117" t="s">
        <v>1921</v>
      </c>
      <c r="F1220" s="117" t="n">
        <v>1109</v>
      </c>
      <c r="G1220" s="117" t="n">
        <v>2019</v>
      </c>
      <c r="H1220" s="117" t="n">
        <v>11</v>
      </c>
      <c r="I1220" s="118" t="n">
        <v>43883</v>
      </c>
      <c r="J1220" s="118" t="n">
        <v>43883</v>
      </c>
      <c r="K1220" s="119" t="n">
        <v>-981760</v>
      </c>
      <c r="L1220" s="128" t="n">
        <f aca="false">K1220-Q1220+T1220</f>
        <v>-981760</v>
      </c>
      <c r="M1220" s="117" t="s">
        <v>149</v>
      </c>
      <c r="N1220" s="117" t="n">
        <v>-981760</v>
      </c>
      <c r="O1220" s="117" t="s">
        <v>149</v>
      </c>
      <c r="P1220" s="117" t="n">
        <v>0</v>
      </c>
      <c r="Q1220" s="117" t="n">
        <v>0</v>
      </c>
      <c r="R1220" s="117" t="n">
        <v>-981760</v>
      </c>
      <c r="S1220" s="117" t="n">
        <v>0</v>
      </c>
      <c r="T1220" s="117" t="n">
        <v>0</v>
      </c>
      <c r="U1220" s="117" t="n">
        <v>309990</v>
      </c>
      <c r="V1220" s="117" t="s">
        <v>2456</v>
      </c>
      <c r="Z1220" s="117" t="n">
        <v>100260180</v>
      </c>
      <c r="AD1220" s="117" t="n">
        <v>110000</v>
      </c>
      <c r="AE1220" s="117" t="s">
        <v>1966</v>
      </c>
      <c r="AF1220" s="117" t="n">
        <v>110000</v>
      </c>
      <c r="AG1220" s="117" t="s">
        <v>1966</v>
      </c>
      <c r="AI1220" s="117" t="n">
        <v>110000</v>
      </c>
      <c r="AJ1220" s="117" t="s">
        <v>1966</v>
      </c>
      <c r="AK1220" s="117" t="n">
        <v>0</v>
      </c>
      <c r="AL1220" s="117" t="n">
        <v>17</v>
      </c>
      <c r="AM1220" s="117" t="s">
        <v>225</v>
      </c>
      <c r="AP1220" s="117" t="n">
        <v>100260180</v>
      </c>
      <c r="AQ1220" s="118" t="n">
        <v>43883</v>
      </c>
      <c r="AR1220" s="118" t="n">
        <v>43883</v>
      </c>
      <c r="AS1220" s="117" t="n">
        <v>0.345243055555556</v>
      </c>
      <c r="AT1220" s="117" t="n">
        <v>0</v>
      </c>
      <c r="AU1220" s="117" t="n">
        <v>0</v>
      </c>
      <c r="AX1220" s="117" t="n">
        <v>2</v>
      </c>
    </row>
    <row r="1221" customFormat="false" ht="13.8" hidden="true" customHeight="false" outlineLevel="0" collapsed="false">
      <c r="A1221" s="117" t="n">
        <v>1000</v>
      </c>
      <c r="B1221" s="117" t="s">
        <v>1962</v>
      </c>
      <c r="C1221" s="117" t="n">
        <v>100231551</v>
      </c>
      <c r="E1221" s="117" t="s">
        <v>1921</v>
      </c>
      <c r="F1221" s="117" t="n">
        <v>1109</v>
      </c>
      <c r="G1221" s="117" t="n">
        <v>2019</v>
      </c>
      <c r="H1221" s="117" t="n">
        <v>10</v>
      </c>
      <c r="I1221" s="118" t="n">
        <v>43859</v>
      </c>
      <c r="J1221" s="118" t="n">
        <v>43859</v>
      </c>
      <c r="K1221" s="119" t="n">
        <v>-0.32</v>
      </c>
      <c r="L1221" s="128" t="n">
        <f aca="false">K1221-Q1221+T1221</f>
        <v>-0.32</v>
      </c>
      <c r="M1221" s="117" t="s">
        <v>149</v>
      </c>
      <c r="N1221" s="117" t="n">
        <v>-0.32</v>
      </c>
      <c r="O1221" s="117" t="s">
        <v>149</v>
      </c>
      <c r="P1221" s="117" t="n">
        <v>0</v>
      </c>
      <c r="Q1221" s="117" t="n">
        <v>0</v>
      </c>
      <c r="R1221" s="117" t="n">
        <v>-0.32</v>
      </c>
      <c r="S1221" s="117" t="n">
        <v>0</v>
      </c>
      <c r="T1221" s="117" t="n">
        <v>0</v>
      </c>
      <c r="U1221" s="117" t="n">
        <v>312193</v>
      </c>
      <c r="V1221" s="117" t="s">
        <v>1963</v>
      </c>
      <c r="Z1221" s="117" t="n">
        <v>100231551</v>
      </c>
      <c r="AD1221" s="117" t="n">
        <v>110000</v>
      </c>
      <c r="AE1221" s="117" t="s">
        <v>1966</v>
      </c>
      <c r="AF1221" s="117" t="n">
        <v>110000</v>
      </c>
      <c r="AG1221" s="117" t="s">
        <v>1966</v>
      </c>
      <c r="AI1221" s="117" t="n">
        <v>110000</v>
      </c>
      <c r="AJ1221" s="117" t="s">
        <v>1966</v>
      </c>
      <c r="AK1221" s="117" t="n">
        <v>0</v>
      </c>
      <c r="AL1221" s="117" t="n">
        <v>17</v>
      </c>
      <c r="AM1221" s="117" t="s">
        <v>225</v>
      </c>
      <c r="AP1221" s="117" t="n">
        <v>100231551</v>
      </c>
      <c r="AQ1221" s="118" t="n">
        <v>43859</v>
      </c>
      <c r="AR1221" s="118" t="n">
        <v>43859</v>
      </c>
      <c r="AS1221" s="117" t="n">
        <v>0.28443287037037</v>
      </c>
      <c r="AT1221" s="117" t="n">
        <v>0</v>
      </c>
      <c r="AU1221" s="117" t="n">
        <v>0</v>
      </c>
      <c r="AX1221" s="117" t="n">
        <v>3</v>
      </c>
    </row>
    <row r="1222" customFormat="false" ht="13.8" hidden="true" customHeight="false" outlineLevel="0" collapsed="false">
      <c r="A1222" s="117" t="n">
        <v>1000</v>
      </c>
      <c r="B1222" s="117" t="s">
        <v>1962</v>
      </c>
      <c r="C1222" s="117" t="n">
        <v>1600000415</v>
      </c>
      <c r="D1222" s="117" t="s">
        <v>2175</v>
      </c>
      <c r="E1222" s="117" t="s">
        <v>1987</v>
      </c>
      <c r="F1222" s="117" t="n">
        <v>1109</v>
      </c>
      <c r="G1222" s="117" t="n">
        <v>2019</v>
      </c>
      <c r="H1222" s="117" t="n">
        <v>10</v>
      </c>
      <c r="I1222" s="118" t="n">
        <v>43859</v>
      </c>
      <c r="J1222" s="118" t="n">
        <v>43859</v>
      </c>
      <c r="K1222" s="119" t="n">
        <v>8721</v>
      </c>
      <c r="L1222" s="128" t="n">
        <f aca="false">K1222-Q1222+T1222</f>
        <v>8721</v>
      </c>
      <c r="M1222" s="117" t="s">
        <v>149</v>
      </c>
      <c r="N1222" s="117" t="n">
        <v>8721</v>
      </c>
      <c r="O1222" s="117" t="s">
        <v>149</v>
      </c>
      <c r="P1222" s="117" t="n">
        <v>8721</v>
      </c>
      <c r="Q1222" s="117" t="n">
        <v>0</v>
      </c>
      <c r="R1222" s="117" t="n">
        <v>8721</v>
      </c>
      <c r="S1222" s="117" t="n">
        <v>0</v>
      </c>
      <c r="T1222" s="117" t="n">
        <v>0</v>
      </c>
      <c r="U1222" s="117" t="n">
        <v>312193</v>
      </c>
      <c r="V1222" s="117" t="s">
        <v>1963</v>
      </c>
      <c r="X1222" s="117" t="s">
        <v>2621</v>
      </c>
      <c r="Y1222" s="117" t="s">
        <v>2176</v>
      </c>
      <c r="Z1222" s="117" t="n">
        <v>1600000415</v>
      </c>
      <c r="AD1222" s="117" t="n">
        <v>111105</v>
      </c>
      <c r="AE1222" s="117" t="s">
        <v>1994</v>
      </c>
      <c r="AF1222" s="117" t="n">
        <v>312193</v>
      </c>
      <c r="AG1222" s="117" t="s">
        <v>1963</v>
      </c>
      <c r="AI1222" s="117" t="n">
        <v>312193</v>
      </c>
      <c r="AJ1222" s="131" t="s">
        <v>1963</v>
      </c>
      <c r="AK1222" s="117" t="n">
        <v>0</v>
      </c>
      <c r="AL1222" s="117" t="n">
        <v>9</v>
      </c>
      <c r="AM1222" s="117" t="s">
        <v>161</v>
      </c>
      <c r="AN1222" s="117" t="s">
        <v>1995</v>
      </c>
      <c r="AR1222" s="118" t="n">
        <v>43859</v>
      </c>
      <c r="AS1222" s="117" t="n">
        <v>0.278055555555556</v>
      </c>
      <c r="AT1222" s="117" t="n">
        <v>0</v>
      </c>
      <c r="AU1222" s="117" t="n">
        <v>0</v>
      </c>
      <c r="AX1222" s="117" t="n">
        <v>1</v>
      </c>
    </row>
    <row r="1223" customFormat="false" ht="13.8" hidden="true" customHeight="false" outlineLevel="0" collapsed="false">
      <c r="A1223" s="117" t="n">
        <v>1000</v>
      </c>
      <c r="B1223" s="117" t="s">
        <v>1962</v>
      </c>
      <c r="C1223" s="117" t="n">
        <v>100242355</v>
      </c>
      <c r="E1223" s="117" t="s">
        <v>1921</v>
      </c>
      <c r="F1223" s="117" t="n">
        <v>1101</v>
      </c>
      <c r="G1223" s="117" t="n">
        <v>2019</v>
      </c>
      <c r="H1223" s="117" t="n">
        <v>10</v>
      </c>
      <c r="I1223" s="118" t="n">
        <v>43861</v>
      </c>
      <c r="J1223" s="118" t="n">
        <v>43861</v>
      </c>
      <c r="K1223" s="119" t="n">
        <v>230723.4</v>
      </c>
      <c r="L1223" s="128" t="n">
        <f aca="false">K1223-Q1223+T1223</f>
        <v>230723.4</v>
      </c>
      <c r="M1223" s="117" t="s">
        <v>149</v>
      </c>
      <c r="N1223" s="117" t="n">
        <v>230723.4</v>
      </c>
      <c r="O1223" s="117" t="s">
        <v>149</v>
      </c>
      <c r="P1223" s="117" t="n">
        <v>0</v>
      </c>
      <c r="Q1223" s="117" t="n">
        <v>0</v>
      </c>
      <c r="R1223" s="117" t="n">
        <v>230723.4</v>
      </c>
      <c r="S1223" s="117" t="n">
        <v>0</v>
      </c>
      <c r="T1223" s="117" t="n">
        <v>0</v>
      </c>
      <c r="U1223" s="117" t="n">
        <v>312948</v>
      </c>
      <c r="V1223" s="117" t="s">
        <v>1984</v>
      </c>
      <c r="Z1223" s="117" t="n">
        <v>100242355</v>
      </c>
      <c r="AD1223" s="117" t="n">
        <v>310300</v>
      </c>
      <c r="AE1223" s="117" t="s">
        <v>1969</v>
      </c>
      <c r="AF1223" s="117" t="n">
        <v>110000</v>
      </c>
      <c r="AG1223" s="117" t="s">
        <v>1966</v>
      </c>
      <c r="AI1223" s="117" t="n">
        <v>110000</v>
      </c>
      <c r="AJ1223" s="117" t="s">
        <v>1966</v>
      </c>
      <c r="AK1223" s="117" t="n">
        <v>0</v>
      </c>
      <c r="AL1223" s="117" t="n">
        <v>9</v>
      </c>
      <c r="AM1223" s="117" t="s">
        <v>161</v>
      </c>
      <c r="AN1223" s="117" t="s">
        <v>1978</v>
      </c>
      <c r="AP1223" s="117" t="n">
        <v>100242355</v>
      </c>
      <c r="AQ1223" s="118" t="n">
        <v>43861</v>
      </c>
      <c r="AR1223" s="118" t="n">
        <v>43863</v>
      </c>
      <c r="AS1223" s="117" t="n">
        <v>0.584733796296296</v>
      </c>
      <c r="AT1223" s="117" t="n">
        <v>0</v>
      </c>
      <c r="AU1223" s="117" t="n">
        <v>0</v>
      </c>
      <c r="AX1223" s="117" t="n">
        <v>2</v>
      </c>
    </row>
    <row r="1224" customFormat="false" ht="13.8" hidden="true" customHeight="false" outlineLevel="0" collapsed="false">
      <c r="A1224" s="117" t="n">
        <v>1000</v>
      </c>
      <c r="B1224" s="117" t="s">
        <v>1962</v>
      </c>
      <c r="C1224" s="117" t="n">
        <v>100229537</v>
      </c>
      <c r="E1224" s="117" t="s">
        <v>1921</v>
      </c>
      <c r="F1224" s="117" t="n">
        <v>1109</v>
      </c>
      <c r="G1224" s="117" t="n">
        <v>2019</v>
      </c>
      <c r="H1224" s="117" t="n">
        <v>10</v>
      </c>
      <c r="I1224" s="118" t="n">
        <v>43857</v>
      </c>
      <c r="J1224" s="118" t="n">
        <v>43857</v>
      </c>
      <c r="K1224" s="119" t="n">
        <v>-1704373.96</v>
      </c>
      <c r="L1224" s="128" t="n">
        <f aca="false">K1224-Q1224+T1224</f>
        <v>-1704373.96</v>
      </c>
      <c r="M1224" s="117" t="s">
        <v>149</v>
      </c>
      <c r="N1224" s="117" t="n">
        <v>-1704373.96</v>
      </c>
      <c r="O1224" s="117" t="s">
        <v>149</v>
      </c>
      <c r="P1224" s="117" t="n">
        <v>0</v>
      </c>
      <c r="Q1224" s="117" t="n">
        <v>0</v>
      </c>
      <c r="R1224" s="117" t="n">
        <v>-1704373.96</v>
      </c>
      <c r="S1224" s="117" t="n">
        <v>0</v>
      </c>
      <c r="T1224" s="117" t="n">
        <v>0</v>
      </c>
      <c r="U1224" s="117" t="n">
        <v>315113</v>
      </c>
      <c r="V1224" s="117" t="s">
        <v>143</v>
      </c>
      <c r="Z1224" s="117" t="n">
        <v>100229537</v>
      </c>
      <c r="AD1224" s="117" t="n">
        <v>110000</v>
      </c>
      <c r="AE1224" s="117" t="s">
        <v>1966</v>
      </c>
      <c r="AF1224" s="117" t="n">
        <v>110000</v>
      </c>
      <c r="AG1224" s="117" t="s">
        <v>1966</v>
      </c>
      <c r="AI1224" s="117" t="n">
        <v>110000</v>
      </c>
      <c r="AJ1224" s="117" t="s">
        <v>1966</v>
      </c>
      <c r="AK1224" s="117" t="n">
        <v>0</v>
      </c>
      <c r="AL1224" s="117" t="n">
        <v>17</v>
      </c>
      <c r="AM1224" s="117" t="s">
        <v>225</v>
      </c>
      <c r="AP1224" s="117" t="n">
        <v>100229537</v>
      </c>
      <c r="AQ1224" s="118" t="n">
        <v>43857</v>
      </c>
      <c r="AR1224" s="118" t="n">
        <v>43857</v>
      </c>
      <c r="AS1224" s="117" t="n">
        <v>0.288831018518518</v>
      </c>
      <c r="AT1224" s="117" t="n">
        <v>0</v>
      </c>
      <c r="AU1224" s="117" t="n">
        <v>0</v>
      </c>
      <c r="AX1224" s="117" t="n">
        <v>2</v>
      </c>
    </row>
    <row r="1225" customFormat="false" ht="13.8" hidden="true" customHeight="false" outlineLevel="0" collapsed="false">
      <c r="A1225" s="117" t="n">
        <v>1000</v>
      </c>
      <c r="B1225" s="117" t="s">
        <v>1962</v>
      </c>
      <c r="C1225" s="117" t="n">
        <v>100242296</v>
      </c>
      <c r="E1225" s="117" t="s">
        <v>1921</v>
      </c>
      <c r="F1225" s="117" t="n">
        <v>1101</v>
      </c>
      <c r="G1225" s="117" t="n">
        <v>2019</v>
      </c>
      <c r="H1225" s="117" t="n">
        <v>10</v>
      </c>
      <c r="I1225" s="118" t="n">
        <v>43861</v>
      </c>
      <c r="J1225" s="118" t="n">
        <v>43861</v>
      </c>
      <c r="K1225" s="119" t="n">
        <v>240420.8</v>
      </c>
      <c r="L1225" s="128" t="n">
        <f aca="false">K1225-Q1225+T1225</f>
        <v>240420.8</v>
      </c>
      <c r="M1225" s="117" t="s">
        <v>149</v>
      </c>
      <c r="N1225" s="117" t="n">
        <v>240420.8</v>
      </c>
      <c r="O1225" s="117" t="s">
        <v>149</v>
      </c>
      <c r="P1225" s="117" t="n">
        <v>0</v>
      </c>
      <c r="Q1225" s="117" t="n">
        <v>0</v>
      </c>
      <c r="R1225" s="117" t="n">
        <v>240420.8</v>
      </c>
      <c r="S1225" s="117" t="n">
        <v>0</v>
      </c>
      <c r="T1225" s="117" t="n">
        <v>0</v>
      </c>
      <c r="U1225" s="117" t="n">
        <v>312193</v>
      </c>
      <c r="V1225" s="117" t="s">
        <v>1963</v>
      </c>
      <c r="Z1225" s="117" t="n">
        <v>100242296</v>
      </c>
      <c r="AD1225" s="117" t="n">
        <v>310300</v>
      </c>
      <c r="AE1225" s="117" t="s">
        <v>1969</v>
      </c>
      <c r="AF1225" s="117" t="n">
        <v>110000</v>
      </c>
      <c r="AG1225" s="117" t="s">
        <v>1966</v>
      </c>
      <c r="AI1225" s="117" t="n">
        <v>110000</v>
      </c>
      <c r="AJ1225" s="117" t="s">
        <v>1966</v>
      </c>
      <c r="AK1225" s="117" t="n">
        <v>0</v>
      </c>
      <c r="AL1225" s="117" t="n">
        <v>9</v>
      </c>
      <c r="AM1225" s="117" t="s">
        <v>161</v>
      </c>
      <c r="AN1225" s="117" t="s">
        <v>1978</v>
      </c>
      <c r="AP1225" s="117" t="n">
        <v>100242296</v>
      </c>
      <c r="AQ1225" s="118" t="n">
        <v>43861</v>
      </c>
      <c r="AR1225" s="118" t="n">
        <v>43863</v>
      </c>
      <c r="AS1225" s="117" t="n">
        <v>0.435740740740741</v>
      </c>
      <c r="AT1225" s="117" t="n">
        <v>0</v>
      </c>
      <c r="AU1225" s="117" t="n">
        <v>0</v>
      </c>
      <c r="AX1225" s="117" t="n">
        <v>3</v>
      </c>
    </row>
    <row r="1226" s="106" customFormat="true" ht="13.8" hidden="true" customHeight="false" outlineLevel="0" collapsed="false">
      <c r="A1226" s="106" t="n">
        <v>1000</v>
      </c>
      <c r="B1226" s="106" t="s">
        <v>1962</v>
      </c>
      <c r="C1226" s="106" t="n">
        <v>105625</v>
      </c>
      <c r="D1226" s="106" t="s">
        <v>1337</v>
      </c>
      <c r="E1226" s="106" t="s">
        <v>1970</v>
      </c>
      <c r="F1226" s="106" t="n">
        <v>1109</v>
      </c>
      <c r="G1226" s="106" t="n">
        <v>2019</v>
      </c>
      <c r="H1226" s="106" t="n">
        <v>5</v>
      </c>
      <c r="I1226" s="129" t="n">
        <v>43686</v>
      </c>
      <c r="J1226" s="129" t="n">
        <v>43686</v>
      </c>
      <c r="K1226" s="107" t="n">
        <v>22656</v>
      </c>
      <c r="L1226" s="130" t="n">
        <f aca="false">K1226-Q1226+T1226</f>
        <v>19200</v>
      </c>
      <c r="M1226" s="106" t="s">
        <v>149</v>
      </c>
      <c r="N1226" s="106" t="n">
        <v>22656</v>
      </c>
      <c r="O1226" s="106" t="s">
        <v>149</v>
      </c>
      <c r="P1226" s="106" t="n">
        <v>0</v>
      </c>
      <c r="Q1226" s="107" t="n">
        <v>3456</v>
      </c>
      <c r="R1226" s="106" t="n">
        <v>19200</v>
      </c>
      <c r="S1226" s="106" t="n">
        <v>0</v>
      </c>
      <c r="T1226" s="106" t="n">
        <v>0</v>
      </c>
      <c r="U1226" s="106" t="n">
        <v>304431</v>
      </c>
      <c r="V1226" s="106" t="s">
        <v>2016</v>
      </c>
      <c r="Z1226" s="106" t="n">
        <v>2417</v>
      </c>
      <c r="AB1226" s="106" t="s">
        <v>2082</v>
      </c>
      <c r="AD1226" s="106" t="n">
        <v>110000</v>
      </c>
      <c r="AE1226" s="106" t="s">
        <v>1966</v>
      </c>
      <c r="AF1226" s="106" t="n">
        <v>501020</v>
      </c>
      <c r="AG1226" s="106" t="s">
        <v>1971</v>
      </c>
      <c r="AI1226" s="106" t="n">
        <v>501020</v>
      </c>
      <c r="AJ1226" s="106" t="s">
        <v>1971</v>
      </c>
      <c r="AK1226" s="106" t="n">
        <v>0</v>
      </c>
      <c r="AL1226" s="106" t="n">
        <v>1</v>
      </c>
      <c r="AM1226" s="106" t="s">
        <v>161</v>
      </c>
      <c r="AP1226" s="106" t="n">
        <v>100074926</v>
      </c>
      <c r="AQ1226" s="129" t="n">
        <v>43701</v>
      </c>
      <c r="AR1226" s="129" t="n">
        <v>43686</v>
      </c>
      <c r="AS1226" s="106" t="n">
        <v>0.61880787037037</v>
      </c>
      <c r="AT1226" s="106" t="n">
        <v>0</v>
      </c>
      <c r="AU1226" s="106" t="n">
        <v>0</v>
      </c>
      <c r="AX1226" s="106" t="n">
        <v>1</v>
      </c>
      <c r="ALU1226" s="0"/>
      <c r="ALV1226" s="0"/>
      <c r="ALW1226" s="0"/>
      <c r="ALX1226" s="0"/>
      <c r="ALY1226" s="0"/>
      <c r="ALZ1226" s="0"/>
      <c r="AMA1226" s="0"/>
      <c r="AMB1226" s="0"/>
      <c r="AMC1226" s="0"/>
      <c r="AMD1226" s="0"/>
      <c r="AME1226" s="0"/>
      <c r="AMF1226" s="0"/>
      <c r="AMG1226" s="0"/>
      <c r="AMH1226" s="0"/>
      <c r="AMI1226" s="0"/>
      <c r="AMJ1226" s="0"/>
    </row>
    <row r="1227" s="106" customFormat="true" ht="13.8" hidden="true" customHeight="false" outlineLevel="0" collapsed="false">
      <c r="A1227" s="106" t="n">
        <v>1000</v>
      </c>
      <c r="B1227" s="106" t="s">
        <v>1962</v>
      </c>
      <c r="C1227" s="106" t="n">
        <v>113234</v>
      </c>
      <c r="D1227" s="106" t="s">
        <v>2622</v>
      </c>
      <c r="E1227" s="106" t="s">
        <v>1970</v>
      </c>
      <c r="F1227" s="106" t="n">
        <v>1108</v>
      </c>
      <c r="G1227" s="106" t="n">
        <v>2019</v>
      </c>
      <c r="H1227" s="106" t="n">
        <v>11</v>
      </c>
      <c r="I1227" s="129" t="n">
        <v>43887</v>
      </c>
      <c r="J1227" s="129" t="n">
        <v>43887</v>
      </c>
      <c r="K1227" s="107" t="n">
        <v>821510.95</v>
      </c>
      <c r="L1227" s="130" t="n">
        <f aca="false">K1227-Q1227+T1227</f>
        <v>696195.73</v>
      </c>
      <c r="M1227" s="106" t="s">
        <v>149</v>
      </c>
      <c r="N1227" s="106" t="n">
        <v>821510.95</v>
      </c>
      <c r="O1227" s="106" t="s">
        <v>149</v>
      </c>
      <c r="P1227" s="106" t="n">
        <v>0</v>
      </c>
      <c r="Q1227" s="107" t="n">
        <v>125315.22</v>
      </c>
      <c r="R1227" s="106" t="n">
        <v>696195.73</v>
      </c>
      <c r="S1227" s="106" t="n">
        <v>0</v>
      </c>
      <c r="T1227" s="106" t="n">
        <v>0</v>
      </c>
      <c r="U1227" s="106" t="n">
        <v>312193</v>
      </c>
      <c r="V1227" s="106" t="s">
        <v>1963</v>
      </c>
      <c r="Z1227" s="106" t="n">
        <v>63736</v>
      </c>
      <c r="AB1227" s="106" t="s">
        <v>2109</v>
      </c>
      <c r="AD1227" s="106" t="n">
        <v>110000</v>
      </c>
      <c r="AE1227" s="106" t="s">
        <v>1966</v>
      </c>
      <c r="AF1227" s="106" t="n">
        <v>501005</v>
      </c>
      <c r="AG1227" s="106" t="s">
        <v>2033</v>
      </c>
      <c r="AI1227" s="106" t="n">
        <v>501005</v>
      </c>
      <c r="AJ1227" s="106" t="s">
        <v>2033</v>
      </c>
      <c r="AK1227" s="106" t="n">
        <v>0</v>
      </c>
      <c r="AL1227" s="106" t="n">
        <v>1</v>
      </c>
      <c r="AM1227" s="106" t="s">
        <v>161</v>
      </c>
      <c r="AQ1227" s="129"/>
      <c r="AR1227" s="129" t="n">
        <v>43887</v>
      </c>
      <c r="AS1227" s="106" t="n">
        <v>0.732511574074074</v>
      </c>
      <c r="AT1227" s="106" t="n">
        <v>0</v>
      </c>
      <c r="AU1227" s="106" t="n">
        <v>0</v>
      </c>
      <c r="AX1227" s="106" t="n">
        <v>1</v>
      </c>
      <c r="ALU1227" s="0"/>
      <c r="ALV1227" s="0"/>
      <c r="ALW1227" s="0"/>
      <c r="ALX1227" s="0"/>
      <c r="ALY1227" s="0"/>
      <c r="ALZ1227" s="0"/>
      <c r="AMA1227" s="0"/>
      <c r="AMB1227" s="0"/>
      <c r="AMC1227" s="0"/>
      <c r="AMD1227" s="0"/>
      <c r="AME1227" s="0"/>
      <c r="AMF1227" s="0"/>
      <c r="AMG1227" s="0"/>
      <c r="AMH1227" s="0"/>
      <c r="AMI1227" s="0"/>
      <c r="AMJ1227" s="0"/>
    </row>
    <row r="1228" customFormat="false" ht="13.8" hidden="true" customHeight="false" outlineLevel="0" collapsed="false">
      <c r="A1228" s="117" t="n">
        <v>1000</v>
      </c>
      <c r="B1228" s="117" t="s">
        <v>1962</v>
      </c>
      <c r="C1228" s="117" t="n">
        <v>100231548</v>
      </c>
      <c r="E1228" s="117" t="s">
        <v>1921</v>
      </c>
      <c r="F1228" s="117" t="n">
        <v>1109</v>
      </c>
      <c r="G1228" s="117" t="n">
        <v>2019</v>
      </c>
      <c r="H1228" s="117" t="n">
        <v>10</v>
      </c>
      <c r="I1228" s="118" t="n">
        <v>43859</v>
      </c>
      <c r="J1228" s="118" t="n">
        <v>43859</v>
      </c>
      <c r="K1228" s="119" t="n">
        <v>5036</v>
      </c>
      <c r="L1228" s="128" t="n">
        <f aca="false">K1228-Q1228+T1228</f>
        <v>5036</v>
      </c>
      <c r="M1228" s="117" t="s">
        <v>149</v>
      </c>
      <c r="N1228" s="117" t="n">
        <v>5036</v>
      </c>
      <c r="O1228" s="117" t="s">
        <v>149</v>
      </c>
      <c r="P1228" s="117" t="n">
        <v>0</v>
      </c>
      <c r="Q1228" s="117" t="n">
        <v>0</v>
      </c>
      <c r="R1228" s="117" t="n">
        <v>5036</v>
      </c>
      <c r="S1228" s="117" t="n">
        <v>0</v>
      </c>
      <c r="T1228" s="117" t="n">
        <v>0</v>
      </c>
      <c r="U1228" s="117" t="n">
        <v>312193</v>
      </c>
      <c r="V1228" s="117" t="s">
        <v>1963</v>
      </c>
      <c r="Z1228" s="117" t="n">
        <v>100231548</v>
      </c>
      <c r="AD1228" s="117" t="n">
        <v>110000</v>
      </c>
      <c r="AE1228" s="117" t="s">
        <v>1966</v>
      </c>
      <c r="AF1228" s="117" t="n">
        <v>110000</v>
      </c>
      <c r="AG1228" s="117" t="s">
        <v>1966</v>
      </c>
      <c r="AI1228" s="117" t="n">
        <v>110000</v>
      </c>
      <c r="AJ1228" s="117" t="s">
        <v>1966</v>
      </c>
      <c r="AK1228" s="117" t="n">
        <v>0</v>
      </c>
      <c r="AL1228" s="117" t="n">
        <v>7</v>
      </c>
      <c r="AM1228" s="117" t="s">
        <v>161</v>
      </c>
      <c r="AP1228" s="117" t="n">
        <v>100231548</v>
      </c>
      <c r="AQ1228" s="118" t="n">
        <v>43859</v>
      </c>
      <c r="AR1228" s="118" t="n">
        <v>43859</v>
      </c>
      <c r="AS1228" s="117" t="n">
        <v>0.274976851851852</v>
      </c>
      <c r="AT1228" s="117" t="n">
        <v>0</v>
      </c>
      <c r="AU1228" s="117" t="n">
        <v>0</v>
      </c>
      <c r="AX1228" s="117" t="n">
        <v>3</v>
      </c>
    </row>
    <row r="1229" customFormat="false" ht="13.8" hidden="true" customHeight="false" outlineLevel="0" collapsed="false">
      <c r="A1229" s="117" t="n">
        <v>1000</v>
      </c>
      <c r="B1229" s="117" t="s">
        <v>1962</v>
      </c>
      <c r="C1229" s="117" t="n">
        <v>1600000413</v>
      </c>
      <c r="D1229" s="117" t="s">
        <v>2175</v>
      </c>
      <c r="E1229" s="117" t="s">
        <v>1987</v>
      </c>
      <c r="F1229" s="117" t="n">
        <v>1106</v>
      </c>
      <c r="G1229" s="117" t="n">
        <v>2019</v>
      </c>
      <c r="H1229" s="117" t="n">
        <v>10</v>
      </c>
      <c r="I1229" s="118" t="n">
        <v>43859</v>
      </c>
      <c r="J1229" s="118" t="n">
        <v>43859</v>
      </c>
      <c r="K1229" s="119" t="n">
        <v>58366</v>
      </c>
      <c r="L1229" s="128" t="n">
        <f aca="false">K1229-Q1229+T1229</f>
        <v>58366</v>
      </c>
      <c r="M1229" s="117" t="s">
        <v>149</v>
      </c>
      <c r="N1229" s="117" t="n">
        <v>58366</v>
      </c>
      <c r="O1229" s="117" t="s">
        <v>149</v>
      </c>
      <c r="P1229" s="117" t="n">
        <v>58366</v>
      </c>
      <c r="Q1229" s="117" t="n">
        <v>0</v>
      </c>
      <c r="R1229" s="117" t="n">
        <v>58366</v>
      </c>
      <c r="S1229" s="117" t="n">
        <v>0</v>
      </c>
      <c r="T1229" s="117" t="n">
        <v>0</v>
      </c>
      <c r="U1229" s="117" t="n">
        <v>312193</v>
      </c>
      <c r="V1229" s="117" t="s">
        <v>1963</v>
      </c>
      <c r="X1229" s="117" t="s">
        <v>2623</v>
      </c>
      <c r="Y1229" s="117" t="s">
        <v>2176</v>
      </c>
      <c r="Z1229" s="117" t="n">
        <v>1600000413</v>
      </c>
      <c r="AD1229" s="117" t="n">
        <v>111105</v>
      </c>
      <c r="AE1229" s="117" t="s">
        <v>1994</v>
      </c>
      <c r="AF1229" s="117" t="n">
        <v>312193</v>
      </c>
      <c r="AG1229" s="117" t="s">
        <v>1963</v>
      </c>
      <c r="AI1229" s="117" t="n">
        <v>312193</v>
      </c>
      <c r="AJ1229" s="131" t="s">
        <v>1963</v>
      </c>
      <c r="AK1229" s="117" t="n">
        <v>0</v>
      </c>
      <c r="AL1229" s="117" t="n">
        <v>9</v>
      </c>
      <c r="AM1229" s="117" t="s">
        <v>161</v>
      </c>
      <c r="AN1229" s="117" t="s">
        <v>1995</v>
      </c>
      <c r="AR1229" s="118" t="n">
        <v>43859</v>
      </c>
      <c r="AS1229" s="117" t="n">
        <v>0.266435185185185</v>
      </c>
      <c r="AT1229" s="117" t="n">
        <v>0</v>
      </c>
      <c r="AU1229" s="117" t="n">
        <v>0</v>
      </c>
      <c r="AX1229" s="117" t="n">
        <v>3</v>
      </c>
    </row>
    <row r="1230" customFormat="false" ht="13.8" hidden="true" customHeight="false" outlineLevel="0" collapsed="false">
      <c r="A1230" s="117" t="n">
        <v>1000</v>
      </c>
      <c r="B1230" s="117" t="s">
        <v>1962</v>
      </c>
      <c r="C1230" s="117" t="n">
        <v>100231550</v>
      </c>
      <c r="E1230" s="117" t="s">
        <v>1921</v>
      </c>
      <c r="F1230" s="117" t="n">
        <v>1109</v>
      </c>
      <c r="G1230" s="117" t="n">
        <v>2019</v>
      </c>
      <c r="H1230" s="117" t="n">
        <v>10</v>
      </c>
      <c r="I1230" s="118" t="n">
        <v>43859</v>
      </c>
      <c r="J1230" s="118" t="n">
        <v>43859</v>
      </c>
      <c r="K1230" s="119" t="n">
        <v>2120</v>
      </c>
      <c r="L1230" s="128" t="n">
        <f aca="false">K1230-Q1230+T1230</f>
        <v>2120</v>
      </c>
      <c r="M1230" s="117" t="s">
        <v>149</v>
      </c>
      <c r="N1230" s="117" t="n">
        <v>2120</v>
      </c>
      <c r="O1230" s="117" t="s">
        <v>149</v>
      </c>
      <c r="P1230" s="117" t="n">
        <v>0</v>
      </c>
      <c r="Q1230" s="117" t="n">
        <v>0</v>
      </c>
      <c r="R1230" s="117" t="n">
        <v>2120</v>
      </c>
      <c r="S1230" s="117" t="n">
        <v>0</v>
      </c>
      <c r="T1230" s="117" t="n">
        <v>0</v>
      </c>
      <c r="U1230" s="117" t="n">
        <v>312193</v>
      </c>
      <c r="V1230" s="117" t="s">
        <v>1963</v>
      </c>
      <c r="Z1230" s="117" t="n">
        <v>100231550</v>
      </c>
      <c r="AD1230" s="117" t="n">
        <v>110000</v>
      </c>
      <c r="AE1230" s="117" t="s">
        <v>1966</v>
      </c>
      <c r="AF1230" s="117" t="n">
        <v>110000</v>
      </c>
      <c r="AG1230" s="117" t="s">
        <v>1966</v>
      </c>
      <c r="AI1230" s="117" t="n">
        <v>110000</v>
      </c>
      <c r="AJ1230" s="117" t="s">
        <v>1966</v>
      </c>
      <c r="AK1230" s="117" t="n">
        <v>0</v>
      </c>
      <c r="AL1230" s="117" t="n">
        <v>7</v>
      </c>
      <c r="AM1230" s="117" t="s">
        <v>161</v>
      </c>
      <c r="AP1230" s="117" t="n">
        <v>100231550</v>
      </c>
      <c r="AQ1230" s="118" t="n">
        <v>43859</v>
      </c>
      <c r="AR1230" s="118" t="n">
        <v>43859</v>
      </c>
      <c r="AS1230" s="117" t="n">
        <v>0.282858796296296</v>
      </c>
      <c r="AT1230" s="117" t="n">
        <v>0</v>
      </c>
      <c r="AU1230" s="117" t="n">
        <v>0</v>
      </c>
      <c r="AX1230" s="117" t="n">
        <v>2</v>
      </c>
    </row>
    <row r="1231" s="106" customFormat="true" ht="13.8" hidden="true" customHeight="false" outlineLevel="0" collapsed="false">
      <c r="A1231" s="106" t="n">
        <v>1000</v>
      </c>
      <c r="B1231" s="106" t="s">
        <v>1962</v>
      </c>
      <c r="C1231" s="106" t="n">
        <v>105632</v>
      </c>
      <c r="D1231" s="106" t="s">
        <v>1332</v>
      </c>
      <c r="E1231" s="106" t="s">
        <v>1970</v>
      </c>
      <c r="F1231" s="106" t="n">
        <v>1109</v>
      </c>
      <c r="G1231" s="106" t="n">
        <v>2019</v>
      </c>
      <c r="H1231" s="106" t="n">
        <v>5</v>
      </c>
      <c r="I1231" s="129" t="n">
        <v>43686</v>
      </c>
      <c r="J1231" s="129" t="n">
        <v>43686</v>
      </c>
      <c r="K1231" s="107" t="n">
        <v>373824</v>
      </c>
      <c r="L1231" s="130" t="n">
        <f aca="false">K1231-Q1231+T1231</f>
        <v>316800</v>
      </c>
      <c r="M1231" s="106" t="s">
        <v>149</v>
      </c>
      <c r="N1231" s="106" t="n">
        <v>373824</v>
      </c>
      <c r="O1231" s="106" t="s">
        <v>149</v>
      </c>
      <c r="P1231" s="106" t="n">
        <v>0</v>
      </c>
      <c r="Q1231" s="107" t="n">
        <v>57024</v>
      </c>
      <c r="R1231" s="106" t="n">
        <v>316800</v>
      </c>
      <c r="S1231" s="106" t="n">
        <v>0</v>
      </c>
      <c r="T1231" s="106" t="n">
        <v>0</v>
      </c>
      <c r="U1231" s="106" t="n">
        <v>304431</v>
      </c>
      <c r="V1231" s="106" t="s">
        <v>2016</v>
      </c>
      <c r="Z1231" s="106" t="n">
        <v>2247</v>
      </c>
      <c r="AB1231" s="106" t="s">
        <v>2043</v>
      </c>
      <c r="AD1231" s="106" t="n">
        <v>110000</v>
      </c>
      <c r="AE1231" s="106" t="s">
        <v>1966</v>
      </c>
      <c r="AF1231" s="106" t="n">
        <v>501020</v>
      </c>
      <c r="AG1231" s="106" t="s">
        <v>1971</v>
      </c>
      <c r="AI1231" s="106" t="n">
        <v>501020</v>
      </c>
      <c r="AJ1231" s="106" t="s">
        <v>1971</v>
      </c>
      <c r="AK1231" s="106" t="n">
        <v>0</v>
      </c>
      <c r="AL1231" s="106" t="n">
        <v>1</v>
      </c>
      <c r="AM1231" s="106" t="s">
        <v>161</v>
      </c>
      <c r="AP1231" s="106" t="n">
        <v>100074926</v>
      </c>
      <c r="AQ1231" s="129" t="n">
        <v>43701</v>
      </c>
      <c r="AR1231" s="129" t="n">
        <v>43686</v>
      </c>
      <c r="AS1231" s="106" t="n">
        <v>0.635821759259259</v>
      </c>
      <c r="AT1231" s="106" t="n">
        <v>0</v>
      </c>
      <c r="AU1231" s="106" t="n">
        <v>0</v>
      </c>
      <c r="AX1231" s="106" t="n">
        <v>1</v>
      </c>
      <c r="ALU1231" s="0"/>
      <c r="ALV1231" s="0"/>
      <c r="ALW1231" s="0"/>
      <c r="ALX1231" s="0"/>
      <c r="ALY1231" s="0"/>
      <c r="ALZ1231" s="0"/>
      <c r="AMA1231" s="0"/>
      <c r="AMB1231" s="0"/>
      <c r="AMC1231" s="0"/>
      <c r="AMD1231" s="0"/>
      <c r="AME1231" s="0"/>
      <c r="AMF1231" s="0"/>
      <c r="AMG1231" s="0"/>
      <c r="AMH1231" s="0"/>
      <c r="AMI1231" s="0"/>
      <c r="AMJ1231" s="0"/>
    </row>
    <row r="1232" customFormat="false" ht="13.8" hidden="true" customHeight="false" outlineLevel="0" collapsed="false">
      <c r="A1232" s="117" t="n">
        <v>1000</v>
      </c>
      <c r="B1232" s="117" t="s">
        <v>1962</v>
      </c>
      <c r="C1232" s="117" t="n">
        <v>100260160</v>
      </c>
      <c r="E1232" s="117" t="s">
        <v>1921</v>
      </c>
      <c r="F1232" s="117" t="n">
        <v>1109</v>
      </c>
      <c r="G1232" s="117" t="n">
        <v>2019</v>
      </c>
      <c r="H1232" s="117" t="n">
        <v>11</v>
      </c>
      <c r="I1232" s="118" t="n">
        <v>43883</v>
      </c>
      <c r="J1232" s="118" t="n">
        <v>43883</v>
      </c>
      <c r="K1232" s="119" t="n">
        <v>-1430324.02</v>
      </c>
      <c r="L1232" s="128" t="n">
        <f aca="false">K1232-Q1232+T1232</f>
        <v>-1430324.02</v>
      </c>
      <c r="M1232" s="117" t="s">
        <v>149</v>
      </c>
      <c r="N1232" s="117" t="n">
        <v>-1430324.02</v>
      </c>
      <c r="O1232" s="117" t="s">
        <v>149</v>
      </c>
      <c r="P1232" s="117" t="n">
        <v>0</v>
      </c>
      <c r="Q1232" s="117" t="n">
        <v>0</v>
      </c>
      <c r="R1232" s="117" t="n">
        <v>-1430324.02</v>
      </c>
      <c r="S1232" s="117" t="n">
        <v>0</v>
      </c>
      <c r="T1232" s="117" t="n">
        <v>0</v>
      </c>
      <c r="U1232" s="117" t="n">
        <v>305576</v>
      </c>
      <c r="V1232" s="117" t="s">
        <v>1973</v>
      </c>
      <c r="Z1232" s="117" t="n">
        <v>100260160</v>
      </c>
      <c r="AD1232" s="117" t="n">
        <v>110000</v>
      </c>
      <c r="AE1232" s="117" t="s">
        <v>1966</v>
      </c>
      <c r="AF1232" s="117" t="n">
        <v>110000</v>
      </c>
      <c r="AG1232" s="117" t="s">
        <v>1966</v>
      </c>
      <c r="AI1232" s="117" t="n">
        <v>110000</v>
      </c>
      <c r="AJ1232" s="117" t="s">
        <v>1966</v>
      </c>
      <c r="AK1232" s="117" t="n">
        <v>0</v>
      </c>
      <c r="AL1232" s="117" t="n">
        <v>17</v>
      </c>
      <c r="AM1232" s="117" t="s">
        <v>225</v>
      </c>
      <c r="AP1232" s="117" t="n">
        <v>100260160</v>
      </c>
      <c r="AQ1232" s="118" t="n">
        <v>43883</v>
      </c>
      <c r="AR1232" s="118" t="n">
        <v>43883</v>
      </c>
      <c r="AS1232" s="117" t="n">
        <v>0.336875</v>
      </c>
      <c r="AT1232" s="117" t="n">
        <v>0</v>
      </c>
      <c r="AU1232" s="117" t="n">
        <v>0</v>
      </c>
      <c r="AX1232" s="117" t="n">
        <v>3</v>
      </c>
    </row>
    <row r="1233" customFormat="false" ht="13.8" hidden="true" customHeight="false" outlineLevel="0" collapsed="false">
      <c r="A1233" s="117" t="n">
        <v>1000</v>
      </c>
      <c r="B1233" s="117" t="s">
        <v>1962</v>
      </c>
      <c r="C1233" s="117" t="n">
        <v>100229537</v>
      </c>
      <c r="E1233" s="117" t="s">
        <v>1921</v>
      </c>
      <c r="F1233" s="117" t="n">
        <v>1106</v>
      </c>
      <c r="G1233" s="117" t="n">
        <v>2019</v>
      </c>
      <c r="H1233" s="117" t="n">
        <v>10</v>
      </c>
      <c r="I1233" s="118" t="n">
        <v>43857</v>
      </c>
      <c r="J1233" s="118" t="n">
        <v>43857</v>
      </c>
      <c r="K1233" s="119" t="n">
        <v>1703903.64</v>
      </c>
      <c r="L1233" s="128" t="n">
        <f aca="false">K1233-Q1233+T1233</f>
        <v>1703903.64</v>
      </c>
      <c r="M1233" s="117" t="s">
        <v>149</v>
      </c>
      <c r="N1233" s="117" t="n">
        <v>1703903.64</v>
      </c>
      <c r="O1233" s="117" t="s">
        <v>149</v>
      </c>
      <c r="P1233" s="117" t="n">
        <v>0</v>
      </c>
      <c r="Q1233" s="117" t="n">
        <v>0</v>
      </c>
      <c r="R1233" s="117" t="n">
        <v>1703903.64</v>
      </c>
      <c r="S1233" s="117" t="n">
        <v>0</v>
      </c>
      <c r="T1233" s="117" t="n">
        <v>0</v>
      </c>
      <c r="U1233" s="117" t="n">
        <v>315113</v>
      </c>
      <c r="V1233" s="117" t="s">
        <v>143</v>
      </c>
      <c r="Z1233" s="117" t="n">
        <v>100229537</v>
      </c>
      <c r="AD1233" s="117" t="n">
        <v>310300</v>
      </c>
      <c r="AE1233" s="117" t="s">
        <v>1969</v>
      </c>
      <c r="AF1233" s="117" t="n">
        <v>110000</v>
      </c>
      <c r="AG1233" s="117" t="s">
        <v>1966</v>
      </c>
      <c r="AI1233" s="117" t="n">
        <v>110000</v>
      </c>
      <c r="AJ1233" s="117" t="s">
        <v>1966</v>
      </c>
      <c r="AK1233" s="117" t="n">
        <v>0</v>
      </c>
      <c r="AL1233" s="117" t="n">
        <v>9</v>
      </c>
      <c r="AM1233" s="117" t="s">
        <v>161</v>
      </c>
      <c r="AN1233" s="117" t="s">
        <v>1978</v>
      </c>
      <c r="AP1233" s="117" t="n">
        <v>100229537</v>
      </c>
      <c r="AQ1233" s="118" t="n">
        <v>43857</v>
      </c>
      <c r="AR1233" s="118" t="n">
        <v>43857</v>
      </c>
      <c r="AS1233" s="117" t="n">
        <v>0.288831018518518</v>
      </c>
      <c r="AT1233" s="117" t="n">
        <v>0</v>
      </c>
      <c r="AU1233" s="117" t="n">
        <v>0</v>
      </c>
      <c r="AX1233" s="117" t="n">
        <v>4</v>
      </c>
    </row>
    <row r="1234" s="106" customFormat="true" ht="13.8" hidden="true" customHeight="false" outlineLevel="0" collapsed="false">
      <c r="A1234" s="106" t="n">
        <v>1000</v>
      </c>
      <c r="B1234" s="106" t="s">
        <v>1962</v>
      </c>
      <c r="C1234" s="106" t="n">
        <v>105634</v>
      </c>
      <c r="D1234" s="106" t="s">
        <v>2624</v>
      </c>
      <c r="E1234" s="106" t="s">
        <v>1970</v>
      </c>
      <c r="F1234" s="106" t="n">
        <v>1109</v>
      </c>
      <c r="G1234" s="106" t="n">
        <v>2019</v>
      </c>
      <c r="H1234" s="106" t="n">
        <v>5</v>
      </c>
      <c r="I1234" s="129" t="n">
        <v>43686</v>
      </c>
      <c r="J1234" s="129" t="n">
        <v>43686</v>
      </c>
      <c r="K1234" s="107" t="n">
        <v>572418</v>
      </c>
      <c r="L1234" s="130" t="n">
        <f aca="false">K1234-Q1234+T1234</f>
        <v>485100</v>
      </c>
      <c r="M1234" s="106" t="s">
        <v>149</v>
      </c>
      <c r="N1234" s="106" t="n">
        <v>572418</v>
      </c>
      <c r="O1234" s="106" t="s">
        <v>149</v>
      </c>
      <c r="P1234" s="106" t="n">
        <v>0</v>
      </c>
      <c r="Q1234" s="107" t="n">
        <v>87318</v>
      </c>
      <c r="R1234" s="106" t="n">
        <v>485100</v>
      </c>
      <c r="S1234" s="106" t="n">
        <v>0</v>
      </c>
      <c r="T1234" s="106" t="n">
        <v>0</v>
      </c>
      <c r="U1234" s="106" t="n">
        <v>312193</v>
      </c>
      <c r="V1234" s="106" t="s">
        <v>1963</v>
      </c>
      <c r="Z1234" s="106" t="n">
        <v>2316</v>
      </c>
      <c r="AB1234" s="106" t="s">
        <v>1965</v>
      </c>
      <c r="AD1234" s="106" t="n">
        <v>110000</v>
      </c>
      <c r="AE1234" s="106" t="s">
        <v>1966</v>
      </c>
      <c r="AF1234" s="106" t="n">
        <v>501020</v>
      </c>
      <c r="AG1234" s="106" t="s">
        <v>1971</v>
      </c>
      <c r="AI1234" s="106" t="n">
        <v>501020</v>
      </c>
      <c r="AJ1234" s="106" t="s">
        <v>1971</v>
      </c>
      <c r="AK1234" s="106" t="n">
        <v>0</v>
      </c>
      <c r="AL1234" s="106" t="n">
        <v>1</v>
      </c>
      <c r="AM1234" s="106" t="s">
        <v>161</v>
      </c>
      <c r="AP1234" s="106" t="n">
        <v>100078765</v>
      </c>
      <c r="AQ1234" s="129" t="n">
        <v>43706</v>
      </c>
      <c r="AR1234" s="129" t="n">
        <v>43686</v>
      </c>
      <c r="AS1234" s="106" t="n">
        <v>0.658125</v>
      </c>
      <c r="AT1234" s="106" t="n">
        <v>0</v>
      </c>
      <c r="AU1234" s="106" t="n">
        <v>0</v>
      </c>
      <c r="AX1234" s="106" t="n">
        <v>1</v>
      </c>
      <c r="ALU1234" s="0"/>
      <c r="ALV1234" s="0"/>
      <c r="ALW1234" s="0"/>
      <c r="ALX1234" s="0"/>
      <c r="ALY1234" s="0"/>
      <c r="ALZ1234" s="0"/>
      <c r="AMA1234" s="0"/>
      <c r="AMB1234" s="0"/>
      <c r="AMC1234" s="0"/>
      <c r="AMD1234" s="0"/>
      <c r="AME1234" s="0"/>
      <c r="AMF1234" s="0"/>
      <c r="AMG1234" s="0"/>
      <c r="AMH1234" s="0"/>
      <c r="AMI1234" s="0"/>
      <c r="AMJ1234" s="0"/>
    </row>
    <row r="1235" customFormat="false" ht="13.8" hidden="true" customHeight="false" outlineLevel="0" collapsed="false">
      <c r="A1235" s="117" t="n">
        <v>1000</v>
      </c>
      <c r="B1235" s="117" t="s">
        <v>1962</v>
      </c>
      <c r="C1235" s="117" t="n">
        <v>100231557</v>
      </c>
      <c r="E1235" s="117" t="s">
        <v>1921</v>
      </c>
      <c r="F1235" s="117" t="n">
        <v>1112</v>
      </c>
      <c r="G1235" s="117" t="n">
        <v>2019</v>
      </c>
      <c r="H1235" s="117" t="n">
        <v>10</v>
      </c>
      <c r="I1235" s="118" t="n">
        <v>43859</v>
      </c>
      <c r="J1235" s="118" t="n">
        <v>43859</v>
      </c>
      <c r="K1235" s="119" t="n">
        <v>49744.32</v>
      </c>
      <c r="L1235" s="128" t="n">
        <f aca="false">K1235-Q1235+T1235</f>
        <v>49744.32</v>
      </c>
      <c r="M1235" s="117" t="s">
        <v>149</v>
      </c>
      <c r="N1235" s="117" t="n">
        <v>49744.32</v>
      </c>
      <c r="O1235" s="117" t="s">
        <v>149</v>
      </c>
      <c r="P1235" s="117" t="n">
        <v>0</v>
      </c>
      <c r="Q1235" s="117" t="n">
        <v>0</v>
      </c>
      <c r="R1235" s="117" t="n">
        <v>49744.32</v>
      </c>
      <c r="S1235" s="117" t="n">
        <v>0</v>
      </c>
      <c r="T1235" s="117" t="n">
        <v>0</v>
      </c>
      <c r="U1235" s="117" t="n">
        <v>312193</v>
      </c>
      <c r="V1235" s="117" t="s">
        <v>1963</v>
      </c>
      <c r="X1235" s="117" t="s">
        <v>2610</v>
      </c>
      <c r="Z1235" s="117" t="n">
        <v>62199</v>
      </c>
      <c r="AB1235" s="117" t="s">
        <v>2350</v>
      </c>
      <c r="AD1235" s="117" t="n">
        <v>110000</v>
      </c>
      <c r="AE1235" s="117" t="s">
        <v>1966</v>
      </c>
      <c r="AF1235" s="117" t="n">
        <v>110000</v>
      </c>
      <c r="AG1235" s="117" t="s">
        <v>1966</v>
      </c>
      <c r="AI1235" s="117" t="n">
        <v>110000</v>
      </c>
      <c r="AJ1235" s="117" t="s">
        <v>1966</v>
      </c>
      <c r="AK1235" s="117" t="n">
        <v>0</v>
      </c>
      <c r="AL1235" s="117" t="n">
        <v>4</v>
      </c>
      <c r="AM1235" s="117" t="s">
        <v>161</v>
      </c>
      <c r="AR1235" s="118" t="n">
        <v>43859</v>
      </c>
      <c r="AS1235" s="117" t="n">
        <v>0.289224537037037</v>
      </c>
      <c r="AT1235" s="117" t="n">
        <v>0</v>
      </c>
      <c r="AU1235" s="117" t="n">
        <v>0</v>
      </c>
      <c r="AX1235" s="117" t="n">
        <v>4</v>
      </c>
    </row>
    <row r="1236" customFormat="false" ht="13.8" hidden="true" customHeight="false" outlineLevel="0" collapsed="false">
      <c r="A1236" s="117" t="n">
        <v>1000</v>
      </c>
      <c r="B1236" s="117" t="s">
        <v>1962</v>
      </c>
      <c r="C1236" s="117" t="n">
        <v>1400010663</v>
      </c>
      <c r="E1236" s="117" t="s">
        <v>1972</v>
      </c>
      <c r="F1236" s="117" t="n">
        <v>1101</v>
      </c>
      <c r="G1236" s="117" t="n">
        <v>2019</v>
      </c>
      <c r="H1236" s="117" t="n">
        <v>11</v>
      </c>
      <c r="I1236" s="118" t="n">
        <v>43871</v>
      </c>
      <c r="J1236" s="118" t="n">
        <v>43871</v>
      </c>
      <c r="K1236" s="119" t="n">
        <v>-121506.46</v>
      </c>
      <c r="L1236" s="128" t="n">
        <f aca="false">K1236-Q1236+T1236</f>
        <v>-121506.46</v>
      </c>
      <c r="M1236" s="117" t="s">
        <v>149</v>
      </c>
      <c r="N1236" s="117" t="n">
        <v>-121506.46</v>
      </c>
      <c r="O1236" s="117" t="s">
        <v>149</v>
      </c>
      <c r="P1236" s="117" t="n">
        <v>0</v>
      </c>
      <c r="Q1236" s="117" t="n">
        <v>0</v>
      </c>
      <c r="R1236" s="117" t="n">
        <v>-121506.46</v>
      </c>
      <c r="S1236" s="117" t="n">
        <v>0</v>
      </c>
      <c r="T1236" s="117" t="n">
        <v>0</v>
      </c>
      <c r="U1236" s="117" t="n">
        <v>315113</v>
      </c>
      <c r="V1236" s="117" t="s">
        <v>143</v>
      </c>
      <c r="X1236" s="117" t="s">
        <v>2625</v>
      </c>
      <c r="Y1236" s="117" t="s">
        <v>2626</v>
      </c>
      <c r="Z1236" s="117" t="n">
        <v>1400010663</v>
      </c>
      <c r="AC1236" s="117" t="s">
        <v>1976</v>
      </c>
      <c r="AD1236" s="117" t="n">
        <v>310300</v>
      </c>
      <c r="AE1236" s="117" t="s">
        <v>1969</v>
      </c>
      <c r="AF1236" s="117" t="n">
        <v>101105</v>
      </c>
      <c r="AG1236" s="117" t="s">
        <v>1977</v>
      </c>
      <c r="AI1236" s="117" t="n">
        <v>101105</v>
      </c>
      <c r="AJ1236" s="117" t="s">
        <v>1977</v>
      </c>
      <c r="AK1236" s="117" t="n">
        <v>0</v>
      </c>
      <c r="AL1236" s="117" t="n">
        <v>19</v>
      </c>
      <c r="AM1236" s="117" t="s">
        <v>225</v>
      </c>
      <c r="AN1236" s="117" t="s">
        <v>1978</v>
      </c>
      <c r="AP1236" s="117" t="n">
        <v>100261921</v>
      </c>
      <c r="AQ1236" s="118" t="n">
        <v>43884</v>
      </c>
      <c r="AR1236" s="118" t="n">
        <v>43872</v>
      </c>
      <c r="AS1236" s="117" t="n">
        <v>0.618460648148148</v>
      </c>
      <c r="AT1236" s="117" t="n">
        <v>0</v>
      </c>
      <c r="AU1236" s="117" t="n">
        <v>0</v>
      </c>
      <c r="AX1236" s="117" t="n">
        <v>2</v>
      </c>
    </row>
    <row r="1237" s="106" customFormat="true" ht="13.8" hidden="true" customHeight="false" outlineLevel="0" collapsed="false">
      <c r="A1237" s="106" t="n">
        <v>1000</v>
      </c>
      <c r="B1237" s="106" t="s">
        <v>1962</v>
      </c>
      <c r="C1237" s="106" t="n">
        <v>106004</v>
      </c>
      <c r="D1237" s="106" t="s">
        <v>2627</v>
      </c>
      <c r="E1237" s="106" t="s">
        <v>1970</v>
      </c>
      <c r="F1237" s="106" t="n">
        <v>1109</v>
      </c>
      <c r="G1237" s="106" t="n">
        <v>2019</v>
      </c>
      <c r="H1237" s="106" t="n">
        <v>5</v>
      </c>
      <c r="I1237" s="129" t="n">
        <v>43686</v>
      </c>
      <c r="J1237" s="129" t="n">
        <v>43686</v>
      </c>
      <c r="K1237" s="107" t="n">
        <v>-288228.34</v>
      </c>
      <c r="L1237" s="130" t="n">
        <f aca="false">K1237-Q1237+T1237</f>
        <v>-244261.3</v>
      </c>
      <c r="M1237" s="106" t="s">
        <v>149</v>
      </c>
      <c r="N1237" s="106" t="n">
        <v>-288228.34</v>
      </c>
      <c r="O1237" s="106" t="s">
        <v>149</v>
      </c>
      <c r="P1237" s="106" t="n">
        <v>0</v>
      </c>
      <c r="Q1237" s="107" t="n">
        <v>-43967.04</v>
      </c>
      <c r="R1237" s="106" t="n">
        <v>-244261.3</v>
      </c>
      <c r="S1237" s="106" t="n">
        <v>0</v>
      </c>
      <c r="T1237" s="106" t="n">
        <v>0</v>
      </c>
      <c r="U1237" s="106" t="n">
        <v>304431</v>
      </c>
      <c r="V1237" s="106" t="s">
        <v>2016</v>
      </c>
      <c r="Z1237" s="106" t="n">
        <v>2447</v>
      </c>
      <c r="AB1237" s="106" t="s">
        <v>2052</v>
      </c>
      <c r="AD1237" s="106" t="n">
        <v>110000</v>
      </c>
      <c r="AE1237" s="106" t="s">
        <v>1966</v>
      </c>
      <c r="AF1237" s="106" t="n">
        <v>501020</v>
      </c>
      <c r="AG1237" s="106" t="s">
        <v>1971</v>
      </c>
      <c r="AI1237" s="106" t="n">
        <v>501020</v>
      </c>
      <c r="AJ1237" s="106" t="s">
        <v>1971</v>
      </c>
      <c r="AK1237" s="106" t="n">
        <v>0</v>
      </c>
      <c r="AL1237" s="106" t="n">
        <v>11</v>
      </c>
      <c r="AM1237" s="106" t="s">
        <v>225</v>
      </c>
      <c r="AP1237" s="106" t="n">
        <v>100074926</v>
      </c>
      <c r="AQ1237" s="129" t="n">
        <v>43701</v>
      </c>
      <c r="AR1237" s="129" t="n">
        <v>43700</v>
      </c>
      <c r="AS1237" s="106" t="n">
        <v>0.687002314814815</v>
      </c>
      <c r="AT1237" s="106" t="n">
        <v>0</v>
      </c>
      <c r="AU1237" s="106" t="n">
        <v>0</v>
      </c>
      <c r="AX1237" s="106" t="n">
        <v>1</v>
      </c>
      <c r="ALU1237" s="0"/>
      <c r="ALV1237" s="0"/>
      <c r="ALW1237" s="0"/>
      <c r="ALX1237" s="0"/>
      <c r="ALY1237" s="0"/>
      <c r="ALZ1237" s="0"/>
      <c r="AMA1237" s="0"/>
      <c r="AMB1237" s="0"/>
      <c r="AMC1237" s="0"/>
      <c r="AMD1237" s="0"/>
      <c r="AME1237" s="0"/>
      <c r="AMF1237" s="0"/>
      <c r="AMG1237" s="0"/>
      <c r="AMH1237" s="0"/>
      <c r="AMI1237" s="0"/>
      <c r="AMJ1237" s="0"/>
    </row>
    <row r="1238" customFormat="false" ht="13.8" hidden="true" customHeight="false" outlineLevel="0" collapsed="false">
      <c r="A1238" s="117" t="n">
        <v>1000</v>
      </c>
      <c r="B1238" s="117" t="s">
        <v>1962</v>
      </c>
      <c r="C1238" s="117" t="n">
        <v>100242296</v>
      </c>
      <c r="E1238" s="117" t="s">
        <v>1921</v>
      </c>
      <c r="F1238" s="117" t="n">
        <v>1109</v>
      </c>
      <c r="G1238" s="117" t="n">
        <v>2019</v>
      </c>
      <c r="H1238" s="117" t="n">
        <v>10</v>
      </c>
      <c r="I1238" s="118" t="n">
        <v>43861</v>
      </c>
      <c r="J1238" s="118" t="n">
        <v>43861</v>
      </c>
      <c r="K1238" s="119" t="n">
        <v>-244566.8</v>
      </c>
      <c r="L1238" s="128" t="n">
        <f aca="false">K1238-Q1238+T1238</f>
        <v>-244566.8</v>
      </c>
      <c r="M1238" s="117" t="s">
        <v>149</v>
      </c>
      <c r="N1238" s="117" t="n">
        <v>-244566.8</v>
      </c>
      <c r="O1238" s="117" t="s">
        <v>149</v>
      </c>
      <c r="P1238" s="117" t="n">
        <v>0</v>
      </c>
      <c r="Q1238" s="117" t="n">
        <v>0</v>
      </c>
      <c r="R1238" s="117" t="n">
        <v>-244566.8</v>
      </c>
      <c r="S1238" s="117" t="n">
        <v>0</v>
      </c>
      <c r="T1238" s="117" t="n">
        <v>0</v>
      </c>
      <c r="U1238" s="117" t="n">
        <v>312193</v>
      </c>
      <c r="V1238" s="117" t="s">
        <v>1963</v>
      </c>
      <c r="Z1238" s="117" t="n">
        <v>100242296</v>
      </c>
      <c r="AD1238" s="117" t="n">
        <v>110000</v>
      </c>
      <c r="AE1238" s="117" t="s">
        <v>1966</v>
      </c>
      <c r="AF1238" s="117" t="n">
        <v>110000</v>
      </c>
      <c r="AG1238" s="117" t="s">
        <v>1966</v>
      </c>
      <c r="AI1238" s="117" t="n">
        <v>110000</v>
      </c>
      <c r="AJ1238" s="117" t="s">
        <v>1966</v>
      </c>
      <c r="AK1238" s="117" t="n">
        <v>0</v>
      </c>
      <c r="AL1238" s="117" t="n">
        <v>17</v>
      </c>
      <c r="AM1238" s="117" t="s">
        <v>225</v>
      </c>
      <c r="AP1238" s="117" t="n">
        <v>100242296</v>
      </c>
      <c r="AQ1238" s="118" t="n">
        <v>43861</v>
      </c>
      <c r="AR1238" s="118" t="n">
        <v>43863</v>
      </c>
      <c r="AS1238" s="117" t="n">
        <v>0.435740740740741</v>
      </c>
      <c r="AT1238" s="117" t="n">
        <v>0</v>
      </c>
      <c r="AU1238" s="117" t="n">
        <v>0</v>
      </c>
      <c r="AX1238" s="117" t="n">
        <v>2</v>
      </c>
    </row>
    <row r="1239" customFormat="false" ht="13.8" hidden="true" customHeight="false" outlineLevel="0" collapsed="false">
      <c r="A1239" s="117" t="n">
        <v>1000</v>
      </c>
      <c r="B1239" s="117" t="s">
        <v>1962</v>
      </c>
      <c r="C1239" s="117" t="n">
        <v>100231557</v>
      </c>
      <c r="E1239" s="117" t="s">
        <v>1921</v>
      </c>
      <c r="F1239" s="117" t="n">
        <v>1112</v>
      </c>
      <c r="G1239" s="117" t="n">
        <v>2019</v>
      </c>
      <c r="H1239" s="117" t="n">
        <v>10</v>
      </c>
      <c r="I1239" s="118" t="n">
        <v>43859</v>
      </c>
      <c r="J1239" s="118" t="n">
        <v>43859</v>
      </c>
      <c r="K1239" s="119" t="n">
        <v>141275.56</v>
      </c>
      <c r="L1239" s="128" t="n">
        <f aca="false">K1239-Q1239+T1239</f>
        <v>141275.56</v>
      </c>
      <c r="M1239" s="117" t="s">
        <v>149</v>
      </c>
      <c r="N1239" s="117" t="n">
        <v>141275.56</v>
      </c>
      <c r="O1239" s="117" t="s">
        <v>149</v>
      </c>
      <c r="P1239" s="117" t="n">
        <v>0</v>
      </c>
      <c r="Q1239" s="117" t="n">
        <v>0</v>
      </c>
      <c r="R1239" s="117" t="n">
        <v>141275.56</v>
      </c>
      <c r="S1239" s="117" t="n">
        <v>0</v>
      </c>
      <c r="T1239" s="117" t="n">
        <v>0</v>
      </c>
      <c r="U1239" s="117" t="n">
        <v>312193</v>
      </c>
      <c r="V1239" s="117" t="s">
        <v>1963</v>
      </c>
      <c r="X1239" s="117" t="s">
        <v>1590</v>
      </c>
      <c r="Z1239" s="117" t="n">
        <v>62394</v>
      </c>
      <c r="AB1239" s="117" t="s">
        <v>2362</v>
      </c>
      <c r="AD1239" s="117" t="n">
        <v>110000</v>
      </c>
      <c r="AE1239" s="117" t="s">
        <v>1966</v>
      </c>
      <c r="AF1239" s="117" t="n">
        <v>110000</v>
      </c>
      <c r="AG1239" s="117" t="s">
        <v>1966</v>
      </c>
      <c r="AI1239" s="117" t="n">
        <v>110000</v>
      </c>
      <c r="AJ1239" s="117" t="s">
        <v>1966</v>
      </c>
      <c r="AK1239" s="117" t="n">
        <v>0</v>
      </c>
      <c r="AL1239" s="117" t="n">
        <v>4</v>
      </c>
      <c r="AM1239" s="117" t="s">
        <v>161</v>
      </c>
      <c r="AR1239" s="118" t="n">
        <v>43859</v>
      </c>
      <c r="AS1239" s="117" t="n">
        <v>0.289224537037037</v>
      </c>
      <c r="AT1239" s="117" t="n">
        <v>0</v>
      </c>
      <c r="AU1239" s="117" t="n">
        <v>0</v>
      </c>
      <c r="AX1239" s="117" t="n">
        <v>7</v>
      </c>
    </row>
    <row r="1240" customFormat="false" ht="13.8" hidden="true" customHeight="false" outlineLevel="0" collapsed="false">
      <c r="A1240" s="117" t="n">
        <v>1000</v>
      </c>
      <c r="B1240" s="117" t="s">
        <v>1962</v>
      </c>
      <c r="C1240" s="117" t="n">
        <v>100231547</v>
      </c>
      <c r="E1240" s="117" t="s">
        <v>1921</v>
      </c>
      <c r="F1240" s="117" t="n">
        <v>1101</v>
      </c>
      <c r="G1240" s="117" t="n">
        <v>2019</v>
      </c>
      <c r="H1240" s="117" t="n">
        <v>10</v>
      </c>
      <c r="I1240" s="118" t="n">
        <v>43859</v>
      </c>
      <c r="J1240" s="118" t="n">
        <v>43859</v>
      </c>
      <c r="K1240" s="119" t="n">
        <v>99186</v>
      </c>
      <c r="L1240" s="128" t="n">
        <f aca="false">K1240-Q1240+T1240</f>
        <v>99186</v>
      </c>
      <c r="M1240" s="117" t="s">
        <v>149</v>
      </c>
      <c r="N1240" s="117" t="n">
        <v>99186</v>
      </c>
      <c r="O1240" s="117" t="s">
        <v>149</v>
      </c>
      <c r="P1240" s="117" t="n">
        <v>0</v>
      </c>
      <c r="Q1240" s="117" t="n">
        <v>0</v>
      </c>
      <c r="R1240" s="117" t="n">
        <v>99186</v>
      </c>
      <c r="S1240" s="117" t="n">
        <v>0</v>
      </c>
      <c r="T1240" s="117" t="n">
        <v>0</v>
      </c>
      <c r="U1240" s="117" t="n">
        <v>312193</v>
      </c>
      <c r="V1240" s="117" t="s">
        <v>1963</v>
      </c>
      <c r="X1240" s="117" t="s">
        <v>2628</v>
      </c>
      <c r="Z1240" s="117" t="n">
        <v>1414</v>
      </c>
      <c r="AB1240" s="117" t="s">
        <v>2152</v>
      </c>
      <c r="AD1240" s="117" t="n">
        <v>110000</v>
      </c>
      <c r="AE1240" s="117" t="s">
        <v>1966</v>
      </c>
      <c r="AF1240" s="117" t="n">
        <v>110000</v>
      </c>
      <c r="AG1240" s="117" t="s">
        <v>1966</v>
      </c>
      <c r="AI1240" s="117" t="n">
        <v>110000</v>
      </c>
      <c r="AJ1240" s="117" t="s">
        <v>1966</v>
      </c>
      <c r="AK1240" s="117" t="n">
        <v>0</v>
      </c>
      <c r="AL1240" s="117" t="n">
        <v>4</v>
      </c>
      <c r="AM1240" s="117" t="s">
        <v>161</v>
      </c>
      <c r="AR1240" s="118" t="n">
        <v>43859</v>
      </c>
      <c r="AS1240" s="117" t="n">
        <v>0.26912037037037</v>
      </c>
      <c r="AT1240" s="117" t="n">
        <v>0</v>
      </c>
      <c r="AU1240" s="117" t="n">
        <v>0</v>
      </c>
      <c r="AX1240" s="117" t="n">
        <v>1</v>
      </c>
    </row>
    <row r="1241" customFormat="false" ht="13.8" hidden="true" customHeight="false" outlineLevel="0" collapsed="false">
      <c r="A1241" s="117" t="n">
        <v>1000</v>
      </c>
      <c r="B1241" s="117" t="s">
        <v>1962</v>
      </c>
      <c r="C1241" s="117" t="n">
        <v>100261130</v>
      </c>
      <c r="E1241" s="117" t="s">
        <v>1921</v>
      </c>
      <c r="F1241" s="117" t="n">
        <v>1101</v>
      </c>
      <c r="G1241" s="117" t="n">
        <v>2019</v>
      </c>
      <c r="H1241" s="117" t="n">
        <v>11</v>
      </c>
      <c r="I1241" s="118" t="n">
        <v>43883</v>
      </c>
      <c r="J1241" s="118" t="n">
        <v>43883</v>
      </c>
      <c r="K1241" s="119" t="n">
        <v>0.01</v>
      </c>
      <c r="L1241" s="128" t="n">
        <f aca="false">K1241-Q1241+T1241</f>
        <v>0.01</v>
      </c>
      <c r="M1241" s="117" t="s">
        <v>149</v>
      </c>
      <c r="N1241" s="117" t="n">
        <v>0.01</v>
      </c>
      <c r="O1241" s="117" t="s">
        <v>149</v>
      </c>
      <c r="P1241" s="117" t="n">
        <v>0</v>
      </c>
      <c r="Q1241" s="117" t="n">
        <v>0</v>
      </c>
      <c r="R1241" s="117" t="n">
        <v>0.01</v>
      </c>
      <c r="S1241" s="117" t="n">
        <v>0</v>
      </c>
      <c r="T1241" s="117" t="n">
        <v>0</v>
      </c>
      <c r="U1241" s="117" t="n">
        <v>318999</v>
      </c>
      <c r="V1241" s="117" t="s">
        <v>143</v>
      </c>
      <c r="Z1241" s="117" t="n">
        <v>100261130</v>
      </c>
      <c r="AD1241" s="117" t="n">
        <v>310300</v>
      </c>
      <c r="AE1241" s="117" t="s">
        <v>1969</v>
      </c>
      <c r="AF1241" s="117" t="n">
        <v>111105</v>
      </c>
      <c r="AG1241" s="117" t="s">
        <v>1994</v>
      </c>
      <c r="AI1241" s="117" t="n">
        <v>111105</v>
      </c>
      <c r="AJ1241" s="117" t="s">
        <v>1994</v>
      </c>
      <c r="AK1241" s="117" t="n">
        <v>0</v>
      </c>
      <c r="AL1241" s="117" t="n">
        <v>9</v>
      </c>
      <c r="AM1241" s="117" t="s">
        <v>161</v>
      </c>
      <c r="AN1241" s="117" t="s">
        <v>1978</v>
      </c>
      <c r="AP1241" s="117" t="n">
        <v>100261130</v>
      </c>
      <c r="AQ1241" s="118" t="n">
        <v>43883</v>
      </c>
      <c r="AR1241" s="118" t="n">
        <v>43883</v>
      </c>
      <c r="AS1241" s="117" t="n">
        <v>0.64537037037037</v>
      </c>
      <c r="AT1241" s="117" t="n">
        <v>0</v>
      </c>
      <c r="AU1241" s="117" t="n">
        <v>0</v>
      </c>
      <c r="AX1241" s="117" t="n">
        <v>4</v>
      </c>
    </row>
    <row r="1242" customFormat="false" ht="13.8" hidden="true" customHeight="false" outlineLevel="0" collapsed="false">
      <c r="A1242" s="117" t="n">
        <v>1000</v>
      </c>
      <c r="B1242" s="117" t="s">
        <v>1962</v>
      </c>
      <c r="C1242" s="117" t="n">
        <v>1400009730</v>
      </c>
      <c r="E1242" s="117" t="s">
        <v>1972</v>
      </c>
      <c r="F1242" s="117" t="n">
        <v>1106</v>
      </c>
      <c r="G1242" s="117" t="n">
        <v>2019</v>
      </c>
      <c r="H1242" s="117" t="n">
        <v>10</v>
      </c>
      <c r="I1242" s="118" t="n">
        <v>43838</v>
      </c>
      <c r="J1242" s="118" t="n">
        <v>43838</v>
      </c>
      <c r="K1242" s="119" t="n">
        <v>-384680</v>
      </c>
      <c r="L1242" s="128" t="n">
        <f aca="false">K1242-Q1242+T1242</f>
        <v>-384680</v>
      </c>
      <c r="M1242" s="117" t="s">
        <v>149</v>
      </c>
      <c r="N1242" s="117" t="n">
        <v>-384680</v>
      </c>
      <c r="O1242" s="117" t="s">
        <v>149</v>
      </c>
      <c r="P1242" s="117" t="n">
        <v>0</v>
      </c>
      <c r="Q1242" s="117" t="n">
        <v>0</v>
      </c>
      <c r="R1242" s="117" t="n">
        <v>-384680</v>
      </c>
      <c r="S1242" s="117" t="n">
        <v>0</v>
      </c>
      <c r="T1242" s="117" t="n">
        <v>0</v>
      </c>
      <c r="U1242" s="117" t="n">
        <v>313029</v>
      </c>
      <c r="V1242" s="117" t="s">
        <v>143</v>
      </c>
      <c r="X1242" s="117" t="s">
        <v>2629</v>
      </c>
      <c r="Y1242" s="117" t="s">
        <v>2630</v>
      </c>
      <c r="Z1242" s="117" t="n">
        <v>1400009730</v>
      </c>
      <c r="AC1242" s="117" t="s">
        <v>1976</v>
      </c>
      <c r="AD1242" s="117" t="n">
        <v>310300</v>
      </c>
      <c r="AE1242" s="117" t="s">
        <v>1969</v>
      </c>
      <c r="AF1242" s="117" t="n">
        <v>101105</v>
      </c>
      <c r="AG1242" s="117" t="s">
        <v>1977</v>
      </c>
      <c r="AI1242" s="117" t="n">
        <v>101105</v>
      </c>
      <c r="AJ1242" s="117" t="s">
        <v>1977</v>
      </c>
      <c r="AK1242" s="117" t="n">
        <v>0</v>
      </c>
      <c r="AL1242" s="117" t="n">
        <v>19</v>
      </c>
      <c r="AM1242" s="117" t="s">
        <v>225</v>
      </c>
      <c r="AN1242" s="117" t="s">
        <v>1978</v>
      </c>
      <c r="AP1242" s="117" t="n">
        <v>100229154</v>
      </c>
      <c r="AQ1242" s="118" t="n">
        <v>43856</v>
      </c>
      <c r="AR1242" s="118" t="n">
        <v>43850</v>
      </c>
      <c r="AS1242" s="117" t="n">
        <v>0.675393518518519</v>
      </c>
      <c r="AT1242" s="117" t="n">
        <v>0</v>
      </c>
      <c r="AU1242" s="117" t="n">
        <v>0</v>
      </c>
      <c r="AX1242" s="117" t="n">
        <v>2</v>
      </c>
    </row>
    <row r="1243" customFormat="false" ht="13.8" hidden="true" customHeight="false" outlineLevel="0" collapsed="false">
      <c r="A1243" s="117" t="n">
        <v>1000</v>
      </c>
      <c r="B1243" s="117" t="s">
        <v>1962</v>
      </c>
      <c r="C1243" s="117" t="n">
        <v>1400009729</v>
      </c>
      <c r="E1243" s="117" t="s">
        <v>1972</v>
      </c>
      <c r="F1243" s="117" t="n">
        <v>1106</v>
      </c>
      <c r="G1243" s="117" t="n">
        <v>2019</v>
      </c>
      <c r="H1243" s="117" t="n">
        <v>10</v>
      </c>
      <c r="I1243" s="118" t="n">
        <v>43838</v>
      </c>
      <c r="J1243" s="118" t="n">
        <v>43838</v>
      </c>
      <c r="K1243" s="119" t="n">
        <v>-1970625.31</v>
      </c>
      <c r="L1243" s="128" t="n">
        <f aca="false">K1243-Q1243+T1243</f>
        <v>-1970625.31</v>
      </c>
      <c r="M1243" s="117" t="s">
        <v>149</v>
      </c>
      <c r="N1243" s="117" t="n">
        <v>-1970625.31</v>
      </c>
      <c r="O1243" s="117" t="s">
        <v>149</v>
      </c>
      <c r="P1243" s="117" t="n">
        <v>0</v>
      </c>
      <c r="Q1243" s="117" t="n">
        <v>0</v>
      </c>
      <c r="R1243" s="117" t="n">
        <v>-1970625.31</v>
      </c>
      <c r="S1243" s="117" t="n">
        <v>0</v>
      </c>
      <c r="T1243" s="117" t="n">
        <v>0</v>
      </c>
      <c r="U1243" s="117" t="n">
        <v>307259</v>
      </c>
      <c r="V1243" s="117" t="s">
        <v>143</v>
      </c>
      <c r="X1243" s="117" t="s">
        <v>2631</v>
      </c>
      <c r="Y1243" s="117" t="s">
        <v>2632</v>
      </c>
      <c r="Z1243" s="117" t="n">
        <v>1400009729</v>
      </c>
      <c r="AC1243" s="117" t="s">
        <v>1976</v>
      </c>
      <c r="AD1243" s="117" t="n">
        <v>310300</v>
      </c>
      <c r="AE1243" s="117" t="s">
        <v>1969</v>
      </c>
      <c r="AF1243" s="117" t="n">
        <v>101105</v>
      </c>
      <c r="AG1243" s="117" t="s">
        <v>1977</v>
      </c>
      <c r="AI1243" s="117" t="n">
        <v>101105</v>
      </c>
      <c r="AJ1243" s="117" t="s">
        <v>1977</v>
      </c>
      <c r="AK1243" s="117" t="n">
        <v>0</v>
      </c>
      <c r="AL1243" s="117" t="n">
        <v>19</v>
      </c>
      <c r="AM1243" s="117" t="s">
        <v>225</v>
      </c>
      <c r="AN1243" s="117" t="s">
        <v>1978</v>
      </c>
      <c r="AP1243" s="117" t="n">
        <v>100229118</v>
      </c>
      <c r="AQ1243" s="118" t="n">
        <v>43856</v>
      </c>
      <c r="AR1243" s="118" t="n">
        <v>43850</v>
      </c>
      <c r="AS1243" s="117" t="n">
        <v>0.675393518518519</v>
      </c>
      <c r="AT1243" s="117" t="n">
        <v>0</v>
      </c>
      <c r="AU1243" s="117" t="n">
        <v>0</v>
      </c>
      <c r="AX1243" s="117" t="n">
        <v>2</v>
      </c>
    </row>
    <row r="1244" customFormat="false" ht="13.8" hidden="true" customHeight="false" outlineLevel="0" collapsed="false">
      <c r="A1244" s="117" t="n">
        <v>1000</v>
      </c>
      <c r="B1244" s="117" t="s">
        <v>1962</v>
      </c>
      <c r="C1244" s="117" t="n">
        <v>100261130</v>
      </c>
      <c r="E1244" s="117" t="s">
        <v>1921</v>
      </c>
      <c r="F1244" s="117" t="n">
        <v>1101</v>
      </c>
      <c r="G1244" s="117" t="n">
        <v>2019</v>
      </c>
      <c r="H1244" s="117" t="n">
        <v>11</v>
      </c>
      <c r="I1244" s="118" t="n">
        <v>43883</v>
      </c>
      <c r="J1244" s="118" t="n">
        <v>43883</v>
      </c>
      <c r="K1244" s="119" t="n">
        <v>807359.06</v>
      </c>
      <c r="L1244" s="128" t="n">
        <f aca="false">K1244-Q1244+T1244</f>
        <v>807359.06</v>
      </c>
      <c r="M1244" s="117" t="s">
        <v>149</v>
      </c>
      <c r="N1244" s="117" t="n">
        <v>807359.06</v>
      </c>
      <c r="O1244" s="117" t="s">
        <v>149</v>
      </c>
      <c r="P1244" s="117" t="n">
        <v>0</v>
      </c>
      <c r="Q1244" s="117" t="n">
        <v>0</v>
      </c>
      <c r="R1244" s="117" t="n">
        <v>807359.06</v>
      </c>
      <c r="S1244" s="117" t="n">
        <v>0</v>
      </c>
      <c r="T1244" s="117" t="n">
        <v>0</v>
      </c>
      <c r="U1244" s="117" t="n">
        <v>318999</v>
      </c>
      <c r="V1244" s="117" t="s">
        <v>143</v>
      </c>
      <c r="Z1244" s="117" t="n">
        <v>100261130</v>
      </c>
      <c r="AD1244" s="117" t="n">
        <v>310300</v>
      </c>
      <c r="AE1244" s="117" t="s">
        <v>1969</v>
      </c>
      <c r="AF1244" s="117" t="n">
        <v>111105</v>
      </c>
      <c r="AG1244" s="117" t="s">
        <v>1994</v>
      </c>
      <c r="AI1244" s="117" t="n">
        <v>111105</v>
      </c>
      <c r="AJ1244" s="117" t="s">
        <v>1994</v>
      </c>
      <c r="AK1244" s="117" t="n">
        <v>0</v>
      </c>
      <c r="AL1244" s="117" t="n">
        <v>9</v>
      </c>
      <c r="AM1244" s="117" t="s">
        <v>161</v>
      </c>
      <c r="AN1244" s="117" t="s">
        <v>1978</v>
      </c>
      <c r="AP1244" s="117" t="n">
        <v>100261130</v>
      </c>
      <c r="AQ1244" s="118" t="n">
        <v>43883</v>
      </c>
      <c r="AR1244" s="118" t="n">
        <v>43883</v>
      </c>
      <c r="AS1244" s="117" t="n">
        <v>0.64537037037037</v>
      </c>
      <c r="AT1244" s="117" t="n">
        <v>0</v>
      </c>
      <c r="AU1244" s="117" t="n">
        <v>0</v>
      </c>
      <c r="AX1244" s="117" t="n">
        <v>3</v>
      </c>
    </row>
    <row r="1245" s="106" customFormat="true" ht="13.8" hidden="true" customHeight="false" outlineLevel="0" collapsed="false">
      <c r="A1245" s="106" t="n">
        <v>1000</v>
      </c>
      <c r="B1245" s="106" t="s">
        <v>1962</v>
      </c>
      <c r="C1245" s="106" t="n">
        <v>105641</v>
      </c>
      <c r="D1245" s="106" t="s">
        <v>2627</v>
      </c>
      <c r="E1245" s="106" t="s">
        <v>1970</v>
      </c>
      <c r="F1245" s="106" t="n">
        <v>1109</v>
      </c>
      <c r="G1245" s="106" t="n">
        <v>2019</v>
      </c>
      <c r="H1245" s="106" t="n">
        <v>5</v>
      </c>
      <c r="I1245" s="129" t="n">
        <v>43686</v>
      </c>
      <c r="J1245" s="129" t="n">
        <v>43686</v>
      </c>
      <c r="K1245" s="107" t="n">
        <v>288228.34</v>
      </c>
      <c r="L1245" s="130" t="n">
        <f aca="false">K1245-Q1245+T1245</f>
        <v>244261.3</v>
      </c>
      <c r="M1245" s="106" t="s">
        <v>149</v>
      </c>
      <c r="N1245" s="106" t="n">
        <v>288228.34</v>
      </c>
      <c r="O1245" s="106" t="s">
        <v>149</v>
      </c>
      <c r="P1245" s="106" t="n">
        <v>0</v>
      </c>
      <c r="Q1245" s="107" t="n">
        <v>43967.04</v>
      </c>
      <c r="R1245" s="106" t="n">
        <v>244261.3</v>
      </c>
      <c r="S1245" s="106" t="n">
        <v>0</v>
      </c>
      <c r="T1245" s="106" t="n">
        <v>0</v>
      </c>
      <c r="U1245" s="106" t="n">
        <v>304431</v>
      </c>
      <c r="V1245" s="106" t="s">
        <v>2016</v>
      </c>
      <c r="Z1245" s="106" t="n">
        <v>2447</v>
      </c>
      <c r="AB1245" s="106" t="s">
        <v>2052</v>
      </c>
      <c r="AD1245" s="106" t="n">
        <v>110000</v>
      </c>
      <c r="AE1245" s="106" t="s">
        <v>1966</v>
      </c>
      <c r="AF1245" s="106" t="n">
        <v>501020</v>
      </c>
      <c r="AG1245" s="106" t="s">
        <v>1971</v>
      </c>
      <c r="AI1245" s="106" t="n">
        <v>501020</v>
      </c>
      <c r="AJ1245" s="106" t="s">
        <v>1971</v>
      </c>
      <c r="AK1245" s="106" t="n">
        <v>0</v>
      </c>
      <c r="AL1245" s="106" t="n">
        <v>1</v>
      </c>
      <c r="AM1245" s="106" t="s">
        <v>161</v>
      </c>
      <c r="AP1245" s="106" t="n">
        <v>100074926</v>
      </c>
      <c r="AQ1245" s="129" t="n">
        <v>43701</v>
      </c>
      <c r="AR1245" s="129" t="n">
        <v>43686</v>
      </c>
      <c r="AS1245" s="106" t="n">
        <v>0.701446759259259</v>
      </c>
      <c r="AT1245" s="106" t="n">
        <v>0</v>
      </c>
      <c r="AU1245" s="106" t="n">
        <v>0</v>
      </c>
      <c r="AX1245" s="106" t="n">
        <v>1</v>
      </c>
      <c r="ALU1245" s="0"/>
      <c r="ALV1245" s="0"/>
      <c r="ALW1245" s="0"/>
      <c r="ALX1245" s="0"/>
      <c r="ALY1245" s="0"/>
      <c r="ALZ1245" s="0"/>
      <c r="AMA1245" s="0"/>
      <c r="AMB1245" s="0"/>
      <c r="AMC1245" s="0"/>
      <c r="AMD1245" s="0"/>
      <c r="AME1245" s="0"/>
      <c r="AMF1245" s="0"/>
      <c r="AMG1245" s="0"/>
      <c r="AMH1245" s="0"/>
      <c r="AMI1245" s="0"/>
      <c r="AMJ1245" s="0"/>
    </row>
    <row r="1246" customFormat="false" ht="13.8" hidden="true" customHeight="false" outlineLevel="0" collapsed="false">
      <c r="A1246" s="117" t="n">
        <v>1000</v>
      </c>
      <c r="B1246" s="117" t="s">
        <v>1962</v>
      </c>
      <c r="C1246" s="117" t="n">
        <v>100229128</v>
      </c>
      <c r="E1246" s="117" t="s">
        <v>1921</v>
      </c>
      <c r="F1246" s="117" t="n">
        <v>1106</v>
      </c>
      <c r="G1246" s="117" t="n">
        <v>2019</v>
      </c>
      <c r="H1246" s="117" t="n">
        <v>10</v>
      </c>
      <c r="I1246" s="118" t="n">
        <v>43856</v>
      </c>
      <c r="J1246" s="118" t="n">
        <v>43856</v>
      </c>
      <c r="K1246" s="119" t="n">
        <v>255509.38</v>
      </c>
      <c r="L1246" s="128" t="n">
        <f aca="false">K1246-Q1246+T1246</f>
        <v>255509.38</v>
      </c>
      <c r="M1246" s="117" t="s">
        <v>149</v>
      </c>
      <c r="N1246" s="117" t="n">
        <v>255509.38</v>
      </c>
      <c r="O1246" s="117" t="s">
        <v>149</v>
      </c>
      <c r="P1246" s="117" t="n">
        <v>0</v>
      </c>
      <c r="Q1246" s="117" t="n">
        <v>0</v>
      </c>
      <c r="R1246" s="117" t="n">
        <v>255509.38</v>
      </c>
      <c r="S1246" s="117" t="n">
        <v>0</v>
      </c>
      <c r="T1246" s="117" t="n">
        <v>0</v>
      </c>
      <c r="U1246" s="117" t="n">
        <v>310187</v>
      </c>
      <c r="V1246" s="117" t="s">
        <v>2394</v>
      </c>
      <c r="Z1246" s="117" t="n">
        <v>100229128</v>
      </c>
      <c r="AD1246" s="117" t="n">
        <v>310300</v>
      </c>
      <c r="AE1246" s="117" t="s">
        <v>1969</v>
      </c>
      <c r="AF1246" s="117" t="n">
        <v>110000</v>
      </c>
      <c r="AG1246" s="117" t="s">
        <v>1966</v>
      </c>
      <c r="AI1246" s="117" t="n">
        <v>110000</v>
      </c>
      <c r="AJ1246" s="117" t="s">
        <v>1966</v>
      </c>
      <c r="AK1246" s="117" t="n">
        <v>0</v>
      </c>
      <c r="AL1246" s="117" t="n">
        <v>9</v>
      </c>
      <c r="AM1246" s="117" t="s">
        <v>161</v>
      </c>
      <c r="AN1246" s="117" t="s">
        <v>1978</v>
      </c>
      <c r="AP1246" s="117" t="n">
        <v>100229128</v>
      </c>
      <c r="AQ1246" s="118" t="n">
        <v>43856</v>
      </c>
      <c r="AR1246" s="118" t="n">
        <v>43856</v>
      </c>
      <c r="AS1246" s="117" t="n">
        <v>0.552847222222222</v>
      </c>
      <c r="AT1246" s="117" t="n">
        <v>0</v>
      </c>
      <c r="AU1246" s="117" t="n">
        <v>0</v>
      </c>
      <c r="AX1246" s="117" t="n">
        <v>2</v>
      </c>
    </row>
    <row r="1247" customFormat="false" ht="13.8" hidden="true" customHeight="false" outlineLevel="0" collapsed="false">
      <c r="A1247" s="117" t="n">
        <v>1000</v>
      </c>
      <c r="B1247" s="117" t="s">
        <v>1962</v>
      </c>
      <c r="C1247" s="117" t="n">
        <v>1400009631</v>
      </c>
      <c r="E1247" s="117" t="s">
        <v>1972</v>
      </c>
      <c r="F1247" s="117" t="n">
        <v>1101</v>
      </c>
      <c r="G1247" s="117" t="n">
        <v>2019</v>
      </c>
      <c r="H1247" s="117" t="n">
        <v>10</v>
      </c>
      <c r="I1247" s="118" t="n">
        <v>43845</v>
      </c>
      <c r="J1247" s="118" t="n">
        <v>43845</v>
      </c>
      <c r="K1247" s="119" t="n">
        <v>-10319736.12</v>
      </c>
      <c r="L1247" s="128" t="n">
        <f aca="false">K1247-Q1247+T1247</f>
        <v>-10319736.12</v>
      </c>
      <c r="M1247" s="117" t="s">
        <v>149</v>
      </c>
      <c r="N1247" s="117" t="n">
        <v>-10319736.12</v>
      </c>
      <c r="O1247" s="117" t="s">
        <v>149</v>
      </c>
      <c r="P1247" s="117" t="n">
        <v>0</v>
      </c>
      <c r="Q1247" s="117" t="n">
        <v>0</v>
      </c>
      <c r="R1247" s="117" t="n">
        <v>-10319736.12</v>
      </c>
      <c r="S1247" s="117" t="n">
        <v>0</v>
      </c>
      <c r="T1247" s="117" t="n">
        <v>0</v>
      </c>
      <c r="U1247" s="117" t="n">
        <v>312193</v>
      </c>
      <c r="V1247" s="117" t="s">
        <v>1963</v>
      </c>
      <c r="X1247" s="117" t="s">
        <v>2633</v>
      </c>
      <c r="Y1247" s="117" t="s">
        <v>2634</v>
      </c>
      <c r="Z1247" s="117" t="n">
        <v>1400009631</v>
      </c>
      <c r="AC1247" s="117" t="s">
        <v>1976</v>
      </c>
      <c r="AD1247" s="117" t="n">
        <v>310300</v>
      </c>
      <c r="AE1247" s="117" t="s">
        <v>1969</v>
      </c>
      <c r="AF1247" s="117" t="n">
        <v>101105</v>
      </c>
      <c r="AG1247" s="117" t="s">
        <v>1977</v>
      </c>
      <c r="AI1247" s="117" t="n">
        <v>101105</v>
      </c>
      <c r="AJ1247" s="117" t="s">
        <v>1977</v>
      </c>
      <c r="AK1247" s="117" t="n">
        <v>0</v>
      </c>
      <c r="AL1247" s="117" t="n">
        <v>19</v>
      </c>
      <c r="AM1247" s="117" t="s">
        <v>225</v>
      </c>
      <c r="AN1247" s="117" t="s">
        <v>1978</v>
      </c>
      <c r="AP1247" s="117" t="n">
        <v>100231547</v>
      </c>
      <c r="AQ1247" s="118" t="n">
        <v>43859</v>
      </c>
      <c r="AR1247" s="118" t="n">
        <v>43846</v>
      </c>
      <c r="AS1247" s="117" t="n">
        <v>0.661331018518519</v>
      </c>
      <c r="AT1247" s="117" t="n">
        <v>0</v>
      </c>
      <c r="AU1247" s="117" t="n">
        <v>0</v>
      </c>
      <c r="AX1247" s="117" t="n">
        <v>2</v>
      </c>
    </row>
    <row r="1248" customFormat="false" ht="13.8" hidden="true" customHeight="false" outlineLevel="0" collapsed="false">
      <c r="A1248" s="117" t="n">
        <v>1000</v>
      </c>
      <c r="B1248" s="117" t="s">
        <v>1962</v>
      </c>
      <c r="C1248" s="117" t="n">
        <v>100231557</v>
      </c>
      <c r="E1248" s="117" t="s">
        <v>1921</v>
      </c>
      <c r="F1248" s="117" t="n">
        <v>1112</v>
      </c>
      <c r="G1248" s="117" t="n">
        <v>2019</v>
      </c>
      <c r="H1248" s="117" t="n">
        <v>10</v>
      </c>
      <c r="I1248" s="118" t="n">
        <v>43859</v>
      </c>
      <c r="J1248" s="118" t="n">
        <v>43859</v>
      </c>
      <c r="K1248" s="119" t="n">
        <v>76348.45</v>
      </c>
      <c r="L1248" s="128" t="n">
        <f aca="false">K1248-Q1248+T1248</f>
        <v>76348.45</v>
      </c>
      <c r="M1248" s="117" t="s">
        <v>149</v>
      </c>
      <c r="N1248" s="117" t="n">
        <v>76348.45</v>
      </c>
      <c r="O1248" s="117" t="s">
        <v>149</v>
      </c>
      <c r="P1248" s="117" t="n">
        <v>0</v>
      </c>
      <c r="Q1248" s="117" t="n">
        <v>0</v>
      </c>
      <c r="R1248" s="117" t="n">
        <v>76348.45</v>
      </c>
      <c r="S1248" s="117" t="n">
        <v>0</v>
      </c>
      <c r="T1248" s="117" t="n">
        <v>0</v>
      </c>
      <c r="U1248" s="117" t="n">
        <v>312193</v>
      </c>
      <c r="V1248" s="117" t="s">
        <v>1963</v>
      </c>
      <c r="X1248" s="117" t="s">
        <v>1579</v>
      </c>
      <c r="Z1248" s="117" t="n">
        <v>62196</v>
      </c>
      <c r="AB1248" s="117" t="s">
        <v>2362</v>
      </c>
      <c r="AD1248" s="117" t="n">
        <v>110000</v>
      </c>
      <c r="AE1248" s="117" t="s">
        <v>1966</v>
      </c>
      <c r="AF1248" s="117" t="n">
        <v>110000</v>
      </c>
      <c r="AG1248" s="117" t="s">
        <v>1966</v>
      </c>
      <c r="AI1248" s="117" t="n">
        <v>110000</v>
      </c>
      <c r="AJ1248" s="117" t="s">
        <v>1966</v>
      </c>
      <c r="AK1248" s="117" t="n">
        <v>0</v>
      </c>
      <c r="AL1248" s="117" t="n">
        <v>4</v>
      </c>
      <c r="AM1248" s="117" t="s">
        <v>161</v>
      </c>
      <c r="AR1248" s="118" t="n">
        <v>43859</v>
      </c>
      <c r="AS1248" s="117" t="n">
        <v>0.289224537037037</v>
      </c>
      <c r="AT1248" s="117" t="n">
        <v>0</v>
      </c>
      <c r="AU1248" s="117" t="n">
        <v>0</v>
      </c>
      <c r="AX1248" s="117" t="n">
        <v>2</v>
      </c>
    </row>
    <row r="1249" customFormat="false" ht="13.8" hidden="true" customHeight="false" outlineLevel="0" collapsed="false">
      <c r="A1249" s="117" t="n">
        <v>1000</v>
      </c>
      <c r="B1249" s="117" t="s">
        <v>1962</v>
      </c>
      <c r="C1249" s="117" t="n">
        <v>100231549</v>
      </c>
      <c r="E1249" s="117" t="s">
        <v>1921</v>
      </c>
      <c r="F1249" s="117" t="n">
        <v>1106</v>
      </c>
      <c r="G1249" s="117" t="n">
        <v>2019</v>
      </c>
      <c r="H1249" s="117" t="n">
        <v>10</v>
      </c>
      <c r="I1249" s="118" t="n">
        <v>43859</v>
      </c>
      <c r="J1249" s="118" t="n">
        <v>43859</v>
      </c>
      <c r="K1249" s="119" t="n">
        <v>162896.77</v>
      </c>
      <c r="L1249" s="128" t="n">
        <f aca="false">K1249-Q1249+T1249</f>
        <v>162896.77</v>
      </c>
      <c r="M1249" s="117" t="s">
        <v>149</v>
      </c>
      <c r="N1249" s="117" t="n">
        <v>162896.77</v>
      </c>
      <c r="O1249" s="117" t="s">
        <v>149</v>
      </c>
      <c r="P1249" s="117" t="n">
        <v>0</v>
      </c>
      <c r="Q1249" s="117" t="n">
        <v>0</v>
      </c>
      <c r="R1249" s="117" t="n">
        <v>162896.77</v>
      </c>
      <c r="S1249" s="117" t="n">
        <v>0</v>
      </c>
      <c r="T1249" s="117" t="n">
        <v>0</v>
      </c>
      <c r="U1249" s="117" t="n">
        <v>312193</v>
      </c>
      <c r="V1249" s="117" t="s">
        <v>1963</v>
      </c>
      <c r="Z1249" s="117" t="n">
        <v>100231549</v>
      </c>
      <c r="AD1249" s="117" t="n">
        <v>310300</v>
      </c>
      <c r="AE1249" s="117" t="s">
        <v>1969</v>
      </c>
      <c r="AF1249" s="117" t="n">
        <v>110000</v>
      </c>
      <c r="AG1249" s="117" t="s">
        <v>1966</v>
      </c>
      <c r="AI1249" s="117" t="n">
        <v>110000</v>
      </c>
      <c r="AJ1249" s="117" t="s">
        <v>1966</v>
      </c>
      <c r="AK1249" s="117" t="n">
        <v>0</v>
      </c>
      <c r="AL1249" s="117" t="n">
        <v>9</v>
      </c>
      <c r="AM1249" s="117" t="s">
        <v>161</v>
      </c>
      <c r="AN1249" s="117" t="s">
        <v>1978</v>
      </c>
      <c r="AP1249" s="117" t="n">
        <v>100231549</v>
      </c>
      <c r="AQ1249" s="118" t="n">
        <v>43859</v>
      </c>
      <c r="AR1249" s="118" t="n">
        <v>43859</v>
      </c>
      <c r="AS1249" s="117" t="n">
        <v>0.27931712962963</v>
      </c>
      <c r="AT1249" s="117" t="n">
        <v>0</v>
      </c>
      <c r="AU1249" s="117" t="n">
        <v>0</v>
      </c>
      <c r="AX1249" s="117" t="n">
        <v>4</v>
      </c>
    </row>
    <row r="1250" customFormat="false" ht="13.8" hidden="true" customHeight="false" outlineLevel="0" collapsed="false">
      <c r="A1250" s="117" t="n">
        <v>1000</v>
      </c>
      <c r="B1250" s="117" t="s">
        <v>1962</v>
      </c>
      <c r="C1250" s="117" t="n">
        <v>100260188</v>
      </c>
      <c r="E1250" s="117" t="s">
        <v>1921</v>
      </c>
      <c r="F1250" s="117" t="n">
        <v>1106</v>
      </c>
      <c r="G1250" s="117" t="n">
        <v>2019</v>
      </c>
      <c r="H1250" s="117" t="n">
        <v>11</v>
      </c>
      <c r="I1250" s="118" t="n">
        <v>43883</v>
      </c>
      <c r="J1250" s="118" t="n">
        <v>43883</v>
      </c>
      <c r="K1250" s="119" t="n">
        <v>4431059.3</v>
      </c>
      <c r="L1250" s="128" t="n">
        <f aca="false">K1250-Q1250+T1250</f>
        <v>4431059.3</v>
      </c>
      <c r="M1250" s="117" t="s">
        <v>149</v>
      </c>
      <c r="N1250" s="117" t="n">
        <v>4431059.3</v>
      </c>
      <c r="O1250" s="117" t="s">
        <v>149</v>
      </c>
      <c r="P1250" s="117" t="n">
        <v>0</v>
      </c>
      <c r="Q1250" s="117" t="n">
        <v>0</v>
      </c>
      <c r="R1250" s="117" t="n">
        <v>4431059.3</v>
      </c>
      <c r="S1250" s="117" t="n">
        <v>0</v>
      </c>
      <c r="T1250" s="117" t="n">
        <v>0</v>
      </c>
      <c r="U1250" s="117" t="n">
        <v>311155</v>
      </c>
      <c r="V1250" s="117" t="s">
        <v>2022</v>
      </c>
      <c r="Z1250" s="117" t="n">
        <v>100260188</v>
      </c>
      <c r="AD1250" s="117" t="n">
        <v>310300</v>
      </c>
      <c r="AE1250" s="117" t="s">
        <v>1969</v>
      </c>
      <c r="AF1250" s="117" t="n">
        <v>110000</v>
      </c>
      <c r="AG1250" s="117" t="s">
        <v>1966</v>
      </c>
      <c r="AI1250" s="117" t="n">
        <v>110000</v>
      </c>
      <c r="AJ1250" s="117" t="s">
        <v>1966</v>
      </c>
      <c r="AK1250" s="117" t="n">
        <v>0</v>
      </c>
      <c r="AL1250" s="117" t="n">
        <v>9</v>
      </c>
      <c r="AM1250" s="117" t="s">
        <v>161</v>
      </c>
      <c r="AN1250" s="117" t="s">
        <v>1978</v>
      </c>
      <c r="AP1250" s="117" t="n">
        <v>100260188</v>
      </c>
      <c r="AQ1250" s="118" t="n">
        <v>43883</v>
      </c>
      <c r="AR1250" s="118" t="n">
        <v>43883</v>
      </c>
      <c r="AS1250" s="117" t="n">
        <v>0.350601851851852</v>
      </c>
      <c r="AT1250" s="117" t="n">
        <v>0</v>
      </c>
      <c r="AU1250" s="117" t="n">
        <v>0</v>
      </c>
      <c r="AX1250" s="117" t="n">
        <v>4</v>
      </c>
    </row>
    <row r="1251" customFormat="false" ht="13.8" hidden="true" customHeight="false" outlineLevel="0" collapsed="false">
      <c r="A1251" s="117" t="n">
        <v>1000</v>
      </c>
      <c r="B1251" s="117" t="s">
        <v>1962</v>
      </c>
      <c r="C1251" s="117" t="n">
        <v>100231557</v>
      </c>
      <c r="E1251" s="117" t="s">
        <v>1921</v>
      </c>
      <c r="F1251" s="117" t="n">
        <v>1112</v>
      </c>
      <c r="G1251" s="117" t="n">
        <v>2019</v>
      </c>
      <c r="H1251" s="117" t="n">
        <v>10</v>
      </c>
      <c r="I1251" s="118" t="n">
        <v>43859</v>
      </c>
      <c r="J1251" s="118" t="n">
        <v>43859</v>
      </c>
      <c r="K1251" s="119" t="n">
        <v>49689.89</v>
      </c>
      <c r="L1251" s="128" t="n">
        <f aca="false">K1251-Q1251+T1251</f>
        <v>49689.89</v>
      </c>
      <c r="M1251" s="117" t="s">
        <v>149</v>
      </c>
      <c r="N1251" s="117" t="n">
        <v>49689.89</v>
      </c>
      <c r="O1251" s="117" t="s">
        <v>149</v>
      </c>
      <c r="P1251" s="117" t="n">
        <v>0</v>
      </c>
      <c r="Q1251" s="117" t="n">
        <v>0</v>
      </c>
      <c r="R1251" s="117" t="n">
        <v>49689.89</v>
      </c>
      <c r="S1251" s="117" t="n">
        <v>0</v>
      </c>
      <c r="T1251" s="117" t="n">
        <v>0</v>
      </c>
      <c r="U1251" s="117" t="n">
        <v>312193</v>
      </c>
      <c r="V1251" s="117" t="s">
        <v>1963</v>
      </c>
      <c r="X1251" s="117" t="s">
        <v>2635</v>
      </c>
      <c r="Z1251" s="117" t="n">
        <v>62397</v>
      </c>
      <c r="AB1251" s="117" t="s">
        <v>2350</v>
      </c>
      <c r="AD1251" s="117" t="n">
        <v>110000</v>
      </c>
      <c r="AE1251" s="117" t="s">
        <v>1966</v>
      </c>
      <c r="AF1251" s="117" t="n">
        <v>110000</v>
      </c>
      <c r="AG1251" s="117" t="s">
        <v>1966</v>
      </c>
      <c r="AI1251" s="117" t="n">
        <v>110000</v>
      </c>
      <c r="AJ1251" s="117" t="s">
        <v>1966</v>
      </c>
      <c r="AK1251" s="117" t="n">
        <v>0</v>
      </c>
      <c r="AL1251" s="117" t="n">
        <v>4</v>
      </c>
      <c r="AM1251" s="117" t="s">
        <v>161</v>
      </c>
      <c r="AR1251" s="118" t="n">
        <v>43859</v>
      </c>
      <c r="AS1251" s="117" t="n">
        <v>0.289224537037037</v>
      </c>
      <c r="AT1251" s="117" t="n">
        <v>0</v>
      </c>
      <c r="AU1251" s="117" t="n">
        <v>0</v>
      </c>
      <c r="AX1251" s="117" t="n">
        <v>11</v>
      </c>
    </row>
    <row r="1252" customFormat="false" ht="13.8" hidden="true" customHeight="false" outlineLevel="0" collapsed="false">
      <c r="A1252" s="117" t="n">
        <v>1000</v>
      </c>
      <c r="B1252" s="117" t="s">
        <v>1962</v>
      </c>
      <c r="C1252" s="117" t="n">
        <v>100229537</v>
      </c>
      <c r="E1252" s="117" t="s">
        <v>1921</v>
      </c>
      <c r="F1252" s="117" t="n">
        <v>1101</v>
      </c>
      <c r="G1252" s="117" t="n">
        <v>2019</v>
      </c>
      <c r="H1252" s="117" t="n">
        <v>10</v>
      </c>
      <c r="I1252" s="118" t="n">
        <v>43857</v>
      </c>
      <c r="J1252" s="118" t="n">
        <v>43857</v>
      </c>
      <c r="K1252" s="119" t="n">
        <v>0.44</v>
      </c>
      <c r="L1252" s="128" t="n">
        <f aca="false">K1252-Q1252+T1252</f>
        <v>0.44</v>
      </c>
      <c r="M1252" s="117" t="s">
        <v>149</v>
      </c>
      <c r="N1252" s="117" t="n">
        <v>0.44</v>
      </c>
      <c r="O1252" s="117" t="s">
        <v>149</v>
      </c>
      <c r="P1252" s="117" t="n">
        <v>0</v>
      </c>
      <c r="Q1252" s="117" t="n">
        <v>0</v>
      </c>
      <c r="R1252" s="117" t="n">
        <v>0.44</v>
      </c>
      <c r="S1252" s="117" t="n">
        <v>0</v>
      </c>
      <c r="T1252" s="117" t="n">
        <v>0</v>
      </c>
      <c r="U1252" s="117" t="n">
        <v>315113</v>
      </c>
      <c r="V1252" s="117" t="s">
        <v>143</v>
      </c>
      <c r="Z1252" s="117" t="n">
        <v>100229537</v>
      </c>
      <c r="AD1252" s="117" t="n">
        <v>310300</v>
      </c>
      <c r="AE1252" s="117" t="s">
        <v>1969</v>
      </c>
      <c r="AF1252" s="117" t="n">
        <v>110000</v>
      </c>
      <c r="AG1252" s="117" t="s">
        <v>1966</v>
      </c>
      <c r="AI1252" s="117" t="n">
        <v>110000</v>
      </c>
      <c r="AJ1252" s="117" t="s">
        <v>1966</v>
      </c>
      <c r="AK1252" s="117" t="n">
        <v>0</v>
      </c>
      <c r="AL1252" s="117" t="n">
        <v>9</v>
      </c>
      <c r="AM1252" s="117" t="s">
        <v>161</v>
      </c>
      <c r="AN1252" s="117" t="s">
        <v>1978</v>
      </c>
      <c r="AP1252" s="117" t="n">
        <v>100229537</v>
      </c>
      <c r="AQ1252" s="118" t="n">
        <v>43857</v>
      </c>
      <c r="AR1252" s="118" t="n">
        <v>43857</v>
      </c>
      <c r="AS1252" s="117" t="n">
        <v>0.288831018518518</v>
      </c>
      <c r="AT1252" s="117" t="n">
        <v>0</v>
      </c>
      <c r="AU1252" s="117" t="n">
        <v>0</v>
      </c>
      <c r="AX1252" s="117" t="n">
        <v>3</v>
      </c>
    </row>
    <row r="1253" customFormat="false" ht="13.8" hidden="true" customHeight="false" outlineLevel="0" collapsed="false">
      <c r="A1253" s="117" t="n">
        <v>1000</v>
      </c>
      <c r="B1253" s="117" t="s">
        <v>1962</v>
      </c>
      <c r="C1253" s="117" t="n">
        <v>100231550</v>
      </c>
      <c r="E1253" s="117" t="s">
        <v>1921</v>
      </c>
      <c r="F1253" s="117" t="n">
        <v>1109</v>
      </c>
      <c r="G1253" s="117" t="n">
        <v>2019</v>
      </c>
      <c r="H1253" s="117" t="n">
        <v>10</v>
      </c>
      <c r="I1253" s="118" t="n">
        <v>43859</v>
      </c>
      <c r="J1253" s="118" t="n">
        <v>43859</v>
      </c>
      <c r="K1253" s="119" t="n">
        <v>-42404.1</v>
      </c>
      <c r="L1253" s="128" t="n">
        <f aca="false">K1253-Q1253+T1253</f>
        <v>-42404.1</v>
      </c>
      <c r="M1253" s="117" t="s">
        <v>149</v>
      </c>
      <c r="N1253" s="117" t="n">
        <v>-42404.1</v>
      </c>
      <c r="O1253" s="117" t="s">
        <v>149</v>
      </c>
      <c r="P1253" s="117" t="n">
        <v>0</v>
      </c>
      <c r="Q1253" s="117" t="n">
        <v>0</v>
      </c>
      <c r="R1253" s="117" t="n">
        <v>-42404.1</v>
      </c>
      <c r="S1253" s="117" t="n">
        <v>0</v>
      </c>
      <c r="T1253" s="117" t="n">
        <v>0</v>
      </c>
      <c r="U1253" s="117" t="n">
        <v>312193</v>
      </c>
      <c r="V1253" s="117" t="s">
        <v>1963</v>
      </c>
      <c r="Z1253" s="117" t="n">
        <v>100231550</v>
      </c>
      <c r="AD1253" s="117" t="n">
        <v>110000</v>
      </c>
      <c r="AE1253" s="117" t="s">
        <v>1966</v>
      </c>
      <c r="AF1253" s="117" t="n">
        <v>110000</v>
      </c>
      <c r="AG1253" s="117" t="s">
        <v>1966</v>
      </c>
      <c r="AI1253" s="117" t="n">
        <v>110000</v>
      </c>
      <c r="AJ1253" s="117" t="s">
        <v>1966</v>
      </c>
      <c r="AK1253" s="117" t="n">
        <v>0</v>
      </c>
      <c r="AL1253" s="117" t="n">
        <v>17</v>
      </c>
      <c r="AM1253" s="117" t="s">
        <v>225</v>
      </c>
      <c r="AP1253" s="117" t="n">
        <v>100231550</v>
      </c>
      <c r="AQ1253" s="118" t="n">
        <v>43859</v>
      </c>
      <c r="AR1253" s="118" t="n">
        <v>43859</v>
      </c>
      <c r="AS1253" s="117" t="n">
        <v>0.282858796296296</v>
      </c>
      <c r="AT1253" s="117" t="n">
        <v>0</v>
      </c>
      <c r="AU1253" s="117" t="n">
        <v>0</v>
      </c>
      <c r="AX1253" s="117" t="n">
        <v>3</v>
      </c>
    </row>
    <row r="1254" customFormat="false" ht="13.8" hidden="true" customHeight="false" outlineLevel="0" collapsed="false">
      <c r="A1254" s="117" t="n">
        <v>1000</v>
      </c>
      <c r="B1254" s="117" t="s">
        <v>1962</v>
      </c>
      <c r="C1254" s="117" t="n">
        <v>100231549</v>
      </c>
      <c r="E1254" s="117" t="s">
        <v>1921</v>
      </c>
      <c r="F1254" s="117" t="n">
        <v>1108</v>
      </c>
      <c r="G1254" s="117" t="n">
        <v>2019</v>
      </c>
      <c r="H1254" s="117" t="n">
        <v>10</v>
      </c>
      <c r="I1254" s="118" t="n">
        <v>43859</v>
      </c>
      <c r="J1254" s="118" t="n">
        <v>43859</v>
      </c>
      <c r="K1254" s="119" t="n">
        <v>2809.35</v>
      </c>
      <c r="L1254" s="128" t="n">
        <f aca="false">K1254-Q1254+T1254</f>
        <v>2809.35</v>
      </c>
      <c r="M1254" s="117" t="s">
        <v>149</v>
      </c>
      <c r="N1254" s="117" t="n">
        <v>2809.35</v>
      </c>
      <c r="O1254" s="117" t="s">
        <v>149</v>
      </c>
      <c r="P1254" s="117" t="n">
        <v>0</v>
      </c>
      <c r="Q1254" s="117" t="n">
        <v>0</v>
      </c>
      <c r="R1254" s="117" t="n">
        <v>2809.35</v>
      </c>
      <c r="S1254" s="117" t="n">
        <v>0</v>
      </c>
      <c r="T1254" s="117" t="n">
        <v>0</v>
      </c>
      <c r="U1254" s="117" t="n">
        <v>312193</v>
      </c>
      <c r="V1254" s="117" t="s">
        <v>1963</v>
      </c>
      <c r="X1254" s="117" t="s">
        <v>2636</v>
      </c>
      <c r="Z1254" s="117" t="n">
        <v>2460</v>
      </c>
      <c r="AB1254" s="117" t="s">
        <v>2122</v>
      </c>
      <c r="AD1254" s="117" t="n">
        <v>110000</v>
      </c>
      <c r="AE1254" s="117" t="s">
        <v>1966</v>
      </c>
      <c r="AF1254" s="117" t="n">
        <v>110000</v>
      </c>
      <c r="AG1254" s="117" t="s">
        <v>1966</v>
      </c>
      <c r="AI1254" s="117" t="n">
        <v>110000</v>
      </c>
      <c r="AJ1254" s="117" t="s">
        <v>1966</v>
      </c>
      <c r="AK1254" s="117" t="n">
        <v>0</v>
      </c>
      <c r="AL1254" s="117" t="n">
        <v>4</v>
      </c>
      <c r="AM1254" s="117" t="s">
        <v>161</v>
      </c>
      <c r="AR1254" s="118" t="n">
        <v>43859</v>
      </c>
      <c r="AS1254" s="117" t="n">
        <v>0.27931712962963</v>
      </c>
      <c r="AT1254" s="117" t="n">
        <v>0</v>
      </c>
      <c r="AU1254" s="117" t="n">
        <v>0</v>
      </c>
      <c r="AX1254" s="117" t="n">
        <v>1</v>
      </c>
    </row>
    <row r="1255" customFormat="false" ht="13.8" hidden="true" customHeight="false" outlineLevel="0" collapsed="false">
      <c r="A1255" s="117" t="n">
        <v>1000</v>
      </c>
      <c r="B1255" s="117" t="s">
        <v>1962</v>
      </c>
      <c r="C1255" s="117" t="n">
        <v>100242954</v>
      </c>
      <c r="E1255" s="117" t="s">
        <v>1921</v>
      </c>
      <c r="F1255" s="117" t="n">
        <v>1106</v>
      </c>
      <c r="G1255" s="117" t="n">
        <v>2019</v>
      </c>
      <c r="H1255" s="117" t="n">
        <v>10</v>
      </c>
      <c r="I1255" s="118" t="n">
        <v>43861</v>
      </c>
      <c r="J1255" s="118" t="n">
        <v>43861</v>
      </c>
      <c r="K1255" s="119" t="n">
        <v>-19639.46</v>
      </c>
      <c r="L1255" s="128" t="n">
        <f aca="false">K1255-Q1255+T1255</f>
        <v>-19639.46</v>
      </c>
      <c r="M1255" s="117" t="s">
        <v>149</v>
      </c>
      <c r="N1255" s="117" t="n">
        <v>-19639.46</v>
      </c>
      <c r="O1255" s="117" t="s">
        <v>149</v>
      </c>
      <c r="P1255" s="117" t="n">
        <v>0</v>
      </c>
      <c r="Q1255" s="117" t="n">
        <v>0</v>
      </c>
      <c r="R1255" s="117" t="n">
        <v>-19639.46</v>
      </c>
      <c r="S1255" s="117" t="n">
        <v>0</v>
      </c>
      <c r="T1255" s="117" t="n">
        <v>0</v>
      </c>
      <c r="U1255" s="117" t="n">
        <v>318169</v>
      </c>
      <c r="V1255" s="117" t="s">
        <v>2158</v>
      </c>
      <c r="Z1255" s="117" t="n">
        <v>100242954</v>
      </c>
      <c r="AD1255" s="117" t="n">
        <v>111105</v>
      </c>
      <c r="AE1255" s="117" t="s">
        <v>1994</v>
      </c>
      <c r="AF1255" s="117" t="n">
        <v>111105</v>
      </c>
      <c r="AG1255" s="117" t="s">
        <v>1994</v>
      </c>
      <c r="AI1255" s="117" t="n">
        <v>111105</v>
      </c>
      <c r="AJ1255" s="117" t="s">
        <v>1994</v>
      </c>
      <c r="AK1255" s="117" t="n">
        <v>0</v>
      </c>
      <c r="AL1255" s="117" t="n">
        <v>19</v>
      </c>
      <c r="AM1255" s="117" t="s">
        <v>225</v>
      </c>
      <c r="AN1255" s="117" t="s">
        <v>1995</v>
      </c>
      <c r="AP1255" s="117" t="n">
        <v>100242954</v>
      </c>
      <c r="AQ1255" s="118" t="n">
        <v>43861</v>
      </c>
      <c r="AR1255" s="118" t="n">
        <v>43864</v>
      </c>
      <c r="AS1255" s="117" t="n">
        <v>0.486446759259259</v>
      </c>
      <c r="AT1255" s="117" t="n">
        <v>0</v>
      </c>
      <c r="AU1255" s="117" t="n">
        <v>0</v>
      </c>
      <c r="AX1255" s="117" t="n">
        <v>2</v>
      </c>
    </row>
    <row r="1256" customFormat="false" ht="13.8" hidden="true" customHeight="false" outlineLevel="0" collapsed="false">
      <c r="A1256" s="117" t="n">
        <v>1000</v>
      </c>
      <c r="B1256" s="117" t="s">
        <v>1962</v>
      </c>
      <c r="C1256" s="117" t="n">
        <v>1400009782</v>
      </c>
      <c r="E1256" s="117" t="s">
        <v>1972</v>
      </c>
      <c r="F1256" s="117" t="n">
        <v>1101</v>
      </c>
      <c r="G1256" s="117" t="n">
        <v>2019</v>
      </c>
      <c r="H1256" s="117" t="n">
        <v>10</v>
      </c>
      <c r="I1256" s="118" t="n">
        <v>43850</v>
      </c>
      <c r="J1256" s="118" t="n">
        <v>43850</v>
      </c>
      <c r="K1256" s="119" t="n">
        <v>-19306.46</v>
      </c>
      <c r="L1256" s="128" t="n">
        <f aca="false">K1256-Q1256+T1256</f>
        <v>-19306.46</v>
      </c>
      <c r="M1256" s="117" t="s">
        <v>149</v>
      </c>
      <c r="N1256" s="117" t="n">
        <v>-19306.46</v>
      </c>
      <c r="O1256" s="117" t="s">
        <v>149</v>
      </c>
      <c r="P1256" s="117" t="n">
        <v>0</v>
      </c>
      <c r="Q1256" s="117" t="n">
        <v>0</v>
      </c>
      <c r="R1256" s="117" t="n">
        <v>-19306.46</v>
      </c>
      <c r="S1256" s="117" t="n">
        <v>0</v>
      </c>
      <c r="T1256" s="117" t="n">
        <v>0</v>
      </c>
      <c r="U1256" s="117" t="n">
        <v>318169</v>
      </c>
      <c r="V1256" s="117" t="s">
        <v>2158</v>
      </c>
      <c r="X1256" s="117" t="s">
        <v>2637</v>
      </c>
      <c r="Y1256" s="117" t="s">
        <v>2638</v>
      </c>
      <c r="Z1256" s="117" t="n">
        <v>1400009782</v>
      </c>
      <c r="AC1256" s="117" t="s">
        <v>1976</v>
      </c>
      <c r="AD1256" s="117" t="n">
        <v>310300</v>
      </c>
      <c r="AE1256" s="117" t="s">
        <v>1969</v>
      </c>
      <c r="AF1256" s="117" t="n">
        <v>101105</v>
      </c>
      <c r="AG1256" s="117" t="s">
        <v>1977</v>
      </c>
      <c r="AI1256" s="117" t="n">
        <v>101105</v>
      </c>
      <c r="AJ1256" s="117" t="s">
        <v>1977</v>
      </c>
      <c r="AK1256" s="117" t="n">
        <v>0</v>
      </c>
      <c r="AL1256" s="117" t="n">
        <v>19</v>
      </c>
      <c r="AM1256" s="117" t="s">
        <v>225</v>
      </c>
      <c r="AN1256" s="117" t="s">
        <v>1978</v>
      </c>
      <c r="AP1256" s="117" t="n">
        <v>100242954</v>
      </c>
      <c r="AQ1256" s="118" t="n">
        <v>43861</v>
      </c>
      <c r="AR1256" s="118" t="n">
        <v>43851</v>
      </c>
      <c r="AS1256" s="117" t="n">
        <v>0.475416666666667</v>
      </c>
      <c r="AT1256" s="117" t="n">
        <v>0</v>
      </c>
      <c r="AU1256" s="117" t="n">
        <v>0</v>
      </c>
      <c r="AX1256" s="117" t="n">
        <v>2</v>
      </c>
    </row>
    <row r="1257" s="106" customFormat="true" ht="13.8" hidden="true" customHeight="false" outlineLevel="0" collapsed="false">
      <c r="A1257" s="106" t="n">
        <v>1000</v>
      </c>
      <c r="B1257" s="106" t="s">
        <v>1962</v>
      </c>
      <c r="C1257" s="106" t="n">
        <v>105642</v>
      </c>
      <c r="D1257" s="106" t="s">
        <v>2639</v>
      </c>
      <c r="E1257" s="106" t="s">
        <v>1970</v>
      </c>
      <c r="F1257" s="106" t="n">
        <v>1109</v>
      </c>
      <c r="G1257" s="106" t="n">
        <v>2019</v>
      </c>
      <c r="H1257" s="106" t="n">
        <v>5</v>
      </c>
      <c r="I1257" s="129" t="n">
        <v>43686</v>
      </c>
      <c r="J1257" s="129" t="n">
        <v>43686</v>
      </c>
      <c r="K1257" s="107" t="n">
        <v>430386.12</v>
      </c>
      <c r="L1257" s="130" t="n">
        <f aca="false">K1257-Q1257+T1257</f>
        <v>364734</v>
      </c>
      <c r="M1257" s="106" t="s">
        <v>149</v>
      </c>
      <c r="N1257" s="106" t="n">
        <v>430386.12</v>
      </c>
      <c r="O1257" s="106" t="s">
        <v>149</v>
      </c>
      <c r="P1257" s="106" t="n">
        <v>0</v>
      </c>
      <c r="Q1257" s="107" t="n">
        <v>65652.12</v>
      </c>
      <c r="R1257" s="106" t="n">
        <v>364734</v>
      </c>
      <c r="S1257" s="106" t="n">
        <v>0</v>
      </c>
      <c r="T1257" s="106" t="n">
        <v>0</v>
      </c>
      <c r="U1257" s="106" t="n">
        <v>312193</v>
      </c>
      <c r="V1257" s="106" t="s">
        <v>1963</v>
      </c>
      <c r="Z1257" s="106" t="n">
        <v>2316</v>
      </c>
      <c r="AB1257" s="106" t="s">
        <v>1965</v>
      </c>
      <c r="AD1257" s="106" t="n">
        <v>110000</v>
      </c>
      <c r="AE1257" s="106" t="s">
        <v>1966</v>
      </c>
      <c r="AF1257" s="106" t="n">
        <v>501020</v>
      </c>
      <c r="AG1257" s="106" t="s">
        <v>1971</v>
      </c>
      <c r="AI1257" s="106" t="n">
        <v>501020</v>
      </c>
      <c r="AJ1257" s="106" t="s">
        <v>1971</v>
      </c>
      <c r="AK1257" s="106" t="n">
        <v>0</v>
      </c>
      <c r="AL1257" s="106" t="n">
        <v>1</v>
      </c>
      <c r="AM1257" s="106" t="s">
        <v>161</v>
      </c>
      <c r="AP1257" s="106" t="n">
        <v>100078765</v>
      </c>
      <c r="AQ1257" s="129" t="n">
        <v>43706</v>
      </c>
      <c r="AR1257" s="129" t="n">
        <v>43686</v>
      </c>
      <c r="AS1257" s="106" t="n">
        <v>0.707581018518519</v>
      </c>
      <c r="AT1257" s="106" t="n">
        <v>0</v>
      </c>
      <c r="AU1257" s="106" t="n">
        <v>0</v>
      </c>
      <c r="AX1257" s="106" t="n">
        <v>1</v>
      </c>
      <c r="ALU1257" s="0"/>
      <c r="ALV1257" s="0"/>
      <c r="ALW1257" s="0"/>
      <c r="ALX1257" s="0"/>
      <c r="ALY1257" s="0"/>
      <c r="ALZ1257" s="0"/>
      <c r="AMA1257" s="0"/>
      <c r="AMB1257" s="0"/>
      <c r="AMC1257" s="0"/>
      <c r="AMD1257" s="0"/>
      <c r="AME1257" s="0"/>
      <c r="AMF1257" s="0"/>
      <c r="AMG1257" s="0"/>
      <c r="AMH1257" s="0"/>
      <c r="AMI1257" s="0"/>
      <c r="AMJ1257" s="0"/>
    </row>
    <row r="1258" s="106" customFormat="true" ht="13.8" hidden="true" customHeight="false" outlineLevel="0" collapsed="false">
      <c r="A1258" s="106" t="n">
        <v>1000</v>
      </c>
      <c r="B1258" s="106" t="s">
        <v>1962</v>
      </c>
      <c r="C1258" s="106" t="n">
        <v>106152</v>
      </c>
      <c r="D1258" s="106" t="s">
        <v>1066</v>
      </c>
      <c r="E1258" s="106" t="s">
        <v>1970</v>
      </c>
      <c r="F1258" s="106" t="n">
        <v>1109</v>
      </c>
      <c r="G1258" s="106" t="n">
        <v>2019</v>
      </c>
      <c r="H1258" s="106" t="n">
        <v>5</v>
      </c>
      <c r="I1258" s="129" t="n">
        <v>43704</v>
      </c>
      <c r="J1258" s="129" t="n">
        <v>43704</v>
      </c>
      <c r="K1258" s="107" t="n">
        <v>167714.46</v>
      </c>
      <c r="L1258" s="130" t="n">
        <f aca="false">K1258-Q1258+T1258</f>
        <v>142130.9</v>
      </c>
      <c r="M1258" s="106" t="s">
        <v>149</v>
      </c>
      <c r="N1258" s="106" t="n">
        <v>167714.46</v>
      </c>
      <c r="O1258" s="106" t="s">
        <v>149</v>
      </c>
      <c r="P1258" s="106" t="n">
        <v>0</v>
      </c>
      <c r="Q1258" s="107" t="n">
        <v>25583.56</v>
      </c>
      <c r="R1258" s="106" t="n">
        <v>142130.9</v>
      </c>
      <c r="S1258" s="106" t="n">
        <v>0</v>
      </c>
      <c r="T1258" s="106" t="n">
        <v>0</v>
      </c>
      <c r="U1258" s="106" t="n">
        <v>304431</v>
      </c>
      <c r="V1258" s="106" t="s">
        <v>2016</v>
      </c>
      <c r="Z1258" s="106" t="n">
        <v>2447</v>
      </c>
      <c r="AB1258" s="106" t="s">
        <v>2052</v>
      </c>
      <c r="AD1258" s="106" t="n">
        <v>110000</v>
      </c>
      <c r="AE1258" s="106" t="s">
        <v>1966</v>
      </c>
      <c r="AF1258" s="106" t="n">
        <v>501020</v>
      </c>
      <c r="AG1258" s="106" t="s">
        <v>1971</v>
      </c>
      <c r="AI1258" s="106" t="n">
        <v>501020</v>
      </c>
      <c r="AJ1258" s="106" t="s">
        <v>1971</v>
      </c>
      <c r="AK1258" s="106" t="n">
        <v>0</v>
      </c>
      <c r="AL1258" s="106" t="n">
        <v>1</v>
      </c>
      <c r="AM1258" s="106" t="s">
        <v>161</v>
      </c>
      <c r="AP1258" s="106" t="n">
        <v>100081965</v>
      </c>
      <c r="AQ1258" s="129" t="n">
        <v>43708</v>
      </c>
      <c r="AR1258" s="129" t="n">
        <v>43704</v>
      </c>
      <c r="AS1258" s="106" t="n">
        <v>0.750127314814815</v>
      </c>
      <c r="AT1258" s="106" t="n">
        <v>0</v>
      </c>
      <c r="AU1258" s="106" t="n">
        <v>0</v>
      </c>
      <c r="AX1258" s="106" t="n">
        <v>1</v>
      </c>
      <c r="ALU1258" s="0"/>
      <c r="ALV1258" s="0"/>
      <c r="ALW1258" s="0"/>
      <c r="ALX1258" s="0"/>
      <c r="ALY1258" s="0"/>
      <c r="ALZ1258" s="0"/>
      <c r="AMA1258" s="0"/>
      <c r="AMB1258" s="0"/>
      <c r="AMC1258" s="0"/>
      <c r="AMD1258" s="0"/>
      <c r="AME1258" s="0"/>
      <c r="AMF1258" s="0"/>
      <c r="AMG1258" s="0"/>
      <c r="AMH1258" s="0"/>
      <c r="AMI1258" s="0"/>
      <c r="AMJ1258" s="0"/>
    </row>
    <row r="1259" customFormat="false" ht="13.8" hidden="true" customHeight="false" outlineLevel="0" collapsed="false">
      <c r="A1259" s="117" t="n">
        <v>1000</v>
      </c>
      <c r="B1259" s="117" t="s">
        <v>1962</v>
      </c>
      <c r="C1259" s="117" t="n">
        <v>100231547</v>
      </c>
      <c r="E1259" s="117" t="s">
        <v>1921</v>
      </c>
      <c r="F1259" s="117" t="n">
        <v>1108</v>
      </c>
      <c r="G1259" s="117" t="n">
        <v>2019</v>
      </c>
      <c r="H1259" s="117" t="n">
        <v>10</v>
      </c>
      <c r="I1259" s="118" t="n">
        <v>43859</v>
      </c>
      <c r="J1259" s="118" t="n">
        <v>43859</v>
      </c>
      <c r="K1259" s="119" t="n">
        <v>49207</v>
      </c>
      <c r="L1259" s="128" t="n">
        <f aca="false">K1259-Q1259+T1259</f>
        <v>49207</v>
      </c>
      <c r="M1259" s="117" t="s">
        <v>149</v>
      </c>
      <c r="N1259" s="117" t="n">
        <v>49207</v>
      </c>
      <c r="O1259" s="117" t="s">
        <v>149</v>
      </c>
      <c r="P1259" s="117" t="n">
        <v>0</v>
      </c>
      <c r="Q1259" s="117" t="n">
        <v>0</v>
      </c>
      <c r="R1259" s="117" t="n">
        <v>49207</v>
      </c>
      <c r="S1259" s="117" t="n">
        <v>0</v>
      </c>
      <c r="T1259" s="117" t="n">
        <v>0</v>
      </c>
      <c r="U1259" s="117" t="n">
        <v>312193</v>
      </c>
      <c r="V1259" s="117" t="s">
        <v>1963</v>
      </c>
      <c r="X1259" s="117" t="s">
        <v>2640</v>
      </c>
      <c r="Z1259" s="117" t="n">
        <v>1808</v>
      </c>
      <c r="AB1259" s="117" t="n">
        <v>3800010617</v>
      </c>
      <c r="AD1259" s="117" t="n">
        <v>110000</v>
      </c>
      <c r="AE1259" s="117" t="s">
        <v>1966</v>
      </c>
      <c r="AF1259" s="117" t="n">
        <v>110000</v>
      </c>
      <c r="AG1259" s="117" t="s">
        <v>1966</v>
      </c>
      <c r="AI1259" s="117" t="n">
        <v>110000</v>
      </c>
      <c r="AJ1259" s="117" t="s">
        <v>1966</v>
      </c>
      <c r="AK1259" s="117" t="n">
        <v>0</v>
      </c>
      <c r="AL1259" s="117" t="n">
        <v>4</v>
      </c>
      <c r="AM1259" s="117" t="s">
        <v>161</v>
      </c>
      <c r="AR1259" s="118" t="n">
        <v>43859</v>
      </c>
      <c r="AS1259" s="117" t="n">
        <v>0.26912037037037</v>
      </c>
      <c r="AT1259" s="117" t="n">
        <v>0</v>
      </c>
      <c r="AU1259" s="117" t="n">
        <v>0</v>
      </c>
      <c r="AX1259" s="117" t="n">
        <v>2</v>
      </c>
    </row>
    <row r="1260" customFormat="false" ht="13.8" hidden="true" customHeight="false" outlineLevel="0" collapsed="false">
      <c r="A1260" s="117" t="n">
        <v>1000</v>
      </c>
      <c r="B1260" s="117" t="s">
        <v>1962</v>
      </c>
      <c r="C1260" s="117" t="n">
        <v>1600000413</v>
      </c>
      <c r="D1260" s="117" t="s">
        <v>2175</v>
      </c>
      <c r="E1260" s="117" t="s">
        <v>1987</v>
      </c>
      <c r="F1260" s="117" t="n">
        <v>1106</v>
      </c>
      <c r="G1260" s="117" t="n">
        <v>2019</v>
      </c>
      <c r="H1260" s="117" t="n">
        <v>10</v>
      </c>
      <c r="I1260" s="118" t="n">
        <v>43859</v>
      </c>
      <c r="J1260" s="118" t="n">
        <v>43859</v>
      </c>
      <c r="K1260" s="119" t="n">
        <v>-33344</v>
      </c>
      <c r="L1260" s="128" t="n">
        <f aca="false">K1260-Q1260+T1260</f>
        <v>-33344</v>
      </c>
      <c r="M1260" s="117" t="s">
        <v>149</v>
      </c>
      <c r="N1260" s="117" t="n">
        <v>-33344</v>
      </c>
      <c r="O1260" s="117" t="s">
        <v>149</v>
      </c>
      <c r="P1260" s="117" t="n">
        <v>-33344</v>
      </c>
      <c r="Q1260" s="117" t="n">
        <v>0</v>
      </c>
      <c r="R1260" s="117" t="n">
        <v>-33344</v>
      </c>
      <c r="S1260" s="117" t="n">
        <v>0</v>
      </c>
      <c r="T1260" s="117" t="n">
        <v>0</v>
      </c>
      <c r="U1260" s="117" t="n">
        <v>312193</v>
      </c>
      <c r="V1260" s="117" t="s">
        <v>1963</v>
      </c>
      <c r="X1260" s="117" t="s">
        <v>2174</v>
      </c>
      <c r="Y1260" s="117" t="s">
        <v>2176</v>
      </c>
      <c r="Z1260" s="117" t="n">
        <v>1600000413</v>
      </c>
      <c r="AD1260" s="117" t="n">
        <v>110000</v>
      </c>
      <c r="AE1260" s="117" t="s">
        <v>1966</v>
      </c>
      <c r="AF1260" s="117" t="n">
        <v>312193</v>
      </c>
      <c r="AG1260" s="117" t="s">
        <v>1963</v>
      </c>
      <c r="AI1260" s="117" t="n">
        <v>312193</v>
      </c>
      <c r="AJ1260" s="131" t="s">
        <v>1963</v>
      </c>
      <c r="AK1260" s="117" t="n">
        <v>0</v>
      </c>
      <c r="AL1260" s="117" t="n">
        <v>14</v>
      </c>
      <c r="AM1260" s="117" t="s">
        <v>225</v>
      </c>
      <c r="AP1260" s="117" t="n">
        <v>100231547</v>
      </c>
      <c r="AQ1260" s="118" t="n">
        <v>43859</v>
      </c>
      <c r="AR1260" s="118" t="n">
        <v>43859</v>
      </c>
      <c r="AS1260" s="117" t="n">
        <v>0.266435185185185</v>
      </c>
      <c r="AT1260" s="117" t="n">
        <v>0</v>
      </c>
      <c r="AU1260" s="117" t="n">
        <v>0</v>
      </c>
      <c r="AX1260" s="117" t="n">
        <v>2</v>
      </c>
    </row>
    <row r="1261" customFormat="false" ht="13.8" hidden="true" customHeight="false" outlineLevel="0" collapsed="false">
      <c r="A1261" s="117" t="n">
        <v>1000</v>
      </c>
      <c r="B1261" s="117" t="s">
        <v>1962</v>
      </c>
      <c r="C1261" s="117" t="n">
        <v>100229154</v>
      </c>
      <c r="E1261" s="117" t="s">
        <v>1921</v>
      </c>
      <c r="F1261" s="117" t="n">
        <v>1106</v>
      </c>
      <c r="G1261" s="117" t="n">
        <v>2019</v>
      </c>
      <c r="H1261" s="117" t="n">
        <v>10</v>
      </c>
      <c r="I1261" s="118" t="n">
        <v>43856</v>
      </c>
      <c r="J1261" s="118" t="n">
        <v>43856</v>
      </c>
      <c r="K1261" s="119" t="n">
        <v>384680</v>
      </c>
      <c r="L1261" s="128" t="n">
        <f aca="false">K1261-Q1261+T1261</f>
        <v>384680</v>
      </c>
      <c r="M1261" s="117" t="s">
        <v>149</v>
      </c>
      <c r="N1261" s="117" t="n">
        <v>384680</v>
      </c>
      <c r="O1261" s="117" t="s">
        <v>149</v>
      </c>
      <c r="P1261" s="117" t="n">
        <v>0</v>
      </c>
      <c r="Q1261" s="117" t="n">
        <v>0</v>
      </c>
      <c r="R1261" s="117" t="n">
        <v>384680</v>
      </c>
      <c r="S1261" s="117" t="n">
        <v>0</v>
      </c>
      <c r="T1261" s="117" t="n">
        <v>0</v>
      </c>
      <c r="U1261" s="117" t="n">
        <v>313029</v>
      </c>
      <c r="V1261" s="117" t="s">
        <v>143</v>
      </c>
      <c r="Z1261" s="117" t="n">
        <v>100229154</v>
      </c>
      <c r="AD1261" s="117" t="n">
        <v>310300</v>
      </c>
      <c r="AE1261" s="117" t="s">
        <v>1969</v>
      </c>
      <c r="AF1261" s="117" t="n">
        <v>110000</v>
      </c>
      <c r="AG1261" s="117" t="s">
        <v>1966</v>
      </c>
      <c r="AI1261" s="117" t="n">
        <v>110000</v>
      </c>
      <c r="AJ1261" s="117" t="s">
        <v>1966</v>
      </c>
      <c r="AK1261" s="117" t="n">
        <v>0</v>
      </c>
      <c r="AL1261" s="117" t="n">
        <v>9</v>
      </c>
      <c r="AM1261" s="117" t="s">
        <v>161</v>
      </c>
      <c r="AN1261" s="117" t="s">
        <v>1978</v>
      </c>
      <c r="AP1261" s="117" t="n">
        <v>100229154</v>
      </c>
      <c r="AQ1261" s="118" t="n">
        <v>43856</v>
      </c>
      <c r="AR1261" s="118" t="n">
        <v>43856</v>
      </c>
      <c r="AS1261" s="117" t="n">
        <v>0.564652777777778</v>
      </c>
      <c r="AT1261" s="117" t="n">
        <v>0</v>
      </c>
      <c r="AU1261" s="117" t="n">
        <v>0</v>
      </c>
      <c r="AX1261" s="117" t="n">
        <v>4</v>
      </c>
    </row>
    <row r="1262" customFormat="false" ht="13.8" hidden="true" customHeight="false" outlineLevel="0" collapsed="false">
      <c r="A1262" s="117" t="n">
        <v>1000</v>
      </c>
      <c r="B1262" s="117" t="s">
        <v>1962</v>
      </c>
      <c r="C1262" s="117" t="n">
        <v>100229130</v>
      </c>
      <c r="E1262" s="117" t="s">
        <v>1921</v>
      </c>
      <c r="F1262" s="117" t="n">
        <v>1109</v>
      </c>
      <c r="G1262" s="117" t="n">
        <v>2019</v>
      </c>
      <c r="H1262" s="117" t="n">
        <v>10</v>
      </c>
      <c r="I1262" s="118" t="n">
        <v>43856</v>
      </c>
      <c r="J1262" s="118" t="n">
        <v>43856</v>
      </c>
      <c r="K1262" s="119" t="n">
        <v>-4690414.33</v>
      </c>
      <c r="L1262" s="128" t="n">
        <f aca="false">K1262-Q1262+T1262</f>
        <v>-4690414.33</v>
      </c>
      <c r="M1262" s="117" t="s">
        <v>149</v>
      </c>
      <c r="N1262" s="117" t="n">
        <v>-4690414.33</v>
      </c>
      <c r="O1262" s="117" t="s">
        <v>149</v>
      </c>
      <c r="P1262" s="117" t="n">
        <v>0</v>
      </c>
      <c r="Q1262" s="117" t="n">
        <v>0</v>
      </c>
      <c r="R1262" s="117" t="n">
        <v>-4690414.33</v>
      </c>
      <c r="S1262" s="117" t="n">
        <v>0</v>
      </c>
      <c r="T1262" s="117" t="n">
        <v>0</v>
      </c>
      <c r="U1262" s="117" t="n">
        <v>311155</v>
      </c>
      <c r="V1262" s="117" t="s">
        <v>2022</v>
      </c>
      <c r="Z1262" s="117" t="n">
        <v>100229130</v>
      </c>
      <c r="AD1262" s="117" t="n">
        <v>110000</v>
      </c>
      <c r="AE1262" s="117" t="s">
        <v>1966</v>
      </c>
      <c r="AF1262" s="117" t="n">
        <v>110000</v>
      </c>
      <c r="AG1262" s="117" t="s">
        <v>1966</v>
      </c>
      <c r="AI1262" s="117" t="n">
        <v>110000</v>
      </c>
      <c r="AJ1262" s="117" t="s">
        <v>1966</v>
      </c>
      <c r="AK1262" s="117" t="n">
        <v>0</v>
      </c>
      <c r="AL1262" s="117" t="n">
        <v>17</v>
      </c>
      <c r="AM1262" s="117" t="s">
        <v>225</v>
      </c>
      <c r="AP1262" s="117" t="n">
        <v>100229130</v>
      </c>
      <c r="AQ1262" s="118" t="n">
        <v>43856</v>
      </c>
      <c r="AR1262" s="118" t="n">
        <v>43856</v>
      </c>
      <c r="AS1262" s="117" t="n">
        <v>0.555729166666667</v>
      </c>
      <c r="AT1262" s="117" t="n">
        <v>0</v>
      </c>
      <c r="AU1262" s="117" t="n">
        <v>0</v>
      </c>
      <c r="AX1262" s="117" t="n">
        <v>2</v>
      </c>
    </row>
    <row r="1263" customFormat="false" ht="13.8" hidden="true" customHeight="false" outlineLevel="0" collapsed="false">
      <c r="A1263" s="117" t="n">
        <v>1000</v>
      </c>
      <c r="B1263" s="117" t="s">
        <v>1962</v>
      </c>
      <c r="C1263" s="117" t="n">
        <v>100261921</v>
      </c>
      <c r="E1263" s="117" t="s">
        <v>1921</v>
      </c>
      <c r="F1263" s="117" t="n">
        <v>1109</v>
      </c>
      <c r="G1263" s="117" t="n">
        <v>2019</v>
      </c>
      <c r="H1263" s="117" t="n">
        <v>11</v>
      </c>
      <c r="I1263" s="118" t="n">
        <v>43884</v>
      </c>
      <c r="J1263" s="118" t="n">
        <v>43884</v>
      </c>
      <c r="K1263" s="119" t="n">
        <v>2095</v>
      </c>
      <c r="L1263" s="128" t="n">
        <f aca="false">K1263-Q1263+T1263</f>
        <v>2095</v>
      </c>
      <c r="M1263" s="117" t="s">
        <v>149</v>
      </c>
      <c r="N1263" s="117" t="n">
        <v>2095</v>
      </c>
      <c r="O1263" s="117" t="s">
        <v>149</v>
      </c>
      <c r="P1263" s="117" t="n">
        <v>0</v>
      </c>
      <c r="Q1263" s="117" t="n">
        <v>0</v>
      </c>
      <c r="R1263" s="117" t="n">
        <v>2095</v>
      </c>
      <c r="S1263" s="117" t="n">
        <v>0</v>
      </c>
      <c r="T1263" s="117" t="n">
        <v>0</v>
      </c>
      <c r="U1263" s="117" t="n">
        <v>315113</v>
      </c>
      <c r="V1263" s="117" t="s">
        <v>143</v>
      </c>
      <c r="X1263" s="117" t="s">
        <v>2641</v>
      </c>
      <c r="Z1263" s="117" t="n">
        <v>2511</v>
      </c>
      <c r="AB1263" s="117" t="s">
        <v>2373</v>
      </c>
      <c r="AD1263" s="117" t="n">
        <v>110000</v>
      </c>
      <c r="AE1263" s="117" t="s">
        <v>1966</v>
      </c>
      <c r="AF1263" s="117" t="n">
        <v>110000</v>
      </c>
      <c r="AG1263" s="117" t="s">
        <v>1966</v>
      </c>
      <c r="AI1263" s="117" t="n">
        <v>110000</v>
      </c>
      <c r="AJ1263" s="117" t="s">
        <v>1966</v>
      </c>
      <c r="AK1263" s="117" t="n">
        <v>0</v>
      </c>
      <c r="AL1263" s="117" t="n">
        <v>4</v>
      </c>
      <c r="AM1263" s="117" t="s">
        <v>161</v>
      </c>
      <c r="AR1263" s="118" t="n">
        <v>43884</v>
      </c>
      <c r="AS1263" s="117" t="n">
        <v>0.575451388888889</v>
      </c>
      <c r="AT1263" s="117" t="n">
        <v>0</v>
      </c>
      <c r="AU1263" s="117" t="n">
        <v>0</v>
      </c>
      <c r="AX1263" s="117" t="n">
        <v>1</v>
      </c>
    </row>
    <row r="1264" s="106" customFormat="true" ht="13.8" hidden="true" customHeight="false" outlineLevel="0" collapsed="false">
      <c r="A1264" s="106" t="n">
        <v>1000</v>
      </c>
      <c r="B1264" s="106" t="s">
        <v>1962</v>
      </c>
      <c r="C1264" s="106" t="n">
        <v>112315</v>
      </c>
      <c r="D1264" s="106" t="s">
        <v>1168</v>
      </c>
      <c r="E1264" s="106" t="s">
        <v>1970</v>
      </c>
      <c r="F1264" s="106" t="n">
        <v>1108</v>
      </c>
      <c r="G1264" s="106" t="n">
        <v>2019</v>
      </c>
      <c r="H1264" s="106" t="n">
        <v>11</v>
      </c>
      <c r="I1264" s="129" t="n">
        <v>43866</v>
      </c>
      <c r="J1264" s="129" t="n">
        <v>43866</v>
      </c>
      <c r="K1264" s="107" t="n">
        <v>108288.6</v>
      </c>
      <c r="L1264" s="130" t="n">
        <f aca="false">K1264-Q1264+T1264</f>
        <v>91770</v>
      </c>
      <c r="M1264" s="106" t="s">
        <v>149</v>
      </c>
      <c r="N1264" s="106" t="n">
        <v>108288.6</v>
      </c>
      <c r="O1264" s="106" t="s">
        <v>149</v>
      </c>
      <c r="P1264" s="106" t="n">
        <v>0</v>
      </c>
      <c r="Q1264" s="107" t="n">
        <v>16518.6</v>
      </c>
      <c r="R1264" s="106" t="n">
        <v>91770</v>
      </c>
      <c r="S1264" s="106" t="n">
        <v>0</v>
      </c>
      <c r="T1264" s="106" t="n">
        <v>0</v>
      </c>
      <c r="U1264" s="106" t="n">
        <v>312193</v>
      </c>
      <c r="V1264" s="106" t="s">
        <v>1963</v>
      </c>
      <c r="Z1264" s="106" t="n">
        <v>2346</v>
      </c>
      <c r="AB1264" s="106" t="s">
        <v>2031</v>
      </c>
      <c r="AD1264" s="106" t="n">
        <v>110000</v>
      </c>
      <c r="AE1264" s="106" t="s">
        <v>1966</v>
      </c>
      <c r="AF1264" s="106" t="n">
        <v>501020</v>
      </c>
      <c r="AG1264" s="106" t="s">
        <v>1971</v>
      </c>
      <c r="AI1264" s="106" t="n">
        <v>501020</v>
      </c>
      <c r="AJ1264" s="106" t="s">
        <v>1971</v>
      </c>
      <c r="AK1264" s="106" t="n">
        <v>0</v>
      </c>
      <c r="AL1264" s="106" t="n">
        <v>1</v>
      </c>
      <c r="AM1264" s="106" t="s">
        <v>161</v>
      </c>
      <c r="AQ1264" s="129"/>
      <c r="AR1264" s="129" t="n">
        <v>43866</v>
      </c>
      <c r="AS1264" s="106" t="n">
        <v>0.696736111111111</v>
      </c>
      <c r="AT1264" s="106" t="n">
        <v>0</v>
      </c>
      <c r="AU1264" s="106" t="n">
        <v>0</v>
      </c>
      <c r="AX1264" s="106" t="n">
        <v>1</v>
      </c>
      <c r="ALU1264" s="0"/>
      <c r="ALV1264" s="0"/>
      <c r="ALW1264" s="0"/>
      <c r="ALX1264" s="0"/>
      <c r="ALY1264" s="0"/>
      <c r="ALZ1264" s="0"/>
      <c r="AMA1264" s="0"/>
      <c r="AMB1264" s="0"/>
      <c r="AMC1264" s="0"/>
      <c r="AMD1264" s="0"/>
      <c r="AME1264" s="0"/>
      <c r="AMF1264" s="0"/>
      <c r="AMG1264" s="0"/>
      <c r="AMH1264" s="0"/>
      <c r="AMI1264" s="0"/>
      <c r="AMJ1264" s="0"/>
    </row>
    <row r="1265" customFormat="false" ht="13.8" hidden="true" customHeight="false" outlineLevel="0" collapsed="false">
      <c r="A1265" s="117" t="n">
        <v>1000</v>
      </c>
      <c r="B1265" s="117" t="s">
        <v>1962</v>
      </c>
      <c r="C1265" s="117" t="n">
        <v>1400009376</v>
      </c>
      <c r="D1265" s="117" t="s">
        <v>2603</v>
      </c>
      <c r="E1265" s="117" t="s">
        <v>1972</v>
      </c>
      <c r="F1265" s="117" t="n">
        <v>1106</v>
      </c>
      <c r="G1265" s="117" t="n">
        <v>2019</v>
      </c>
      <c r="H1265" s="117" t="n">
        <v>10</v>
      </c>
      <c r="I1265" s="118" t="n">
        <v>43831</v>
      </c>
      <c r="J1265" s="118" t="n">
        <v>43831</v>
      </c>
      <c r="K1265" s="119" t="n">
        <v>-94059.56</v>
      </c>
      <c r="L1265" s="128" t="n">
        <f aca="false">K1265-Q1265+T1265</f>
        <v>-94059.56</v>
      </c>
      <c r="M1265" s="117" t="s">
        <v>149</v>
      </c>
      <c r="N1265" s="117" t="n">
        <v>-94059.56</v>
      </c>
      <c r="O1265" s="117" t="s">
        <v>149</v>
      </c>
      <c r="P1265" s="117" t="n">
        <v>-94059.56</v>
      </c>
      <c r="Q1265" s="117" t="n">
        <v>0</v>
      </c>
      <c r="R1265" s="117" t="n">
        <v>-94059.56</v>
      </c>
      <c r="S1265" s="117" t="n">
        <v>0</v>
      </c>
      <c r="T1265" s="117" t="n">
        <v>0</v>
      </c>
      <c r="U1265" s="117" t="n">
        <v>312193</v>
      </c>
      <c r="V1265" s="117" t="s">
        <v>1963</v>
      </c>
      <c r="X1265" s="117" t="s">
        <v>2604</v>
      </c>
      <c r="Y1265" s="117" t="s">
        <v>2605</v>
      </c>
      <c r="Z1265" s="117" t="n">
        <v>1400009376</v>
      </c>
      <c r="AC1265" s="117" t="s">
        <v>1976</v>
      </c>
      <c r="AD1265" s="117" t="n">
        <v>310300</v>
      </c>
      <c r="AE1265" s="117" t="s">
        <v>1969</v>
      </c>
      <c r="AF1265" s="117" t="n">
        <v>101105</v>
      </c>
      <c r="AG1265" s="117" t="s">
        <v>1977</v>
      </c>
      <c r="AI1265" s="117" t="n">
        <v>101105</v>
      </c>
      <c r="AJ1265" s="117" t="s">
        <v>1977</v>
      </c>
      <c r="AK1265" s="117" t="n">
        <v>0</v>
      </c>
      <c r="AL1265" s="117" t="n">
        <v>19</v>
      </c>
      <c r="AM1265" s="117" t="s">
        <v>225</v>
      </c>
      <c r="AN1265" s="117" t="s">
        <v>1978</v>
      </c>
      <c r="AP1265" s="117" t="n">
        <v>100231548</v>
      </c>
      <c r="AQ1265" s="118" t="n">
        <v>43859</v>
      </c>
      <c r="AR1265" s="118" t="n">
        <v>43837</v>
      </c>
      <c r="AS1265" s="117" t="n">
        <v>0.475243055555556</v>
      </c>
      <c r="AT1265" s="117" t="n">
        <v>0</v>
      </c>
      <c r="AU1265" s="117" t="n">
        <v>0</v>
      </c>
      <c r="AX1265" s="117" t="n">
        <v>4</v>
      </c>
    </row>
    <row r="1266" s="106" customFormat="true" ht="13.8" hidden="true" customHeight="false" outlineLevel="0" collapsed="false">
      <c r="A1266" s="106" t="n">
        <v>1000</v>
      </c>
      <c r="B1266" s="106" t="s">
        <v>1962</v>
      </c>
      <c r="C1266" s="106" t="n">
        <v>111274</v>
      </c>
      <c r="D1266" s="106" t="s">
        <v>2635</v>
      </c>
      <c r="E1266" s="106" t="s">
        <v>1970</v>
      </c>
      <c r="F1266" s="106" t="n">
        <v>1112</v>
      </c>
      <c r="G1266" s="106" t="n">
        <v>2019</v>
      </c>
      <c r="H1266" s="106" t="n">
        <v>10</v>
      </c>
      <c r="I1266" s="129" t="n">
        <v>43840</v>
      </c>
      <c r="J1266" s="129" t="n">
        <v>43840</v>
      </c>
      <c r="K1266" s="107" t="n">
        <v>49689.89</v>
      </c>
      <c r="L1266" s="130" t="n">
        <f aca="false">K1266-Q1266+T1266</f>
        <v>42110.08</v>
      </c>
      <c r="M1266" s="106" t="s">
        <v>149</v>
      </c>
      <c r="N1266" s="106" t="n">
        <v>49689.89</v>
      </c>
      <c r="O1266" s="106" t="s">
        <v>149</v>
      </c>
      <c r="P1266" s="106" t="n">
        <v>0</v>
      </c>
      <c r="Q1266" s="107" t="n">
        <v>7579.81</v>
      </c>
      <c r="R1266" s="106" t="n">
        <v>42110.08</v>
      </c>
      <c r="S1266" s="106" t="n">
        <v>0</v>
      </c>
      <c r="T1266" s="106" t="n">
        <v>0</v>
      </c>
      <c r="U1266" s="106" t="n">
        <v>312193</v>
      </c>
      <c r="V1266" s="106" t="s">
        <v>1963</v>
      </c>
      <c r="Z1266" s="106" t="n">
        <v>62397</v>
      </c>
      <c r="AB1266" s="106" t="s">
        <v>2350</v>
      </c>
      <c r="AD1266" s="106" t="n">
        <v>110000</v>
      </c>
      <c r="AE1266" s="106" t="s">
        <v>1966</v>
      </c>
      <c r="AF1266" s="106" t="n">
        <v>501005</v>
      </c>
      <c r="AG1266" s="106" t="s">
        <v>2033</v>
      </c>
      <c r="AI1266" s="106" t="n">
        <v>501005</v>
      </c>
      <c r="AJ1266" s="106" t="s">
        <v>2033</v>
      </c>
      <c r="AK1266" s="106" t="n">
        <v>0</v>
      </c>
      <c r="AL1266" s="106" t="n">
        <v>1</v>
      </c>
      <c r="AM1266" s="106" t="s">
        <v>161</v>
      </c>
      <c r="AP1266" s="106" t="n">
        <v>100231557</v>
      </c>
      <c r="AQ1266" s="129" t="n">
        <v>43859</v>
      </c>
      <c r="AR1266" s="129" t="n">
        <v>43840</v>
      </c>
      <c r="AS1266" s="106" t="n">
        <v>0.440543981481482</v>
      </c>
      <c r="AT1266" s="106" t="n">
        <v>0</v>
      </c>
      <c r="AU1266" s="106" t="n">
        <v>0</v>
      </c>
      <c r="AX1266" s="106" t="n">
        <v>1</v>
      </c>
      <c r="ALU1266" s="0"/>
      <c r="ALV1266" s="0"/>
      <c r="ALW1266" s="0"/>
      <c r="ALX1266" s="0"/>
      <c r="ALY1266" s="0"/>
      <c r="ALZ1266" s="0"/>
      <c r="AMA1266" s="0"/>
      <c r="AMB1266" s="0"/>
      <c r="AMC1266" s="0"/>
      <c r="AMD1266" s="0"/>
      <c r="AME1266" s="0"/>
      <c r="AMF1266" s="0"/>
      <c r="AMG1266" s="0"/>
      <c r="AMH1266" s="0"/>
      <c r="AMI1266" s="0"/>
      <c r="AMJ1266" s="0"/>
    </row>
    <row r="1267" customFormat="false" ht="13.8" hidden="true" customHeight="false" outlineLevel="0" collapsed="false">
      <c r="A1267" s="117" t="n">
        <v>1000</v>
      </c>
      <c r="B1267" s="117" t="s">
        <v>1962</v>
      </c>
      <c r="C1267" s="117" t="n">
        <v>1400010605</v>
      </c>
      <c r="E1267" s="117" t="s">
        <v>1972</v>
      </c>
      <c r="F1267" s="117" t="n">
        <v>1106</v>
      </c>
      <c r="G1267" s="117" t="n">
        <v>2019</v>
      </c>
      <c r="H1267" s="117" t="n">
        <v>11</v>
      </c>
      <c r="I1267" s="118" t="n">
        <v>43868</v>
      </c>
      <c r="J1267" s="118" t="n">
        <v>43868</v>
      </c>
      <c r="K1267" s="119" t="n">
        <v>-4431059.3</v>
      </c>
      <c r="L1267" s="128" t="n">
        <f aca="false">K1267-Q1267+T1267</f>
        <v>-4431059.3</v>
      </c>
      <c r="M1267" s="117" t="s">
        <v>149</v>
      </c>
      <c r="N1267" s="117" t="n">
        <v>-4431059.3</v>
      </c>
      <c r="O1267" s="117" t="s">
        <v>149</v>
      </c>
      <c r="P1267" s="117" t="n">
        <v>0</v>
      </c>
      <c r="Q1267" s="117" t="n">
        <v>0</v>
      </c>
      <c r="R1267" s="117" t="n">
        <v>-4431059.3</v>
      </c>
      <c r="S1267" s="117" t="n">
        <v>0</v>
      </c>
      <c r="T1267" s="117" t="n">
        <v>0</v>
      </c>
      <c r="U1267" s="117" t="n">
        <v>311155</v>
      </c>
      <c r="V1267" s="117" t="s">
        <v>2022</v>
      </c>
      <c r="X1267" s="117" t="s">
        <v>2642</v>
      </c>
      <c r="Y1267" s="117" t="s">
        <v>2643</v>
      </c>
      <c r="Z1267" s="117" t="n">
        <v>1400010605</v>
      </c>
      <c r="AC1267" s="117" t="s">
        <v>1976</v>
      </c>
      <c r="AD1267" s="117" t="n">
        <v>310300</v>
      </c>
      <c r="AE1267" s="117" t="s">
        <v>1969</v>
      </c>
      <c r="AF1267" s="117" t="n">
        <v>101105</v>
      </c>
      <c r="AG1267" s="117" t="s">
        <v>1977</v>
      </c>
      <c r="AI1267" s="117" t="n">
        <v>101105</v>
      </c>
      <c r="AJ1267" s="117" t="s">
        <v>1977</v>
      </c>
      <c r="AK1267" s="117" t="n">
        <v>0</v>
      </c>
      <c r="AL1267" s="117" t="n">
        <v>19</v>
      </c>
      <c r="AM1267" s="117" t="s">
        <v>225</v>
      </c>
      <c r="AN1267" s="117" t="s">
        <v>1978</v>
      </c>
      <c r="AP1267" s="117" t="n">
        <v>100260188</v>
      </c>
      <c r="AQ1267" s="118" t="n">
        <v>43883</v>
      </c>
      <c r="AR1267" s="118" t="n">
        <v>43871</v>
      </c>
      <c r="AS1267" s="117" t="n">
        <v>0.522523148148148</v>
      </c>
      <c r="AT1267" s="117" t="n">
        <v>0</v>
      </c>
      <c r="AU1267" s="117" t="n">
        <v>0</v>
      </c>
      <c r="AX1267" s="117" t="n">
        <v>2</v>
      </c>
    </row>
    <row r="1268" customFormat="false" ht="13.8" hidden="true" customHeight="false" outlineLevel="0" collapsed="false">
      <c r="A1268" s="117" t="n">
        <v>1000</v>
      </c>
      <c r="B1268" s="117" t="s">
        <v>1962</v>
      </c>
      <c r="C1268" s="117" t="n">
        <v>100229118</v>
      </c>
      <c r="E1268" s="117" t="s">
        <v>1921</v>
      </c>
      <c r="F1268" s="117" t="n">
        <v>1109</v>
      </c>
      <c r="G1268" s="117" t="n">
        <v>2019</v>
      </c>
      <c r="H1268" s="117" t="n">
        <v>10</v>
      </c>
      <c r="I1268" s="118" t="n">
        <v>43856</v>
      </c>
      <c r="J1268" s="118" t="n">
        <v>43856</v>
      </c>
      <c r="K1268" s="119" t="n">
        <v>-1970625.31</v>
      </c>
      <c r="L1268" s="128" t="n">
        <f aca="false">K1268-Q1268+T1268</f>
        <v>-1970625.31</v>
      </c>
      <c r="M1268" s="117" t="s">
        <v>149</v>
      </c>
      <c r="N1268" s="117" t="n">
        <v>-1970625.31</v>
      </c>
      <c r="O1268" s="117" t="s">
        <v>149</v>
      </c>
      <c r="P1268" s="117" t="n">
        <v>0</v>
      </c>
      <c r="Q1268" s="117" t="n">
        <v>0</v>
      </c>
      <c r="R1268" s="117" t="n">
        <v>-1970625.31</v>
      </c>
      <c r="S1268" s="117" t="n">
        <v>0</v>
      </c>
      <c r="T1268" s="117" t="n">
        <v>0</v>
      </c>
      <c r="U1268" s="117" t="n">
        <v>307259</v>
      </c>
      <c r="V1268" s="117" t="s">
        <v>143</v>
      </c>
      <c r="Z1268" s="117" t="n">
        <v>100229118</v>
      </c>
      <c r="AD1268" s="117" t="n">
        <v>110000</v>
      </c>
      <c r="AE1268" s="117" t="s">
        <v>1966</v>
      </c>
      <c r="AF1268" s="117" t="n">
        <v>310300</v>
      </c>
      <c r="AG1268" s="117" t="s">
        <v>1969</v>
      </c>
      <c r="AI1268" s="117" t="n">
        <v>310300</v>
      </c>
      <c r="AJ1268" s="117" t="s">
        <v>1969</v>
      </c>
      <c r="AK1268" s="117" t="n">
        <v>0</v>
      </c>
      <c r="AL1268" s="117" t="n">
        <v>17</v>
      </c>
      <c r="AM1268" s="117" t="s">
        <v>225</v>
      </c>
      <c r="AP1268" s="117" t="n">
        <v>100229118</v>
      </c>
      <c r="AQ1268" s="118" t="n">
        <v>43856</v>
      </c>
      <c r="AR1268" s="118" t="n">
        <v>43856</v>
      </c>
      <c r="AS1268" s="117" t="n">
        <v>0.547881944444444</v>
      </c>
      <c r="AT1268" s="117" t="n">
        <v>0</v>
      </c>
      <c r="AU1268" s="117" t="n">
        <v>0</v>
      </c>
      <c r="AX1268" s="117" t="n">
        <v>1</v>
      </c>
    </row>
    <row r="1269" s="106" customFormat="true" ht="13.8" hidden="true" customHeight="false" outlineLevel="0" collapsed="false">
      <c r="A1269" s="106" t="n">
        <v>1000</v>
      </c>
      <c r="B1269" s="106" t="s">
        <v>1962</v>
      </c>
      <c r="C1269" s="106" t="n">
        <v>113115</v>
      </c>
      <c r="D1269" s="106" t="s">
        <v>2644</v>
      </c>
      <c r="E1269" s="106" t="s">
        <v>1970</v>
      </c>
      <c r="F1269" s="106" t="n">
        <v>1108</v>
      </c>
      <c r="G1269" s="106" t="n">
        <v>2019</v>
      </c>
      <c r="H1269" s="106" t="n">
        <v>11</v>
      </c>
      <c r="I1269" s="129" t="n">
        <v>43886</v>
      </c>
      <c r="J1269" s="129" t="n">
        <v>43886</v>
      </c>
      <c r="K1269" s="107" t="n">
        <v>1376685.35</v>
      </c>
      <c r="L1269" s="130" t="n">
        <f aca="false">K1269-Q1269+T1269</f>
        <v>1166682.5</v>
      </c>
      <c r="M1269" s="106" t="s">
        <v>149</v>
      </c>
      <c r="N1269" s="106" t="n">
        <v>1376685.35</v>
      </c>
      <c r="O1269" s="106" t="s">
        <v>149</v>
      </c>
      <c r="P1269" s="106" t="n">
        <v>0</v>
      </c>
      <c r="Q1269" s="107" t="n">
        <v>210002.85</v>
      </c>
      <c r="R1269" s="106" t="n">
        <v>1166682.5</v>
      </c>
      <c r="S1269" s="106" t="n">
        <v>0</v>
      </c>
      <c r="T1269" s="106" t="n">
        <v>0</v>
      </c>
      <c r="U1269" s="106" t="n">
        <v>312193</v>
      </c>
      <c r="V1269" s="106" t="s">
        <v>1963</v>
      </c>
      <c r="Z1269" s="106" t="n">
        <v>63739</v>
      </c>
      <c r="AB1269" s="106" t="s">
        <v>2109</v>
      </c>
      <c r="AD1269" s="106" t="n">
        <v>110000</v>
      </c>
      <c r="AE1269" s="106" t="s">
        <v>1966</v>
      </c>
      <c r="AF1269" s="106" t="n">
        <v>501000</v>
      </c>
      <c r="AG1269" s="106" t="s">
        <v>2170</v>
      </c>
      <c r="AI1269" s="106" t="n">
        <v>501000</v>
      </c>
      <c r="AJ1269" s="106" t="s">
        <v>2170</v>
      </c>
      <c r="AK1269" s="106" t="n">
        <v>0</v>
      </c>
      <c r="AL1269" s="106" t="n">
        <v>1</v>
      </c>
      <c r="AM1269" s="106" t="s">
        <v>161</v>
      </c>
      <c r="AQ1269" s="129"/>
      <c r="AR1269" s="129" t="n">
        <v>43886</v>
      </c>
      <c r="AS1269" s="106" t="n">
        <v>0.637581018518519</v>
      </c>
      <c r="AT1269" s="106" t="n">
        <v>0</v>
      </c>
      <c r="AU1269" s="106" t="n">
        <v>0</v>
      </c>
      <c r="AX1269" s="106" t="n">
        <v>1</v>
      </c>
      <c r="ALU1269" s="0"/>
      <c r="ALV1269" s="0"/>
      <c r="ALW1269" s="0"/>
      <c r="ALX1269" s="0"/>
      <c r="ALY1269" s="0"/>
      <c r="ALZ1269" s="0"/>
      <c r="AMA1269" s="0"/>
      <c r="AMB1269" s="0"/>
      <c r="AMC1269" s="0"/>
      <c r="AMD1269" s="0"/>
      <c r="AME1269" s="0"/>
      <c r="AMF1269" s="0"/>
      <c r="AMG1269" s="0"/>
      <c r="AMH1269" s="0"/>
      <c r="AMI1269" s="0"/>
      <c r="AMJ1269" s="0"/>
    </row>
    <row r="1270" s="106" customFormat="true" ht="13.8" hidden="true" customHeight="false" outlineLevel="0" collapsed="false">
      <c r="A1270" s="106" t="n">
        <v>1000</v>
      </c>
      <c r="B1270" s="106" t="s">
        <v>1962</v>
      </c>
      <c r="C1270" s="106" t="n">
        <v>106176</v>
      </c>
      <c r="D1270" s="106" t="s">
        <v>946</v>
      </c>
      <c r="E1270" s="106" t="s">
        <v>1970</v>
      </c>
      <c r="F1270" s="106" t="n">
        <v>1109</v>
      </c>
      <c r="G1270" s="106" t="n">
        <v>2019</v>
      </c>
      <c r="H1270" s="106" t="n">
        <v>5</v>
      </c>
      <c r="I1270" s="129" t="n">
        <v>43705</v>
      </c>
      <c r="J1270" s="129" t="n">
        <v>43705</v>
      </c>
      <c r="K1270" s="107" t="n">
        <v>120513.88</v>
      </c>
      <c r="L1270" s="130" t="n">
        <f aca="false">K1270-Q1270+T1270</f>
        <v>102130.4</v>
      </c>
      <c r="M1270" s="106" t="s">
        <v>149</v>
      </c>
      <c r="N1270" s="106" t="n">
        <v>120513.88</v>
      </c>
      <c r="O1270" s="106" t="s">
        <v>149</v>
      </c>
      <c r="P1270" s="106" t="n">
        <v>0</v>
      </c>
      <c r="Q1270" s="107" t="n">
        <v>18383.48</v>
      </c>
      <c r="R1270" s="106" t="n">
        <v>102130.4</v>
      </c>
      <c r="S1270" s="106" t="n">
        <v>0</v>
      </c>
      <c r="T1270" s="106" t="n">
        <v>0</v>
      </c>
      <c r="U1270" s="106" t="n">
        <v>304431</v>
      </c>
      <c r="V1270" s="106" t="s">
        <v>2016</v>
      </c>
      <c r="Z1270" s="106" t="n">
        <v>2447</v>
      </c>
      <c r="AB1270" s="106" t="s">
        <v>2052</v>
      </c>
      <c r="AD1270" s="106" t="n">
        <v>110000</v>
      </c>
      <c r="AE1270" s="106" t="s">
        <v>1966</v>
      </c>
      <c r="AF1270" s="106" t="n">
        <v>501020</v>
      </c>
      <c r="AG1270" s="106" t="s">
        <v>1971</v>
      </c>
      <c r="AI1270" s="106" t="n">
        <v>501020</v>
      </c>
      <c r="AJ1270" s="106" t="s">
        <v>1971</v>
      </c>
      <c r="AK1270" s="106" t="n">
        <v>0</v>
      </c>
      <c r="AL1270" s="106" t="n">
        <v>1</v>
      </c>
      <c r="AM1270" s="106" t="s">
        <v>161</v>
      </c>
      <c r="AP1270" s="106" t="n">
        <v>100081965</v>
      </c>
      <c r="AQ1270" s="129" t="n">
        <v>43708</v>
      </c>
      <c r="AR1270" s="129" t="n">
        <v>43705</v>
      </c>
      <c r="AS1270" s="106" t="n">
        <v>0.624606481481482</v>
      </c>
      <c r="AT1270" s="106" t="n">
        <v>0</v>
      </c>
      <c r="AU1270" s="106" t="n">
        <v>0</v>
      </c>
      <c r="AX1270" s="106" t="n">
        <v>1</v>
      </c>
      <c r="ALU1270" s="0"/>
      <c r="ALV1270" s="0"/>
      <c r="ALW1270" s="0"/>
      <c r="ALX1270" s="0"/>
      <c r="ALY1270" s="0"/>
      <c r="ALZ1270" s="0"/>
      <c r="AMA1270" s="0"/>
      <c r="AMB1270" s="0"/>
      <c r="AMC1270" s="0"/>
      <c r="AMD1270" s="0"/>
      <c r="AME1270" s="0"/>
      <c r="AMF1270" s="0"/>
      <c r="AMG1270" s="0"/>
      <c r="AMH1270" s="0"/>
      <c r="AMI1270" s="0"/>
      <c r="AMJ1270" s="0"/>
    </row>
    <row r="1271" s="106" customFormat="true" ht="13.8" hidden="true" customHeight="false" outlineLevel="0" collapsed="false">
      <c r="A1271" s="106" t="n">
        <v>1000</v>
      </c>
      <c r="B1271" s="106" t="s">
        <v>1962</v>
      </c>
      <c r="C1271" s="106" t="n">
        <v>106636</v>
      </c>
      <c r="D1271" s="106" t="s">
        <v>2081</v>
      </c>
      <c r="E1271" s="106" t="s">
        <v>1970</v>
      </c>
      <c r="F1271" s="106" t="n">
        <v>1109</v>
      </c>
      <c r="G1271" s="106" t="n">
        <v>2019</v>
      </c>
      <c r="H1271" s="106" t="n">
        <v>6</v>
      </c>
      <c r="I1271" s="129" t="n">
        <v>43719</v>
      </c>
      <c r="J1271" s="129" t="n">
        <v>43719</v>
      </c>
      <c r="K1271" s="107" t="n">
        <v>623571</v>
      </c>
      <c r="L1271" s="130" t="n">
        <f aca="false">K1271-Q1271+T1271</f>
        <v>528450</v>
      </c>
      <c r="M1271" s="106" t="s">
        <v>149</v>
      </c>
      <c r="N1271" s="106" t="n">
        <v>623571</v>
      </c>
      <c r="O1271" s="106" t="s">
        <v>149</v>
      </c>
      <c r="P1271" s="106" t="n">
        <v>0</v>
      </c>
      <c r="Q1271" s="107" t="n">
        <v>95121</v>
      </c>
      <c r="R1271" s="106" t="n">
        <v>528450</v>
      </c>
      <c r="S1271" s="106" t="n">
        <v>0</v>
      </c>
      <c r="T1271" s="106" t="n">
        <v>0</v>
      </c>
      <c r="U1271" s="106" t="n">
        <v>312193</v>
      </c>
      <c r="V1271" s="106" t="s">
        <v>1963</v>
      </c>
      <c r="Z1271" s="106" t="n">
        <v>2316</v>
      </c>
      <c r="AB1271" s="106" t="s">
        <v>1965</v>
      </c>
      <c r="AD1271" s="106" t="n">
        <v>110000</v>
      </c>
      <c r="AE1271" s="106" t="s">
        <v>1966</v>
      </c>
      <c r="AF1271" s="106" t="n">
        <v>501020</v>
      </c>
      <c r="AG1271" s="106" t="s">
        <v>1971</v>
      </c>
      <c r="AI1271" s="106" t="n">
        <v>501020</v>
      </c>
      <c r="AJ1271" s="106" t="s">
        <v>1971</v>
      </c>
      <c r="AK1271" s="106" t="n">
        <v>0</v>
      </c>
      <c r="AL1271" s="106" t="n">
        <v>1</v>
      </c>
      <c r="AM1271" s="106" t="s">
        <v>161</v>
      </c>
      <c r="AP1271" s="106" t="n">
        <v>100116355</v>
      </c>
      <c r="AQ1271" s="129" t="n">
        <v>43738</v>
      </c>
      <c r="AR1271" s="129" t="n">
        <v>43719</v>
      </c>
      <c r="AS1271" s="106" t="n">
        <v>0.551793981481482</v>
      </c>
      <c r="AT1271" s="106" t="n">
        <v>0</v>
      </c>
      <c r="AU1271" s="106" t="n">
        <v>0</v>
      </c>
      <c r="AX1271" s="106" t="n">
        <v>1</v>
      </c>
      <c r="ALU1271" s="0"/>
      <c r="ALV1271" s="0"/>
      <c r="ALW1271" s="0"/>
      <c r="ALX1271" s="0"/>
      <c r="ALY1271" s="0"/>
      <c r="ALZ1271" s="0"/>
      <c r="AMA1271" s="0"/>
      <c r="AMB1271" s="0"/>
      <c r="AMC1271" s="0"/>
      <c r="AMD1271" s="0"/>
      <c r="AME1271" s="0"/>
      <c r="AMF1271" s="0"/>
      <c r="AMG1271" s="0"/>
      <c r="AMH1271" s="0"/>
      <c r="AMI1271" s="0"/>
      <c r="AMJ1271" s="0"/>
    </row>
    <row r="1272" s="106" customFormat="true" ht="13.8" hidden="true" customHeight="false" outlineLevel="0" collapsed="false">
      <c r="A1272" s="106" t="n">
        <v>1000</v>
      </c>
      <c r="B1272" s="106" t="s">
        <v>1962</v>
      </c>
      <c r="C1272" s="106" t="n">
        <v>106659</v>
      </c>
      <c r="D1272" s="106" t="s">
        <v>2003</v>
      </c>
      <c r="E1272" s="106" t="s">
        <v>1970</v>
      </c>
      <c r="F1272" s="106" t="n">
        <v>1109</v>
      </c>
      <c r="G1272" s="106" t="n">
        <v>2019</v>
      </c>
      <c r="H1272" s="106" t="n">
        <v>6</v>
      </c>
      <c r="I1272" s="129" t="n">
        <v>43719</v>
      </c>
      <c r="J1272" s="129" t="n">
        <v>43719</v>
      </c>
      <c r="K1272" s="107" t="n">
        <v>308876.8</v>
      </c>
      <c r="L1272" s="130" t="n">
        <f aca="false">K1272-Q1272+T1272</f>
        <v>261760</v>
      </c>
      <c r="M1272" s="106" t="s">
        <v>149</v>
      </c>
      <c r="N1272" s="106" t="n">
        <v>308876.8</v>
      </c>
      <c r="O1272" s="106" t="s">
        <v>149</v>
      </c>
      <c r="P1272" s="106" t="n">
        <v>0</v>
      </c>
      <c r="Q1272" s="107" t="n">
        <v>47116.8</v>
      </c>
      <c r="R1272" s="106" t="n">
        <v>261760</v>
      </c>
      <c r="S1272" s="106" t="n">
        <v>0</v>
      </c>
      <c r="T1272" s="106" t="n">
        <v>0</v>
      </c>
      <c r="U1272" s="106" t="n">
        <v>312193</v>
      </c>
      <c r="V1272" s="106" t="s">
        <v>1963</v>
      </c>
      <c r="Z1272" s="106" t="n">
        <v>2316</v>
      </c>
      <c r="AB1272" s="106" t="s">
        <v>1965</v>
      </c>
      <c r="AD1272" s="106" t="n">
        <v>110000</v>
      </c>
      <c r="AE1272" s="106" t="s">
        <v>1966</v>
      </c>
      <c r="AF1272" s="106" t="n">
        <v>501020</v>
      </c>
      <c r="AG1272" s="106" t="s">
        <v>1971</v>
      </c>
      <c r="AI1272" s="106" t="n">
        <v>501020</v>
      </c>
      <c r="AJ1272" s="106" t="s">
        <v>1971</v>
      </c>
      <c r="AK1272" s="106" t="n">
        <v>0</v>
      </c>
      <c r="AL1272" s="106" t="n">
        <v>1</v>
      </c>
      <c r="AM1272" s="106" t="s">
        <v>161</v>
      </c>
      <c r="AP1272" s="106" t="n">
        <v>100116355</v>
      </c>
      <c r="AQ1272" s="129" t="n">
        <v>43738</v>
      </c>
      <c r="AR1272" s="129" t="n">
        <v>43719</v>
      </c>
      <c r="AS1272" s="106" t="n">
        <v>0.772280092592593</v>
      </c>
      <c r="AT1272" s="106" t="n">
        <v>0</v>
      </c>
      <c r="AU1272" s="106" t="n">
        <v>0</v>
      </c>
      <c r="AX1272" s="106" t="n">
        <v>1</v>
      </c>
      <c r="ALU1272" s="0"/>
      <c r="ALV1272" s="0"/>
      <c r="ALW1272" s="0"/>
      <c r="ALX1272" s="0"/>
      <c r="ALY1272" s="0"/>
      <c r="ALZ1272" s="0"/>
      <c r="AMA1272" s="0"/>
      <c r="AMB1272" s="0"/>
      <c r="AMC1272" s="0"/>
      <c r="AMD1272" s="0"/>
      <c r="AME1272" s="0"/>
      <c r="AMF1272" s="0"/>
      <c r="AMG1272" s="0"/>
      <c r="AMH1272" s="0"/>
      <c r="AMI1272" s="0"/>
      <c r="AMJ1272" s="0"/>
    </row>
    <row r="1273" s="106" customFormat="true" ht="13.8" hidden="true" customHeight="false" outlineLevel="0" collapsed="false">
      <c r="A1273" s="106" t="n">
        <v>1000</v>
      </c>
      <c r="B1273" s="106" t="s">
        <v>1962</v>
      </c>
      <c r="C1273" s="106" t="n">
        <v>106914</v>
      </c>
      <c r="D1273" s="106" t="s">
        <v>2098</v>
      </c>
      <c r="E1273" s="106" t="s">
        <v>1970</v>
      </c>
      <c r="F1273" s="106" t="n">
        <v>1109</v>
      </c>
      <c r="G1273" s="106" t="n">
        <v>2019</v>
      </c>
      <c r="H1273" s="106" t="n">
        <v>6</v>
      </c>
      <c r="I1273" s="129" t="n">
        <v>43728</v>
      </c>
      <c r="J1273" s="129" t="n">
        <v>43728</v>
      </c>
      <c r="K1273" s="107" t="n">
        <v>336005</v>
      </c>
      <c r="L1273" s="130" t="n">
        <f aca="false">K1273-Q1273+T1273</f>
        <v>284750</v>
      </c>
      <c r="M1273" s="106" t="s">
        <v>149</v>
      </c>
      <c r="N1273" s="106" t="n">
        <v>336005</v>
      </c>
      <c r="O1273" s="106" t="s">
        <v>149</v>
      </c>
      <c r="P1273" s="106" t="n">
        <v>0</v>
      </c>
      <c r="Q1273" s="107" t="n">
        <v>51255</v>
      </c>
      <c r="R1273" s="106" t="n">
        <v>284750</v>
      </c>
      <c r="S1273" s="106" t="n">
        <v>0</v>
      </c>
      <c r="T1273" s="106" t="n">
        <v>0</v>
      </c>
      <c r="U1273" s="106" t="n">
        <v>312193</v>
      </c>
      <c r="V1273" s="106" t="s">
        <v>1963</v>
      </c>
      <c r="Z1273" s="106" t="n">
        <v>2316</v>
      </c>
      <c r="AB1273" s="106" t="s">
        <v>1965</v>
      </c>
      <c r="AD1273" s="106" t="n">
        <v>110000</v>
      </c>
      <c r="AE1273" s="106" t="s">
        <v>1966</v>
      </c>
      <c r="AF1273" s="106" t="n">
        <v>501020</v>
      </c>
      <c r="AG1273" s="106" t="s">
        <v>1971</v>
      </c>
      <c r="AI1273" s="106" t="n">
        <v>501020</v>
      </c>
      <c r="AJ1273" s="106" t="s">
        <v>1971</v>
      </c>
      <c r="AK1273" s="106" t="n">
        <v>0</v>
      </c>
      <c r="AL1273" s="106" t="n">
        <v>1</v>
      </c>
      <c r="AM1273" s="106" t="s">
        <v>161</v>
      </c>
      <c r="AP1273" s="106" t="n">
        <v>100116355</v>
      </c>
      <c r="AQ1273" s="129" t="n">
        <v>43738</v>
      </c>
      <c r="AR1273" s="129" t="n">
        <v>43728</v>
      </c>
      <c r="AS1273" s="106" t="n">
        <v>0.514340277777778</v>
      </c>
      <c r="AT1273" s="106" t="n">
        <v>0</v>
      </c>
      <c r="AU1273" s="106" t="n">
        <v>0</v>
      </c>
      <c r="AX1273" s="106" t="n">
        <v>1</v>
      </c>
      <c r="ALU1273" s="0"/>
      <c r="ALV1273" s="0"/>
      <c r="ALW1273" s="0"/>
      <c r="ALX1273" s="0"/>
      <c r="ALY1273" s="0"/>
      <c r="ALZ1273" s="0"/>
      <c r="AMA1273" s="0"/>
      <c r="AMB1273" s="0"/>
      <c r="AMC1273" s="0"/>
      <c r="AMD1273" s="0"/>
      <c r="AME1273" s="0"/>
      <c r="AMF1273" s="0"/>
      <c r="AMG1273" s="0"/>
      <c r="AMH1273" s="0"/>
      <c r="AMI1273" s="0"/>
      <c r="AMJ1273" s="0"/>
    </row>
    <row r="1274" s="106" customFormat="true" ht="13.8" hidden="true" customHeight="false" outlineLevel="0" collapsed="false">
      <c r="A1274" s="106" t="n">
        <v>1000</v>
      </c>
      <c r="B1274" s="106" t="s">
        <v>1962</v>
      </c>
      <c r="C1274" s="106" t="n">
        <v>107507</v>
      </c>
      <c r="D1274" s="106" t="s">
        <v>1109</v>
      </c>
      <c r="E1274" s="106" t="s">
        <v>1970</v>
      </c>
      <c r="F1274" s="106" t="n">
        <v>1109</v>
      </c>
      <c r="G1274" s="106" t="n">
        <v>2019</v>
      </c>
      <c r="H1274" s="106" t="n">
        <v>6</v>
      </c>
      <c r="I1274" s="129" t="n">
        <v>43738</v>
      </c>
      <c r="J1274" s="129" t="n">
        <v>43738</v>
      </c>
      <c r="K1274" s="107" t="n">
        <v>431124.8</v>
      </c>
      <c r="L1274" s="130" t="n">
        <f aca="false">K1274-Q1274+T1274</f>
        <v>365360</v>
      </c>
      <c r="M1274" s="106" t="s">
        <v>149</v>
      </c>
      <c r="N1274" s="106" t="n">
        <v>431124.8</v>
      </c>
      <c r="O1274" s="106" t="s">
        <v>149</v>
      </c>
      <c r="P1274" s="106" t="n">
        <v>0</v>
      </c>
      <c r="Q1274" s="107" t="n">
        <v>65764.8</v>
      </c>
      <c r="R1274" s="106" t="n">
        <v>365360</v>
      </c>
      <c r="S1274" s="106" t="n">
        <v>0</v>
      </c>
      <c r="T1274" s="106" t="n">
        <v>0</v>
      </c>
      <c r="U1274" s="106" t="n">
        <v>312193</v>
      </c>
      <c r="V1274" s="106" t="s">
        <v>1963</v>
      </c>
      <c r="Z1274" s="106" t="n">
        <v>2316</v>
      </c>
      <c r="AB1274" s="106" t="s">
        <v>1965</v>
      </c>
      <c r="AD1274" s="106" t="n">
        <v>110000</v>
      </c>
      <c r="AE1274" s="106" t="s">
        <v>1966</v>
      </c>
      <c r="AF1274" s="106" t="n">
        <v>501020</v>
      </c>
      <c r="AG1274" s="106" t="s">
        <v>1971</v>
      </c>
      <c r="AI1274" s="106" t="n">
        <v>501020</v>
      </c>
      <c r="AJ1274" s="106" t="s">
        <v>1971</v>
      </c>
      <c r="AK1274" s="106" t="n">
        <v>0</v>
      </c>
      <c r="AL1274" s="106" t="n">
        <v>1</v>
      </c>
      <c r="AM1274" s="106" t="s">
        <v>161</v>
      </c>
      <c r="AP1274" s="106" t="n">
        <v>100122987</v>
      </c>
      <c r="AQ1274" s="129" t="n">
        <v>43738</v>
      </c>
      <c r="AR1274" s="129" t="n">
        <v>43738</v>
      </c>
      <c r="AS1274" s="106" t="n">
        <v>0.719988425925926</v>
      </c>
      <c r="AT1274" s="106" t="n">
        <v>0</v>
      </c>
      <c r="AU1274" s="106" t="n">
        <v>0</v>
      </c>
      <c r="AX1274" s="106" t="n">
        <v>1</v>
      </c>
      <c r="ALU1274" s="0"/>
      <c r="ALV1274" s="0"/>
      <c r="ALW1274" s="0"/>
      <c r="ALX1274" s="0"/>
      <c r="ALY1274" s="0"/>
      <c r="ALZ1274" s="0"/>
      <c r="AMA1274" s="0"/>
      <c r="AMB1274" s="0"/>
      <c r="AMC1274" s="0"/>
      <c r="AMD1274" s="0"/>
      <c r="AME1274" s="0"/>
      <c r="AMF1274" s="0"/>
      <c r="AMG1274" s="0"/>
      <c r="AMH1274" s="0"/>
      <c r="AMI1274" s="0"/>
      <c r="AMJ1274" s="0"/>
    </row>
    <row r="1275" s="106" customFormat="true" ht="13.8" hidden="true" customHeight="false" outlineLevel="0" collapsed="false">
      <c r="A1275" s="106" t="n">
        <v>1000</v>
      </c>
      <c r="B1275" s="106" t="s">
        <v>1962</v>
      </c>
      <c r="C1275" s="106" t="n">
        <v>107518</v>
      </c>
      <c r="D1275" s="106" t="s">
        <v>1121</v>
      </c>
      <c r="E1275" s="106" t="s">
        <v>1970</v>
      </c>
      <c r="F1275" s="106" t="n">
        <v>1109</v>
      </c>
      <c r="G1275" s="106" t="n">
        <v>2019</v>
      </c>
      <c r="H1275" s="106" t="n">
        <v>6</v>
      </c>
      <c r="I1275" s="129" t="n">
        <v>43738</v>
      </c>
      <c r="J1275" s="129" t="n">
        <v>43738</v>
      </c>
      <c r="K1275" s="107" t="n">
        <v>564453</v>
      </c>
      <c r="L1275" s="130" t="n">
        <f aca="false">K1275-Q1275+T1275</f>
        <v>478350</v>
      </c>
      <c r="M1275" s="106" t="s">
        <v>149</v>
      </c>
      <c r="N1275" s="106" t="n">
        <v>564453</v>
      </c>
      <c r="O1275" s="106" t="s">
        <v>149</v>
      </c>
      <c r="P1275" s="106" t="n">
        <v>0</v>
      </c>
      <c r="Q1275" s="107" t="n">
        <v>86103</v>
      </c>
      <c r="R1275" s="106" t="n">
        <v>478350</v>
      </c>
      <c r="S1275" s="106" t="n">
        <v>0</v>
      </c>
      <c r="T1275" s="106" t="n">
        <v>0</v>
      </c>
      <c r="U1275" s="106" t="n">
        <v>312193</v>
      </c>
      <c r="V1275" s="106" t="s">
        <v>1963</v>
      </c>
      <c r="Z1275" s="106" t="n">
        <v>2316</v>
      </c>
      <c r="AB1275" s="106" t="s">
        <v>1965</v>
      </c>
      <c r="AD1275" s="106" t="n">
        <v>110000</v>
      </c>
      <c r="AE1275" s="106" t="s">
        <v>1966</v>
      </c>
      <c r="AF1275" s="106" t="n">
        <v>501020</v>
      </c>
      <c r="AG1275" s="106" t="s">
        <v>1971</v>
      </c>
      <c r="AI1275" s="106" t="n">
        <v>501020</v>
      </c>
      <c r="AJ1275" s="106" t="s">
        <v>1971</v>
      </c>
      <c r="AK1275" s="106" t="n">
        <v>0</v>
      </c>
      <c r="AL1275" s="106" t="n">
        <v>1</v>
      </c>
      <c r="AM1275" s="106" t="s">
        <v>161</v>
      </c>
      <c r="AP1275" s="106" t="n">
        <v>100122987</v>
      </c>
      <c r="AQ1275" s="129" t="n">
        <v>43738</v>
      </c>
      <c r="AR1275" s="129" t="n">
        <v>43738</v>
      </c>
      <c r="AS1275" s="106" t="n">
        <v>0.757002314814815</v>
      </c>
      <c r="AT1275" s="106" t="n">
        <v>0</v>
      </c>
      <c r="AU1275" s="106" t="n">
        <v>0</v>
      </c>
      <c r="AX1275" s="106" t="n">
        <v>1</v>
      </c>
      <c r="ALU1275" s="0"/>
      <c r="ALV1275" s="0"/>
      <c r="ALW1275" s="0"/>
      <c r="ALX1275" s="0"/>
      <c r="ALY1275" s="0"/>
      <c r="ALZ1275" s="0"/>
      <c r="AMA1275" s="0"/>
      <c r="AMB1275" s="0"/>
      <c r="AMC1275" s="0"/>
      <c r="AMD1275" s="0"/>
      <c r="AME1275" s="0"/>
      <c r="AMF1275" s="0"/>
      <c r="AMG1275" s="0"/>
      <c r="AMH1275" s="0"/>
      <c r="AMI1275" s="0"/>
      <c r="AMJ1275" s="0"/>
    </row>
    <row r="1276" customFormat="false" ht="13.8" hidden="true" customHeight="false" outlineLevel="0" collapsed="false">
      <c r="A1276" s="117" t="n">
        <v>1000</v>
      </c>
      <c r="B1276" s="117" t="s">
        <v>1962</v>
      </c>
      <c r="C1276" s="117" t="n">
        <v>100229115</v>
      </c>
      <c r="E1276" s="117" t="s">
        <v>1921</v>
      </c>
      <c r="F1276" s="117" t="n">
        <v>1106</v>
      </c>
      <c r="G1276" s="117" t="n">
        <v>2019</v>
      </c>
      <c r="H1276" s="117" t="n">
        <v>10</v>
      </c>
      <c r="I1276" s="118" t="n">
        <v>43856</v>
      </c>
      <c r="J1276" s="118" t="n">
        <v>43856</v>
      </c>
      <c r="K1276" s="119" t="n">
        <v>8905595.55</v>
      </c>
      <c r="L1276" s="128" t="n">
        <f aca="false">K1276-Q1276+T1276</f>
        <v>8905595.55</v>
      </c>
      <c r="M1276" s="117" t="s">
        <v>149</v>
      </c>
      <c r="N1276" s="117" t="n">
        <v>8905595.55</v>
      </c>
      <c r="O1276" s="117" t="s">
        <v>149</v>
      </c>
      <c r="P1276" s="117" t="n">
        <v>0</v>
      </c>
      <c r="Q1276" s="117" t="n">
        <v>0</v>
      </c>
      <c r="R1276" s="117" t="n">
        <v>8905595.55</v>
      </c>
      <c r="S1276" s="117" t="n">
        <v>0</v>
      </c>
      <c r="T1276" s="117" t="n">
        <v>0</v>
      </c>
      <c r="U1276" s="117" t="n">
        <v>305576</v>
      </c>
      <c r="V1276" s="117" t="s">
        <v>1973</v>
      </c>
      <c r="Z1276" s="117" t="n">
        <v>100229115</v>
      </c>
      <c r="AD1276" s="117" t="n">
        <v>310300</v>
      </c>
      <c r="AE1276" s="117" t="s">
        <v>1969</v>
      </c>
      <c r="AF1276" s="117" t="n">
        <v>110000</v>
      </c>
      <c r="AG1276" s="117" t="s">
        <v>1966</v>
      </c>
      <c r="AI1276" s="117" t="n">
        <v>110000</v>
      </c>
      <c r="AJ1276" s="117" t="s">
        <v>1966</v>
      </c>
      <c r="AK1276" s="117" t="n">
        <v>0</v>
      </c>
      <c r="AL1276" s="117" t="n">
        <v>9</v>
      </c>
      <c r="AM1276" s="117" t="s">
        <v>161</v>
      </c>
      <c r="AN1276" s="117" t="s">
        <v>1978</v>
      </c>
      <c r="AP1276" s="117" t="n">
        <v>100229115</v>
      </c>
      <c r="AQ1276" s="118" t="n">
        <v>43856</v>
      </c>
      <c r="AR1276" s="118" t="n">
        <v>43856</v>
      </c>
      <c r="AS1276" s="117" t="n">
        <v>0.54568287037037</v>
      </c>
      <c r="AT1276" s="117" t="n">
        <v>0</v>
      </c>
      <c r="AU1276" s="117" t="n">
        <v>0</v>
      </c>
      <c r="AX1276" s="117" t="n">
        <v>5</v>
      </c>
    </row>
    <row r="1277" customFormat="false" ht="13.8" hidden="true" customHeight="false" outlineLevel="0" collapsed="false">
      <c r="A1277" s="117" t="n">
        <v>1000</v>
      </c>
      <c r="B1277" s="117" t="s">
        <v>1962</v>
      </c>
      <c r="C1277" s="117" t="n">
        <v>100260197</v>
      </c>
      <c r="E1277" s="117" t="s">
        <v>1921</v>
      </c>
      <c r="F1277" s="117" t="n">
        <v>1108</v>
      </c>
      <c r="G1277" s="117" t="n">
        <v>2019</v>
      </c>
      <c r="H1277" s="117" t="n">
        <v>11</v>
      </c>
      <c r="I1277" s="118" t="n">
        <v>43883</v>
      </c>
      <c r="J1277" s="118" t="n">
        <v>43883</v>
      </c>
      <c r="K1277" s="119" t="n">
        <v>38.33</v>
      </c>
      <c r="L1277" s="128" t="n">
        <f aca="false">K1277-Q1277+T1277</f>
        <v>38.33</v>
      </c>
      <c r="M1277" s="117" t="s">
        <v>149</v>
      </c>
      <c r="N1277" s="117" t="n">
        <v>38.33</v>
      </c>
      <c r="O1277" s="117" t="s">
        <v>149</v>
      </c>
      <c r="P1277" s="117" t="n">
        <v>0</v>
      </c>
      <c r="Q1277" s="117" t="n">
        <v>0</v>
      </c>
      <c r="R1277" s="117" t="n">
        <v>38.33</v>
      </c>
      <c r="S1277" s="117" t="n">
        <v>0</v>
      </c>
      <c r="T1277" s="117" t="n">
        <v>0</v>
      </c>
      <c r="U1277" s="117" t="n">
        <v>312948</v>
      </c>
      <c r="V1277" s="117" t="s">
        <v>1984</v>
      </c>
      <c r="Z1277" s="117" t="n">
        <v>58874</v>
      </c>
      <c r="AB1277" s="117" t="s">
        <v>2099</v>
      </c>
      <c r="AD1277" s="117" t="n">
        <v>110000</v>
      </c>
      <c r="AE1277" s="117" t="s">
        <v>1966</v>
      </c>
      <c r="AF1277" s="117" t="n">
        <v>110000</v>
      </c>
      <c r="AG1277" s="117" t="s">
        <v>1966</v>
      </c>
      <c r="AI1277" s="117" t="n">
        <v>110000</v>
      </c>
      <c r="AJ1277" s="117" t="s">
        <v>1966</v>
      </c>
      <c r="AK1277" s="117" t="n">
        <v>0</v>
      </c>
      <c r="AL1277" s="117" t="n">
        <v>4</v>
      </c>
      <c r="AM1277" s="117" t="s">
        <v>161</v>
      </c>
      <c r="AR1277" s="118" t="n">
        <v>43883</v>
      </c>
      <c r="AS1277" s="117" t="n">
        <v>0.358125</v>
      </c>
      <c r="AT1277" s="117" t="n">
        <v>0</v>
      </c>
      <c r="AU1277" s="117" t="n">
        <v>0</v>
      </c>
      <c r="AX1277" s="117" t="n">
        <v>1</v>
      </c>
    </row>
    <row r="1278" customFormat="false" ht="13.8" hidden="true" customHeight="false" outlineLevel="0" collapsed="false">
      <c r="A1278" s="117" t="n">
        <v>1000</v>
      </c>
      <c r="B1278" s="117" t="s">
        <v>1962</v>
      </c>
      <c r="C1278" s="117" t="n">
        <v>1600000416</v>
      </c>
      <c r="D1278" s="117" t="s">
        <v>2175</v>
      </c>
      <c r="E1278" s="117" t="s">
        <v>1987</v>
      </c>
      <c r="F1278" s="117" t="n">
        <v>1109</v>
      </c>
      <c r="G1278" s="117" t="n">
        <v>2019</v>
      </c>
      <c r="H1278" s="117" t="n">
        <v>10</v>
      </c>
      <c r="I1278" s="118" t="n">
        <v>43859</v>
      </c>
      <c r="J1278" s="118" t="n">
        <v>43859</v>
      </c>
      <c r="K1278" s="119" t="n">
        <v>-2120</v>
      </c>
      <c r="L1278" s="128" t="n">
        <f aca="false">K1278-Q1278+T1278</f>
        <v>-2120</v>
      </c>
      <c r="M1278" s="117" t="s">
        <v>149</v>
      </c>
      <c r="N1278" s="117" t="n">
        <v>-2120</v>
      </c>
      <c r="O1278" s="117" t="s">
        <v>149</v>
      </c>
      <c r="P1278" s="117" t="n">
        <v>-2120</v>
      </c>
      <c r="Q1278" s="117" t="n">
        <v>0</v>
      </c>
      <c r="R1278" s="117" t="n">
        <v>-2120</v>
      </c>
      <c r="S1278" s="117" t="n">
        <v>0</v>
      </c>
      <c r="T1278" s="117" t="n">
        <v>0</v>
      </c>
      <c r="U1278" s="117" t="n">
        <v>312193</v>
      </c>
      <c r="V1278" s="117" t="s">
        <v>1963</v>
      </c>
      <c r="X1278" s="117" t="s">
        <v>2176</v>
      </c>
      <c r="Y1278" s="117" t="s">
        <v>2176</v>
      </c>
      <c r="Z1278" s="117" t="n">
        <v>1600000416</v>
      </c>
      <c r="AD1278" s="117" t="n">
        <v>110000</v>
      </c>
      <c r="AE1278" s="117" t="s">
        <v>1966</v>
      </c>
      <c r="AF1278" s="117" t="n">
        <v>312193</v>
      </c>
      <c r="AG1278" s="117" t="s">
        <v>1963</v>
      </c>
      <c r="AI1278" s="117" t="n">
        <v>312193</v>
      </c>
      <c r="AJ1278" s="131" t="s">
        <v>1963</v>
      </c>
      <c r="AK1278" s="117" t="n">
        <v>0</v>
      </c>
      <c r="AL1278" s="117" t="n">
        <v>14</v>
      </c>
      <c r="AM1278" s="117" t="s">
        <v>225</v>
      </c>
      <c r="AP1278" s="117" t="n">
        <v>100231550</v>
      </c>
      <c r="AQ1278" s="118" t="n">
        <v>43859</v>
      </c>
      <c r="AR1278" s="118" t="n">
        <v>43859</v>
      </c>
      <c r="AS1278" s="117" t="n">
        <v>0.281979166666667</v>
      </c>
      <c r="AT1278" s="117" t="n">
        <v>0</v>
      </c>
      <c r="AU1278" s="117" t="n">
        <v>0</v>
      </c>
      <c r="AX1278" s="117" t="n">
        <v>2</v>
      </c>
    </row>
    <row r="1279" customFormat="false" ht="13.8" hidden="true" customHeight="false" outlineLevel="0" collapsed="false">
      <c r="A1279" s="117" t="n">
        <v>1000</v>
      </c>
      <c r="B1279" s="117" t="s">
        <v>1962</v>
      </c>
      <c r="C1279" s="117" t="n">
        <v>100242271</v>
      </c>
      <c r="E1279" s="117" t="s">
        <v>1921</v>
      </c>
      <c r="F1279" s="117" t="n">
        <v>1109</v>
      </c>
      <c r="G1279" s="117" t="n">
        <v>2019</v>
      </c>
      <c r="H1279" s="117" t="n">
        <v>10</v>
      </c>
      <c r="I1279" s="118" t="n">
        <v>43861</v>
      </c>
      <c r="J1279" s="118" t="n">
        <v>43861</v>
      </c>
      <c r="K1279" s="119" t="n">
        <v>423929.84</v>
      </c>
      <c r="L1279" s="128" t="n">
        <f aca="false">K1279-Q1279+T1279</f>
        <v>423929.84</v>
      </c>
      <c r="M1279" s="117" t="s">
        <v>149</v>
      </c>
      <c r="N1279" s="117" t="n">
        <v>423929.84</v>
      </c>
      <c r="O1279" s="117" t="s">
        <v>149</v>
      </c>
      <c r="P1279" s="117" t="n">
        <v>0</v>
      </c>
      <c r="Q1279" s="117" t="n">
        <v>0</v>
      </c>
      <c r="R1279" s="117" t="n">
        <v>423929.84</v>
      </c>
      <c r="S1279" s="117" t="n">
        <v>0</v>
      </c>
      <c r="T1279" s="117" t="n">
        <v>0</v>
      </c>
      <c r="U1279" s="117" t="n">
        <v>310187</v>
      </c>
      <c r="V1279" s="117" t="s">
        <v>2394</v>
      </c>
      <c r="X1279" s="117" t="s">
        <v>1376</v>
      </c>
      <c r="Z1279" s="117" t="n">
        <v>63210</v>
      </c>
      <c r="AB1279" s="117" t="s">
        <v>2450</v>
      </c>
      <c r="AD1279" s="117" t="n">
        <v>110000</v>
      </c>
      <c r="AE1279" s="117" t="s">
        <v>1966</v>
      </c>
      <c r="AF1279" s="117" t="n">
        <v>110000</v>
      </c>
      <c r="AG1279" s="117" t="s">
        <v>1966</v>
      </c>
      <c r="AI1279" s="117" t="n">
        <v>110000</v>
      </c>
      <c r="AJ1279" s="117" t="s">
        <v>1966</v>
      </c>
      <c r="AK1279" s="117" t="n">
        <v>0</v>
      </c>
      <c r="AL1279" s="117" t="n">
        <v>4</v>
      </c>
      <c r="AM1279" s="117" t="s">
        <v>161</v>
      </c>
      <c r="AR1279" s="118" t="n">
        <v>43863</v>
      </c>
      <c r="AS1279" s="117" t="n">
        <v>0.425092592592593</v>
      </c>
      <c r="AT1279" s="117" t="n">
        <v>0</v>
      </c>
      <c r="AU1279" s="117" t="n">
        <v>0</v>
      </c>
      <c r="AX1279" s="117" t="n">
        <v>1</v>
      </c>
    </row>
    <row r="1280" customFormat="false" ht="13.8" hidden="true" customHeight="false" outlineLevel="0" collapsed="false">
      <c r="A1280" s="117" t="n">
        <v>1000</v>
      </c>
      <c r="B1280" s="117" t="s">
        <v>1962</v>
      </c>
      <c r="C1280" s="117" t="n">
        <v>100261921</v>
      </c>
      <c r="E1280" s="117" t="s">
        <v>1921</v>
      </c>
      <c r="F1280" s="117" t="n">
        <v>1106</v>
      </c>
      <c r="G1280" s="117" t="n">
        <v>2019</v>
      </c>
      <c r="H1280" s="117" t="n">
        <v>11</v>
      </c>
      <c r="I1280" s="118" t="n">
        <v>43884</v>
      </c>
      <c r="J1280" s="118" t="n">
        <v>43884</v>
      </c>
      <c r="K1280" s="119" t="n">
        <v>6505.34</v>
      </c>
      <c r="L1280" s="128" t="n">
        <f aca="false">K1280-Q1280+T1280</f>
        <v>6505.34</v>
      </c>
      <c r="M1280" s="117" t="s">
        <v>149</v>
      </c>
      <c r="N1280" s="117" t="n">
        <v>6505.34</v>
      </c>
      <c r="O1280" s="117" t="s">
        <v>149</v>
      </c>
      <c r="P1280" s="117" t="n">
        <v>0</v>
      </c>
      <c r="Q1280" s="117" t="n">
        <v>0</v>
      </c>
      <c r="R1280" s="117" t="n">
        <v>6505.34</v>
      </c>
      <c r="S1280" s="117" t="n">
        <v>0</v>
      </c>
      <c r="T1280" s="117" t="n">
        <v>0</v>
      </c>
      <c r="U1280" s="117" t="n">
        <v>315113</v>
      </c>
      <c r="V1280" s="117" t="s">
        <v>143</v>
      </c>
      <c r="Z1280" s="117" t="n">
        <v>100261921</v>
      </c>
      <c r="AD1280" s="117" t="n">
        <v>110000</v>
      </c>
      <c r="AE1280" s="117" t="s">
        <v>1966</v>
      </c>
      <c r="AF1280" s="117" t="n">
        <v>110000</v>
      </c>
      <c r="AG1280" s="117" t="s">
        <v>1966</v>
      </c>
      <c r="AI1280" s="117" t="n">
        <v>110000</v>
      </c>
      <c r="AJ1280" s="117" t="s">
        <v>1966</v>
      </c>
      <c r="AK1280" s="117" t="n">
        <v>0</v>
      </c>
      <c r="AL1280" s="117" t="n">
        <v>7</v>
      </c>
      <c r="AM1280" s="117" t="s">
        <v>161</v>
      </c>
      <c r="AP1280" s="117" t="n">
        <v>100261921</v>
      </c>
      <c r="AQ1280" s="118" t="n">
        <v>43884</v>
      </c>
      <c r="AR1280" s="118" t="n">
        <v>43884</v>
      </c>
      <c r="AS1280" s="117" t="n">
        <v>0.575451388888889</v>
      </c>
      <c r="AT1280" s="117" t="n">
        <v>0</v>
      </c>
      <c r="AU1280" s="117" t="n">
        <v>0</v>
      </c>
      <c r="AX1280" s="117" t="n">
        <v>2</v>
      </c>
    </row>
    <row r="1281" s="106" customFormat="true" ht="13.8" hidden="true" customHeight="false" outlineLevel="0" collapsed="false">
      <c r="A1281" s="106" t="n">
        <v>1000</v>
      </c>
      <c r="B1281" s="106" t="s">
        <v>1962</v>
      </c>
      <c r="C1281" s="106" t="n">
        <v>113665</v>
      </c>
      <c r="D1281" s="106" t="n">
        <v>95004890</v>
      </c>
      <c r="E1281" s="106" t="s">
        <v>1970</v>
      </c>
      <c r="F1281" s="106" t="n">
        <v>1109</v>
      </c>
      <c r="G1281" s="106" t="n">
        <v>2019</v>
      </c>
      <c r="H1281" s="106" t="n">
        <v>12</v>
      </c>
      <c r="I1281" s="129" t="n">
        <v>43896</v>
      </c>
      <c r="J1281" s="129" t="n">
        <v>43896</v>
      </c>
      <c r="K1281" s="107" t="n">
        <v>325092.93</v>
      </c>
      <c r="L1281" s="130" t="n">
        <f aca="false">K1281-Q1281+T1281</f>
        <v>275502.48</v>
      </c>
      <c r="M1281" s="106" t="s">
        <v>149</v>
      </c>
      <c r="N1281" s="107" t="n">
        <v>325092.93</v>
      </c>
      <c r="O1281" s="106" t="s">
        <v>149</v>
      </c>
      <c r="P1281" s="106" t="n">
        <v>0</v>
      </c>
      <c r="Q1281" s="107" t="n">
        <v>49590.45</v>
      </c>
      <c r="R1281" s="107" t="n">
        <v>275502.48</v>
      </c>
      <c r="S1281" s="106" t="n">
        <v>0</v>
      </c>
      <c r="T1281" s="106" t="n">
        <v>0</v>
      </c>
      <c r="U1281" s="106" t="n">
        <v>312193</v>
      </c>
      <c r="V1281" s="106" t="s">
        <v>1963</v>
      </c>
      <c r="Z1281" s="106" t="n">
        <v>2495</v>
      </c>
      <c r="AB1281" s="106" t="s">
        <v>2645</v>
      </c>
      <c r="AD1281" s="106" t="n">
        <v>110000</v>
      </c>
      <c r="AE1281" s="106" t="s">
        <v>1966</v>
      </c>
      <c r="AF1281" s="106" t="n">
        <v>501020</v>
      </c>
      <c r="AG1281" s="106" t="s">
        <v>1971</v>
      </c>
      <c r="AI1281" s="106" t="n">
        <v>501020</v>
      </c>
      <c r="AJ1281" s="106" t="s">
        <v>1971</v>
      </c>
      <c r="AK1281" s="106" t="n">
        <v>0</v>
      </c>
      <c r="AL1281" s="106" t="n">
        <v>1</v>
      </c>
      <c r="AM1281" s="106" t="s">
        <v>161</v>
      </c>
      <c r="AQ1281" s="129"/>
      <c r="AR1281" s="129" t="n">
        <v>43896</v>
      </c>
      <c r="AS1281" s="106" t="n">
        <v>0.639583333333333</v>
      </c>
      <c r="AT1281" s="106" t="n">
        <v>0</v>
      </c>
      <c r="AU1281" s="106" t="n">
        <v>0</v>
      </c>
      <c r="AW1281" s="106" t="n">
        <v>0</v>
      </c>
      <c r="AX1281" s="106" t="n">
        <v>1</v>
      </c>
      <c r="ALU1281" s="0"/>
      <c r="ALV1281" s="0"/>
      <c r="ALW1281" s="0"/>
      <c r="ALX1281" s="0"/>
      <c r="ALY1281" s="0"/>
      <c r="ALZ1281" s="0"/>
      <c r="AMA1281" s="0"/>
      <c r="AMB1281" s="0"/>
      <c r="AMC1281" s="0"/>
      <c r="AMD1281" s="0"/>
      <c r="AME1281" s="0"/>
      <c r="AMF1281" s="0"/>
      <c r="AMG1281" s="0"/>
      <c r="AMH1281" s="0"/>
      <c r="AMI1281" s="0"/>
      <c r="AMJ1281" s="0"/>
    </row>
    <row r="1282" customFormat="false" ht="13.8" hidden="true" customHeight="false" outlineLevel="0" collapsed="false">
      <c r="A1282" s="117" t="n">
        <v>1000</v>
      </c>
      <c r="B1282" s="117" t="s">
        <v>1962</v>
      </c>
      <c r="C1282" s="117" t="n">
        <v>100231548</v>
      </c>
      <c r="E1282" s="117" t="s">
        <v>1921</v>
      </c>
      <c r="F1282" s="117" t="n">
        <v>1108</v>
      </c>
      <c r="G1282" s="117" t="n">
        <v>2019</v>
      </c>
      <c r="H1282" s="117" t="n">
        <v>10</v>
      </c>
      <c r="I1282" s="118" t="n">
        <v>43859</v>
      </c>
      <c r="J1282" s="118" t="n">
        <v>43859</v>
      </c>
      <c r="K1282" s="119" t="n">
        <v>1621.87</v>
      </c>
      <c r="L1282" s="128" t="n">
        <f aca="false">K1282-Q1282+T1282</f>
        <v>1621.87</v>
      </c>
      <c r="M1282" s="117" t="s">
        <v>149</v>
      </c>
      <c r="N1282" s="117" t="n">
        <v>1621.87</v>
      </c>
      <c r="O1282" s="117" t="s">
        <v>149</v>
      </c>
      <c r="P1282" s="117" t="n">
        <v>0</v>
      </c>
      <c r="Q1282" s="117" t="n">
        <v>0</v>
      </c>
      <c r="R1282" s="117" t="n">
        <v>1621.87</v>
      </c>
      <c r="S1282" s="117" t="n">
        <v>0</v>
      </c>
      <c r="T1282" s="117" t="n">
        <v>0</v>
      </c>
      <c r="U1282" s="117" t="n">
        <v>312193</v>
      </c>
      <c r="V1282" s="117" t="s">
        <v>1963</v>
      </c>
      <c r="X1282" s="117" t="s">
        <v>2646</v>
      </c>
      <c r="Z1282" s="117" t="n">
        <v>2457</v>
      </c>
      <c r="AB1282" s="117" t="s">
        <v>2088</v>
      </c>
      <c r="AD1282" s="117" t="n">
        <v>110000</v>
      </c>
      <c r="AE1282" s="117" t="s">
        <v>1966</v>
      </c>
      <c r="AF1282" s="117" t="n">
        <v>110000</v>
      </c>
      <c r="AG1282" s="117" t="s">
        <v>1966</v>
      </c>
      <c r="AI1282" s="117" t="n">
        <v>110000</v>
      </c>
      <c r="AJ1282" s="117" t="s">
        <v>1966</v>
      </c>
      <c r="AK1282" s="117" t="n">
        <v>0</v>
      </c>
      <c r="AL1282" s="117" t="n">
        <v>4</v>
      </c>
      <c r="AM1282" s="117" t="s">
        <v>161</v>
      </c>
      <c r="AR1282" s="118" t="n">
        <v>43859</v>
      </c>
      <c r="AS1282" s="117" t="n">
        <v>0.274976851851852</v>
      </c>
      <c r="AT1282" s="117" t="n">
        <v>0</v>
      </c>
      <c r="AU1282" s="117" t="n">
        <v>0</v>
      </c>
      <c r="AX1282" s="117" t="n">
        <v>1</v>
      </c>
    </row>
    <row r="1283" s="106" customFormat="true" ht="13.8" hidden="true" customHeight="false" outlineLevel="0" collapsed="false">
      <c r="A1283" s="106" t="n">
        <v>1000</v>
      </c>
      <c r="B1283" s="106" t="s">
        <v>1962</v>
      </c>
      <c r="C1283" s="106" t="n">
        <v>107532</v>
      </c>
      <c r="D1283" s="106" t="s">
        <v>1117</v>
      </c>
      <c r="E1283" s="106" t="s">
        <v>1970</v>
      </c>
      <c r="F1283" s="106" t="n">
        <v>1109</v>
      </c>
      <c r="G1283" s="106" t="n">
        <v>2019</v>
      </c>
      <c r="H1283" s="106" t="n">
        <v>6</v>
      </c>
      <c r="I1283" s="129" t="n">
        <v>43738</v>
      </c>
      <c r="J1283" s="129" t="n">
        <v>43738</v>
      </c>
      <c r="K1283" s="107" t="n">
        <v>499730</v>
      </c>
      <c r="L1283" s="130" t="n">
        <f aca="false">K1283-Q1283+T1283</f>
        <v>423500</v>
      </c>
      <c r="M1283" s="106" t="s">
        <v>149</v>
      </c>
      <c r="N1283" s="106" t="n">
        <v>499730</v>
      </c>
      <c r="O1283" s="106" t="s">
        <v>149</v>
      </c>
      <c r="P1283" s="106" t="n">
        <v>0</v>
      </c>
      <c r="Q1283" s="107" t="n">
        <v>76230</v>
      </c>
      <c r="R1283" s="106" t="n">
        <v>423500</v>
      </c>
      <c r="S1283" s="106" t="n">
        <v>0</v>
      </c>
      <c r="T1283" s="106" t="n">
        <v>0</v>
      </c>
      <c r="U1283" s="106" t="n">
        <v>312193</v>
      </c>
      <c r="V1283" s="106" t="s">
        <v>1963</v>
      </c>
      <c r="Z1283" s="106" t="n">
        <v>2316</v>
      </c>
      <c r="AB1283" s="106" t="s">
        <v>1965</v>
      </c>
      <c r="AD1283" s="106" t="n">
        <v>110000</v>
      </c>
      <c r="AE1283" s="106" t="s">
        <v>1966</v>
      </c>
      <c r="AF1283" s="106" t="n">
        <v>501020</v>
      </c>
      <c r="AG1283" s="106" t="s">
        <v>1971</v>
      </c>
      <c r="AI1283" s="106" t="n">
        <v>501020</v>
      </c>
      <c r="AJ1283" s="106" t="s">
        <v>1971</v>
      </c>
      <c r="AK1283" s="106" t="n">
        <v>0</v>
      </c>
      <c r="AL1283" s="106" t="n">
        <v>1</v>
      </c>
      <c r="AM1283" s="106" t="s">
        <v>161</v>
      </c>
      <c r="AP1283" s="106" t="n">
        <v>100122987</v>
      </c>
      <c r="AQ1283" s="129" t="n">
        <v>43738</v>
      </c>
      <c r="AR1283" s="129" t="n">
        <v>43738</v>
      </c>
      <c r="AS1283" s="106" t="n">
        <v>0.794305555555556</v>
      </c>
      <c r="AT1283" s="106" t="n">
        <v>0</v>
      </c>
      <c r="AU1283" s="106" t="n">
        <v>0</v>
      </c>
      <c r="AX1283" s="106" t="n">
        <v>1</v>
      </c>
      <c r="ALU1283" s="0"/>
      <c r="ALV1283" s="0"/>
      <c r="ALW1283" s="0"/>
      <c r="ALX1283" s="0"/>
      <c r="ALY1283" s="0"/>
      <c r="ALZ1283" s="0"/>
      <c r="AMA1283" s="0"/>
      <c r="AMB1283" s="0"/>
      <c r="AMC1283" s="0"/>
      <c r="AMD1283" s="0"/>
      <c r="AME1283" s="0"/>
      <c r="AMF1283" s="0"/>
      <c r="AMG1283" s="0"/>
      <c r="AMH1283" s="0"/>
      <c r="AMI1283" s="0"/>
      <c r="AMJ1283" s="0"/>
    </row>
    <row r="1284" s="106" customFormat="true" ht="13.8" hidden="true" customHeight="false" outlineLevel="0" collapsed="false">
      <c r="A1284" s="106" t="n">
        <v>1000</v>
      </c>
      <c r="B1284" s="106" t="s">
        <v>1962</v>
      </c>
      <c r="C1284" s="106" t="n">
        <v>107535</v>
      </c>
      <c r="D1284" s="106" t="s">
        <v>1113</v>
      </c>
      <c r="E1284" s="106" t="s">
        <v>1970</v>
      </c>
      <c r="F1284" s="106" t="n">
        <v>1109</v>
      </c>
      <c r="G1284" s="106" t="n">
        <v>2019</v>
      </c>
      <c r="H1284" s="106" t="n">
        <v>6</v>
      </c>
      <c r="I1284" s="129" t="n">
        <v>43738</v>
      </c>
      <c r="J1284" s="129" t="n">
        <v>43738</v>
      </c>
      <c r="K1284" s="107" t="n">
        <v>452671.6</v>
      </c>
      <c r="L1284" s="130" t="n">
        <f aca="false">K1284-Q1284+T1284</f>
        <v>383620</v>
      </c>
      <c r="M1284" s="106" t="s">
        <v>149</v>
      </c>
      <c r="N1284" s="106" t="n">
        <v>452671.6</v>
      </c>
      <c r="O1284" s="106" t="s">
        <v>149</v>
      </c>
      <c r="P1284" s="106" t="n">
        <v>0</v>
      </c>
      <c r="Q1284" s="107" t="n">
        <v>69051.6</v>
      </c>
      <c r="R1284" s="106" t="n">
        <v>383620</v>
      </c>
      <c r="S1284" s="106" t="n">
        <v>0</v>
      </c>
      <c r="T1284" s="106" t="n">
        <v>0</v>
      </c>
      <c r="U1284" s="106" t="n">
        <v>312193</v>
      </c>
      <c r="V1284" s="106" t="s">
        <v>1963</v>
      </c>
      <c r="Z1284" s="106" t="n">
        <v>2316</v>
      </c>
      <c r="AB1284" s="106" t="s">
        <v>1965</v>
      </c>
      <c r="AD1284" s="106" t="n">
        <v>110000</v>
      </c>
      <c r="AE1284" s="106" t="s">
        <v>1966</v>
      </c>
      <c r="AF1284" s="106" t="n">
        <v>501020</v>
      </c>
      <c r="AG1284" s="106" t="s">
        <v>1971</v>
      </c>
      <c r="AI1284" s="106" t="n">
        <v>501020</v>
      </c>
      <c r="AJ1284" s="106" t="s">
        <v>1971</v>
      </c>
      <c r="AK1284" s="106" t="n">
        <v>0</v>
      </c>
      <c r="AL1284" s="106" t="n">
        <v>1</v>
      </c>
      <c r="AM1284" s="106" t="s">
        <v>161</v>
      </c>
      <c r="AP1284" s="106" t="n">
        <v>100122987</v>
      </c>
      <c r="AQ1284" s="129" t="n">
        <v>43738</v>
      </c>
      <c r="AR1284" s="129" t="n">
        <v>43738</v>
      </c>
      <c r="AS1284" s="106" t="n">
        <v>0.798773148148148</v>
      </c>
      <c r="AT1284" s="106" t="n">
        <v>0</v>
      </c>
      <c r="AU1284" s="106" t="n">
        <v>0</v>
      </c>
      <c r="AX1284" s="106" t="n">
        <v>1</v>
      </c>
      <c r="ALU1284" s="0"/>
      <c r="ALV1284" s="0"/>
      <c r="ALW1284" s="0"/>
      <c r="ALX1284" s="0"/>
      <c r="ALY1284" s="0"/>
      <c r="ALZ1284" s="0"/>
      <c r="AMA1284" s="0"/>
      <c r="AMB1284" s="0"/>
      <c r="AMC1284" s="0"/>
      <c r="AMD1284" s="0"/>
      <c r="AME1284" s="0"/>
      <c r="AMF1284" s="0"/>
      <c r="AMG1284" s="0"/>
      <c r="AMH1284" s="0"/>
      <c r="AMI1284" s="0"/>
      <c r="AMJ1284" s="0"/>
    </row>
    <row r="1285" s="106" customFormat="true" ht="13.8" hidden="true" customHeight="false" outlineLevel="0" collapsed="false">
      <c r="A1285" s="106" t="n">
        <v>1000</v>
      </c>
      <c r="B1285" s="106" t="s">
        <v>1962</v>
      </c>
      <c r="C1285" s="106" t="n">
        <v>113233</v>
      </c>
      <c r="D1285" s="106" t="s">
        <v>2647</v>
      </c>
      <c r="E1285" s="106" t="s">
        <v>1970</v>
      </c>
      <c r="F1285" s="106" t="n">
        <v>1108</v>
      </c>
      <c r="G1285" s="106" t="n">
        <v>2019</v>
      </c>
      <c r="H1285" s="106" t="n">
        <v>11</v>
      </c>
      <c r="I1285" s="129" t="n">
        <v>43887</v>
      </c>
      <c r="J1285" s="129" t="n">
        <v>43887</v>
      </c>
      <c r="K1285" s="107" t="n">
        <v>1425190.23</v>
      </c>
      <c r="L1285" s="130" t="n">
        <f aca="false">K1285-Q1285+T1285</f>
        <v>1207788.31</v>
      </c>
      <c r="M1285" s="106" t="s">
        <v>149</v>
      </c>
      <c r="N1285" s="106" t="n">
        <v>1425190.23</v>
      </c>
      <c r="O1285" s="106" t="s">
        <v>149</v>
      </c>
      <c r="P1285" s="106" t="n">
        <v>0</v>
      </c>
      <c r="Q1285" s="107" t="n">
        <v>217401.92</v>
      </c>
      <c r="R1285" s="106" t="n">
        <v>1207788.31</v>
      </c>
      <c r="S1285" s="106" t="n">
        <v>0</v>
      </c>
      <c r="T1285" s="106" t="n">
        <v>0</v>
      </c>
      <c r="U1285" s="106" t="n">
        <v>312193</v>
      </c>
      <c r="V1285" s="106" t="s">
        <v>1963</v>
      </c>
      <c r="Z1285" s="106" t="n">
        <v>63734</v>
      </c>
      <c r="AB1285" s="106" t="s">
        <v>2109</v>
      </c>
      <c r="AD1285" s="106" t="n">
        <v>110000</v>
      </c>
      <c r="AE1285" s="106" t="s">
        <v>1966</v>
      </c>
      <c r="AF1285" s="106" t="n">
        <v>501005</v>
      </c>
      <c r="AG1285" s="106" t="s">
        <v>2033</v>
      </c>
      <c r="AI1285" s="106" t="n">
        <v>501005</v>
      </c>
      <c r="AJ1285" s="106" t="s">
        <v>2033</v>
      </c>
      <c r="AK1285" s="106" t="n">
        <v>0</v>
      </c>
      <c r="AL1285" s="106" t="n">
        <v>1</v>
      </c>
      <c r="AM1285" s="106" t="s">
        <v>161</v>
      </c>
      <c r="AQ1285" s="129"/>
      <c r="AR1285" s="129" t="n">
        <v>43887</v>
      </c>
      <c r="AS1285" s="106" t="n">
        <v>0.732002314814815</v>
      </c>
      <c r="AT1285" s="106" t="n">
        <v>0</v>
      </c>
      <c r="AU1285" s="106" t="n">
        <v>0</v>
      </c>
      <c r="AX1285" s="106" t="n">
        <v>1</v>
      </c>
      <c r="ALU1285" s="0"/>
      <c r="ALV1285" s="0"/>
      <c r="ALW1285" s="0"/>
      <c r="ALX1285" s="0"/>
      <c r="ALY1285" s="0"/>
      <c r="ALZ1285" s="0"/>
      <c r="AMA1285" s="0"/>
      <c r="AMB1285" s="0"/>
      <c r="AMC1285" s="0"/>
      <c r="AMD1285" s="0"/>
      <c r="AME1285" s="0"/>
      <c r="AMF1285" s="0"/>
      <c r="AMG1285" s="0"/>
      <c r="AMH1285" s="0"/>
      <c r="AMI1285" s="0"/>
      <c r="AMJ1285" s="0"/>
    </row>
    <row r="1286" s="106" customFormat="true" ht="13.8" hidden="true" customHeight="false" outlineLevel="0" collapsed="false">
      <c r="A1286" s="106" t="n">
        <v>1000</v>
      </c>
      <c r="B1286" s="106" t="s">
        <v>1962</v>
      </c>
      <c r="C1286" s="106" t="n">
        <v>111263</v>
      </c>
      <c r="D1286" s="106" t="s">
        <v>1574</v>
      </c>
      <c r="E1286" s="106" t="s">
        <v>1970</v>
      </c>
      <c r="F1286" s="106" t="n">
        <v>1112</v>
      </c>
      <c r="G1286" s="106" t="n">
        <v>2019</v>
      </c>
      <c r="H1286" s="106" t="n">
        <v>10</v>
      </c>
      <c r="I1286" s="129" t="n">
        <v>43840</v>
      </c>
      <c r="J1286" s="129" t="n">
        <v>43840</v>
      </c>
      <c r="K1286" s="107" t="n">
        <v>73727.61</v>
      </c>
      <c r="L1286" s="130" t="n">
        <f aca="false">K1286-Q1286+T1286</f>
        <v>62481.03</v>
      </c>
      <c r="M1286" s="106" t="s">
        <v>149</v>
      </c>
      <c r="N1286" s="106" t="n">
        <v>73727.61</v>
      </c>
      <c r="O1286" s="106" t="s">
        <v>149</v>
      </c>
      <c r="P1286" s="106" t="n">
        <v>0</v>
      </c>
      <c r="Q1286" s="107" t="n">
        <v>11246.58</v>
      </c>
      <c r="R1286" s="106" t="n">
        <v>62481.03</v>
      </c>
      <c r="S1286" s="106" t="n">
        <v>0</v>
      </c>
      <c r="T1286" s="106" t="n">
        <v>0</v>
      </c>
      <c r="U1286" s="106" t="n">
        <v>312193</v>
      </c>
      <c r="V1286" s="106" t="s">
        <v>1963</v>
      </c>
      <c r="Z1286" s="106" t="n">
        <v>62194</v>
      </c>
      <c r="AB1286" s="106" t="s">
        <v>2362</v>
      </c>
      <c r="AD1286" s="106" t="n">
        <v>110000</v>
      </c>
      <c r="AE1286" s="106" t="s">
        <v>1966</v>
      </c>
      <c r="AF1286" s="106" t="n">
        <v>501005</v>
      </c>
      <c r="AG1286" s="106" t="s">
        <v>2033</v>
      </c>
      <c r="AI1286" s="106" t="n">
        <v>501005</v>
      </c>
      <c r="AJ1286" s="106" t="s">
        <v>2033</v>
      </c>
      <c r="AK1286" s="106" t="n">
        <v>0</v>
      </c>
      <c r="AL1286" s="106" t="n">
        <v>1</v>
      </c>
      <c r="AM1286" s="106" t="s">
        <v>161</v>
      </c>
      <c r="AP1286" s="106" t="n">
        <v>100231557</v>
      </c>
      <c r="AQ1286" s="129" t="n">
        <v>43859</v>
      </c>
      <c r="AR1286" s="129" t="n">
        <v>43840</v>
      </c>
      <c r="AS1286" s="106" t="n">
        <v>0.405335648148148</v>
      </c>
      <c r="AT1286" s="106" t="n">
        <v>0</v>
      </c>
      <c r="AU1286" s="106" t="n">
        <v>0</v>
      </c>
      <c r="AX1286" s="106" t="n">
        <v>1</v>
      </c>
      <c r="ALU1286" s="0"/>
      <c r="ALV1286" s="0"/>
      <c r="ALW1286" s="0"/>
      <c r="ALX1286" s="0"/>
      <c r="ALY1286" s="0"/>
      <c r="ALZ1286" s="0"/>
      <c r="AMA1286" s="0"/>
      <c r="AMB1286" s="0"/>
      <c r="AMC1286" s="0"/>
      <c r="AMD1286" s="0"/>
      <c r="AME1286" s="0"/>
      <c r="AMF1286" s="0"/>
      <c r="AMG1286" s="0"/>
      <c r="AMH1286" s="0"/>
      <c r="AMI1286" s="0"/>
      <c r="AMJ1286" s="0"/>
    </row>
    <row r="1287" s="106" customFormat="true" ht="13.8" hidden="true" customHeight="false" outlineLevel="0" collapsed="false">
      <c r="A1287" s="106" t="n">
        <v>1000</v>
      </c>
      <c r="B1287" s="106" t="s">
        <v>1962</v>
      </c>
      <c r="C1287" s="106" t="n">
        <v>107544</v>
      </c>
      <c r="D1287" s="106" t="s">
        <v>1105</v>
      </c>
      <c r="E1287" s="106" t="s">
        <v>1970</v>
      </c>
      <c r="F1287" s="106" t="n">
        <v>1109</v>
      </c>
      <c r="G1287" s="106" t="n">
        <v>2019</v>
      </c>
      <c r="H1287" s="106" t="n">
        <v>6</v>
      </c>
      <c r="I1287" s="129" t="n">
        <v>43738</v>
      </c>
      <c r="J1287" s="129" t="n">
        <v>43738</v>
      </c>
      <c r="K1287" s="107" t="n">
        <v>446040</v>
      </c>
      <c r="L1287" s="130" t="n">
        <f aca="false">K1287-Q1287+T1287</f>
        <v>378000</v>
      </c>
      <c r="M1287" s="106" t="s">
        <v>149</v>
      </c>
      <c r="N1287" s="106" t="n">
        <v>446040</v>
      </c>
      <c r="O1287" s="106" t="s">
        <v>149</v>
      </c>
      <c r="P1287" s="106" t="n">
        <v>0</v>
      </c>
      <c r="Q1287" s="107" t="n">
        <v>68040</v>
      </c>
      <c r="R1287" s="106" t="n">
        <v>378000</v>
      </c>
      <c r="S1287" s="106" t="n">
        <v>0</v>
      </c>
      <c r="T1287" s="106" t="n">
        <v>0</v>
      </c>
      <c r="U1287" s="106" t="n">
        <v>312193</v>
      </c>
      <c r="V1287" s="106" t="s">
        <v>1963</v>
      </c>
      <c r="Z1287" s="106" t="n">
        <v>2316</v>
      </c>
      <c r="AB1287" s="106" t="s">
        <v>1965</v>
      </c>
      <c r="AD1287" s="106" t="n">
        <v>110000</v>
      </c>
      <c r="AE1287" s="106" t="s">
        <v>1966</v>
      </c>
      <c r="AF1287" s="106" t="n">
        <v>501020</v>
      </c>
      <c r="AG1287" s="106" t="s">
        <v>1971</v>
      </c>
      <c r="AI1287" s="106" t="n">
        <v>501020</v>
      </c>
      <c r="AJ1287" s="106" t="s">
        <v>1971</v>
      </c>
      <c r="AK1287" s="106" t="n">
        <v>0</v>
      </c>
      <c r="AL1287" s="106" t="n">
        <v>1</v>
      </c>
      <c r="AM1287" s="106" t="s">
        <v>161</v>
      </c>
      <c r="AP1287" s="106" t="n">
        <v>100122987</v>
      </c>
      <c r="AQ1287" s="129" t="n">
        <v>43738</v>
      </c>
      <c r="AR1287" s="129" t="n">
        <v>43738</v>
      </c>
      <c r="AS1287" s="106" t="n">
        <v>0.836689814814815</v>
      </c>
      <c r="AT1287" s="106" t="n">
        <v>0</v>
      </c>
      <c r="AU1287" s="106" t="n">
        <v>0</v>
      </c>
      <c r="AX1287" s="106" t="n">
        <v>1</v>
      </c>
      <c r="ALU1287" s="0"/>
      <c r="ALV1287" s="0"/>
      <c r="ALW1287" s="0"/>
      <c r="ALX1287" s="0"/>
      <c r="ALY1287" s="0"/>
      <c r="ALZ1287" s="0"/>
      <c r="AMA1287" s="0"/>
      <c r="AMB1287" s="0"/>
      <c r="AMC1287" s="0"/>
      <c r="AMD1287" s="0"/>
      <c r="AME1287" s="0"/>
      <c r="AMF1287" s="0"/>
      <c r="AMG1287" s="0"/>
      <c r="AMH1287" s="0"/>
      <c r="AMI1287" s="0"/>
      <c r="AMJ1287" s="0"/>
    </row>
    <row r="1288" s="106" customFormat="true" ht="13.8" hidden="true" customHeight="false" outlineLevel="0" collapsed="false">
      <c r="A1288" s="106" t="n">
        <v>1000</v>
      </c>
      <c r="B1288" s="106" t="s">
        <v>1962</v>
      </c>
      <c r="C1288" s="106" t="n">
        <v>108206</v>
      </c>
      <c r="D1288" s="106" t="s">
        <v>1198</v>
      </c>
      <c r="E1288" s="106" t="s">
        <v>1970</v>
      </c>
      <c r="F1288" s="106" t="n">
        <v>1109</v>
      </c>
      <c r="G1288" s="106" t="n">
        <v>2019</v>
      </c>
      <c r="H1288" s="106" t="n">
        <v>7</v>
      </c>
      <c r="I1288" s="129" t="n">
        <v>43760</v>
      </c>
      <c r="J1288" s="129" t="n">
        <v>43760</v>
      </c>
      <c r="K1288" s="107" t="n">
        <v>33984</v>
      </c>
      <c r="L1288" s="130" t="n">
        <f aca="false">K1288-Q1288+T1288</f>
        <v>28800</v>
      </c>
      <c r="M1288" s="106" t="s">
        <v>149</v>
      </c>
      <c r="N1288" s="106" t="n">
        <v>33984</v>
      </c>
      <c r="O1288" s="106" t="s">
        <v>149</v>
      </c>
      <c r="P1288" s="106" t="n">
        <v>0</v>
      </c>
      <c r="Q1288" s="107" t="n">
        <v>5184</v>
      </c>
      <c r="R1288" s="106" t="n">
        <v>28800</v>
      </c>
      <c r="S1288" s="106" t="n">
        <v>0</v>
      </c>
      <c r="T1288" s="106" t="n">
        <v>0</v>
      </c>
      <c r="U1288" s="106" t="n">
        <v>304431</v>
      </c>
      <c r="V1288" s="106" t="s">
        <v>2016</v>
      </c>
      <c r="Z1288" s="106" t="n">
        <v>2417</v>
      </c>
      <c r="AB1288" s="106" t="s">
        <v>2082</v>
      </c>
      <c r="AD1288" s="106" t="n">
        <v>110000</v>
      </c>
      <c r="AE1288" s="106" t="s">
        <v>1966</v>
      </c>
      <c r="AF1288" s="106" t="n">
        <v>501020</v>
      </c>
      <c r="AG1288" s="106" t="s">
        <v>1971</v>
      </c>
      <c r="AI1288" s="106" t="n">
        <v>501020</v>
      </c>
      <c r="AJ1288" s="106" t="s">
        <v>1971</v>
      </c>
      <c r="AK1288" s="106" t="n">
        <v>0</v>
      </c>
      <c r="AL1288" s="106" t="n">
        <v>1</v>
      </c>
      <c r="AM1288" s="106" t="s">
        <v>161</v>
      </c>
      <c r="AP1288" s="106" t="n">
        <v>100143915</v>
      </c>
      <c r="AQ1288" s="129" t="n">
        <v>43769</v>
      </c>
      <c r="AR1288" s="129" t="n">
        <v>43760</v>
      </c>
      <c r="AS1288" s="106" t="n">
        <v>0.772349537037037</v>
      </c>
      <c r="AT1288" s="106" t="n">
        <v>0</v>
      </c>
      <c r="AU1288" s="106" t="n">
        <v>0</v>
      </c>
      <c r="AX1288" s="106" t="n">
        <v>1</v>
      </c>
      <c r="ALU1288" s="0"/>
      <c r="ALV1288" s="0"/>
      <c r="ALW1288" s="0"/>
      <c r="ALX1288" s="0"/>
      <c r="ALY1288" s="0"/>
      <c r="ALZ1288" s="0"/>
      <c r="AMA1288" s="0"/>
      <c r="AMB1288" s="0"/>
      <c r="AMC1288" s="0"/>
      <c r="AMD1288" s="0"/>
      <c r="AME1288" s="0"/>
      <c r="AMF1288" s="0"/>
      <c r="AMG1288" s="0"/>
      <c r="AMH1288" s="0"/>
      <c r="AMI1288" s="0"/>
      <c r="AMJ1288" s="0"/>
    </row>
    <row r="1289" customFormat="false" ht="13.8" hidden="true" customHeight="false" outlineLevel="0" collapsed="false">
      <c r="A1289" s="117" t="n">
        <v>1000</v>
      </c>
      <c r="B1289" s="117" t="s">
        <v>1962</v>
      </c>
      <c r="C1289" s="117" t="n">
        <v>100231557</v>
      </c>
      <c r="E1289" s="117" t="s">
        <v>1921</v>
      </c>
      <c r="F1289" s="117" t="n">
        <v>1112</v>
      </c>
      <c r="G1289" s="117" t="n">
        <v>2019</v>
      </c>
      <c r="H1289" s="117" t="n">
        <v>10</v>
      </c>
      <c r="I1289" s="118" t="n">
        <v>43859</v>
      </c>
      <c r="J1289" s="118" t="n">
        <v>43859</v>
      </c>
      <c r="K1289" s="119" t="n">
        <v>5345.4</v>
      </c>
      <c r="L1289" s="128" t="n">
        <f aca="false">K1289-Q1289+T1289</f>
        <v>5345.4</v>
      </c>
      <c r="M1289" s="117" t="s">
        <v>149</v>
      </c>
      <c r="N1289" s="117" t="n">
        <v>5345.4</v>
      </c>
      <c r="O1289" s="117" t="s">
        <v>149</v>
      </c>
      <c r="P1289" s="117" t="n">
        <v>0</v>
      </c>
      <c r="Q1289" s="117" t="n">
        <v>0</v>
      </c>
      <c r="R1289" s="117" t="n">
        <v>5345.4</v>
      </c>
      <c r="S1289" s="117" t="n">
        <v>0</v>
      </c>
      <c r="T1289" s="117" t="n">
        <v>0</v>
      </c>
      <c r="U1289" s="117" t="n">
        <v>312193</v>
      </c>
      <c r="V1289" s="117" t="s">
        <v>1963</v>
      </c>
      <c r="X1289" s="117" t="s">
        <v>2648</v>
      </c>
      <c r="Z1289" s="117" t="n">
        <v>62195</v>
      </c>
      <c r="AB1289" s="117" t="s">
        <v>2350</v>
      </c>
      <c r="AD1289" s="117" t="n">
        <v>110000</v>
      </c>
      <c r="AE1289" s="117" t="s">
        <v>1966</v>
      </c>
      <c r="AF1289" s="117" t="n">
        <v>110000</v>
      </c>
      <c r="AG1289" s="117" t="s">
        <v>1966</v>
      </c>
      <c r="AI1289" s="117" t="n">
        <v>110000</v>
      </c>
      <c r="AJ1289" s="117" t="s">
        <v>1966</v>
      </c>
      <c r="AK1289" s="117" t="n">
        <v>0</v>
      </c>
      <c r="AL1289" s="117" t="n">
        <v>4</v>
      </c>
      <c r="AM1289" s="117" t="s">
        <v>161</v>
      </c>
      <c r="AR1289" s="118" t="n">
        <v>43859</v>
      </c>
      <c r="AS1289" s="117" t="n">
        <v>0.289224537037037</v>
      </c>
      <c r="AT1289" s="117" t="n">
        <v>0</v>
      </c>
      <c r="AU1289" s="117" t="n">
        <v>0</v>
      </c>
      <c r="AX1289" s="117" t="n">
        <v>13</v>
      </c>
    </row>
    <row r="1290" s="106" customFormat="true" ht="13.8" hidden="true" customHeight="false" outlineLevel="0" collapsed="false">
      <c r="A1290" s="106" t="n">
        <v>1000</v>
      </c>
      <c r="B1290" s="106" t="s">
        <v>1962</v>
      </c>
      <c r="C1290" s="106" t="n">
        <v>111276</v>
      </c>
      <c r="D1290" s="106" t="s">
        <v>2648</v>
      </c>
      <c r="E1290" s="106" t="s">
        <v>1970</v>
      </c>
      <c r="F1290" s="106" t="n">
        <v>1112</v>
      </c>
      <c r="G1290" s="106" t="n">
        <v>2019</v>
      </c>
      <c r="H1290" s="106" t="n">
        <v>10</v>
      </c>
      <c r="I1290" s="129" t="n">
        <v>43840</v>
      </c>
      <c r="J1290" s="129" t="n">
        <v>43840</v>
      </c>
      <c r="K1290" s="107" t="n">
        <v>5345.4</v>
      </c>
      <c r="L1290" s="130" t="n">
        <f aca="false">K1290-Q1290+T1290</f>
        <v>4530</v>
      </c>
      <c r="M1290" s="106" t="s">
        <v>149</v>
      </c>
      <c r="N1290" s="106" t="n">
        <v>5345.4</v>
      </c>
      <c r="O1290" s="106" t="s">
        <v>149</v>
      </c>
      <c r="P1290" s="106" t="n">
        <v>0</v>
      </c>
      <c r="Q1290" s="107" t="n">
        <v>815.4</v>
      </c>
      <c r="R1290" s="106" t="n">
        <v>4530</v>
      </c>
      <c r="S1290" s="106" t="n">
        <v>0</v>
      </c>
      <c r="T1290" s="106" t="n">
        <v>0</v>
      </c>
      <c r="U1290" s="106" t="n">
        <v>312193</v>
      </c>
      <c r="V1290" s="106" t="s">
        <v>1963</v>
      </c>
      <c r="Z1290" s="106" t="n">
        <v>62195</v>
      </c>
      <c r="AB1290" s="106" t="s">
        <v>2350</v>
      </c>
      <c r="AD1290" s="106" t="n">
        <v>110000</v>
      </c>
      <c r="AE1290" s="106" t="s">
        <v>1966</v>
      </c>
      <c r="AF1290" s="106" t="n">
        <v>501000</v>
      </c>
      <c r="AG1290" s="106" t="s">
        <v>2170</v>
      </c>
      <c r="AI1290" s="106" t="n">
        <v>501000</v>
      </c>
      <c r="AJ1290" s="106" t="s">
        <v>2170</v>
      </c>
      <c r="AK1290" s="106" t="n">
        <v>0</v>
      </c>
      <c r="AL1290" s="106" t="n">
        <v>1</v>
      </c>
      <c r="AM1290" s="106" t="s">
        <v>161</v>
      </c>
      <c r="AP1290" s="106" t="n">
        <v>100231557</v>
      </c>
      <c r="AQ1290" s="129" t="n">
        <v>43859</v>
      </c>
      <c r="AR1290" s="129" t="n">
        <v>43840</v>
      </c>
      <c r="AS1290" s="106" t="n">
        <v>0.451539351851852</v>
      </c>
      <c r="AT1290" s="106" t="n">
        <v>0</v>
      </c>
      <c r="AU1290" s="106" t="n">
        <v>0</v>
      </c>
      <c r="AX1290" s="106" t="n">
        <v>1</v>
      </c>
      <c r="ALU1290" s="0"/>
      <c r="ALV1290" s="0"/>
      <c r="ALW1290" s="0"/>
      <c r="ALX1290" s="0"/>
      <c r="ALY1290" s="0"/>
      <c r="ALZ1290" s="0"/>
      <c r="AMA1290" s="0"/>
      <c r="AMB1290" s="0"/>
      <c r="AMC1290" s="0"/>
      <c r="AMD1290" s="0"/>
      <c r="AME1290" s="0"/>
      <c r="AMF1290" s="0"/>
      <c r="AMG1290" s="0"/>
      <c r="AMH1290" s="0"/>
      <c r="AMI1290" s="0"/>
      <c r="AMJ1290" s="0"/>
    </row>
    <row r="1291" s="106" customFormat="true" ht="13.8" hidden="true" customHeight="false" outlineLevel="0" collapsed="false">
      <c r="A1291" s="106" t="n">
        <v>1000</v>
      </c>
      <c r="B1291" s="106" t="s">
        <v>1962</v>
      </c>
      <c r="C1291" s="106" t="n">
        <v>113114</v>
      </c>
      <c r="D1291" s="106" t="s">
        <v>2649</v>
      </c>
      <c r="E1291" s="106" t="s">
        <v>1970</v>
      </c>
      <c r="F1291" s="106" t="n">
        <v>1108</v>
      </c>
      <c r="G1291" s="106" t="n">
        <v>2019</v>
      </c>
      <c r="H1291" s="106" t="n">
        <v>11</v>
      </c>
      <c r="I1291" s="129" t="n">
        <v>43886</v>
      </c>
      <c r="J1291" s="129" t="n">
        <v>43886</v>
      </c>
      <c r="K1291" s="107" t="n">
        <v>1956388.51</v>
      </c>
      <c r="L1291" s="130" t="n">
        <f aca="false">K1291-Q1291+T1291</f>
        <v>1657956.35</v>
      </c>
      <c r="M1291" s="106" t="s">
        <v>149</v>
      </c>
      <c r="N1291" s="106" t="n">
        <v>1956388.51</v>
      </c>
      <c r="O1291" s="106" t="s">
        <v>149</v>
      </c>
      <c r="P1291" s="106" t="n">
        <v>0</v>
      </c>
      <c r="Q1291" s="107" t="n">
        <v>298432.16</v>
      </c>
      <c r="R1291" s="106" t="n">
        <v>1657956.35</v>
      </c>
      <c r="S1291" s="106" t="n">
        <v>0</v>
      </c>
      <c r="T1291" s="106" t="n">
        <v>0</v>
      </c>
      <c r="U1291" s="106" t="n">
        <v>312193</v>
      </c>
      <c r="V1291" s="106" t="s">
        <v>1963</v>
      </c>
      <c r="Z1291" s="106" t="n">
        <v>63735</v>
      </c>
      <c r="AB1291" s="106" t="s">
        <v>2109</v>
      </c>
      <c r="AD1291" s="106" t="n">
        <v>110000</v>
      </c>
      <c r="AE1291" s="106" t="s">
        <v>1966</v>
      </c>
      <c r="AF1291" s="106" t="n">
        <v>501005</v>
      </c>
      <c r="AG1291" s="106" t="s">
        <v>2033</v>
      </c>
      <c r="AI1291" s="106" t="n">
        <v>501005</v>
      </c>
      <c r="AJ1291" s="106" t="s">
        <v>2033</v>
      </c>
      <c r="AK1291" s="106" t="n">
        <v>0</v>
      </c>
      <c r="AL1291" s="106" t="n">
        <v>1</v>
      </c>
      <c r="AM1291" s="106" t="s">
        <v>161</v>
      </c>
      <c r="AQ1291" s="129"/>
      <c r="AR1291" s="129" t="n">
        <v>43886</v>
      </c>
      <c r="AS1291" s="106" t="n">
        <v>0.636435185185185</v>
      </c>
      <c r="AT1291" s="106" t="n">
        <v>0</v>
      </c>
      <c r="AU1291" s="106" t="n">
        <v>0</v>
      </c>
      <c r="AX1291" s="106" t="n">
        <v>1</v>
      </c>
      <c r="ALU1291" s="0"/>
      <c r="ALV1291" s="0"/>
      <c r="ALW1291" s="0"/>
      <c r="ALX1291" s="0"/>
      <c r="ALY1291" s="0"/>
      <c r="ALZ1291" s="0"/>
      <c r="AMA1291" s="0"/>
      <c r="AMB1291" s="0"/>
      <c r="AMC1291" s="0"/>
      <c r="AMD1291" s="0"/>
      <c r="AME1291" s="0"/>
      <c r="AMF1291" s="0"/>
      <c r="AMG1291" s="0"/>
      <c r="AMH1291" s="0"/>
      <c r="AMI1291" s="0"/>
      <c r="AMJ1291" s="0"/>
    </row>
    <row r="1292" customFormat="false" ht="13.8" hidden="true" customHeight="false" outlineLevel="0" collapsed="false">
      <c r="A1292" s="117" t="n">
        <v>1000</v>
      </c>
      <c r="B1292" s="117" t="s">
        <v>1962</v>
      </c>
      <c r="C1292" s="117" t="n">
        <v>100229128</v>
      </c>
      <c r="E1292" s="117" t="s">
        <v>1921</v>
      </c>
      <c r="F1292" s="117" t="n">
        <v>1109</v>
      </c>
      <c r="G1292" s="117" t="n">
        <v>2019</v>
      </c>
      <c r="H1292" s="117" t="n">
        <v>10</v>
      </c>
      <c r="I1292" s="118" t="n">
        <v>43856</v>
      </c>
      <c r="J1292" s="118" t="n">
        <v>43856</v>
      </c>
      <c r="K1292" s="119" t="n">
        <v>-255509.38</v>
      </c>
      <c r="L1292" s="128" t="n">
        <f aca="false">K1292-Q1292+T1292</f>
        <v>-255509.38</v>
      </c>
      <c r="M1292" s="117" t="s">
        <v>149</v>
      </c>
      <c r="N1292" s="117" t="n">
        <v>-255509.38</v>
      </c>
      <c r="O1292" s="117" t="s">
        <v>149</v>
      </c>
      <c r="P1292" s="117" t="n">
        <v>0</v>
      </c>
      <c r="Q1292" s="117" t="n">
        <v>0</v>
      </c>
      <c r="R1292" s="117" t="n">
        <v>-255509.38</v>
      </c>
      <c r="S1292" s="117" t="n">
        <v>0</v>
      </c>
      <c r="T1292" s="117" t="n">
        <v>0</v>
      </c>
      <c r="U1292" s="117" t="n">
        <v>310187</v>
      </c>
      <c r="V1292" s="117" t="s">
        <v>2394</v>
      </c>
      <c r="Z1292" s="117" t="n">
        <v>100229128</v>
      </c>
      <c r="AD1292" s="117" t="n">
        <v>110000</v>
      </c>
      <c r="AE1292" s="117" t="s">
        <v>1966</v>
      </c>
      <c r="AF1292" s="117" t="n">
        <v>310300</v>
      </c>
      <c r="AG1292" s="117" t="s">
        <v>1969</v>
      </c>
      <c r="AI1292" s="117" t="n">
        <v>310300</v>
      </c>
      <c r="AJ1292" s="117" t="s">
        <v>1969</v>
      </c>
      <c r="AK1292" s="117" t="n">
        <v>0</v>
      </c>
      <c r="AL1292" s="117" t="n">
        <v>17</v>
      </c>
      <c r="AM1292" s="117" t="s">
        <v>225</v>
      </c>
      <c r="AP1292" s="117" t="n">
        <v>100229128</v>
      </c>
      <c r="AQ1292" s="118" t="n">
        <v>43856</v>
      </c>
      <c r="AR1292" s="118" t="n">
        <v>43856</v>
      </c>
      <c r="AS1292" s="117" t="n">
        <v>0.552847222222222</v>
      </c>
      <c r="AT1292" s="117" t="n">
        <v>0</v>
      </c>
      <c r="AU1292" s="117" t="n">
        <v>0</v>
      </c>
      <c r="AX1292" s="117" t="n">
        <v>1</v>
      </c>
    </row>
    <row r="1293" s="106" customFormat="true" ht="13.8" hidden="true" customHeight="false" outlineLevel="0" collapsed="false">
      <c r="A1293" s="106" t="n">
        <v>1000</v>
      </c>
      <c r="B1293" s="106" t="s">
        <v>1962</v>
      </c>
      <c r="C1293" s="106" t="n">
        <v>111267</v>
      </c>
      <c r="D1293" s="106" t="s">
        <v>1582</v>
      </c>
      <c r="E1293" s="106" t="s">
        <v>1970</v>
      </c>
      <c r="F1293" s="106" t="n">
        <v>1112</v>
      </c>
      <c r="G1293" s="106" t="n">
        <v>2019</v>
      </c>
      <c r="H1293" s="106" t="n">
        <v>10</v>
      </c>
      <c r="I1293" s="129" t="n">
        <v>43840</v>
      </c>
      <c r="J1293" s="129" t="n">
        <v>43840</v>
      </c>
      <c r="K1293" s="107" t="n">
        <v>13502.53</v>
      </c>
      <c r="L1293" s="130" t="n">
        <f aca="false">K1293-Q1293+T1293</f>
        <v>11442.82</v>
      </c>
      <c r="M1293" s="106" t="s">
        <v>149</v>
      </c>
      <c r="N1293" s="106" t="n">
        <v>13502.53</v>
      </c>
      <c r="O1293" s="106" t="s">
        <v>149</v>
      </c>
      <c r="P1293" s="106" t="n">
        <v>0</v>
      </c>
      <c r="Q1293" s="107" t="n">
        <v>2059.71</v>
      </c>
      <c r="R1293" s="106" t="n">
        <v>11442.82</v>
      </c>
      <c r="S1293" s="106" t="n">
        <v>0</v>
      </c>
      <c r="T1293" s="106" t="n">
        <v>0</v>
      </c>
      <c r="U1293" s="106" t="n">
        <v>312193</v>
      </c>
      <c r="V1293" s="106" t="s">
        <v>1963</v>
      </c>
      <c r="Z1293" s="106" t="n">
        <v>62200</v>
      </c>
      <c r="AB1293" s="106" t="s">
        <v>2362</v>
      </c>
      <c r="AD1293" s="106" t="n">
        <v>110000</v>
      </c>
      <c r="AE1293" s="106" t="s">
        <v>1966</v>
      </c>
      <c r="AF1293" s="106" t="n">
        <v>501005</v>
      </c>
      <c r="AG1293" s="106" t="s">
        <v>2033</v>
      </c>
      <c r="AI1293" s="106" t="n">
        <v>501005</v>
      </c>
      <c r="AJ1293" s="106" t="s">
        <v>2033</v>
      </c>
      <c r="AK1293" s="106" t="n">
        <v>0</v>
      </c>
      <c r="AL1293" s="106" t="n">
        <v>1</v>
      </c>
      <c r="AM1293" s="106" t="s">
        <v>161</v>
      </c>
      <c r="AP1293" s="106" t="n">
        <v>100231557</v>
      </c>
      <c r="AQ1293" s="129" t="n">
        <v>43859</v>
      </c>
      <c r="AR1293" s="129" t="n">
        <v>43840</v>
      </c>
      <c r="AS1293" s="106" t="n">
        <v>0.418564814814815</v>
      </c>
      <c r="AT1293" s="106" t="n">
        <v>0</v>
      </c>
      <c r="AU1293" s="106" t="n">
        <v>0</v>
      </c>
      <c r="AX1293" s="106" t="n">
        <v>1</v>
      </c>
      <c r="ALU1293" s="0"/>
      <c r="ALV1293" s="0"/>
      <c r="ALW1293" s="0"/>
      <c r="ALX1293" s="0"/>
      <c r="ALY1293" s="0"/>
      <c r="ALZ1293" s="0"/>
      <c r="AMA1293" s="0"/>
      <c r="AMB1293" s="0"/>
      <c r="AMC1293" s="0"/>
      <c r="AMD1293" s="0"/>
      <c r="AME1293" s="0"/>
      <c r="AMF1293" s="0"/>
      <c r="AMG1293" s="0"/>
      <c r="AMH1293" s="0"/>
      <c r="AMI1293" s="0"/>
      <c r="AMJ1293" s="0"/>
    </row>
    <row r="1294" customFormat="false" ht="13.8" hidden="true" customHeight="false" outlineLevel="0" collapsed="false">
      <c r="A1294" s="117" t="n">
        <v>1000</v>
      </c>
      <c r="B1294" s="117" t="s">
        <v>1962</v>
      </c>
      <c r="C1294" s="117" t="n">
        <v>100229118</v>
      </c>
      <c r="E1294" s="117" t="s">
        <v>1921</v>
      </c>
      <c r="F1294" s="117" t="n">
        <v>1106</v>
      </c>
      <c r="G1294" s="117" t="n">
        <v>2019</v>
      </c>
      <c r="H1294" s="117" t="n">
        <v>10</v>
      </c>
      <c r="I1294" s="118" t="n">
        <v>43856</v>
      </c>
      <c r="J1294" s="118" t="n">
        <v>43856</v>
      </c>
      <c r="K1294" s="119" t="n">
        <v>1970625.31</v>
      </c>
      <c r="L1294" s="128" t="n">
        <f aca="false">K1294-Q1294+T1294</f>
        <v>1970625.31</v>
      </c>
      <c r="M1294" s="117" t="s">
        <v>149</v>
      </c>
      <c r="N1294" s="117" t="n">
        <v>1970625.31</v>
      </c>
      <c r="O1294" s="117" t="s">
        <v>149</v>
      </c>
      <c r="P1294" s="117" t="n">
        <v>0</v>
      </c>
      <c r="Q1294" s="117" t="n">
        <v>0</v>
      </c>
      <c r="R1294" s="117" t="n">
        <v>1970625.31</v>
      </c>
      <c r="S1294" s="117" t="n">
        <v>0</v>
      </c>
      <c r="T1294" s="117" t="n">
        <v>0</v>
      </c>
      <c r="U1294" s="117" t="n">
        <v>307259</v>
      </c>
      <c r="V1294" s="117" t="s">
        <v>143</v>
      </c>
      <c r="Z1294" s="117" t="n">
        <v>100229118</v>
      </c>
      <c r="AD1294" s="117" t="n">
        <v>310300</v>
      </c>
      <c r="AE1294" s="117" t="s">
        <v>1969</v>
      </c>
      <c r="AF1294" s="117" t="n">
        <v>110000</v>
      </c>
      <c r="AG1294" s="117" t="s">
        <v>1966</v>
      </c>
      <c r="AI1294" s="117" t="n">
        <v>110000</v>
      </c>
      <c r="AJ1294" s="117" t="s">
        <v>1966</v>
      </c>
      <c r="AK1294" s="117" t="n">
        <v>0</v>
      </c>
      <c r="AL1294" s="117" t="n">
        <v>9</v>
      </c>
      <c r="AM1294" s="117" t="s">
        <v>161</v>
      </c>
      <c r="AN1294" s="117" t="s">
        <v>1978</v>
      </c>
      <c r="AP1294" s="117" t="n">
        <v>100229118</v>
      </c>
      <c r="AQ1294" s="118" t="n">
        <v>43856</v>
      </c>
      <c r="AR1294" s="118" t="n">
        <v>43856</v>
      </c>
      <c r="AS1294" s="117" t="n">
        <v>0.547881944444444</v>
      </c>
      <c r="AT1294" s="117" t="n">
        <v>0</v>
      </c>
      <c r="AU1294" s="117" t="n">
        <v>0</v>
      </c>
      <c r="AX1294" s="117" t="n">
        <v>2</v>
      </c>
    </row>
    <row r="1295" customFormat="false" ht="13.8" hidden="true" customHeight="false" outlineLevel="0" collapsed="false">
      <c r="A1295" s="117" t="n">
        <v>1000</v>
      </c>
      <c r="B1295" s="117" t="s">
        <v>1962</v>
      </c>
      <c r="C1295" s="117" t="n">
        <v>100231557</v>
      </c>
      <c r="E1295" s="117" t="s">
        <v>1921</v>
      </c>
      <c r="F1295" s="117" t="n">
        <v>1112</v>
      </c>
      <c r="G1295" s="117" t="n">
        <v>2019</v>
      </c>
      <c r="H1295" s="117" t="n">
        <v>10</v>
      </c>
      <c r="I1295" s="118" t="n">
        <v>43859</v>
      </c>
      <c r="J1295" s="118" t="n">
        <v>43859</v>
      </c>
      <c r="K1295" s="119" t="n">
        <v>248423.04</v>
      </c>
      <c r="L1295" s="128" t="n">
        <f aca="false">K1295-Q1295+T1295</f>
        <v>248423.04</v>
      </c>
      <c r="M1295" s="117" t="s">
        <v>149</v>
      </c>
      <c r="N1295" s="117" t="n">
        <v>248423.04</v>
      </c>
      <c r="O1295" s="117" t="s">
        <v>149</v>
      </c>
      <c r="P1295" s="117" t="n">
        <v>0</v>
      </c>
      <c r="Q1295" s="117" t="n">
        <v>0</v>
      </c>
      <c r="R1295" s="117" t="n">
        <v>248423.04</v>
      </c>
      <c r="S1295" s="117" t="n">
        <v>0</v>
      </c>
      <c r="T1295" s="117" t="n">
        <v>0</v>
      </c>
      <c r="U1295" s="117" t="n">
        <v>312193</v>
      </c>
      <c r="V1295" s="117" t="s">
        <v>1963</v>
      </c>
      <c r="X1295" s="117" t="s">
        <v>1593</v>
      </c>
      <c r="Z1295" s="117" t="n">
        <v>62396</v>
      </c>
      <c r="AB1295" s="117" t="s">
        <v>2362</v>
      </c>
      <c r="AD1295" s="117" t="n">
        <v>110000</v>
      </c>
      <c r="AE1295" s="117" t="s">
        <v>1966</v>
      </c>
      <c r="AF1295" s="117" t="n">
        <v>110000</v>
      </c>
      <c r="AG1295" s="117" t="s">
        <v>1966</v>
      </c>
      <c r="AI1295" s="117" t="n">
        <v>110000</v>
      </c>
      <c r="AJ1295" s="117" t="s">
        <v>1966</v>
      </c>
      <c r="AK1295" s="117" t="n">
        <v>0</v>
      </c>
      <c r="AL1295" s="117" t="n">
        <v>4</v>
      </c>
      <c r="AM1295" s="117" t="s">
        <v>161</v>
      </c>
      <c r="AR1295" s="118" t="n">
        <v>43859</v>
      </c>
      <c r="AS1295" s="117" t="n">
        <v>0.289224537037037</v>
      </c>
      <c r="AT1295" s="117" t="n">
        <v>0</v>
      </c>
      <c r="AU1295" s="117" t="n">
        <v>0</v>
      </c>
      <c r="AX1295" s="117" t="n">
        <v>10</v>
      </c>
    </row>
    <row r="1296" customFormat="false" ht="13.8" hidden="true" customHeight="false" outlineLevel="0" collapsed="false">
      <c r="A1296" s="117" t="n">
        <v>1000</v>
      </c>
      <c r="B1296" s="117" t="s">
        <v>1962</v>
      </c>
      <c r="C1296" s="117" t="n">
        <v>1400009377</v>
      </c>
      <c r="D1296" s="117" t="s">
        <v>2650</v>
      </c>
      <c r="E1296" s="117" t="s">
        <v>1972</v>
      </c>
      <c r="F1296" s="117" t="n">
        <v>1106</v>
      </c>
      <c r="G1296" s="117" t="n">
        <v>2019</v>
      </c>
      <c r="H1296" s="117" t="n">
        <v>10</v>
      </c>
      <c r="I1296" s="118" t="n">
        <v>43831</v>
      </c>
      <c r="J1296" s="118" t="n">
        <v>43831</v>
      </c>
      <c r="K1296" s="119" t="n">
        <v>-162896.77</v>
      </c>
      <c r="L1296" s="128" t="n">
        <f aca="false">K1296-Q1296+T1296</f>
        <v>-162896.77</v>
      </c>
      <c r="M1296" s="117" t="s">
        <v>149</v>
      </c>
      <c r="N1296" s="117" t="n">
        <v>-162896.77</v>
      </c>
      <c r="O1296" s="117" t="s">
        <v>149</v>
      </c>
      <c r="P1296" s="117" t="n">
        <v>-162896.77</v>
      </c>
      <c r="Q1296" s="117" t="n">
        <v>0</v>
      </c>
      <c r="R1296" s="117" t="n">
        <v>-162896.77</v>
      </c>
      <c r="S1296" s="117" t="n">
        <v>0</v>
      </c>
      <c r="T1296" s="117" t="n">
        <v>0</v>
      </c>
      <c r="U1296" s="117" t="n">
        <v>312193</v>
      </c>
      <c r="V1296" s="117" t="s">
        <v>1963</v>
      </c>
      <c r="X1296" s="117" t="s">
        <v>2651</v>
      </c>
      <c r="Y1296" s="117" t="s">
        <v>2652</v>
      </c>
      <c r="Z1296" s="117" t="n">
        <v>1400009377</v>
      </c>
      <c r="AC1296" s="117" t="s">
        <v>1976</v>
      </c>
      <c r="AD1296" s="117" t="n">
        <v>310300</v>
      </c>
      <c r="AE1296" s="117" t="s">
        <v>1969</v>
      </c>
      <c r="AF1296" s="117" t="n">
        <v>101105</v>
      </c>
      <c r="AG1296" s="117" t="s">
        <v>1977</v>
      </c>
      <c r="AI1296" s="117" t="n">
        <v>101105</v>
      </c>
      <c r="AJ1296" s="117" t="s">
        <v>1977</v>
      </c>
      <c r="AK1296" s="117" t="n">
        <v>0</v>
      </c>
      <c r="AL1296" s="117" t="n">
        <v>19</v>
      </c>
      <c r="AM1296" s="117" t="s">
        <v>225</v>
      </c>
      <c r="AN1296" s="117" t="s">
        <v>1978</v>
      </c>
      <c r="AP1296" s="117" t="n">
        <v>100231549</v>
      </c>
      <c r="AQ1296" s="118" t="n">
        <v>43859</v>
      </c>
      <c r="AR1296" s="118" t="n">
        <v>43837</v>
      </c>
      <c r="AS1296" s="117" t="n">
        <v>0.483020833333333</v>
      </c>
      <c r="AT1296" s="117" t="n">
        <v>0</v>
      </c>
      <c r="AU1296" s="117" t="n">
        <v>0</v>
      </c>
      <c r="AX1296" s="117" t="n">
        <v>2</v>
      </c>
    </row>
    <row r="1297" customFormat="false" ht="13.8" hidden="true" customHeight="false" outlineLevel="0" collapsed="false">
      <c r="A1297" s="117" t="n">
        <v>1000</v>
      </c>
      <c r="B1297" s="117" t="s">
        <v>1962</v>
      </c>
      <c r="C1297" s="117" t="n">
        <v>100231550</v>
      </c>
      <c r="E1297" s="117" t="s">
        <v>1921</v>
      </c>
      <c r="F1297" s="117" t="n">
        <v>1106</v>
      </c>
      <c r="G1297" s="117" t="n">
        <v>2019</v>
      </c>
      <c r="H1297" s="117" t="n">
        <v>10</v>
      </c>
      <c r="I1297" s="118" t="n">
        <v>43859</v>
      </c>
      <c r="J1297" s="118" t="n">
        <v>43859</v>
      </c>
      <c r="K1297" s="119" t="n">
        <v>39600.9</v>
      </c>
      <c r="L1297" s="128" t="n">
        <f aca="false">K1297-Q1297+T1297</f>
        <v>39600.9</v>
      </c>
      <c r="M1297" s="117" t="s">
        <v>149</v>
      </c>
      <c r="N1297" s="117" t="n">
        <v>39600.9</v>
      </c>
      <c r="O1297" s="117" t="s">
        <v>149</v>
      </c>
      <c r="P1297" s="117" t="n">
        <v>0</v>
      </c>
      <c r="Q1297" s="117" t="n">
        <v>0</v>
      </c>
      <c r="R1297" s="117" t="n">
        <v>39600.9</v>
      </c>
      <c r="S1297" s="117" t="n">
        <v>0</v>
      </c>
      <c r="T1297" s="117" t="n">
        <v>0</v>
      </c>
      <c r="U1297" s="117" t="n">
        <v>312193</v>
      </c>
      <c r="V1297" s="117" t="s">
        <v>1963</v>
      </c>
      <c r="Z1297" s="117" t="n">
        <v>100231550</v>
      </c>
      <c r="AD1297" s="117" t="n">
        <v>310300</v>
      </c>
      <c r="AE1297" s="117" t="s">
        <v>1969</v>
      </c>
      <c r="AF1297" s="117" t="n">
        <v>110000</v>
      </c>
      <c r="AG1297" s="117" t="s">
        <v>1966</v>
      </c>
      <c r="AI1297" s="117" t="n">
        <v>110000</v>
      </c>
      <c r="AJ1297" s="117" t="s">
        <v>1966</v>
      </c>
      <c r="AK1297" s="117" t="n">
        <v>0</v>
      </c>
      <c r="AL1297" s="117" t="n">
        <v>9</v>
      </c>
      <c r="AM1297" s="117" t="s">
        <v>161</v>
      </c>
      <c r="AN1297" s="117" t="s">
        <v>1978</v>
      </c>
      <c r="AP1297" s="117" t="n">
        <v>100231550</v>
      </c>
      <c r="AQ1297" s="118" t="n">
        <v>43859</v>
      </c>
      <c r="AR1297" s="118" t="n">
        <v>43859</v>
      </c>
      <c r="AS1297" s="117" t="n">
        <v>0.282858796296296</v>
      </c>
      <c r="AT1297" s="117" t="n">
        <v>0</v>
      </c>
      <c r="AU1297" s="117" t="n">
        <v>0</v>
      </c>
      <c r="AX1297" s="117" t="n">
        <v>4</v>
      </c>
    </row>
    <row r="1298" customFormat="false" ht="13.8" hidden="true" customHeight="false" outlineLevel="0" collapsed="false">
      <c r="A1298" s="117" t="n">
        <v>1000</v>
      </c>
      <c r="B1298" s="117" t="s">
        <v>1962</v>
      </c>
      <c r="C1298" s="117" t="n">
        <v>100231557</v>
      </c>
      <c r="E1298" s="117" t="s">
        <v>1921</v>
      </c>
      <c r="F1298" s="117" t="n">
        <v>1112</v>
      </c>
      <c r="G1298" s="117" t="n">
        <v>2019</v>
      </c>
      <c r="H1298" s="117" t="n">
        <v>10</v>
      </c>
      <c r="I1298" s="118" t="n">
        <v>43859</v>
      </c>
      <c r="J1298" s="118" t="n">
        <v>43859</v>
      </c>
      <c r="K1298" s="119" t="n">
        <v>242655.2</v>
      </c>
      <c r="L1298" s="128" t="n">
        <f aca="false">K1298-Q1298+T1298</f>
        <v>242655.2</v>
      </c>
      <c r="M1298" s="117" t="s">
        <v>149</v>
      </c>
      <c r="N1298" s="117" t="n">
        <v>242655.2</v>
      </c>
      <c r="O1298" s="117" t="s">
        <v>149</v>
      </c>
      <c r="P1298" s="117" t="n">
        <v>0</v>
      </c>
      <c r="Q1298" s="117" t="n">
        <v>0</v>
      </c>
      <c r="R1298" s="117" t="n">
        <v>242655.2</v>
      </c>
      <c r="S1298" s="117" t="n">
        <v>0</v>
      </c>
      <c r="T1298" s="117" t="n">
        <v>0</v>
      </c>
      <c r="U1298" s="117" t="n">
        <v>312193</v>
      </c>
      <c r="V1298" s="117" t="s">
        <v>1963</v>
      </c>
      <c r="X1298" s="117" t="s">
        <v>2606</v>
      </c>
      <c r="Z1298" s="117" t="n">
        <v>62395</v>
      </c>
      <c r="AB1298" s="117" t="s">
        <v>2350</v>
      </c>
      <c r="AD1298" s="117" t="n">
        <v>110000</v>
      </c>
      <c r="AE1298" s="117" t="s">
        <v>1966</v>
      </c>
      <c r="AF1298" s="117" t="n">
        <v>110000</v>
      </c>
      <c r="AG1298" s="117" t="s">
        <v>1966</v>
      </c>
      <c r="AI1298" s="117" t="n">
        <v>110000</v>
      </c>
      <c r="AJ1298" s="117" t="s">
        <v>1966</v>
      </c>
      <c r="AK1298" s="117" t="n">
        <v>0</v>
      </c>
      <c r="AL1298" s="117" t="n">
        <v>4</v>
      </c>
      <c r="AM1298" s="117" t="s">
        <v>161</v>
      </c>
      <c r="AR1298" s="118" t="n">
        <v>43859</v>
      </c>
      <c r="AS1298" s="117" t="n">
        <v>0.289224537037037</v>
      </c>
      <c r="AT1298" s="117" t="n">
        <v>0</v>
      </c>
      <c r="AU1298" s="117" t="n">
        <v>0</v>
      </c>
      <c r="AX1298" s="117" t="n">
        <v>9</v>
      </c>
    </row>
    <row r="1299" customFormat="false" ht="13.8" hidden="true" customHeight="false" outlineLevel="0" collapsed="false">
      <c r="A1299" s="117" t="n">
        <v>1000</v>
      </c>
      <c r="B1299" s="117" t="s">
        <v>1962</v>
      </c>
      <c r="C1299" s="117" t="n">
        <v>1600000451</v>
      </c>
      <c r="D1299" s="117" t="s">
        <v>2175</v>
      </c>
      <c r="E1299" s="117" t="s">
        <v>1987</v>
      </c>
      <c r="F1299" s="117" t="n">
        <v>1106</v>
      </c>
      <c r="G1299" s="117" t="n">
        <v>2019</v>
      </c>
      <c r="H1299" s="117" t="n">
        <v>11</v>
      </c>
      <c r="I1299" s="118" t="n">
        <v>43884</v>
      </c>
      <c r="J1299" s="118" t="n">
        <v>43884</v>
      </c>
      <c r="K1299" s="119" t="n">
        <v>6505.34</v>
      </c>
      <c r="L1299" s="128" t="n">
        <f aca="false">K1299-Q1299+T1299</f>
        <v>6505.34</v>
      </c>
      <c r="M1299" s="117" t="s">
        <v>149</v>
      </c>
      <c r="N1299" s="117" t="n">
        <v>6505.34</v>
      </c>
      <c r="O1299" s="117" t="s">
        <v>149</v>
      </c>
      <c r="P1299" s="117" t="n">
        <v>6505.34</v>
      </c>
      <c r="Q1299" s="117" t="n">
        <v>0</v>
      </c>
      <c r="R1299" s="117" t="n">
        <v>6505.34</v>
      </c>
      <c r="S1299" s="117" t="n">
        <v>0</v>
      </c>
      <c r="T1299" s="117" t="n">
        <v>0</v>
      </c>
      <c r="U1299" s="117" t="n">
        <v>315113</v>
      </c>
      <c r="V1299" s="117" t="s">
        <v>143</v>
      </c>
      <c r="X1299" s="117" t="s">
        <v>2653</v>
      </c>
      <c r="Y1299" s="117" t="s">
        <v>2176</v>
      </c>
      <c r="Z1299" s="117" t="n">
        <v>1600000451</v>
      </c>
      <c r="AD1299" s="117" t="n">
        <v>111105</v>
      </c>
      <c r="AE1299" s="117" t="s">
        <v>1994</v>
      </c>
      <c r="AF1299" s="117" t="n">
        <v>315113</v>
      </c>
      <c r="AG1299" s="117" t="s">
        <v>143</v>
      </c>
      <c r="AI1299" s="117" t="n">
        <v>315113</v>
      </c>
      <c r="AJ1299" s="131" t="s">
        <v>143</v>
      </c>
      <c r="AK1299" s="117" t="n">
        <v>0</v>
      </c>
      <c r="AL1299" s="117" t="n">
        <v>9</v>
      </c>
      <c r="AM1299" s="117" t="s">
        <v>161</v>
      </c>
      <c r="AN1299" s="117" t="s">
        <v>1995</v>
      </c>
      <c r="AR1299" s="118" t="n">
        <v>43884</v>
      </c>
      <c r="AS1299" s="117" t="n">
        <v>0.574710648148148</v>
      </c>
      <c r="AT1299" s="117" t="n">
        <v>0</v>
      </c>
      <c r="AU1299" s="117" t="n">
        <v>0</v>
      </c>
      <c r="AX1299" s="117" t="n">
        <v>1</v>
      </c>
    </row>
    <row r="1300" customFormat="false" ht="13.8" hidden="true" customHeight="false" outlineLevel="0" collapsed="false">
      <c r="A1300" s="117" t="n">
        <v>1000</v>
      </c>
      <c r="B1300" s="117" t="s">
        <v>1962</v>
      </c>
      <c r="C1300" s="117" t="n">
        <v>1400009922</v>
      </c>
      <c r="E1300" s="117" t="s">
        <v>1972</v>
      </c>
      <c r="F1300" s="117" t="n">
        <v>1106</v>
      </c>
      <c r="G1300" s="117" t="n">
        <v>2019</v>
      </c>
      <c r="H1300" s="117" t="n">
        <v>10</v>
      </c>
      <c r="I1300" s="118" t="n">
        <v>43853</v>
      </c>
      <c r="J1300" s="118" t="n">
        <v>43853</v>
      </c>
      <c r="K1300" s="119" t="n">
        <v>-8905595.55</v>
      </c>
      <c r="L1300" s="128" t="n">
        <f aca="false">K1300-Q1300+T1300</f>
        <v>-8905595.55</v>
      </c>
      <c r="M1300" s="117" t="s">
        <v>149</v>
      </c>
      <c r="N1300" s="117" t="n">
        <v>-8905595.55</v>
      </c>
      <c r="O1300" s="117" t="s">
        <v>149</v>
      </c>
      <c r="P1300" s="117" t="n">
        <v>0</v>
      </c>
      <c r="Q1300" s="117" t="n">
        <v>0</v>
      </c>
      <c r="R1300" s="117" t="n">
        <v>-8905595.55</v>
      </c>
      <c r="S1300" s="117" t="n">
        <v>0</v>
      </c>
      <c r="T1300" s="117" t="n">
        <v>0</v>
      </c>
      <c r="U1300" s="117" t="n">
        <v>305576</v>
      </c>
      <c r="V1300" s="117" t="s">
        <v>1973</v>
      </c>
      <c r="X1300" s="117" t="s">
        <v>2654</v>
      </c>
      <c r="Y1300" s="117" t="s">
        <v>2655</v>
      </c>
      <c r="Z1300" s="117" t="n">
        <v>1400009922</v>
      </c>
      <c r="AC1300" s="117" t="s">
        <v>1976</v>
      </c>
      <c r="AD1300" s="117" t="n">
        <v>310300</v>
      </c>
      <c r="AE1300" s="117" t="s">
        <v>1969</v>
      </c>
      <c r="AF1300" s="117" t="n">
        <v>101105</v>
      </c>
      <c r="AG1300" s="117" t="s">
        <v>1977</v>
      </c>
      <c r="AI1300" s="117" t="n">
        <v>101105</v>
      </c>
      <c r="AJ1300" s="117" t="s">
        <v>1977</v>
      </c>
      <c r="AK1300" s="117" t="n">
        <v>0</v>
      </c>
      <c r="AL1300" s="117" t="n">
        <v>19</v>
      </c>
      <c r="AM1300" s="117" t="s">
        <v>225</v>
      </c>
      <c r="AN1300" s="117" t="s">
        <v>1978</v>
      </c>
      <c r="AP1300" s="117" t="n">
        <v>100229115</v>
      </c>
      <c r="AQ1300" s="118" t="n">
        <v>43856</v>
      </c>
      <c r="AR1300" s="118" t="n">
        <v>43854</v>
      </c>
      <c r="AS1300" s="117" t="n">
        <v>0.491342592592593</v>
      </c>
      <c r="AT1300" s="117" t="n">
        <v>0</v>
      </c>
      <c r="AU1300" s="117" t="n">
        <v>0</v>
      </c>
      <c r="AX1300" s="117" t="n">
        <v>2</v>
      </c>
    </row>
    <row r="1301" customFormat="false" ht="13.8" hidden="true" customHeight="false" outlineLevel="0" collapsed="false">
      <c r="A1301" s="117" t="n">
        <v>1000</v>
      </c>
      <c r="B1301" s="117" t="s">
        <v>1962</v>
      </c>
      <c r="C1301" s="117" t="n">
        <v>100231557</v>
      </c>
      <c r="E1301" s="117" t="s">
        <v>1921</v>
      </c>
      <c r="F1301" s="117" t="n">
        <v>1112</v>
      </c>
      <c r="G1301" s="117" t="n">
        <v>2019</v>
      </c>
      <c r="H1301" s="117" t="n">
        <v>10</v>
      </c>
      <c r="I1301" s="118" t="n">
        <v>43859</v>
      </c>
      <c r="J1301" s="118" t="n">
        <v>43859</v>
      </c>
      <c r="K1301" s="119" t="n">
        <v>16213.2</v>
      </c>
      <c r="L1301" s="128" t="n">
        <f aca="false">K1301-Q1301+T1301</f>
        <v>16213.2</v>
      </c>
      <c r="M1301" s="117" t="s">
        <v>149</v>
      </c>
      <c r="N1301" s="117" t="n">
        <v>16213.2</v>
      </c>
      <c r="O1301" s="117" t="s">
        <v>149</v>
      </c>
      <c r="P1301" s="117" t="n">
        <v>0</v>
      </c>
      <c r="Q1301" s="117" t="n">
        <v>0</v>
      </c>
      <c r="R1301" s="117" t="n">
        <v>16213.2</v>
      </c>
      <c r="S1301" s="117" t="n">
        <v>0</v>
      </c>
      <c r="T1301" s="117" t="n">
        <v>0</v>
      </c>
      <c r="U1301" s="117" t="n">
        <v>312193</v>
      </c>
      <c r="V1301" s="117" t="s">
        <v>1963</v>
      </c>
      <c r="X1301" s="117" t="s">
        <v>2594</v>
      </c>
      <c r="Z1301" s="117" t="n">
        <v>62199</v>
      </c>
      <c r="AB1301" s="117" t="s">
        <v>2350</v>
      </c>
      <c r="AD1301" s="117" t="n">
        <v>110000</v>
      </c>
      <c r="AE1301" s="117" t="s">
        <v>1966</v>
      </c>
      <c r="AF1301" s="117" t="n">
        <v>110000</v>
      </c>
      <c r="AG1301" s="117" t="s">
        <v>1966</v>
      </c>
      <c r="AI1301" s="117" t="n">
        <v>110000</v>
      </c>
      <c r="AJ1301" s="117" t="s">
        <v>1966</v>
      </c>
      <c r="AK1301" s="117" t="n">
        <v>0</v>
      </c>
      <c r="AL1301" s="117" t="n">
        <v>4</v>
      </c>
      <c r="AM1301" s="117" t="s">
        <v>161</v>
      </c>
      <c r="AR1301" s="118" t="n">
        <v>43859</v>
      </c>
      <c r="AS1301" s="117" t="n">
        <v>0.289224537037037</v>
      </c>
      <c r="AT1301" s="117" t="n">
        <v>0</v>
      </c>
      <c r="AU1301" s="117" t="n">
        <v>0</v>
      </c>
      <c r="AX1301" s="117" t="n">
        <v>14</v>
      </c>
    </row>
    <row r="1302" customFormat="false" ht="13.8" hidden="true" customHeight="false" outlineLevel="0" collapsed="false">
      <c r="A1302" s="117" t="n">
        <v>1000</v>
      </c>
      <c r="B1302" s="117" t="s">
        <v>1962</v>
      </c>
      <c r="C1302" s="117" t="n">
        <v>100229124</v>
      </c>
      <c r="E1302" s="117" t="s">
        <v>1921</v>
      </c>
      <c r="F1302" s="117" t="n">
        <v>1109</v>
      </c>
      <c r="G1302" s="117" t="n">
        <v>2019</v>
      </c>
      <c r="H1302" s="117" t="n">
        <v>10</v>
      </c>
      <c r="I1302" s="118" t="n">
        <v>43856</v>
      </c>
      <c r="J1302" s="118" t="n">
        <v>43856</v>
      </c>
      <c r="K1302" s="119" t="n">
        <v>-781093.9</v>
      </c>
      <c r="L1302" s="128" t="n">
        <f aca="false">K1302-Q1302+T1302</f>
        <v>-781093.9</v>
      </c>
      <c r="M1302" s="117" t="s">
        <v>149</v>
      </c>
      <c r="N1302" s="117" t="n">
        <v>-781093.9</v>
      </c>
      <c r="O1302" s="117" t="s">
        <v>149</v>
      </c>
      <c r="P1302" s="117" t="n">
        <v>0</v>
      </c>
      <c r="Q1302" s="117" t="n">
        <v>0</v>
      </c>
      <c r="R1302" s="117" t="n">
        <v>-781093.9</v>
      </c>
      <c r="S1302" s="117" t="n">
        <v>0</v>
      </c>
      <c r="T1302" s="117" t="n">
        <v>0</v>
      </c>
      <c r="U1302" s="117" t="n">
        <v>309728</v>
      </c>
      <c r="V1302" s="117" t="s">
        <v>1968</v>
      </c>
      <c r="Z1302" s="117" t="n">
        <v>100229124</v>
      </c>
      <c r="AD1302" s="117" t="n">
        <v>110000</v>
      </c>
      <c r="AE1302" s="117" t="s">
        <v>1966</v>
      </c>
      <c r="AF1302" s="117" t="n">
        <v>110000</v>
      </c>
      <c r="AG1302" s="117" t="s">
        <v>1966</v>
      </c>
      <c r="AI1302" s="117" t="n">
        <v>110000</v>
      </c>
      <c r="AJ1302" s="117" t="s">
        <v>1966</v>
      </c>
      <c r="AK1302" s="117" t="n">
        <v>0</v>
      </c>
      <c r="AL1302" s="117" t="n">
        <v>17</v>
      </c>
      <c r="AM1302" s="117" t="s">
        <v>225</v>
      </c>
      <c r="AP1302" s="117" t="n">
        <v>100229124</v>
      </c>
      <c r="AQ1302" s="118" t="n">
        <v>43856</v>
      </c>
      <c r="AR1302" s="118" t="n">
        <v>43856</v>
      </c>
      <c r="AS1302" s="117" t="n">
        <v>0.5525</v>
      </c>
      <c r="AT1302" s="117" t="n">
        <v>0</v>
      </c>
      <c r="AU1302" s="117" t="n">
        <v>0</v>
      </c>
      <c r="AX1302" s="117" t="n">
        <v>2</v>
      </c>
    </row>
    <row r="1303" customFormat="false" ht="13.8" hidden="true" customHeight="false" outlineLevel="0" collapsed="false">
      <c r="A1303" s="117" t="n">
        <v>1000</v>
      </c>
      <c r="B1303" s="117" t="s">
        <v>1962</v>
      </c>
      <c r="C1303" s="117" t="n">
        <v>100229154</v>
      </c>
      <c r="E1303" s="117" t="s">
        <v>1921</v>
      </c>
      <c r="F1303" s="117" t="n">
        <v>1108</v>
      </c>
      <c r="G1303" s="117" t="n">
        <v>2019</v>
      </c>
      <c r="H1303" s="117" t="n">
        <v>10</v>
      </c>
      <c r="I1303" s="118" t="n">
        <v>43856</v>
      </c>
      <c r="J1303" s="118" t="n">
        <v>43856</v>
      </c>
      <c r="K1303" s="119" t="n">
        <v>-673505.06</v>
      </c>
      <c r="L1303" s="128" t="n">
        <f aca="false">K1303-Q1303+T1303</f>
        <v>-673505.06</v>
      </c>
      <c r="M1303" s="117" t="s">
        <v>149</v>
      </c>
      <c r="N1303" s="117" t="n">
        <v>-673505.06</v>
      </c>
      <c r="O1303" s="117" t="s">
        <v>149</v>
      </c>
      <c r="P1303" s="117" t="n">
        <v>0</v>
      </c>
      <c r="Q1303" s="117" t="n">
        <v>0</v>
      </c>
      <c r="R1303" s="117" t="n">
        <v>-673505.06</v>
      </c>
      <c r="S1303" s="117" t="n">
        <v>0</v>
      </c>
      <c r="T1303" s="117" t="n">
        <v>0</v>
      </c>
      <c r="U1303" s="117" t="n">
        <v>313029</v>
      </c>
      <c r="V1303" s="117" t="s">
        <v>143</v>
      </c>
      <c r="Z1303" s="117" t="n">
        <v>100229154</v>
      </c>
      <c r="AD1303" s="117" t="n">
        <v>110000</v>
      </c>
      <c r="AE1303" s="117" t="s">
        <v>1966</v>
      </c>
      <c r="AF1303" s="117" t="n">
        <v>110000</v>
      </c>
      <c r="AG1303" s="117" t="s">
        <v>1966</v>
      </c>
      <c r="AI1303" s="117" t="n">
        <v>110000</v>
      </c>
      <c r="AJ1303" s="117" t="s">
        <v>1966</v>
      </c>
      <c r="AK1303" s="117" t="n">
        <v>0</v>
      </c>
      <c r="AL1303" s="117" t="n">
        <v>17</v>
      </c>
      <c r="AM1303" s="117" t="s">
        <v>225</v>
      </c>
      <c r="AP1303" s="117" t="n">
        <v>100229154</v>
      </c>
      <c r="AQ1303" s="118" t="n">
        <v>43856</v>
      </c>
      <c r="AR1303" s="118" t="n">
        <v>43856</v>
      </c>
      <c r="AS1303" s="117" t="n">
        <v>0.564652777777778</v>
      </c>
      <c r="AT1303" s="117" t="n">
        <v>0</v>
      </c>
      <c r="AU1303" s="117" t="n">
        <v>0</v>
      </c>
      <c r="AX1303" s="117" t="n">
        <v>2</v>
      </c>
    </row>
    <row r="1304" s="106" customFormat="true" ht="13.8" hidden="true" customHeight="false" outlineLevel="0" collapsed="false">
      <c r="A1304" s="106" t="n">
        <v>1000</v>
      </c>
      <c r="B1304" s="106" t="s">
        <v>1962</v>
      </c>
      <c r="C1304" s="106" t="n">
        <v>111264</v>
      </c>
      <c r="D1304" s="106" t="s">
        <v>1579</v>
      </c>
      <c r="E1304" s="106" t="s">
        <v>1970</v>
      </c>
      <c r="F1304" s="106" t="n">
        <v>1112</v>
      </c>
      <c r="G1304" s="106" t="n">
        <v>2019</v>
      </c>
      <c r="H1304" s="106" t="n">
        <v>10</v>
      </c>
      <c r="I1304" s="129" t="n">
        <v>43840</v>
      </c>
      <c r="J1304" s="129" t="n">
        <v>43840</v>
      </c>
      <c r="K1304" s="107" t="n">
        <v>76348.45</v>
      </c>
      <c r="L1304" s="130" t="n">
        <f aca="false">K1304-Q1304+T1304</f>
        <v>64702.08</v>
      </c>
      <c r="M1304" s="106" t="s">
        <v>149</v>
      </c>
      <c r="N1304" s="106" t="n">
        <v>76348.45</v>
      </c>
      <c r="O1304" s="106" t="s">
        <v>149</v>
      </c>
      <c r="P1304" s="106" t="n">
        <v>0</v>
      </c>
      <c r="Q1304" s="107" t="n">
        <v>11646.37</v>
      </c>
      <c r="R1304" s="106" t="n">
        <v>64702.08</v>
      </c>
      <c r="S1304" s="106" t="n">
        <v>0</v>
      </c>
      <c r="T1304" s="106" t="n">
        <v>0</v>
      </c>
      <c r="U1304" s="106" t="n">
        <v>312193</v>
      </c>
      <c r="V1304" s="106" t="s">
        <v>1963</v>
      </c>
      <c r="Z1304" s="106" t="n">
        <v>62196</v>
      </c>
      <c r="AB1304" s="106" t="s">
        <v>2362</v>
      </c>
      <c r="AD1304" s="106" t="n">
        <v>110000</v>
      </c>
      <c r="AE1304" s="106" t="s">
        <v>1966</v>
      </c>
      <c r="AF1304" s="106" t="n">
        <v>501005</v>
      </c>
      <c r="AG1304" s="106" t="s">
        <v>2033</v>
      </c>
      <c r="AI1304" s="106" t="n">
        <v>501005</v>
      </c>
      <c r="AJ1304" s="106" t="s">
        <v>2033</v>
      </c>
      <c r="AK1304" s="106" t="n">
        <v>0</v>
      </c>
      <c r="AL1304" s="106" t="n">
        <v>1</v>
      </c>
      <c r="AM1304" s="106" t="s">
        <v>161</v>
      </c>
      <c r="AP1304" s="106" t="n">
        <v>100231557</v>
      </c>
      <c r="AQ1304" s="129" t="n">
        <v>43859</v>
      </c>
      <c r="AR1304" s="129" t="n">
        <v>43840</v>
      </c>
      <c r="AS1304" s="106" t="n">
        <v>0.40900462962963</v>
      </c>
      <c r="AT1304" s="106" t="n">
        <v>0</v>
      </c>
      <c r="AU1304" s="106" t="n">
        <v>0</v>
      </c>
      <c r="AX1304" s="106" t="n">
        <v>1</v>
      </c>
      <c r="ALU1304" s="0"/>
      <c r="ALV1304" s="0"/>
      <c r="ALW1304" s="0"/>
      <c r="ALX1304" s="0"/>
      <c r="ALY1304" s="0"/>
      <c r="ALZ1304" s="0"/>
      <c r="AMA1304" s="0"/>
      <c r="AMB1304" s="0"/>
      <c r="AMC1304" s="0"/>
      <c r="AMD1304" s="0"/>
      <c r="AME1304" s="0"/>
      <c r="AMF1304" s="0"/>
      <c r="AMG1304" s="0"/>
      <c r="AMH1304" s="0"/>
      <c r="AMI1304" s="0"/>
      <c r="AMJ1304" s="0"/>
    </row>
    <row r="1305" customFormat="false" ht="13.8" hidden="true" customHeight="false" outlineLevel="0" collapsed="false">
      <c r="A1305" s="117" t="n">
        <v>1000</v>
      </c>
      <c r="B1305" s="117" t="s">
        <v>1962</v>
      </c>
      <c r="C1305" s="117" t="n">
        <v>100260158</v>
      </c>
      <c r="E1305" s="117" t="s">
        <v>1921</v>
      </c>
      <c r="F1305" s="117" t="n">
        <v>1109</v>
      </c>
      <c r="G1305" s="117" t="n">
        <v>2019</v>
      </c>
      <c r="H1305" s="117" t="n">
        <v>11</v>
      </c>
      <c r="I1305" s="118" t="n">
        <v>43883</v>
      </c>
      <c r="J1305" s="118" t="n">
        <v>43883</v>
      </c>
      <c r="K1305" s="119" t="n">
        <v>441683.44</v>
      </c>
      <c r="L1305" s="128" t="n">
        <f aca="false">K1305-Q1305+T1305</f>
        <v>441683.44</v>
      </c>
      <c r="M1305" s="117" t="s">
        <v>149</v>
      </c>
      <c r="N1305" s="117" t="n">
        <v>441683.44</v>
      </c>
      <c r="O1305" s="117" t="s">
        <v>149</v>
      </c>
      <c r="P1305" s="117" t="n">
        <v>0</v>
      </c>
      <c r="Q1305" s="117" t="n">
        <v>0</v>
      </c>
      <c r="R1305" s="117" t="n">
        <v>441683.44</v>
      </c>
      <c r="S1305" s="117" t="n">
        <v>0</v>
      </c>
      <c r="T1305" s="117" t="n">
        <v>0</v>
      </c>
      <c r="U1305" s="117" t="n">
        <v>304431</v>
      </c>
      <c r="V1305" s="117" t="s">
        <v>2016</v>
      </c>
      <c r="X1305" s="117" t="s">
        <v>1145</v>
      </c>
      <c r="Z1305" s="117" t="n">
        <v>2447</v>
      </c>
      <c r="AB1305" s="117" t="s">
        <v>2052</v>
      </c>
      <c r="AD1305" s="117" t="n">
        <v>110000</v>
      </c>
      <c r="AE1305" s="117" t="s">
        <v>1966</v>
      </c>
      <c r="AF1305" s="117" t="n">
        <v>110000</v>
      </c>
      <c r="AG1305" s="117" t="s">
        <v>1966</v>
      </c>
      <c r="AI1305" s="117" t="n">
        <v>110000</v>
      </c>
      <c r="AJ1305" s="117" t="s">
        <v>1966</v>
      </c>
      <c r="AK1305" s="117" t="n">
        <v>0</v>
      </c>
      <c r="AL1305" s="117" t="n">
        <v>4</v>
      </c>
      <c r="AM1305" s="117" t="s">
        <v>161</v>
      </c>
      <c r="AR1305" s="118" t="n">
        <v>43883</v>
      </c>
      <c r="AS1305" s="117" t="n">
        <v>0.334178240740741</v>
      </c>
      <c r="AT1305" s="117" t="n">
        <v>0</v>
      </c>
      <c r="AU1305" s="117" t="n">
        <v>0</v>
      </c>
      <c r="AX1305" s="117" t="n">
        <v>2</v>
      </c>
    </row>
    <row r="1306" customFormat="false" ht="13.8" hidden="true" customHeight="false" outlineLevel="0" collapsed="false">
      <c r="A1306" s="117" t="n">
        <v>1000</v>
      </c>
      <c r="B1306" s="117" t="s">
        <v>1962</v>
      </c>
      <c r="C1306" s="117" t="n">
        <v>100231557</v>
      </c>
      <c r="E1306" s="117" t="s">
        <v>1921</v>
      </c>
      <c r="F1306" s="117" t="n">
        <v>1112</v>
      </c>
      <c r="G1306" s="117" t="n">
        <v>2019</v>
      </c>
      <c r="H1306" s="117" t="n">
        <v>10</v>
      </c>
      <c r="I1306" s="118" t="n">
        <v>43859</v>
      </c>
      <c r="J1306" s="118" t="n">
        <v>43859</v>
      </c>
      <c r="K1306" s="119" t="n">
        <v>73727.61</v>
      </c>
      <c r="L1306" s="128" t="n">
        <f aca="false">K1306-Q1306+T1306</f>
        <v>73727.61</v>
      </c>
      <c r="M1306" s="117" t="s">
        <v>149</v>
      </c>
      <c r="N1306" s="117" t="n">
        <v>73727.61</v>
      </c>
      <c r="O1306" s="117" t="s">
        <v>149</v>
      </c>
      <c r="P1306" s="117" t="n">
        <v>0</v>
      </c>
      <c r="Q1306" s="117" t="n">
        <v>0</v>
      </c>
      <c r="R1306" s="117" t="n">
        <v>73727.61</v>
      </c>
      <c r="S1306" s="117" t="n">
        <v>0</v>
      </c>
      <c r="T1306" s="117" t="n">
        <v>0</v>
      </c>
      <c r="U1306" s="117" t="n">
        <v>312193</v>
      </c>
      <c r="V1306" s="117" t="s">
        <v>1963</v>
      </c>
      <c r="X1306" s="117" t="s">
        <v>1574</v>
      </c>
      <c r="Z1306" s="117" t="n">
        <v>62194</v>
      </c>
      <c r="AB1306" s="117" t="s">
        <v>2362</v>
      </c>
      <c r="AD1306" s="117" t="n">
        <v>110000</v>
      </c>
      <c r="AE1306" s="117" t="s">
        <v>1966</v>
      </c>
      <c r="AF1306" s="117" t="n">
        <v>110000</v>
      </c>
      <c r="AG1306" s="117" t="s">
        <v>1966</v>
      </c>
      <c r="AI1306" s="117" t="n">
        <v>110000</v>
      </c>
      <c r="AJ1306" s="117" t="s">
        <v>1966</v>
      </c>
      <c r="AK1306" s="117" t="n">
        <v>0</v>
      </c>
      <c r="AL1306" s="117" t="n">
        <v>4</v>
      </c>
      <c r="AM1306" s="117" t="s">
        <v>161</v>
      </c>
      <c r="AR1306" s="118" t="n">
        <v>43859</v>
      </c>
      <c r="AS1306" s="117" t="n">
        <v>0.289224537037037</v>
      </c>
      <c r="AT1306" s="117" t="n">
        <v>0</v>
      </c>
      <c r="AU1306" s="117" t="n">
        <v>0</v>
      </c>
      <c r="AX1306" s="117" t="n">
        <v>1</v>
      </c>
    </row>
    <row r="1307" customFormat="false" ht="13.8" hidden="true" customHeight="false" outlineLevel="0" collapsed="false">
      <c r="A1307" s="117" t="n">
        <v>1000</v>
      </c>
      <c r="B1307" s="117" t="s">
        <v>1962</v>
      </c>
      <c r="C1307" s="117" t="n">
        <v>100231557</v>
      </c>
      <c r="E1307" s="117" t="s">
        <v>1921</v>
      </c>
      <c r="F1307" s="117" t="n">
        <v>1112</v>
      </c>
      <c r="G1307" s="117" t="n">
        <v>2019</v>
      </c>
      <c r="H1307" s="117" t="n">
        <v>10</v>
      </c>
      <c r="I1307" s="118" t="n">
        <v>43859</v>
      </c>
      <c r="J1307" s="118" t="n">
        <v>43859</v>
      </c>
      <c r="K1307" s="119" t="n">
        <v>11504.25</v>
      </c>
      <c r="L1307" s="128" t="n">
        <f aca="false">K1307-Q1307+T1307</f>
        <v>11504.25</v>
      </c>
      <c r="M1307" s="117" t="s">
        <v>149</v>
      </c>
      <c r="N1307" s="117" t="n">
        <v>11504.25</v>
      </c>
      <c r="O1307" s="117" t="s">
        <v>149</v>
      </c>
      <c r="P1307" s="117" t="n">
        <v>0</v>
      </c>
      <c r="Q1307" s="117" t="n">
        <v>0</v>
      </c>
      <c r="R1307" s="117" t="n">
        <v>11504.25</v>
      </c>
      <c r="S1307" s="117" t="n">
        <v>0</v>
      </c>
      <c r="T1307" s="117" t="n">
        <v>0</v>
      </c>
      <c r="U1307" s="117" t="n">
        <v>312193</v>
      </c>
      <c r="V1307" s="117" t="s">
        <v>1963</v>
      </c>
      <c r="X1307" s="117" t="s">
        <v>1585</v>
      </c>
      <c r="Z1307" s="117" t="n">
        <v>62391</v>
      </c>
      <c r="AB1307" s="117" t="s">
        <v>2362</v>
      </c>
      <c r="AD1307" s="117" t="n">
        <v>110000</v>
      </c>
      <c r="AE1307" s="117" t="s">
        <v>1966</v>
      </c>
      <c r="AF1307" s="117" t="n">
        <v>110000</v>
      </c>
      <c r="AG1307" s="117" t="s">
        <v>1966</v>
      </c>
      <c r="AI1307" s="117" t="n">
        <v>110000</v>
      </c>
      <c r="AJ1307" s="117" t="s">
        <v>1966</v>
      </c>
      <c r="AK1307" s="117" t="n">
        <v>0</v>
      </c>
      <c r="AL1307" s="117" t="n">
        <v>4</v>
      </c>
      <c r="AM1307" s="117" t="s">
        <v>161</v>
      </c>
      <c r="AR1307" s="118" t="n">
        <v>43859</v>
      </c>
      <c r="AS1307" s="117" t="n">
        <v>0.289224537037037</v>
      </c>
      <c r="AT1307" s="117" t="n">
        <v>0</v>
      </c>
      <c r="AU1307" s="117" t="n">
        <v>0</v>
      </c>
      <c r="AX1307" s="117" t="n">
        <v>6</v>
      </c>
    </row>
    <row r="1308" customFormat="false" ht="13.8" hidden="true" customHeight="false" outlineLevel="0" collapsed="false">
      <c r="A1308" s="117" t="n">
        <v>1000</v>
      </c>
      <c r="B1308" s="117" t="s">
        <v>1962</v>
      </c>
      <c r="C1308" s="117" t="n">
        <v>100231547</v>
      </c>
      <c r="E1308" s="117" t="s">
        <v>1921</v>
      </c>
      <c r="F1308" s="117" t="n">
        <v>1108</v>
      </c>
      <c r="G1308" s="117" t="n">
        <v>2019</v>
      </c>
      <c r="H1308" s="117" t="n">
        <v>10</v>
      </c>
      <c r="I1308" s="118" t="n">
        <v>43859</v>
      </c>
      <c r="J1308" s="118" t="n">
        <v>43859</v>
      </c>
      <c r="K1308" s="119" t="n">
        <v>-4737394.19</v>
      </c>
      <c r="L1308" s="128" t="n">
        <f aca="false">K1308-Q1308+T1308</f>
        <v>-4737394.19</v>
      </c>
      <c r="M1308" s="117" t="s">
        <v>149</v>
      </c>
      <c r="N1308" s="117" t="n">
        <v>-4737394.19</v>
      </c>
      <c r="O1308" s="117" t="s">
        <v>149</v>
      </c>
      <c r="P1308" s="117" t="n">
        <v>0</v>
      </c>
      <c r="Q1308" s="117" t="n">
        <v>0</v>
      </c>
      <c r="R1308" s="117" t="n">
        <v>-4737394.19</v>
      </c>
      <c r="S1308" s="117" t="n">
        <v>0</v>
      </c>
      <c r="T1308" s="117" t="n">
        <v>0</v>
      </c>
      <c r="U1308" s="117" t="n">
        <v>312193</v>
      </c>
      <c r="V1308" s="117" t="s">
        <v>1963</v>
      </c>
      <c r="Z1308" s="117" t="n">
        <v>100231547</v>
      </c>
      <c r="AD1308" s="117" t="n">
        <v>110000</v>
      </c>
      <c r="AE1308" s="117" t="s">
        <v>1966</v>
      </c>
      <c r="AF1308" s="117" t="n">
        <v>110000</v>
      </c>
      <c r="AG1308" s="117" t="s">
        <v>1966</v>
      </c>
      <c r="AI1308" s="117" t="n">
        <v>110000</v>
      </c>
      <c r="AJ1308" s="117" t="s">
        <v>1966</v>
      </c>
      <c r="AK1308" s="117" t="n">
        <v>0</v>
      </c>
      <c r="AL1308" s="117" t="n">
        <v>17</v>
      </c>
      <c r="AM1308" s="117" t="s">
        <v>225</v>
      </c>
      <c r="AP1308" s="117" t="n">
        <v>100231547</v>
      </c>
      <c r="AQ1308" s="118" t="n">
        <v>43859</v>
      </c>
      <c r="AR1308" s="118" t="n">
        <v>43859</v>
      </c>
      <c r="AS1308" s="117" t="n">
        <v>0.26912037037037</v>
      </c>
      <c r="AT1308" s="117" t="n">
        <v>0</v>
      </c>
      <c r="AU1308" s="117" t="n">
        <v>0</v>
      </c>
      <c r="AX1308" s="117" t="n">
        <v>7</v>
      </c>
    </row>
    <row r="1309" customFormat="false" ht="13.8" hidden="true" customHeight="false" outlineLevel="0" collapsed="false">
      <c r="A1309" s="117" t="n">
        <v>1000</v>
      </c>
      <c r="B1309" s="117" t="s">
        <v>1962</v>
      </c>
      <c r="C1309" s="117" t="n">
        <v>100261130</v>
      </c>
      <c r="E1309" s="117" t="s">
        <v>1921</v>
      </c>
      <c r="F1309" s="117" t="n">
        <v>1101</v>
      </c>
      <c r="G1309" s="117" t="n">
        <v>2019</v>
      </c>
      <c r="H1309" s="117" t="n">
        <v>11</v>
      </c>
      <c r="I1309" s="118" t="n">
        <v>43883</v>
      </c>
      <c r="J1309" s="118" t="n">
        <v>43883</v>
      </c>
      <c r="K1309" s="119" t="n">
        <v>-821279.67</v>
      </c>
      <c r="L1309" s="128" t="n">
        <f aca="false">K1309-Q1309+T1309</f>
        <v>-821279.67</v>
      </c>
      <c r="M1309" s="117" t="s">
        <v>149</v>
      </c>
      <c r="N1309" s="117" t="n">
        <v>-821279.67</v>
      </c>
      <c r="O1309" s="117" t="s">
        <v>149</v>
      </c>
      <c r="P1309" s="117" t="n">
        <v>0</v>
      </c>
      <c r="Q1309" s="117" t="n">
        <v>0</v>
      </c>
      <c r="R1309" s="117" t="n">
        <v>-821279.67</v>
      </c>
      <c r="S1309" s="117" t="n">
        <v>0</v>
      </c>
      <c r="T1309" s="117" t="n">
        <v>0</v>
      </c>
      <c r="U1309" s="117" t="n">
        <v>318999</v>
      </c>
      <c r="V1309" s="117" t="s">
        <v>143</v>
      </c>
      <c r="Z1309" s="117" t="n">
        <v>100261130</v>
      </c>
      <c r="AD1309" s="117" t="n">
        <v>111105</v>
      </c>
      <c r="AE1309" s="117" t="s">
        <v>1994</v>
      </c>
      <c r="AF1309" s="117" t="n">
        <v>111105</v>
      </c>
      <c r="AG1309" s="117" t="s">
        <v>1994</v>
      </c>
      <c r="AI1309" s="117" t="n">
        <v>111105</v>
      </c>
      <c r="AJ1309" s="117" t="s">
        <v>1994</v>
      </c>
      <c r="AK1309" s="117" t="n">
        <v>0</v>
      </c>
      <c r="AL1309" s="117" t="n">
        <v>19</v>
      </c>
      <c r="AM1309" s="117" t="s">
        <v>225</v>
      </c>
      <c r="AN1309" s="117" t="s">
        <v>1995</v>
      </c>
      <c r="AP1309" s="117" t="n">
        <v>100261130</v>
      </c>
      <c r="AQ1309" s="118" t="n">
        <v>43883</v>
      </c>
      <c r="AR1309" s="118" t="n">
        <v>43883</v>
      </c>
      <c r="AS1309" s="117" t="n">
        <v>0.64537037037037</v>
      </c>
      <c r="AT1309" s="117" t="n">
        <v>0</v>
      </c>
      <c r="AU1309" s="117" t="n">
        <v>0</v>
      </c>
      <c r="AX1309" s="117" t="n">
        <v>2</v>
      </c>
    </row>
    <row r="1310" customFormat="false" ht="13.8" hidden="true" customHeight="false" outlineLevel="0" collapsed="false">
      <c r="A1310" s="117" t="n">
        <v>1000</v>
      </c>
      <c r="B1310" s="117" t="s">
        <v>1962</v>
      </c>
      <c r="C1310" s="117" t="n">
        <v>100229115</v>
      </c>
      <c r="E1310" s="117" t="s">
        <v>1921</v>
      </c>
      <c r="F1310" s="117" t="n">
        <v>1109</v>
      </c>
      <c r="G1310" s="117" t="n">
        <v>2019</v>
      </c>
      <c r="H1310" s="117" t="n">
        <v>10</v>
      </c>
      <c r="I1310" s="118" t="n">
        <v>43856</v>
      </c>
      <c r="J1310" s="118" t="n">
        <v>43856</v>
      </c>
      <c r="K1310" s="119" t="n">
        <v>1845641.06</v>
      </c>
      <c r="L1310" s="128" t="n">
        <f aca="false">K1310-Q1310+T1310</f>
        <v>1845641.06</v>
      </c>
      <c r="M1310" s="117" t="s">
        <v>149</v>
      </c>
      <c r="N1310" s="117" t="n">
        <v>1845641.06</v>
      </c>
      <c r="O1310" s="117" t="s">
        <v>149</v>
      </c>
      <c r="P1310" s="117" t="n">
        <v>0</v>
      </c>
      <c r="Q1310" s="117" t="n">
        <v>0</v>
      </c>
      <c r="R1310" s="117" t="n">
        <v>1845641.06</v>
      </c>
      <c r="S1310" s="117" t="n">
        <v>0</v>
      </c>
      <c r="T1310" s="117" t="n">
        <v>0</v>
      </c>
      <c r="U1310" s="117" t="n">
        <v>305576</v>
      </c>
      <c r="V1310" s="117" t="s">
        <v>1973</v>
      </c>
      <c r="X1310" s="117" t="s">
        <v>2445</v>
      </c>
      <c r="Z1310" s="117" t="n">
        <v>62122</v>
      </c>
      <c r="AB1310" s="117" t="s">
        <v>2260</v>
      </c>
      <c r="AD1310" s="117" t="n">
        <v>110000</v>
      </c>
      <c r="AE1310" s="117" t="s">
        <v>1966</v>
      </c>
      <c r="AF1310" s="117" t="n">
        <v>110000</v>
      </c>
      <c r="AG1310" s="117" t="s">
        <v>1966</v>
      </c>
      <c r="AI1310" s="117" t="n">
        <v>110000</v>
      </c>
      <c r="AJ1310" s="117" t="s">
        <v>1966</v>
      </c>
      <c r="AK1310" s="117" t="n">
        <v>0</v>
      </c>
      <c r="AL1310" s="117" t="n">
        <v>4</v>
      </c>
      <c r="AM1310" s="117" t="s">
        <v>161</v>
      </c>
      <c r="AR1310" s="118" t="n">
        <v>43856</v>
      </c>
      <c r="AS1310" s="117" t="n">
        <v>0.54568287037037</v>
      </c>
      <c r="AT1310" s="117" t="n">
        <v>0</v>
      </c>
      <c r="AU1310" s="117" t="n">
        <v>0</v>
      </c>
      <c r="AX1310" s="117" t="n">
        <v>2</v>
      </c>
    </row>
    <row r="1311" customFormat="false" ht="13.8" hidden="true" customHeight="false" outlineLevel="0" collapsed="false">
      <c r="A1311" s="117" t="n">
        <v>1000</v>
      </c>
      <c r="B1311" s="117" t="s">
        <v>1962</v>
      </c>
      <c r="C1311" s="117" t="n">
        <v>100261921</v>
      </c>
      <c r="E1311" s="117" t="s">
        <v>1921</v>
      </c>
      <c r="F1311" s="117" t="n">
        <v>1109</v>
      </c>
      <c r="G1311" s="117" t="n">
        <v>2019</v>
      </c>
      <c r="H1311" s="117" t="n">
        <v>11</v>
      </c>
      <c r="I1311" s="118" t="n">
        <v>43884</v>
      </c>
      <c r="J1311" s="118" t="n">
        <v>43884</v>
      </c>
      <c r="K1311" s="119" t="n">
        <v>-130106.8</v>
      </c>
      <c r="L1311" s="128" t="n">
        <f aca="false">K1311-Q1311+T1311</f>
        <v>-130106.8</v>
      </c>
      <c r="M1311" s="117" t="s">
        <v>149</v>
      </c>
      <c r="N1311" s="117" t="n">
        <v>-130106.8</v>
      </c>
      <c r="O1311" s="117" t="s">
        <v>149</v>
      </c>
      <c r="P1311" s="117" t="n">
        <v>0</v>
      </c>
      <c r="Q1311" s="117" t="n">
        <v>0</v>
      </c>
      <c r="R1311" s="117" t="n">
        <v>-130106.8</v>
      </c>
      <c r="S1311" s="117" t="n">
        <v>0</v>
      </c>
      <c r="T1311" s="117" t="n">
        <v>0</v>
      </c>
      <c r="U1311" s="117" t="n">
        <v>315113</v>
      </c>
      <c r="V1311" s="117" t="s">
        <v>143</v>
      </c>
      <c r="Z1311" s="117" t="n">
        <v>100261921</v>
      </c>
      <c r="AD1311" s="117" t="n">
        <v>110000</v>
      </c>
      <c r="AE1311" s="117" t="s">
        <v>1966</v>
      </c>
      <c r="AF1311" s="117" t="n">
        <v>110000</v>
      </c>
      <c r="AG1311" s="117" t="s">
        <v>1966</v>
      </c>
      <c r="AI1311" s="117" t="n">
        <v>110000</v>
      </c>
      <c r="AJ1311" s="117" t="s">
        <v>1966</v>
      </c>
      <c r="AK1311" s="117" t="n">
        <v>0</v>
      </c>
      <c r="AL1311" s="117" t="n">
        <v>17</v>
      </c>
      <c r="AM1311" s="117" t="s">
        <v>225</v>
      </c>
      <c r="AP1311" s="117" t="n">
        <v>100261921</v>
      </c>
      <c r="AQ1311" s="118" t="n">
        <v>43884</v>
      </c>
      <c r="AR1311" s="118" t="n">
        <v>43884</v>
      </c>
      <c r="AS1311" s="117" t="n">
        <v>0.575451388888889</v>
      </c>
      <c r="AT1311" s="117" t="n">
        <v>0</v>
      </c>
      <c r="AU1311" s="117" t="n">
        <v>0</v>
      </c>
      <c r="AX1311" s="117" t="n">
        <v>3</v>
      </c>
    </row>
    <row r="1312" customFormat="false" ht="13.8" hidden="true" customHeight="false" outlineLevel="0" collapsed="false">
      <c r="A1312" s="117" t="n">
        <v>1000</v>
      </c>
      <c r="B1312" s="117" t="s">
        <v>1962</v>
      </c>
      <c r="C1312" s="117" t="n">
        <v>100229115</v>
      </c>
      <c r="E1312" s="117" t="s">
        <v>1921</v>
      </c>
      <c r="F1312" s="117" t="n">
        <v>1109</v>
      </c>
      <c r="G1312" s="117" t="n">
        <v>2019</v>
      </c>
      <c r="H1312" s="117" t="n">
        <v>10</v>
      </c>
      <c r="I1312" s="118" t="n">
        <v>43856</v>
      </c>
      <c r="J1312" s="118" t="n">
        <v>43856</v>
      </c>
      <c r="K1312" s="119" t="n">
        <v>-12284523.03</v>
      </c>
      <c r="L1312" s="128" t="n">
        <f aca="false">K1312-Q1312+T1312</f>
        <v>-12284523.03</v>
      </c>
      <c r="M1312" s="117" t="s">
        <v>149</v>
      </c>
      <c r="N1312" s="117" t="n">
        <v>-12284523.03</v>
      </c>
      <c r="O1312" s="117" t="s">
        <v>149</v>
      </c>
      <c r="P1312" s="117" t="n">
        <v>0</v>
      </c>
      <c r="Q1312" s="117" t="n">
        <v>0</v>
      </c>
      <c r="R1312" s="117" t="n">
        <v>-12284523.03</v>
      </c>
      <c r="S1312" s="117" t="n">
        <v>0</v>
      </c>
      <c r="T1312" s="117" t="n">
        <v>0</v>
      </c>
      <c r="U1312" s="117" t="n">
        <v>305576</v>
      </c>
      <c r="V1312" s="117" t="s">
        <v>1973</v>
      </c>
      <c r="Z1312" s="117" t="n">
        <v>100229115</v>
      </c>
      <c r="AD1312" s="117" t="n">
        <v>110000</v>
      </c>
      <c r="AE1312" s="117" t="s">
        <v>1966</v>
      </c>
      <c r="AF1312" s="117" t="n">
        <v>110000</v>
      </c>
      <c r="AG1312" s="117" t="s">
        <v>1966</v>
      </c>
      <c r="AI1312" s="117" t="n">
        <v>110000</v>
      </c>
      <c r="AJ1312" s="117" t="s">
        <v>1966</v>
      </c>
      <c r="AK1312" s="117" t="n">
        <v>0</v>
      </c>
      <c r="AL1312" s="117" t="n">
        <v>17</v>
      </c>
      <c r="AM1312" s="117" t="s">
        <v>225</v>
      </c>
      <c r="AP1312" s="117" t="n">
        <v>100229115</v>
      </c>
      <c r="AQ1312" s="118" t="n">
        <v>43856</v>
      </c>
      <c r="AR1312" s="118" t="n">
        <v>43856</v>
      </c>
      <c r="AS1312" s="117" t="n">
        <v>0.54568287037037</v>
      </c>
      <c r="AT1312" s="117" t="n">
        <v>0</v>
      </c>
      <c r="AU1312" s="117" t="n">
        <v>0</v>
      </c>
      <c r="AX1312" s="117" t="n">
        <v>4</v>
      </c>
    </row>
    <row r="1313" customFormat="false" ht="13.8" hidden="true" customHeight="false" outlineLevel="0" collapsed="false">
      <c r="A1313" s="117" t="n">
        <v>1000</v>
      </c>
      <c r="B1313" s="117" t="s">
        <v>1962</v>
      </c>
      <c r="C1313" s="117" t="n">
        <v>100242954</v>
      </c>
      <c r="E1313" s="117" t="s">
        <v>1921</v>
      </c>
      <c r="F1313" s="117" t="n">
        <v>1106</v>
      </c>
      <c r="G1313" s="117" t="n">
        <v>2019</v>
      </c>
      <c r="H1313" s="117" t="n">
        <v>10</v>
      </c>
      <c r="I1313" s="118" t="n">
        <v>43861</v>
      </c>
      <c r="J1313" s="118" t="n">
        <v>43861</v>
      </c>
      <c r="K1313" s="119" t="n">
        <v>333</v>
      </c>
      <c r="L1313" s="128" t="n">
        <f aca="false">K1313-Q1313+T1313</f>
        <v>333</v>
      </c>
      <c r="M1313" s="117" t="s">
        <v>149</v>
      </c>
      <c r="N1313" s="117" t="n">
        <v>333</v>
      </c>
      <c r="O1313" s="117" t="s">
        <v>149</v>
      </c>
      <c r="P1313" s="117" t="n">
        <v>333</v>
      </c>
      <c r="Q1313" s="117" t="n">
        <v>0</v>
      </c>
      <c r="R1313" s="117" t="n">
        <v>333</v>
      </c>
      <c r="S1313" s="117" t="n">
        <v>0</v>
      </c>
      <c r="T1313" s="117" t="n">
        <v>0</v>
      </c>
      <c r="U1313" s="117" t="n">
        <v>318169</v>
      </c>
      <c r="V1313" s="117" t="s">
        <v>2158</v>
      </c>
      <c r="X1313" s="117" t="s">
        <v>2656</v>
      </c>
      <c r="Z1313" s="117" t="n">
        <v>100242954</v>
      </c>
      <c r="AD1313" s="117" t="n">
        <v>111105</v>
      </c>
      <c r="AE1313" s="117" t="s">
        <v>1994</v>
      </c>
      <c r="AF1313" s="117" t="n">
        <v>111105</v>
      </c>
      <c r="AG1313" s="117" t="s">
        <v>1994</v>
      </c>
      <c r="AI1313" s="117" t="n">
        <v>111105</v>
      </c>
      <c r="AJ1313" s="117" t="s">
        <v>1994</v>
      </c>
      <c r="AK1313" s="117" t="n">
        <v>0</v>
      </c>
      <c r="AL1313" s="117" t="n">
        <v>9</v>
      </c>
      <c r="AM1313" s="117" t="s">
        <v>161</v>
      </c>
      <c r="AN1313" s="117" t="s">
        <v>1995</v>
      </c>
      <c r="AR1313" s="118" t="n">
        <v>43864</v>
      </c>
      <c r="AS1313" s="117" t="n">
        <v>0.486446759259259</v>
      </c>
      <c r="AT1313" s="117" t="n">
        <v>0</v>
      </c>
      <c r="AU1313" s="117" t="n">
        <v>0</v>
      </c>
      <c r="AX1313" s="117" t="n">
        <v>1</v>
      </c>
    </row>
    <row r="1314" customFormat="false" ht="13.8" hidden="true" customHeight="false" outlineLevel="0" collapsed="false">
      <c r="A1314" s="117" t="n">
        <v>1000</v>
      </c>
      <c r="B1314" s="117" t="s">
        <v>1962</v>
      </c>
      <c r="C1314" s="117" t="n">
        <v>100231551</v>
      </c>
      <c r="E1314" s="117" t="s">
        <v>1921</v>
      </c>
      <c r="F1314" s="117" t="n">
        <v>1106</v>
      </c>
      <c r="G1314" s="117" t="n">
        <v>2019</v>
      </c>
      <c r="H1314" s="117" t="n">
        <v>10</v>
      </c>
      <c r="I1314" s="118" t="n">
        <v>43859</v>
      </c>
      <c r="J1314" s="118" t="n">
        <v>43859</v>
      </c>
      <c r="K1314" s="119" t="n">
        <v>1784213.07</v>
      </c>
      <c r="L1314" s="128" t="n">
        <f aca="false">K1314-Q1314+T1314</f>
        <v>1784213.07</v>
      </c>
      <c r="M1314" s="117" t="s">
        <v>149</v>
      </c>
      <c r="N1314" s="117" t="n">
        <v>1784213.07</v>
      </c>
      <c r="O1314" s="117" t="s">
        <v>149</v>
      </c>
      <c r="P1314" s="117" t="n">
        <v>0</v>
      </c>
      <c r="Q1314" s="117" t="n">
        <v>0</v>
      </c>
      <c r="R1314" s="117" t="n">
        <v>1784213.07</v>
      </c>
      <c r="S1314" s="117" t="n">
        <v>0</v>
      </c>
      <c r="T1314" s="117" t="n">
        <v>0</v>
      </c>
      <c r="U1314" s="117" t="n">
        <v>312193</v>
      </c>
      <c r="V1314" s="117" t="s">
        <v>1963</v>
      </c>
      <c r="Z1314" s="117" t="n">
        <v>100231551</v>
      </c>
      <c r="AD1314" s="117" t="n">
        <v>310300</v>
      </c>
      <c r="AE1314" s="117" t="s">
        <v>1969</v>
      </c>
      <c r="AF1314" s="117" t="n">
        <v>110000</v>
      </c>
      <c r="AG1314" s="117" t="s">
        <v>1966</v>
      </c>
      <c r="AI1314" s="117" t="n">
        <v>110000</v>
      </c>
      <c r="AJ1314" s="117" t="s">
        <v>1966</v>
      </c>
      <c r="AK1314" s="117" t="n">
        <v>0</v>
      </c>
      <c r="AL1314" s="117" t="n">
        <v>9</v>
      </c>
      <c r="AM1314" s="117" t="s">
        <v>161</v>
      </c>
      <c r="AN1314" s="117" t="s">
        <v>1978</v>
      </c>
      <c r="AP1314" s="117" t="n">
        <v>100231551</v>
      </c>
      <c r="AQ1314" s="118" t="n">
        <v>43859</v>
      </c>
      <c r="AR1314" s="118" t="n">
        <v>43859</v>
      </c>
      <c r="AS1314" s="117" t="n">
        <v>0.28443287037037</v>
      </c>
      <c r="AT1314" s="117" t="n">
        <v>0</v>
      </c>
      <c r="AU1314" s="117" t="n">
        <v>0</v>
      </c>
      <c r="AX1314" s="117" t="n">
        <v>4</v>
      </c>
    </row>
    <row r="1315" customFormat="false" ht="13.8" hidden="true" customHeight="false" outlineLevel="0" collapsed="false">
      <c r="A1315" s="117" t="n">
        <v>1000</v>
      </c>
      <c r="B1315" s="117" t="s">
        <v>1962</v>
      </c>
      <c r="C1315" s="117" t="n">
        <v>100242296</v>
      </c>
      <c r="E1315" s="117" t="s">
        <v>1921</v>
      </c>
      <c r="F1315" s="117" t="n">
        <v>1109</v>
      </c>
      <c r="G1315" s="117" t="n">
        <v>2019</v>
      </c>
      <c r="H1315" s="117" t="n">
        <v>10</v>
      </c>
      <c r="I1315" s="118" t="n">
        <v>43861</v>
      </c>
      <c r="J1315" s="118" t="n">
        <v>43861</v>
      </c>
      <c r="K1315" s="119" t="n">
        <v>4146</v>
      </c>
      <c r="L1315" s="128" t="n">
        <f aca="false">K1315-Q1315+T1315</f>
        <v>4146</v>
      </c>
      <c r="M1315" s="117" t="s">
        <v>149</v>
      </c>
      <c r="N1315" s="117" t="n">
        <v>4146</v>
      </c>
      <c r="O1315" s="117" t="s">
        <v>149</v>
      </c>
      <c r="P1315" s="117" t="n">
        <v>0</v>
      </c>
      <c r="Q1315" s="117" t="n">
        <v>0</v>
      </c>
      <c r="R1315" s="117" t="n">
        <v>4146</v>
      </c>
      <c r="S1315" s="117" t="n">
        <v>0</v>
      </c>
      <c r="T1315" s="117" t="n">
        <v>0</v>
      </c>
      <c r="U1315" s="117" t="n">
        <v>312193</v>
      </c>
      <c r="V1315" s="117" t="s">
        <v>1963</v>
      </c>
      <c r="X1315" s="117" t="s">
        <v>2657</v>
      </c>
      <c r="Z1315" s="117" t="n">
        <v>2316</v>
      </c>
      <c r="AB1315" s="117" t="s">
        <v>1965</v>
      </c>
      <c r="AD1315" s="117" t="n">
        <v>110000</v>
      </c>
      <c r="AE1315" s="117" t="s">
        <v>1966</v>
      </c>
      <c r="AF1315" s="117" t="n">
        <v>110000</v>
      </c>
      <c r="AG1315" s="117" t="s">
        <v>1966</v>
      </c>
      <c r="AI1315" s="117" t="n">
        <v>110000</v>
      </c>
      <c r="AJ1315" s="117" t="s">
        <v>1966</v>
      </c>
      <c r="AK1315" s="117" t="n">
        <v>0</v>
      </c>
      <c r="AL1315" s="117" t="n">
        <v>4</v>
      </c>
      <c r="AM1315" s="117" t="s">
        <v>161</v>
      </c>
      <c r="AR1315" s="118" t="n">
        <v>43863</v>
      </c>
      <c r="AS1315" s="117" t="n">
        <v>0.435740740740741</v>
      </c>
      <c r="AT1315" s="117" t="n">
        <v>0</v>
      </c>
      <c r="AU1315" s="117" t="n">
        <v>0</v>
      </c>
      <c r="AX1315" s="117" t="n">
        <v>1</v>
      </c>
    </row>
    <row r="1316" customFormat="false" ht="13.8" hidden="true" customHeight="false" outlineLevel="0" collapsed="false">
      <c r="A1316" s="117" t="n">
        <v>1000</v>
      </c>
      <c r="B1316" s="117" t="s">
        <v>1962</v>
      </c>
      <c r="C1316" s="117" t="n">
        <v>1400010603</v>
      </c>
      <c r="E1316" s="117" t="s">
        <v>1972</v>
      </c>
      <c r="F1316" s="117" t="n">
        <v>1101</v>
      </c>
      <c r="G1316" s="117" t="n">
        <v>2019</v>
      </c>
      <c r="H1316" s="117" t="n">
        <v>11</v>
      </c>
      <c r="I1316" s="118" t="n">
        <v>43868</v>
      </c>
      <c r="J1316" s="118" t="n">
        <v>43868</v>
      </c>
      <c r="K1316" s="119" t="n">
        <v>-807359.06</v>
      </c>
      <c r="L1316" s="128" t="n">
        <f aca="false">K1316-Q1316+T1316</f>
        <v>-807359.06</v>
      </c>
      <c r="M1316" s="117" t="s">
        <v>149</v>
      </c>
      <c r="N1316" s="117" t="n">
        <v>-807359.06</v>
      </c>
      <c r="O1316" s="117" t="s">
        <v>149</v>
      </c>
      <c r="P1316" s="117" t="n">
        <v>0</v>
      </c>
      <c r="Q1316" s="117" t="n">
        <v>0</v>
      </c>
      <c r="R1316" s="117" t="n">
        <v>-807359.06</v>
      </c>
      <c r="S1316" s="117" t="n">
        <v>0</v>
      </c>
      <c r="T1316" s="117" t="n">
        <v>0</v>
      </c>
      <c r="U1316" s="117" t="n">
        <v>318999</v>
      </c>
      <c r="V1316" s="117" t="s">
        <v>143</v>
      </c>
      <c r="X1316" s="117" t="s">
        <v>2658</v>
      </c>
      <c r="Y1316" s="117" t="s">
        <v>2659</v>
      </c>
      <c r="Z1316" s="117" t="n">
        <v>1400010603</v>
      </c>
      <c r="AC1316" s="117" t="s">
        <v>1976</v>
      </c>
      <c r="AD1316" s="117" t="n">
        <v>310300</v>
      </c>
      <c r="AE1316" s="117" t="s">
        <v>1969</v>
      </c>
      <c r="AF1316" s="117" t="n">
        <v>101105</v>
      </c>
      <c r="AG1316" s="117" t="s">
        <v>1977</v>
      </c>
      <c r="AI1316" s="117" t="n">
        <v>101105</v>
      </c>
      <c r="AJ1316" s="117" t="s">
        <v>1977</v>
      </c>
      <c r="AK1316" s="117" t="n">
        <v>0</v>
      </c>
      <c r="AL1316" s="117" t="n">
        <v>19</v>
      </c>
      <c r="AM1316" s="117" t="s">
        <v>225</v>
      </c>
      <c r="AN1316" s="117" t="s">
        <v>1978</v>
      </c>
      <c r="AP1316" s="117" t="n">
        <v>100261130</v>
      </c>
      <c r="AQ1316" s="118" t="n">
        <v>43883</v>
      </c>
      <c r="AR1316" s="118" t="n">
        <v>43871</v>
      </c>
      <c r="AS1316" s="117" t="n">
        <v>0.522511574074074</v>
      </c>
      <c r="AT1316" s="117" t="n">
        <v>0</v>
      </c>
      <c r="AU1316" s="117" t="n">
        <v>0</v>
      </c>
      <c r="AX1316" s="117" t="n">
        <v>2</v>
      </c>
    </row>
    <row r="1317" customFormat="false" ht="13.8" hidden="true" customHeight="false" outlineLevel="0" collapsed="false">
      <c r="A1317" s="117" t="n">
        <v>1000</v>
      </c>
      <c r="B1317" s="117" t="s">
        <v>1962</v>
      </c>
      <c r="C1317" s="117" t="n">
        <v>100231549</v>
      </c>
      <c r="E1317" s="117" t="s">
        <v>1921</v>
      </c>
      <c r="F1317" s="117" t="n">
        <v>1109</v>
      </c>
      <c r="G1317" s="117" t="n">
        <v>2019</v>
      </c>
      <c r="H1317" s="117" t="n">
        <v>10</v>
      </c>
      <c r="I1317" s="118" t="n">
        <v>43859</v>
      </c>
      <c r="J1317" s="118" t="n">
        <v>43859</v>
      </c>
      <c r="K1317" s="119" t="n">
        <v>8721</v>
      </c>
      <c r="L1317" s="128" t="n">
        <f aca="false">K1317-Q1317+T1317</f>
        <v>8721</v>
      </c>
      <c r="M1317" s="117" t="s">
        <v>149</v>
      </c>
      <c r="N1317" s="117" t="n">
        <v>8721</v>
      </c>
      <c r="O1317" s="117" t="s">
        <v>149</v>
      </c>
      <c r="P1317" s="117" t="n">
        <v>0</v>
      </c>
      <c r="Q1317" s="117" t="n">
        <v>0</v>
      </c>
      <c r="R1317" s="117" t="n">
        <v>8721</v>
      </c>
      <c r="S1317" s="117" t="n">
        <v>0</v>
      </c>
      <c r="T1317" s="117" t="n">
        <v>0</v>
      </c>
      <c r="U1317" s="117" t="n">
        <v>312193</v>
      </c>
      <c r="V1317" s="117" t="s">
        <v>1963</v>
      </c>
      <c r="Z1317" s="117" t="n">
        <v>100231549</v>
      </c>
      <c r="AD1317" s="117" t="n">
        <v>110000</v>
      </c>
      <c r="AE1317" s="117" t="s">
        <v>1966</v>
      </c>
      <c r="AF1317" s="117" t="n">
        <v>110000</v>
      </c>
      <c r="AG1317" s="117" t="s">
        <v>1966</v>
      </c>
      <c r="AI1317" s="117" t="n">
        <v>110000</v>
      </c>
      <c r="AJ1317" s="117" t="s">
        <v>1966</v>
      </c>
      <c r="AK1317" s="117" t="n">
        <v>0</v>
      </c>
      <c r="AL1317" s="117" t="n">
        <v>7</v>
      </c>
      <c r="AM1317" s="117" t="s">
        <v>161</v>
      </c>
      <c r="AP1317" s="117" t="n">
        <v>100231549</v>
      </c>
      <c r="AQ1317" s="118" t="n">
        <v>43859</v>
      </c>
      <c r="AR1317" s="118" t="n">
        <v>43859</v>
      </c>
      <c r="AS1317" s="117" t="n">
        <v>0.27931712962963</v>
      </c>
      <c r="AT1317" s="117" t="n">
        <v>0</v>
      </c>
      <c r="AU1317" s="117" t="n">
        <v>0</v>
      </c>
      <c r="AX1317" s="117" t="n">
        <v>3</v>
      </c>
    </row>
    <row r="1318" customFormat="false" ht="13.8" hidden="true" customHeight="false" outlineLevel="0" collapsed="false">
      <c r="A1318" s="117" t="n">
        <v>1000</v>
      </c>
      <c r="B1318" s="117" t="s">
        <v>1962</v>
      </c>
      <c r="C1318" s="117" t="n">
        <v>100277640</v>
      </c>
      <c r="E1318" s="117" t="s">
        <v>1921</v>
      </c>
      <c r="F1318" s="117" t="n">
        <v>1109</v>
      </c>
      <c r="G1318" s="117" t="n">
        <v>2019</v>
      </c>
      <c r="H1318" s="117" t="n">
        <v>11</v>
      </c>
      <c r="I1318" s="118" t="n">
        <v>43890</v>
      </c>
      <c r="J1318" s="118" t="n">
        <v>43890</v>
      </c>
      <c r="K1318" s="119" t="n">
        <v>64887.39</v>
      </c>
      <c r="L1318" s="128" t="n">
        <f aca="false">K1318-Q1318+T1318</f>
        <v>64887.39</v>
      </c>
      <c r="M1318" s="117" t="s">
        <v>149</v>
      </c>
      <c r="N1318" s="117" t="n">
        <v>64887.39</v>
      </c>
      <c r="O1318" s="117" t="s">
        <v>149</v>
      </c>
      <c r="P1318" s="117" t="n">
        <v>0</v>
      </c>
      <c r="Q1318" s="117" t="n">
        <v>0</v>
      </c>
      <c r="R1318" s="117" t="n">
        <v>64887.39</v>
      </c>
      <c r="S1318" s="117" t="n">
        <v>0</v>
      </c>
      <c r="T1318" s="117" t="n">
        <v>0</v>
      </c>
      <c r="U1318" s="117" t="n">
        <v>312193</v>
      </c>
      <c r="V1318" s="117" t="s">
        <v>1963</v>
      </c>
      <c r="X1318" s="117" t="s">
        <v>2488</v>
      </c>
      <c r="Z1318" s="117" t="n">
        <v>62772</v>
      </c>
      <c r="AB1318" s="117" t="s">
        <v>2477</v>
      </c>
      <c r="AD1318" s="117" t="n">
        <v>110000</v>
      </c>
      <c r="AE1318" s="117" t="s">
        <v>1966</v>
      </c>
      <c r="AF1318" s="117" t="n">
        <v>110000</v>
      </c>
      <c r="AG1318" s="117" t="s">
        <v>1966</v>
      </c>
      <c r="AI1318" s="117" t="n">
        <v>110000</v>
      </c>
      <c r="AJ1318" s="117" t="s">
        <v>1966</v>
      </c>
      <c r="AK1318" s="117" t="n">
        <v>0</v>
      </c>
      <c r="AL1318" s="117" t="n">
        <v>4</v>
      </c>
      <c r="AM1318" s="117" t="s">
        <v>161</v>
      </c>
      <c r="AR1318" s="118" t="n">
        <v>43891</v>
      </c>
      <c r="AS1318" s="117" t="n">
        <v>0.31943287037037</v>
      </c>
      <c r="AT1318" s="117" t="n">
        <v>0</v>
      </c>
      <c r="AU1318" s="117" t="n">
        <v>0</v>
      </c>
      <c r="AX1318" s="117" t="n">
        <v>9</v>
      </c>
    </row>
    <row r="1319" customFormat="false" ht="13.8" hidden="true" customHeight="false" outlineLevel="0" collapsed="false">
      <c r="A1319" s="117" t="n">
        <v>1000</v>
      </c>
      <c r="B1319" s="117" t="s">
        <v>1962</v>
      </c>
      <c r="C1319" s="117" t="n">
        <v>100277640</v>
      </c>
      <c r="E1319" s="117" t="s">
        <v>1921</v>
      </c>
      <c r="F1319" s="117" t="n">
        <v>1109</v>
      </c>
      <c r="G1319" s="117" t="n">
        <v>2019</v>
      </c>
      <c r="H1319" s="117" t="n">
        <v>11</v>
      </c>
      <c r="I1319" s="118" t="n">
        <v>43890</v>
      </c>
      <c r="J1319" s="118" t="n">
        <v>43890</v>
      </c>
      <c r="K1319" s="119" t="n">
        <v>443916</v>
      </c>
      <c r="L1319" s="128" t="n">
        <f aca="false">K1319-Q1319+T1319</f>
        <v>443916</v>
      </c>
      <c r="M1319" s="117" t="s">
        <v>149</v>
      </c>
      <c r="N1319" s="117" t="n">
        <v>443916</v>
      </c>
      <c r="O1319" s="117" t="s">
        <v>149</v>
      </c>
      <c r="P1319" s="117" t="n">
        <v>0</v>
      </c>
      <c r="Q1319" s="117" t="n">
        <v>0</v>
      </c>
      <c r="R1319" s="117" t="n">
        <v>443916</v>
      </c>
      <c r="S1319" s="117" t="n">
        <v>0</v>
      </c>
      <c r="T1319" s="117" t="n">
        <v>0</v>
      </c>
      <c r="U1319" s="117" t="n">
        <v>312193</v>
      </c>
      <c r="V1319" s="117" t="s">
        <v>1963</v>
      </c>
      <c r="X1319" s="117" t="s">
        <v>1240</v>
      </c>
      <c r="Z1319" s="117" t="n">
        <v>2525</v>
      </c>
      <c r="AB1319" s="117" t="s">
        <v>2660</v>
      </c>
      <c r="AD1319" s="117" t="n">
        <v>110000</v>
      </c>
      <c r="AE1319" s="117" t="s">
        <v>1966</v>
      </c>
      <c r="AF1319" s="117" t="n">
        <v>110000</v>
      </c>
      <c r="AG1319" s="117" t="s">
        <v>1966</v>
      </c>
      <c r="AI1319" s="117" t="n">
        <v>110000</v>
      </c>
      <c r="AJ1319" s="117" t="s">
        <v>1966</v>
      </c>
      <c r="AK1319" s="117" t="n">
        <v>0</v>
      </c>
      <c r="AL1319" s="117" t="n">
        <v>4</v>
      </c>
      <c r="AM1319" s="117" t="s">
        <v>161</v>
      </c>
      <c r="AR1319" s="118" t="n">
        <v>43891</v>
      </c>
      <c r="AS1319" s="117" t="n">
        <v>0.31943287037037</v>
      </c>
      <c r="AT1319" s="117" t="n">
        <v>0</v>
      </c>
      <c r="AU1319" s="117" t="n">
        <v>0</v>
      </c>
      <c r="AX1319" s="117" t="n">
        <v>3</v>
      </c>
    </row>
    <row r="1320" customFormat="false" ht="13.8" hidden="true" customHeight="false" outlineLevel="0" collapsed="false">
      <c r="A1320" s="117" t="n">
        <v>1000</v>
      </c>
      <c r="B1320" s="117" t="s">
        <v>1962</v>
      </c>
      <c r="C1320" s="117" t="n">
        <v>100277640</v>
      </c>
      <c r="E1320" s="117" t="s">
        <v>1921</v>
      </c>
      <c r="F1320" s="117" t="n">
        <v>1109</v>
      </c>
      <c r="G1320" s="117" t="n">
        <v>2019</v>
      </c>
      <c r="H1320" s="117" t="n">
        <v>11</v>
      </c>
      <c r="I1320" s="118" t="n">
        <v>43890</v>
      </c>
      <c r="J1320" s="118" t="n">
        <v>43890</v>
      </c>
      <c r="K1320" s="119" t="n">
        <v>-11656380.26</v>
      </c>
      <c r="L1320" s="128" t="n">
        <f aca="false">K1320-Q1320+T1320</f>
        <v>-11656380.26</v>
      </c>
      <c r="M1320" s="117" t="s">
        <v>149</v>
      </c>
      <c r="N1320" s="117" t="n">
        <v>-11656380.26</v>
      </c>
      <c r="O1320" s="117" t="s">
        <v>149</v>
      </c>
      <c r="P1320" s="117" t="n">
        <v>0</v>
      </c>
      <c r="Q1320" s="117" t="n">
        <v>0</v>
      </c>
      <c r="R1320" s="117" t="n">
        <v>-11656380.26</v>
      </c>
      <c r="S1320" s="117" t="n">
        <v>0</v>
      </c>
      <c r="T1320" s="117" t="n">
        <v>0</v>
      </c>
      <c r="U1320" s="117" t="n">
        <v>312193</v>
      </c>
      <c r="V1320" s="117" t="s">
        <v>1963</v>
      </c>
      <c r="Z1320" s="117" t="n">
        <v>100277640</v>
      </c>
      <c r="AD1320" s="117" t="n">
        <v>110000</v>
      </c>
      <c r="AE1320" s="117" t="s">
        <v>1966</v>
      </c>
      <c r="AF1320" s="117" t="n">
        <v>110000</v>
      </c>
      <c r="AG1320" s="117" t="s">
        <v>1966</v>
      </c>
      <c r="AI1320" s="117" t="n">
        <v>110000</v>
      </c>
      <c r="AJ1320" s="117" t="s">
        <v>1966</v>
      </c>
      <c r="AK1320" s="117" t="n">
        <v>0</v>
      </c>
      <c r="AL1320" s="117" t="n">
        <v>17</v>
      </c>
      <c r="AM1320" s="117" t="s">
        <v>225</v>
      </c>
      <c r="AP1320" s="117" t="n">
        <v>100277640</v>
      </c>
      <c r="AQ1320" s="118" t="n">
        <v>43890</v>
      </c>
      <c r="AR1320" s="118" t="n">
        <v>43891</v>
      </c>
      <c r="AS1320" s="117" t="n">
        <v>0.31943287037037</v>
      </c>
      <c r="AT1320" s="117" t="n">
        <v>0</v>
      </c>
      <c r="AU1320" s="117" t="n">
        <v>0</v>
      </c>
      <c r="AX1320" s="117" t="n">
        <v>31</v>
      </c>
    </row>
    <row r="1321" customFormat="false" ht="13.8" hidden="true" customHeight="false" outlineLevel="0" collapsed="false">
      <c r="A1321" s="117" t="n">
        <v>1000</v>
      </c>
      <c r="B1321" s="117" t="s">
        <v>1962</v>
      </c>
      <c r="C1321" s="117" t="n">
        <v>100277640</v>
      </c>
      <c r="E1321" s="117" t="s">
        <v>1921</v>
      </c>
      <c r="F1321" s="117" t="n">
        <v>1109</v>
      </c>
      <c r="G1321" s="117" t="n">
        <v>2019</v>
      </c>
      <c r="H1321" s="117" t="n">
        <v>11</v>
      </c>
      <c r="I1321" s="118" t="n">
        <v>43890</v>
      </c>
      <c r="J1321" s="118" t="n">
        <v>43890</v>
      </c>
      <c r="K1321" s="119" t="n">
        <v>64887.39</v>
      </c>
      <c r="L1321" s="128" t="n">
        <f aca="false">K1321-Q1321+T1321</f>
        <v>64887.39</v>
      </c>
      <c r="M1321" s="117" t="s">
        <v>149</v>
      </c>
      <c r="N1321" s="117" t="n">
        <v>64887.39</v>
      </c>
      <c r="O1321" s="117" t="s">
        <v>149</v>
      </c>
      <c r="P1321" s="117" t="n">
        <v>0</v>
      </c>
      <c r="Q1321" s="117" t="n">
        <v>0</v>
      </c>
      <c r="R1321" s="117" t="n">
        <v>64887.39</v>
      </c>
      <c r="S1321" s="117" t="n">
        <v>0</v>
      </c>
      <c r="T1321" s="117" t="n">
        <v>0</v>
      </c>
      <c r="U1321" s="117" t="n">
        <v>312193</v>
      </c>
      <c r="V1321" s="117" t="s">
        <v>1963</v>
      </c>
      <c r="X1321" s="117" t="s">
        <v>2483</v>
      </c>
      <c r="Z1321" s="117" t="n">
        <v>62805</v>
      </c>
      <c r="AB1321" s="117" t="s">
        <v>2477</v>
      </c>
      <c r="AD1321" s="117" t="n">
        <v>110000</v>
      </c>
      <c r="AE1321" s="117" t="s">
        <v>1966</v>
      </c>
      <c r="AF1321" s="117" t="n">
        <v>110000</v>
      </c>
      <c r="AG1321" s="117" t="s">
        <v>1966</v>
      </c>
      <c r="AI1321" s="117" t="n">
        <v>110000</v>
      </c>
      <c r="AJ1321" s="117" t="s">
        <v>1966</v>
      </c>
      <c r="AK1321" s="117" t="n">
        <v>0</v>
      </c>
      <c r="AL1321" s="117" t="n">
        <v>4</v>
      </c>
      <c r="AM1321" s="117" t="s">
        <v>161</v>
      </c>
      <c r="AR1321" s="118" t="n">
        <v>43891</v>
      </c>
      <c r="AS1321" s="117" t="n">
        <v>0.31943287037037</v>
      </c>
      <c r="AT1321" s="117" t="n">
        <v>0</v>
      </c>
      <c r="AU1321" s="117" t="n">
        <v>0</v>
      </c>
      <c r="AX1321" s="117" t="n">
        <v>8</v>
      </c>
    </row>
    <row r="1322" customFormat="false" ht="13.8" hidden="true" customHeight="false" outlineLevel="0" collapsed="false">
      <c r="A1322" s="117" t="n">
        <v>1000</v>
      </c>
      <c r="B1322" s="117" t="s">
        <v>1962</v>
      </c>
      <c r="C1322" s="117" t="n">
        <v>100277640</v>
      </c>
      <c r="E1322" s="117" t="s">
        <v>1921</v>
      </c>
      <c r="F1322" s="117" t="n">
        <v>1108</v>
      </c>
      <c r="G1322" s="117" t="n">
        <v>2019</v>
      </c>
      <c r="H1322" s="117" t="n">
        <v>11</v>
      </c>
      <c r="I1322" s="118" t="n">
        <v>43890</v>
      </c>
      <c r="J1322" s="118" t="n">
        <v>43890</v>
      </c>
      <c r="K1322" s="119" t="n">
        <v>821510.95</v>
      </c>
      <c r="L1322" s="128" t="n">
        <f aca="false">K1322-Q1322+T1322</f>
        <v>821510.95</v>
      </c>
      <c r="M1322" s="117" t="s">
        <v>149</v>
      </c>
      <c r="N1322" s="117" t="n">
        <v>821510.95</v>
      </c>
      <c r="O1322" s="117" t="s">
        <v>149</v>
      </c>
      <c r="P1322" s="117" t="n">
        <v>0</v>
      </c>
      <c r="Q1322" s="117" t="n">
        <v>0</v>
      </c>
      <c r="R1322" s="117" t="n">
        <v>821510.95</v>
      </c>
      <c r="S1322" s="117" t="n">
        <v>0</v>
      </c>
      <c r="T1322" s="117" t="n">
        <v>0</v>
      </c>
      <c r="U1322" s="117" t="n">
        <v>312193</v>
      </c>
      <c r="V1322" s="117" t="s">
        <v>1963</v>
      </c>
      <c r="X1322" s="117" t="s">
        <v>2622</v>
      </c>
      <c r="Z1322" s="117" t="n">
        <v>63736</v>
      </c>
      <c r="AB1322" s="117" t="s">
        <v>2109</v>
      </c>
      <c r="AD1322" s="117" t="n">
        <v>110000</v>
      </c>
      <c r="AE1322" s="117" t="s">
        <v>1966</v>
      </c>
      <c r="AF1322" s="117" t="n">
        <v>110000</v>
      </c>
      <c r="AG1322" s="117" t="s">
        <v>1966</v>
      </c>
      <c r="AI1322" s="117" t="n">
        <v>110000</v>
      </c>
      <c r="AJ1322" s="117" t="s">
        <v>1966</v>
      </c>
      <c r="AK1322" s="117" t="n">
        <v>0</v>
      </c>
      <c r="AL1322" s="117" t="n">
        <v>4</v>
      </c>
      <c r="AM1322" s="117" t="s">
        <v>161</v>
      </c>
      <c r="AR1322" s="118" t="n">
        <v>43891</v>
      </c>
      <c r="AS1322" s="117" t="n">
        <v>0.31943287037037</v>
      </c>
      <c r="AT1322" s="117" t="n">
        <v>0</v>
      </c>
      <c r="AU1322" s="117" t="n">
        <v>0</v>
      </c>
      <c r="AX1322" s="117" t="n">
        <v>24</v>
      </c>
    </row>
    <row r="1323" customFormat="false" ht="13.8" hidden="true" customHeight="false" outlineLevel="0" collapsed="false">
      <c r="A1323" s="117" t="n">
        <v>1000</v>
      </c>
      <c r="B1323" s="117" t="s">
        <v>1962</v>
      </c>
      <c r="C1323" s="117" t="n">
        <v>1400011401</v>
      </c>
      <c r="E1323" s="117" t="s">
        <v>1972</v>
      </c>
      <c r="G1323" s="117" t="n">
        <v>2019</v>
      </c>
      <c r="H1323" s="117" t="n">
        <v>11</v>
      </c>
      <c r="I1323" s="118" t="n">
        <v>43888</v>
      </c>
      <c r="J1323" s="118" t="n">
        <v>43888</v>
      </c>
      <c r="K1323" s="119" t="n">
        <v>-423929.84</v>
      </c>
      <c r="L1323" s="128" t="n">
        <f aca="false">K1323-Q1323+T1323</f>
        <v>-423929.84</v>
      </c>
      <c r="M1323" s="117" t="s">
        <v>149</v>
      </c>
      <c r="N1323" s="117" t="n">
        <v>-423929.84</v>
      </c>
      <c r="O1323" s="117" t="s">
        <v>149</v>
      </c>
      <c r="P1323" s="117" t="n">
        <v>0</v>
      </c>
      <c r="Q1323" s="117" t="n">
        <v>0</v>
      </c>
      <c r="R1323" s="117" t="n">
        <v>-423929.84</v>
      </c>
      <c r="S1323" s="117" t="n">
        <v>0</v>
      </c>
      <c r="T1323" s="117" t="n">
        <v>0</v>
      </c>
      <c r="U1323" s="117" t="n">
        <v>310187</v>
      </c>
      <c r="V1323" s="117" t="s">
        <v>2394</v>
      </c>
      <c r="X1323" s="117" t="s">
        <v>2661</v>
      </c>
      <c r="Y1323" s="117" t="s">
        <v>2662</v>
      </c>
      <c r="Z1323" s="117" t="n">
        <v>1400011401</v>
      </c>
      <c r="AC1323" s="117" t="s">
        <v>1976</v>
      </c>
      <c r="AD1323" s="117" t="n">
        <v>310300</v>
      </c>
      <c r="AE1323" s="117" t="s">
        <v>1969</v>
      </c>
      <c r="AF1323" s="117" t="n">
        <v>101105</v>
      </c>
      <c r="AG1323" s="117" t="s">
        <v>1977</v>
      </c>
      <c r="AI1323" s="117" t="n">
        <v>101105</v>
      </c>
      <c r="AJ1323" s="117" t="s">
        <v>1977</v>
      </c>
      <c r="AK1323" s="117" t="n">
        <v>0</v>
      </c>
      <c r="AL1323" s="117" t="n">
        <v>19</v>
      </c>
      <c r="AM1323" s="117" t="s">
        <v>225</v>
      </c>
      <c r="AN1323" s="117" t="s">
        <v>1978</v>
      </c>
      <c r="AP1323" s="117" t="n">
        <v>100277614</v>
      </c>
      <c r="AQ1323" s="118" t="n">
        <v>43890</v>
      </c>
      <c r="AR1323" s="118" t="n">
        <v>43889</v>
      </c>
      <c r="AS1323" s="117" t="n">
        <v>0.706875</v>
      </c>
      <c r="AT1323" s="117" t="n">
        <v>0</v>
      </c>
      <c r="AU1323" s="117" t="n">
        <v>0</v>
      </c>
      <c r="AX1323" s="117" t="n">
        <v>2</v>
      </c>
    </row>
    <row r="1324" customFormat="false" ht="13.8" hidden="true" customHeight="false" outlineLevel="0" collapsed="false">
      <c r="A1324" s="117" t="n">
        <v>1000</v>
      </c>
      <c r="B1324" s="117" t="s">
        <v>1962</v>
      </c>
      <c r="C1324" s="117" t="n">
        <v>100277640</v>
      </c>
      <c r="E1324" s="117" t="s">
        <v>1921</v>
      </c>
      <c r="F1324" s="117" t="n">
        <v>1109</v>
      </c>
      <c r="G1324" s="117" t="n">
        <v>2019</v>
      </c>
      <c r="H1324" s="117" t="n">
        <v>11</v>
      </c>
      <c r="I1324" s="118" t="n">
        <v>43890</v>
      </c>
      <c r="J1324" s="118" t="n">
        <v>43890</v>
      </c>
      <c r="K1324" s="119" t="n">
        <v>252860.02</v>
      </c>
      <c r="L1324" s="128" t="n">
        <f aca="false">K1324-Q1324+T1324</f>
        <v>252860.02</v>
      </c>
      <c r="M1324" s="117" t="s">
        <v>149</v>
      </c>
      <c r="N1324" s="117" t="n">
        <v>252860.02</v>
      </c>
      <c r="O1324" s="117" t="s">
        <v>149</v>
      </c>
      <c r="P1324" s="117" t="n">
        <v>0</v>
      </c>
      <c r="Q1324" s="117" t="n">
        <v>0</v>
      </c>
      <c r="R1324" s="117" t="n">
        <v>252860.02</v>
      </c>
      <c r="S1324" s="117" t="n">
        <v>0</v>
      </c>
      <c r="T1324" s="117" t="n">
        <v>0</v>
      </c>
      <c r="U1324" s="117" t="n">
        <v>312193</v>
      </c>
      <c r="V1324" s="117" t="s">
        <v>1963</v>
      </c>
      <c r="X1324" s="117" t="s">
        <v>2507</v>
      </c>
      <c r="Z1324" s="117" t="n">
        <v>62805</v>
      </c>
      <c r="AB1324" s="117" t="s">
        <v>2477</v>
      </c>
      <c r="AD1324" s="117" t="n">
        <v>110000</v>
      </c>
      <c r="AE1324" s="117" t="s">
        <v>1966</v>
      </c>
      <c r="AF1324" s="117" t="n">
        <v>110000</v>
      </c>
      <c r="AG1324" s="117" t="s">
        <v>1966</v>
      </c>
      <c r="AI1324" s="117" t="n">
        <v>110000</v>
      </c>
      <c r="AJ1324" s="117" t="s">
        <v>1966</v>
      </c>
      <c r="AK1324" s="117" t="n">
        <v>0</v>
      </c>
      <c r="AL1324" s="117" t="n">
        <v>4</v>
      </c>
      <c r="AM1324" s="117" t="s">
        <v>161</v>
      </c>
      <c r="AR1324" s="118" t="n">
        <v>43891</v>
      </c>
      <c r="AS1324" s="117" t="n">
        <v>0.31943287037037</v>
      </c>
      <c r="AT1324" s="117" t="n">
        <v>0</v>
      </c>
      <c r="AU1324" s="117" t="n">
        <v>0</v>
      </c>
      <c r="AX1324" s="117" t="n">
        <v>14</v>
      </c>
    </row>
    <row r="1325" s="106" customFormat="true" ht="13.8" hidden="true" customHeight="false" outlineLevel="0" collapsed="false">
      <c r="A1325" s="106" t="n">
        <v>1000</v>
      </c>
      <c r="B1325" s="106" t="s">
        <v>1962</v>
      </c>
      <c r="C1325" s="106" t="n">
        <v>113885</v>
      </c>
      <c r="D1325" s="106" t="n">
        <v>95004894</v>
      </c>
      <c r="E1325" s="106" t="s">
        <v>1970</v>
      </c>
      <c r="F1325" s="106" t="n">
        <v>1109</v>
      </c>
      <c r="G1325" s="106" t="n">
        <v>2019</v>
      </c>
      <c r="H1325" s="106" t="n">
        <v>12</v>
      </c>
      <c r="I1325" s="129" t="n">
        <v>43903</v>
      </c>
      <c r="J1325" s="129" t="n">
        <v>43903</v>
      </c>
      <c r="K1325" s="107" t="n">
        <v>129302.32</v>
      </c>
      <c r="L1325" s="130" t="n">
        <f aca="false">K1325-Q1325+T1325</f>
        <v>109578.24</v>
      </c>
      <c r="M1325" s="106" t="s">
        <v>149</v>
      </c>
      <c r="N1325" s="107" t="n">
        <v>129302.32</v>
      </c>
      <c r="O1325" s="106" t="s">
        <v>149</v>
      </c>
      <c r="P1325" s="106" t="n">
        <v>0</v>
      </c>
      <c r="Q1325" s="107" t="n">
        <v>19724.08</v>
      </c>
      <c r="R1325" s="107" t="n">
        <v>109578.24</v>
      </c>
      <c r="S1325" s="106" t="n">
        <v>0</v>
      </c>
      <c r="T1325" s="106" t="n">
        <v>0</v>
      </c>
      <c r="U1325" s="106" t="n">
        <v>312193</v>
      </c>
      <c r="V1325" s="106" t="s">
        <v>1963</v>
      </c>
      <c r="Z1325" s="106" t="n">
        <v>2495</v>
      </c>
      <c r="AB1325" s="106" t="s">
        <v>2663</v>
      </c>
      <c r="AD1325" s="106" t="n">
        <v>110000</v>
      </c>
      <c r="AE1325" s="106" t="s">
        <v>1966</v>
      </c>
      <c r="AF1325" s="106" t="n">
        <v>501020</v>
      </c>
      <c r="AG1325" s="106" t="s">
        <v>1971</v>
      </c>
      <c r="AI1325" s="106" t="n">
        <v>501020</v>
      </c>
      <c r="AJ1325" s="106" t="s">
        <v>1971</v>
      </c>
      <c r="AK1325" s="106" t="n">
        <v>0</v>
      </c>
      <c r="AL1325" s="106" t="n">
        <v>1</v>
      </c>
      <c r="AM1325" s="106" t="s">
        <v>161</v>
      </c>
      <c r="AQ1325" s="129"/>
      <c r="AR1325" s="129" t="n">
        <v>43903</v>
      </c>
      <c r="AS1325" s="106" t="n">
        <v>0.486111111111111</v>
      </c>
      <c r="AT1325" s="106" t="n">
        <v>0</v>
      </c>
      <c r="AU1325" s="106" t="n">
        <v>0</v>
      </c>
      <c r="AW1325" s="106" t="n">
        <v>0</v>
      </c>
      <c r="AX1325" s="106" t="n">
        <v>1</v>
      </c>
      <c r="ALU1325" s="0"/>
      <c r="ALV1325" s="0"/>
      <c r="ALW1325" s="0"/>
      <c r="ALX1325" s="0"/>
      <c r="ALY1325" s="0"/>
      <c r="ALZ1325" s="0"/>
      <c r="AMA1325" s="0"/>
      <c r="AMB1325" s="0"/>
      <c r="AMC1325" s="0"/>
      <c r="AMD1325" s="0"/>
      <c r="AME1325" s="0"/>
      <c r="AMF1325" s="0"/>
      <c r="AMG1325" s="0"/>
      <c r="AMH1325" s="0"/>
      <c r="AMI1325" s="0"/>
      <c r="AMJ1325" s="0"/>
    </row>
    <row r="1326" customFormat="false" ht="13.8" hidden="true" customHeight="false" outlineLevel="0" collapsed="false">
      <c r="A1326" s="117" t="n">
        <v>1000</v>
      </c>
      <c r="B1326" s="117" t="s">
        <v>1962</v>
      </c>
      <c r="C1326" s="117" t="n">
        <v>100277614</v>
      </c>
      <c r="E1326" s="117" t="s">
        <v>1921</v>
      </c>
      <c r="F1326" s="117" t="n">
        <v>1109</v>
      </c>
      <c r="G1326" s="117" t="n">
        <v>2019</v>
      </c>
      <c r="H1326" s="117" t="n">
        <v>11</v>
      </c>
      <c r="I1326" s="118" t="n">
        <v>43890</v>
      </c>
      <c r="J1326" s="118" t="n">
        <v>43890</v>
      </c>
      <c r="K1326" s="119" t="n">
        <v>-423929.84</v>
      </c>
      <c r="L1326" s="128" t="n">
        <f aca="false">K1326-Q1326+T1326</f>
        <v>-423929.84</v>
      </c>
      <c r="M1326" s="117" t="s">
        <v>149</v>
      </c>
      <c r="N1326" s="117" t="n">
        <v>-423929.84</v>
      </c>
      <c r="O1326" s="117" t="s">
        <v>149</v>
      </c>
      <c r="P1326" s="117" t="n">
        <v>0</v>
      </c>
      <c r="Q1326" s="117" t="n">
        <v>0</v>
      </c>
      <c r="R1326" s="117" t="n">
        <v>-423929.84</v>
      </c>
      <c r="S1326" s="117" t="n">
        <v>0</v>
      </c>
      <c r="T1326" s="117" t="n">
        <v>0</v>
      </c>
      <c r="U1326" s="117" t="n">
        <v>310187</v>
      </c>
      <c r="V1326" s="117" t="s">
        <v>2394</v>
      </c>
      <c r="Z1326" s="117" t="n">
        <v>100277614</v>
      </c>
      <c r="AD1326" s="117" t="n">
        <v>110000</v>
      </c>
      <c r="AE1326" s="117" t="s">
        <v>1966</v>
      </c>
      <c r="AF1326" s="117" t="n">
        <v>310300</v>
      </c>
      <c r="AG1326" s="117" t="s">
        <v>1969</v>
      </c>
      <c r="AI1326" s="117" t="n">
        <v>310300</v>
      </c>
      <c r="AJ1326" s="117" t="s">
        <v>1969</v>
      </c>
      <c r="AK1326" s="117" t="n">
        <v>0</v>
      </c>
      <c r="AL1326" s="117" t="n">
        <v>17</v>
      </c>
      <c r="AM1326" s="117" t="s">
        <v>225</v>
      </c>
      <c r="AP1326" s="117" t="n">
        <v>100277614</v>
      </c>
      <c r="AQ1326" s="118" t="n">
        <v>43890</v>
      </c>
      <c r="AR1326" s="118" t="n">
        <v>43891</v>
      </c>
      <c r="AS1326" s="117" t="n">
        <v>0.298425925925926</v>
      </c>
      <c r="AT1326" s="117" t="n">
        <v>0</v>
      </c>
      <c r="AU1326" s="117" t="n">
        <v>0</v>
      </c>
      <c r="AX1326" s="117" t="n">
        <v>1</v>
      </c>
    </row>
    <row r="1327" s="106" customFormat="true" ht="13.8" hidden="true" customHeight="false" outlineLevel="0" collapsed="false">
      <c r="A1327" s="106" t="n">
        <v>1000</v>
      </c>
      <c r="B1327" s="106" t="s">
        <v>1962</v>
      </c>
      <c r="C1327" s="106" t="n">
        <v>109607</v>
      </c>
      <c r="D1327" s="106" t="s">
        <v>1485</v>
      </c>
      <c r="E1327" s="106" t="s">
        <v>1970</v>
      </c>
      <c r="F1327" s="106" t="n">
        <v>1109</v>
      </c>
      <c r="G1327" s="106" t="n">
        <v>2019</v>
      </c>
      <c r="H1327" s="106" t="n">
        <v>8</v>
      </c>
      <c r="I1327" s="129" t="n">
        <v>43798</v>
      </c>
      <c r="J1327" s="129" t="n">
        <v>43798</v>
      </c>
      <c r="K1327" s="107" t="n">
        <v>130106.8</v>
      </c>
      <c r="L1327" s="130" t="n">
        <f aca="false">K1327-Q1327+T1327</f>
        <v>110260</v>
      </c>
      <c r="M1327" s="106" t="s">
        <v>149</v>
      </c>
      <c r="N1327" s="106" t="n">
        <v>130106.8</v>
      </c>
      <c r="O1327" s="106" t="s">
        <v>149</v>
      </c>
      <c r="P1327" s="106" t="n">
        <v>0</v>
      </c>
      <c r="Q1327" s="107" t="n">
        <v>19846.8</v>
      </c>
      <c r="R1327" s="106" t="n">
        <v>110260</v>
      </c>
      <c r="S1327" s="106" t="n">
        <v>0</v>
      </c>
      <c r="T1327" s="106" t="n">
        <v>0</v>
      </c>
      <c r="U1327" s="106" t="n">
        <v>315113</v>
      </c>
      <c r="V1327" s="106" t="s">
        <v>143</v>
      </c>
      <c r="Z1327" s="106" t="n">
        <v>2511</v>
      </c>
      <c r="AB1327" s="106" t="s">
        <v>2373</v>
      </c>
      <c r="AD1327" s="106" t="n">
        <v>110000</v>
      </c>
      <c r="AE1327" s="106" t="s">
        <v>1966</v>
      </c>
      <c r="AF1327" s="106" t="n">
        <v>501020</v>
      </c>
      <c r="AG1327" s="106" t="s">
        <v>1971</v>
      </c>
      <c r="AI1327" s="106" t="n">
        <v>501020</v>
      </c>
      <c r="AJ1327" s="106" t="s">
        <v>1971</v>
      </c>
      <c r="AK1327" s="106" t="n">
        <v>0</v>
      </c>
      <c r="AL1327" s="106" t="n">
        <v>1</v>
      </c>
      <c r="AM1327" s="106" t="s">
        <v>161</v>
      </c>
      <c r="AP1327" s="106" t="n">
        <v>100173568</v>
      </c>
      <c r="AQ1327" s="129" t="n">
        <v>43799</v>
      </c>
      <c r="AR1327" s="129" t="n">
        <v>43798</v>
      </c>
      <c r="AS1327" s="106" t="n">
        <v>0.59162037037037</v>
      </c>
      <c r="AT1327" s="106" t="n">
        <v>0</v>
      </c>
      <c r="AU1327" s="106" t="n">
        <v>0</v>
      </c>
      <c r="AX1327" s="106" t="n">
        <v>1</v>
      </c>
      <c r="ALU1327" s="0"/>
      <c r="ALV1327" s="0"/>
      <c r="ALW1327" s="0"/>
      <c r="ALX1327" s="0"/>
      <c r="ALY1327" s="0"/>
      <c r="ALZ1327" s="0"/>
      <c r="AMA1327" s="0"/>
      <c r="AMB1327" s="0"/>
      <c r="AMC1327" s="0"/>
      <c r="AMD1327" s="0"/>
      <c r="AME1327" s="0"/>
      <c r="AMF1327" s="0"/>
      <c r="AMG1327" s="0"/>
      <c r="AMH1327" s="0"/>
      <c r="AMI1327" s="0"/>
      <c r="AMJ1327" s="0"/>
    </row>
    <row r="1328" customFormat="false" ht="13.8" hidden="true" customHeight="false" outlineLevel="0" collapsed="false">
      <c r="A1328" s="117" t="n">
        <v>1000</v>
      </c>
      <c r="B1328" s="117" t="s">
        <v>1962</v>
      </c>
      <c r="C1328" s="117" t="n">
        <v>100277640</v>
      </c>
      <c r="E1328" s="117" t="s">
        <v>1921</v>
      </c>
      <c r="F1328" s="117" t="n">
        <v>1109</v>
      </c>
      <c r="G1328" s="117" t="n">
        <v>2019</v>
      </c>
      <c r="H1328" s="117" t="n">
        <v>11</v>
      </c>
      <c r="I1328" s="118" t="n">
        <v>43890</v>
      </c>
      <c r="J1328" s="118" t="n">
        <v>43890</v>
      </c>
      <c r="K1328" s="119" t="n">
        <v>1244587.36</v>
      </c>
      <c r="L1328" s="128" t="n">
        <f aca="false">K1328-Q1328+T1328</f>
        <v>1244587.36</v>
      </c>
      <c r="M1328" s="117" t="s">
        <v>149</v>
      </c>
      <c r="N1328" s="117" t="n">
        <v>1244587.36</v>
      </c>
      <c r="O1328" s="117" t="s">
        <v>149</v>
      </c>
      <c r="P1328" s="117" t="n">
        <v>0</v>
      </c>
      <c r="Q1328" s="117" t="n">
        <v>0</v>
      </c>
      <c r="R1328" s="117" t="n">
        <v>1244587.36</v>
      </c>
      <c r="S1328" s="117" t="n">
        <v>0</v>
      </c>
      <c r="T1328" s="117" t="n">
        <v>0</v>
      </c>
      <c r="U1328" s="117" t="n">
        <v>312193</v>
      </c>
      <c r="V1328" s="117" t="s">
        <v>1963</v>
      </c>
      <c r="X1328" s="117" t="s">
        <v>2468</v>
      </c>
      <c r="Z1328" s="117" t="n">
        <v>63775</v>
      </c>
      <c r="AB1328" s="117" t="s">
        <v>2469</v>
      </c>
      <c r="AD1328" s="117" t="n">
        <v>110000</v>
      </c>
      <c r="AE1328" s="117" t="s">
        <v>1966</v>
      </c>
      <c r="AF1328" s="117" t="n">
        <v>110000</v>
      </c>
      <c r="AG1328" s="117" t="s">
        <v>1966</v>
      </c>
      <c r="AI1328" s="117" t="n">
        <v>110000</v>
      </c>
      <c r="AJ1328" s="117" t="s">
        <v>1966</v>
      </c>
      <c r="AK1328" s="117" t="n">
        <v>0</v>
      </c>
      <c r="AL1328" s="117" t="n">
        <v>4</v>
      </c>
      <c r="AM1328" s="117" t="s">
        <v>161</v>
      </c>
      <c r="AR1328" s="118" t="n">
        <v>43891</v>
      </c>
      <c r="AS1328" s="117" t="n">
        <v>0.31943287037037</v>
      </c>
      <c r="AT1328" s="117" t="n">
        <v>0</v>
      </c>
      <c r="AU1328" s="117" t="n">
        <v>0</v>
      </c>
      <c r="AX1328" s="117" t="n">
        <v>4</v>
      </c>
    </row>
    <row r="1329" customFormat="false" ht="13.8" hidden="true" customHeight="false" outlineLevel="0" collapsed="false">
      <c r="A1329" s="117" t="n">
        <v>1000</v>
      </c>
      <c r="B1329" s="117" t="s">
        <v>1962</v>
      </c>
      <c r="C1329" s="117" t="n">
        <v>100277640</v>
      </c>
      <c r="E1329" s="117" t="s">
        <v>1921</v>
      </c>
      <c r="F1329" s="117" t="n">
        <v>1108</v>
      </c>
      <c r="G1329" s="117" t="n">
        <v>2019</v>
      </c>
      <c r="H1329" s="117" t="n">
        <v>11</v>
      </c>
      <c r="I1329" s="118" t="n">
        <v>43890</v>
      </c>
      <c r="J1329" s="118" t="n">
        <v>43890</v>
      </c>
      <c r="K1329" s="119" t="n">
        <v>608837.69</v>
      </c>
      <c r="L1329" s="128" t="n">
        <f aca="false">K1329-Q1329+T1329</f>
        <v>608837.69</v>
      </c>
      <c r="M1329" s="117" t="s">
        <v>149</v>
      </c>
      <c r="N1329" s="117" t="n">
        <v>608837.69</v>
      </c>
      <c r="O1329" s="117" t="s">
        <v>149</v>
      </c>
      <c r="P1329" s="117" t="n">
        <v>0</v>
      </c>
      <c r="Q1329" s="117" t="n">
        <v>0</v>
      </c>
      <c r="R1329" s="117" t="n">
        <v>608837.69</v>
      </c>
      <c r="S1329" s="117" t="n">
        <v>0</v>
      </c>
      <c r="T1329" s="117" t="n">
        <v>0</v>
      </c>
      <c r="U1329" s="117" t="n">
        <v>312193</v>
      </c>
      <c r="V1329" s="117" t="s">
        <v>1963</v>
      </c>
      <c r="X1329" s="117" t="s">
        <v>2664</v>
      </c>
      <c r="Z1329" s="117" t="n">
        <v>63737</v>
      </c>
      <c r="AB1329" s="117" t="s">
        <v>2109</v>
      </c>
      <c r="AD1329" s="117" t="n">
        <v>110000</v>
      </c>
      <c r="AE1329" s="117" t="s">
        <v>1966</v>
      </c>
      <c r="AF1329" s="117" t="n">
        <v>110000</v>
      </c>
      <c r="AG1329" s="117" t="s">
        <v>1966</v>
      </c>
      <c r="AI1329" s="117" t="n">
        <v>110000</v>
      </c>
      <c r="AJ1329" s="117" t="s">
        <v>1966</v>
      </c>
      <c r="AK1329" s="117" t="n">
        <v>0</v>
      </c>
      <c r="AL1329" s="117" t="n">
        <v>4</v>
      </c>
      <c r="AM1329" s="117" t="s">
        <v>161</v>
      </c>
      <c r="AR1329" s="118" t="n">
        <v>43891</v>
      </c>
      <c r="AS1329" s="117" t="n">
        <v>0.31943287037037</v>
      </c>
      <c r="AT1329" s="117" t="n">
        <v>0</v>
      </c>
      <c r="AU1329" s="117" t="n">
        <v>0</v>
      </c>
      <c r="AX1329" s="117" t="n">
        <v>26</v>
      </c>
    </row>
    <row r="1330" customFormat="false" ht="13.8" hidden="true" customHeight="false" outlineLevel="0" collapsed="false">
      <c r="A1330" s="117" t="n">
        <v>1000</v>
      </c>
      <c r="B1330" s="117" t="s">
        <v>1962</v>
      </c>
      <c r="C1330" s="117" t="n">
        <v>100277640</v>
      </c>
      <c r="E1330" s="117" t="s">
        <v>1921</v>
      </c>
      <c r="F1330" s="117" t="n">
        <v>1109</v>
      </c>
      <c r="G1330" s="117" t="n">
        <v>2019</v>
      </c>
      <c r="H1330" s="117" t="n">
        <v>11</v>
      </c>
      <c r="I1330" s="118" t="n">
        <v>43890</v>
      </c>
      <c r="J1330" s="118" t="n">
        <v>43890</v>
      </c>
      <c r="K1330" s="119" t="n">
        <v>407000.88</v>
      </c>
      <c r="L1330" s="128" t="n">
        <f aca="false">K1330-Q1330+T1330</f>
        <v>407000.88</v>
      </c>
      <c r="M1330" s="117" t="s">
        <v>149</v>
      </c>
      <c r="N1330" s="117" t="n">
        <v>407000.88</v>
      </c>
      <c r="O1330" s="117" t="s">
        <v>149</v>
      </c>
      <c r="P1330" s="117" t="n">
        <v>0</v>
      </c>
      <c r="Q1330" s="117" t="n">
        <v>0</v>
      </c>
      <c r="R1330" s="117" t="n">
        <v>407000.88</v>
      </c>
      <c r="S1330" s="117" t="n">
        <v>0</v>
      </c>
      <c r="T1330" s="117" t="n">
        <v>0</v>
      </c>
      <c r="U1330" s="117" t="n">
        <v>312193</v>
      </c>
      <c r="V1330" s="117" t="s">
        <v>1963</v>
      </c>
      <c r="X1330" s="117" t="s">
        <v>2478</v>
      </c>
      <c r="Z1330" s="117" t="n">
        <v>62805</v>
      </c>
      <c r="AB1330" s="117" t="s">
        <v>2477</v>
      </c>
      <c r="AD1330" s="117" t="n">
        <v>110000</v>
      </c>
      <c r="AE1330" s="117" t="s">
        <v>1966</v>
      </c>
      <c r="AF1330" s="117" t="n">
        <v>110000</v>
      </c>
      <c r="AG1330" s="117" t="s">
        <v>1966</v>
      </c>
      <c r="AI1330" s="117" t="n">
        <v>110000</v>
      </c>
      <c r="AJ1330" s="117" t="s">
        <v>1966</v>
      </c>
      <c r="AK1330" s="117" t="n">
        <v>0</v>
      </c>
      <c r="AL1330" s="117" t="n">
        <v>4</v>
      </c>
      <c r="AM1330" s="117" t="s">
        <v>161</v>
      </c>
      <c r="AR1330" s="118" t="n">
        <v>43891</v>
      </c>
      <c r="AS1330" s="117" t="n">
        <v>0.31943287037037</v>
      </c>
      <c r="AT1330" s="117" t="n">
        <v>0</v>
      </c>
      <c r="AU1330" s="117" t="n">
        <v>0</v>
      </c>
      <c r="AX1330" s="117" t="n">
        <v>7</v>
      </c>
    </row>
    <row r="1331" customFormat="false" ht="13.8" hidden="true" customHeight="false" outlineLevel="0" collapsed="false">
      <c r="A1331" s="117" t="n">
        <v>1000</v>
      </c>
      <c r="B1331" s="117" t="s">
        <v>1962</v>
      </c>
      <c r="C1331" s="117" t="n">
        <v>100277640</v>
      </c>
      <c r="E1331" s="117" t="s">
        <v>1921</v>
      </c>
      <c r="F1331" s="117" t="n">
        <v>1108</v>
      </c>
      <c r="G1331" s="117" t="n">
        <v>2019</v>
      </c>
      <c r="H1331" s="117" t="n">
        <v>11</v>
      </c>
      <c r="I1331" s="118" t="n">
        <v>43890</v>
      </c>
      <c r="J1331" s="118" t="n">
        <v>43890</v>
      </c>
      <c r="K1331" s="119" t="n">
        <v>1956388.51</v>
      </c>
      <c r="L1331" s="128" t="n">
        <f aca="false">K1331-Q1331+T1331</f>
        <v>1956388.51</v>
      </c>
      <c r="M1331" s="117" t="s">
        <v>149</v>
      </c>
      <c r="N1331" s="117" t="n">
        <v>1956388.51</v>
      </c>
      <c r="O1331" s="117" t="s">
        <v>149</v>
      </c>
      <c r="P1331" s="117" t="n">
        <v>0</v>
      </c>
      <c r="Q1331" s="117" t="n">
        <v>0</v>
      </c>
      <c r="R1331" s="117" t="n">
        <v>1956388.51</v>
      </c>
      <c r="S1331" s="117" t="n">
        <v>0</v>
      </c>
      <c r="T1331" s="117" t="n">
        <v>0</v>
      </c>
      <c r="U1331" s="117" t="n">
        <v>312193</v>
      </c>
      <c r="V1331" s="117" t="s">
        <v>1963</v>
      </c>
      <c r="X1331" s="117" t="s">
        <v>2649</v>
      </c>
      <c r="Z1331" s="117" t="n">
        <v>63735</v>
      </c>
      <c r="AB1331" s="117" t="s">
        <v>2109</v>
      </c>
      <c r="AD1331" s="117" t="n">
        <v>110000</v>
      </c>
      <c r="AE1331" s="117" t="s">
        <v>1966</v>
      </c>
      <c r="AF1331" s="117" t="n">
        <v>110000</v>
      </c>
      <c r="AG1331" s="117" t="s">
        <v>1966</v>
      </c>
      <c r="AI1331" s="117" t="n">
        <v>110000</v>
      </c>
      <c r="AJ1331" s="117" t="s">
        <v>1966</v>
      </c>
      <c r="AK1331" s="117" t="n">
        <v>0</v>
      </c>
      <c r="AL1331" s="117" t="n">
        <v>4</v>
      </c>
      <c r="AM1331" s="117" t="s">
        <v>161</v>
      </c>
      <c r="AR1331" s="118" t="n">
        <v>43891</v>
      </c>
      <c r="AS1331" s="117" t="n">
        <v>0.31943287037037</v>
      </c>
      <c r="AT1331" s="117" t="n">
        <v>0</v>
      </c>
      <c r="AU1331" s="117" t="n">
        <v>0</v>
      </c>
      <c r="AX1331" s="117" t="n">
        <v>21</v>
      </c>
    </row>
    <row r="1332" customFormat="false" ht="13.8" hidden="true" customHeight="false" outlineLevel="0" collapsed="false">
      <c r="A1332" s="117" t="n">
        <v>1000</v>
      </c>
      <c r="B1332" s="117" t="s">
        <v>1962</v>
      </c>
      <c r="C1332" s="117" t="n">
        <v>100277640</v>
      </c>
      <c r="E1332" s="117" t="s">
        <v>1921</v>
      </c>
      <c r="F1332" s="117" t="n">
        <v>1109</v>
      </c>
      <c r="G1332" s="117" t="n">
        <v>2019</v>
      </c>
      <c r="H1332" s="117" t="n">
        <v>11</v>
      </c>
      <c r="I1332" s="118" t="n">
        <v>43890</v>
      </c>
      <c r="J1332" s="118" t="n">
        <v>43890</v>
      </c>
      <c r="K1332" s="119" t="n">
        <v>797495.35</v>
      </c>
      <c r="L1332" s="128" t="n">
        <f aca="false">K1332-Q1332+T1332</f>
        <v>797495.35</v>
      </c>
      <c r="M1332" s="117" t="s">
        <v>149</v>
      </c>
      <c r="N1332" s="117" t="n">
        <v>797495.35</v>
      </c>
      <c r="O1332" s="117" t="s">
        <v>149</v>
      </c>
      <c r="P1332" s="117" t="n">
        <v>0</v>
      </c>
      <c r="Q1332" s="117" t="n">
        <v>0</v>
      </c>
      <c r="R1332" s="117" t="n">
        <v>797495.35</v>
      </c>
      <c r="S1332" s="117" t="n">
        <v>0</v>
      </c>
      <c r="T1332" s="117" t="n">
        <v>0</v>
      </c>
      <c r="U1332" s="117" t="n">
        <v>312193</v>
      </c>
      <c r="V1332" s="117" t="s">
        <v>1963</v>
      </c>
      <c r="X1332" s="117" t="s">
        <v>2579</v>
      </c>
      <c r="Z1332" s="117" t="n">
        <v>2495</v>
      </c>
      <c r="AB1332" s="117" t="s">
        <v>2451</v>
      </c>
      <c r="AD1332" s="117" t="n">
        <v>110000</v>
      </c>
      <c r="AE1332" s="117" t="s">
        <v>1966</v>
      </c>
      <c r="AF1332" s="117" t="n">
        <v>110000</v>
      </c>
      <c r="AG1332" s="117" t="s">
        <v>1966</v>
      </c>
      <c r="AI1332" s="117" t="n">
        <v>110000</v>
      </c>
      <c r="AJ1332" s="117" t="s">
        <v>1966</v>
      </c>
      <c r="AK1332" s="117" t="n">
        <v>0</v>
      </c>
      <c r="AL1332" s="117" t="n">
        <v>4</v>
      </c>
      <c r="AM1332" s="117" t="s">
        <v>161</v>
      </c>
      <c r="AR1332" s="118" t="n">
        <v>43891</v>
      </c>
      <c r="AS1332" s="117" t="n">
        <v>0.31943287037037</v>
      </c>
      <c r="AT1332" s="117" t="n">
        <v>0</v>
      </c>
      <c r="AU1332" s="117" t="n">
        <v>0</v>
      </c>
      <c r="AX1332" s="117" t="n">
        <v>2</v>
      </c>
    </row>
    <row r="1333" customFormat="false" ht="13.8" hidden="true" customHeight="false" outlineLevel="0" collapsed="false">
      <c r="A1333" s="117" t="n">
        <v>1000</v>
      </c>
      <c r="B1333" s="117" t="s">
        <v>1962</v>
      </c>
      <c r="C1333" s="117" t="n">
        <v>100277640</v>
      </c>
      <c r="E1333" s="117" t="s">
        <v>1921</v>
      </c>
      <c r="F1333" s="117" t="n">
        <v>1108</v>
      </c>
      <c r="G1333" s="117" t="n">
        <v>2019</v>
      </c>
      <c r="H1333" s="117" t="n">
        <v>11</v>
      </c>
      <c r="I1333" s="118" t="n">
        <v>43890</v>
      </c>
      <c r="J1333" s="118" t="n">
        <v>43890</v>
      </c>
      <c r="K1333" s="119" t="n">
        <v>-8924856.05</v>
      </c>
      <c r="L1333" s="128" t="n">
        <f aca="false">K1333-Q1333+T1333</f>
        <v>-8924856.05</v>
      </c>
      <c r="M1333" s="117" t="s">
        <v>149</v>
      </c>
      <c r="N1333" s="117" t="n">
        <v>-8924856.05</v>
      </c>
      <c r="O1333" s="117" t="s">
        <v>149</v>
      </c>
      <c r="P1333" s="117" t="n">
        <v>0</v>
      </c>
      <c r="Q1333" s="117" t="n">
        <v>0</v>
      </c>
      <c r="R1333" s="117" t="n">
        <v>-8924856.05</v>
      </c>
      <c r="S1333" s="117" t="n">
        <v>0</v>
      </c>
      <c r="T1333" s="117" t="n">
        <v>0</v>
      </c>
      <c r="U1333" s="117" t="n">
        <v>312193</v>
      </c>
      <c r="V1333" s="117" t="s">
        <v>1963</v>
      </c>
      <c r="Z1333" s="117" t="n">
        <v>100277640</v>
      </c>
      <c r="AD1333" s="117" t="n">
        <v>110000</v>
      </c>
      <c r="AE1333" s="117" t="s">
        <v>1966</v>
      </c>
      <c r="AF1333" s="117" t="n">
        <v>110000</v>
      </c>
      <c r="AG1333" s="117" t="s">
        <v>1966</v>
      </c>
      <c r="AI1333" s="117" t="n">
        <v>110000</v>
      </c>
      <c r="AJ1333" s="117" t="s">
        <v>1966</v>
      </c>
      <c r="AK1333" s="117" t="n">
        <v>0</v>
      </c>
      <c r="AL1333" s="117" t="n">
        <v>17</v>
      </c>
      <c r="AM1333" s="117" t="s">
        <v>225</v>
      </c>
      <c r="AP1333" s="117" t="n">
        <v>100277640</v>
      </c>
      <c r="AQ1333" s="118" t="n">
        <v>43890</v>
      </c>
      <c r="AR1333" s="118" t="n">
        <v>43891</v>
      </c>
      <c r="AS1333" s="117" t="n">
        <v>0.31943287037037</v>
      </c>
      <c r="AT1333" s="117" t="n">
        <v>0</v>
      </c>
      <c r="AU1333" s="117" t="n">
        <v>0</v>
      </c>
      <c r="AX1333" s="117" t="n">
        <v>29</v>
      </c>
    </row>
    <row r="1334" customFormat="false" ht="13.8" hidden="true" customHeight="false" outlineLevel="0" collapsed="false">
      <c r="A1334" s="117" t="n">
        <v>1000</v>
      </c>
      <c r="B1334" s="117" t="s">
        <v>1962</v>
      </c>
      <c r="C1334" s="117" t="n">
        <v>100277640</v>
      </c>
      <c r="E1334" s="117" t="s">
        <v>1921</v>
      </c>
      <c r="F1334" s="117" t="n">
        <v>1109</v>
      </c>
      <c r="G1334" s="117" t="n">
        <v>2019</v>
      </c>
      <c r="H1334" s="117" t="n">
        <v>11</v>
      </c>
      <c r="I1334" s="118" t="n">
        <v>43890</v>
      </c>
      <c r="J1334" s="118" t="n">
        <v>43890</v>
      </c>
      <c r="K1334" s="119" t="n">
        <v>1183357.76</v>
      </c>
      <c r="L1334" s="128" t="n">
        <f aca="false">K1334-Q1334+T1334</f>
        <v>1183357.76</v>
      </c>
      <c r="M1334" s="117" t="s">
        <v>149</v>
      </c>
      <c r="N1334" s="117" t="n">
        <v>1183357.76</v>
      </c>
      <c r="O1334" s="117" t="s">
        <v>149</v>
      </c>
      <c r="P1334" s="117" t="n">
        <v>0</v>
      </c>
      <c r="Q1334" s="117" t="n">
        <v>0</v>
      </c>
      <c r="R1334" s="117" t="n">
        <v>1183357.76</v>
      </c>
      <c r="S1334" s="117" t="n">
        <v>0</v>
      </c>
      <c r="T1334" s="117" t="n">
        <v>0</v>
      </c>
      <c r="U1334" s="117" t="n">
        <v>312193</v>
      </c>
      <c r="V1334" s="117" t="s">
        <v>1963</v>
      </c>
      <c r="X1334" s="117" t="s">
        <v>2506</v>
      </c>
      <c r="Z1334" s="117" t="n">
        <v>62773</v>
      </c>
      <c r="AB1334" s="117" t="s">
        <v>2477</v>
      </c>
      <c r="AD1334" s="117" t="n">
        <v>110000</v>
      </c>
      <c r="AE1334" s="117" t="s">
        <v>1966</v>
      </c>
      <c r="AF1334" s="117" t="n">
        <v>110000</v>
      </c>
      <c r="AG1334" s="117" t="s">
        <v>1966</v>
      </c>
      <c r="AI1334" s="117" t="n">
        <v>110000</v>
      </c>
      <c r="AJ1334" s="117" t="s">
        <v>1966</v>
      </c>
      <c r="AK1334" s="117" t="n">
        <v>0</v>
      </c>
      <c r="AL1334" s="117" t="n">
        <v>4</v>
      </c>
      <c r="AM1334" s="117" t="s">
        <v>161</v>
      </c>
      <c r="AR1334" s="118" t="n">
        <v>43891</v>
      </c>
      <c r="AS1334" s="117" t="n">
        <v>0.31943287037037</v>
      </c>
      <c r="AT1334" s="117" t="n">
        <v>0</v>
      </c>
      <c r="AU1334" s="117" t="n">
        <v>0</v>
      </c>
      <c r="AX1334" s="117" t="n">
        <v>13</v>
      </c>
    </row>
    <row r="1335" customFormat="false" ht="13.8" hidden="true" customHeight="false" outlineLevel="0" collapsed="false">
      <c r="A1335" s="117" t="n">
        <v>1000</v>
      </c>
      <c r="B1335" s="117" t="s">
        <v>1962</v>
      </c>
      <c r="C1335" s="117" t="n">
        <v>100277640</v>
      </c>
      <c r="E1335" s="117" t="s">
        <v>1921</v>
      </c>
      <c r="F1335" s="117" t="n">
        <v>1109</v>
      </c>
      <c r="G1335" s="117" t="n">
        <v>2019</v>
      </c>
      <c r="H1335" s="117" t="n">
        <v>11</v>
      </c>
      <c r="I1335" s="118" t="n">
        <v>43890</v>
      </c>
      <c r="J1335" s="118" t="n">
        <v>43890</v>
      </c>
      <c r="K1335" s="119" t="n">
        <v>962832.8</v>
      </c>
      <c r="L1335" s="128" t="n">
        <f aca="false">K1335-Q1335+T1335</f>
        <v>962832.8</v>
      </c>
      <c r="M1335" s="117" t="s">
        <v>149</v>
      </c>
      <c r="N1335" s="117" t="n">
        <v>962832.8</v>
      </c>
      <c r="O1335" s="117" t="s">
        <v>149</v>
      </c>
      <c r="P1335" s="117" t="n">
        <v>0</v>
      </c>
      <c r="Q1335" s="117" t="n">
        <v>0</v>
      </c>
      <c r="R1335" s="117" t="n">
        <v>962832.8</v>
      </c>
      <c r="S1335" s="117" t="n">
        <v>0</v>
      </c>
      <c r="T1335" s="117" t="n">
        <v>0</v>
      </c>
      <c r="U1335" s="117" t="n">
        <v>312193</v>
      </c>
      <c r="V1335" s="117" t="s">
        <v>1963</v>
      </c>
      <c r="X1335" s="117" t="s">
        <v>2512</v>
      </c>
      <c r="Z1335" s="117" t="n">
        <v>63775</v>
      </c>
      <c r="AB1335" s="117" t="s">
        <v>2469</v>
      </c>
      <c r="AD1335" s="117" t="n">
        <v>110000</v>
      </c>
      <c r="AE1335" s="117" t="s">
        <v>1966</v>
      </c>
      <c r="AF1335" s="117" t="n">
        <v>110000</v>
      </c>
      <c r="AG1335" s="117" t="s">
        <v>1966</v>
      </c>
      <c r="AI1335" s="117" t="n">
        <v>110000</v>
      </c>
      <c r="AJ1335" s="117" t="s">
        <v>1966</v>
      </c>
      <c r="AK1335" s="117" t="n">
        <v>0</v>
      </c>
      <c r="AL1335" s="117" t="n">
        <v>4</v>
      </c>
      <c r="AM1335" s="117" t="s">
        <v>161</v>
      </c>
      <c r="AR1335" s="118" t="n">
        <v>43891</v>
      </c>
      <c r="AS1335" s="117" t="n">
        <v>0.31943287037037</v>
      </c>
      <c r="AT1335" s="117" t="n">
        <v>0</v>
      </c>
      <c r="AU1335" s="117" t="n">
        <v>0</v>
      </c>
      <c r="AX1335" s="117" t="n">
        <v>16</v>
      </c>
    </row>
    <row r="1336" customFormat="false" ht="13.8" hidden="true" customHeight="false" outlineLevel="0" collapsed="false">
      <c r="A1336" s="117" t="n">
        <v>1000</v>
      </c>
      <c r="B1336" s="117" t="s">
        <v>1962</v>
      </c>
      <c r="C1336" s="117" t="n">
        <v>100277640</v>
      </c>
      <c r="E1336" s="117" t="s">
        <v>1921</v>
      </c>
      <c r="F1336" s="117" t="n">
        <v>1109</v>
      </c>
      <c r="G1336" s="117" t="n">
        <v>2019</v>
      </c>
      <c r="H1336" s="117" t="n">
        <v>11</v>
      </c>
      <c r="I1336" s="118" t="n">
        <v>43890</v>
      </c>
      <c r="J1336" s="118" t="n">
        <v>43890</v>
      </c>
      <c r="K1336" s="119" t="n">
        <v>1701.84</v>
      </c>
      <c r="L1336" s="128" t="n">
        <f aca="false">K1336-Q1336+T1336</f>
        <v>1701.84</v>
      </c>
      <c r="M1336" s="117" t="s">
        <v>149</v>
      </c>
      <c r="N1336" s="117" t="n">
        <v>1701.84</v>
      </c>
      <c r="O1336" s="117" t="s">
        <v>149</v>
      </c>
      <c r="P1336" s="117" t="n">
        <v>0</v>
      </c>
      <c r="Q1336" s="117" t="n">
        <v>0</v>
      </c>
      <c r="R1336" s="117" t="n">
        <v>1701.84</v>
      </c>
      <c r="S1336" s="117" t="n">
        <v>0</v>
      </c>
      <c r="T1336" s="117" t="n">
        <v>0</v>
      </c>
      <c r="U1336" s="117" t="n">
        <v>312193</v>
      </c>
      <c r="V1336" s="117" t="s">
        <v>1963</v>
      </c>
      <c r="X1336" s="117" t="s">
        <v>2533</v>
      </c>
      <c r="Z1336" s="117" t="n">
        <v>63943</v>
      </c>
      <c r="AB1336" s="117" t="s">
        <v>2534</v>
      </c>
      <c r="AD1336" s="117" t="n">
        <v>110000</v>
      </c>
      <c r="AE1336" s="117" t="s">
        <v>1966</v>
      </c>
      <c r="AF1336" s="117" t="n">
        <v>110000</v>
      </c>
      <c r="AG1336" s="117" t="s">
        <v>1966</v>
      </c>
      <c r="AI1336" s="117" t="n">
        <v>110000</v>
      </c>
      <c r="AJ1336" s="117" t="s">
        <v>1966</v>
      </c>
      <c r="AK1336" s="117" t="n">
        <v>0</v>
      </c>
      <c r="AL1336" s="117" t="n">
        <v>4</v>
      </c>
      <c r="AM1336" s="117" t="s">
        <v>161</v>
      </c>
      <c r="AR1336" s="118" t="n">
        <v>43891</v>
      </c>
      <c r="AS1336" s="117" t="n">
        <v>0.31943287037037</v>
      </c>
      <c r="AT1336" s="117" t="n">
        <v>0</v>
      </c>
      <c r="AU1336" s="117" t="n">
        <v>0</v>
      </c>
      <c r="AX1336" s="117" t="n">
        <v>20</v>
      </c>
    </row>
    <row r="1337" customFormat="false" ht="13.8" hidden="true" customHeight="false" outlineLevel="0" collapsed="false">
      <c r="A1337" s="117" t="n">
        <v>1000</v>
      </c>
      <c r="B1337" s="117" t="s">
        <v>1962</v>
      </c>
      <c r="C1337" s="117" t="n">
        <v>100277640</v>
      </c>
      <c r="E1337" s="117" t="s">
        <v>1921</v>
      </c>
      <c r="F1337" s="117" t="n">
        <v>1109</v>
      </c>
      <c r="G1337" s="117" t="n">
        <v>2019</v>
      </c>
      <c r="H1337" s="117" t="n">
        <v>11</v>
      </c>
      <c r="I1337" s="118" t="n">
        <v>43890</v>
      </c>
      <c r="J1337" s="118" t="n">
        <v>43890</v>
      </c>
      <c r="K1337" s="119" t="n">
        <v>225982.88</v>
      </c>
      <c r="L1337" s="128" t="n">
        <f aca="false">K1337-Q1337+T1337</f>
        <v>225982.88</v>
      </c>
      <c r="M1337" s="117" t="s">
        <v>149</v>
      </c>
      <c r="N1337" s="117" t="n">
        <v>225982.88</v>
      </c>
      <c r="O1337" s="117" t="s">
        <v>149</v>
      </c>
      <c r="P1337" s="117" t="n">
        <v>0</v>
      </c>
      <c r="Q1337" s="117" t="n">
        <v>0</v>
      </c>
      <c r="R1337" s="117" t="n">
        <v>225982.88</v>
      </c>
      <c r="S1337" s="117" t="n">
        <v>0</v>
      </c>
      <c r="T1337" s="117" t="n">
        <v>0</v>
      </c>
      <c r="U1337" s="117" t="n">
        <v>312193</v>
      </c>
      <c r="V1337" s="117" t="s">
        <v>1963</v>
      </c>
      <c r="X1337" s="117" t="s">
        <v>2509</v>
      </c>
      <c r="Z1337" s="117" t="n">
        <v>62772</v>
      </c>
      <c r="AB1337" s="117" t="s">
        <v>2477</v>
      </c>
      <c r="AD1337" s="117" t="n">
        <v>110000</v>
      </c>
      <c r="AE1337" s="117" t="s">
        <v>1966</v>
      </c>
      <c r="AF1337" s="117" t="n">
        <v>110000</v>
      </c>
      <c r="AG1337" s="117" t="s">
        <v>1966</v>
      </c>
      <c r="AI1337" s="117" t="n">
        <v>110000</v>
      </c>
      <c r="AJ1337" s="117" t="s">
        <v>1966</v>
      </c>
      <c r="AK1337" s="117" t="n">
        <v>0</v>
      </c>
      <c r="AL1337" s="117" t="n">
        <v>4</v>
      </c>
      <c r="AM1337" s="117" t="s">
        <v>161</v>
      </c>
      <c r="AR1337" s="118" t="n">
        <v>43891</v>
      </c>
      <c r="AS1337" s="117" t="n">
        <v>0.31943287037037</v>
      </c>
      <c r="AT1337" s="117" t="n">
        <v>0</v>
      </c>
      <c r="AU1337" s="117" t="n">
        <v>0</v>
      </c>
      <c r="AX1337" s="117" t="n">
        <v>15</v>
      </c>
    </row>
    <row r="1338" customFormat="false" ht="13.8" hidden="true" customHeight="false" outlineLevel="0" collapsed="false">
      <c r="A1338" s="117" t="n">
        <v>1000</v>
      </c>
      <c r="B1338" s="117" t="s">
        <v>1962</v>
      </c>
      <c r="C1338" s="117" t="n">
        <v>100277640</v>
      </c>
      <c r="E1338" s="117" t="s">
        <v>1921</v>
      </c>
      <c r="F1338" s="117" t="n">
        <v>1108</v>
      </c>
      <c r="G1338" s="117" t="n">
        <v>2019</v>
      </c>
      <c r="H1338" s="117" t="n">
        <v>11</v>
      </c>
      <c r="I1338" s="118" t="n">
        <v>43890</v>
      </c>
      <c r="J1338" s="118" t="n">
        <v>43890</v>
      </c>
      <c r="K1338" s="119" t="n">
        <v>1425190.23</v>
      </c>
      <c r="L1338" s="128" t="n">
        <f aca="false">K1338-Q1338+T1338</f>
        <v>1425190.23</v>
      </c>
      <c r="M1338" s="117" t="s">
        <v>149</v>
      </c>
      <c r="N1338" s="117" t="n">
        <v>1425190.23</v>
      </c>
      <c r="O1338" s="117" t="s">
        <v>149</v>
      </c>
      <c r="P1338" s="117" t="n">
        <v>0</v>
      </c>
      <c r="Q1338" s="117" t="n">
        <v>0</v>
      </c>
      <c r="R1338" s="117" t="n">
        <v>1425190.23</v>
      </c>
      <c r="S1338" s="117" t="n">
        <v>0</v>
      </c>
      <c r="T1338" s="117" t="n">
        <v>0</v>
      </c>
      <c r="U1338" s="117" t="n">
        <v>312193</v>
      </c>
      <c r="V1338" s="117" t="s">
        <v>1963</v>
      </c>
      <c r="X1338" s="117" t="s">
        <v>2647</v>
      </c>
      <c r="Z1338" s="117" t="n">
        <v>63734</v>
      </c>
      <c r="AB1338" s="117" t="s">
        <v>2109</v>
      </c>
      <c r="AD1338" s="117" t="n">
        <v>110000</v>
      </c>
      <c r="AE1338" s="117" t="s">
        <v>1966</v>
      </c>
      <c r="AF1338" s="117" t="n">
        <v>110000</v>
      </c>
      <c r="AG1338" s="117" t="s">
        <v>1966</v>
      </c>
      <c r="AI1338" s="117" t="n">
        <v>110000</v>
      </c>
      <c r="AJ1338" s="117" t="s">
        <v>1966</v>
      </c>
      <c r="AK1338" s="117" t="n">
        <v>0</v>
      </c>
      <c r="AL1338" s="117" t="n">
        <v>4</v>
      </c>
      <c r="AM1338" s="117" t="s">
        <v>161</v>
      </c>
      <c r="AR1338" s="118" t="n">
        <v>43891</v>
      </c>
      <c r="AS1338" s="117" t="n">
        <v>0.31943287037037</v>
      </c>
      <c r="AT1338" s="117" t="n">
        <v>0</v>
      </c>
      <c r="AU1338" s="117" t="n">
        <v>0</v>
      </c>
      <c r="AX1338" s="117" t="n">
        <v>23</v>
      </c>
    </row>
    <row r="1339" customFormat="false" ht="13.8" hidden="true" customHeight="false" outlineLevel="0" collapsed="false">
      <c r="A1339" s="117" t="n">
        <v>1000</v>
      </c>
      <c r="B1339" s="117" t="s">
        <v>1962</v>
      </c>
      <c r="C1339" s="117" t="n">
        <v>100277595</v>
      </c>
      <c r="E1339" s="117" t="s">
        <v>1921</v>
      </c>
      <c r="F1339" s="117" t="n">
        <v>1108</v>
      </c>
      <c r="G1339" s="117" t="n">
        <v>2019</v>
      </c>
      <c r="H1339" s="117" t="n">
        <v>11</v>
      </c>
      <c r="I1339" s="118" t="n">
        <v>43890</v>
      </c>
      <c r="J1339" s="118" t="n">
        <v>43890</v>
      </c>
      <c r="K1339" s="119" t="n">
        <v>2058298.2</v>
      </c>
      <c r="L1339" s="128" t="n">
        <f aca="false">K1339-Q1339+T1339</f>
        <v>2058298.2</v>
      </c>
      <c r="M1339" s="117" t="s">
        <v>149</v>
      </c>
      <c r="N1339" s="117" t="n">
        <v>2058298.2</v>
      </c>
      <c r="O1339" s="117" t="s">
        <v>149</v>
      </c>
      <c r="P1339" s="117" t="n">
        <v>0</v>
      </c>
      <c r="Q1339" s="117" t="n">
        <v>0</v>
      </c>
      <c r="R1339" s="117" t="n">
        <v>2058298.2</v>
      </c>
      <c r="S1339" s="117" t="n">
        <v>0</v>
      </c>
      <c r="T1339" s="117" t="n">
        <v>0</v>
      </c>
      <c r="U1339" s="117" t="n">
        <v>306263</v>
      </c>
      <c r="V1339" s="117" t="s">
        <v>2006</v>
      </c>
      <c r="X1339" s="117" t="s">
        <v>2597</v>
      </c>
      <c r="Z1339" s="117" t="n">
        <v>63866</v>
      </c>
      <c r="AB1339" s="117" t="s">
        <v>2598</v>
      </c>
      <c r="AD1339" s="117" t="n">
        <v>110000</v>
      </c>
      <c r="AE1339" s="117" t="s">
        <v>1966</v>
      </c>
      <c r="AF1339" s="117" t="n">
        <v>110000</v>
      </c>
      <c r="AG1339" s="117" t="s">
        <v>1966</v>
      </c>
      <c r="AI1339" s="117" t="n">
        <v>110000</v>
      </c>
      <c r="AJ1339" s="117" t="s">
        <v>1966</v>
      </c>
      <c r="AK1339" s="117" t="n">
        <v>0</v>
      </c>
      <c r="AL1339" s="117" t="n">
        <v>4</v>
      </c>
      <c r="AM1339" s="117" t="s">
        <v>161</v>
      </c>
      <c r="AR1339" s="118" t="n">
        <v>43891</v>
      </c>
      <c r="AS1339" s="117" t="n">
        <v>0.280914351851852</v>
      </c>
      <c r="AT1339" s="117" t="n">
        <v>0</v>
      </c>
      <c r="AU1339" s="117" t="n">
        <v>0</v>
      </c>
      <c r="AX1339" s="117" t="n">
        <v>1</v>
      </c>
    </row>
    <row r="1340" customFormat="false" ht="13.8" hidden="true" customHeight="false" outlineLevel="0" collapsed="false">
      <c r="A1340" s="117" t="n">
        <v>1000</v>
      </c>
      <c r="B1340" s="117" t="s">
        <v>1962</v>
      </c>
      <c r="C1340" s="117" t="n">
        <v>100277640</v>
      </c>
      <c r="E1340" s="117" t="s">
        <v>1921</v>
      </c>
      <c r="F1340" s="117" t="n">
        <v>1109</v>
      </c>
      <c r="G1340" s="117" t="n">
        <v>2019</v>
      </c>
      <c r="H1340" s="117" t="n">
        <v>11</v>
      </c>
      <c r="I1340" s="118" t="n">
        <v>43890</v>
      </c>
      <c r="J1340" s="118" t="n">
        <v>43890</v>
      </c>
      <c r="K1340" s="119" t="n">
        <v>1653915.16</v>
      </c>
      <c r="L1340" s="128" t="n">
        <f aca="false">K1340-Q1340+T1340</f>
        <v>1653915.16</v>
      </c>
      <c r="M1340" s="117" t="s">
        <v>149</v>
      </c>
      <c r="N1340" s="117" t="n">
        <v>1653915.16</v>
      </c>
      <c r="O1340" s="117" t="s">
        <v>149</v>
      </c>
      <c r="P1340" s="117" t="n">
        <v>0</v>
      </c>
      <c r="Q1340" s="117" t="n">
        <v>0</v>
      </c>
      <c r="R1340" s="117" t="n">
        <v>1653915.16</v>
      </c>
      <c r="S1340" s="117" t="n">
        <v>0</v>
      </c>
      <c r="T1340" s="117" t="n">
        <v>0</v>
      </c>
      <c r="U1340" s="117" t="n">
        <v>312193</v>
      </c>
      <c r="V1340" s="117" t="s">
        <v>1963</v>
      </c>
      <c r="X1340" s="117" t="s">
        <v>2474</v>
      </c>
      <c r="Z1340" s="117" t="n">
        <v>63775</v>
      </c>
      <c r="AB1340" s="117" t="s">
        <v>2469</v>
      </c>
      <c r="AD1340" s="117" t="n">
        <v>110000</v>
      </c>
      <c r="AE1340" s="117" t="s">
        <v>1966</v>
      </c>
      <c r="AF1340" s="117" t="n">
        <v>110000</v>
      </c>
      <c r="AG1340" s="117" t="s">
        <v>1966</v>
      </c>
      <c r="AI1340" s="117" t="n">
        <v>110000</v>
      </c>
      <c r="AJ1340" s="117" t="s">
        <v>1966</v>
      </c>
      <c r="AK1340" s="117" t="n">
        <v>0</v>
      </c>
      <c r="AL1340" s="117" t="n">
        <v>4</v>
      </c>
      <c r="AM1340" s="117" t="s">
        <v>161</v>
      </c>
      <c r="AR1340" s="118" t="n">
        <v>43891</v>
      </c>
      <c r="AS1340" s="117" t="n">
        <v>0.31943287037037</v>
      </c>
      <c r="AT1340" s="117" t="n">
        <v>0</v>
      </c>
      <c r="AU1340" s="117" t="n">
        <v>0</v>
      </c>
      <c r="AX1340" s="117" t="n">
        <v>5</v>
      </c>
    </row>
    <row r="1341" customFormat="false" ht="13.8" hidden="true" customHeight="false" outlineLevel="0" collapsed="false">
      <c r="A1341" s="117" t="n">
        <v>1000</v>
      </c>
      <c r="B1341" s="117" t="s">
        <v>1962</v>
      </c>
      <c r="C1341" s="117" t="n">
        <v>100277640</v>
      </c>
      <c r="E1341" s="117" t="s">
        <v>1921</v>
      </c>
      <c r="F1341" s="117" t="n">
        <v>1108</v>
      </c>
      <c r="G1341" s="117" t="n">
        <v>2019</v>
      </c>
      <c r="H1341" s="117" t="n">
        <v>11</v>
      </c>
      <c r="I1341" s="118" t="n">
        <v>43890</v>
      </c>
      <c r="J1341" s="118" t="n">
        <v>43890</v>
      </c>
      <c r="K1341" s="119" t="n">
        <v>18466.95</v>
      </c>
      <c r="L1341" s="128" t="n">
        <f aca="false">K1341-Q1341+T1341</f>
        <v>18466.95</v>
      </c>
      <c r="M1341" s="117" t="s">
        <v>149</v>
      </c>
      <c r="N1341" s="117" t="n">
        <v>18466.95</v>
      </c>
      <c r="O1341" s="117" t="s">
        <v>149</v>
      </c>
      <c r="P1341" s="117" t="n">
        <v>0</v>
      </c>
      <c r="Q1341" s="117" t="n">
        <v>0</v>
      </c>
      <c r="R1341" s="117" t="n">
        <v>18466.95</v>
      </c>
      <c r="S1341" s="117" t="n">
        <v>0</v>
      </c>
      <c r="T1341" s="117" t="n">
        <v>0</v>
      </c>
      <c r="U1341" s="117" t="n">
        <v>312193</v>
      </c>
      <c r="V1341" s="117" t="s">
        <v>1963</v>
      </c>
      <c r="X1341" s="117" t="s">
        <v>2665</v>
      </c>
      <c r="Z1341" s="117" t="n">
        <v>63970</v>
      </c>
      <c r="AB1341" s="117" t="s">
        <v>2109</v>
      </c>
      <c r="AD1341" s="117" t="n">
        <v>110000</v>
      </c>
      <c r="AE1341" s="117" t="s">
        <v>1966</v>
      </c>
      <c r="AF1341" s="117" t="n">
        <v>110000</v>
      </c>
      <c r="AG1341" s="117" t="s">
        <v>1966</v>
      </c>
      <c r="AI1341" s="117" t="n">
        <v>110000</v>
      </c>
      <c r="AJ1341" s="117" t="s">
        <v>1966</v>
      </c>
      <c r="AK1341" s="117" t="n">
        <v>0</v>
      </c>
      <c r="AL1341" s="117" t="n">
        <v>4</v>
      </c>
      <c r="AM1341" s="117" t="s">
        <v>161</v>
      </c>
      <c r="AR1341" s="118" t="n">
        <v>43891</v>
      </c>
      <c r="AS1341" s="117" t="n">
        <v>0.31943287037037</v>
      </c>
      <c r="AT1341" s="117" t="n">
        <v>0</v>
      </c>
      <c r="AU1341" s="117" t="n">
        <v>0</v>
      </c>
      <c r="AX1341" s="117" t="n">
        <v>27</v>
      </c>
    </row>
    <row r="1342" s="106" customFormat="true" ht="13.8" hidden="true" customHeight="false" outlineLevel="0" collapsed="false">
      <c r="A1342" s="106" t="n">
        <v>1000</v>
      </c>
      <c r="B1342" s="106" t="s">
        <v>1962</v>
      </c>
      <c r="C1342" s="106" t="n">
        <v>113548</v>
      </c>
      <c r="D1342" s="106" t="s">
        <v>2666</v>
      </c>
      <c r="E1342" s="106" t="s">
        <v>1970</v>
      </c>
      <c r="F1342" s="106" t="n">
        <v>1108</v>
      </c>
      <c r="G1342" s="106" t="n">
        <v>2019</v>
      </c>
      <c r="H1342" s="106" t="n">
        <v>11</v>
      </c>
      <c r="I1342" s="129" t="n">
        <v>43890</v>
      </c>
      <c r="J1342" s="129" t="n">
        <v>43890</v>
      </c>
      <c r="K1342" s="107" t="n">
        <v>1096642.15</v>
      </c>
      <c r="L1342" s="130" t="n">
        <f aca="false">K1342-Q1342+T1342</f>
        <v>929357.74</v>
      </c>
      <c r="M1342" s="106" t="s">
        <v>149</v>
      </c>
      <c r="N1342" s="106" t="n">
        <v>1096642.15</v>
      </c>
      <c r="O1342" s="106" t="s">
        <v>149</v>
      </c>
      <c r="P1342" s="106" t="n">
        <v>0</v>
      </c>
      <c r="Q1342" s="107" t="n">
        <v>167284.41</v>
      </c>
      <c r="R1342" s="106" t="n">
        <v>929357.74</v>
      </c>
      <c r="S1342" s="106" t="n">
        <v>0</v>
      </c>
      <c r="T1342" s="106" t="n">
        <v>0</v>
      </c>
      <c r="U1342" s="106" t="n">
        <v>312193</v>
      </c>
      <c r="V1342" s="106" t="s">
        <v>1963</v>
      </c>
      <c r="Z1342" s="106" t="n">
        <v>63736</v>
      </c>
      <c r="AB1342" s="106" t="s">
        <v>2109</v>
      </c>
      <c r="AD1342" s="106" t="n">
        <v>110000</v>
      </c>
      <c r="AE1342" s="106" t="s">
        <v>1966</v>
      </c>
      <c r="AF1342" s="106" t="n">
        <v>501005</v>
      </c>
      <c r="AG1342" s="106" t="s">
        <v>2033</v>
      </c>
      <c r="AI1342" s="106" t="n">
        <v>501005</v>
      </c>
      <c r="AJ1342" s="106" t="s">
        <v>2033</v>
      </c>
      <c r="AK1342" s="106" t="n">
        <v>0</v>
      </c>
      <c r="AL1342" s="106" t="n">
        <v>1</v>
      </c>
      <c r="AM1342" s="106" t="s">
        <v>161</v>
      </c>
      <c r="AP1342" s="106" t="n">
        <v>100277640</v>
      </c>
      <c r="AQ1342" s="129" t="n">
        <v>43890</v>
      </c>
      <c r="AR1342" s="129" t="n">
        <v>43890</v>
      </c>
      <c r="AS1342" s="106" t="n">
        <v>0.846134259259259</v>
      </c>
      <c r="AT1342" s="106" t="n">
        <v>0</v>
      </c>
      <c r="AU1342" s="106" t="n">
        <v>0</v>
      </c>
      <c r="AX1342" s="106" t="n">
        <v>1</v>
      </c>
      <c r="ALU1342" s="0"/>
      <c r="ALV1342" s="0"/>
      <c r="ALW1342" s="0"/>
      <c r="ALX1342" s="0"/>
      <c r="ALY1342" s="0"/>
      <c r="ALZ1342" s="0"/>
      <c r="AMA1342" s="0"/>
      <c r="AMB1342" s="0"/>
      <c r="AMC1342" s="0"/>
      <c r="AMD1342" s="0"/>
      <c r="AME1342" s="0"/>
      <c r="AMF1342" s="0"/>
      <c r="AMG1342" s="0"/>
      <c r="AMH1342" s="0"/>
      <c r="AMI1342" s="0"/>
      <c r="AMJ1342" s="0"/>
    </row>
    <row r="1343" s="106" customFormat="true" ht="13.8" hidden="true" customHeight="false" outlineLevel="0" collapsed="false">
      <c r="A1343" s="106" t="n">
        <v>1000</v>
      </c>
      <c r="B1343" s="106" t="s">
        <v>1962</v>
      </c>
      <c r="C1343" s="106" t="n">
        <v>113537</v>
      </c>
      <c r="D1343" s="106" t="s">
        <v>2664</v>
      </c>
      <c r="E1343" s="106" t="s">
        <v>1970</v>
      </c>
      <c r="F1343" s="106" t="n">
        <v>1108</v>
      </c>
      <c r="G1343" s="106" t="n">
        <v>2019</v>
      </c>
      <c r="H1343" s="106" t="n">
        <v>11</v>
      </c>
      <c r="I1343" s="129" t="n">
        <v>43890</v>
      </c>
      <c r="J1343" s="129" t="n">
        <v>43890</v>
      </c>
      <c r="K1343" s="107" t="n">
        <v>608837.69</v>
      </c>
      <c r="L1343" s="130" t="n">
        <f aca="false">K1343-Q1343+T1343</f>
        <v>515964.14</v>
      </c>
      <c r="M1343" s="106" t="s">
        <v>149</v>
      </c>
      <c r="N1343" s="106" t="n">
        <v>608837.69</v>
      </c>
      <c r="O1343" s="106" t="s">
        <v>149</v>
      </c>
      <c r="P1343" s="106" t="n">
        <v>0</v>
      </c>
      <c r="Q1343" s="107" t="n">
        <v>92873.55</v>
      </c>
      <c r="R1343" s="106" t="n">
        <v>515964.14</v>
      </c>
      <c r="S1343" s="106" t="n">
        <v>0</v>
      </c>
      <c r="T1343" s="106" t="n">
        <v>0</v>
      </c>
      <c r="U1343" s="106" t="n">
        <v>312193</v>
      </c>
      <c r="V1343" s="106" t="s">
        <v>1963</v>
      </c>
      <c r="Z1343" s="106" t="n">
        <v>63737</v>
      </c>
      <c r="AB1343" s="106" t="s">
        <v>2109</v>
      </c>
      <c r="AD1343" s="106" t="n">
        <v>110000</v>
      </c>
      <c r="AE1343" s="106" t="s">
        <v>1966</v>
      </c>
      <c r="AF1343" s="106" t="n">
        <v>501005</v>
      </c>
      <c r="AG1343" s="106" t="s">
        <v>2033</v>
      </c>
      <c r="AI1343" s="106" t="n">
        <v>501005</v>
      </c>
      <c r="AJ1343" s="106" t="s">
        <v>2033</v>
      </c>
      <c r="AK1343" s="106" t="n">
        <v>0</v>
      </c>
      <c r="AL1343" s="106" t="n">
        <v>1</v>
      </c>
      <c r="AM1343" s="106" t="s">
        <v>161</v>
      </c>
      <c r="AP1343" s="106" t="n">
        <v>100277640</v>
      </c>
      <c r="AQ1343" s="129" t="n">
        <v>43890</v>
      </c>
      <c r="AR1343" s="129" t="n">
        <v>43890</v>
      </c>
      <c r="AS1343" s="106" t="n">
        <v>0.822974537037037</v>
      </c>
      <c r="AT1343" s="106" t="n">
        <v>0</v>
      </c>
      <c r="AU1343" s="106" t="n">
        <v>0</v>
      </c>
      <c r="AX1343" s="106" t="n">
        <v>1</v>
      </c>
      <c r="ALU1343" s="0"/>
      <c r="ALV1343" s="0"/>
      <c r="ALW1343" s="0"/>
      <c r="ALX1343" s="0"/>
      <c r="ALY1343" s="0"/>
      <c r="ALZ1343" s="0"/>
      <c r="AMA1343" s="0"/>
      <c r="AMB1343" s="0"/>
      <c r="AMC1343" s="0"/>
      <c r="AMD1343" s="0"/>
      <c r="AME1343" s="0"/>
      <c r="AMF1343" s="0"/>
      <c r="AMG1343" s="0"/>
      <c r="AMH1343" s="0"/>
      <c r="AMI1343" s="0"/>
      <c r="AMJ1343" s="0"/>
    </row>
    <row r="1344" customFormat="false" ht="13.8" hidden="true" customHeight="false" outlineLevel="0" collapsed="false">
      <c r="A1344" s="117" t="n">
        <v>1000</v>
      </c>
      <c r="B1344" s="117" t="s">
        <v>1962</v>
      </c>
      <c r="C1344" s="117" t="n">
        <v>100277640</v>
      </c>
      <c r="E1344" s="117" t="s">
        <v>1921</v>
      </c>
      <c r="F1344" s="117" t="n">
        <v>1109</v>
      </c>
      <c r="G1344" s="117" t="n">
        <v>2019</v>
      </c>
      <c r="H1344" s="117" t="n">
        <v>11</v>
      </c>
      <c r="I1344" s="118" t="n">
        <v>43890</v>
      </c>
      <c r="J1344" s="118" t="n">
        <v>43890</v>
      </c>
      <c r="K1344" s="119" t="n">
        <v>683909.12</v>
      </c>
      <c r="L1344" s="128" t="n">
        <f aca="false">K1344-Q1344+T1344</f>
        <v>683909.12</v>
      </c>
      <c r="M1344" s="117" t="s">
        <v>149</v>
      </c>
      <c r="N1344" s="117" t="n">
        <v>683909.12</v>
      </c>
      <c r="O1344" s="117" t="s">
        <v>149</v>
      </c>
      <c r="P1344" s="117" t="n">
        <v>0</v>
      </c>
      <c r="Q1344" s="117" t="n">
        <v>0</v>
      </c>
      <c r="R1344" s="117" t="n">
        <v>683909.12</v>
      </c>
      <c r="S1344" s="117" t="n">
        <v>0</v>
      </c>
      <c r="T1344" s="117" t="n">
        <v>0</v>
      </c>
      <c r="U1344" s="117" t="n">
        <v>312193</v>
      </c>
      <c r="V1344" s="117" t="s">
        <v>1963</v>
      </c>
      <c r="X1344" s="117" t="s">
        <v>2476</v>
      </c>
      <c r="Z1344" s="117" t="n">
        <v>62955</v>
      </c>
      <c r="AB1344" s="117" t="s">
        <v>2477</v>
      </c>
      <c r="AD1344" s="117" t="n">
        <v>110000</v>
      </c>
      <c r="AE1344" s="117" t="s">
        <v>1966</v>
      </c>
      <c r="AF1344" s="117" t="n">
        <v>110000</v>
      </c>
      <c r="AG1344" s="117" t="s">
        <v>1966</v>
      </c>
      <c r="AI1344" s="117" t="n">
        <v>110000</v>
      </c>
      <c r="AJ1344" s="117" t="s">
        <v>1966</v>
      </c>
      <c r="AK1344" s="117" t="n">
        <v>0</v>
      </c>
      <c r="AL1344" s="117" t="n">
        <v>4</v>
      </c>
      <c r="AM1344" s="117" t="s">
        <v>161</v>
      </c>
      <c r="AR1344" s="118" t="n">
        <v>43891</v>
      </c>
      <c r="AS1344" s="117" t="n">
        <v>0.31943287037037</v>
      </c>
      <c r="AT1344" s="117" t="n">
        <v>0</v>
      </c>
      <c r="AU1344" s="117" t="n">
        <v>0</v>
      </c>
      <c r="AX1344" s="117" t="n">
        <v>6</v>
      </c>
    </row>
    <row r="1345" customFormat="false" ht="13.8" hidden="true" customHeight="false" outlineLevel="0" collapsed="false">
      <c r="A1345" s="117" t="n">
        <v>1000</v>
      </c>
      <c r="B1345" s="117" t="s">
        <v>1962</v>
      </c>
      <c r="C1345" s="117" t="n">
        <v>100277640</v>
      </c>
      <c r="E1345" s="117" t="s">
        <v>1921</v>
      </c>
      <c r="F1345" s="117" t="n">
        <v>1109</v>
      </c>
      <c r="G1345" s="117" t="n">
        <v>2019</v>
      </c>
      <c r="H1345" s="117" t="n">
        <v>11</v>
      </c>
      <c r="I1345" s="118" t="n">
        <v>43890</v>
      </c>
      <c r="J1345" s="118" t="n">
        <v>43890</v>
      </c>
      <c r="K1345" s="119" t="n">
        <v>619997.39</v>
      </c>
      <c r="L1345" s="128" t="n">
        <f aca="false">K1345-Q1345+T1345</f>
        <v>619997.39</v>
      </c>
      <c r="M1345" s="117" t="s">
        <v>149</v>
      </c>
      <c r="N1345" s="117" t="n">
        <v>619997.39</v>
      </c>
      <c r="O1345" s="117" t="s">
        <v>149</v>
      </c>
      <c r="P1345" s="117" t="n">
        <v>0</v>
      </c>
      <c r="Q1345" s="117" t="n">
        <v>0</v>
      </c>
      <c r="R1345" s="117" t="n">
        <v>619997.39</v>
      </c>
      <c r="S1345" s="117" t="n">
        <v>0</v>
      </c>
      <c r="T1345" s="117" t="n">
        <v>0</v>
      </c>
      <c r="U1345" s="117" t="n">
        <v>312193</v>
      </c>
      <c r="V1345" s="117" t="s">
        <v>1963</v>
      </c>
      <c r="X1345" s="117" t="s">
        <v>2518</v>
      </c>
      <c r="Z1345" s="117" t="n">
        <v>63775</v>
      </c>
      <c r="AB1345" s="117" t="s">
        <v>2469</v>
      </c>
      <c r="AD1345" s="117" t="n">
        <v>110000</v>
      </c>
      <c r="AE1345" s="117" t="s">
        <v>1966</v>
      </c>
      <c r="AF1345" s="117" t="n">
        <v>110000</v>
      </c>
      <c r="AG1345" s="117" t="s">
        <v>1966</v>
      </c>
      <c r="AI1345" s="117" t="n">
        <v>110000</v>
      </c>
      <c r="AJ1345" s="117" t="s">
        <v>1966</v>
      </c>
      <c r="AK1345" s="117" t="n">
        <v>0</v>
      </c>
      <c r="AL1345" s="117" t="n">
        <v>4</v>
      </c>
      <c r="AM1345" s="117" t="s">
        <v>161</v>
      </c>
      <c r="AR1345" s="118" t="n">
        <v>43891</v>
      </c>
      <c r="AS1345" s="117" t="n">
        <v>0.31943287037037</v>
      </c>
      <c r="AT1345" s="117" t="n">
        <v>0</v>
      </c>
      <c r="AU1345" s="117" t="n">
        <v>0</v>
      </c>
      <c r="AX1345" s="117" t="n">
        <v>17</v>
      </c>
    </row>
    <row r="1346" s="106" customFormat="true" ht="13.8" hidden="true" customHeight="false" outlineLevel="0" collapsed="false">
      <c r="A1346" s="106" t="n">
        <v>1000</v>
      </c>
      <c r="B1346" s="106" t="s">
        <v>1962</v>
      </c>
      <c r="C1346" s="106" t="n">
        <v>113520</v>
      </c>
      <c r="D1346" s="106" t="s">
        <v>2667</v>
      </c>
      <c r="E1346" s="106" t="s">
        <v>1970</v>
      </c>
      <c r="F1346" s="106" t="n">
        <v>1108</v>
      </c>
      <c r="G1346" s="106" t="n">
        <v>2019</v>
      </c>
      <c r="H1346" s="106" t="n">
        <v>11</v>
      </c>
      <c r="I1346" s="129" t="n">
        <v>43890</v>
      </c>
      <c r="J1346" s="129" t="n">
        <v>43890</v>
      </c>
      <c r="K1346" s="107" t="n">
        <v>1621134.22</v>
      </c>
      <c r="L1346" s="130" t="n">
        <f aca="false">K1346-Q1346+T1346</f>
        <v>1373842.56</v>
      </c>
      <c r="M1346" s="106" t="s">
        <v>149</v>
      </c>
      <c r="N1346" s="106" t="n">
        <v>1621134.22</v>
      </c>
      <c r="O1346" s="106" t="s">
        <v>149</v>
      </c>
      <c r="P1346" s="106" t="n">
        <v>0</v>
      </c>
      <c r="Q1346" s="107" t="n">
        <v>247291.66</v>
      </c>
      <c r="R1346" s="106" t="n">
        <v>1373842.56</v>
      </c>
      <c r="S1346" s="106" t="n">
        <v>0</v>
      </c>
      <c r="T1346" s="106" t="n">
        <v>0</v>
      </c>
      <c r="U1346" s="106" t="n">
        <v>312193</v>
      </c>
      <c r="V1346" s="106" t="s">
        <v>1963</v>
      </c>
      <c r="Z1346" s="106" t="n">
        <v>63737</v>
      </c>
      <c r="AB1346" s="106" t="s">
        <v>2109</v>
      </c>
      <c r="AD1346" s="106" t="n">
        <v>110000</v>
      </c>
      <c r="AE1346" s="106" t="s">
        <v>1966</v>
      </c>
      <c r="AF1346" s="106" t="n">
        <v>501005</v>
      </c>
      <c r="AG1346" s="106" t="s">
        <v>2033</v>
      </c>
      <c r="AI1346" s="106" t="n">
        <v>501005</v>
      </c>
      <c r="AJ1346" s="106" t="s">
        <v>2033</v>
      </c>
      <c r="AK1346" s="106" t="n">
        <v>0</v>
      </c>
      <c r="AL1346" s="106" t="n">
        <v>1</v>
      </c>
      <c r="AM1346" s="106" t="s">
        <v>161</v>
      </c>
      <c r="AP1346" s="106" t="n">
        <v>100277640</v>
      </c>
      <c r="AQ1346" s="129" t="n">
        <v>43890</v>
      </c>
      <c r="AR1346" s="129" t="n">
        <v>43890</v>
      </c>
      <c r="AS1346" s="106" t="n">
        <v>0.771354166666667</v>
      </c>
      <c r="AT1346" s="106" t="n">
        <v>0</v>
      </c>
      <c r="AU1346" s="106" t="n">
        <v>0</v>
      </c>
      <c r="AX1346" s="106" t="n">
        <v>1</v>
      </c>
      <c r="ALU1346" s="0"/>
      <c r="ALV1346" s="0"/>
      <c r="ALW1346" s="0"/>
      <c r="ALX1346" s="0"/>
      <c r="ALY1346" s="0"/>
      <c r="ALZ1346" s="0"/>
      <c r="AMA1346" s="0"/>
      <c r="AMB1346" s="0"/>
      <c r="AMC1346" s="0"/>
      <c r="AMD1346" s="0"/>
      <c r="AME1346" s="0"/>
      <c r="AMF1346" s="0"/>
      <c r="AMG1346" s="0"/>
      <c r="AMH1346" s="0"/>
      <c r="AMI1346" s="0"/>
      <c r="AMJ1346" s="0"/>
    </row>
    <row r="1347" customFormat="false" ht="13.8" hidden="true" customHeight="false" outlineLevel="0" collapsed="false">
      <c r="A1347" s="117" t="n">
        <v>1000</v>
      </c>
      <c r="B1347" s="117" t="s">
        <v>1962</v>
      </c>
      <c r="C1347" s="117" t="n">
        <v>100278518</v>
      </c>
      <c r="D1347" s="117" t="s">
        <v>2005</v>
      </c>
      <c r="E1347" s="117" t="s">
        <v>1903</v>
      </c>
      <c r="F1347" s="117" t="n">
        <v>1108</v>
      </c>
      <c r="G1347" s="117" t="n">
        <v>2019</v>
      </c>
      <c r="H1347" s="117" t="n">
        <v>11</v>
      </c>
      <c r="I1347" s="118" t="n">
        <v>43890</v>
      </c>
      <c r="J1347" s="118" t="n">
        <v>43890</v>
      </c>
      <c r="K1347" s="119" t="n">
        <v>-38.33</v>
      </c>
      <c r="L1347" s="128" t="n">
        <f aca="false">K1347-Q1347+T1347</f>
        <v>-38.33</v>
      </c>
      <c r="M1347" s="117" t="s">
        <v>149</v>
      </c>
      <c r="N1347" s="117" t="n">
        <v>-38.33</v>
      </c>
      <c r="O1347" s="117" t="s">
        <v>149</v>
      </c>
      <c r="P1347" s="117" t="n">
        <v>0</v>
      </c>
      <c r="Q1347" s="117" t="n">
        <v>0</v>
      </c>
      <c r="R1347" s="117" t="n">
        <v>-38.33</v>
      </c>
      <c r="S1347" s="117" t="n">
        <v>0</v>
      </c>
      <c r="T1347" s="117" t="n">
        <v>0</v>
      </c>
      <c r="U1347" s="117" t="n">
        <v>312948</v>
      </c>
      <c r="V1347" s="117" t="s">
        <v>1984</v>
      </c>
      <c r="X1347" s="117" t="s">
        <v>2668</v>
      </c>
      <c r="Y1347" s="117" t="s">
        <v>2008</v>
      </c>
      <c r="Z1347" s="117" t="n">
        <v>100278518</v>
      </c>
      <c r="AD1347" s="117" t="n">
        <v>110000</v>
      </c>
      <c r="AE1347" s="117" t="s">
        <v>1966</v>
      </c>
      <c r="AF1347" s="117" t="n">
        <v>891305</v>
      </c>
      <c r="AG1347" s="117" t="s">
        <v>2009</v>
      </c>
      <c r="AI1347" s="117" t="n">
        <v>891305</v>
      </c>
      <c r="AJ1347" s="117" t="s">
        <v>2009</v>
      </c>
      <c r="AK1347" s="117" t="n">
        <v>0</v>
      </c>
      <c r="AL1347" s="117" t="n">
        <v>17</v>
      </c>
      <c r="AM1347" s="117" t="s">
        <v>225</v>
      </c>
      <c r="AP1347" s="117" t="n">
        <v>100278518</v>
      </c>
      <c r="AQ1347" s="118" t="n">
        <v>43890</v>
      </c>
      <c r="AR1347" s="118" t="n">
        <v>43891</v>
      </c>
      <c r="AS1347" s="117" t="n">
        <v>0.758229166666667</v>
      </c>
      <c r="AT1347" s="117" t="n">
        <v>0</v>
      </c>
      <c r="AU1347" s="117" t="n">
        <v>0</v>
      </c>
      <c r="AX1347" s="117" t="n">
        <v>2</v>
      </c>
    </row>
    <row r="1348" customFormat="false" ht="13.8" hidden="true" customHeight="false" outlineLevel="0" collapsed="false">
      <c r="A1348" s="117" t="n">
        <v>1000</v>
      </c>
      <c r="B1348" s="117" t="s">
        <v>1962</v>
      </c>
      <c r="C1348" s="117" t="n">
        <v>100277640</v>
      </c>
      <c r="E1348" s="117" t="s">
        <v>1921</v>
      </c>
      <c r="F1348" s="117" t="n">
        <v>1108</v>
      </c>
      <c r="G1348" s="117" t="n">
        <v>2019</v>
      </c>
      <c r="H1348" s="117" t="n">
        <v>11</v>
      </c>
      <c r="I1348" s="118" t="n">
        <v>43890</v>
      </c>
      <c r="J1348" s="118" t="n">
        <v>43890</v>
      </c>
      <c r="K1348" s="119" t="n">
        <v>-108288.6</v>
      </c>
      <c r="L1348" s="128" t="n">
        <f aca="false">K1348-Q1348+T1348</f>
        <v>-108288.6</v>
      </c>
      <c r="M1348" s="117" t="s">
        <v>149</v>
      </c>
      <c r="N1348" s="117" t="n">
        <v>-108288.6</v>
      </c>
      <c r="O1348" s="117" t="s">
        <v>149</v>
      </c>
      <c r="P1348" s="117" t="n">
        <v>0</v>
      </c>
      <c r="Q1348" s="117" t="n">
        <v>0</v>
      </c>
      <c r="R1348" s="117" t="n">
        <v>-108288.6</v>
      </c>
      <c r="S1348" s="117" t="n">
        <v>0</v>
      </c>
      <c r="T1348" s="117" t="n">
        <v>0</v>
      </c>
      <c r="U1348" s="117" t="n">
        <v>312193</v>
      </c>
      <c r="V1348" s="117" t="s">
        <v>1963</v>
      </c>
      <c r="Z1348" s="117" t="n">
        <v>100277640</v>
      </c>
      <c r="AD1348" s="117" t="n">
        <v>110000</v>
      </c>
      <c r="AE1348" s="117" t="s">
        <v>1966</v>
      </c>
      <c r="AF1348" s="117" t="n">
        <v>110000</v>
      </c>
      <c r="AG1348" s="117" t="s">
        <v>1966</v>
      </c>
      <c r="AI1348" s="117" t="n">
        <v>110000</v>
      </c>
      <c r="AJ1348" s="117" t="s">
        <v>1966</v>
      </c>
      <c r="AK1348" s="117" t="n">
        <v>0</v>
      </c>
      <c r="AL1348" s="117" t="n">
        <v>17</v>
      </c>
      <c r="AM1348" s="117" t="s">
        <v>225</v>
      </c>
      <c r="AP1348" s="117" t="n">
        <v>100277640</v>
      </c>
      <c r="AQ1348" s="118" t="n">
        <v>43890</v>
      </c>
      <c r="AR1348" s="118" t="n">
        <v>43891</v>
      </c>
      <c r="AS1348" s="117" t="n">
        <v>0.31943287037037</v>
      </c>
      <c r="AT1348" s="117" t="n">
        <v>0</v>
      </c>
      <c r="AU1348" s="117" t="n">
        <v>0</v>
      </c>
      <c r="AX1348" s="117" t="n">
        <v>30</v>
      </c>
    </row>
    <row r="1349" customFormat="false" ht="13.8" hidden="true" customHeight="false" outlineLevel="0" collapsed="false">
      <c r="A1349" s="117" t="n">
        <v>1000</v>
      </c>
      <c r="B1349" s="117" t="s">
        <v>1962</v>
      </c>
      <c r="C1349" s="117" t="n">
        <v>100277640</v>
      </c>
      <c r="E1349" s="117" t="s">
        <v>1921</v>
      </c>
      <c r="F1349" s="117" t="n">
        <v>1108</v>
      </c>
      <c r="G1349" s="117" t="n">
        <v>2019</v>
      </c>
      <c r="H1349" s="117" t="n">
        <v>11</v>
      </c>
      <c r="I1349" s="118" t="n">
        <v>43890</v>
      </c>
      <c r="J1349" s="118" t="n">
        <v>43890</v>
      </c>
      <c r="K1349" s="119" t="n">
        <v>1376685.35</v>
      </c>
      <c r="L1349" s="128" t="n">
        <f aca="false">K1349-Q1349+T1349</f>
        <v>1376685.35</v>
      </c>
      <c r="M1349" s="117" t="s">
        <v>149</v>
      </c>
      <c r="N1349" s="117" t="n">
        <v>1376685.35</v>
      </c>
      <c r="O1349" s="117" t="s">
        <v>149</v>
      </c>
      <c r="P1349" s="117" t="n">
        <v>0</v>
      </c>
      <c r="Q1349" s="117" t="n">
        <v>0</v>
      </c>
      <c r="R1349" s="117" t="n">
        <v>1376685.35</v>
      </c>
      <c r="S1349" s="117" t="n">
        <v>0</v>
      </c>
      <c r="T1349" s="117" t="n">
        <v>0</v>
      </c>
      <c r="U1349" s="117" t="n">
        <v>312193</v>
      </c>
      <c r="V1349" s="117" t="s">
        <v>1963</v>
      </c>
      <c r="X1349" s="117" t="s">
        <v>2644</v>
      </c>
      <c r="Z1349" s="117" t="n">
        <v>63739</v>
      </c>
      <c r="AB1349" s="117" t="s">
        <v>2109</v>
      </c>
      <c r="AD1349" s="117" t="n">
        <v>110000</v>
      </c>
      <c r="AE1349" s="117" t="s">
        <v>1966</v>
      </c>
      <c r="AF1349" s="117" t="n">
        <v>110000</v>
      </c>
      <c r="AG1349" s="117" t="s">
        <v>1966</v>
      </c>
      <c r="AI1349" s="117" t="n">
        <v>110000</v>
      </c>
      <c r="AJ1349" s="117" t="s">
        <v>1966</v>
      </c>
      <c r="AK1349" s="117" t="n">
        <v>0</v>
      </c>
      <c r="AL1349" s="117" t="n">
        <v>4</v>
      </c>
      <c r="AM1349" s="117" t="s">
        <v>161</v>
      </c>
      <c r="AR1349" s="118" t="n">
        <v>43891</v>
      </c>
      <c r="AS1349" s="117" t="n">
        <v>0.31943287037037</v>
      </c>
      <c r="AT1349" s="117" t="n">
        <v>0</v>
      </c>
      <c r="AU1349" s="117" t="n">
        <v>0</v>
      </c>
      <c r="AX1349" s="117" t="n">
        <v>22</v>
      </c>
    </row>
    <row r="1350" customFormat="false" ht="13.8" hidden="true" customHeight="false" outlineLevel="0" collapsed="false">
      <c r="A1350" s="117" t="n">
        <v>1000</v>
      </c>
      <c r="B1350" s="117" t="s">
        <v>1962</v>
      </c>
      <c r="C1350" s="117" t="n">
        <v>100277595</v>
      </c>
      <c r="E1350" s="117" t="s">
        <v>1921</v>
      </c>
      <c r="F1350" s="117" t="n">
        <v>1108</v>
      </c>
      <c r="G1350" s="117" t="n">
        <v>2019</v>
      </c>
      <c r="H1350" s="117" t="n">
        <v>11</v>
      </c>
      <c r="I1350" s="118" t="n">
        <v>43890</v>
      </c>
      <c r="J1350" s="118" t="n">
        <v>43890</v>
      </c>
      <c r="K1350" s="119" t="n">
        <v>-2058298.2</v>
      </c>
      <c r="L1350" s="128" t="n">
        <f aca="false">K1350-Q1350+T1350</f>
        <v>-2058298.2</v>
      </c>
      <c r="M1350" s="117" t="s">
        <v>149</v>
      </c>
      <c r="N1350" s="117" t="n">
        <v>-2058298.2</v>
      </c>
      <c r="O1350" s="117" t="s">
        <v>149</v>
      </c>
      <c r="P1350" s="117" t="n">
        <v>0</v>
      </c>
      <c r="Q1350" s="117" t="n">
        <v>0</v>
      </c>
      <c r="R1350" s="117" t="n">
        <v>-2058298.2</v>
      </c>
      <c r="S1350" s="117" t="n">
        <v>0</v>
      </c>
      <c r="T1350" s="117" t="n">
        <v>0</v>
      </c>
      <c r="U1350" s="117" t="n">
        <v>306263</v>
      </c>
      <c r="V1350" s="117" t="s">
        <v>2006</v>
      </c>
      <c r="Z1350" s="117" t="n">
        <v>100277595</v>
      </c>
      <c r="AD1350" s="117" t="n">
        <v>110000</v>
      </c>
      <c r="AE1350" s="117" t="s">
        <v>1966</v>
      </c>
      <c r="AF1350" s="117" t="n">
        <v>110000</v>
      </c>
      <c r="AG1350" s="117" t="s">
        <v>1966</v>
      </c>
      <c r="AI1350" s="117" t="n">
        <v>110000</v>
      </c>
      <c r="AJ1350" s="117" t="s">
        <v>1966</v>
      </c>
      <c r="AK1350" s="117" t="n">
        <v>0</v>
      </c>
      <c r="AL1350" s="117" t="n">
        <v>17</v>
      </c>
      <c r="AM1350" s="117" t="s">
        <v>225</v>
      </c>
      <c r="AP1350" s="117" t="n">
        <v>100277595</v>
      </c>
      <c r="AQ1350" s="118" t="n">
        <v>43890</v>
      </c>
      <c r="AR1350" s="118" t="n">
        <v>43891</v>
      </c>
      <c r="AS1350" s="117" t="n">
        <v>0.280914351851852</v>
      </c>
      <c r="AT1350" s="117" t="n">
        <v>0</v>
      </c>
      <c r="AU1350" s="117" t="n">
        <v>0</v>
      </c>
      <c r="AX1350" s="117" t="n">
        <v>2</v>
      </c>
    </row>
    <row r="1351" customFormat="false" ht="13.8" hidden="true" customHeight="false" outlineLevel="0" collapsed="false">
      <c r="A1351" s="117" t="n">
        <v>1000</v>
      </c>
      <c r="B1351" s="117" t="s">
        <v>1962</v>
      </c>
      <c r="C1351" s="117" t="n">
        <v>100277640</v>
      </c>
      <c r="E1351" s="117" t="s">
        <v>1921</v>
      </c>
      <c r="F1351" s="117" t="n">
        <v>1109</v>
      </c>
      <c r="G1351" s="117" t="n">
        <v>2019</v>
      </c>
      <c r="H1351" s="117" t="n">
        <v>11</v>
      </c>
      <c r="I1351" s="118" t="n">
        <v>43890</v>
      </c>
      <c r="J1351" s="118" t="n">
        <v>43890</v>
      </c>
      <c r="K1351" s="119" t="n">
        <v>121243.94</v>
      </c>
      <c r="L1351" s="128" t="n">
        <f aca="false">K1351-Q1351+T1351</f>
        <v>121243.94</v>
      </c>
      <c r="M1351" s="117" t="s">
        <v>149</v>
      </c>
      <c r="N1351" s="117" t="n">
        <v>121243.94</v>
      </c>
      <c r="O1351" s="117" t="s">
        <v>149</v>
      </c>
      <c r="P1351" s="117" t="n">
        <v>0</v>
      </c>
      <c r="Q1351" s="117" t="n">
        <v>0</v>
      </c>
      <c r="R1351" s="117" t="n">
        <v>121243.94</v>
      </c>
      <c r="S1351" s="117" t="n">
        <v>0</v>
      </c>
      <c r="T1351" s="117" t="n">
        <v>0</v>
      </c>
      <c r="U1351" s="117" t="n">
        <v>312193</v>
      </c>
      <c r="V1351" s="117" t="s">
        <v>1963</v>
      </c>
      <c r="X1351" s="117" t="s">
        <v>2496</v>
      </c>
      <c r="Z1351" s="117" t="n">
        <v>62805</v>
      </c>
      <c r="AB1351" s="117" t="s">
        <v>2477</v>
      </c>
      <c r="AD1351" s="117" t="n">
        <v>110000</v>
      </c>
      <c r="AE1351" s="117" t="s">
        <v>1966</v>
      </c>
      <c r="AF1351" s="117" t="n">
        <v>110000</v>
      </c>
      <c r="AG1351" s="117" t="s">
        <v>1966</v>
      </c>
      <c r="AI1351" s="117" t="n">
        <v>110000</v>
      </c>
      <c r="AJ1351" s="117" t="s">
        <v>1966</v>
      </c>
      <c r="AK1351" s="117" t="n">
        <v>0</v>
      </c>
      <c r="AL1351" s="117" t="n">
        <v>4</v>
      </c>
      <c r="AM1351" s="117" t="s">
        <v>161</v>
      </c>
      <c r="AR1351" s="118" t="n">
        <v>43891</v>
      </c>
      <c r="AS1351" s="117" t="n">
        <v>0.31943287037037</v>
      </c>
      <c r="AT1351" s="117" t="n">
        <v>0</v>
      </c>
      <c r="AU1351" s="117" t="n">
        <v>0</v>
      </c>
      <c r="AX1351" s="117" t="n">
        <v>10</v>
      </c>
    </row>
    <row r="1352" customFormat="false" ht="13.8" hidden="true" customHeight="false" outlineLevel="0" collapsed="false">
      <c r="A1352" s="117" t="n">
        <v>1000</v>
      </c>
      <c r="B1352" s="117" t="s">
        <v>1962</v>
      </c>
      <c r="C1352" s="117" t="n">
        <v>100277640</v>
      </c>
      <c r="E1352" s="117" t="s">
        <v>1921</v>
      </c>
      <c r="F1352" s="117" t="n">
        <v>1108</v>
      </c>
      <c r="G1352" s="117" t="n">
        <v>2019</v>
      </c>
      <c r="H1352" s="117" t="n">
        <v>11</v>
      </c>
      <c r="I1352" s="118" t="n">
        <v>43890</v>
      </c>
      <c r="J1352" s="118" t="n">
        <v>43890</v>
      </c>
      <c r="K1352" s="119" t="n">
        <v>1096642.15</v>
      </c>
      <c r="L1352" s="128" t="n">
        <f aca="false">K1352-Q1352+T1352</f>
        <v>1096642.15</v>
      </c>
      <c r="M1352" s="117" t="s">
        <v>149</v>
      </c>
      <c r="N1352" s="117" t="n">
        <v>1096642.15</v>
      </c>
      <c r="O1352" s="117" t="s">
        <v>149</v>
      </c>
      <c r="P1352" s="117" t="n">
        <v>0</v>
      </c>
      <c r="Q1352" s="117" t="n">
        <v>0</v>
      </c>
      <c r="R1352" s="117" t="n">
        <v>1096642.15</v>
      </c>
      <c r="S1352" s="117" t="n">
        <v>0</v>
      </c>
      <c r="T1352" s="117" t="n">
        <v>0</v>
      </c>
      <c r="U1352" s="117" t="n">
        <v>312193</v>
      </c>
      <c r="V1352" s="117" t="s">
        <v>1963</v>
      </c>
      <c r="X1352" s="117" t="s">
        <v>2666</v>
      </c>
      <c r="Z1352" s="117" t="n">
        <v>63736</v>
      </c>
      <c r="AB1352" s="117" t="s">
        <v>2109</v>
      </c>
      <c r="AD1352" s="117" t="n">
        <v>110000</v>
      </c>
      <c r="AE1352" s="117" t="s">
        <v>1966</v>
      </c>
      <c r="AF1352" s="117" t="n">
        <v>110000</v>
      </c>
      <c r="AG1352" s="117" t="s">
        <v>1966</v>
      </c>
      <c r="AI1352" s="117" t="n">
        <v>110000</v>
      </c>
      <c r="AJ1352" s="117" t="s">
        <v>1966</v>
      </c>
      <c r="AK1352" s="117" t="n">
        <v>0</v>
      </c>
      <c r="AL1352" s="117" t="n">
        <v>4</v>
      </c>
      <c r="AM1352" s="117" t="s">
        <v>161</v>
      </c>
      <c r="AR1352" s="118" t="n">
        <v>43891</v>
      </c>
      <c r="AS1352" s="117" t="n">
        <v>0.31943287037037</v>
      </c>
      <c r="AT1352" s="117" t="n">
        <v>0</v>
      </c>
      <c r="AU1352" s="117" t="n">
        <v>0</v>
      </c>
      <c r="AX1352" s="117" t="n">
        <v>28</v>
      </c>
    </row>
    <row r="1353" customFormat="false" ht="13.8" hidden="true" customHeight="false" outlineLevel="0" collapsed="false">
      <c r="A1353" s="117" t="n">
        <v>1000</v>
      </c>
      <c r="B1353" s="117" t="s">
        <v>1962</v>
      </c>
      <c r="C1353" s="117" t="n">
        <v>100277640</v>
      </c>
      <c r="E1353" s="117" t="s">
        <v>1921</v>
      </c>
      <c r="F1353" s="117" t="n">
        <v>1109</v>
      </c>
      <c r="G1353" s="117" t="n">
        <v>2019</v>
      </c>
      <c r="H1353" s="117" t="n">
        <v>11</v>
      </c>
      <c r="I1353" s="118" t="n">
        <v>43890</v>
      </c>
      <c r="J1353" s="118" t="n">
        <v>43890</v>
      </c>
      <c r="K1353" s="119" t="n">
        <v>108808.66</v>
      </c>
      <c r="L1353" s="128" t="n">
        <f aca="false">K1353-Q1353+T1353</f>
        <v>108808.66</v>
      </c>
      <c r="M1353" s="117" t="s">
        <v>149</v>
      </c>
      <c r="N1353" s="117" t="n">
        <v>108808.66</v>
      </c>
      <c r="O1353" s="117" t="s">
        <v>149</v>
      </c>
      <c r="P1353" s="117" t="n">
        <v>0</v>
      </c>
      <c r="Q1353" s="117" t="n">
        <v>0</v>
      </c>
      <c r="R1353" s="117" t="n">
        <v>108808.66</v>
      </c>
      <c r="S1353" s="117" t="n">
        <v>0</v>
      </c>
      <c r="T1353" s="117" t="n">
        <v>0</v>
      </c>
      <c r="U1353" s="117" t="n">
        <v>312193</v>
      </c>
      <c r="V1353" s="117" t="s">
        <v>1963</v>
      </c>
      <c r="X1353" s="117" t="s">
        <v>2505</v>
      </c>
      <c r="Z1353" s="117" t="n">
        <v>62772</v>
      </c>
      <c r="AB1353" s="117" t="s">
        <v>2477</v>
      </c>
      <c r="AD1353" s="117" t="n">
        <v>110000</v>
      </c>
      <c r="AE1353" s="117" t="s">
        <v>1966</v>
      </c>
      <c r="AF1353" s="117" t="n">
        <v>110000</v>
      </c>
      <c r="AG1353" s="117" t="s">
        <v>1966</v>
      </c>
      <c r="AI1353" s="117" t="n">
        <v>110000</v>
      </c>
      <c r="AJ1353" s="117" t="s">
        <v>1966</v>
      </c>
      <c r="AK1353" s="117" t="n">
        <v>0</v>
      </c>
      <c r="AL1353" s="117" t="n">
        <v>4</v>
      </c>
      <c r="AM1353" s="117" t="s">
        <v>161</v>
      </c>
      <c r="AR1353" s="118" t="n">
        <v>43891</v>
      </c>
      <c r="AS1353" s="117" t="n">
        <v>0.31943287037037</v>
      </c>
      <c r="AT1353" s="117" t="n">
        <v>0</v>
      </c>
      <c r="AU1353" s="117" t="n">
        <v>0</v>
      </c>
      <c r="AX1353" s="117" t="n">
        <v>12</v>
      </c>
    </row>
    <row r="1354" s="106" customFormat="true" ht="13.8" hidden="true" customHeight="false" outlineLevel="0" collapsed="false">
      <c r="A1354" s="106" t="n">
        <v>1000</v>
      </c>
      <c r="B1354" s="106" t="s">
        <v>1962</v>
      </c>
      <c r="C1354" s="106" t="n">
        <v>113545</v>
      </c>
      <c r="D1354" s="106" t="s">
        <v>2665</v>
      </c>
      <c r="E1354" s="106" t="s">
        <v>1970</v>
      </c>
      <c r="F1354" s="106" t="n">
        <v>1108</v>
      </c>
      <c r="G1354" s="106" t="n">
        <v>2019</v>
      </c>
      <c r="H1354" s="106" t="n">
        <v>11</v>
      </c>
      <c r="I1354" s="129" t="n">
        <v>43890</v>
      </c>
      <c r="J1354" s="129" t="n">
        <v>43890</v>
      </c>
      <c r="K1354" s="107" t="n">
        <v>18466.95</v>
      </c>
      <c r="L1354" s="130" t="n">
        <f aca="false">K1354-Q1354+T1354</f>
        <v>15649.96</v>
      </c>
      <c r="M1354" s="106" t="s">
        <v>149</v>
      </c>
      <c r="N1354" s="106" t="n">
        <v>18466.95</v>
      </c>
      <c r="O1354" s="106" t="s">
        <v>149</v>
      </c>
      <c r="P1354" s="106" t="n">
        <v>0</v>
      </c>
      <c r="Q1354" s="107" t="n">
        <v>2816.99</v>
      </c>
      <c r="R1354" s="106" t="n">
        <v>15649.96</v>
      </c>
      <c r="S1354" s="106" t="n">
        <v>0</v>
      </c>
      <c r="T1354" s="106" t="n">
        <v>0</v>
      </c>
      <c r="U1354" s="106" t="n">
        <v>312193</v>
      </c>
      <c r="V1354" s="106" t="s">
        <v>1963</v>
      </c>
      <c r="Z1354" s="106" t="n">
        <v>63970</v>
      </c>
      <c r="AB1354" s="106" t="s">
        <v>2109</v>
      </c>
      <c r="AD1354" s="106" t="n">
        <v>110000</v>
      </c>
      <c r="AE1354" s="106" t="s">
        <v>1966</v>
      </c>
      <c r="AF1354" s="106" t="n">
        <v>501005</v>
      </c>
      <c r="AG1354" s="106" t="s">
        <v>2033</v>
      </c>
      <c r="AI1354" s="106" t="n">
        <v>501005</v>
      </c>
      <c r="AJ1354" s="106" t="s">
        <v>2033</v>
      </c>
      <c r="AK1354" s="106" t="n">
        <v>0</v>
      </c>
      <c r="AL1354" s="106" t="n">
        <v>1</v>
      </c>
      <c r="AM1354" s="106" t="s">
        <v>161</v>
      </c>
      <c r="AP1354" s="106" t="n">
        <v>100277640</v>
      </c>
      <c r="AQ1354" s="129" t="n">
        <v>43890</v>
      </c>
      <c r="AR1354" s="129" t="n">
        <v>43890</v>
      </c>
      <c r="AS1354" s="106" t="n">
        <v>0.83619212962963</v>
      </c>
      <c r="AT1354" s="106" t="n">
        <v>0</v>
      </c>
      <c r="AU1354" s="106" t="n">
        <v>0</v>
      </c>
      <c r="AX1354" s="106" t="n">
        <v>1</v>
      </c>
      <c r="ALU1354" s="0"/>
      <c r="ALV1354" s="0"/>
      <c r="ALW1354" s="0"/>
      <c r="ALX1354" s="0"/>
      <c r="ALY1354" s="0"/>
      <c r="ALZ1354" s="0"/>
      <c r="AMA1354" s="0"/>
      <c r="AMB1354" s="0"/>
      <c r="AMC1354" s="0"/>
      <c r="AMD1354" s="0"/>
      <c r="AME1354" s="0"/>
      <c r="AMF1354" s="0"/>
      <c r="AMG1354" s="0"/>
      <c r="AMH1354" s="0"/>
      <c r="AMI1354" s="0"/>
      <c r="AMJ1354" s="0"/>
    </row>
    <row r="1355" customFormat="false" ht="13.8" hidden="true" customHeight="false" outlineLevel="0" collapsed="false">
      <c r="A1355" s="117" t="n">
        <v>1000</v>
      </c>
      <c r="B1355" s="117" t="s">
        <v>1962</v>
      </c>
      <c r="C1355" s="117" t="n">
        <v>100277640</v>
      </c>
      <c r="E1355" s="117" t="s">
        <v>1921</v>
      </c>
      <c r="F1355" s="117" t="n">
        <v>1109</v>
      </c>
      <c r="G1355" s="117" t="n">
        <v>2019</v>
      </c>
      <c r="H1355" s="117" t="n">
        <v>11</v>
      </c>
      <c r="I1355" s="118" t="n">
        <v>43890</v>
      </c>
      <c r="J1355" s="118" t="n">
        <v>43890</v>
      </c>
      <c r="K1355" s="119" t="n">
        <v>370049.18</v>
      </c>
      <c r="L1355" s="128" t="n">
        <f aca="false">K1355-Q1355+T1355</f>
        <v>370049.18</v>
      </c>
      <c r="M1355" s="117" t="s">
        <v>149</v>
      </c>
      <c r="N1355" s="117" t="n">
        <v>370049.18</v>
      </c>
      <c r="O1355" s="117" t="s">
        <v>149</v>
      </c>
      <c r="P1355" s="117" t="n">
        <v>0</v>
      </c>
      <c r="Q1355" s="117" t="n">
        <v>0</v>
      </c>
      <c r="R1355" s="117" t="n">
        <v>370049.18</v>
      </c>
      <c r="S1355" s="117" t="n">
        <v>0</v>
      </c>
      <c r="T1355" s="117" t="n">
        <v>0</v>
      </c>
      <c r="U1355" s="117" t="n">
        <v>312193</v>
      </c>
      <c r="V1355" s="117" t="s">
        <v>1963</v>
      </c>
      <c r="X1355" s="117" t="s">
        <v>2529</v>
      </c>
      <c r="Z1355" s="117" t="n">
        <v>63775</v>
      </c>
      <c r="AB1355" s="117" t="s">
        <v>2469</v>
      </c>
      <c r="AD1355" s="117" t="n">
        <v>110000</v>
      </c>
      <c r="AE1355" s="117" t="s">
        <v>1966</v>
      </c>
      <c r="AF1355" s="117" t="n">
        <v>110000</v>
      </c>
      <c r="AG1355" s="117" t="s">
        <v>1966</v>
      </c>
      <c r="AI1355" s="117" t="n">
        <v>110000</v>
      </c>
      <c r="AJ1355" s="117" t="s">
        <v>1966</v>
      </c>
      <c r="AK1355" s="117" t="n">
        <v>0</v>
      </c>
      <c r="AL1355" s="117" t="n">
        <v>4</v>
      </c>
      <c r="AM1355" s="117" t="s">
        <v>161</v>
      </c>
      <c r="AR1355" s="118" t="n">
        <v>43891</v>
      </c>
      <c r="AS1355" s="117" t="n">
        <v>0.31943287037037</v>
      </c>
      <c r="AT1355" s="117" t="n">
        <v>0</v>
      </c>
      <c r="AU1355" s="117" t="n">
        <v>0</v>
      </c>
      <c r="AX1355" s="117" t="n">
        <v>19</v>
      </c>
    </row>
    <row r="1356" customFormat="false" ht="13.8" hidden="true" customHeight="false" outlineLevel="0" collapsed="false">
      <c r="A1356" s="117" t="n">
        <v>1000</v>
      </c>
      <c r="B1356" s="117" t="s">
        <v>1962</v>
      </c>
      <c r="C1356" s="117" t="n">
        <v>100277640</v>
      </c>
      <c r="E1356" s="117" t="s">
        <v>1921</v>
      </c>
      <c r="F1356" s="117" t="n">
        <v>1108</v>
      </c>
      <c r="G1356" s="117" t="n">
        <v>2019</v>
      </c>
      <c r="H1356" s="117" t="n">
        <v>11</v>
      </c>
      <c r="I1356" s="118" t="n">
        <v>43890</v>
      </c>
      <c r="J1356" s="118" t="n">
        <v>43890</v>
      </c>
      <c r="K1356" s="119" t="n">
        <v>1621134.22</v>
      </c>
      <c r="L1356" s="128" t="n">
        <f aca="false">K1356-Q1356+T1356</f>
        <v>1621134.22</v>
      </c>
      <c r="M1356" s="117" t="s">
        <v>149</v>
      </c>
      <c r="N1356" s="117" t="n">
        <v>1621134.22</v>
      </c>
      <c r="O1356" s="117" t="s">
        <v>149</v>
      </c>
      <c r="P1356" s="117" t="n">
        <v>0</v>
      </c>
      <c r="Q1356" s="117" t="n">
        <v>0</v>
      </c>
      <c r="R1356" s="117" t="n">
        <v>1621134.22</v>
      </c>
      <c r="S1356" s="117" t="n">
        <v>0</v>
      </c>
      <c r="T1356" s="117" t="n">
        <v>0</v>
      </c>
      <c r="U1356" s="117" t="n">
        <v>312193</v>
      </c>
      <c r="V1356" s="117" t="s">
        <v>1963</v>
      </c>
      <c r="X1356" s="117" t="s">
        <v>2667</v>
      </c>
      <c r="Z1356" s="117" t="n">
        <v>63737</v>
      </c>
      <c r="AB1356" s="117" t="s">
        <v>2109</v>
      </c>
      <c r="AD1356" s="117" t="n">
        <v>110000</v>
      </c>
      <c r="AE1356" s="117" t="s">
        <v>1966</v>
      </c>
      <c r="AF1356" s="117" t="n">
        <v>110000</v>
      </c>
      <c r="AG1356" s="117" t="s">
        <v>1966</v>
      </c>
      <c r="AI1356" s="117" t="n">
        <v>110000</v>
      </c>
      <c r="AJ1356" s="117" t="s">
        <v>1966</v>
      </c>
      <c r="AK1356" s="117" t="n">
        <v>0</v>
      </c>
      <c r="AL1356" s="117" t="n">
        <v>4</v>
      </c>
      <c r="AM1356" s="117" t="s">
        <v>161</v>
      </c>
      <c r="AR1356" s="118" t="n">
        <v>43891</v>
      </c>
      <c r="AS1356" s="117" t="n">
        <v>0.31943287037037</v>
      </c>
      <c r="AT1356" s="117" t="n">
        <v>0</v>
      </c>
      <c r="AU1356" s="117" t="n">
        <v>0</v>
      </c>
      <c r="AX1356" s="117" t="n">
        <v>25</v>
      </c>
    </row>
    <row r="1357" customFormat="false" ht="13.8" hidden="true" customHeight="false" outlineLevel="0" collapsed="false">
      <c r="A1357" s="117" t="n">
        <v>1000</v>
      </c>
      <c r="B1357" s="117" t="s">
        <v>1962</v>
      </c>
      <c r="C1357" s="117" t="n">
        <v>100277640</v>
      </c>
      <c r="E1357" s="117" t="s">
        <v>1921</v>
      </c>
      <c r="F1357" s="117" t="n">
        <v>1109</v>
      </c>
      <c r="G1357" s="117" t="n">
        <v>2019</v>
      </c>
      <c r="H1357" s="117" t="n">
        <v>11</v>
      </c>
      <c r="I1357" s="118" t="n">
        <v>43890</v>
      </c>
      <c r="J1357" s="118" t="n">
        <v>43890</v>
      </c>
      <c r="K1357" s="119" t="n">
        <v>1424188.53</v>
      </c>
      <c r="L1357" s="128" t="n">
        <f aca="false">K1357-Q1357+T1357</f>
        <v>1424188.53</v>
      </c>
      <c r="M1357" s="117" t="s">
        <v>149</v>
      </c>
      <c r="N1357" s="117" t="n">
        <v>1424188.53</v>
      </c>
      <c r="O1357" s="117" t="s">
        <v>149</v>
      </c>
      <c r="P1357" s="117" t="n">
        <v>0</v>
      </c>
      <c r="Q1357" s="117" t="n">
        <v>0</v>
      </c>
      <c r="R1357" s="117" t="n">
        <v>1424188.53</v>
      </c>
      <c r="S1357" s="117" t="n">
        <v>0</v>
      </c>
      <c r="T1357" s="117" t="n">
        <v>0</v>
      </c>
      <c r="U1357" s="117" t="n">
        <v>312193</v>
      </c>
      <c r="V1357" s="117" t="s">
        <v>1963</v>
      </c>
      <c r="X1357" s="117" t="s">
        <v>2504</v>
      </c>
      <c r="Z1357" s="117" t="n">
        <v>62774</v>
      </c>
      <c r="AB1357" s="117" t="s">
        <v>2477</v>
      </c>
      <c r="AD1357" s="117" t="n">
        <v>110000</v>
      </c>
      <c r="AE1357" s="117" t="s">
        <v>1966</v>
      </c>
      <c r="AF1357" s="117" t="n">
        <v>110000</v>
      </c>
      <c r="AG1357" s="117" t="s">
        <v>1966</v>
      </c>
      <c r="AI1357" s="117" t="n">
        <v>110000</v>
      </c>
      <c r="AJ1357" s="117" t="s">
        <v>1966</v>
      </c>
      <c r="AK1357" s="117" t="n">
        <v>0</v>
      </c>
      <c r="AL1357" s="117" t="n">
        <v>4</v>
      </c>
      <c r="AM1357" s="117" t="s">
        <v>161</v>
      </c>
      <c r="AR1357" s="118" t="n">
        <v>43891</v>
      </c>
      <c r="AS1357" s="117" t="n">
        <v>0.31943287037037</v>
      </c>
      <c r="AT1357" s="117" t="n">
        <v>0</v>
      </c>
      <c r="AU1357" s="117" t="n">
        <v>0</v>
      </c>
      <c r="AX1357" s="117" t="n">
        <v>11</v>
      </c>
    </row>
    <row r="1358" customFormat="false" ht="13.8" hidden="true" customHeight="false" outlineLevel="0" collapsed="false">
      <c r="A1358" s="117" t="n">
        <v>1000</v>
      </c>
      <c r="B1358" s="117" t="s">
        <v>1962</v>
      </c>
      <c r="C1358" s="117" t="n">
        <v>100277614</v>
      </c>
      <c r="E1358" s="117" t="s">
        <v>1921</v>
      </c>
      <c r="F1358" s="117" t="n">
        <v>1109</v>
      </c>
      <c r="G1358" s="117" t="n">
        <v>2019</v>
      </c>
      <c r="H1358" s="117" t="n">
        <v>11</v>
      </c>
      <c r="I1358" s="118" t="n">
        <v>43890</v>
      </c>
      <c r="J1358" s="118" t="n">
        <v>43890</v>
      </c>
      <c r="K1358" s="119" t="n">
        <v>423929.84</v>
      </c>
      <c r="L1358" s="128" t="n">
        <f aca="false">K1358-Q1358+T1358</f>
        <v>423929.84</v>
      </c>
      <c r="M1358" s="117" t="s">
        <v>149</v>
      </c>
      <c r="N1358" s="117" t="n">
        <v>423929.84</v>
      </c>
      <c r="O1358" s="117" t="s">
        <v>149</v>
      </c>
      <c r="P1358" s="117" t="n">
        <v>0</v>
      </c>
      <c r="Q1358" s="117" t="n">
        <v>0</v>
      </c>
      <c r="R1358" s="117" t="n">
        <v>423929.84</v>
      </c>
      <c r="S1358" s="117" t="n">
        <v>0</v>
      </c>
      <c r="T1358" s="117" t="n">
        <v>0</v>
      </c>
      <c r="U1358" s="117" t="n">
        <v>310187</v>
      </c>
      <c r="V1358" s="117" t="s">
        <v>2394</v>
      </c>
      <c r="Z1358" s="117" t="n">
        <v>100277614</v>
      </c>
      <c r="AD1358" s="117" t="n">
        <v>310300</v>
      </c>
      <c r="AE1358" s="117" t="s">
        <v>1969</v>
      </c>
      <c r="AF1358" s="117" t="n">
        <v>110000</v>
      </c>
      <c r="AG1358" s="117" t="s">
        <v>1966</v>
      </c>
      <c r="AI1358" s="117" t="n">
        <v>110000</v>
      </c>
      <c r="AJ1358" s="117" t="s">
        <v>1966</v>
      </c>
      <c r="AK1358" s="117" t="n">
        <v>0</v>
      </c>
      <c r="AL1358" s="117" t="n">
        <v>9</v>
      </c>
      <c r="AM1358" s="117" t="s">
        <v>161</v>
      </c>
      <c r="AN1358" s="117" t="s">
        <v>1978</v>
      </c>
      <c r="AP1358" s="117" t="n">
        <v>100277614</v>
      </c>
      <c r="AQ1358" s="118" t="n">
        <v>43890</v>
      </c>
      <c r="AR1358" s="118" t="n">
        <v>43891</v>
      </c>
      <c r="AS1358" s="117" t="n">
        <v>0.298425925925926</v>
      </c>
      <c r="AT1358" s="117" t="n">
        <v>0</v>
      </c>
      <c r="AU1358" s="117" t="n">
        <v>0</v>
      </c>
      <c r="AX1358" s="117" t="n">
        <v>2</v>
      </c>
    </row>
    <row r="1359" customFormat="false" ht="13.8" hidden="true" customHeight="false" outlineLevel="0" collapsed="false">
      <c r="A1359" s="117" t="n">
        <v>1000</v>
      </c>
      <c r="B1359" s="117" t="s">
        <v>1962</v>
      </c>
      <c r="C1359" s="117" t="n">
        <v>100277640</v>
      </c>
      <c r="E1359" s="117" t="s">
        <v>1921</v>
      </c>
      <c r="F1359" s="117" t="n">
        <v>1108</v>
      </c>
      <c r="G1359" s="117" t="n">
        <v>2019</v>
      </c>
      <c r="H1359" s="117" t="n">
        <v>11</v>
      </c>
      <c r="I1359" s="118" t="n">
        <v>43890</v>
      </c>
      <c r="J1359" s="118" t="n">
        <v>43890</v>
      </c>
      <c r="K1359" s="119" t="n">
        <v>97834.09</v>
      </c>
      <c r="L1359" s="128" t="n">
        <f aca="false">K1359-Q1359+T1359</f>
        <v>97834.09</v>
      </c>
      <c r="M1359" s="117" t="s">
        <v>149</v>
      </c>
      <c r="N1359" s="117" t="n">
        <v>97834.09</v>
      </c>
      <c r="O1359" s="117" t="s">
        <v>149</v>
      </c>
      <c r="P1359" s="117" t="n">
        <v>0</v>
      </c>
      <c r="Q1359" s="117" t="n">
        <v>0</v>
      </c>
      <c r="R1359" s="117" t="n">
        <v>97834.09</v>
      </c>
      <c r="S1359" s="117" t="n">
        <v>0</v>
      </c>
      <c r="T1359" s="117" t="n">
        <v>0</v>
      </c>
      <c r="U1359" s="117" t="n">
        <v>312193</v>
      </c>
      <c r="V1359" s="117" t="s">
        <v>1963</v>
      </c>
      <c r="X1359" s="117" t="s">
        <v>1168</v>
      </c>
      <c r="Z1359" s="117" t="n">
        <v>2346</v>
      </c>
      <c r="AB1359" s="117" t="s">
        <v>2031</v>
      </c>
      <c r="AD1359" s="117" t="n">
        <v>110000</v>
      </c>
      <c r="AE1359" s="117" t="s">
        <v>1966</v>
      </c>
      <c r="AF1359" s="117" t="n">
        <v>110000</v>
      </c>
      <c r="AG1359" s="117" t="s">
        <v>1966</v>
      </c>
      <c r="AI1359" s="117" t="n">
        <v>110000</v>
      </c>
      <c r="AJ1359" s="117" t="s">
        <v>1966</v>
      </c>
      <c r="AK1359" s="117" t="n">
        <v>0</v>
      </c>
      <c r="AL1359" s="117" t="n">
        <v>4</v>
      </c>
      <c r="AM1359" s="117" t="s">
        <v>161</v>
      </c>
      <c r="AR1359" s="118" t="n">
        <v>43891</v>
      </c>
      <c r="AS1359" s="117" t="n">
        <v>0.31943287037037</v>
      </c>
      <c r="AT1359" s="117" t="n">
        <v>0</v>
      </c>
      <c r="AU1359" s="117" t="n">
        <v>0</v>
      </c>
      <c r="AX1359" s="117" t="n">
        <v>1</v>
      </c>
    </row>
    <row r="1360" customFormat="false" ht="13.8" hidden="true" customHeight="false" outlineLevel="0" collapsed="false">
      <c r="A1360" s="117" t="n">
        <v>1000</v>
      </c>
      <c r="B1360" s="117" t="s">
        <v>1962</v>
      </c>
      <c r="C1360" s="117" t="n">
        <v>100277640</v>
      </c>
      <c r="E1360" s="117" t="s">
        <v>1921</v>
      </c>
      <c r="F1360" s="117" t="n">
        <v>1109</v>
      </c>
      <c r="G1360" s="117" t="n">
        <v>2019</v>
      </c>
      <c r="H1360" s="117" t="n">
        <v>11</v>
      </c>
      <c r="I1360" s="118" t="n">
        <v>43890</v>
      </c>
      <c r="J1360" s="118" t="n">
        <v>43890</v>
      </c>
      <c r="K1360" s="119" t="n">
        <v>1035213.12</v>
      </c>
      <c r="L1360" s="128" t="n">
        <f aca="false">K1360-Q1360+T1360</f>
        <v>1035213.12</v>
      </c>
      <c r="M1360" s="117" t="s">
        <v>149</v>
      </c>
      <c r="N1360" s="117" t="n">
        <v>1035213.12</v>
      </c>
      <c r="O1360" s="117" t="s">
        <v>149</v>
      </c>
      <c r="P1360" s="117" t="n">
        <v>0</v>
      </c>
      <c r="Q1360" s="117" t="n">
        <v>0</v>
      </c>
      <c r="R1360" s="117" t="n">
        <v>1035213.12</v>
      </c>
      <c r="S1360" s="117" t="n">
        <v>0</v>
      </c>
      <c r="T1360" s="117" t="n">
        <v>0</v>
      </c>
      <c r="U1360" s="117" t="n">
        <v>312193</v>
      </c>
      <c r="V1360" s="117" t="s">
        <v>1963</v>
      </c>
      <c r="X1360" s="117" t="s">
        <v>2521</v>
      </c>
      <c r="Z1360" s="117" t="n">
        <v>63775</v>
      </c>
      <c r="AB1360" s="117" t="s">
        <v>2469</v>
      </c>
      <c r="AD1360" s="117" t="n">
        <v>110000</v>
      </c>
      <c r="AE1360" s="117" t="s">
        <v>1966</v>
      </c>
      <c r="AF1360" s="117" t="n">
        <v>110000</v>
      </c>
      <c r="AG1360" s="117" t="s">
        <v>1966</v>
      </c>
      <c r="AI1360" s="117" t="n">
        <v>110000</v>
      </c>
      <c r="AJ1360" s="117" t="s">
        <v>1966</v>
      </c>
      <c r="AK1360" s="117" t="n">
        <v>0</v>
      </c>
      <c r="AL1360" s="117" t="n">
        <v>4</v>
      </c>
      <c r="AM1360" s="117" t="s">
        <v>161</v>
      </c>
      <c r="AR1360" s="118" t="n">
        <v>43891</v>
      </c>
      <c r="AS1360" s="117" t="n">
        <v>0.31943287037037</v>
      </c>
      <c r="AT1360" s="117" t="n">
        <v>0</v>
      </c>
      <c r="AU1360" s="117" t="n">
        <v>0</v>
      </c>
      <c r="AX1360" s="117" t="n">
        <v>18</v>
      </c>
    </row>
    <row r="1361" customFormat="false" ht="13.8" hidden="true" customHeight="false" outlineLevel="0" collapsed="false">
      <c r="A1361" s="117" t="n">
        <v>1000</v>
      </c>
      <c r="B1361" s="117" t="s">
        <v>1962</v>
      </c>
      <c r="C1361" s="117" t="n">
        <v>1400011813</v>
      </c>
      <c r="E1361" s="117" t="s">
        <v>1972</v>
      </c>
      <c r="F1361" s="117" t="n">
        <v>1106</v>
      </c>
      <c r="G1361" s="117" t="n">
        <v>2019</v>
      </c>
      <c r="H1361" s="117" t="n">
        <v>12</v>
      </c>
      <c r="I1361" s="118" t="n">
        <v>43901</v>
      </c>
      <c r="J1361" s="118" t="n">
        <v>43901</v>
      </c>
      <c r="K1361" s="119" t="n">
        <v>-3488421.01</v>
      </c>
      <c r="L1361" s="128" t="n">
        <f aca="false">K1361-Q1361+T1361</f>
        <v>-3488421.01</v>
      </c>
      <c r="M1361" s="117" t="s">
        <v>149</v>
      </c>
      <c r="N1361" s="117" t="n">
        <v>-3488421.01</v>
      </c>
      <c r="O1361" s="117" t="s">
        <v>149</v>
      </c>
      <c r="P1361" s="117" t="n">
        <v>0</v>
      </c>
      <c r="Q1361" s="117" t="n">
        <v>0</v>
      </c>
      <c r="R1361" s="117" t="n">
        <v>-3488421.01</v>
      </c>
      <c r="S1361" s="117" t="n">
        <v>0</v>
      </c>
      <c r="T1361" s="117" t="n">
        <v>0</v>
      </c>
      <c r="U1361" s="117" t="n">
        <v>312193</v>
      </c>
      <c r="V1361" s="117" t="s">
        <v>1963</v>
      </c>
      <c r="X1361" s="117" t="s">
        <v>2669</v>
      </c>
      <c r="Y1361" s="117" t="s">
        <v>2670</v>
      </c>
      <c r="Z1361" s="117" t="n">
        <v>1400011813</v>
      </c>
      <c r="AC1361" s="117" t="s">
        <v>1976</v>
      </c>
      <c r="AD1361" s="117" t="n">
        <v>310300</v>
      </c>
      <c r="AE1361" s="117" t="s">
        <v>1969</v>
      </c>
      <c r="AF1361" s="117" t="n">
        <v>101105</v>
      </c>
      <c r="AG1361" s="117" t="s">
        <v>1977</v>
      </c>
      <c r="AI1361" s="117" t="n">
        <v>101105</v>
      </c>
      <c r="AJ1361" s="117" t="s">
        <v>1977</v>
      </c>
      <c r="AK1361" s="117" t="n">
        <v>0</v>
      </c>
      <c r="AL1361" s="117" t="n">
        <v>19</v>
      </c>
      <c r="AM1361" s="117" t="s">
        <v>225</v>
      </c>
      <c r="AN1361" s="117" t="s">
        <v>1978</v>
      </c>
      <c r="AR1361" s="118" t="n">
        <v>43902</v>
      </c>
      <c r="AS1361" s="117" t="n">
        <v>0.704861111111111</v>
      </c>
      <c r="AT1361" s="117" t="n">
        <v>0</v>
      </c>
      <c r="AU1361" s="117" t="n">
        <v>0</v>
      </c>
      <c r="AW1361" s="117" t="n">
        <v>0</v>
      </c>
      <c r="AX1361" s="117" t="n">
        <v>2</v>
      </c>
    </row>
    <row r="1362" s="106" customFormat="true" ht="13.8" hidden="true" customHeight="false" outlineLevel="0" collapsed="false">
      <c r="A1362" s="106" t="n">
        <v>1000</v>
      </c>
      <c r="B1362" s="106" t="s">
        <v>1962</v>
      </c>
      <c r="C1362" s="106" t="n">
        <v>113927</v>
      </c>
      <c r="D1362" s="106" t="n">
        <v>95004896</v>
      </c>
      <c r="E1362" s="106" t="s">
        <v>1970</v>
      </c>
      <c r="F1362" s="106" t="n">
        <v>1108</v>
      </c>
      <c r="G1362" s="106" t="n">
        <v>2019</v>
      </c>
      <c r="H1362" s="106" t="n">
        <v>12</v>
      </c>
      <c r="I1362" s="129" t="n">
        <v>43903</v>
      </c>
      <c r="J1362" s="129" t="n">
        <v>43903</v>
      </c>
      <c r="K1362" s="107" t="n">
        <v>1409887.81</v>
      </c>
      <c r="L1362" s="130" t="n">
        <f aca="false">K1362-Q1362+T1362</f>
        <v>1194820.18</v>
      </c>
      <c r="M1362" s="106" t="s">
        <v>149</v>
      </c>
      <c r="N1362" s="107" t="n">
        <v>1409887.81</v>
      </c>
      <c r="O1362" s="106" t="s">
        <v>149</v>
      </c>
      <c r="P1362" s="106" t="n">
        <v>0</v>
      </c>
      <c r="Q1362" s="107" t="n">
        <v>215067.63</v>
      </c>
      <c r="R1362" s="107" t="n">
        <v>1194820.18</v>
      </c>
      <c r="S1362" s="106" t="n">
        <v>0</v>
      </c>
      <c r="T1362" s="106" t="n">
        <v>0</v>
      </c>
      <c r="U1362" s="106" t="n">
        <v>312193</v>
      </c>
      <c r="V1362" s="106" t="s">
        <v>1963</v>
      </c>
      <c r="Z1362" s="106" t="n">
        <v>2517</v>
      </c>
      <c r="AB1362" s="106" t="s">
        <v>2671</v>
      </c>
      <c r="AD1362" s="106" t="n">
        <v>110000</v>
      </c>
      <c r="AE1362" s="106" t="s">
        <v>1966</v>
      </c>
      <c r="AF1362" s="106" t="n">
        <v>501020</v>
      </c>
      <c r="AG1362" s="106" t="s">
        <v>1971</v>
      </c>
      <c r="AI1362" s="106" t="n">
        <v>501020</v>
      </c>
      <c r="AJ1362" s="106" t="s">
        <v>1971</v>
      </c>
      <c r="AK1362" s="106" t="n">
        <v>0</v>
      </c>
      <c r="AL1362" s="106" t="n">
        <v>1</v>
      </c>
      <c r="AM1362" s="106" t="s">
        <v>161</v>
      </c>
      <c r="AQ1362" s="129"/>
      <c r="AR1362" s="129" t="n">
        <v>43903</v>
      </c>
      <c r="AS1362" s="106" t="n">
        <v>0.779861111111111</v>
      </c>
      <c r="AT1362" s="106" t="n">
        <v>0</v>
      </c>
      <c r="AU1362" s="106" t="n">
        <v>0</v>
      </c>
      <c r="AW1362" s="106" t="n">
        <v>0</v>
      </c>
      <c r="AX1362" s="106" t="n">
        <v>1</v>
      </c>
      <c r="ALU1362" s="0"/>
      <c r="ALV1362" s="0"/>
      <c r="ALW1362" s="0"/>
      <c r="ALX1362" s="0"/>
      <c r="ALY1362" s="0"/>
      <c r="ALZ1362" s="0"/>
      <c r="AMA1362" s="0"/>
      <c r="AMB1362" s="0"/>
      <c r="AMC1362" s="0"/>
      <c r="AMD1362" s="0"/>
      <c r="AME1362" s="0"/>
      <c r="AMF1362" s="0"/>
      <c r="AMG1362" s="0"/>
      <c r="AMH1362" s="0"/>
      <c r="AMI1362" s="0"/>
      <c r="AMJ1362" s="0"/>
    </row>
    <row r="1363" s="106" customFormat="true" ht="13.8" hidden="true" customHeight="false" outlineLevel="0" collapsed="false">
      <c r="A1363" s="106" t="n">
        <v>1000</v>
      </c>
      <c r="B1363" s="106" t="s">
        <v>1962</v>
      </c>
      <c r="C1363" s="106" t="n">
        <v>109608</v>
      </c>
      <c r="D1363" s="106" t="s">
        <v>988</v>
      </c>
      <c r="E1363" s="106" t="s">
        <v>1970</v>
      </c>
      <c r="F1363" s="106" t="n">
        <v>1109</v>
      </c>
      <c r="G1363" s="106" t="n">
        <v>2019</v>
      </c>
      <c r="H1363" s="106" t="n">
        <v>8</v>
      </c>
      <c r="I1363" s="129" t="n">
        <v>43798</v>
      </c>
      <c r="J1363" s="129" t="n">
        <v>43798</v>
      </c>
      <c r="K1363" s="107" t="n">
        <v>523695.8</v>
      </c>
      <c r="L1363" s="130" t="n">
        <f aca="false">K1363-Q1363+T1363</f>
        <v>443810</v>
      </c>
      <c r="M1363" s="106" t="s">
        <v>149</v>
      </c>
      <c r="N1363" s="106" t="n">
        <v>523695.8</v>
      </c>
      <c r="O1363" s="106" t="s">
        <v>149</v>
      </c>
      <c r="P1363" s="106" t="n">
        <v>0</v>
      </c>
      <c r="Q1363" s="107" t="n">
        <v>79885.8</v>
      </c>
      <c r="R1363" s="106" t="n">
        <v>443810</v>
      </c>
      <c r="S1363" s="106" t="n">
        <v>0</v>
      </c>
      <c r="T1363" s="106" t="n">
        <v>0</v>
      </c>
      <c r="U1363" s="106" t="n">
        <v>312193</v>
      </c>
      <c r="V1363" s="106" t="s">
        <v>1963</v>
      </c>
      <c r="Z1363" s="106" t="n">
        <v>2316</v>
      </c>
      <c r="AB1363" s="106" t="s">
        <v>1965</v>
      </c>
      <c r="AD1363" s="106" t="n">
        <v>110000</v>
      </c>
      <c r="AE1363" s="106" t="s">
        <v>1966</v>
      </c>
      <c r="AF1363" s="106" t="n">
        <v>501020</v>
      </c>
      <c r="AG1363" s="106" t="s">
        <v>1971</v>
      </c>
      <c r="AI1363" s="106" t="n">
        <v>501020</v>
      </c>
      <c r="AJ1363" s="106" t="s">
        <v>1971</v>
      </c>
      <c r="AK1363" s="106" t="n">
        <v>0</v>
      </c>
      <c r="AL1363" s="106" t="n">
        <v>1</v>
      </c>
      <c r="AM1363" s="106" t="s">
        <v>161</v>
      </c>
      <c r="AP1363" s="106" t="n">
        <v>100173564</v>
      </c>
      <c r="AQ1363" s="129" t="n">
        <v>43799</v>
      </c>
      <c r="AR1363" s="129" t="n">
        <v>43798</v>
      </c>
      <c r="AS1363" s="106" t="n">
        <v>0.629780092592593</v>
      </c>
      <c r="AT1363" s="106" t="n">
        <v>0</v>
      </c>
      <c r="AU1363" s="106" t="n">
        <v>0</v>
      </c>
      <c r="AX1363" s="106" t="n">
        <v>1</v>
      </c>
      <c r="ALU1363" s="0"/>
      <c r="ALV1363" s="0"/>
      <c r="ALW1363" s="0"/>
      <c r="ALX1363" s="0"/>
      <c r="ALY1363" s="0"/>
      <c r="ALZ1363" s="0"/>
      <c r="AMA1363" s="0"/>
      <c r="AMB1363" s="0"/>
      <c r="AMC1363" s="0"/>
      <c r="AMD1363" s="0"/>
      <c r="AME1363" s="0"/>
      <c r="AMF1363" s="0"/>
      <c r="AMG1363" s="0"/>
      <c r="AMH1363" s="0"/>
      <c r="AMI1363" s="0"/>
      <c r="AMJ1363" s="0"/>
    </row>
    <row r="1364" customFormat="false" ht="13.8" hidden="true" customHeight="false" outlineLevel="0" collapsed="false">
      <c r="A1364" s="117" t="n">
        <v>1000</v>
      </c>
      <c r="B1364" s="117" t="s">
        <v>1962</v>
      </c>
      <c r="C1364" s="117" t="n">
        <v>1400011887</v>
      </c>
      <c r="E1364" s="117" t="s">
        <v>1972</v>
      </c>
      <c r="F1364" s="117" t="n">
        <v>1106</v>
      </c>
      <c r="G1364" s="117" t="n">
        <v>2019</v>
      </c>
      <c r="H1364" s="117" t="n">
        <v>12</v>
      </c>
      <c r="I1364" s="118" t="n">
        <v>43903</v>
      </c>
      <c r="J1364" s="118" t="n">
        <v>43903</v>
      </c>
      <c r="K1364" s="119" t="n">
        <v>-10164439.65</v>
      </c>
      <c r="L1364" s="128" t="n">
        <f aca="false">K1364-Q1364+T1364</f>
        <v>-10164439.65</v>
      </c>
      <c r="M1364" s="117" t="s">
        <v>149</v>
      </c>
      <c r="N1364" s="117" t="n">
        <v>-10164439.65</v>
      </c>
      <c r="O1364" s="117" t="s">
        <v>149</v>
      </c>
      <c r="P1364" s="117" t="n">
        <v>0</v>
      </c>
      <c r="Q1364" s="117" t="n">
        <v>0</v>
      </c>
      <c r="R1364" s="117" t="n">
        <v>-10164439.65</v>
      </c>
      <c r="S1364" s="117" t="n">
        <v>0</v>
      </c>
      <c r="T1364" s="117" t="n">
        <v>0</v>
      </c>
      <c r="U1364" s="117" t="n">
        <v>312193</v>
      </c>
      <c r="V1364" s="117" t="s">
        <v>1963</v>
      </c>
      <c r="X1364" s="117" t="s">
        <v>2672</v>
      </c>
      <c r="Y1364" s="117" t="s">
        <v>2673</v>
      </c>
      <c r="Z1364" s="117" t="n">
        <v>1400011887</v>
      </c>
      <c r="AC1364" s="117" t="s">
        <v>1976</v>
      </c>
      <c r="AD1364" s="117" t="n">
        <v>310300</v>
      </c>
      <c r="AE1364" s="117" t="s">
        <v>1969</v>
      </c>
      <c r="AF1364" s="117" t="n">
        <v>101105</v>
      </c>
      <c r="AG1364" s="117" t="s">
        <v>1977</v>
      </c>
      <c r="AI1364" s="117" t="n">
        <v>101105</v>
      </c>
      <c r="AJ1364" s="117" t="s">
        <v>1977</v>
      </c>
      <c r="AK1364" s="117" t="n">
        <v>0</v>
      </c>
      <c r="AL1364" s="117" t="n">
        <v>19</v>
      </c>
      <c r="AM1364" s="117" t="s">
        <v>225</v>
      </c>
      <c r="AN1364" s="117" t="s">
        <v>1978</v>
      </c>
      <c r="AR1364" s="118" t="n">
        <v>43906</v>
      </c>
      <c r="AS1364" s="117" t="n">
        <v>0.5125</v>
      </c>
      <c r="AT1364" s="117" t="n">
        <v>0</v>
      </c>
      <c r="AU1364" s="117" t="n">
        <v>0</v>
      </c>
      <c r="AW1364" s="117" t="n">
        <v>0</v>
      </c>
      <c r="AX1364" s="117" t="n">
        <v>2</v>
      </c>
    </row>
    <row r="1365" s="106" customFormat="true" ht="13.8" hidden="true" customHeight="false" outlineLevel="0" collapsed="false">
      <c r="A1365" s="106" t="n">
        <v>1000</v>
      </c>
      <c r="B1365" s="106" t="s">
        <v>1962</v>
      </c>
      <c r="C1365" s="106" t="n">
        <v>109621</v>
      </c>
      <c r="D1365" s="106" t="s">
        <v>1008</v>
      </c>
      <c r="E1365" s="106" t="s">
        <v>1970</v>
      </c>
      <c r="F1365" s="106" t="n">
        <v>1109</v>
      </c>
      <c r="G1365" s="106" t="n">
        <v>2019</v>
      </c>
      <c r="H1365" s="106" t="n">
        <v>8</v>
      </c>
      <c r="I1365" s="129" t="n">
        <v>43798</v>
      </c>
      <c r="J1365" s="129" t="n">
        <v>43798</v>
      </c>
      <c r="K1365" s="107" t="n">
        <v>449851.4</v>
      </c>
      <c r="L1365" s="130" t="n">
        <f aca="false">K1365-Q1365+T1365</f>
        <v>381230</v>
      </c>
      <c r="M1365" s="106" t="s">
        <v>149</v>
      </c>
      <c r="N1365" s="106" t="n">
        <v>449851.4</v>
      </c>
      <c r="O1365" s="106" t="s">
        <v>149</v>
      </c>
      <c r="P1365" s="106" t="n">
        <v>0</v>
      </c>
      <c r="Q1365" s="107" t="n">
        <v>68621.4</v>
      </c>
      <c r="R1365" s="106" t="n">
        <v>381230</v>
      </c>
      <c r="S1365" s="106" t="n">
        <v>0</v>
      </c>
      <c r="T1365" s="106" t="n">
        <v>0</v>
      </c>
      <c r="U1365" s="106" t="n">
        <v>312193</v>
      </c>
      <c r="V1365" s="106" t="s">
        <v>1963</v>
      </c>
      <c r="Z1365" s="106" t="n">
        <v>2316</v>
      </c>
      <c r="AB1365" s="106" t="s">
        <v>1965</v>
      </c>
      <c r="AD1365" s="106" t="n">
        <v>110000</v>
      </c>
      <c r="AE1365" s="106" t="s">
        <v>1966</v>
      </c>
      <c r="AF1365" s="106" t="n">
        <v>501020</v>
      </c>
      <c r="AG1365" s="106" t="s">
        <v>1971</v>
      </c>
      <c r="AI1365" s="106" t="n">
        <v>501020</v>
      </c>
      <c r="AJ1365" s="106" t="s">
        <v>1971</v>
      </c>
      <c r="AK1365" s="106" t="n">
        <v>0</v>
      </c>
      <c r="AL1365" s="106" t="n">
        <v>1</v>
      </c>
      <c r="AM1365" s="106" t="s">
        <v>161</v>
      </c>
      <c r="AP1365" s="106" t="n">
        <v>100173564</v>
      </c>
      <c r="AQ1365" s="129" t="n">
        <v>43799</v>
      </c>
      <c r="AR1365" s="129" t="n">
        <v>43798</v>
      </c>
      <c r="AS1365" s="106" t="n">
        <v>0.679814814814815</v>
      </c>
      <c r="AT1365" s="106" t="n">
        <v>0</v>
      </c>
      <c r="AU1365" s="106" t="n">
        <v>0</v>
      </c>
      <c r="AX1365" s="106" t="n">
        <v>1</v>
      </c>
      <c r="ALU1365" s="0"/>
      <c r="ALV1365" s="0"/>
      <c r="ALW1365" s="0"/>
      <c r="ALX1365" s="0"/>
      <c r="ALY1365" s="0"/>
      <c r="ALZ1365" s="0"/>
      <c r="AMA1365" s="0"/>
      <c r="AMB1365" s="0"/>
      <c r="AMC1365" s="0"/>
      <c r="AMD1365" s="0"/>
      <c r="AME1365" s="0"/>
      <c r="AMF1365" s="0"/>
      <c r="AMG1365" s="0"/>
      <c r="AMH1365" s="0"/>
      <c r="AMI1365" s="0"/>
      <c r="AMJ1365" s="0"/>
    </row>
    <row r="1366" s="106" customFormat="true" ht="13.8" hidden="true" customHeight="false" outlineLevel="0" collapsed="false">
      <c r="A1366" s="106" t="n">
        <v>1000</v>
      </c>
      <c r="B1366" s="106" t="s">
        <v>1962</v>
      </c>
      <c r="C1366" s="106" t="n">
        <v>109643</v>
      </c>
      <c r="D1366" s="106" t="s">
        <v>1000</v>
      </c>
      <c r="E1366" s="106" t="s">
        <v>1970</v>
      </c>
      <c r="F1366" s="106" t="n">
        <v>1109</v>
      </c>
      <c r="G1366" s="106" t="n">
        <v>2019</v>
      </c>
      <c r="H1366" s="106" t="n">
        <v>8</v>
      </c>
      <c r="I1366" s="129" t="n">
        <v>43798</v>
      </c>
      <c r="J1366" s="129" t="n">
        <v>43798</v>
      </c>
      <c r="K1366" s="107" t="n">
        <v>559898.2</v>
      </c>
      <c r="L1366" s="130" t="n">
        <f aca="false">K1366-Q1366+T1366</f>
        <v>474490</v>
      </c>
      <c r="M1366" s="106" t="s">
        <v>149</v>
      </c>
      <c r="N1366" s="106" t="n">
        <v>559898.2</v>
      </c>
      <c r="O1366" s="106" t="s">
        <v>149</v>
      </c>
      <c r="P1366" s="106" t="n">
        <v>0</v>
      </c>
      <c r="Q1366" s="107" t="n">
        <v>85408.2</v>
      </c>
      <c r="R1366" s="106" t="n">
        <v>474490</v>
      </c>
      <c r="S1366" s="106" t="n">
        <v>0</v>
      </c>
      <c r="T1366" s="106" t="n">
        <v>0</v>
      </c>
      <c r="U1366" s="106" t="n">
        <v>312193</v>
      </c>
      <c r="V1366" s="106" t="s">
        <v>1963</v>
      </c>
      <c r="Z1366" s="106" t="n">
        <v>2316</v>
      </c>
      <c r="AB1366" s="106" t="s">
        <v>1965</v>
      </c>
      <c r="AD1366" s="106" t="n">
        <v>110000</v>
      </c>
      <c r="AE1366" s="106" t="s">
        <v>1966</v>
      </c>
      <c r="AF1366" s="106" t="n">
        <v>501020</v>
      </c>
      <c r="AG1366" s="106" t="s">
        <v>1971</v>
      </c>
      <c r="AI1366" s="106" t="n">
        <v>501020</v>
      </c>
      <c r="AJ1366" s="106" t="s">
        <v>1971</v>
      </c>
      <c r="AK1366" s="106" t="n">
        <v>0</v>
      </c>
      <c r="AL1366" s="106" t="n">
        <v>1</v>
      </c>
      <c r="AM1366" s="106" t="s">
        <v>161</v>
      </c>
      <c r="AP1366" s="106" t="n">
        <v>100173564</v>
      </c>
      <c r="AQ1366" s="129" t="n">
        <v>43799</v>
      </c>
      <c r="AR1366" s="129" t="n">
        <v>43798</v>
      </c>
      <c r="AS1366" s="106" t="n">
        <v>0.778923611111111</v>
      </c>
      <c r="AT1366" s="106" t="n">
        <v>0</v>
      </c>
      <c r="AU1366" s="106" t="n">
        <v>0</v>
      </c>
      <c r="AX1366" s="106" t="n">
        <v>1</v>
      </c>
      <c r="ALU1366" s="0"/>
      <c r="ALV1366" s="0"/>
      <c r="ALW1366" s="0"/>
      <c r="ALX1366" s="0"/>
      <c r="ALY1366" s="0"/>
      <c r="ALZ1366" s="0"/>
      <c r="AMA1366" s="0"/>
      <c r="AMB1366" s="0"/>
      <c r="AMC1366" s="0"/>
      <c r="AMD1366" s="0"/>
      <c r="AME1366" s="0"/>
      <c r="AMF1366" s="0"/>
      <c r="AMG1366" s="0"/>
      <c r="AMH1366" s="0"/>
      <c r="AMI1366" s="0"/>
      <c r="AMJ1366" s="0"/>
    </row>
    <row r="1367" s="106" customFormat="true" ht="13.8" hidden="true" customHeight="false" outlineLevel="0" collapsed="false">
      <c r="A1367" s="106" t="n">
        <v>1000</v>
      </c>
      <c r="B1367" s="106" t="s">
        <v>1962</v>
      </c>
      <c r="C1367" s="106" t="n">
        <v>109658</v>
      </c>
      <c r="D1367" s="106" t="s">
        <v>1004</v>
      </c>
      <c r="E1367" s="106" t="s">
        <v>1970</v>
      </c>
      <c r="F1367" s="106" t="n">
        <v>1109</v>
      </c>
      <c r="G1367" s="106" t="n">
        <v>2019</v>
      </c>
      <c r="H1367" s="106" t="n">
        <v>8</v>
      </c>
      <c r="I1367" s="129" t="n">
        <v>43798</v>
      </c>
      <c r="J1367" s="129" t="n">
        <v>43798</v>
      </c>
      <c r="K1367" s="107" t="n">
        <v>331473.8</v>
      </c>
      <c r="L1367" s="130" t="n">
        <f aca="false">K1367-Q1367+T1367</f>
        <v>280910</v>
      </c>
      <c r="M1367" s="106" t="s">
        <v>149</v>
      </c>
      <c r="N1367" s="106" t="n">
        <v>331473.8</v>
      </c>
      <c r="O1367" s="106" t="s">
        <v>149</v>
      </c>
      <c r="P1367" s="106" t="n">
        <v>0</v>
      </c>
      <c r="Q1367" s="107" t="n">
        <v>50563.8</v>
      </c>
      <c r="R1367" s="106" t="n">
        <v>280910</v>
      </c>
      <c r="S1367" s="106" t="n">
        <v>0</v>
      </c>
      <c r="T1367" s="106" t="n">
        <v>0</v>
      </c>
      <c r="U1367" s="106" t="n">
        <v>312193</v>
      </c>
      <c r="V1367" s="106" t="s">
        <v>1963</v>
      </c>
      <c r="Z1367" s="106" t="n">
        <v>2316</v>
      </c>
      <c r="AB1367" s="106" t="s">
        <v>1965</v>
      </c>
      <c r="AD1367" s="106" t="n">
        <v>110000</v>
      </c>
      <c r="AE1367" s="106" t="s">
        <v>1966</v>
      </c>
      <c r="AF1367" s="106" t="n">
        <v>501020</v>
      </c>
      <c r="AG1367" s="106" t="s">
        <v>1971</v>
      </c>
      <c r="AI1367" s="106" t="n">
        <v>501020</v>
      </c>
      <c r="AJ1367" s="106" t="s">
        <v>1971</v>
      </c>
      <c r="AK1367" s="106" t="n">
        <v>0</v>
      </c>
      <c r="AL1367" s="106" t="n">
        <v>1</v>
      </c>
      <c r="AM1367" s="106" t="s">
        <v>161</v>
      </c>
      <c r="AP1367" s="106" t="n">
        <v>100173564</v>
      </c>
      <c r="AQ1367" s="129" t="n">
        <v>43799</v>
      </c>
      <c r="AR1367" s="129" t="n">
        <v>43798</v>
      </c>
      <c r="AS1367" s="106" t="n">
        <v>0.828518518518519</v>
      </c>
      <c r="AT1367" s="106" t="n">
        <v>0</v>
      </c>
      <c r="AU1367" s="106" t="n">
        <v>0</v>
      </c>
      <c r="AX1367" s="106" t="n">
        <v>1</v>
      </c>
      <c r="ALU1367" s="0"/>
      <c r="ALV1367" s="0"/>
      <c r="ALW1367" s="0"/>
      <c r="ALX1367" s="0"/>
      <c r="ALY1367" s="0"/>
      <c r="ALZ1367" s="0"/>
      <c r="AMA1367" s="0"/>
      <c r="AMB1367" s="0"/>
      <c r="AMC1367" s="0"/>
      <c r="AMD1367" s="0"/>
      <c r="AME1367" s="0"/>
      <c r="AMF1367" s="0"/>
      <c r="AMG1367" s="0"/>
      <c r="AMH1367" s="0"/>
      <c r="AMI1367" s="0"/>
      <c r="AMJ1367" s="0"/>
    </row>
    <row r="1368" s="106" customFormat="true" ht="13.8" hidden="true" customHeight="false" outlineLevel="0" collapsed="false">
      <c r="A1368" s="106" t="n">
        <v>1000</v>
      </c>
      <c r="B1368" s="106" t="s">
        <v>1962</v>
      </c>
      <c r="C1368" s="106" t="n">
        <v>110642</v>
      </c>
      <c r="D1368" s="106" t="s">
        <v>1028</v>
      </c>
      <c r="E1368" s="106" t="s">
        <v>1970</v>
      </c>
      <c r="F1368" s="106" t="n">
        <v>1109</v>
      </c>
      <c r="G1368" s="106" t="n">
        <v>2019</v>
      </c>
      <c r="H1368" s="106" t="n">
        <v>9</v>
      </c>
      <c r="I1368" s="129" t="n">
        <v>43825</v>
      </c>
      <c r="J1368" s="129" t="n">
        <v>43825</v>
      </c>
      <c r="K1368" s="107" t="n">
        <v>244566.8</v>
      </c>
      <c r="L1368" s="130" t="n">
        <f aca="false">K1368-Q1368+T1368</f>
        <v>207260</v>
      </c>
      <c r="M1368" s="106" t="s">
        <v>149</v>
      </c>
      <c r="N1368" s="106" t="n">
        <v>244566.8</v>
      </c>
      <c r="O1368" s="106" t="s">
        <v>149</v>
      </c>
      <c r="P1368" s="106" t="n">
        <v>0</v>
      </c>
      <c r="Q1368" s="107" t="n">
        <v>37306.8</v>
      </c>
      <c r="R1368" s="106" t="n">
        <v>207260</v>
      </c>
      <c r="S1368" s="106" t="n">
        <v>0</v>
      </c>
      <c r="T1368" s="106" t="n">
        <v>0</v>
      </c>
      <c r="U1368" s="106" t="n">
        <v>312193</v>
      </c>
      <c r="V1368" s="106" t="s">
        <v>1963</v>
      </c>
      <c r="Z1368" s="106" t="n">
        <v>2316</v>
      </c>
      <c r="AB1368" s="106" t="s">
        <v>1965</v>
      </c>
      <c r="AD1368" s="106" t="n">
        <v>110000</v>
      </c>
      <c r="AE1368" s="106" t="s">
        <v>1966</v>
      </c>
      <c r="AF1368" s="106" t="n">
        <v>501020</v>
      </c>
      <c r="AG1368" s="106" t="s">
        <v>1971</v>
      </c>
      <c r="AI1368" s="106" t="n">
        <v>501020</v>
      </c>
      <c r="AJ1368" s="106" t="s">
        <v>1971</v>
      </c>
      <c r="AK1368" s="106" t="n">
        <v>0</v>
      </c>
      <c r="AL1368" s="106" t="n">
        <v>1</v>
      </c>
      <c r="AM1368" s="106" t="s">
        <v>161</v>
      </c>
      <c r="AP1368" s="106" t="n">
        <v>100199799</v>
      </c>
      <c r="AQ1368" s="129" t="n">
        <v>43830</v>
      </c>
      <c r="AR1368" s="129" t="n">
        <v>43825</v>
      </c>
      <c r="AS1368" s="106" t="n">
        <v>0.798425925925926</v>
      </c>
      <c r="AT1368" s="106" t="n">
        <v>0</v>
      </c>
      <c r="AU1368" s="106" t="n">
        <v>0</v>
      </c>
      <c r="AX1368" s="106" t="n">
        <v>1</v>
      </c>
      <c r="ALU1368" s="0"/>
      <c r="ALV1368" s="0"/>
      <c r="ALW1368" s="0"/>
      <c r="ALX1368" s="0"/>
      <c r="ALY1368" s="0"/>
      <c r="ALZ1368" s="0"/>
      <c r="AMA1368" s="0"/>
      <c r="AMB1368" s="0"/>
      <c r="AMC1368" s="0"/>
      <c r="AMD1368" s="0"/>
      <c r="AME1368" s="0"/>
      <c r="AMF1368" s="0"/>
      <c r="AMG1368" s="0"/>
      <c r="AMH1368" s="0"/>
      <c r="AMI1368" s="0"/>
      <c r="AMJ1368" s="0"/>
    </row>
    <row r="1369" s="106" customFormat="true" ht="13.8" hidden="true" customHeight="false" outlineLevel="0" collapsed="false">
      <c r="A1369" s="106" t="n">
        <v>1000</v>
      </c>
      <c r="B1369" s="106" t="s">
        <v>1962</v>
      </c>
      <c r="C1369" s="106" t="n">
        <v>110821</v>
      </c>
      <c r="D1369" s="106" t="s">
        <v>1566</v>
      </c>
      <c r="E1369" s="106" t="s">
        <v>1970</v>
      </c>
      <c r="F1369" s="106" t="n">
        <v>1109</v>
      </c>
      <c r="G1369" s="106" t="n">
        <v>2019</v>
      </c>
      <c r="H1369" s="106" t="n">
        <v>9</v>
      </c>
      <c r="I1369" s="129" t="n">
        <v>43827</v>
      </c>
      <c r="J1369" s="129" t="n">
        <v>43827</v>
      </c>
      <c r="K1369" s="107" t="n">
        <v>653406.83</v>
      </c>
      <c r="L1369" s="130" t="n">
        <f aca="false">K1369-Q1369+T1369</f>
        <v>553734.6</v>
      </c>
      <c r="M1369" s="106" t="s">
        <v>149</v>
      </c>
      <c r="N1369" s="106" t="n">
        <v>653406.83</v>
      </c>
      <c r="O1369" s="106" t="s">
        <v>149</v>
      </c>
      <c r="P1369" s="106" t="n">
        <v>0</v>
      </c>
      <c r="Q1369" s="107" t="n">
        <v>99672.23</v>
      </c>
      <c r="R1369" s="106" t="n">
        <v>553734.6</v>
      </c>
      <c r="S1369" s="106" t="n">
        <v>0</v>
      </c>
      <c r="T1369" s="106" t="n">
        <v>0</v>
      </c>
      <c r="U1369" s="106" t="n">
        <v>312193</v>
      </c>
      <c r="V1369" s="106" t="s">
        <v>1963</v>
      </c>
      <c r="Z1369" s="106" t="n">
        <v>2495</v>
      </c>
      <c r="AB1369" s="106" t="s">
        <v>2451</v>
      </c>
      <c r="AD1369" s="106" t="n">
        <v>110000</v>
      </c>
      <c r="AE1369" s="106" t="s">
        <v>1966</v>
      </c>
      <c r="AF1369" s="106" t="n">
        <v>501020</v>
      </c>
      <c r="AG1369" s="106" t="s">
        <v>1971</v>
      </c>
      <c r="AI1369" s="106" t="n">
        <v>501020</v>
      </c>
      <c r="AJ1369" s="106" t="s">
        <v>1971</v>
      </c>
      <c r="AK1369" s="106" t="n">
        <v>0</v>
      </c>
      <c r="AL1369" s="106" t="n">
        <v>1</v>
      </c>
      <c r="AM1369" s="106" t="s">
        <v>161</v>
      </c>
      <c r="AP1369" s="106" t="n">
        <v>100199799</v>
      </c>
      <c r="AQ1369" s="129" t="n">
        <v>43830</v>
      </c>
      <c r="AR1369" s="129" t="n">
        <v>43827</v>
      </c>
      <c r="AS1369" s="106" t="n">
        <v>0.810335648148148</v>
      </c>
      <c r="AT1369" s="106" t="n">
        <v>0</v>
      </c>
      <c r="AU1369" s="106" t="n">
        <v>0</v>
      </c>
      <c r="AX1369" s="106" t="n">
        <v>1</v>
      </c>
      <c r="ALU1369" s="0"/>
      <c r="ALV1369" s="0"/>
      <c r="ALW1369" s="0"/>
      <c r="ALX1369" s="0"/>
      <c r="ALY1369" s="0"/>
      <c r="ALZ1369" s="0"/>
      <c r="AMA1369" s="0"/>
      <c r="AMB1369" s="0"/>
      <c r="AMC1369" s="0"/>
      <c r="AMD1369" s="0"/>
      <c r="AME1369" s="0"/>
      <c r="AMF1369" s="0"/>
      <c r="AMG1369" s="0"/>
      <c r="AMH1369" s="0"/>
      <c r="AMI1369" s="0"/>
      <c r="AMJ1369" s="0"/>
    </row>
    <row r="1370" s="106" customFormat="true" ht="13.8" hidden="true" customHeight="false" outlineLevel="0" collapsed="false">
      <c r="A1370" s="106" t="n">
        <v>1000</v>
      </c>
      <c r="B1370" s="106" t="s">
        <v>1962</v>
      </c>
      <c r="C1370" s="106" t="n">
        <v>112489</v>
      </c>
      <c r="D1370" s="106" t="s">
        <v>1174</v>
      </c>
      <c r="E1370" s="106" t="s">
        <v>1970</v>
      </c>
      <c r="F1370" s="106" t="n">
        <v>1109</v>
      </c>
      <c r="G1370" s="106" t="n">
        <v>2019</v>
      </c>
      <c r="H1370" s="106" t="n">
        <v>11</v>
      </c>
      <c r="I1370" s="129" t="n">
        <v>43872</v>
      </c>
      <c r="J1370" s="129" t="n">
        <v>43872</v>
      </c>
      <c r="K1370" s="107" t="n">
        <v>394156.7</v>
      </c>
      <c r="L1370" s="130" t="n">
        <f aca="false">K1370-Q1370+T1370</f>
        <v>334031.1</v>
      </c>
      <c r="M1370" s="106" t="s">
        <v>149</v>
      </c>
      <c r="N1370" s="106" t="n">
        <v>394156.7</v>
      </c>
      <c r="O1370" s="106" t="s">
        <v>149</v>
      </c>
      <c r="P1370" s="106" t="n">
        <v>0</v>
      </c>
      <c r="Q1370" s="107" t="n">
        <v>60125.6</v>
      </c>
      <c r="R1370" s="106" t="n">
        <v>334031.1</v>
      </c>
      <c r="S1370" s="106" t="n">
        <v>0</v>
      </c>
      <c r="T1370" s="106" t="n">
        <v>0</v>
      </c>
      <c r="U1370" s="106" t="n">
        <v>304431</v>
      </c>
      <c r="V1370" s="106" t="s">
        <v>2016</v>
      </c>
      <c r="Z1370" s="106" t="n">
        <v>2447</v>
      </c>
      <c r="AB1370" s="106" t="s">
        <v>2052</v>
      </c>
      <c r="AD1370" s="106" t="n">
        <v>110000</v>
      </c>
      <c r="AE1370" s="106" t="s">
        <v>1966</v>
      </c>
      <c r="AF1370" s="106" t="n">
        <v>501020</v>
      </c>
      <c r="AG1370" s="106" t="s">
        <v>1971</v>
      </c>
      <c r="AI1370" s="106" t="n">
        <v>501020</v>
      </c>
      <c r="AJ1370" s="106" t="s">
        <v>1971</v>
      </c>
      <c r="AK1370" s="106" t="n">
        <v>0</v>
      </c>
      <c r="AL1370" s="106" t="n">
        <v>1</v>
      </c>
      <c r="AM1370" s="106" t="s">
        <v>161</v>
      </c>
      <c r="AP1370" s="106" t="n">
        <v>100260158</v>
      </c>
      <c r="AQ1370" s="129" t="n">
        <v>43883</v>
      </c>
      <c r="AR1370" s="129" t="n">
        <v>43872</v>
      </c>
      <c r="AS1370" s="106" t="n">
        <v>0.624224537037037</v>
      </c>
      <c r="AT1370" s="106" t="n">
        <v>0</v>
      </c>
      <c r="AU1370" s="106" t="n">
        <v>0</v>
      </c>
      <c r="AX1370" s="106" t="n">
        <v>1</v>
      </c>
      <c r="ALU1370" s="0"/>
      <c r="ALV1370" s="0"/>
      <c r="ALW1370" s="0"/>
      <c r="ALX1370" s="0"/>
      <c r="ALY1370" s="0"/>
      <c r="ALZ1370" s="0"/>
      <c r="AMA1370" s="0"/>
      <c r="AMB1370" s="0"/>
      <c r="AMC1370" s="0"/>
      <c r="AMD1370" s="0"/>
      <c r="AME1370" s="0"/>
      <c r="AMF1370" s="0"/>
      <c r="AMG1370" s="0"/>
      <c r="AMH1370" s="0"/>
      <c r="AMI1370" s="0"/>
      <c r="AMJ1370" s="0"/>
    </row>
    <row r="1371" s="106" customFormat="true" ht="13.8" hidden="true" customHeight="false" outlineLevel="0" collapsed="false">
      <c r="A1371" s="106" t="n">
        <v>1000</v>
      </c>
      <c r="B1371" s="106" t="s">
        <v>1962</v>
      </c>
      <c r="C1371" s="106" t="n">
        <v>113881</v>
      </c>
      <c r="D1371" s="106" t="n">
        <v>95004893</v>
      </c>
      <c r="E1371" s="106" t="s">
        <v>1970</v>
      </c>
      <c r="F1371" s="106" t="n">
        <v>1108</v>
      </c>
      <c r="G1371" s="106" t="n">
        <v>2019</v>
      </c>
      <c r="H1371" s="106" t="n">
        <v>12</v>
      </c>
      <c r="I1371" s="129" t="n">
        <v>43903</v>
      </c>
      <c r="J1371" s="129" t="n">
        <v>43903</v>
      </c>
      <c r="K1371" s="107" t="n">
        <v>198551.52</v>
      </c>
      <c r="L1371" s="130" t="n">
        <f aca="false">K1371-Q1371+T1371</f>
        <v>168264</v>
      </c>
      <c r="M1371" s="106" t="s">
        <v>149</v>
      </c>
      <c r="N1371" s="107" t="n">
        <v>198551.52</v>
      </c>
      <c r="O1371" s="106" t="s">
        <v>149</v>
      </c>
      <c r="P1371" s="106" t="n">
        <v>0</v>
      </c>
      <c r="Q1371" s="107" t="n">
        <v>30287.52</v>
      </c>
      <c r="R1371" s="107" t="n">
        <v>168264</v>
      </c>
      <c r="S1371" s="106" t="n">
        <v>0</v>
      </c>
      <c r="T1371" s="106" t="n">
        <v>0</v>
      </c>
      <c r="U1371" s="106" t="n">
        <v>312193</v>
      </c>
      <c r="V1371" s="106" t="s">
        <v>1963</v>
      </c>
      <c r="Z1371" s="106" t="n">
        <v>2521</v>
      </c>
      <c r="AB1371" s="106" t="s">
        <v>2674</v>
      </c>
      <c r="AD1371" s="106" t="n">
        <v>110000</v>
      </c>
      <c r="AE1371" s="106" t="s">
        <v>1966</v>
      </c>
      <c r="AF1371" s="106" t="n">
        <v>501020</v>
      </c>
      <c r="AG1371" s="106" t="s">
        <v>1971</v>
      </c>
      <c r="AI1371" s="106" t="n">
        <v>501020</v>
      </c>
      <c r="AJ1371" s="106" t="s">
        <v>1971</v>
      </c>
      <c r="AK1371" s="106" t="n">
        <v>0</v>
      </c>
      <c r="AL1371" s="106" t="n">
        <v>1</v>
      </c>
      <c r="AM1371" s="106" t="s">
        <v>161</v>
      </c>
      <c r="AQ1371" s="129"/>
      <c r="AR1371" s="129" t="n">
        <v>43903</v>
      </c>
      <c r="AS1371" s="106" t="n">
        <v>0.4625</v>
      </c>
      <c r="AT1371" s="106" t="n">
        <v>0</v>
      </c>
      <c r="AU1371" s="106" t="n">
        <v>0</v>
      </c>
      <c r="AW1371" s="106" t="n">
        <v>0</v>
      </c>
      <c r="AX1371" s="106" t="n">
        <v>1</v>
      </c>
      <c r="ALU1371" s="0"/>
      <c r="ALV1371" s="0"/>
      <c r="ALW1371" s="0"/>
      <c r="ALX1371" s="0"/>
      <c r="ALY1371" s="0"/>
      <c r="ALZ1371" s="0"/>
      <c r="AMA1371" s="0"/>
      <c r="AMB1371" s="0"/>
      <c r="AMC1371" s="0"/>
      <c r="AMD1371" s="0"/>
      <c r="AME1371" s="0"/>
      <c r="AMF1371" s="0"/>
      <c r="AMG1371" s="0"/>
      <c r="AMH1371" s="0"/>
      <c r="AMI1371" s="0"/>
      <c r="AMJ1371" s="0"/>
    </row>
    <row r="1372" s="106" customFormat="true" ht="13.8" hidden="true" customHeight="false" outlineLevel="0" collapsed="false">
      <c r="A1372" s="106" t="n">
        <v>1000</v>
      </c>
      <c r="B1372" s="106" t="s">
        <v>1962</v>
      </c>
      <c r="C1372" s="106" t="n">
        <v>112625</v>
      </c>
      <c r="D1372" s="106" t="s">
        <v>1145</v>
      </c>
      <c r="E1372" s="106" t="s">
        <v>1970</v>
      </c>
      <c r="F1372" s="106" t="n">
        <v>1109</v>
      </c>
      <c r="G1372" s="106" t="n">
        <v>2019</v>
      </c>
      <c r="H1372" s="106" t="n">
        <v>11</v>
      </c>
      <c r="I1372" s="129" t="n">
        <v>43874</v>
      </c>
      <c r="J1372" s="129" t="n">
        <v>43874</v>
      </c>
      <c r="K1372" s="107" t="n">
        <v>441683.44</v>
      </c>
      <c r="L1372" s="130" t="n">
        <f aca="false">K1372-Q1372+T1372</f>
        <v>374308</v>
      </c>
      <c r="M1372" s="106" t="s">
        <v>149</v>
      </c>
      <c r="N1372" s="106" t="n">
        <v>441683.44</v>
      </c>
      <c r="O1372" s="106" t="s">
        <v>149</v>
      </c>
      <c r="P1372" s="106" t="n">
        <v>0</v>
      </c>
      <c r="Q1372" s="107" t="n">
        <v>67375.44</v>
      </c>
      <c r="R1372" s="106" t="n">
        <v>374308</v>
      </c>
      <c r="S1372" s="106" t="n">
        <v>0</v>
      </c>
      <c r="T1372" s="106" t="n">
        <v>0</v>
      </c>
      <c r="U1372" s="106" t="n">
        <v>304431</v>
      </c>
      <c r="V1372" s="106" t="s">
        <v>2016</v>
      </c>
      <c r="Z1372" s="106" t="n">
        <v>2447</v>
      </c>
      <c r="AB1372" s="106" t="s">
        <v>2052</v>
      </c>
      <c r="AD1372" s="106" t="n">
        <v>110000</v>
      </c>
      <c r="AE1372" s="106" t="s">
        <v>1966</v>
      </c>
      <c r="AF1372" s="106" t="n">
        <v>501020</v>
      </c>
      <c r="AG1372" s="106" t="s">
        <v>1971</v>
      </c>
      <c r="AI1372" s="106" t="n">
        <v>501020</v>
      </c>
      <c r="AJ1372" s="106" t="s">
        <v>1971</v>
      </c>
      <c r="AK1372" s="106" t="n">
        <v>0</v>
      </c>
      <c r="AL1372" s="106" t="n">
        <v>1</v>
      </c>
      <c r="AM1372" s="106" t="s">
        <v>161</v>
      </c>
      <c r="AP1372" s="106" t="n">
        <v>100260158</v>
      </c>
      <c r="AQ1372" s="129" t="n">
        <v>43883</v>
      </c>
      <c r="AR1372" s="129" t="n">
        <v>43874</v>
      </c>
      <c r="AS1372" s="106" t="n">
        <v>0.72724537037037</v>
      </c>
      <c r="AT1372" s="106" t="n">
        <v>0</v>
      </c>
      <c r="AU1372" s="106" t="n">
        <v>0</v>
      </c>
      <c r="AX1372" s="106" t="n">
        <v>1</v>
      </c>
      <c r="ALU1372" s="0"/>
      <c r="ALV1372" s="0"/>
      <c r="ALW1372" s="0"/>
      <c r="ALX1372" s="0"/>
      <c r="ALY1372" s="0"/>
      <c r="ALZ1372" s="0"/>
      <c r="AMA1372" s="0"/>
      <c r="AMB1372" s="0"/>
      <c r="AMC1372" s="0"/>
      <c r="AMD1372" s="0"/>
      <c r="AME1372" s="0"/>
      <c r="AMF1372" s="0"/>
      <c r="AMG1372" s="0"/>
      <c r="AMH1372" s="0"/>
      <c r="AMI1372" s="0"/>
      <c r="AMJ1372" s="0"/>
    </row>
    <row r="1373" s="106" customFormat="true" ht="13.8" hidden="true" customHeight="false" outlineLevel="0" collapsed="false">
      <c r="A1373" s="106" t="n">
        <v>1000</v>
      </c>
      <c r="B1373" s="106" t="s">
        <v>1962</v>
      </c>
      <c r="C1373" s="106" t="n">
        <v>114069</v>
      </c>
      <c r="D1373" s="106" t="s">
        <v>2675</v>
      </c>
      <c r="E1373" s="106" t="s">
        <v>1970</v>
      </c>
      <c r="F1373" s="106" t="n">
        <v>1108</v>
      </c>
      <c r="G1373" s="106" t="n">
        <v>2019</v>
      </c>
      <c r="H1373" s="106" t="n">
        <v>12</v>
      </c>
      <c r="I1373" s="129" t="n">
        <v>43907</v>
      </c>
      <c r="J1373" s="129" t="n">
        <v>43907</v>
      </c>
      <c r="K1373" s="107" t="n">
        <v>176487.93</v>
      </c>
      <c r="L1373" s="130" t="n">
        <f aca="false">K1373-Q1373+T1373</f>
        <v>149566.03</v>
      </c>
      <c r="M1373" s="106" t="s">
        <v>149</v>
      </c>
      <c r="N1373" s="107" t="n">
        <v>176487.93</v>
      </c>
      <c r="O1373" s="106" t="s">
        <v>149</v>
      </c>
      <c r="P1373" s="106" t="n">
        <v>0</v>
      </c>
      <c r="Q1373" s="107" t="n">
        <v>26921.9</v>
      </c>
      <c r="R1373" s="107" t="n">
        <v>149566.03</v>
      </c>
      <c r="S1373" s="106" t="n">
        <v>0</v>
      </c>
      <c r="T1373" s="106" t="n">
        <v>0</v>
      </c>
      <c r="U1373" s="106" t="n">
        <v>312948</v>
      </c>
      <c r="V1373" s="106" t="s">
        <v>1984</v>
      </c>
      <c r="Z1373" s="106" t="n">
        <v>64357</v>
      </c>
      <c r="AB1373" s="106" t="s">
        <v>2676</v>
      </c>
      <c r="AD1373" s="106" t="n">
        <v>110000</v>
      </c>
      <c r="AE1373" s="106" t="s">
        <v>1966</v>
      </c>
      <c r="AF1373" s="106" t="n">
        <v>501005</v>
      </c>
      <c r="AG1373" s="106" t="s">
        <v>2033</v>
      </c>
      <c r="AI1373" s="106" t="n">
        <v>501005</v>
      </c>
      <c r="AJ1373" s="106" t="s">
        <v>2033</v>
      </c>
      <c r="AK1373" s="106" t="n">
        <v>0</v>
      </c>
      <c r="AL1373" s="106" t="n">
        <v>1</v>
      </c>
      <c r="AM1373" s="106" t="s">
        <v>161</v>
      </c>
      <c r="AP1373" s="106" t="n">
        <v>100309454</v>
      </c>
      <c r="AQ1373" s="129" t="n">
        <v>43919</v>
      </c>
      <c r="AR1373" s="129" t="n">
        <v>43907</v>
      </c>
      <c r="AS1373" s="106" t="n">
        <v>0.481851851851852</v>
      </c>
      <c r="AT1373" s="106" t="n">
        <v>0</v>
      </c>
      <c r="AU1373" s="106" t="n">
        <v>0</v>
      </c>
      <c r="AX1373" s="106" t="n">
        <v>1</v>
      </c>
      <c r="ALU1373" s="0"/>
      <c r="ALV1373" s="0"/>
      <c r="ALW1373" s="0"/>
      <c r="ALX1373" s="0"/>
      <c r="ALY1373" s="0"/>
      <c r="ALZ1373" s="0"/>
      <c r="AMA1373" s="0"/>
      <c r="AMB1373" s="0"/>
      <c r="AMC1373" s="0"/>
      <c r="AMD1373" s="0"/>
      <c r="AME1373" s="0"/>
      <c r="AMF1373" s="0"/>
      <c r="AMG1373" s="0"/>
      <c r="AMH1373" s="0"/>
      <c r="AMI1373" s="0"/>
      <c r="AMJ1373" s="0"/>
    </row>
    <row r="1374" s="106" customFormat="true" ht="13.8" hidden="true" customHeight="false" outlineLevel="0" collapsed="false">
      <c r="A1374" s="106" t="n">
        <v>1000</v>
      </c>
      <c r="B1374" s="106" t="s">
        <v>1962</v>
      </c>
      <c r="C1374" s="106" t="n">
        <v>114071</v>
      </c>
      <c r="D1374" s="106" t="s">
        <v>2677</v>
      </c>
      <c r="E1374" s="106" t="s">
        <v>1970</v>
      </c>
      <c r="F1374" s="106" t="n">
        <v>1108</v>
      </c>
      <c r="G1374" s="106" t="n">
        <v>2019</v>
      </c>
      <c r="H1374" s="106" t="n">
        <v>12</v>
      </c>
      <c r="I1374" s="129" t="n">
        <v>43907</v>
      </c>
      <c r="J1374" s="129" t="n">
        <v>43907</v>
      </c>
      <c r="K1374" s="107" t="n">
        <v>74661.05</v>
      </c>
      <c r="L1374" s="130" t="n">
        <f aca="false">K1374-Q1374+T1374</f>
        <v>63272.07</v>
      </c>
      <c r="M1374" s="106" t="s">
        <v>149</v>
      </c>
      <c r="N1374" s="106" t="n">
        <v>74661.05</v>
      </c>
      <c r="O1374" s="106" t="s">
        <v>149</v>
      </c>
      <c r="P1374" s="106" t="n">
        <v>0</v>
      </c>
      <c r="Q1374" s="107" t="n">
        <v>11388.98</v>
      </c>
      <c r="R1374" s="107" t="n">
        <v>63272.07</v>
      </c>
      <c r="S1374" s="106" t="n">
        <v>0</v>
      </c>
      <c r="T1374" s="106" t="n">
        <v>0</v>
      </c>
      <c r="U1374" s="106" t="n">
        <v>312948</v>
      </c>
      <c r="V1374" s="106" t="s">
        <v>1984</v>
      </c>
      <c r="Z1374" s="106" t="n">
        <v>64360</v>
      </c>
      <c r="AB1374" s="106" t="s">
        <v>2678</v>
      </c>
      <c r="AD1374" s="106" t="n">
        <v>110000</v>
      </c>
      <c r="AE1374" s="106" t="s">
        <v>1966</v>
      </c>
      <c r="AF1374" s="106" t="n">
        <v>501005</v>
      </c>
      <c r="AG1374" s="106" t="s">
        <v>2033</v>
      </c>
      <c r="AI1374" s="106" t="n">
        <v>501005</v>
      </c>
      <c r="AJ1374" s="106" t="s">
        <v>2033</v>
      </c>
      <c r="AK1374" s="106" t="n">
        <v>0</v>
      </c>
      <c r="AL1374" s="106" t="n">
        <v>1</v>
      </c>
      <c r="AM1374" s="106" t="s">
        <v>161</v>
      </c>
      <c r="AP1374" s="106" t="n">
        <v>100309454</v>
      </c>
      <c r="AQ1374" s="129" t="n">
        <v>43919</v>
      </c>
      <c r="AR1374" s="129" t="n">
        <v>43907</v>
      </c>
      <c r="AS1374" s="106" t="n">
        <v>0.482893518518519</v>
      </c>
      <c r="AT1374" s="106" t="n">
        <v>0</v>
      </c>
      <c r="AU1374" s="106" t="n">
        <v>0</v>
      </c>
      <c r="AX1374" s="106" t="n">
        <v>1</v>
      </c>
      <c r="ALU1374" s="0"/>
      <c r="ALV1374" s="0"/>
      <c r="ALW1374" s="0"/>
      <c r="ALX1374" s="0"/>
      <c r="ALY1374" s="0"/>
      <c r="ALZ1374" s="0"/>
      <c r="AMA1374" s="0"/>
      <c r="AMB1374" s="0"/>
      <c r="AMC1374" s="0"/>
      <c r="AMD1374" s="0"/>
      <c r="AME1374" s="0"/>
      <c r="AMF1374" s="0"/>
      <c r="AMG1374" s="0"/>
      <c r="AMH1374" s="0"/>
      <c r="AMI1374" s="0"/>
      <c r="AMJ1374" s="0"/>
    </row>
    <row r="1375" s="106" customFormat="true" ht="13.8" hidden="true" customHeight="false" outlineLevel="0" collapsed="false">
      <c r="A1375" s="106" t="n">
        <v>1000</v>
      </c>
      <c r="B1375" s="106" t="s">
        <v>1962</v>
      </c>
      <c r="C1375" s="106" t="n">
        <v>114070</v>
      </c>
      <c r="D1375" s="106" t="s">
        <v>2679</v>
      </c>
      <c r="E1375" s="106" t="s">
        <v>1970</v>
      </c>
      <c r="F1375" s="106" t="n">
        <v>1108</v>
      </c>
      <c r="G1375" s="106" t="n">
        <v>2019</v>
      </c>
      <c r="H1375" s="106" t="n">
        <v>12</v>
      </c>
      <c r="I1375" s="129" t="n">
        <v>43907</v>
      </c>
      <c r="J1375" s="129" t="n">
        <v>43907</v>
      </c>
      <c r="K1375" s="107" t="n">
        <v>208337.22</v>
      </c>
      <c r="L1375" s="130" t="n">
        <f aca="false">K1375-Q1375+T1375</f>
        <v>176556.96</v>
      </c>
      <c r="M1375" s="106" t="s">
        <v>149</v>
      </c>
      <c r="N1375" s="107" t="n">
        <v>208337.22</v>
      </c>
      <c r="O1375" s="106" t="s">
        <v>149</v>
      </c>
      <c r="P1375" s="106" t="n">
        <v>0</v>
      </c>
      <c r="Q1375" s="107" t="n">
        <v>31780.26</v>
      </c>
      <c r="R1375" s="107" t="n">
        <v>176556.96</v>
      </c>
      <c r="S1375" s="106" t="n">
        <v>0</v>
      </c>
      <c r="T1375" s="106" t="n">
        <v>0</v>
      </c>
      <c r="U1375" s="106" t="n">
        <v>312948</v>
      </c>
      <c r="V1375" s="106" t="s">
        <v>1984</v>
      </c>
      <c r="Z1375" s="106" t="n">
        <v>64358</v>
      </c>
      <c r="AB1375" s="106" t="s">
        <v>2680</v>
      </c>
      <c r="AD1375" s="106" t="n">
        <v>110000</v>
      </c>
      <c r="AE1375" s="106" t="s">
        <v>1966</v>
      </c>
      <c r="AF1375" s="106" t="n">
        <v>501005</v>
      </c>
      <c r="AG1375" s="106" t="s">
        <v>2033</v>
      </c>
      <c r="AI1375" s="106" t="n">
        <v>501005</v>
      </c>
      <c r="AJ1375" s="106" t="s">
        <v>2033</v>
      </c>
      <c r="AK1375" s="106" t="n">
        <v>0</v>
      </c>
      <c r="AL1375" s="106" t="n">
        <v>1</v>
      </c>
      <c r="AM1375" s="106" t="s">
        <v>161</v>
      </c>
      <c r="AP1375" s="106" t="n">
        <v>100309454</v>
      </c>
      <c r="AQ1375" s="129" t="n">
        <v>43919</v>
      </c>
      <c r="AR1375" s="129" t="n">
        <v>43907</v>
      </c>
      <c r="AS1375" s="106" t="n">
        <v>0.482488425925926</v>
      </c>
      <c r="AT1375" s="106" t="n">
        <v>0</v>
      </c>
      <c r="AU1375" s="106" t="n">
        <v>0</v>
      </c>
      <c r="AX1375" s="106" t="n">
        <v>1</v>
      </c>
      <c r="ALU1375" s="0"/>
      <c r="ALV1375" s="0"/>
      <c r="ALW1375" s="0"/>
      <c r="ALX1375" s="0"/>
      <c r="ALY1375" s="0"/>
      <c r="ALZ1375" s="0"/>
      <c r="AMA1375" s="0"/>
      <c r="AMB1375" s="0"/>
      <c r="AMC1375" s="0"/>
      <c r="AMD1375" s="0"/>
      <c r="AME1375" s="0"/>
      <c r="AMF1375" s="0"/>
      <c r="AMG1375" s="0"/>
      <c r="AMH1375" s="0"/>
      <c r="AMI1375" s="0"/>
      <c r="AMJ1375" s="0"/>
    </row>
    <row r="1376" s="106" customFormat="true" ht="13.8" hidden="true" customHeight="false" outlineLevel="0" collapsed="false">
      <c r="A1376" s="106" t="n">
        <v>1000</v>
      </c>
      <c r="B1376" s="106" t="s">
        <v>1962</v>
      </c>
      <c r="C1376" s="106" t="n">
        <v>114072</v>
      </c>
      <c r="D1376" s="106" t="s">
        <v>2681</v>
      </c>
      <c r="E1376" s="106" t="s">
        <v>1970</v>
      </c>
      <c r="F1376" s="106" t="n">
        <v>1108</v>
      </c>
      <c r="G1376" s="106" t="n">
        <v>2019</v>
      </c>
      <c r="H1376" s="106" t="n">
        <v>12</v>
      </c>
      <c r="I1376" s="129" t="n">
        <v>43907</v>
      </c>
      <c r="J1376" s="129" t="n">
        <v>43907</v>
      </c>
      <c r="K1376" s="107" t="n">
        <v>49163.52</v>
      </c>
      <c r="L1376" s="130" t="n">
        <f aca="false">K1376-Q1376+T1376</f>
        <v>41664</v>
      </c>
      <c r="M1376" s="106" t="s">
        <v>149</v>
      </c>
      <c r="N1376" s="106" t="n">
        <v>49163.52</v>
      </c>
      <c r="O1376" s="106" t="s">
        <v>149</v>
      </c>
      <c r="P1376" s="106" t="n">
        <v>0</v>
      </c>
      <c r="Q1376" s="107" t="n">
        <v>7499.52</v>
      </c>
      <c r="R1376" s="107" t="n">
        <v>41664</v>
      </c>
      <c r="S1376" s="106" t="n">
        <v>0</v>
      </c>
      <c r="T1376" s="106" t="n">
        <v>0</v>
      </c>
      <c r="U1376" s="106" t="n">
        <v>306263</v>
      </c>
      <c r="V1376" s="106" t="s">
        <v>2006</v>
      </c>
      <c r="Z1376" s="106" t="n">
        <v>64363</v>
      </c>
      <c r="AB1376" s="106" t="s">
        <v>2682</v>
      </c>
      <c r="AD1376" s="106" t="n">
        <v>110000</v>
      </c>
      <c r="AE1376" s="106" t="s">
        <v>1966</v>
      </c>
      <c r="AF1376" s="106" t="n">
        <v>501005</v>
      </c>
      <c r="AG1376" s="106" t="s">
        <v>2033</v>
      </c>
      <c r="AI1376" s="106" t="n">
        <v>501005</v>
      </c>
      <c r="AJ1376" s="106" t="s">
        <v>2033</v>
      </c>
      <c r="AK1376" s="106" t="n">
        <v>0</v>
      </c>
      <c r="AL1376" s="106" t="n">
        <v>1</v>
      </c>
      <c r="AM1376" s="106" t="s">
        <v>161</v>
      </c>
      <c r="AP1376" s="106" t="n">
        <v>100309437</v>
      </c>
      <c r="AQ1376" s="129" t="n">
        <v>43919</v>
      </c>
      <c r="AR1376" s="129" t="n">
        <v>43907</v>
      </c>
      <c r="AS1376" s="106" t="n">
        <v>0.483321759259259</v>
      </c>
      <c r="AT1376" s="106" t="n">
        <v>0</v>
      </c>
      <c r="AU1376" s="106" t="n">
        <v>0</v>
      </c>
      <c r="AX1376" s="106" t="n">
        <v>1</v>
      </c>
      <c r="ALU1376" s="0"/>
      <c r="ALV1376" s="0"/>
      <c r="ALW1376" s="0"/>
      <c r="ALX1376" s="0"/>
      <c r="ALY1376" s="0"/>
      <c r="ALZ1376" s="0"/>
      <c r="AMA1376" s="0"/>
      <c r="AMB1376" s="0"/>
      <c r="AMC1376" s="0"/>
      <c r="AMD1376" s="0"/>
      <c r="AME1376" s="0"/>
      <c r="AMF1376" s="0"/>
      <c r="AMG1376" s="0"/>
      <c r="AMH1376" s="0"/>
      <c r="AMI1376" s="0"/>
      <c r="AMJ1376" s="0"/>
    </row>
    <row r="1377" s="106" customFormat="true" ht="13.8" hidden="true" customHeight="false" outlineLevel="0" collapsed="false">
      <c r="A1377" s="106" t="n">
        <v>1000</v>
      </c>
      <c r="B1377" s="106" t="s">
        <v>1962</v>
      </c>
      <c r="C1377" s="106" t="n">
        <v>114073</v>
      </c>
      <c r="D1377" s="106" t="s">
        <v>2683</v>
      </c>
      <c r="E1377" s="106" t="s">
        <v>1970</v>
      </c>
      <c r="F1377" s="106" t="n">
        <v>1108</v>
      </c>
      <c r="G1377" s="106" t="n">
        <v>2019</v>
      </c>
      <c r="H1377" s="106" t="n">
        <v>12</v>
      </c>
      <c r="I1377" s="129" t="n">
        <v>43907</v>
      </c>
      <c r="J1377" s="129" t="n">
        <v>43907</v>
      </c>
      <c r="K1377" s="107" t="n">
        <v>1044655.26</v>
      </c>
      <c r="L1377" s="130" t="n">
        <f aca="false">K1377-Q1377+T1377</f>
        <v>885301.08</v>
      </c>
      <c r="M1377" s="106" t="s">
        <v>149</v>
      </c>
      <c r="N1377" s="107" t="n">
        <v>1044655.26</v>
      </c>
      <c r="O1377" s="106" t="s">
        <v>149</v>
      </c>
      <c r="P1377" s="106" t="n">
        <v>0</v>
      </c>
      <c r="Q1377" s="107" t="n">
        <v>159354.18</v>
      </c>
      <c r="R1377" s="107" t="n">
        <v>885301.08</v>
      </c>
      <c r="S1377" s="106" t="n">
        <v>0</v>
      </c>
      <c r="T1377" s="106" t="n">
        <v>0</v>
      </c>
      <c r="U1377" s="106" t="n">
        <v>312948</v>
      </c>
      <c r="V1377" s="106" t="s">
        <v>1984</v>
      </c>
      <c r="Z1377" s="106" t="n">
        <v>64379</v>
      </c>
      <c r="AB1377" s="106" t="s">
        <v>2684</v>
      </c>
      <c r="AD1377" s="106" t="n">
        <v>110000</v>
      </c>
      <c r="AE1377" s="106" t="s">
        <v>1966</v>
      </c>
      <c r="AF1377" s="106" t="n">
        <v>501005</v>
      </c>
      <c r="AG1377" s="106" t="s">
        <v>2033</v>
      </c>
      <c r="AI1377" s="106" t="n">
        <v>501005</v>
      </c>
      <c r="AJ1377" s="106" t="s">
        <v>2033</v>
      </c>
      <c r="AK1377" s="106" t="n">
        <v>0</v>
      </c>
      <c r="AL1377" s="106" t="n">
        <v>1</v>
      </c>
      <c r="AM1377" s="106" t="s">
        <v>161</v>
      </c>
      <c r="AP1377" s="106" t="n">
        <v>100309454</v>
      </c>
      <c r="AQ1377" s="129" t="n">
        <v>43919</v>
      </c>
      <c r="AR1377" s="129" t="n">
        <v>43907</v>
      </c>
      <c r="AS1377" s="106" t="n">
        <v>0.483796296296296</v>
      </c>
      <c r="AT1377" s="106" t="n">
        <v>0</v>
      </c>
      <c r="AU1377" s="106" t="n">
        <v>0</v>
      </c>
      <c r="AX1377" s="106" t="n">
        <v>1</v>
      </c>
      <c r="ALU1377" s="0"/>
      <c r="ALV1377" s="0"/>
      <c r="ALW1377" s="0"/>
      <c r="ALX1377" s="0"/>
      <c r="ALY1377" s="0"/>
      <c r="ALZ1377" s="0"/>
      <c r="AMA1377" s="0"/>
      <c r="AMB1377" s="0"/>
      <c r="AMC1377" s="0"/>
      <c r="AMD1377" s="0"/>
      <c r="AME1377" s="0"/>
      <c r="AMF1377" s="0"/>
      <c r="AMG1377" s="0"/>
      <c r="AMH1377" s="0"/>
      <c r="AMI1377" s="0"/>
      <c r="AMJ1377" s="0"/>
    </row>
    <row r="1378" s="106" customFormat="true" ht="13.8" hidden="true" customHeight="false" outlineLevel="0" collapsed="false">
      <c r="A1378" s="106" t="n">
        <v>1000</v>
      </c>
      <c r="B1378" s="106" t="s">
        <v>1962</v>
      </c>
      <c r="C1378" s="106" t="n">
        <v>114172</v>
      </c>
      <c r="D1378" s="106" t="s">
        <v>2685</v>
      </c>
      <c r="E1378" s="106" t="s">
        <v>1970</v>
      </c>
      <c r="F1378" s="106" t="n">
        <v>1108</v>
      </c>
      <c r="G1378" s="106" t="n">
        <v>2019</v>
      </c>
      <c r="H1378" s="106" t="n">
        <v>12</v>
      </c>
      <c r="I1378" s="129" t="n">
        <v>43908</v>
      </c>
      <c r="J1378" s="129" t="n">
        <v>43908</v>
      </c>
      <c r="K1378" s="107" t="n">
        <v>391260.28</v>
      </c>
      <c r="L1378" s="130" t="n">
        <f aca="false">K1378-Q1378+T1378</f>
        <v>331576.51</v>
      </c>
      <c r="M1378" s="106" t="s">
        <v>149</v>
      </c>
      <c r="N1378" s="107" t="n">
        <v>391260.28</v>
      </c>
      <c r="O1378" s="106" t="s">
        <v>149</v>
      </c>
      <c r="P1378" s="106" t="n">
        <v>0</v>
      </c>
      <c r="Q1378" s="107" t="n">
        <v>59683.77</v>
      </c>
      <c r="R1378" s="107" t="n">
        <v>331576.51</v>
      </c>
      <c r="S1378" s="106" t="n">
        <v>0</v>
      </c>
      <c r="T1378" s="106" t="n">
        <v>0</v>
      </c>
      <c r="U1378" s="106" t="n">
        <v>312193</v>
      </c>
      <c r="V1378" s="106" t="s">
        <v>1963</v>
      </c>
      <c r="Z1378" s="106" t="n">
        <v>2537</v>
      </c>
      <c r="AB1378" s="106" t="s">
        <v>2686</v>
      </c>
      <c r="AD1378" s="106" t="n">
        <v>110000</v>
      </c>
      <c r="AE1378" s="106" t="s">
        <v>1966</v>
      </c>
      <c r="AF1378" s="106" t="n">
        <v>501020</v>
      </c>
      <c r="AG1378" s="106" t="s">
        <v>1971</v>
      </c>
      <c r="AI1378" s="106" t="n">
        <v>501020</v>
      </c>
      <c r="AJ1378" s="106" t="s">
        <v>1971</v>
      </c>
      <c r="AK1378" s="106" t="n">
        <v>0</v>
      </c>
      <c r="AL1378" s="106" t="n">
        <v>1</v>
      </c>
      <c r="AM1378" s="106" t="s">
        <v>161</v>
      </c>
      <c r="AP1378" s="106" t="n">
        <v>100309451</v>
      </c>
      <c r="AQ1378" s="129" t="n">
        <v>43919</v>
      </c>
      <c r="AR1378" s="129" t="n">
        <v>43908</v>
      </c>
      <c r="AS1378" s="106" t="n">
        <v>0.75474537037037</v>
      </c>
      <c r="AT1378" s="106" t="n">
        <v>0</v>
      </c>
      <c r="AU1378" s="106" t="n">
        <v>0</v>
      </c>
      <c r="AX1378" s="106" t="n">
        <v>1</v>
      </c>
      <c r="ALU1378" s="0"/>
      <c r="ALV1378" s="0"/>
      <c r="ALW1378" s="0"/>
      <c r="ALX1378" s="0"/>
      <c r="ALY1378" s="0"/>
      <c r="ALZ1378" s="0"/>
      <c r="AMA1378" s="0"/>
      <c r="AMB1378" s="0"/>
      <c r="AMC1378" s="0"/>
      <c r="AMD1378" s="0"/>
      <c r="AME1378" s="0"/>
      <c r="AMF1378" s="0"/>
      <c r="AMG1378" s="0"/>
      <c r="AMH1378" s="0"/>
      <c r="AMI1378" s="0"/>
      <c r="AMJ1378" s="0"/>
    </row>
    <row r="1379" s="106" customFormat="true" ht="13.8" hidden="true" customHeight="false" outlineLevel="0" collapsed="false">
      <c r="A1379" s="106" t="n">
        <v>1000</v>
      </c>
      <c r="B1379" s="106" t="s">
        <v>1962</v>
      </c>
      <c r="C1379" s="106" t="n">
        <v>113401</v>
      </c>
      <c r="D1379" s="106" t="s">
        <v>1240</v>
      </c>
      <c r="E1379" s="106" t="s">
        <v>1970</v>
      </c>
      <c r="F1379" s="106" t="n">
        <v>1109</v>
      </c>
      <c r="G1379" s="106" t="n">
        <v>2019</v>
      </c>
      <c r="H1379" s="106" t="n">
        <v>11</v>
      </c>
      <c r="I1379" s="129" t="n">
        <v>43889</v>
      </c>
      <c r="J1379" s="129" t="n">
        <v>43889</v>
      </c>
      <c r="K1379" s="107" t="n">
        <v>443916</v>
      </c>
      <c r="L1379" s="130" t="n">
        <f aca="false">K1379-Q1379+T1379</f>
        <v>376200</v>
      </c>
      <c r="M1379" s="106" t="s">
        <v>149</v>
      </c>
      <c r="N1379" s="106" t="n">
        <v>443916</v>
      </c>
      <c r="O1379" s="106" t="s">
        <v>149</v>
      </c>
      <c r="P1379" s="106" t="n">
        <v>0</v>
      </c>
      <c r="Q1379" s="107" t="n">
        <v>67716</v>
      </c>
      <c r="R1379" s="106" t="n">
        <v>376200</v>
      </c>
      <c r="S1379" s="106" t="n">
        <v>0</v>
      </c>
      <c r="T1379" s="106" t="n">
        <v>0</v>
      </c>
      <c r="U1379" s="106" t="n">
        <v>312193</v>
      </c>
      <c r="V1379" s="106" t="s">
        <v>1963</v>
      </c>
      <c r="Z1379" s="106" t="n">
        <v>2525</v>
      </c>
      <c r="AB1379" s="106" t="s">
        <v>2660</v>
      </c>
      <c r="AD1379" s="106" t="n">
        <v>110000</v>
      </c>
      <c r="AE1379" s="106" t="s">
        <v>1966</v>
      </c>
      <c r="AF1379" s="106" t="n">
        <v>501020</v>
      </c>
      <c r="AG1379" s="106" t="s">
        <v>1971</v>
      </c>
      <c r="AI1379" s="106" t="n">
        <v>501020</v>
      </c>
      <c r="AJ1379" s="106" t="s">
        <v>1971</v>
      </c>
      <c r="AK1379" s="106" t="n">
        <v>0</v>
      </c>
      <c r="AL1379" s="106" t="n">
        <v>1</v>
      </c>
      <c r="AM1379" s="106" t="s">
        <v>161</v>
      </c>
      <c r="AP1379" s="106" t="n">
        <v>100277640</v>
      </c>
      <c r="AQ1379" s="129" t="n">
        <v>43890</v>
      </c>
      <c r="AR1379" s="129" t="n">
        <v>43889</v>
      </c>
      <c r="AS1379" s="106" t="n">
        <v>0.757986111111111</v>
      </c>
      <c r="AT1379" s="106" t="n">
        <v>0</v>
      </c>
      <c r="AU1379" s="106" t="n">
        <v>0</v>
      </c>
      <c r="AX1379" s="106" t="n">
        <v>1</v>
      </c>
      <c r="ALU1379" s="0"/>
      <c r="ALV1379" s="0"/>
      <c r="ALW1379" s="0"/>
      <c r="ALX1379" s="0"/>
      <c r="ALY1379" s="0"/>
      <c r="ALZ1379" s="0"/>
      <c r="AMA1379" s="0"/>
      <c r="AMB1379" s="0"/>
      <c r="AMC1379" s="0"/>
      <c r="AMD1379" s="0"/>
      <c r="AME1379" s="0"/>
      <c r="AMF1379" s="0"/>
      <c r="AMG1379" s="0"/>
      <c r="AMH1379" s="0"/>
      <c r="AMI1379" s="0"/>
      <c r="AMJ1379" s="0"/>
    </row>
    <row r="1380" s="106" customFormat="true" ht="13.8" hidden="true" customHeight="false" outlineLevel="0" collapsed="false">
      <c r="A1380" s="106" t="n">
        <v>1000</v>
      </c>
      <c r="B1380" s="106" t="s">
        <v>1962</v>
      </c>
      <c r="C1380" s="106" t="n">
        <v>114068</v>
      </c>
      <c r="D1380" s="106" t="s">
        <v>2687</v>
      </c>
      <c r="E1380" s="106" t="s">
        <v>1970</v>
      </c>
      <c r="F1380" s="106" t="n">
        <v>1109</v>
      </c>
      <c r="G1380" s="106" t="n">
        <v>2019</v>
      </c>
      <c r="H1380" s="106" t="n">
        <v>12</v>
      </c>
      <c r="I1380" s="129" t="n">
        <v>43907</v>
      </c>
      <c r="J1380" s="129" t="n">
        <v>43907</v>
      </c>
      <c r="K1380" s="107" t="n">
        <v>406427.4</v>
      </c>
      <c r="L1380" s="130" t="n">
        <f aca="false">K1380-Q1380+T1380</f>
        <v>344430</v>
      </c>
      <c r="M1380" s="106" t="s">
        <v>149</v>
      </c>
      <c r="N1380" s="106" t="n">
        <v>406427.4</v>
      </c>
      <c r="O1380" s="106" t="s">
        <v>149</v>
      </c>
      <c r="P1380" s="106" t="n">
        <v>0</v>
      </c>
      <c r="Q1380" s="107" t="n">
        <v>61997.4</v>
      </c>
      <c r="R1380" s="106" t="n">
        <v>344430</v>
      </c>
      <c r="S1380" s="106" t="n">
        <v>0</v>
      </c>
      <c r="T1380" s="106" t="n">
        <v>0</v>
      </c>
      <c r="U1380" s="106" t="n">
        <v>312193</v>
      </c>
      <c r="V1380" s="106" t="s">
        <v>1963</v>
      </c>
      <c r="Z1380" s="106" t="n">
        <v>2525</v>
      </c>
      <c r="AB1380" s="106" t="s">
        <v>2660</v>
      </c>
      <c r="AD1380" s="106" t="n">
        <v>110000</v>
      </c>
      <c r="AE1380" s="106" t="s">
        <v>1966</v>
      </c>
      <c r="AF1380" s="106" t="n">
        <v>501020</v>
      </c>
      <c r="AG1380" s="106" t="s">
        <v>1971</v>
      </c>
      <c r="AI1380" s="106" t="n">
        <v>501020</v>
      </c>
      <c r="AJ1380" s="106" t="s">
        <v>1971</v>
      </c>
      <c r="AK1380" s="106" t="n">
        <v>0</v>
      </c>
      <c r="AL1380" s="106" t="n">
        <v>1</v>
      </c>
      <c r="AM1380" s="106" t="s">
        <v>161</v>
      </c>
      <c r="AP1380" s="106" t="n">
        <v>100309451</v>
      </c>
      <c r="AQ1380" s="129" t="n">
        <v>43919</v>
      </c>
      <c r="AR1380" s="129" t="n">
        <v>43907</v>
      </c>
      <c r="AS1380" s="106" t="n">
        <v>0.478946759259259</v>
      </c>
      <c r="AT1380" s="106" t="n">
        <v>0</v>
      </c>
      <c r="AU1380" s="106" t="n">
        <v>0</v>
      </c>
      <c r="AX1380" s="106" t="n">
        <v>1</v>
      </c>
      <c r="ALU1380" s="0"/>
      <c r="ALV1380" s="0"/>
      <c r="ALW1380" s="0"/>
      <c r="ALX1380" s="0"/>
      <c r="ALY1380" s="0"/>
      <c r="ALZ1380" s="0"/>
      <c r="AMA1380" s="0"/>
      <c r="AMB1380" s="0"/>
      <c r="AMC1380" s="0"/>
      <c r="AMD1380" s="0"/>
      <c r="AME1380" s="0"/>
      <c r="AMF1380" s="0"/>
      <c r="AMG1380" s="0"/>
      <c r="AMH1380" s="0"/>
      <c r="AMI1380" s="0"/>
      <c r="AMJ1380" s="0"/>
    </row>
    <row r="1381" s="106" customFormat="true" ht="13.8" hidden="true" customHeight="false" outlineLevel="0" collapsed="false">
      <c r="A1381" s="106" t="n">
        <v>1000</v>
      </c>
      <c r="B1381" s="106" t="s">
        <v>1962</v>
      </c>
      <c r="C1381" s="106" t="n">
        <v>114301</v>
      </c>
      <c r="D1381" s="106" t="s">
        <v>2688</v>
      </c>
      <c r="E1381" s="106" t="s">
        <v>1970</v>
      </c>
      <c r="F1381" s="106" t="n">
        <v>1109</v>
      </c>
      <c r="G1381" s="106" t="n">
        <v>2019</v>
      </c>
      <c r="H1381" s="106" t="n">
        <v>12</v>
      </c>
      <c r="I1381" s="129" t="n">
        <v>43910</v>
      </c>
      <c r="J1381" s="129" t="n">
        <v>43910</v>
      </c>
      <c r="K1381" s="107" t="n">
        <v>122720</v>
      </c>
      <c r="L1381" s="130" t="n">
        <f aca="false">K1381-Q1381+T1381</f>
        <v>104000</v>
      </c>
      <c r="M1381" s="106" t="s">
        <v>149</v>
      </c>
      <c r="N1381" s="107" t="n">
        <v>122720</v>
      </c>
      <c r="O1381" s="106" t="s">
        <v>149</v>
      </c>
      <c r="P1381" s="106" t="n">
        <v>0</v>
      </c>
      <c r="Q1381" s="107" t="n">
        <v>18720</v>
      </c>
      <c r="R1381" s="107" t="n">
        <v>104000</v>
      </c>
      <c r="S1381" s="106" t="n">
        <v>0</v>
      </c>
      <c r="T1381" s="106" t="n">
        <v>0</v>
      </c>
      <c r="U1381" s="106" t="n">
        <v>304431</v>
      </c>
      <c r="V1381" s="106" t="s">
        <v>2016</v>
      </c>
      <c r="Z1381" s="106" t="n">
        <v>2447</v>
      </c>
      <c r="AB1381" s="106" t="s">
        <v>2052</v>
      </c>
      <c r="AD1381" s="106" t="n">
        <v>110000</v>
      </c>
      <c r="AE1381" s="106" t="s">
        <v>1966</v>
      </c>
      <c r="AF1381" s="106" t="n">
        <v>501020</v>
      </c>
      <c r="AG1381" s="106" t="s">
        <v>1971</v>
      </c>
      <c r="AI1381" s="106" t="n">
        <v>501020</v>
      </c>
      <c r="AJ1381" s="106" t="s">
        <v>1971</v>
      </c>
      <c r="AK1381" s="106" t="n">
        <v>0</v>
      </c>
      <c r="AL1381" s="106" t="n">
        <v>1</v>
      </c>
      <c r="AM1381" s="106" t="s">
        <v>161</v>
      </c>
      <c r="AP1381" s="106" t="n">
        <v>100308904</v>
      </c>
      <c r="AQ1381" s="129" t="n">
        <v>43915</v>
      </c>
      <c r="AR1381" s="129" t="n">
        <v>43910</v>
      </c>
      <c r="AS1381" s="106" t="n">
        <v>0.695219907407407</v>
      </c>
      <c r="AT1381" s="106" t="n">
        <v>0</v>
      </c>
      <c r="AU1381" s="106" t="n">
        <v>0</v>
      </c>
      <c r="AX1381" s="106" t="n">
        <v>1</v>
      </c>
      <c r="ALU1381" s="0"/>
      <c r="ALV1381" s="0"/>
      <c r="ALW1381" s="0"/>
      <c r="ALX1381" s="0"/>
      <c r="ALY1381" s="0"/>
      <c r="ALZ1381" s="0"/>
      <c r="AMA1381" s="0"/>
      <c r="AMB1381" s="0"/>
      <c r="AMC1381" s="0"/>
      <c r="AMD1381" s="0"/>
      <c r="AME1381" s="0"/>
      <c r="AMF1381" s="0"/>
      <c r="AMG1381" s="0"/>
      <c r="AMH1381" s="0"/>
      <c r="AMI1381" s="0"/>
      <c r="AMJ1381" s="0"/>
    </row>
    <row r="1382" s="106" customFormat="true" ht="13.8" hidden="true" customHeight="false" outlineLevel="0" collapsed="false">
      <c r="A1382" s="106" t="n">
        <v>1000</v>
      </c>
      <c r="B1382" s="106" t="s">
        <v>1962</v>
      </c>
      <c r="C1382" s="106" t="n">
        <v>114347</v>
      </c>
      <c r="D1382" s="106" t="s">
        <v>2689</v>
      </c>
      <c r="E1382" s="106" t="s">
        <v>1970</v>
      </c>
      <c r="F1382" s="106" t="n">
        <v>1109</v>
      </c>
      <c r="G1382" s="106" t="n">
        <v>2019</v>
      </c>
      <c r="H1382" s="106" t="n">
        <v>12</v>
      </c>
      <c r="I1382" s="129" t="n">
        <v>43911</v>
      </c>
      <c r="J1382" s="129" t="n">
        <v>43911</v>
      </c>
      <c r="K1382" s="107" t="n">
        <v>1557104.4</v>
      </c>
      <c r="L1382" s="130" t="n">
        <f aca="false">K1382-Q1382+T1382</f>
        <v>1319580</v>
      </c>
      <c r="M1382" s="106" t="s">
        <v>149</v>
      </c>
      <c r="N1382" s="106" t="n">
        <v>1557104.4</v>
      </c>
      <c r="O1382" s="106" t="s">
        <v>149</v>
      </c>
      <c r="P1382" s="106" t="n">
        <v>0</v>
      </c>
      <c r="Q1382" s="107" t="n">
        <v>237524.4</v>
      </c>
      <c r="R1382" s="106" t="n">
        <v>1319580</v>
      </c>
      <c r="S1382" s="106" t="n">
        <v>0</v>
      </c>
      <c r="T1382" s="106" t="n">
        <v>0</v>
      </c>
      <c r="U1382" s="106" t="n">
        <v>305576</v>
      </c>
      <c r="V1382" s="106" t="s">
        <v>1973</v>
      </c>
      <c r="Z1382" s="106" t="n">
        <v>64415</v>
      </c>
      <c r="AB1382" s="106" t="n">
        <v>4405715512</v>
      </c>
      <c r="AD1382" s="106" t="n">
        <v>110000</v>
      </c>
      <c r="AE1382" s="106" t="s">
        <v>1966</v>
      </c>
      <c r="AF1382" s="106" t="n">
        <v>501005</v>
      </c>
      <c r="AG1382" s="106" t="s">
        <v>2033</v>
      </c>
      <c r="AI1382" s="106" t="n">
        <v>501005</v>
      </c>
      <c r="AJ1382" s="106" t="s">
        <v>2033</v>
      </c>
      <c r="AK1382" s="106" t="n">
        <v>0</v>
      </c>
      <c r="AL1382" s="106" t="n">
        <v>1</v>
      </c>
      <c r="AM1382" s="106" t="s">
        <v>161</v>
      </c>
      <c r="AP1382" s="106" t="n">
        <v>100308907</v>
      </c>
      <c r="AQ1382" s="129" t="n">
        <v>43915</v>
      </c>
      <c r="AR1382" s="129" t="n">
        <v>43911</v>
      </c>
      <c r="AS1382" s="106" t="n">
        <v>0.548217592592593</v>
      </c>
      <c r="AT1382" s="106" t="n">
        <v>0</v>
      </c>
      <c r="AU1382" s="106" t="n">
        <v>0</v>
      </c>
      <c r="AX1382" s="106" t="n">
        <v>1</v>
      </c>
      <c r="ALU1382" s="0"/>
      <c r="ALV1382" s="0"/>
      <c r="ALW1382" s="0"/>
      <c r="ALX1382" s="0"/>
      <c r="ALY1382" s="0"/>
      <c r="ALZ1382" s="0"/>
      <c r="AMA1382" s="0"/>
      <c r="AMB1382" s="0"/>
      <c r="AMC1382" s="0"/>
      <c r="AMD1382" s="0"/>
      <c r="AME1382" s="0"/>
      <c r="AMF1382" s="0"/>
      <c r="AMG1382" s="0"/>
      <c r="AMH1382" s="0"/>
      <c r="AMI1382" s="0"/>
      <c r="AMJ1382" s="0"/>
    </row>
    <row r="1383" s="106" customFormat="true" ht="13.8" hidden="true" customHeight="false" outlineLevel="0" collapsed="false">
      <c r="A1383" s="106" t="n">
        <v>1000</v>
      </c>
      <c r="B1383" s="106" t="s">
        <v>1962</v>
      </c>
      <c r="C1383" s="106" t="n">
        <v>114382</v>
      </c>
      <c r="D1383" s="106" t="s">
        <v>2690</v>
      </c>
      <c r="E1383" s="106" t="s">
        <v>1970</v>
      </c>
      <c r="F1383" s="106" t="n">
        <v>1109</v>
      </c>
      <c r="G1383" s="106" t="n">
        <v>2019</v>
      </c>
      <c r="H1383" s="106" t="n">
        <v>12</v>
      </c>
      <c r="I1383" s="129" t="n">
        <v>43918</v>
      </c>
      <c r="J1383" s="129" t="n">
        <v>43918</v>
      </c>
      <c r="K1383" s="107" t="n">
        <v>563956.22</v>
      </c>
      <c r="L1383" s="130" t="n">
        <f aca="false">K1383-Q1383+T1383</f>
        <v>477929</v>
      </c>
      <c r="M1383" s="106" t="s">
        <v>149</v>
      </c>
      <c r="N1383" s="107" t="n">
        <v>563956.22</v>
      </c>
      <c r="O1383" s="106" t="s">
        <v>149</v>
      </c>
      <c r="P1383" s="106" t="n">
        <v>0</v>
      </c>
      <c r="Q1383" s="107" t="n">
        <v>86027.22</v>
      </c>
      <c r="R1383" s="107" t="n">
        <v>477929</v>
      </c>
      <c r="S1383" s="106" t="n">
        <v>0</v>
      </c>
      <c r="T1383" s="106" t="n">
        <v>0</v>
      </c>
      <c r="U1383" s="106" t="n">
        <v>312193</v>
      </c>
      <c r="V1383" s="106" t="s">
        <v>1963</v>
      </c>
      <c r="Z1383" s="106" t="n">
        <v>2525</v>
      </c>
      <c r="AB1383" s="106" t="s">
        <v>2660</v>
      </c>
      <c r="AD1383" s="106" t="n">
        <v>110000</v>
      </c>
      <c r="AE1383" s="106" t="s">
        <v>1966</v>
      </c>
      <c r="AF1383" s="106" t="n">
        <v>501020</v>
      </c>
      <c r="AG1383" s="106" t="s">
        <v>1971</v>
      </c>
      <c r="AI1383" s="106" t="n">
        <v>501020</v>
      </c>
      <c r="AJ1383" s="106" t="s">
        <v>1971</v>
      </c>
      <c r="AK1383" s="106" t="n">
        <v>0</v>
      </c>
      <c r="AL1383" s="106" t="n">
        <v>1</v>
      </c>
      <c r="AM1383" s="106" t="s">
        <v>161</v>
      </c>
      <c r="AP1383" s="106" t="n">
        <v>100309451</v>
      </c>
      <c r="AQ1383" s="129" t="n">
        <v>43919</v>
      </c>
      <c r="AR1383" s="129" t="n">
        <v>43918</v>
      </c>
      <c r="AS1383" s="106" t="n">
        <v>0.499560185185185</v>
      </c>
      <c r="AT1383" s="106" t="n">
        <v>0</v>
      </c>
      <c r="AU1383" s="106" t="n">
        <v>0</v>
      </c>
      <c r="AX1383" s="106" t="n">
        <v>1</v>
      </c>
      <c r="ALU1383" s="0"/>
      <c r="ALV1383" s="0"/>
      <c r="ALW1383" s="0"/>
      <c r="ALX1383" s="0"/>
      <c r="ALY1383" s="0"/>
      <c r="ALZ1383" s="0"/>
      <c r="AMA1383" s="0"/>
      <c r="AMB1383" s="0"/>
      <c r="AMC1383" s="0"/>
      <c r="AMD1383" s="0"/>
      <c r="AME1383" s="0"/>
      <c r="AMF1383" s="0"/>
      <c r="AMG1383" s="0"/>
      <c r="AMH1383" s="0"/>
      <c r="AMI1383" s="0"/>
      <c r="AMJ1383" s="0"/>
    </row>
    <row r="1384" s="106" customFormat="true" ht="13.8" hidden="true" customHeight="false" outlineLevel="0" collapsed="false">
      <c r="A1384" s="106" t="n">
        <v>1000</v>
      </c>
      <c r="B1384" s="106" t="s">
        <v>1962</v>
      </c>
      <c r="C1384" s="106" t="n">
        <v>114391</v>
      </c>
      <c r="D1384" s="106" t="s">
        <v>2691</v>
      </c>
      <c r="E1384" s="106" t="s">
        <v>1970</v>
      </c>
      <c r="F1384" s="106" t="n">
        <v>1109</v>
      </c>
      <c r="G1384" s="106" t="n">
        <v>2019</v>
      </c>
      <c r="H1384" s="106" t="n">
        <v>12</v>
      </c>
      <c r="I1384" s="129" t="n">
        <v>43921</v>
      </c>
      <c r="J1384" s="129" t="n">
        <v>43921</v>
      </c>
      <c r="K1384" s="107" t="n">
        <v>107380</v>
      </c>
      <c r="L1384" s="130" t="n">
        <f aca="false">K1384-Q1384+T1384</f>
        <v>91000</v>
      </c>
      <c r="M1384" s="106" t="s">
        <v>149</v>
      </c>
      <c r="N1384" s="106" t="n">
        <v>107380</v>
      </c>
      <c r="O1384" s="106" t="s">
        <v>149</v>
      </c>
      <c r="P1384" s="106" t="n">
        <v>0</v>
      </c>
      <c r="Q1384" s="107" t="n">
        <v>16380</v>
      </c>
      <c r="R1384" s="107" t="n">
        <v>91000</v>
      </c>
      <c r="S1384" s="106" t="n">
        <v>0</v>
      </c>
      <c r="T1384" s="106" t="n">
        <v>0</v>
      </c>
      <c r="U1384" s="106" t="n">
        <v>304431</v>
      </c>
      <c r="V1384" s="106" t="s">
        <v>2016</v>
      </c>
      <c r="Z1384" s="106" t="n">
        <v>2447</v>
      </c>
      <c r="AB1384" s="106" t="s">
        <v>2052</v>
      </c>
      <c r="AD1384" s="106" t="n">
        <v>110000</v>
      </c>
      <c r="AE1384" s="106" t="s">
        <v>1966</v>
      </c>
      <c r="AF1384" s="106" t="n">
        <v>501020</v>
      </c>
      <c r="AG1384" s="106" t="s">
        <v>1971</v>
      </c>
      <c r="AI1384" s="106" t="n">
        <v>501020</v>
      </c>
      <c r="AJ1384" s="106" t="s">
        <v>1971</v>
      </c>
      <c r="AK1384" s="106" t="n">
        <v>0</v>
      </c>
      <c r="AL1384" s="106" t="n">
        <v>1</v>
      </c>
      <c r="AM1384" s="106" t="s">
        <v>161</v>
      </c>
      <c r="AP1384" s="106" t="n">
        <v>100312159</v>
      </c>
      <c r="AQ1384" s="129" t="n">
        <v>43921</v>
      </c>
      <c r="AR1384" s="129" t="n">
        <v>43921</v>
      </c>
      <c r="AS1384" s="106" t="n">
        <v>0.450821759259259</v>
      </c>
      <c r="AT1384" s="106" t="n">
        <v>0</v>
      </c>
      <c r="AU1384" s="106" t="n">
        <v>0</v>
      </c>
      <c r="AX1384" s="106" t="n">
        <v>1</v>
      </c>
      <c r="ALU1384" s="0"/>
      <c r="ALV1384" s="0"/>
      <c r="ALW1384" s="0"/>
      <c r="ALX1384" s="0"/>
      <c r="ALY1384" s="0"/>
      <c r="ALZ1384" s="0"/>
      <c r="AMA1384" s="0"/>
      <c r="AMB1384" s="0"/>
      <c r="AMC1384" s="0"/>
      <c r="AMD1384" s="0"/>
      <c r="AME1384" s="0"/>
      <c r="AMF1384" s="0"/>
      <c r="AMG1384" s="0"/>
      <c r="AMH1384" s="0"/>
      <c r="AMI1384" s="0"/>
      <c r="AMJ1384" s="0"/>
    </row>
    <row r="1385" s="106" customFormat="true" ht="13.8" hidden="true" customHeight="false" outlineLevel="0" collapsed="false">
      <c r="A1385" s="106" t="n">
        <v>1000</v>
      </c>
      <c r="B1385" s="106" t="s">
        <v>1962</v>
      </c>
      <c r="C1385" s="106" t="n">
        <v>114392</v>
      </c>
      <c r="D1385" s="106" t="s">
        <v>2692</v>
      </c>
      <c r="E1385" s="106" t="s">
        <v>1970</v>
      </c>
      <c r="F1385" s="106" t="n">
        <v>1109</v>
      </c>
      <c r="G1385" s="106" t="n">
        <v>2019</v>
      </c>
      <c r="H1385" s="106" t="n">
        <v>12</v>
      </c>
      <c r="I1385" s="129" t="n">
        <v>43921</v>
      </c>
      <c r="J1385" s="129" t="n">
        <v>43921</v>
      </c>
      <c r="K1385" s="107" t="n">
        <v>489729.5</v>
      </c>
      <c r="L1385" s="130" t="n">
        <f aca="false">K1385-Q1385+T1385</f>
        <v>415025</v>
      </c>
      <c r="M1385" s="106" t="s">
        <v>149</v>
      </c>
      <c r="N1385" s="107" t="n">
        <v>489729.5</v>
      </c>
      <c r="O1385" s="106" t="s">
        <v>149</v>
      </c>
      <c r="P1385" s="106" t="n">
        <v>0</v>
      </c>
      <c r="Q1385" s="107" t="n">
        <v>74704.5</v>
      </c>
      <c r="R1385" s="107" t="n">
        <v>415025</v>
      </c>
      <c r="S1385" s="106" t="n">
        <v>0</v>
      </c>
      <c r="T1385" s="106" t="n">
        <v>0</v>
      </c>
      <c r="U1385" s="106" t="n">
        <v>312193</v>
      </c>
      <c r="V1385" s="106" t="s">
        <v>1963</v>
      </c>
      <c r="Z1385" s="106" t="n">
        <v>2525</v>
      </c>
      <c r="AB1385" s="106" t="s">
        <v>2660</v>
      </c>
      <c r="AD1385" s="106" t="n">
        <v>110000</v>
      </c>
      <c r="AE1385" s="106" t="s">
        <v>1966</v>
      </c>
      <c r="AF1385" s="106" t="n">
        <v>501020</v>
      </c>
      <c r="AG1385" s="106" t="s">
        <v>1971</v>
      </c>
      <c r="AI1385" s="106" t="n">
        <v>501020</v>
      </c>
      <c r="AJ1385" s="106" t="s">
        <v>1971</v>
      </c>
      <c r="AK1385" s="106" t="n">
        <v>0</v>
      </c>
      <c r="AL1385" s="106" t="n">
        <v>1</v>
      </c>
      <c r="AM1385" s="106" t="s">
        <v>161</v>
      </c>
      <c r="AP1385" s="106" t="n">
        <v>100312134</v>
      </c>
      <c r="AQ1385" s="129" t="n">
        <v>43921</v>
      </c>
      <c r="AR1385" s="129" t="n">
        <v>43921</v>
      </c>
      <c r="AS1385" s="106" t="n">
        <v>0.474861111111111</v>
      </c>
      <c r="AT1385" s="106" t="n">
        <v>0</v>
      </c>
      <c r="AU1385" s="106" t="n">
        <v>0</v>
      </c>
      <c r="AX1385" s="106" t="n">
        <v>1</v>
      </c>
      <c r="ALU1385" s="0"/>
      <c r="ALV1385" s="0"/>
      <c r="ALW1385" s="0"/>
      <c r="ALX1385" s="0"/>
      <c r="ALY1385" s="0"/>
      <c r="ALZ1385" s="0"/>
      <c r="AMA1385" s="0"/>
      <c r="AMB1385" s="0"/>
      <c r="AMC1385" s="0"/>
      <c r="AMD1385" s="0"/>
      <c r="AME1385" s="0"/>
      <c r="AMF1385" s="0"/>
      <c r="AMG1385" s="0"/>
      <c r="AMH1385" s="0"/>
      <c r="AMI1385" s="0"/>
      <c r="AMJ1385" s="0"/>
    </row>
    <row r="1386" s="106" customFormat="true" ht="11.25" hidden="true" customHeight="true" outlineLevel="0" collapsed="false">
      <c r="A1386" s="106" t="n">
        <v>1000</v>
      </c>
      <c r="B1386" s="106" t="s">
        <v>1962</v>
      </c>
      <c r="C1386" s="106" t="n">
        <v>114393</v>
      </c>
      <c r="D1386" s="106" t="s">
        <v>2693</v>
      </c>
      <c r="E1386" s="106" t="s">
        <v>1970</v>
      </c>
      <c r="F1386" s="106" t="n">
        <v>1109</v>
      </c>
      <c r="G1386" s="106" t="n">
        <v>2019</v>
      </c>
      <c r="H1386" s="106" t="n">
        <v>12</v>
      </c>
      <c r="I1386" s="129" t="n">
        <v>43921</v>
      </c>
      <c r="J1386" s="129" t="n">
        <v>43921</v>
      </c>
      <c r="K1386" s="107" t="n">
        <v>417963.08</v>
      </c>
      <c r="L1386" s="130" t="n">
        <f aca="false">K1386-Q1386+T1386</f>
        <v>354206</v>
      </c>
      <c r="M1386" s="106" t="s">
        <v>149</v>
      </c>
      <c r="N1386" s="107" t="n">
        <v>417963.08</v>
      </c>
      <c r="O1386" s="106" t="s">
        <v>149</v>
      </c>
      <c r="P1386" s="106" t="n">
        <v>0</v>
      </c>
      <c r="Q1386" s="107" t="n">
        <v>63757.08</v>
      </c>
      <c r="R1386" s="107" t="n">
        <v>354206</v>
      </c>
      <c r="S1386" s="106" t="n">
        <v>0</v>
      </c>
      <c r="T1386" s="106" t="n">
        <v>0</v>
      </c>
      <c r="U1386" s="106" t="n">
        <v>312193</v>
      </c>
      <c r="V1386" s="106" t="s">
        <v>1963</v>
      </c>
      <c r="Z1386" s="106" t="n">
        <v>2525</v>
      </c>
      <c r="AB1386" s="106" t="s">
        <v>2660</v>
      </c>
      <c r="AD1386" s="106" t="n">
        <v>110000</v>
      </c>
      <c r="AE1386" s="106" t="s">
        <v>1966</v>
      </c>
      <c r="AF1386" s="106" t="n">
        <v>501020</v>
      </c>
      <c r="AG1386" s="106" t="s">
        <v>1971</v>
      </c>
      <c r="AI1386" s="106" t="n">
        <v>501020</v>
      </c>
      <c r="AJ1386" s="106" t="s">
        <v>1971</v>
      </c>
      <c r="AK1386" s="106" t="n">
        <v>0</v>
      </c>
      <c r="AL1386" s="106" t="n">
        <v>1</v>
      </c>
      <c r="AM1386" s="106" t="s">
        <v>161</v>
      </c>
      <c r="AP1386" s="106" t="n">
        <v>100312134</v>
      </c>
      <c r="AQ1386" s="129" t="n">
        <v>43921</v>
      </c>
      <c r="AR1386" s="129" t="n">
        <v>43921</v>
      </c>
      <c r="AS1386" s="106" t="n">
        <v>0.523090277777778</v>
      </c>
      <c r="AT1386" s="106" t="n">
        <v>0</v>
      </c>
      <c r="AU1386" s="106" t="n">
        <v>0</v>
      </c>
      <c r="AX1386" s="106" t="n">
        <v>1</v>
      </c>
      <c r="ALU1386" s="0"/>
      <c r="ALV1386" s="0"/>
      <c r="ALW1386" s="0"/>
      <c r="ALX1386" s="0"/>
      <c r="ALY1386" s="0"/>
      <c r="ALZ1386" s="0"/>
      <c r="AMA1386" s="0"/>
      <c r="AMB1386" s="0"/>
      <c r="AMC1386" s="0"/>
      <c r="AMD1386" s="0"/>
      <c r="AME1386" s="0"/>
      <c r="AMF1386" s="0"/>
      <c r="AMG1386" s="0"/>
      <c r="AMH1386" s="0"/>
      <c r="AMI1386" s="0"/>
      <c r="AMJ1386" s="0"/>
    </row>
    <row r="1387" customFormat="false" ht="13.8" hidden="true" customHeight="false" outlineLevel="0" collapsed="false">
      <c r="A1387" s="117" t="n">
        <v>1000</v>
      </c>
      <c r="B1387" s="117" t="s">
        <v>1962</v>
      </c>
      <c r="C1387" s="117" t="n">
        <v>100308907</v>
      </c>
      <c r="E1387" s="117" t="s">
        <v>1921</v>
      </c>
      <c r="F1387" s="117" t="n">
        <v>1109</v>
      </c>
      <c r="G1387" s="117" t="n">
        <v>2019</v>
      </c>
      <c r="H1387" s="117" t="n">
        <v>12</v>
      </c>
      <c r="I1387" s="118" t="n">
        <v>43915</v>
      </c>
      <c r="J1387" s="118" t="n">
        <v>43915</v>
      </c>
      <c r="K1387" s="119" t="n">
        <v>-1557104.4</v>
      </c>
      <c r="L1387" s="128" t="n">
        <f aca="false">K1387-Q1387+T1387</f>
        <v>-1557104.4</v>
      </c>
      <c r="M1387" s="117" t="s">
        <v>149</v>
      </c>
      <c r="N1387" s="117" t="n">
        <v>-1557104.4</v>
      </c>
      <c r="O1387" s="117" t="s">
        <v>149</v>
      </c>
      <c r="P1387" s="117" t="n">
        <v>0</v>
      </c>
      <c r="Q1387" s="117" t="n">
        <v>0</v>
      </c>
      <c r="R1387" s="117" t="n">
        <v>-1557104.4</v>
      </c>
      <c r="S1387" s="117" t="n">
        <v>0</v>
      </c>
      <c r="T1387" s="117" t="n">
        <v>0</v>
      </c>
      <c r="U1387" s="117" t="n">
        <v>305576</v>
      </c>
      <c r="V1387" s="117" t="s">
        <v>1973</v>
      </c>
      <c r="Z1387" s="117" t="n">
        <v>100308907</v>
      </c>
      <c r="AD1387" s="117" t="n">
        <v>110000</v>
      </c>
      <c r="AE1387" s="117" t="s">
        <v>1966</v>
      </c>
      <c r="AF1387" s="117" t="n">
        <v>110000</v>
      </c>
      <c r="AG1387" s="117" t="s">
        <v>1966</v>
      </c>
      <c r="AI1387" s="117" t="n">
        <v>110000</v>
      </c>
      <c r="AJ1387" s="117" t="s">
        <v>1966</v>
      </c>
      <c r="AK1387" s="117" t="n">
        <v>0</v>
      </c>
      <c r="AL1387" s="117" t="n">
        <v>17</v>
      </c>
      <c r="AM1387" s="117" t="s">
        <v>225</v>
      </c>
      <c r="AP1387" s="117" t="n">
        <v>100308907</v>
      </c>
      <c r="AQ1387" s="118" t="n">
        <v>43915</v>
      </c>
      <c r="AR1387" s="118" t="n">
        <v>43915</v>
      </c>
      <c r="AS1387" s="117" t="n">
        <v>0.671261574074074</v>
      </c>
      <c r="AT1387" s="117" t="n">
        <v>0</v>
      </c>
      <c r="AU1387" s="117" t="n">
        <v>0</v>
      </c>
      <c r="AX1387" s="117" t="n">
        <v>2</v>
      </c>
    </row>
    <row r="1388" customFormat="false" ht="13.8" hidden="true" customHeight="false" outlineLevel="0" collapsed="false">
      <c r="A1388" s="117" t="n">
        <v>1000</v>
      </c>
      <c r="B1388" s="117" t="s">
        <v>1962</v>
      </c>
      <c r="C1388" s="117" t="n">
        <v>100308904</v>
      </c>
      <c r="E1388" s="117" t="s">
        <v>1921</v>
      </c>
      <c r="F1388" s="117" t="n">
        <v>1109</v>
      </c>
      <c r="G1388" s="117" t="n">
        <v>2019</v>
      </c>
      <c r="H1388" s="117" t="n">
        <v>12</v>
      </c>
      <c r="I1388" s="118" t="n">
        <v>43915</v>
      </c>
      <c r="J1388" s="118" t="n">
        <v>43915</v>
      </c>
      <c r="K1388" s="119" t="n">
        <v>122720</v>
      </c>
      <c r="L1388" s="128" t="n">
        <f aca="false">K1388-Q1388+T1388</f>
        <v>122720</v>
      </c>
      <c r="M1388" s="117" t="s">
        <v>149</v>
      </c>
      <c r="N1388" s="117" t="n">
        <v>122720</v>
      </c>
      <c r="O1388" s="117" t="s">
        <v>149</v>
      </c>
      <c r="P1388" s="117" t="n">
        <v>0</v>
      </c>
      <c r="Q1388" s="117" t="n">
        <v>0</v>
      </c>
      <c r="R1388" s="117" t="n">
        <v>122720</v>
      </c>
      <c r="S1388" s="117" t="n">
        <v>0</v>
      </c>
      <c r="T1388" s="117" t="n">
        <v>0</v>
      </c>
      <c r="U1388" s="117" t="n">
        <v>304431</v>
      </c>
      <c r="V1388" s="117" t="s">
        <v>2016</v>
      </c>
      <c r="X1388" s="117" t="s">
        <v>2688</v>
      </c>
      <c r="Z1388" s="117" t="n">
        <v>2447</v>
      </c>
      <c r="AB1388" s="117" t="s">
        <v>2052</v>
      </c>
      <c r="AD1388" s="117" t="n">
        <v>110000</v>
      </c>
      <c r="AE1388" s="117" t="s">
        <v>1966</v>
      </c>
      <c r="AF1388" s="117" t="n">
        <v>110000</v>
      </c>
      <c r="AG1388" s="117" t="s">
        <v>1966</v>
      </c>
      <c r="AI1388" s="117" t="n">
        <v>110000</v>
      </c>
      <c r="AJ1388" s="117" t="s">
        <v>1966</v>
      </c>
      <c r="AK1388" s="117" t="n">
        <v>0</v>
      </c>
      <c r="AL1388" s="117" t="n">
        <v>4</v>
      </c>
      <c r="AM1388" s="117" t="s">
        <v>161</v>
      </c>
      <c r="AR1388" s="118" t="n">
        <v>43915</v>
      </c>
      <c r="AS1388" s="117" t="n">
        <v>0.668587962962963</v>
      </c>
      <c r="AT1388" s="117" t="n">
        <v>0</v>
      </c>
      <c r="AU1388" s="117" t="n">
        <v>0</v>
      </c>
      <c r="AX1388" s="117" t="n">
        <v>1</v>
      </c>
    </row>
    <row r="1389" customFormat="false" ht="13.8" hidden="true" customHeight="false" outlineLevel="0" collapsed="false">
      <c r="A1389" s="117" t="n">
        <v>1000</v>
      </c>
      <c r="B1389" s="117" t="s">
        <v>1962</v>
      </c>
      <c r="C1389" s="117" t="n">
        <v>100308907</v>
      </c>
      <c r="E1389" s="117" t="s">
        <v>1921</v>
      </c>
      <c r="F1389" s="117" t="n">
        <v>1109</v>
      </c>
      <c r="G1389" s="117" t="n">
        <v>2019</v>
      </c>
      <c r="H1389" s="117" t="n">
        <v>12</v>
      </c>
      <c r="I1389" s="118" t="n">
        <v>43915</v>
      </c>
      <c r="J1389" s="118" t="n">
        <v>43915</v>
      </c>
      <c r="K1389" s="119" t="n">
        <v>1557104.4</v>
      </c>
      <c r="L1389" s="128" t="n">
        <f aca="false">K1389-Q1389+T1389</f>
        <v>1557104.4</v>
      </c>
      <c r="M1389" s="117" t="s">
        <v>149</v>
      </c>
      <c r="N1389" s="117" t="n">
        <v>1557104.4</v>
      </c>
      <c r="O1389" s="117" t="s">
        <v>149</v>
      </c>
      <c r="P1389" s="117" t="n">
        <v>0</v>
      </c>
      <c r="Q1389" s="117" t="n">
        <v>0</v>
      </c>
      <c r="R1389" s="117" t="n">
        <v>1557104.4</v>
      </c>
      <c r="S1389" s="117" t="n">
        <v>0</v>
      </c>
      <c r="T1389" s="117" t="n">
        <v>0</v>
      </c>
      <c r="U1389" s="117" t="n">
        <v>305576</v>
      </c>
      <c r="V1389" s="117" t="s">
        <v>1973</v>
      </c>
      <c r="X1389" s="117" t="s">
        <v>2689</v>
      </c>
      <c r="Z1389" s="117" t="n">
        <v>64415</v>
      </c>
      <c r="AB1389" s="117" t="n">
        <v>4405715512</v>
      </c>
      <c r="AD1389" s="117" t="n">
        <v>110000</v>
      </c>
      <c r="AE1389" s="117" t="s">
        <v>1966</v>
      </c>
      <c r="AF1389" s="117" t="n">
        <v>110000</v>
      </c>
      <c r="AG1389" s="117" t="s">
        <v>1966</v>
      </c>
      <c r="AI1389" s="117" t="n">
        <v>110000</v>
      </c>
      <c r="AJ1389" s="117" t="s">
        <v>1966</v>
      </c>
      <c r="AK1389" s="117" t="n">
        <v>0</v>
      </c>
      <c r="AL1389" s="117" t="n">
        <v>4</v>
      </c>
      <c r="AM1389" s="117" t="s">
        <v>161</v>
      </c>
      <c r="AR1389" s="118" t="n">
        <v>43915</v>
      </c>
      <c r="AS1389" s="117" t="n">
        <v>0.671261574074074</v>
      </c>
      <c r="AT1389" s="117" t="n">
        <v>0</v>
      </c>
      <c r="AU1389" s="117" t="n">
        <v>0</v>
      </c>
      <c r="AX1389" s="117" t="n">
        <v>1</v>
      </c>
    </row>
    <row r="1390" customFormat="false" ht="13.8" hidden="true" customHeight="false" outlineLevel="0" collapsed="false">
      <c r="A1390" s="117" t="n">
        <v>1000</v>
      </c>
      <c r="B1390" s="117" t="s">
        <v>1962</v>
      </c>
      <c r="C1390" s="117" t="n">
        <v>100308904</v>
      </c>
      <c r="E1390" s="117" t="s">
        <v>1921</v>
      </c>
      <c r="F1390" s="117" t="n">
        <v>1109</v>
      </c>
      <c r="G1390" s="117" t="n">
        <v>2019</v>
      </c>
      <c r="H1390" s="117" t="n">
        <v>12</v>
      </c>
      <c r="I1390" s="118" t="n">
        <v>43915</v>
      </c>
      <c r="J1390" s="118" t="n">
        <v>43915</v>
      </c>
      <c r="K1390" s="119" t="n">
        <v>-122720</v>
      </c>
      <c r="L1390" s="128" t="n">
        <f aca="false">K1390-Q1390+T1390</f>
        <v>-122720</v>
      </c>
      <c r="M1390" s="117" t="s">
        <v>149</v>
      </c>
      <c r="N1390" s="117" t="n">
        <v>-122720</v>
      </c>
      <c r="O1390" s="117" t="s">
        <v>149</v>
      </c>
      <c r="P1390" s="117" t="n">
        <v>0</v>
      </c>
      <c r="Q1390" s="117" t="n">
        <v>0</v>
      </c>
      <c r="R1390" s="117" t="n">
        <v>-122720</v>
      </c>
      <c r="S1390" s="117" t="n">
        <v>0</v>
      </c>
      <c r="T1390" s="117" t="n">
        <v>0</v>
      </c>
      <c r="U1390" s="117" t="n">
        <v>304431</v>
      </c>
      <c r="V1390" s="117" t="s">
        <v>2016</v>
      </c>
      <c r="Z1390" s="117" t="n">
        <v>100308904</v>
      </c>
      <c r="AD1390" s="117" t="n">
        <v>110000</v>
      </c>
      <c r="AE1390" s="117" t="s">
        <v>1966</v>
      </c>
      <c r="AF1390" s="117" t="n">
        <v>110000</v>
      </c>
      <c r="AG1390" s="117" t="s">
        <v>1966</v>
      </c>
      <c r="AI1390" s="117" t="n">
        <v>110000</v>
      </c>
      <c r="AJ1390" s="117" t="s">
        <v>1966</v>
      </c>
      <c r="AK1390" s="117" t="n">
        <v>0</v>
      </c>
      <c r="AL1390" s="117" t="n">
        <v>17</v>
      </c>
      <c r="AM1390" s="117" t="s">
        <v>225</v>
      </c>
      <c r="AP1390" s="117" t="n">
        <v>100308904</v>
      </c>
      <c r="AQ1390" s="118" t="n">
        <v>43915</v>
      </c>
      <c r="AR1390" s="118" t="n">
        <v>43915</v>
      </c>
      <c r="AS1390" s="117" t="n">
        <v>0.668587962962963</v>
      </c>
      <c r="AT1390" s="117" t="n">
        <v>0</v>
      </c>
      <c r="AU1390" s="117" t="n">
        <v>0</v>
      </c>
      <c r="AX1390" s="117" t="n">
        <v>2</v>
      </c>
    </row>
    <row r="1391" customFormat="false" ht="13.8" hidden="true" customHeight="false" outlineLevel="0" collapsed="false">
      <c r="A1391" s="117" t="n">
        <v>1000</v>
      </c>
      <c r="B1391" s="117" t="s">
        <v>1962</v>
      </c>
      <c r="C1391" s="117" t="n">
        <v>100308936</v>
      </c>
      <c r="E1391" s="117" t="s">
        <v>1921</v>
      </c>
      <c r="F1391" s="117" t="n">
        <v>1109</v>
      </c>
      <c r="G1391" s="117" t="n">
        <v>2019</v>
      </c>
      <c r="H1391" s="117" t="n">
        <v>12</v>
      </c>
      <c r="I1391" s="118" t="n">
        <v>43915</v>
      </c>
      <c r="J1391" s="118" t="n">
        <v>43915</v>
      </c>
      <c r="K1391" s="119" t="n">
        <v>-2925134.33</v>
      </c>
      <c r="L1391" s="128" t="n">
        <f aca="false">K1391-Q1391+T1391</f>
        <v>-2925134.33</v>
      </c>
      <c r="M1391" s="117" t="s">
        <v>149</v>
      </c>
      <c r="N1391" s="117" t="n">
        <v>-2925134.33</v>
      </c>
      <c r="O1391" s="117" t="s">
        <v>149</v>
      </c>
      <c r="P1391" s="117" t="n">
        <v>0</v>
      </c>
      <c r="Q1391" s="117" t="n">
        <v>0</v>
      </c>
      <c r="R1391" s="117" t="n">
        <v>-2925134.33</v>
      </c>
      <c r="S1391" s="117" t="n">
        <v>0</v>
      </c>
      <c r="T1391" s="117" t="n">
        <v>0</v>
      </c>
      <c r="U1391" s="117" t="n">
        <v>311155</v>
      </c>
      <c r="V1391" s="117" t="s">
        <v>2022</v>
      </c>
      <c r="Z1391" s="117" t="n">
        <v>100308936</v>
      </c>
      <c r="AD1391" s="117" t="n">
        <v>110000</v>
      </c>
      <c r="AE1391" s="117" t="s">
        <v>1966</v>
      </c>
      <c r="AF1391" s="117" t="n">
        <v>110000</v>
      </c>
      <c r="AG1391" s="117" t="s">
        <v>1966</v>
      </c>
      <c r="AI1391" s="117" t="n">
        <v>110000</v>
      </c>
      <c r="AJ1391" s="117" t="s">
        <v>1966</v>
      </c>
      <c r="AK1391" s="117" t="n">
        <v>0</v>
      </c>
      <c r="AL1391" s="117" t="n">
        <v>17</v>
      </c>
      <c r="AM1391" s="117" t="s">
        <v>225</v>
      </c>
      <c r="AP1391" s="117" t="n">
        <v>100308936</v>
      </c>
      <c r="AQ1391" s="118" t="n">
        <v>43915</v>
      </c>
      <c r="AR1391" s="118" t="n">
        <v>43915</v>
      </c>
      <c r="AS1391" s="117" t="n">
        <v>0.682615740740741</v>
      </c>
      <c r="AT1391" s="117" t="n">
        <v>0</v>
      </c>
      <c r="AU1391" s="117" t="n">
        <v>0</v>
      </c>
      <c r="AX1391" s="117" t="n">
        <v>2</v>
      </c>
    </row>
    <row r="1392" customFormat="false" ht="13.8" hidden="true" customHeight="false" outlineLevel="0" collapsed="false">
      <c r="A1392" s="117" t="n">
        <v>1000</v>
      </c>
      <c r="B1392" s="117" t="s">
        <v>1962</v>
      </c>
      <c r="C1392" s="117" t="n">
        <v>100309437</v>
      </c>
      <c r="E1392" s="117" t="s">
        <v>1921</v>
      </c>
      <c r="F1392" s="117" t="n">
        <v>1108</v>
      </c>
      <c r="G1392" s="117" t="n">
        <v>2019</v>
      </c>
      <c r="H1392" s="117" t="n">
        <v>12</v>
      </c>
      <c r="I1392" s="118" t="n">
        <v>43919</v>
      </c>
      <c r="J1392" s="118" t="n">
        <v>43919</v>
      </c>
      <c r="K1392" s="119" t="n">
        <v>49163.52</v>
      </c>
      <c r="L1392" s="128" t="n">
        <f aca="false">K1392-Q1392+T1392</f>
        <v>49163.52</v>
      </c>
      <c r="M1392" s="117" t="s">
        <v>149</v>
      </c>
      <c r="N1392" s="117" t="n">
        <v>49163.52</v>
      </c>
      <c r="O1392" s="117" t="s">
        <v>149</v>
      </c>
      <c r="P1392" s="117" t="n">
        <v>0</v>
      </c>
      <c r="Q1392" s="117" t="n">
        <v>0</v>
      </c>
      <c r="R1392" s="117" t="n">
        <v>49163.52</v>
      </c>
      <c r="S1392" s="117" t="n">
        <v>0</v>
      </c>
      <c r="T1392" s="117" t="n">
        <v>0</v>
      </c>
      <c r="U1392" s="117" t="n">
        <v>306263</v>
      </c>
      <c r="V1392" s="117" t="s">
        <v>2006</v>
      </c>
      <c r="X1392" s="117" t="s">
        <v>2681</v>
      </c>
      <c r="Z1392" s="117" t="n">
        <v>64363</v>
      </c>
      <c r="AB1392" s="117" t="s">
        <v>2682</v>
      </c>
      <c r="AD1392" s="117" t="n">
        <v>110000</v>
      </c>
      <c r="AE1392" s="117" t="s">
        <v>1966</v>
      </c>
      <c r="AF1392" s="117" t="n">
        <v>110000</v>
      </c>
      <c r="AG1392" s="117" t="s">
        <v>1966</v>
      </c>
      <c r="AI1392" s="117" t="n">
        <v>110000</v>
      </c>
      <c r="AJ1392" s="117" t="s">
        <v>1966</v>
      </c>
      <c r="AK1392" s="117" t="n">
        <v>0</v>
      </c>
      <c r="AL1392" s="117" t="n">
        <v>4</v>
      </c>
      <c r="AM1392" s="117" t="s">
        <v>161</v>
      </c>
      <c r="AR1392" s="118" t="n">
        <v>43919</v>
      </c>
      <c r="AS1392" s="117" t="n">
        <v>0.252361111111111</v>
      </c>
      <c r="AT1392" s="117" t="n">
        <v>0</v>
      </c>
      <c r="AU1392" s="117" t="n">
        <v>0</v>
      </c>
      <c r="AX1392" s="117" t="n">
        <v>1</v>
      </c>
    </row>
    <row r="1393" customFormat="false" ht="13.8" hidden="true" customHeight="false" outlineLevel="0" collapsed="false">
      <c r="A1393" s="117" t="n">
        <v>1000</v>
      </c>
      <c r="B1393" s="117" t="s">
        <v>1962</v>
      </c>
      <c r="C1393" s="117" t="n">
        <v>100308936</v>
      </c>
      <c r="E1393" s="117" t="s">
        <v>1921</v>
      </c>
      <c r="F1393" s="117" t="n">
        <v>1106</v>
      </c>
      <c r="G1393" s="117" t="n">
        <v>2019</v>
      </c>
      <c r="H1393" s="117" t="n">
        <v>12</v>
      </c>
      <c r="I1393" s="118" t="n">
        <v>43915</v>
      </c>
      <c r="J1393" s="118" t="n">
        <v>43915</v>
      </c>
      <c r="K1393" s="119" t="n">
        <v>2876926.1</v>
      </c>
      <c r="L1393" s="128" t="n">
        <f aca="false">K1393-Q1393+T1393</f>
        <v>2876926.1</v>
      </c>
      <c r="M1393" s="117" t="s">
        <v>149</v>
      </c>
      <c r="N1393" s="117" t="n">
        <v>2876926.1</v>
      </c>
      <c r="O1393" s="117" t="s">
        <v>149</v>
      </c>
      <c r="P1393" s="117" t="n">
        <v>0</v>
      </c>
      <c r="Q1393" s="117" t="n">
        <v>0</v>
      </c>
      <c r="R1393" s="117" t="n">
        <v>2876926.1</v>
      </c>
      <c r="S1393" s="117" t="n">
        <v>0</v>
      </c>
      <c r="T1393" s="117" t="n">
        <v>0</v>
      </c>
      <c r="U1393" s="117" t="n">
        <v>311155</v>
      </c>
      <c r="V1393" s="117" t="s">
        <v>2022</v>
      </c>
      <c r="Z1393" s="117" t="n">
        <v>100308936</v>
      </c>
      <c r="AD1393" s="117" t="n">
        <v>310300</v>
      </c>
      <c r="AE1393" s="117" t="s">
        <v>1969</v>
      </c>
      <c r="AF1393" s="117" t="n">
        <v>110000</v>
      </c>
      <c r="AG1393" s="117" t="s">
        <v>1966</v>
      </c>
      <c r="AI1393" s="117" t="n">
        <v>110000</v>
      </c>
      <c r="AJ1393" s="117" t="s">
        <v>1966</v>
      </c>
      <c r="AK1393" s="117" t="n">
        <v>0</v>
      </c>
      <c r="AL1393" s="117" t="n">
        <v>9</v>
      </c>
      <c r="AM1393" s="117" t="s">
        <v>161</v>
      </c>
      <c r="AN1393" s="117" t="s">
        <v>1978</v>
      </c>
      <c r="AP1393" s="117" t="n">
        <v>100308936</v>
      </c>
      <c r="AQ1393" s="118" t="n">
        <v>43915</v>
      </c>
      <c r="AR1393" s="118" t="n">
        <v>43915</v>
      </c>
      <c r="AS1393" s="117" t="n">
        <v>0.682615740740741</v>
      </c>
      <c r="AT1393" s="117" t="n">
        <v>0</v>
      </c>
      <c r="AU1393" s="117" t="n">
        <v>0</v>
      </c>
      <c r="AX1393" s="117" t="n">
        <v>3</v>
      </c>
    </row>
    <row r="1394" customFormat="false" ht="13.8" hidden="true" customHeight="false" outlineLevel="0" collapsed="false">
      <c r="A1394" s="117" t="n">
        <v>1000</v>
      </c>
      <c r="B1394" s="117" t="s">
        <v>1962</v>
      </c>
      <c r="C1394" s="117" t="n">
        <v>100308936</v>
      </c>
      <c r="E1394" s="117" t="s">
        <v>1921</v>
      </c>
      <c r="F1394" s="117" t="n">
        <v>1109</v>
      </c>
      <c r="G1394" s="117" t="n">
        <v>2019</v>
      </c>
      <c r="H1394" s="117" t="n">
        <v>12</v>
      </c>
      <c r="I1394" s="118" t="n">
        <v>43915</v>
      </c>
      <c r="J1394" s="118" t="n">
        <v>43915</v>
      </c>
      <c r="K1394" s="119" t="n">
        <v>48208.23</v>
      </c>
      <c r="L1394" s="128" t="n">
        <f aca="false">K1394-Q1394+T1394</f>
        <v>48208.23</v>
      </c>
      <c r="M1394" s="117" t="s">
        <v>149</v>
      </c>
      <c r="N1394" s="117" t="n">
        <v>48208.23</v>
      </c>
      <c r="O1394" s="117" t="s">
        <v>149</v>
      </c>
      <c r="P1394" s="117" t="n">
        <v>0</v>
      </c>
      <c r="Q1394" s="117" t="n">
        <v>0</v>
      </c>
      <c r="R1394" s="117" t="n">
        <v>48208.23</v>
      </c>
      <c r="S1394" s="117" t="n">
        <v>0</v>
      </c>
      <c r="T1394" s="117" t="n">
        <v>0</v>
      </c>
      <c r="U1394" s="117" t="n">
        <v>311155</v>
      </c>
      <c r="V1394" s="117" t="s">
        <v>2022</v>
      </c>
      <c r="X1394" s="117" t="s">
        <v>2694</v>
      </c>
      <c r="Z1394" s="117" t="n">
        <v>63060</v>
      </c>
      <c r="AB1394" s="117" t="s">
        <v>2431</v>
      </c>
      <c r="AD1394" s="117" t="n">
        <v>110000</v>
      </c>
      <c r="AE1394" s="117" t="s">
        <v>1966</v>
      </c>
      <c r="AF1394" s="117" t="n">
        <v>110000</v>
      </c>
      <c r="AG1394" s="117" t="s">
        <v>1966</v>
      </c>
      <c r="AI1394" s="117" t="n">
        <v>110000</v>
      </c>
      <c r="AJ1394" s="117" t="s">
        <v>1966</v>
      </c>
      <c r="AK1394" s="117" t="n">
        <v>0</v>
      </c>
      <c r="AL1394" s="117" t="n">
        <v>4</v>
      </c>
      <c r="AM1394" s="117" t="s">
        <v>161</v>
      </c>
      <c r="AP1394" s="117" t="n">
        <v>100312133</v>
      </c>
      <c r="AQ1394" s="118" t="n">
        <v>43921</v>
      </c>
      <c r="AR1394" s="118" t="n">
        <v>43915</v>
      </c>
      <c r="AS1394" s="117" t="n">
        <v>0.682615740740741</v>
      </c>
      <c r="AT1394" s="117" t="n">
        <v>0</v>
      </c>
      <c r="AU1394" s="117" t="n">
        <v>0</v>
      </c>
      <c r="AX1394" s="117" t="n">
        <v>1</v>
      </c>
    </row>
    <row r="1395" customFormat="false" ht="13.8" hidden="true" customHeight="false" outlineLevel="0" collapsed="false">
      <c r="A1395" s="117" t="n">
        <v>1000</v>
      </c>
      <c r="B1395" s="117" t="s">
        <v>1962</v>
      </c>
      <c r="C1395" s="117" t="n">
        <v>100309445</v>
      </c>
      <c r="E1395" s="117" t="s">
        <v>1921</v>
      </c>
      <c r="F1395" s="117" t="n">
        <v>1106</v>
      </c>
      <c r="G1395" s="117" t="n">
        <v>2019</v>
      </c>
      <c r="H1395" s="117" t="n">
        <v>12</v>
      </c>
      <c r="I1395" s="118" t="n">
        <v>43919</v>
      </c>
      <c r="J1395" s="118" t="n">
        <v>43919</v>
      </c>
      <c r="K1395" s="119" t="n">
        <v>-23605.59</v>
      </c>
      <c r="L1395" s="128" t="n">
        <f aca="false">K1395-Q1395+T1395</f>
        <v>-23605.59</v>
      </c>
      <c r="M1395" s="117" t="s">
        <v>149</v>
      </c>
      <c r="N1395" s="117" t="n">
        <v>-23605.59</v>
      </c>
      <c r="O1395" s="117" t="s">
        <v>149</v>
      </c>
      <c r="P1395" s="117" t="n">
        <v>-23605.59</v>
      </c>
      <c r="Q1395" s="117" t="n">
        <v>0</v>
      </c>
      <c r="R1395" s="117" t="n">
        <v>-23605.59</v>
      </c>
      <c r="S1395" s="117" t="n">
        <v>0</v>
      </c>
      <c r="T1395" s="117" t="n">
        <v>0</v>
      </c>
      <c r="U1395" s="117" t="n">
        <v>312193</v>
      </c>
      <c r="V1395" s="117" t="s">
        <v>1963</v>
      </c>
      <c r="X1395" s="117" t="s">
        <v>2695</v>
      </c>
      <c r="Z1395" s="117" t="n">
        <v>100309445</v>
      </c>
      <c r="AD1395" s="117" t="n">
        <v>310300</v>
      </c>
      <c r="AE1395" s="117" t="s">
        <v>1969</v>
      </c>
      <c r="AF1395" s="117" t="n">
        <v>310300</v>
      </c>
      <c r="AG1395" s="117" t="s">
        <v>1969</v>
      </c>
      <c r="AI1395" s="117" t="n">
        <v>310300</v>
      </c>
      <c r="AJ1395" s="117" t="s">
        <v>1969</v>
      </c>
      <c r="AK1395" s="117" t="n">
        <v>0</v>
      </c>
      <c r="AL1395" s="117" t="n">
        <v>19</v>
      </c>
      <c r="AM1395" s="117" t="s">
        <v>225</v>
      </c>
      <c r="AN1395" s="117" t="s">
        <v>1978</v>
      </c>
      <c r="AP1395" s="117" t="n">
        <v>100309579</v>
      </c>
      <c r="AQ1395" s="118" t="n">
        <v>43919</v>
      </c>
      <c r="AR1395" s="118" t="n">
        <v>43919</v>
      </c>
      <c r="AS1395" s="117" t="n">
        <v>0.268854166666667</v>
      </c>
      <c r="AT1395" s="117" t="n">
        <v>0</v>
      </c>
      <c r="AU1395" s="117" t="n">
        <v>0</v>
      </c>
      <c r="AX1395" s="117" t="n">
        <v>1</v>
      </c>
    </row>
    <row r="1396" customFormat="false" ht="13.8" hidden="true" customHeight="false" outlineLevel="0" collapsed="false">
      <c r="A1396" s="117" t="n">
        <v>1000</v>
      </c>
      <c r="B1396" s="117" t="s">
        <v>1962</v>
      </c>
      <c r="C1396" s="117" t="n">
        <v>100309445</v>
      </c>
      <c r="E1396" s="117" t="s">
        <v>1921</v>
      </c>
      <c r="F1396" s="117" t="n">
        <v>1106</v>
      </c>
      <c r="G1396" s="117" t="n">
        <v>2019</v>
      </c>
      <c r="H1396" s="117" t="n">
        <v>12</v>
      </c>
      <c r="I1396" s="118" t="n">
        <v>43919</v>
      </c>
      <c r="J1396" s="118" t="n">
        <v>43919</v>
      </c>
      <c r="K1396" s="119" t="n">
        <v>10164439.65</v>
      </c>
      <c r="L1396" s="128" t="n">
        <f aca="false">K1396-Q1396+T1396</f>
        <v>10164439.65</v>
      </c>
      <c r="M1396" s="117" t="s">
        <v>149</v>
      </c>
      <c r="N1396" s="117" t="n">
        <v>10164439.65</v>
      </c>
      <c r="O1396" s="117" t="s">
        <v>149</v>
      </c>
      <c r="P1396" s="117" t="n">
        <v>0</v>
      </c>
      <c r="Q1396" s="117" t="n">
        <v>0</v>
      </c>
      <c r="R1396" s="117" t="n">
        <v>10164439.65</v>
      </c>
      <c r="S1396" s="117" t="n">
        <v>0</v>
      </c>
      <c r="T1396" s="117" t="n">
        <v>0</v>
      </c>
      <c r="U1396" s="117" t="n">
        <v>312193</v>
      </c>
      <c r="V1396" s="117" t="s">
        <v>1963</v>
      </c>
      <c r="Z1396" s="117" t="n">
        <v>100309445</v>
      </c>
      <c r="AD1396" s="117" t="n">
        <v>310300</v>
      </c>
      <c r="AE1396" s="117" t="s">
        <v>1969</v>
      </c>
      <c r="AF1396" s="117" t="n">
        <v>310300</v>
      </c>
      <c r="AG1396" s="117" t="s">
        <v>1969</v>
      </c>
      <c r="AI1396" s="117" t="n">
        <v>310300</v>
      </c>
      <c r="AJ1396" s="117" t="s">
        <v>1969</v>
      </c>
      <c r="AK1396" s="117" t="n">
        <v>0</v>
      </c>
      <c r="AL1396" s="117" t="n">
        <v>9</v>
      </c>
      <c r="AM1396" s="117" t="s">
        <v>161</v>
      </c>
      <c r="AN1396" s="117" t="s">
        <v>1978</v>
      </c>
      <c r="AP1396" s="117" t="n">
        <v>100309445</v>
      </c>
      <c r="AQ1396" s="118" t="n">
        <v>43919</v>
      </c>
      <c r="AR1396" s="118" t="n">
        <v>43919</v>
      </c>
      <c r="AS1396" s="117" t="n">
        <v>0.268854166666667</v>
      </c>
      <c r="AT1396" s="117" t="n">
        <v>0</v>
      </c>
      <c r="AU1396" s="117" t="n">
        <v>0</v>
      </c>
      <c r="AX1396" s="117" t="n">
        <v>3</v>
      </c>
    </row>
    <row r="1397" customFormat="false" ht="13.8" hidden="true" customHeight="false" outlineLevel="0" collapsed="false">
      <c r="A1397" s="117" t="n">
        <v>1000</v>
      </c>
      <c r="B1397" s="117" t="s">
        <v>1962</v>
      </c>
      <c r="C1397" s="117" t="n">
        <v>100309445</v>
      </c>
      <c r="E1397" s="117" t="s">
        <v>1921</v>
      </c>
      <c r="F1397" s="117" t="n">
        <v>1109</v>
      </c>
      <c r="G1397" s="117" t="n">
        <v>2019</v>
      </c>
      <c r="H1397" s="117" t="n">
        <v>12</v>
      </c>
      <c r="I1397" s="118" t="n">
        <v>43919</v>
      </c>
      <c r="J1397" s="118" t="n">
        <v>43919</v>
      </c>
      <c r="K1397" s="119" t="n">
        <v>-10140834.06</v>
      </c>
      <c r="L1397" s="128" t="n">
        <f aca="false">K1397-Q1397+T1397</f>
        <v>-10140834.06</v>
      </c>
      <c r="M1397" s="117" t="s">
        <v>149</v>
      </c>
      <c r="N1397" s="117" t="n">
        <v>-10140834.06</v>
      </c>
      <c r="O1397" s="117" t="s">
        <v>149</v>
      </c>
      <c r="P1397" s="117" t="n">
        <v>0</v>
      </c>
      <c r="Q1397" s="117" t="n">
        <v>0</v>
      </c>
      <c r="R1397" s="117" t="n">
        <v>-10140834.06</v>
      </c>
      <c r="S1397" s="117" t="n">
        <v>0</v>
      </c>
      <c r="T1397" s="117" t="n">
        <v>0</v>
      </c>
      <c r="U1397" s="117" t="n">
        <v>312193</v>
      </c>
      <c r="V1397" s="117" t="s">
        <v>1963</v>
      </c>
      <c r="Z1397" s="117" t="n">
        <v>100309445</v>
      </c>
      <c r="AD1397" s="117" t="n">
        <v>110000</v>
      </c>
      <c r="AE1397" s="117" t="s">
        <v>1966</v>
      </c>
      <c r="AF1397" s="117" t="n">
        <v>310300</v>
      </c>
      <c r="AG1397" s="117" t="s">
        <v>1969</v>
      </c>
      <c r="AI1397" s="117" t="n">
        <v>310300</v>
      </c>
      <c r="AJ1397" s="117" t="s">
        <v>1969</v>
      </c>
      <c r="AK1397" s="117" t="n">
        <v>0</v>
      </c>
      <c r="AL1397" s="117" t="n">
        <v>17</v>
      </c>
      <c r="AM1397" s="117" t="s">
        <v>225</v>
      </c>
      <c r="AP1397" s="117" t="n">
        <v>100309445</v>
      </c>
      <c r="AQ1397" s="118" t="n">
        <v>43919</v>
      </c>
      <c r="AR1397" s="118" t="n">
        <v>43919</v>
      </c>
      <c r="AS1397" s="117" t="n">
        <v>0.268854166666667</v>
      </c>
      <c r="AT1397" s="117" t="n">
        <v>0</v>
      </c>
      <c r="AU1397" s="117" t="n">
        <v>0</v>
      </c>
      <c r="AX1397" s="117" t="n">
        <v>2</v>
      </c>
    </row>
    <row r="1398" customFormat="false" ht="13.8" hidden="true" customHeight="false" outlineLevel="0" collapsed="false">
      <c r="A1398" s="117" t="n">
        <v>1000</v>
      </c>
      <c r="B1398" s="117" t="s">
        <v>1962</v>
      </c>
      <c r="C1398" s="117" t="n">
        <v>100309437</v>
      </c>
      <c r="E1398" s="117" t="s">
        <v>1921</v>
      </c>
      <c r="F1398" s="117" t="n">
        <v>1108</v>
      </c>
      <c r="G1398" s="117" t="n">
        <v>2019</v>
      </c>
      <c r="H1398" s="117" t="n">
        <v>12</v>
      </c>
      <c r="I1398" s="118" t="n">
        <v>43919</v>
      </c>
      <c r="J1398" s="118" t="n">
        <v>43919</v>
      </c>
      <c r="K1398" s="119" t="n">
        <v>-49163.52</v>
      </c>
      <c r="L1398" s="128" t="n">
        <f aca="false">K1398-Q1398+T1398</f>
        <v>-49163.52</v>
      </c>
      <c r="M1398" s="117" t="s">
        <v>149</v>
      </c>
      <c r="N1398" s="117" t="n">
        <v>-49163.52</v>
      </c>
      <c r="O1398" s="117" t="s">
        <v>149</v>
      </c>
      <c r="P1398" s="117" t="n">
        <v>0</v>
      </c>
      <c r="Q1398" s="117" t="n">
        <v>0</v>
      </c>
      <c r="R1398" s="117" t="n">
        <v>-49163.52</v>
      </c>
      <c r="S1398" s="117" t="n">
        <v>0</v>
      </c>
      <c r="T1398" s="117" t="n">
        <v>0</v>
      </c>
      <c r="U1398" s="117" t="n">
        <v>306263</v>
      </c>
      <c r="V1398" s="117" t="s">
        <v>2006</v>
      </c>
      <c r="Z1398" s="117" t="n">
        <v>100309437</v>
      </c>
      <c r="AD1398" s="117" t="n">
        <v>110000</v>
      </c>
      <c r="AE1398" s="117" t="s">
        <v>1966</v>
      </c>
      <c r="AF1398" s="117" t="n">
        <v>110000</v>
      </c>
      <c r="AG1398" s="117" t="s">
        <v>1966</v>
      </c>
      <c r="AI1398" s="117" t="n">
        <v>110000</v>
      </c>
      <c r="AJ1398" s="117" t="s">
        <v>1966</v>
      </c>
      <c r="AK1398" s="117" t="n">
        <v>0</v>
      </c>
      <c r="AL1398" s="117" t="n">
        <v>17</v>
      </c>
      <c r="AM1398" s="117" t="s">
        <v>225</v>
      </c>
      <c r="AP1398" s="117" t="n">
        <v>100309437</v>
      </c>
      <c r="AQ1398" s="118" t="n">
        <v>43919</v>
      </c>
      <c r="AR1398" s="118" t="n">
        <v>43919</v>
      </c>
      <c r="AS1398" s="117" t="n">
        <v>0.252361111111111</v>
      </c>
      <c r="AT1398" s="117" t="n">
        <v>0</v>
      </c>
      <c r="AU1398" s="117" t="n">
        <v>0</v>
      </c>
      <c r="AX1398" s="117" t="n">
        <v>2</v>
      </c>
    </row>
    <row r="1399" customFormat="false" ht="13.8" hidden="true" customHeight="false" outlineLevel="0" collapsed="false">
      <c r="A1399" s="117" t="n">
        <v>1000</v>
      </c>
      <c r="B1399" s="117" t="s">
        <v>1962</v>
      </c>
      <c r="C1399" s="117" t="n">
        <v>100309446</v>
      </c>
      <c r="E1399" s="117" t="s">
        <v>1921</v>
      </c>
      <c r="F1399" s="117" t="n">
        <v>1108</v>
      </c>
      <c r="G1399" s="117" t="n">
        <v>2019</v>
      </c>
      <c r="H1399" s="117" t="n">
        <v>12</v>
      </c>
      <c r="I1399" s="118" t="n">
        <v>43919</v>
      </c>
      <c r="J1399" s="118" t="n">
        <v>43919</v>
      </c>
      <c r="K1399" s="119" t="n">
        <v>1490846.81</v>
      </c>
      <c r="L1399" s="128" t="n">
        <f aca="false">K1399-Q1399+T1399</f>
        <v>1490846.81</v>
      </c>
      <c r="M1399" s="117" t="s">
        <v>149</v>
      </c>
      <c r="N1399" s="117" t="n">
        <v>1490846.81</v>
      </c>
      <c r="O1399" s="117" t="s">
        <v>149</v>
      </c>
      <c r="P1399" s="117" t="n">
        <v>0</v>
      </c>
      <c r="Q1399" s="117" t="n">
        <v>0</v>
      </c>
      <c r="R1399" s="117" t="n">
        <v>1490846.81</v>
      </c>
      <c r="S1399" s="117" t="n">
        <v>0</v>
      </c>
      <c r="T1399" s="117" t="n">
        <v>0</v>
      </c>
      <c r="U1399" s="117" t="n">
        <v>312193</v>
      </c>
      <c r="V1399" s="117" t="s">
        <v>1963</v>
      </c>
      <c r="X1399" s="117" t="s">
        <v>2696</v>
      </c>
      <c r="Z1399" s="117" t="n">
        <v>61997</v>
      </c>
      <c r="AB1399" s="117" t="s">
        <v>2109</v>
      </c>
      <c r="AD1399" s="117" t="n">
        <v>110000</v>
      </c>
      <c r="AE1399" s="117" t="s">
        <v>1966</v>
      </c>
      <c r="AF1399" s="117" t="n">
        <v>110000</v>
      </c>
      <c r="AG1399" s="117" t="s">
        <v>1966</v>
      </c>
      <c r="AI1399" s="117" t="n">
        <v>110000</v>
      </c>
      <c r="AJ1399" s="117" t="s">
        <v>1966</v>
      </c>
      <c r="AK1399" s="117" t="n">
        <v>0</v>
      </c>
      <c r="AL1399" s="117" t="n">
        <v>4</v>
      </c>
      <c r="AM1399" s="117" t="s">
        <v>161</v>
      </c>
      <c r="AR1399" s="118" t="n">
        <v>43919</v>
      </c>
      <c r="AS1399" s="117" t="n">
        <v>0.277523148148148</v>
      </c>
      <c r="AT1399" s="117" t="n">
        <v>0</v>
      </c>
      <c r="AU1399" s="117" t="n">
        <v>0</v>
      </c>
      <c r="AX1399" s="117" t="n">
        <v>1</v>
      </c>
    </row>
    <row r="1400" customFormat="false" ht="13.8" hidden="true" customHeight="false" outlineLevel="0" collapsed="false">
      <c r="A1400" s="117" t="n">
        <v>1000</v>
      </c>
      <c r="B1400" s="117" t="s">
        <v>1962</v>
      </c>
      <c r="C1400" s="117" t="n">
        <v>100309446</v>
      </c>
      <c r="E1400" s="117" t="s">
        <v>1921</v>
      </c>
      <c r="F1400" s="117" t="n">
        <v>1108</v>
      </c>
      <c r="G1400" s="117" t="n">
        <v>2019</v>
      </c>
      <c r="H1400" s="117" t="n">
        <v>12</v>
      </c>
      <c r="I1400" s="118" t="n">
        <v>43919</v>
      </c>
      <c r="J1400" s="118" t="n">
        <v>43919</v>
      </c>
      <c r="K1400" s="119" t="n">
        <v>-4979267.82</v>
      </c>
      <c r="L1400" s="128" t="n">
        <f aca="false">K1400-Q1400+T1400</f>
        <v>-4979267.82</v>
      </c>
      <c r="M1400" s="117" t="s">
        <v>149</v>
      </c>
      <c r="N1400" s="117" t="n">
        <v>-4979267.82</v>
      </c>
      <c r="O1400" s="117" t="s">
        <v>149</v>
      </c>
      <c r="P1400" s="117" t="n">
        <v>0</v>
      </c>
      <c r="Q1400" s="117" t="n">
        <v>0</v>
      </c>
      <c r="R1400" s="117" t="n">
        <v>-4979267.82</v>
      </c>
      <c r="S1400" s="117" t="n">
        <v>0</v>
      </c>
      <c r="T1400" s="117" t="n">
        <v>0</v>
      </c>
      <c r="U1400" s="117" t="n">
        <v>312193</v>
      </c>
      <c r="V1400" s="117" t="s">
        <v>1963</v>
      </c>
      <c r="Z1400" s="117" t="n">
        <v>100309446</v>
      </c>
      <c r="AD1400" s="117" t="n">
        <v>110000</v>
      </c>
      <c r="AE1400" s="117" t="s">
        <v>1966</v>
      </c>
      <c r="AF1400" s="117" t="n">
        <v>110000</v>
      </c>
      <c r="AG1400" s="117" t="s">
        <v>1966</v>
      </c>
      <c r="AI1400" s="117" t="n">
        <v>110000</v>
      </c>
      <c r="AJ1400" s="117" t="s">
        <v>1966</v>
      </c>
      <c r="AK1400" s="117" t="n">
        <v>0</v>
      </c>
      <c r="AL1400" s="117" t="n">
        <v>17</v>
      </c>
      <c r="AM1400" s="117" t="s">
        <v>225</v>
      </c>
      <c r="AP1400" s="117" t="n">
        <v>100309446</v>
      </c>
      <c r="AQ1400" s="118" t="n">
        <v>43919</v>
      </c>
      <c r="AR1400" s="118" t="n">
        <v>43919</v>
      </c>
      <c r="AS1400" s="117" t="n">
        <v>0.277523148148148</v>
      </c>
      <c r="AT1400" s="117" t="n">
        <v>0</v>
      </c>
      <c r="AU1400" s="117" t="n">
        <v>0</v>
      </c>
      <c r="AX1400" s="117" t="n">
        <v>2</v>
      </c>
    </row>
    <row r="1401" customFormat="false" ht="13.8" hidden="true" customHeight="false" outlineLevel="0" collapsed="false">
      <c r="A1401" s="117" t="n">
        <v>1000</v>
      </c>
      <c r="B1401" s="117" t="s">
        <v>1962</v>
      </c>
      <c r="C1401" s="117" t="n">
        <v>100309449</v>
      </c>
      <c r="E1401" s="117" t="s">
        <v>1921</v>
      </c>
      <c r="F1401" s="117" t="n">
        <v>1109</v>
      </c>
      <c r="G1401" s="117" t="n">
        <v>2019</v>
      </c>
      <c r="H1401" s="117" t="n">
        <v>12</v>
      </c>
      <c r="I1401" s="118" t="n">
        <v>43919</v>
      </c>
      <c r="J1401" s="118" t="n">
        <v>43919</v>
      </c>
      <c r="K1401" s="119" t="n">
        <v>10352.62</v>
      </c>
      <c r="L1401" s="128" t="n">
        <f aca="false">K1401-Q1401+T1401</f>
        <v>10352.62</v>
      </c>
      <c r="M1401" s="117" t="s">
        <v>149</v>
      </c>
      <c r="N1401" s="117" t="n">
        <v>10352.62</v>
      </c>
      <c r="O1401" s="117" t="s">
        <v>149</v>
      </c>
      <c r="P1401" s="117" t="n">
        <v>0</v>
      </c>
      <c r="Q1401" s="117" t="n">
        <v>0</v>
      </c>
      <c r="R1401" s="117" t="n">
        <v>10352.62</v>
      </c>
      <c r="S1401" s="117" t="n">
        <v>0</v>
      </c>
      <c r="T1401" s="117" t="n">
        <v>0</v>
      </c>
      <c r="U1401" s="117" t="n">
        <v>312193</v>
      </c>
      <c r="V1401" s="117" t="s">
        <v>1963</v>
      </c>
      <c r="X1401" s="117" t="s">
        <v>2697</v>
      </c>
      <c r="Z1401" s="117" t="n">
        <v>2495</v>
      </c>
      <c r="AB1401" s="117" t="s">
        <v>2451</v>
      </c>
      <c r="AD1401" s="117" t="n">
        <v>110000</v>
      </c>
      <c r="AE1401" s="117" t="s">
        <v>1966</v>
      </c>
      <c r="AF1401" s="117" t="n">
        <v>110000</v>
      </c>
      <c r="AG1401" s="117" t="s">
        <v>1966</v>
      </c>
      <c r="AI1401" s="117" t="n">
        <v>110000</v>
      </c>
      <c r="AJ1401" s="117" t="s">
        <v>1966</v>
      </c>
      <c r="AK1401" s="117" t="n">
        <v>0</v>
      </c>
      <c r="AL1401" s="117" t="n">
        <v>4</v>
      </c>
      <c r="AM1401" s="117" t="s">
        <v>161</v>
      </c>
      <c r="AR1401" s="118" t="n">
        <v>43919</v>
      </c>
      <c r="AS1401" s="117" t="n">
        <v>0.297847222222222</v>
      </c>
      <c r="AT1401" s="117" t="n">
        <v>0</v>
      </c>
      <c r="AU1401" s="117" t="n">
        <v>0</v>
      </c>
      <c r="AX1401" s="117" t="n">
        <v>1</v>
      </c>
    </row>
    <row r="1402" customFormat="false" ht="13.8" hidden="true" customHeight="false" outlineLevel="0" collapsed="false">
      <c r="A1402" s="117" t="n">
        <v>1000</v>
      </c>
      <c r="B1402" s="117" t="s">
        <v>1962</v>
      </c>
      <c r="C1402" s="117" t="n">
        <v>100309446</v>
      </c>
      <c r="E1402" s="117" t="s">
        <v>1921</v>
      </c>
      <c r="F1402" s="117" t="n">
        <v>1106</v>
      </c>
      <c r="G1402" s="117" t="n">
        <v>2019</v>
      </c>
      <c r="H1402" s="117" t="n">
        <v>12</v>
      </c>
      <c r="I1402" s="118" t="n">
        <v>43919</v>
      </c>
      <c r="J1402" s="118" t="n">
        <v>43919</v>
      </c>
      <c r="K1402" s="119" t="n">
        <v>3488421.01</v>
      </c>
      <c r="L1402" s="128" t="n">
        <f aca="false">K1402-Q1402+T1402</f>
        <v>3488421.01</v>
      </c>
      <c r="M1402" s="117" t="s">
        <v>149</v>
      </c>
      <c r="N1402" s="117" t="n">
        <v>3488421.01</v>
      </c>
      <c r="O1402" s="117" t="s">
        <v>149</v>
      </c>
      <c r="P1402" s="117" t="n">
        <v>0</v>
      </c>
      <c r="Q1402" s="117" t="n">
        <v>0</v>
      </c>
      <c r="R1402" s="117" t="n">
        <v>3488421.01</v>
      </c>
      <c r="S1402" s="117" t="n">
        <v>0</v>
      </c>
      <c r="T1402" s="117" t="n">
        <v>0</v>
      </c>
      <c r="U1402" s="117" t="n">
        <v>312193</v>
      </c>
      <c r="V1402" s="117" t="s">
        <v>1963</v>
      </c>
      <c r="Z1402" s="117" t="n">
        <v>100309446</v>
      </c>
      <c r="AD1402" s="117" t="n">
        <v>310300</v>
      </c>
      <c r="AE1402" s="117" t="s">
        <v>1969</v>
      </c>
      <c r="AF1402" s="117" t="n">
        <v>110000</v>
      </c>
      <c r="AG1402" s="117" t="s">
        <v>1966</v>
      </c>
      <c r="AI1402" s="117" t="n">
        <v>110000</v>
      </c>
      <c r="AJ1402" s="117" t="s">
        <v>1966</v>
      </c>
      <c r="AK1402" s="117" t="n">
        <v>0</v>
      </c>
      <c r="AL1402" s="117" t="n">
        <v>9</v>
      </c>
      <c r="AM1402" s="117" t="s">
        <v>161</v>
      </c>
      <c r="AN1402" s="117" t="s">
        <v>1978</v>
      </c>
      <c r="AP1402" s="117" t="n">
        <v>100309446</v>
      </c>
      <c r="AQ1402" s="118" t="n">
        <v>43919</v>
      </c>
      <c r="AR1402" s="118" t="n">
        <v>43919</v>
      </c>
      <c r="AS1402" s="117" t="n">
        <v>0.277523148148148</v>
      </c>
      <c r="AT1402" s="117" t="n">
        <v>0</v>
      </c>
      <c r="AU1402" s="117" t="n">
        <v>0</v>
      </c>
      <c r="AX1402" s="117" t="n">
        <v>3</v>
      </c>
    </row>
    <row r="1403" customFormat="false" ht="13.8" hidden="true" customHeight="false" outlineLevel="0" collapsed="false">
      <c r="A1403" s="117" t="n">
        <v>1000</v>
      </c>
      <c r="B1403" s="117" t="s">
        <v>1962</v>
      </c>
      <c r="C1403" s="117" t="n">
        <v>100309449</v>
      </c>
      <c r="E1403" s="117" t="s">
        <v>1921</v>
      </c>
      <c r="F1403" s="117" t="n">
        <v>1108</v>
      </c>
      <c r="G1403" s="117" t="n">
        <v>2019</v>
      </c>
      <c r="H1403" s="117" t="n">
        <v>12</v>
      </c>
      <c r="I1403" s="118" t="n">
        <v>43919</v>
      </c>
      <c r="J1403" s="118" t="n">
        <v>43919</v>
      </c>
      <c r="K1403" s="119" t="n">
        <v>-97834.09</v>
      </c>
      <c r="L1403" s="128" t="n">
        <f aca="false">K1403-Q1403+T1403</f>
        <v>-97834.09</v>
      </c>
      <c r="M1403" s="117" t="s">
        <v>149</v>
      </c>
      <c r="N1403" s="117" t="n">
        <v>-97834.09</v>
      </c>
      <c r="O1403" s="117" t="s">
        <v>149</v>
      </c>
      <c r="P1403" s="117" t="n">
        <v>0</v>
      </c>
      <c r="Q1403" s="117" t="n">
        <v>0</v>
      </c>
      <c r="R1403" s="117" t="n">
        <v>-97834.09</v>
      </c>
      <c r="S1403" s="117" t="n">
        <v>0</v>
      </c>
      <c r="T1403" s="117" t="n">
        <v>0</v>
      </c>
      <c r="U1403" s="117" t="n">
        <v>312193</v>
      </c>
      <c r="V1403" s="117" t="s">
        <v>1963</v>
      </c>
      <c r="Z1403" s="117" t="n">
        <v>100309449</v>
      </c>
      <c r="AD1403" s="117" t="n">
        <v>110000</v>
      </c>
      <c r="AE1403" s="117" t="s">
        <v>1966</v>
      </c>
      <c r="AF1403" s="117" t="n">
        <v>110000</v>
      </c>
      <c r="AG1403" s="117" t="s">
        <v>1966</v>
      </c>
      <c r="AI1403" s="117" t="n">
        <v>110000</v>
      </c>
      <c r="AJ1403" s="117" t="s">
        <v>1966</v>
      </c>
      <c r="AK1403" s="117" t="n">
        <v>0</v>
      </c>
      <c r="AL1403" s="117" t="n">
        <v>17</v>
      </c>
      <c r="AM1403" s="117" t="s">
        <v>225</v>
      </c>
      <c r="AP1403" s="117" t="n">
        <v>100309449</v>
      </c>
      <c r="AQ1403" s="118" t="n">
        <v>43919</v>
      </c>
      <c r="AR1403" s="118" t="n">
        <v>43919</v>
      </c>
      <c r="AS1403" s="117" t="n">
        <v>0.297847222222222</v>
      </c>
      <c r="AT1403" s="117" t="n">
        <v>0</v>
      </c>
      <c r="AU1403" s="117" t="n">
        <v>0</v>
      </c>
      <c r="AX1403" s="117" t="n">
        <v>4</v>
      </c>
    </row>
    <row r="1404" customFormat="false" ht="13.8" hidden="true" customHeight="false" outlineLevel="0" collapsed="false">
      <c r="A1404" s="117" t="n">
        <v>1000</v>
      </c>
      <c r="B1404" s="117" t="s">
        <v>1962</v>
      </c>
      <c r="C1404" s="117" t="n">
        <v>100309449</v>
      </c>
      <c r="E1404" s="117" t="s">
        <v>1921</v>
      </c>
      <c r="F1404" s="117" t="n">
        <v>1106</v>
      </c>
      <c r="G1404" s="117" t="n">
        <v>2019</v>
      </c>
      <c r="H1404" s="117" t="n">
        <v>12</v>
      </c>
      <c r="I1404" s="118" t="n">
        <v>43919</v>
      </c>
      <c r="J1404" s="118" t="n">
        <v>43919</v>
      </c>
      <c r="K1404" s="119" t="n">
        <v>32148</v>
      </c>
      <c r="L1404" s="128" t="n">
        <f aca="false">K1404-Q1404+T1404</f>
        <v>32148</v>
      </c>
      <c r="M1404" s="117" t="s">
        <v>149</v>
      </c>
      <c r="N1404" s="117" t="n">
        <v>32148</v>
      </c>
      <c r="O1404" s="117" t="s">
        <v>149</v>
      </c>
      <c r="P1404" s="117" t="n">
        <v>0</v>
      </c>
      <c r="Q1404" s="117" t="n">
        <v>0</v>
      </c>
      <c r="R1404" s="117" t="n">
        <v>32148</v>
      </c>
      <c r="S1404" s="117" t="n">
        <v>0</v>
      </c>
      <c r="T1404" s="117" t="n">
        <v>0</v>
      </c>
      <c r="U1404" s="117" t="n">
        <v>312193</v>
      </c>
      <c r="V1404" s="117" t="s">
        <v>1963</v>
      </c>
      <c r="Z1404" s="117" t="n">
        <v>100309449</v>
      </c>
      <c r="AD1404" s="117" t="n">
        <v>110000</v>
      </c>
      <c r="AE1404" s="117" t="s">
        <v>1966</v>
      </c>
      <c r="AF1404" s="117" t="n">
        <v>110000</v>
      </c>
      <c r="AG1404" s="117" t="s">
        <v>1966</v>
      </c>
      <c r="AI1404" s="117" t="n">
        <v>110000</v>
      </c>
      <c r="AJ1404" s="117" t="s">
        <v>1966</v>
      </c>
      <c r="AK1404" s="117" t="n">
        <v>0</v>
      </c>
      <c r="AL1404" s="117" t="n">
        <v>7</v>
      </c>
      <c r="AM1404" s="117" t="s">
        <v>161</v>
      </c>
      <c r="AP1404" s="117" t="n">
        <v>100309449</v>
      </c>
      <c r="AQ1404" s="118" t="n">
        <v>43919</v>
      </c>
      <c r="AR1404" s="118" t="n">
        <v>43919</v>
      </c>
      <c r="AS1404" s="117" t="n">
        <v>0.297847222222222</v>
      </c>
      <c r="AT1404" s="117" t="n">
        <v>0</v>
      </c>
      <c r="AU1404" s="117" t="n">
        <v>0</v>
      </c>
      <c r="AX1404" s="117" t="n">
        <v>3</v>
      </c>
    </row>
    <row r="1405" customFormat="false" ht="13.8" hidden="true" customHeight="false" outlineLevel="0" collapsed="false">
      <c r="A1405" s="117" t="n">
        <v>1000</v>
      </c>
      <c r="B1405" s="117" t="s">
        <v>1962</v>
      </c>
      <c r="C1405" s="117" t="n">
        <v>100309449</v>
      </c>
      <c r="E1405" s="117" t="s">
        <v>1921</v>
      </c>
      <c r="F1405" s="117" t="n">
        <v>1101</v>
      </c>
      <c r="G1405" s="117" t="n">
        <v>2019</v>
      </c>
      <c r="H1405" s="117" t="n">
        <v>12</v>
      </c>
      <c r="I1405" s="118" t="n">
        <v>43919</v>
      </c>
      <c r="J1405" s="118" t="n">
        <v>43919</v>
      </c>
      <c r="K1405" s="119" t="n">
        <v>600451.7</v>
      </c>
      <c r="L1405" s="128" t="n">
        <f aca="false">K1405-Q1405+T1405</f>
        <v>600451.7</v>
      </c>
      <c r="M1405" s="117" t="s">
        <v>149</v>
      </c>
      <c r="N1405" s="117" t="n">
        <v>600451.7</v>
      </c>
      <c r="O1405" s="117" t="s">
        <v>149</v>
      </c>
      <c r="P1405" s="117" t="n">
        <v>0</v>
      </c>
      <c r="Q1405" s="117" t="n">
        <v>0</v>
      </c>
      <c r="R1405" s="117" t="n">
        <v>600451.7</v>
      </c>
      <c r="S1405" s="117" t="n">
        <v>0</v>
      </c>
      <c r="T1405" s="117" t="n">
        <v>0</v>
      </c>
      <c r="U1405" s="117" t="n">
        <v>312193</v>
      </c>
      <c r="V1405" s="117" t="s">
        <v>1963</v>
      </c>
      <c r="Z1405" s="117" t="n">
        <v>100309449</v>
      </c>
      <c r="AD1405" s="117" t="n">
        <v>310300</v>
      </c>
      <c r="AE1405" s="117" t="s">
        <v>1969</v>
      </c>
      <c r="AF1405" s="117" t="n">
        <v>110000</v>
      </c>
      <c r="AG1405" s="117" t="s">
        <v>1966</v>
      </c>
      <c r="AI1405" s="117" t="n">
        <v>110000</v>
      </c>
      <c r="AJ1405" s="117" t="s">
        <v>1966</v>
      </c>
      <c r="AK1405" s="117" t="n">
        <v>0</v>
      </c>
      <c r="AL1405" s="117" t="n">
        <v>9</v>
      </c>
      <c r="AM1405" s="117" t="s">
        <v>161</v>
      </c>
      <c r="AN1405" s="117" t="s">
        <v>1978</v>
      </c>
      <c r="AP1405" s="117" t="n">
        <v>100309449</v>
      </c>
      <c r="AQ1405" s="118" t="n">
        <v>43919</v>
      </c>
      <c r="AR1405" s="118" t="n">
        <v>43919</v>
      </c>
      <c r="AS1405" s="117" t="n">
        <v>0.297847222222222</v>
      </c>
      <c r="AT1405" s="117" t="n">
        <v>0</v>
      </c>
      <c r="AU1405" s="117" t="n">
        <v>0</v>
      </c>
      <c r="AX1405" s="117" t="n">
        <v>6</v>
      </c>
    </row>
    <row r="1406" customFormat="false" ht="13.8" hidden="true" customHeight="false" outlineLevel="0" collapsed="false">
      <c r="A1406" s="117" t="n">
        <v>1000</v>
      </c>
      <c r="B1406" s="117" t="s">
        <v>1962</v>
      </c>
      <c r="C1406" s="117" t="n">
        <v>100309449</v>
      </c>
      <c r="E1406" s="117" t="s">
        <v>1921</v>
      </c>
      <c r="F1406" s="117" t="n">
        <v>1109</v>
      </c>
      <c r="G1406" s="117" t="n">
        <v>2019</v>
      </c>
      <c r="H1406" s="117" t="n">
        <v>12</v>
      </c>
      <c r="I1406" s="118" t="n">
        <v>43919</v>
      </c>
      <c r="J1406" s="118" t="n">
        <v>43919</v>
      </c>
      <c r="K1406" s="119" t="n">
        <v>-653406.83</v>
      </c>
      <c r="L1406" s="128" t="n">
        <f aca="false">K1406-Q1406+T1406</f>
        <v>-653406.83</v>
      </c>
      <c r="M1406" s="117" t="s">
        <v>149</v>
      </c>
      <c r="N1406" s="117" t="n">
        <v>-653406.83</v>
      </c>
      <c r="O1406" s="117" t="s">
        <v>149</v>
      </c>
      <c r="P1406" s="117" t="n">
        <v>0</v>
      </c>
      <c r="Q1406" s="117" t="n">
        <v>0</v>
      </c>
      <c r="R1406" s="117" t="n">
        <v>-653406.83</v>
      </c>
      <c r="S1406" s="117" t="n">
        <v>0</v>
      </c>
      <c r="T1406" s="117" t="n">
        <v>0</v>
      </c>
      <c r="U1406" s="117" t="n">
        <v>312193</v>
      </c>
      <c r="V1406" s="117" t="s">
        <v>1963</v>
      </c>
      <c r="Z1406" s="117" t="n">
        <v>100309449</v>
      </c>
      <c r="AD1406" s="117" t="n">
        <v>110000</v>
      </c>
      <c r="AE1406" s="117" t="s">
        <v>1966</v>
      </c>
      <c r="AF1406" s="117" t="n">
        <v>110000</v>
      </c>
      <c r="AG1406" s="117" t="s">
        <v>1966</v>
      </c>
      <c r="AI1406" s="117" t="n">
        <v>110000</v>
      </c>
      <c r="AJ1406" s="117" t="s">
        <v>1966</v>
      </c>
      <c r="AK1406" s="117" t="n">
        <v>0</v>
      </c>
      <c r="AL1406" s="117" t="n">
        <v>17</v>
      </c>
      <c r="AM1406" s="117" t="s">
        <v>225</v>
      </c>
      <c r="AP1406" s="117" t="n">
        <v>100309449</v>
      </c>
      <c r="AQ1406" s="118" t="n">
        <v>43919</v>
      </c>
      <c r="AR1406" s="118" t="n">
        <v>43919</v>
      </c>
      <c r="AS1406" s="117" t="n">
        <v>0.297847222222222</v>
      </c>
      <c r="AT1406" s="117" t="n">
        <v>0</v>
      </c>
      <c r="AU1406" s="117" t="n">
        <v>0</v>
      </c>
      <c r="AX1406" s="117" t="n">
        <v>5</v>
      </c>
    </row>
    <row r="1407" customFormat="false" ht="13.8" hidden="true" customHeight="false" outlineLevel="0" collapsed="false">
      <c r="A1407" s="117" t="n">
        <v>1000</v>
      </c>
      <c r="B1407" s="117" t="s">
        <v>1962</v>
      </c>
      <c r="C1407" s="117" t="n">
        <v>100309449</v>
      </c>
      <c r="E1407" s="117" t="s">
        <v>1921</v>
      </c>
      <c r="F1407" s="117" t="n">
        <v>1108</v>
      </c>
      <c r="G1407" s="117" t="n">
        <v>2019</v>
      </c>
      <c r="H1407" s="117" t="n">
        <v>12</v>
      </c>
      <c r="I1407" s="118" t="n">
        <v>43919</v>
      </c>
      <c r="J1407" s="118" t="n">
        <v>43919</v>
      </c>
      <c r="K1407" s="119" t="n">
        <v>108288.6</v>
      </c>
      <c r="L1407" s="128" t="n">
        <f aca="false">K1407-Q1407+T1407</f>
        <v>108288.6</v>
      </c>
      <c r="M1407" s="117" t="s">
        <v>149</v>
      </c>
      <c r="N1407" s="117" t="n">
        <v>108288.6</v>
      </c>
      <c r="O1407" s="117" t="s">
        <v>149</v>
      </c>
      <c r="P1407" s="117" t="n">
        <v>0</v>
      </c>
      <c r="Q1407" s="117" t="n">
        <v>0</v>
      </c>
      <c r="R1407" s="117" t="n">
        <v>108288.6</v>
      </c>
      <c r="S1407" s="117" t="n">
        <v>0</v>
      </c>
      <c r="T1407" s="117" t="n">
        <v>0</v>
      </c>
      <c r="U1407" s="117" t="n">
        <v>312193</v>
      </c>
      <c r="V1407" s="117" t="s">
        <v>1963</v>
      </c>
      <c r="X1407" s="117" t="s">
        <v>1168</v>
      </c>
      <c r="Z1407" s="117" t="n">
        <v>2346</v>
      </c>
      <c r="AB1407" s="117" t="s">
        <v>2031</v>
      </c>
      <c r="AD1407" s="117" t="n">
        <v>110000</v>
      </c>
      <c r="AE1407" s="117" t="s">
        <v>1966</v>
      </c>
      <c r="AF1407" s="117" t="n">
        <v>110000</v>
      </c>
      <c r="AG1407" s="117" t="s">
        <v>1966</v>
      </c>
      <c r="AI1407" s="117" t="n">
        <v>110000</v>
      </c>
      <c r="AJ1407" s="117" t="s">
        <v>1966</v>
      </c>
      <c r="AK1407" s="117" t="n">
        <v>0</v>
      </c>
      <c r="AL1407" s="117" t="n">
        <v>4</v>
      </c>
      <c r="AM1407" s="117" t="s">
        <v>161</v>
      </c>
      <c r="AP1407" s="117" t="n">
        <v>100309450</v>
      </c>
      <c r="AQ1407" s="118" t="n">
        <v>43919</v>
      </c>
      <c r="AR1407" s="118" t="n">
        <v>43919</v>
      </c>
      <c r="AS1407" s="117" t="n">
        <v>0.297847222222222</v>
      </c>
      <c r="AT1407" s="117" t="n">
        <v>0</v>
      </c>
      <c r="AU1407" s="117" t="n">
        <v>0</v>
      </c>
      <c r="AX1407" s="117" t="n">
        <v>2</v>
      </c>
    </row>
    <row r="1408" customFormat="false" ht="13.8" hidden="true" customHeight="false" outlineLevel="0" collapsed="false">
      <c r="A1408" s="117" t="n">
        <v>1000</v>
      </c>
      <c r="B1408" s="117" t="s">
        <v>1962</v>
      </c>
      <c r="C1408" s="117" t="n">
        <v>100309450</v>
      </c>
      <c r="E1408" s="117" t="s">
        <v>1921</v>
      </c>
      <c r="F1408" s="117" t="n">
        <v>1106</v>
      </c>
      <c r="G1408" s="117" t="n">
        <v>2019</v>
      </c>
      <c r="H1408" s="117" t="n">
        <v>12</v>
      </c>
      <c r="I1408" s="118" t="n">
        <v>43919</v>
      </c>
      <c r="J1408" s="118" t="n">
        <v>43919</v>
      </c>
      <c r="K1408" s="119" t="n">
        <v>106452.6</v>
      </c>
      <c r="L1408" s="128" t="n">
        <f aca="false">K1408-Q1408+T1408</f>
        <v>106452.6</v>
      </c>
      <c r="M1408" s="117" t="s">
        <v>149</v>
      </c>
      <c r="N1408" s="117" t="n">
        <v>106452.6</v>
      </c>
      <c r="O1408" s="117" t="s">
        <v>149</v>
      </c>
      <c r="P1408" s="117" t="n">
        <v>0</v>
      </c>
      <c r="Q1408" s="117" t="n">
        <v>0</v>
      </c>
      <c r="R1408" s="117" t="n">
        <v>106452.6</v>
      </c>
      <c r="S1408" s="117" t="n">
        <v>0</v>
      </c>
      <c r="T1408" s="117" t="n">
        <v>0</v>
      </c>
      <c r="U1408" s="117" t="n">
        <v>312193</v>
      </c>
      <c r="V1408" s="117" t="s">
        <v>1963</v>
      </c>
      <c r="Z1408" s="117" t="n">
        <v>100309450</v>
      </c>
      <c r="AD1408" s="117" t="n">
        <v>310300</v>
      </c>
      <c r="AE1408" s="117" t="s">
        <v>1969</v>
      </c>
      <c r="AF1408" s="117" t="n">
        <v>110000</v>
      </c>
      <c r="AG1408" s="117" t="s">
        <v>1966</v>
      </c>
      <c r="AI1408" s="117" t="n">
        <v>110000</v>
      </c>
      <c r="AJ1408" s="117" t="s">
        <v>1966</v>
      </c>
      <c r="AK1408" s="117" t="n">
        <v>0</v>
      </c>
      <c r="AL1408" s="117" t="n">
        <v>9</v>
      </c>
      <c r="AM1408" s="117" t="s">
        <v>161</v>
      </c>
      <c r="AN1408" s="117" t="s">
        <v>1978</v>
      </c>
      <c r="AP1408" s="117" t="n">
        <v>100309450</v>
      </c>
      <c r="AQ1408" s="118" t="n">
        <v>43919</v>
      </c>
      <c r="AR1408" s="118" t="n">
        <v>43919</v>
      </c>
      <c r="AS1408" s="117" t="n">
        <v>0.300902777777778</v>
      </c>
      <c r="AT1408" s="117" t="n">
        <v>0</v>
      </c>
      <c r="AU1408" s="117" t="n">
        <v>0</v>
      </c>
      <c r="AX1408" s="117" t="n">
        <v>3</v>
      </c>
    </row>
    <row r="1409" customFormat="false" ht="13.8" hidden="true" customHeight="false" outlineLevel="0" collapsed="false">
      <c r="A1409" s="117" t="n">
        <v>1000</v>
      </c>
      <c r="B1409" s="117" t="s">
        <v>1962</v>
      </c>
      <c r="C1409" s="117" t="n">
        <v>100309450</v>
      </c>
      <c r="E1409" s="117" t="s">
        <v>1921</v>
      </c>
      <c r="F1409" s="117" t="n">
        <v>1108</v>
      </c>
      <c r="G1409" s="117" t="n">
        <v>2019</v>
      </c>
      <c r="H1409" s="117" t="n">
        <v>12</v>
      </c>
      <c r="I1409" s="118" t="n">
        <v>43919</v>
      </c>
      <c r="J1409" s="118" t="n">
        <v>43919</v>
      </c>
      <c r="K1409" s="119" t="n">
        <v>1836</v>
      </c>
      <c r="L1409" s="128" t="n">
        <f aca="false">K1409-Q1409+T1409</f>
        <v>1836</v>
      </c>
      <c r="M1409" s="117" t="s">
        <v>149</v>
      </c>
      <c r="N1409" s="117" t="n">
        <v>1836</v>
      </c>
      <c r="O1409" s="117" t="s">
        <v>149</v>
      </c>
      <c r="P1409" s="117" t="n">
        <v>0</v>
      </c>
      <c r="Q1409" s="117" t="n">
        <v>0</v>
      </c>
      <c r="R1409" s="117" t="n">
        <v>1836</v>
      </c>
      <c r="S1409" s="117" t="n">
        <v>0</v>
      </c>
      <c r="T1409" s="117" t="n">
        <v>0</v>
      </c>
      <c r="U1409" s="117" t="n">
        <v>312193</v>
      </c>
      <c r="V1409" s="117" t="s">
        <v>1963</v>
      </c>
      <c r="X1409" s="117" t="s">
        <v>2698</v>
      </c>
      <c r="Z1409" s="117" t="n">
        <v>2346</v>
      </c>
      <c r="AB1409" s="117" t="s">
        <v>2031</v>
      </c>
      <c r="AD1409" s="117" t="n">
        <v>110000</v>
      </c>
      <c r="AE1409" s="117" t="s">
        <v>1966</v>
      </c>
      <c r="AF1409" s="117" t="n">
        <v>110000</v>
      </c>
      <c r="AG1409" s="117" t="s">
        <v>1966</v>
      </c>
      <c r="AI1409" s="117" t="n">
        <v>110000</v>
      </c>
      <c r="AJ1409" s="117" t="s">
        <v>1966</v>
      </c>
      <c r="AK1409" s="117" t="n">
        <v>0</v>
      </c>
      <c r="AL1409" s="117" t="n">
        <v>4</v>
      </c>
      <c r="AM1409" s="117" t="s">
        <v>161</v>
      </c>
      <c r="AR1409" s="118" t="n">
        <v>43919</v>
      </c>
      <c r="AS1409" s="117" t="n">
        <v>0.300902777777778</v>
      </c>
      <c r="AT1409" s="117" t="n">
        <v>0</v>
      </c>
      <c r="AU1409" s="117" t="n">
        <v>0</v>
      </c>
      <c r="AX1409" s="117" t="n">
        <v>1</v>
      </c>
    </row>
    <row r="1410" customFormat="false" ht="13.8" hidden="true" customHeight="false" outlineLevel="0" collapsed="false">
      <c r="A1410" s="117" t="n">
        <v>1000</v>
      </c>
      <c r="B1410" s="117" t="s">
        <v>1962</v>
      </c>
      <c r="C1410" s="117" t="n">
        <v>100309450</v>
      </c>
      <c r="E1410" s="117" t="s">
        <v>1921</v>
      </c>
      <c r="F1410" s="117" t="n">
        <v>1108</v>
      </c>
      <c r="G1410" s="117" t="n">
        <v>2019</v>
      </c>
      <c r="H1410" s="117" t="n">
        <v>12</v>
      </c>
      <c r="I1410" s="118" t="n">
        <v>43919</v>
      </c>
      <c r="J1410" s="118" t="n">
        <v>43919</v>
      </c>
      <c r="K1410" s="119" t="n">
        <v>-108288.6</v>
      </c>
      <c r="L1410" s="128" t="n">
        <f aca="false">K1410-Q1410+T1410</f>
        <v>-108288.6</v>
      </c>
      <c r="M1410" s="117" t="s">
        <v>149</v>
      </c>
      <c r="N1410" s="117" t="n">
        <v>-108288.6</v>
      </c>
      <c r="O1410" s="117" t="s">
        <v>149</v>
      </c>
      <c r="P1410" s="117" t="n">
        <v>0</v>
      </c>
      <c r="Q1410" s="117" t="n">
        <v>0</v>
      </c>
      <c r="R1410" s="117" t="n">
        <v>-108288.6</v>
      </c>
      <c r="S1410" s="117" t="n">
        <v>0</v>
      </c>
      <c r="T1410" s="117" t="n">
        <v>0</v>
      </c>
      <c r="U1410" s="117" t="n">
        <v>312193</v>
      </c>
      <c r="V1410" s="117" t="s">
        <v>1963</v>
      </c>
      <c r="Z1410" s="117" t="n">
        <v>100309450</v>
      </c>
      <c r="AD1410" s="117" t="n">
        <v>110000</v>
      </c>
      <c r="AE1410" s="117" t="s">
        <v>1966</v>
      </c>
      <c r="AF1410" s="117" t="n">
        <v>110000</v>
      </c>
      <c r="AG1410" s="117" t="s">
        <v>1966</v>
      </c>
      <c r="AI1410" s="117" t="n">
        <v>110000</v>
      </c>
      <c r="AJ1410" s="117" t="s">
        <v>1966</v>
      </c>
      <c r="AK1410" s="117" t="n">
        <v>0</v>
      </c>
      <c r="AL1410" s="117" t="n">
        <v>17</v>
      </c>
      <c r="AM1410" s="117" t="s">
        <v>225</v>
      </c>
      <c r="AP1410" s="117" t="n">
        <v>100309450</v>
      </c>
      <c r="AQ1410" s="118" t="n">
        <v>43919</v>
      </c>
      <c r="AR1410" s="118" t="n">
        <v>43919</v>
      </c>
      <c r="AS1410" s="117" t="n">
        <v>0.300902777777778</v>
      </c>
      <c r="AT1410" s="117" t="n">
        <v>0</v>
      </c>
      <c r="AU1410" s="117" t="n">
        <v>0</v>
      </c>
      <c r="AX1410" s="117" t="n">
        <v>2</v>
      </c>
    </row>
    <row r="1411" customFormat="false" ht="13.8" hidden="true" customHeight="false" outlineLevel="0" collapsed="false">
      <c r="A1411" s="117" t="n">
        <v>1000</v>
      </c>
      <c r="B1411" s="117" t="s">
        <v>1962</v>
      </c>
      <c r="C1411" s="117" t="n">
        <v>100309451</v>
      </c>
      <c r="E1411" s="117" t="s">
        <v>1921</v>
      </c>
      <c r="F1411" s="117" t="n">
        <v>1109</v>
      </c>
      <c r="G1411" s="117" t="n">
        <v>2019</v>
      </c>
      <c r="H1411" s="117" t="n">
        <v>12</v>
      </c>
      <c r="I1411" s="118" t="n">
        <v>43919</v>
      </c>
      <c r="J1411" s="118" t="n">
        <v>43919</v>
      </c>
      <c r="K1411" s="119" t="n">
        <v>533737.6</v>
      </c>
      <c r="L1411" s="128" t="n">
        <f aca="false">K1411-Q1411+T1411</f>
        <v>533737.6</v>
      </c>
      <c r="M1411" s="117" t="s">
        <v>149</v>
      </c>
      <c r="N1411" s="117" t="n">
        <v>533737.6</v>
      </c>
      <c r="O1411" s="117" t="s">
        <v>149</v>
      </c>
      <c r="P1411" s="117" t="n">
        <v>0</v>
      </c>
      <c r="Q1411" s="117" t="n">
        <v>0</v>
      </c>
      <c r="R1411" s="117" t="n">
        <v>533737.6</v>
      </c>
      <c r="S1411" s="117" t="n">
        <v>0</v>
      </c>
      <c r="T1411" s="117" t="n">
        <v>0</v>
      </c>
      <c r="U1411" s="117" t="n">
        <v>312193</v>
      </c>
      <c r="V1411" s="117" t="s">
        <v>1963</v>
      </c>
      <c r="X1411" s="117" t="s">
        <v>1248</v>
      </c>
      <c r="Z1411" s="117" t="n">
        <v>2525</v>
      </c>
      <c r="AB1411" s="117" t="s">
        <v>2660</v>
      </c>
      <c r="AD1411" s="117" t="n">
        <v>110000</v>
      </c>
      <c r="AE1411" s="117" t="s">
        <v>1966</v>
      </c>
      <c r="AF1411" s="117" t="n">
        <v>110000</v>
      </c>
      <c r="AG1411" s="117" t="s">
        <v>1966</v>
      </c>
      <c r="AI1411" s="117" t="n">
        <v>110000</v>
      </c>
      <c r="AJ1411" s="117" t="s">
        <v>1966</v>
      </c>
      <c r="AK1411" s="117" t="n">
        <v>0</v>
      </c>
      <c r="AL1411" s="117" t="n">
        <v>4</v>
      </c>
      <c r="AM1411" s="117" t="s">
        <v>161</v>
      </c>
      <c r="AR1411" s="118" t="n">
        <v>43919</v>
      </c>
      <c r="AS1411" s="117" t="n">
        <v>0.306689814814815</v>
      </c>
      <c r="AT1411" s="117" t="n">
        <v>0</v>
      </c>
      <c r="AU1411" s="117" t="n">
        <v>0</v>
      </c>
      <c r="AX1411" s="117" t="n">
        <v>4</v>
      </c>
    </row>
    <row r="1412" customFormat="false" ht="13.8" hidden="true" customHeight="false" outlineLevel="0" collapsed="false">
      <c r="A1412" s="117" t="n">
        <v>1000</v>
      </c>
      <c r="B1412" s="117" t="s">
        <v>1962</v>
      </c>
      <c r="C1412" s="117" t="n">
        <v>100309451</v>
      </c>
      <c r="E1412" s="117" t="s">
        <v>1921</v>
      </c>
      <c r="F1412" s="117" t="n">
        <v>1109</v>
      </c>
      <c r="G1412" s="117" t="n">
        <v>2019</v>
      </c>
      <c r="H1412" s="117" t="n">
        <v>12</v>
      </c>
      <c r="I1412" s="118" t="n">
        <v>43919</v>
      </c>
      <c r="J1412" s="118" t="n">
        <v>43919</v>
      </c>
      <c r="K1412" s="119" t="n">
        <v>570730.6</v>
      </c>
      <c r="L1412" s="128" t="n">
        <f aca="false">K1412-Q1412+T1412</f>
        <v>570730.6</v>
      </c>
      <c r="M1412" s="117" t="s">
        <v>149</v>
      </c>
      <c r="N1412" s="117" t="n">
        <v>570730.6</v>
      </c>
      <c r="O1412" s="117" t="s">
        <v>149</v>
      </c>
      <c r="P1412" s="117" t="n">
        <v>0</v>
      </c>
      <c r="Q1412" s="117" t="n">
        <v>0</v>
      </c>
      <c r="R1412" s="117" t="n">
        <v>570730.6</v>
      </c>
      <c r="S1412" s="117" t="n">
        <v>0</v>
      </c>
      <c r="T1412" s="117" t="n">
        <v>0</v>
      </c>
      <c r="U1412" s="117" t="n">
        <v>312193</v>
      </c>
      <c r="V1412" s="117" t="s">
        <v>1963</v>
      </c>
      <c r="X1412" s="117" t="s">
        <v>1070</v>
      </c>
      <c r="Z1412" s="117" t="n">
        <v>2525</v>
      </c>
      <c r="AB1412" s="117" t="s">
        <v>2660</v>
      </c>
      <c r="AD1412" s="117" t="n">
        <v>110000</v>
      </c>
      <c r="AE1412" s="117" t="s">
        <v>1966</v>
      </c>
      <c r="AF1412" s="117" t="n">
        <v>110000</v>
      </c>
      <c r="AG1412" s="117" t="s">
        <v>1966</v>
      </c>
      <c r="AI1412" s="117" t="n">
        <v>110000</v>
      </c>
      <c r="AJ1412" s="117" t="s">
        <v>1966</v>
      </c>
      <c r="AK1412" s="117" t="n">
        <v>0</v>
      </c>
      <c r="AL1412" s="117" t="n">
        <v>4</v>
      </c>
      <c r="AM1412" s="117" t="s">
        <v>161</v>
      </c>
      <c r="AR1412" s="118" t="n">
        <v>43919</v>
      </c>
      <c r="AS1412" s="117" t="n">
        <v>0.306689814814815</v>
      </c>
      <c r="AT1412" s="117" t="n">
        <v>0</v>
      </c>
      <c r="AU1412" s="117" t="n">
        <v>0</v>
      </c>
      <c r="AX1412" s="117" t="n">
        <v>2</v>
      </c>
    </row>
    <row r="1413" customFormat="false" ht="13.8" hidden="true" customHeight="false" outlineLevel="0" collapsed="false">
      <c r="A1413" s="117" t="n">
        <v>1000</v>
      </c>
      <c r="B1413" s="117" t="s">
        <v>1962</v>
      </c>
      <c r="C1413" s="117" t="n">
        <v>100309451</v>
      </c>
      <c r="E1413" s="117" t="s">
        <v>1921</v>
      </c>
      <c r="F1413" s="117" t="n">
        <v>1109</v>
      </c>
      <c r="G1413" s="117" t="n">
        <v>2019</v>
      </c>
      <c r="H1413" s="117" t="n">
        <v>12</v>
      </c>
      <c r="I1413" s="118" t="n">
        <v>43919</v>
      </c>
      <c r="J1413" s="118" t="n">
        <v>43919</v>
      </c>
      <c r="K1413" s="119" t="n">
        <v>444919</v>
      </c>
      <c r="L1413" s="128" t="n">
        <f aca="false">K1413-Q1413+T1413</f>
        <v>444919</v>
      </c>
      <c r="M1413" s="117" t="s">
        <v>149</v>
      </c>
      <c r="N1413" s="117" t="n">
        <v>444919</v>
      </c>
      <c r="O1413" s="117" t="s">
        <v>149</v>
      </c>
      <c r="P1413" s="117" t="n">
        <v>0</v>
      </c>
      <c r="Q1413" s="117" t="n">
        <v>0</v>
      </c>
      <c r="R1413" s="117" t="n">
        <v>444919</v>
      </c>
      <c r="S1413" s="117" t="n">
        <v>0</v>
      </c>
      <c r="T1413" s="117" t="n">
        <v>0</v>
      </c>
      <c r="U1413" s="117" t="n">
        <v>312193</v>
      </c>
      <c r="V1413" s="117" t="s">
        <v>1963</v>
      </c>
      <c r="X1413" s="117" t="s">
        <v>1076</v>
      </c>
      <c r="Z1413" s="117" t="n">
        <v>2525</v>
      </c>
      <c r="AB1413" s="117" t="s">
        <v>2660</v>
      </c>
      <c r="AD1413" s="117" t="n">
        <v>110000</v>
      </c>
      <c r="AE1413" s="117" t="s">
        <v>1966</v>
      </c>
      <c r="AF1413" s="117" t="n">
        <v>110000</v>
      </c>
      <c r="AG1413" s="117" t="s">
        <v>1966</v>
      </c>
      <c r="AI1413" s="117" t="n">
        <v>110000</v>
      </c>
      <c r="AJ1413" s="117" t="s">
        <v>1966</v>
      </c>
      <c r="AK1413" s="117" t="n">
        <v>0</v>
      </c>
      <c r="AL1413" s="117" t="n">
        <v>4</v>
      </c>
      <c r="AM1413" s="117" t="s">
        <v>161</v>
      </c>
      <c r="AR1413" s="118" t="n">
        <v>43919</v>
      </c>
      <c r="AS1413" s="117" t="n">
        <v>0.306689814814815</v>
      </c>
      <c r="AT1413" s="117" t="n">
        <v>0</v>
      </c>
      <c r="AU1413" s="117" t="n">
        <v>0</v>
      </c>
      <c r="AX1413" s="117" t="n">
        <v>1</v>
      </c>
    </row>
    <row r="1414" customFormat="false" ht="13.8" hidden="true" customHeight="false" outlineLevel="0" collapsed="false">
      <c r="A1414" s="117" t="n">
        <v>1000</v>
      </c>
      <c r="B1414" s="117" t="s">
        <v>1962</v>
      </c>
      <c r="C1414" s="117" t="n">
        <v>100309451</v>
      </c>
      <c r="E1414" s="117" t="s">
        <v>1921</v>
      </c>
      <c r="F1414" s="117" t="n">
        <v>1109</v>
      </c>
      <c r="G1414" s="117" t="n">
        <v>2019</v>
      </c>
      <c r="H1414" s="117" t="n">
        <v>12</v>
      </c>
      <c r="I1414" s="118" t="n">
        <v>43919</v>
      </c>
      <c r="J1414" s="118" t="n">
        <v>43919</v>
      </c>
      <c r="K1414" s="119" t="n">
        <v>325092.93</v>
      </c>
      <c r="L1414" s="128" t="n">
        <f aca="false">K1414-Q1414+T1414</f>
        <v>325092.93</v>
      </c>
      <c r="M1414" s="117" t="s">
        <v>149</v>
      </c>
      <c r="N1414" s="117" t="n">
        <v>325092.93</v>
      </c>
      <c r="O1414" s="117" t="s">
        <v>149</v>
      </c>
      <c r="P1414" s="117" t="n">
        <v>0</v>
      </c>
      <c r="Q1414" s="117" t="n">
        <v>0</v>
      </c>
      <c r="R1414" s="117" t="n">
        <v>325092.93</v>
      </c>
      <c r="S1414" s="117" t="n">
        <v>0</v>
      </c>
      <c r="T1414" s="117" t="n">
        <v>0</v>
      </c>
      <c r="U1414" s="117" t="n">
        <v>312193</v>
      </c>
      <c r="V1414" s="117" t="s">
        <v>1963</v>
      </c>
      <c r="X1414" s="117" t="s">
        <v>2645</v>
      </c>
      <c r="Z1414" s="117" t="n">
        <v>2495</v>
      </c>
      <c r="AB1414" s="117" t="s">
        <v>2451</v>
      </c>
      <c r="AD1414" s="117" t="n">
        <v>110000</v>
      </c>
      <c r="AE1414" s="117" t="s">
        <v>1966</v>
      </c>
      <c r="AF1414" s="117" t="n">
        <v>110000</v>
      </c>
      <c r="AG1414" s="117" t="s">
        <v>1966</v>
      </c>
      <c r="AI1414" s="117" t="n">
        <v>110000</v>
      </c>
      <c r="AJ1414" s="117" t="s">
        <v>1966</v>
      </c>
      <c r="AK1414" s="117" t="n">
        <v>0</v>
      </c>
      <c r="AL1414" s="117" t="n">
        <v>4</v>
      </c>
      <c r="AM1414" s="117" t="s">
        <v>161</v>
      </c>
      <c r="AR1414" s="118" t="n">
        <v>43919</v>
      </c>
      <c r="AS1414" s="117" t="n">
        <v>0.306689814814815</v>
      </c>
      <c r="AT1414" s="117" t="n">
        <v>0</v>
      </c>
      <c r="AU1414" s="117" t="n">
        <v>0</v>
      </c>
      <c r="AX1414" s="117" t="n">
        <v>3</v>
      </c>
    </row>
    <row r="1415" customFormat="false" ht="13.8" hidden="true" customHeight="false" outlineLevel="0" collapsed="false">
      <c r="A1415" s="117" t="n">
        <v>1000</v>
      </c>
      <c r="B1415" s="117" t="s">
        <v>1962</v>
      </c>
      <c r="C1415" s="117" t="n">
        <v>100309451</v>
      </c>
      <c r="E1415" s="117" t="s">
        <v>1921</v>
      </c>
      <c r="F1415" s="117" t="n">
        <v>1109</v>
      </c>
      <c r="G1415" s="117" t="n">
        <v>2019</v>
      </c>
      <c r="H1415" s="117" t="n">
        <v>12</v>
      </c>
      <c r="I1415" s="118" t="n">
        <v>43919</v>
      </c>
      <c r="J1415" s="118" t="n">
        <v>43919</v>
      </c>
      <c r="K1415" s="119" t="n">
        <v>542115.6</v>
      </c>
      <c r="L1415" s="128" t="n">
        <f aca="false">K1415-Q1415+T1415</f>
        <v>542115.6</v>
      </c>
      <c r="M1415" s="117" t="s">
        <v>149</v>
      </c>
      <c r="N1415" s="117" t="n">
        <v>542115.6</v>
      </c>
      <c r="O1415" s="117" t="s">
        <v>149</v>
      </c>
      <c r="P1415" s="117" t="n">
        <v>0</v>
      </c>
      <c r="Q1415" s="117" t="n">
        <v>0</v>
      </c>
      <c r="R1415" s="117" t="n">
        <v>542115.6</v>
      </c>
      <c r="S1415" s="117" t="n">
        <v>0</v>
      </c>
      <c r="T1415" s="117" t="n">
        <v>0</v>
      </c>
      <c r="U1415" s="117" t="n">
        <v>312193</v>
      </c>
      <c r="V1415" s="117" t="s">
        <v>1963</v>
      </c>
      <c r="X1415" s="117" t="s">
        <v>1252</v>
      </c>
      <c r="Z1415" s="117" t="n">
        <v>2525</v>
      </c>
      <c r="AB1415" s="117" t="s">
        <v>2660</v>
      </c>
      <c r="AD1415" s="117" t="n">
        <v>110000</v>
      </c>
      <c r="AE1415" s="117" t="s">
        <v>1966</v>
      </c>
      <c r="AF1415" s="117" t="n">
        <v>110000</v>
      </c>
      <c r="AG1415" s="117" t="s">
        <v>1966</v>
      </c>
      <c r="AI1415" s="117" t="n">
        <v>110000</v>
      </c>
      <c r="AJ1415" s="117" t="s">
        <v>1966</v>
      </c>
      <c r="AK1415" s="117" t="n">
        <v>0</v>
      </c>
      <c r="AL1415" s="117" t="n">
        <v>4</v>
      </c>
      <c r="AM1415" s="117" t="s">
        <v>161</v>
      </c>
      <c r="AR1415" s="118" t="n">
        <v>43919</v>
      </c>
      <c r="AS1415" s="117" t="n">
        <v>0.306689814814815</v>
      </c>
      <c r="AT1415" s="117" t="n">
        <v>0</v>
      </c>
      <c r="AU1415" s="117" t="n">
        <v>0</v>
      </c>
      <c r="AX1415" s="117" t="n">
        <v>8</v>
      </c>
    </row>
    <row r="1416" customFormat="false" ht="13.8" hidden="true" customHeight="false" outlineLevel="0" collapsed="false">
      <c r="A1416" s="117" t="n">
        <v>1000</v>
      </c>
      <c r="B1416" s="117" t="s">
        <v>1962</v>
      </c>
      <c r="C1416" s="117" t="n">
        <v>100309451</v>
      </c>
      <c r="E1416" s="117" t="s">
        <v>1921</v>
      </c>
      <c r="F1416" s="117" t="n">
        <v>1108</v>
      </c>
      <c r="G1416" s="117" t="n">
        <v>2019</v>
      </c>
      <c r="H1416" s="117" t="n">
        <v>12</v>
      </c>
      <c r="I1416" s="118" t="n">
        <v>43919</v>
      </c>
      <c r="J1416" s="118" t="n">
        <v>43919</v>
      </c>
      <c r="K1416" s="119" t="n">
        <v>198551.52</v>
      </c>
      <c r="L1416" s="128" t="n">
        <f aca="false">K1416-Q1416+T1416</f>
        <v>198551.52</v>
      </c>
      <c r="M1416" s="117" t="s">
        <v>149</v>
      </c>
      <c r="N1416" s="117" t="n">
        <v>198551.52</v>
      </c>
      <c r="O1416" s="117" t="s">
        <v>149</v>
      </c>
      <c r="P1416" s="117" t="n">
        <v>0</v>
      </c>
      <c r="Q1416" s="117" t="n">
        <v>0</v>
      </c>
      <c r="R1416" s="117" t="n">
        <v>198551.52</v>
      </c>
      <c r="S1416" s="117" t="n">
        <v>0</v>
      </c>
      <c r="T1416" s="117" t="n">
        <v>0</v>
      </c>
      <c r="U1416" s="117" t="n">
        <v>312193</v>
      </c>
      <c r="V1416" s="117" t="s">
        <v>1963</v>
      </c>
      <c r="X1416" s="117" t="s">
        <v>2674</v>
      </c>
      <c r="Z1416" s="117" t="n">
        <v>2521</v>
      </c>
      <c r="AB1416" s="117" t="s">
        <v>2699</v>
      </c>
      <c r="AD1416" s="117" t="n">
        <v>110000</v>
      </c>
      <c r="AE1416" s="117" t="s">
        <v>1966</v>
      </c>
      <c r="AF1416" s="117" t="n">
        <v>110000</v>
      </c>
      <c r="AG1416" s="117" t="s">
        <v>1966</v>
      </c>
      <c r="AI1416" s="117" t="n">
        <v>110000</v>
      </c>
      <c r="AJ1416" s="117" t="s">
        <v>1966</v>
      </c>
      <c r="AK1416" s="117" t="n">
        <v>0</v>
      </c>
      <c r="AL1416" s="117" t="n">
        <v>4</v>
      </c>
      <c r="AM1416" s="117" t="s">
        <v>161</v>
      </c>
      <c r="AR1416" s="118" t="n">
        <v>43919</v>
      </c>
      <c r="AS1416" s="117" t="n">
        <v>0.306689814814815</v>
      </c>
      <c r="AT1416" s="117" t="n">
        <v>0</v>
      </c>
      <c r="AU1416" s="117" t="n">
        <v>0</v>
      </c>
      <c r="AX1416" s="117" t="n">
        <v>6</v>
      </c>
    </row>
    <row r="1417" customFormat="false" ht="13.8" hidden="true" customHeight="false" outlineLevel="0" collapsed="false">
      <c r="A1417" s="117" t="n">
        <v>1000</v>
      </c>
      <c r="B1417" s="117" t="s">
        <v>1962</v>
      </c>
      <c r="C1417" s="117" t="n">
        <v>100309451</v>
      </c>
      <c r="E1417" s="117" t="s">
        <v>1921</v>
      </c>
      <c r="F1417" s="117" t="n">
        <v>1109</v>
      </c>
      <c r="G1417" s="117" t="n">
        <v>2019</v>
      </c>
      <c r="H1417" s="117" t="n">
        <v>12</v>
      </c>
      <c r="I1417" s="118" t="n">
        <v>43919</v>
      </c>
      <c r="J1417" s="118" t="n">
        <v>43919</v>
      </c>
      <c r="K1417" s="119" t="n">
        <v>302032.8</v>
      </c>
      <c r="L1417" s="128" t="n">
        <f aca="false">K1417-Q1417+T1417</f>
        <v>302032.8</v>
      </c>
      <c r="M1417" s="117" t="s">
        <v>149</v>
      </c>
      <c r="N1417" s="117" t="n">
        <v>302032.8</v>
      </c>
      <c r="O1417" s="117" t="s">
        <v>149</v>
      </c>
      <c r="P1417" s="117" t="n">
        <v>0</v>
      </c>
      <c r="Q1417" s="117" t="n">
        <v>0</v>
      </c>
      <c r="R1417" s="117" t="n">
        <v>302032.8</v>
      </c>
      <c r="S1417" s="117" t="n">
        <v>0</v>
      </c>
      <c r="T1417" s="117" t="n">
        <v>0</v>
      </c>
      <c r="U1417" s="117" t="n">
        <v>312193</v>
      </c>
      <c r="V1417" s="117" t="s">
        <v>1963</v>
      </c>
      <c r="X1417" s="117" t="s">
        <v>1244</v>
      </c>
      <c r="Z1417" s="117" t="n">
        <v>2525</v>
      </c>
      <c r="AB1417" s="117" t="s">
        <v>2660</v>
      </c>
      <c r="AD1417" s="117" t="n">
        <v>110000</v>
      </c>
      <c r="AE1417" s="117" t="s">
        <v>1966</v>
      </c>
      <c r="AF1417" s="117" t="n">
        <v>110000</v>
      </c>
      <c r="AG1417" s="117" t="s">
        <v>1966</v>
      </c>
      <c r="AI1417" s="117" t="n">
        <v>110000</v>
      </c>
      <c r="AJ1417" s="117" t="s">
        <v>1966</v>
      </c>
      <c r="AK1417" s="117" t="n">
        <v>0</v>
      </c>
      <c r="AL1417" s="117" t="n">
        <v>4</v>
      </c>
      <c r="AM1417" s="117" t="s">
        <v>161</v>
      </c>
      <c r="AR1417" s="118" t="n">
        <v>43919</v>
      </c>
      <c r="AS1417" s="117" t="n">
        <v>0.306689814814815</v>
      </c>
      <c r="AT1417" s="117" t="n">
        <v>0</v>
      </c>
      <c r="AU1417" s="117" t="n">
        <v>0</v>
      </c>
      <c r="AX1417" s="117" t="n">
        <v>5</v>
      </c>
    </row>
    <row r="1418" customFormat="false" ht="13.8" hidden="true" customHeight="false" outlineLevel="0" collapsed="false">
      <c r="A1418" s="117" t="n">
        <v>1000</v>
      </c>
      <c r="B1418" s="117" t="s">
        <v>1962</v>
      </c>
      <c r="C1418" s="117" t="n">
        <v>100309451</v>
      </c>
      <c r="E1418" s="117" t="s">
        <v>1921</v>
      </c>
      <c r="F1418" s="117" t="n">
        <v>1109</v>
      </c>
      <c r="G1418" s="117" t="n">
        <v>2019</v>
      </c>
      <c r="H1418" s="117" t="n">
        <v>12</v>
      </c>
      <c r="I1418" s="118" t="n">
        <v>43919</v>
      </c>
      <c r="J1418" s="118" t="n">
        <v>43919</v>
      </c>
      <c r="K1418" s="119" t="n">
        <v>129302.32</v>
      </c>
      <c r="L1418" s="128" t="n">
        <f aca="false">K1418-Q1418+T1418</f>
        <v>129302.32</v>
      </c>
      <c r="M1418" s="117" t="s">
        <v>149</v>
      </c>
      <c r="N1418" s="117" t="n">
        <v>129302.32</v>
      </c>
      <c r="O1418" s="117" t="s">
        <v>149</v>
      </c>
      <c r="P1418" s="117" t="n">
        <v>0</v>
      </c>
      <c r="Q1418" s="117" t="n">
        <v>0</v>
      </c>
      <c r="R1418" s="117" t="n">
        <v>129302.32</v>
      </c>
      <c r="S1418" s="117" t="n">
        <v>0</v>
      </c>
      <c r="T1418" s="117" t="n">
        <v>0</v>
      </c>
      <c r="U1418" s="117" t="n">
        <v>312193</v>
      </c>
      <c r="V1418" s="117" t="s">
        <v>1963</v>
      </c>
      <c r="X1418" s="117" t="s">
        <v>2663</v>
      </c>
      <c r="Z1418" s="117" t="n">
        <v>2495</v>
      </c>
      <c r="AB1418" s="117" t="s">
        <v>2451</v>
      </c>
      <c r="AD1418" s="117" t="n">
        <v>110000</v>
      </c>
      <c r="AE1418" s="117" t="s">
        <v>1966</v>
      </c>
      <c r="AF1418" s="117" t="n">
        <v>110000</v>
      </c>
      <c r="AG1418" s="117" t="s">
        <v>1966</v>
      </c>
      <c r="AI1418" s="117" t="n">
        <v>110000</v>
      </c>
      <c r="AJ1418" s="117" t="s">
        <v>1966</v>
      </c>
      <c r="AK1418" s="117" t="n">
        <v>0</v>
      </c>
      <c r="AL1418" s="117" t="n">
        <v>4</v>
      </c>
      <c r="AM1418" s="117" t="s">
        <v>161</v>
      </c>
      <c r="AR1418" s="118" t="n">
        <v>43919</v>
      </c>
      <c r="AS1418" s="117" t="n">
        <v>0.306689814814815</v>
      </c>
      <c r="AT1418" s="117" t="n">
        <v>0</v>
      </c>
      <c r="AU1418" s="117" t="n">
        <v>0</v>
      </c>
      <c r="AX1418" s="117" t="n">
        <v>7</v>
      </c>
    </row>
    <row r="1419" customFormat="false" ht="13.8" hidden="true" customHeight="false" outlineLevel="0" collapsed="false">
      <c r="A1419" s="117" t="n">
        <v>1000</v>
      </c>
      <c r="B1419" s="117" t="s">
        <v>1962</v>
      </c>
      <c r="C1419" s="117" t="n">
        <v>100309451</v>
      </c>
      <c r="E1419" s="117" t="s">
        <v>1921</v>
      </c>
      <c r="F1419" s="117" t="n">
        <v>1108</v>
      </c>
      <c r="G1419" s="117" t="n">
        <v>2019</v>
      </c>
      <c r="H1419" s="117" t="n">
        <v>12</v>
      </c>
      <c r="I1419" s="118" t="n">
        <v>43919</v>
      </c>
      <c r="J1419" s="118" t="n">
        <v>43919</v>
      </c>
      <c r="K1419" s="119" t="n">
        <v>1409887.81</v>
      </c>
      <c r="L1419" s="128" t="n">
        <f aca="false">K1419-Q1419+T1419</f>
        <v>1409887.81</v>
      </c>
      <c r="M1419" s="117" t="s">
        <v>149</v>
      </c>
      <c r="N1419" s="117" t="n">
        <v>1409887.81</v>
      </c>
      <c r="O1419" s="117" t="s">
        <v>149</v>
      </c>
      <c r="P1419" s="117" t="n">
        <v>0</v>
      </c>
      <c r="Q1419" s="117" t="n">
        <v>0</v>
      </c>
      <c r="R1419" s="117" t="n">
        <v>1409887.81</v>
      </c>
      <c r="S1419" s="117" t="n">
        <v>0</v>
      </c>
      <c r="T1419" s="117" t="n">
        <v>0</v>
      </c>
      <c r="U1419" s="117" t="n">
        <v>312193</v>
      </c>
      <c r="V1419" s="117" t="s">
        <v>1963</v>
      </c>
      <c r="X1419" s="117" t="s">
        <v>2671</v>
      </c>
      <c r="Z1419" s="117" t="n">
        <v>2517</v>
      </c>
      <c r="AB1419" s="117" t="s">
        <v>2700</v>
      </c>
      <c r="AD1419" s="117" t="n">
        <v>110000</v>
      </c>
      <c r="AE1419" s="117" t="s">
        <v>1966</v>
      </c>
      <c r="AF1419" s="117" t="n">
        <v>110000</v>
      </c>
      <c r="AG1419" s="117" t="s">
        <v>1966</v>
      </c>
      <c r="AI1419" s="117" t="n">
        <v>110000</v>
      </c>
      <c r="AJ1419" s="117" t="s">
        <v>1966</v>
      </c>
      <c r="AK1419" s="117" t="n">
        <v>0</v>
      </c>
      <c r="AL1419" s="117" t="n">
        <v>4</v>
      </c>
      <c r="AM1419" s="117" t="s">
        <v>161</v>
      </c>
      <c r="AR1419" s="118" t="n">
        <v>43919</v>
      </c>
      <c r="AS1419" s="117" t="n">
        <v>0.306689814814815</v>
      </c>
      <c r="AT1419" s="117" t="n">
        <v>0</v>
      </c>
      <c r="AU1419" s="117" t="n">
        <v>0</v>
      </c>
      <c r="AX1419" s="117" t="n">
        <v>9</v>
      </c>
    </row>
    <row r="1420" customFormat="false" ht="13.8" hidden="true" customHeight="false" outlineLevel="0" collapsed="false">
      <c r="A1420" s="117" t="n">
        <v>1000</v>
      </c>
      <c r="B1420" s="117" t="s">
        <v>1962</v>
      </c>
      <c r="C1420" s="117" t="n">
        <v>100309451</v>
      </c>
      <c r="E1420" s="117" t="s">
        <v>1921</v>
      </c>
      <c r="F1420" s="117" t="n">
        <v>1108</v>
      </c>
      <c r="G1420" s="117" t="n">
        <v>2019</v>
      </c>
      <c r="H1420" s="117" t="n">
        <v>12</v>
      </c>
      <c r="I1420" s="118" t="n">
        <v>43919</v>
      </c>
      <c r="J1420" s="118" t="n">
        <v>43919</v>
      </c>
      <c r="K1420" s="119" t="n">
        <v>391260.28</v>
      </c>
      <c r="L1420" s="128" t="n">
        <f aca="false">K1420-Q1420+T1420</f>
        <v>391260.28</v>
      </c>
      <c r="M1420" s="117" t="s">
        <v>149</v>
      </c>
      <c r="N1420" s="117" t="n">
        <v>391260.28</v>
      </c>
      <c r="O1420" s="117" t="s">
        <v>149</v>
      </c>
      <c r="P1420" s="117" t="n">
        <v>0</v>
      </c>
      <c r="Q1420" s="117" t="n">
        <v>0</v>
      </c>
      <c r="R1420" s="117" t="n">
        <v>391260.28</v>
      </c>
      <c r="S1420" s="117" t="n">
        <v>0</v>
      </c>
      <c r="T1420" s="117" t="n">
        <v>0</v>
      </c>
      <c r="U1420" s="117" t="n">
        <v>312193</v>
      </c>
      <c r="V1420" s="117" t="s">
        <v>1963</v>
      </c>
      <c r="X1420" s="117" t="s">
        <v>2685</v>
      </c>
      <c r="Z1420" s="117" t="n">
        <v>2537</v>
      </c>
      <c r="AB1420" s="117" t="s">
        <v>2686</v>
      </c>
      <c r="AD1420" s="117" t="n">
        <v>110000</v>
      </c>
      <c r="AE1420" s="117" t="s">
        <v>1966</v>
      </c>
      <c r="AF1420" s="117" t="n">
        <v>110000</v>
      </c>
      <c r="AG1420" s="117" t="s">
        <v>1966</v>
      </c>
      <c r="AI1420" s="117" t="n">
        <v>110000</v>
      </c>
      <c r="AJ1420" s="117" t="s">
        <v>1966</v>
      </c>
      <c r="AK1420" s="117" t="n">
        <v>0</v>
      </c>
      <c r="AL1420" s="117" t="n">
        <v>4</v>
      </c>
      <c r="AM1420" s="117" t="s">
        <v>161</v>
      </c>
      <c r="AR1420" s="118" t="n">
        <v>43919</v>
      </c>
      <c r="AS1420" s="117" t="n">
        <v>0.306689814814815</v>
      </c>
      <c r="AT1420" s="117" t="n">
        <v>0</v>
      </c>
      <c r="AU1420" s="117" t="n">
        <v>0</v>
      </c>
      <c r="AX1420" s="117" t="n">
        <v>12</v>
      </c>
    </row>
    <row r="1421" customFormat="false" ht="13.8" hidden="true" customHeight="false" outlineLevel="0" collapsed="false">
      <c r="A1421" s="117" t="n">
        <v>1000</v>
      </c>
      <c r="B1421" s="117" t="s">
        <v>1962</v>
      </c>
      <c r="C1421" s="117" t="n">
        <v>100309451</v>
      </c>
      <c r="E1421" s="117" t="s">
        <v>1921</v>
      </c>
      <c r="F1421" s="117" t="n">
        <v>1109</v>
      </c>
      <c r="G1421" s="117" t="n">
        <v>2019</v>
      </c>
      <c r="H1421" s="117" t="n">
        <v>12</v>
      </c>
      <c r="I1421" s="118" t="n">
        <v>43919</v>
      </c>
      <c r="J1421" s="118" t="n">
        <v>43919</v>
      </c>
      <c r="K1421" s="119" t="n">
        <v>361257</v>
      </c>
      <c r="L1421" s="128" t="n">
        <f aca="false">K1421-Q1421+T1421</f>
        <v>361257</v>
      </c>
      <c r="M1421" s="117" t="s">
        <v>149</v>
      </c>
      <c r="N1421" s="117" t="n">
        <v>361257</v>
      </c>
      <c r="O1421" s="117" t="s">
        <v>149</v>
      </c>
      <c r="P1421" s="117" t="n">
        <v>0</v>
      </c>
      <c r="Q1421" s="117" t="n">
        <v>0</v>
      </c>
      <c r="R1421" s="117" t="n">
        <v>361257</v>
      </c>
      <c r="S1421" s="117" t="n">
        <v>0</v>
      </c>
      <c r="T1421" s="117" t="n">
        <v>0</v>
      </c>
      <c r="U1421" s="117" t="n">
        <v>312193</v>
      </c>
      <c r="V1421" s="117" t="s">
        <v>1963</v>
      </c>
      <c r="X1421" s="117" t="s">
        <v>2049</v>
      </c>
      <c r="Z1421" s="117" t="n">
        <v>2525</v>
      </c>
      <c r="AB1421" s="117" t="s">
        <v>2660</v>
      </c>
      <c r="AD1421" s="117" t="n">
        <v>110000</v>
      </c>
      <c r="AE1421" s="117" t="s">
        <v>1966</v>
      </c>
      <c r="AF1421" s="117" t="n">
        <v>110000</v>
      </c>
      <c r="AG1421" s="117" t="s">
        <v>1966</v>
      </c>
      <c r="AI1421" s="117" t="n">
        <v>110000</v>
      </c>
      <c r="AJ1421" s="117" t="s">
        <v>1966</v>
      </c>
      <c r="AK1421" s="117" t="n">
        <v>0</v>
      </c>
      <c r="AL1421" s="117" t="n">
        <v>4</v>
      </c>
      <c r="AM1421" s="117" t="s">
        <v>161</v>
      </c>
      <c r="AR1421" s="118" t="n">
        <v>43919</v>
      </c>
      <c r="AS1421" s="117" t="n">
        <v>0.306689814814815</v>
      </c>
      <c r="AT1421" s="117" t="n">
        <v>0</v>
      </c>
      <c r="AU1421" s="117" t="n">
        <v>0</v>
      </c>
      <c r="AX1421" s="117" t="n">
        <v>10</v>
      </c>
    </row>
    <row r="1422" customFormat="false" ht="13.8" hidden="true" customHeight="false" outlineLevel="0" collapsed="false">
      <c r="A1422" s="117" t="n">
        <v>1000</v>
      </c>
      <c r="B1422" s="117" t="s">
        <v>1962</v>
      </c>
      <c r="C1422" s="117" t="n">
        <v>100309451</v>
      </c>
      <c r="E1422" s="117" t="s">
        <v>1921</v>
      </c>
      <c r="F1422" s="117" t="n">
        <v>1109</v>
      </c>
      <c r="G1422" s="117" t="n">
        <v>2019</v>
      </c>
      <c r="H1422" s="117" t="n">
        <v>12</v>
      </c>
      <c r="I1422" s="118" t="n">
        <v>43919</v>
      </c>
      <c r="J1422" s="118" t="n">
        <v>43919</v>
      </c>
      <c r="K1422" s="119" t="n">
        <v>406427.4</v>
      </c>
      <c r="L1422" s="128" t="n">
        <f aca="false">K1422-Q1422+T1422</f>
        <v>406427.4</v>
      </c>
      <c r="M1422" s="117" t="s">
        <v>149</v>
      </c>
      <c r="N1422" s="117" t="n">
        <v>406427.4</v>
      </c>
      <c r="O1422" s="117" t="s">
        <v>149</v>
      </c>
      <c r="P1422" s="117" t="n">
        <v>0</v>
      </c>
      <c r="Q1422" s="117" t="n">
        <v>0</v>
      </c>
      <c r="R1422" s="117" t="n">
        <v>406427.4</v>
      </c>
      <c r="S1422" s="117" t="n">
        <v>0</v>
      </c>
      <c r="T1422" s="117" t="n">
        <v>0</v>
      </c>
      <c r="U1422" s="117" t="n">
        <v>312193</v>
      </c>
      <c r="V1422" s="117" t="s">
        <v>1963</v>
      </c>
      <c r="X1422" s="117" t="s">
        <v>2687</v>
      </c>
      <c r="Z1422" s="117" t="n">
        <v>2525</v>
      </c>
      <c r="AB1422" s="117" t="s">
        <v>2660</v>
      </c>
      <c r="AD1422" s="117" t="n">
        <v>110000</v>
      </c>
      <c r="AE1422" s="117" t="s">
        <v>1966</v>
      </c>
      <c r="AF1422" s="117" t="n">
        <v>110000</v>
      </c>
      <c r="AG1422" s="117" t="s">
        <v>1966</v>
      </c>
      <c r="AI1422" s="117" t="n">
        <v>110000</v>
      </c>
      <c r="AJ1422" s="117" t="s">
        <v>1966</v>
      </c>
      <c r="AK1422" s="117" t="n">
        <v>0</v>
      </c>
      <c r="AL1422" s="117" t="n">
        <v>4</v>
      </c>
      <c r="AM1422" s="117" t="s">
        <v>161</v>
      </c>
      <c r="AR1422" s="118" t="n">
        <v>43919</v>
      </c>
      <c r="AS1422" s="117" t="n">
        <v>0.306689814814815</v>
      </c>
      <c r="AT1422" s="117" t="n">
        <v>0</v>
      </c>
      <c r="AU1422" s="117" t="n">
        <v>0</v>
      </c>
      <c r="AX1422" s="117" t="n">
        <v>11</v>
      </c>
    </row>
    <row r="1423" customFormat="false" ht="13.8" hidden="true" customHeight="false" outlineLevel="0" collapsed="false">
      <c r="A1423" s="117" t="n">
        <v>1000</v>
      </c>
      <c r="B1423" s="117" t="s">
        <v>1962</v>
      </c>
      <c r="C1423" s="117" t="n">
        <v>100309451</v>
      </c>
      <c r="E1423" s="117" t="s">
        <v>1921</v>
      </c>
      <c r="F1423" s="117" t="n">
        <v>1108</v>
      </c>
      <c r="G1423" s="117" t="n">
        <v>2019</v>
      </c>
      <c r="H1423" s="117" t="n">
        <v>12</v>
      </c>
      <c r="I1423" s="118" t="n">
        <v>43919</v>
      </c>
      <c r="J1423" s="118" t="n">
        <v>43919</v>
      </c>
      <c r="K1423" s="119" t="n">
        <v>-1999699.61</v>
      </c>
      <c r="L1423" s="128" t="n">
        <f aca="false">K1423-Q1423+T1423</f>
        <v>-1999699.61</v>
      </c>
      <c r="M1423" s="117" t="s">
        <v>149</v>
      </c>
      <c r="N1423" s="117" t="n">
        <v>-1999699.61</v>
      </c>
      <c r="O1423" s="117" t="s">
        <v>149</v>
      </c>
      <c r="P1423" s="117" t="n">
        <v>0</v>
      </c>
      <c r="Q1423" s="117" t="n">
        <v>0</v>
      </c>
      <c r="R1423" s="117" t="n">
        <v>-1999699.61</v>
      </c>
      <c r="S1423" s="117" t="n">
        <v>0</v>
      </c>
      <c r="T1423" s="117" t="n">
        <v>0</v>
      </c>
      <c r="U1423" s="117" t="n">
        <v>312193</v>
      </c>
      <c r="V1423" s="117" t="s">
        <v>1963</v>
      </c>
      <c r="Z1423" s="117" t="n">
        <v>100309451</v>
      </c>
      <c r="AD1423" s="117" t="n">
        <v>110000</v>
      </c>
      <c r="AE1423" s="117" t="s">
        <v>1966</v>
      </c>
      <c r="AF1423" s="117" t="n">
        <v>110000</v>
      </c>
      <c r="AG1423" s="117" t="s">
        <v>1966</v>
      </c>
      <c r="AI1423" s="117" t="n">
        <v>110000</v>
      </c>
      <c r="AJ1423" s="117" t="s">
        <v>1966</v>
      </c>
      <c r="AK1423" s="117" t="n">
        <v>0</v>
      </c>
      <c r="AL1423" s="117" t="n">
        <v>17</v>
      </c>
      <c r="AM1423" s="117" t="s">
        <v>225</v>
      </c>
      <c r="AP1423" s="117" t="n">
        <v>100309451</v>
      </c>
      <c r="AQ1423" s="118" t="n">
        <v>43919</v>
      </c>
      <c r="AR1423" s="118" t="n">
        <v>43919</v>
      </c>
      <c r="AS1423" s="117" t="n">
        <v>0.306689814814815</v>
      </c>
      <c r="AT1423" s="117" t="n">
        <v>0</v>
      </c>
      <c r="AU1423" s="117" t="n">
        <v>0</v>
      </c>
      <c r="AX1423" s="117" t="n">
        <v>14</v>
      </c>
    </row>
    <row r="1424" customFormat="false" ht="13.8" hidden="true" customHeight="false" outlineLevel="0" collapsed="false">
      <c r="A1424" s="117" t="n">
        <v>1000</v>
      </c>
      <c r="B1424" s="117" t="s">
        <v>1962</v>
      </c>
      <c r="C1424" s="117" t="n">
        <v>100309451</v>
      </c>
      <c r="E1424" s="117" t="s">
        <v>1921</v>
      </c>
      <c r="F1424" s="117" t="n">
        <v>1109</v>
      </c>
      <c r="G1424" s="117" t="n">
        <v>2019</v>
      </c>
      <c r="H1424" s="117" t="n">
        <v>12</v>
      </c>
      <c r="I1424" s="118" t="n">
        <v>43919</v>
      </c>
      <c r="J1424" s="118" t="n">
        <v>43919</v>
      </c>
      <c r="K1424" s="119" t="n">
        <v>563956.22</v>
      </c>
      <c r="L1424" s="128" t="n">
        <f aca="false">K1424-Q1424+T1424</f>
        <v>563956.22</v>
      </c>
      <c r="M1424" s="117" t="s">
        <v>149</v>
      </c>
      <c r="N1424" s="117" t="n">
        <v>563956.22</v>
      </c>
      <c r="O1424" s="117" t="s">
        <v>149</v>
      </c>
      <c r="P1424" s="117" t="n">
        <v>0</v>
      </c>
      <c r="Q1424" s="117" t="n">
        <v>0</v>
      </c>
      <c r="R1424" s="117" t="n">
        <v>563956.22</v>
      </c>
      <c r="S1424" s="117" t="n">
        <v>0</v>
      </c>
      <c r="T1424" s="117" t="n">
        <v>0</v>
      </c>
      <c r="U1424" s="117" t="n">
        <v>312193</v>
      </c>
      <c r="V1424" s="117" t="s">
        <v>1963</v>
      </c>
      <c r="X1424" s="117" t="s">
        <v>2690</v>
      </c>
      <c r="Z1424" s="117" t="n">
        <v>2525</v>
      </c>
      <c r="AB1424" s="117" t="s">
        <v>2660</v>
      </c>
      <c r="AD1424" s="117" t="n">
        <v>110000</v>
      </c>
      <c r="AE1424" s="117" t="s">
        <v>1966</v>
      </c>
      <c r="AF1424" s="117" t="n">
        <v>110000</v>
      </c>
      <c r="AG1424" s="117" t="s">
        <v>1966</v>
      </c>
      <c r="AI1424" s="117" t="n">
        <v>110000</v>
      </c>
      <c r="AJ1424" s="117" t="s">
        <v>1966</v>
      </c>
      <c r="AK1424" s="117" t="n">
        <v>0</v>
      </c>
      <c r="AL1424" s="117" t="n">
        <v>4</v>
      </c>
      <c r="AM1424" s="117" t="s">
        <v>161</v>
      </c>
      <c r="AR1424" s="118" t="n">
        <v>43919</v>
      </c>
      <c r="AS1424" s="117" t="n">
        <v>0.306689814814815</v>
      </c>
      <c r="AT1424" s="117" t="n">
        <v>0</v>
      </c>
      <c r="AU1424" s="117" t="n">
        <v>0</v>
      </c>
      <c r="AX1424" s="117" t="n">
        <v>13</v>
      </c>
    </row>
    <row r="1425" customFormat="false" ht="13.8" hidden="true" customHeight="false" outlineLevel="0" collapsed="false">
      <c r="A1425" s="117" t="n">
        <v>1000</v>
      </c>
      <c r="B1425" s="117" t="s">
        <v>1962</v>
      </c>
      <c r="C1425" s="117" t="n">
        <v>100309454</v>
      </c>
      <c r="E1425" s="117" t="s">
        <v>1921</v>
      </c>
      <c r="F1425" s="117" t="n">
        <v>1108</v>
      </c>
      <c r="G1425" s="117" t="n">
        <v>2019</v>
      </c>
      <c r="H1425" s="117" t="n">
        <v>12</v>
      </c>
      <c r="I1425" s="118" t="n">
        <v>43919</v>
      </c>
      <c r="J1425" s="118" t="n">
        <v>43919</v>
      </c>
      <c r="K1425" s="119" t="n">
        <v>176487.93</v>
      </c>
      <c r="L1425" s="128" t="n">
        <f aca="false">K1425-Q1425+T1425</f>
        <v>176487.93</v>
      </c>
      <c r="M1425" s="117" t="s">
        <v>149</v>
      </c>
      <c r="N1425" s="117" t="n">
        <v>176487.93</v>
      </c>
      <c r="O1425" s="117" t="s">
        <v>149</v>
      </c>
      <c r="P1425" s="117" t="n">
        <v>0</v>
      </c>
      <c r="Q1425" s="117" t="n">
        <v>0</v>
      </c>
      <c r="R1425" s="117" t="n">
        <v>176487.93</v>
      </c>
      <c r="S1425" s="117" t="n">
        <v>0</v>
      </c>
      <c r="T1425" s="117" t="n">
        <v>0</v>
      </c>
      <c r="U1425" s="117" t="n">
        <v>312948</v>
      </c>
      <c r="V1425" s="117" t="s">
        <v>1984</v>
      </c>
      <c r="X1425" s="117" t="s">
        <v>2675</v>
      </c>
      <c r="Z1425" s="117" t="n">
        <v>64357</v>
      </c>
      <c r="AB1425" s="117" t="s">
        <v>2676</v>
      </c>
      <c r="AD1425" s="117" t="n">
        <v>110000</v>
      </c>
      <c r="AE1425" s="117" t="s">
        <v>1966</v>
      </c>
      <c r="AF1425" s="117" t="n">
        <v>110000</v>
      </c>
      <c r="AG1425" s="117" t="s">
        <v>1966</v>
      </c>
      <c r="AI1425" s="117" t="n">
        <v>110000</v>
      </c>
      <c r="AJ1425" s="117" t="s">
        <v>1966</v>
      </c>
      <c r="AK1425" s="117" t="n">
        <v>0</v>
      </c>
      <c r="AL1425" s="117" t="n">
        <v>4</v>
      </c>
      <c r="AM1425" s="117" t="s">
        <v>161</v>
      </c>
      <c r="AR1425" s="118" t="n">
        <v>43919</v>
      </c>
      <c r="AS1425" s="117" t="n">
        <v>0.312384259259259</v>
      </c>
      <c r="AT1425" s="117" t="n">
        <v>0</v>
      </c>
      <c r="AU1425" s="117" t="n">
        <v>0</v>
      </c>
      <c r="AX1425" s="117" t="n">
        <v>1</v>
      </c>
    </row>
    <row r="1426" customFormat="false" ht="13.8" hidden="true" customHeight="false" outlineLevel="0" collapsed="false">
      <c r="A1426" s="117" t="n">
        <v>1000</v>
      </c>
      <c r="B1426" s="117" t="s">
        <v>1962</v>
      </c>
      <c r="C1426" s="117" t="n">
        <v>100309451</v>
      </c>
      <c r="E1426" s="117" t="s">
        <v>1921</v>
      </c>
      <c r="F1426" s="117" t="n">
        <v>1109</v>
      </c>
      <c r="G1426" s="117" t="n">
        <v>2019</v>
      </c>
      <c r="H1426" s="117" t="n">
        <v>12</v>
      </c>
      <c r="I1426" s="118" t="n">
        <v>43919</v>
      </c>
      <c r="J1426" s="118" t="n">
        <v>43919</v>
      </c>
      <c r="K1426" s="119" t="n">
        <v>-4179571.47</v>
      </c>
      <c r="L1426" s="128" t="n">
        <f aca="false">K1426-Q1426+T1426</f>
        <v>-4179571.47</v>
      </c>
      <c r="M1426" s="117" t="s">
        <v>149</v>
      </c>
      <c r="N1426" s="117" t="n">
        <v>-4179571.47</v>
      </c>
      <c r="O1426" s="117" t="s">
        <v>149</v>
      </c>
      <c r="P1426" s="117" t="n">
        <v>0</v>
      </c>
      <c r="Q1426" s="117" t="n">
        <v>0</v>
      </c>
      <c r="R1426" s="117" t="n">
        <v>-4179571.47</v>
      </c>
      <c r="S1426" s="117" t="n">
        <v>0</v>
      </c>
      <c r="T1426" s="117" t="n">
        <v>0</v>
      </c>
      <c r="U1426" s="117" t="n">
        <v>312193</v>
      </c>
      <c r="V1426" s="117" t="s">
        <v>1963</v>
      </c>
      <c r="Z1426" s="117" t="n">
        <v>100309451</v>
      </c>
      <c r="AD1426" s="117" t="n">
        <v>110000</v>
      </c>
      <c r="AE1426" s="117" t="s">
        <v>1966</v>
      </c>
      <c r="AF1426" s="117" t="n">
        <v>110000</v>
      </c>
      <c r="AG1426" s="117" t="s">
        <v>1966</v>
      </c>
      <c r="AI1426" s="117" t="n">
        <v>110000</v>
      </c>
      <c r="AJ1426" s="117" t="s">
        <v>1966</v>
      </c>
      <c r="AK1426" s="117" t="n">
        <v>0</v>
      </c>
      <c r="AL1426" s="117" t="n">
        <v>17</v>
      </c>
      <c r="AM1426" s="117" t="s">
        <v>225</v>
      </c>
      <c r="AP1426" s="117" t="n">
        <v>100309451</v>
      </c>
      <c r="AQ1426" s="118" t="n">
        <v>43919</v>
      </c>
      <c r="AR1426" s="118" t="n">
        <v>43919</v>
      </c>
      <c r="AS1426" s="117" t="n">
        <v>0.306689814814815</v>
      </c>
      <c r="AT1426" s="117" t="n">
        <v>0</v>
      </c>
      <c r="AU1426" s="117" t="n">
        <v>0</v>
      </c>
      <c r="AX1426" s="117" t="n">
        <v>15</v>
      </c>
    </row>
    <row r="1427" customFormat="false" ht="13.8" hidden="true" customHeight="false" outlineLevel="0" collapsed="false">
      <c r="A1427" s="117" t="n">
        <v>1000</v>
      </c>
      <c r="B1427" s="117" t="s">
        <v>1962</v>
      </c>
      <c r="C1427" s="117" t="n">
        <v>100309454</v>
      </c>
      <c r="E1427" s="117" t="s">
        <v>1921</v>
      </c>
      <c r="F1427" s="117" t="n">
        <v>1108</v>
      </c>
      <c r="G1427" s="117" t="n">
        <v>2019</v>
      </c>
      <c r="H1427" s="117" t="n">
        <v>12</v>
      </c>
      <c r="I1427" s="118" t="n">
        <v>43919</v>
      </c>
      <c r="J1427" s="118" t="n">
        <v>43919</v>
      </c>
      <c r="K1427" s="119" t="n">
        <v>74661.05</v>
      </c>
      <c r="L1427" s="128" t="n">
        <f aca="false">K1427-Q1427+T1427</f>
        <v>74661.05</v>
      </c>
      <c r="M1427" s="117" t="s">
        <v>149</v>
      </c>
      <c r="N1427" s="117" t="n">
        <v>74661.05</v>
      </c>
      <c r="O1427" s="117" t="s">
        <v>149</v>
      </c>
      <c r="P1427" s="117" t="n">
        <v>0</v>
      </c>
      <c r="Q1427" s="117" t="n">
        <v>0</v>
      </c>
      <c r="R1427" s="117" t="n">
        <v>74661.05</v>
      </c>
      <c r="S1427" s="117" t="n">
        <v>0</v>
      </c>
      <c r="T1427" s="117" t="n">
        <v>0</v>
      </c>
      <c r="U1427" s="117" t="n">
        <v>312948</v>
      </c>
      <c r="V1427" s="117" t="s">
        <v>1984</v>
      </c>
      <c r="X1427" s="117" t="s">
        <v>2677</v>
      </c>
      <c r="Z1427" s="117" t="n">
        <v>64360</v>
      </c>
      <c r="AB1427" s="117" t="s">
        <v>2678</v>
      </c>
      <c r="AD1427" s="117" t="n">
        <v>110000</v>
      </c>
      <c r="AE1427" s="117" t="s">
        <v>1966</v>
      </c>
      <c r="AF1427" s="117" t="n">
        <v>110000</v>
      </c>
      <c r="AG1427" s="117" t="s">
        <v>1966</v>
      </c>
      <c r="AI1427" s="117" t="n">
        <v>110000</v>
      </c>
      <c r="AJ1427" s="117" t="s">
        <v>1966</v>
      </c>
      <c r="AK1427" s="117" t="n">
        <v>0</v>
      </c>
      <c r="AL1427" s="117" t="n">
        <v>4</v>
      </c>
      <c r="AM1427" s="117" t="s">
        <v>161</v>
      </c>
      <c r="AR1427" s="118" t="n">
        <v>43919</v>
      </c>
      <c r="AS1427" s="117" t="n">
        <v>0.312384259259259</v>
      </c>
      <c r="AT1427" s="117" t="n">
        <v>0</v>
      </c>
      <c r="AU1427" s="117" t="n">
        <v>0</v>
      </c>
      <c r="AX1427" s="117" t="n">
        <v>3</v>
      </c>
    </row>
    <row r="1428" customFormat="false" ht="13.8" hidden="true" customHeight="false" outlineLevel="0" collapsed="false">
      <c r="A1428" s="117" t="n">
        <v>1000</v>
      </c>
      <c r="B1428" s="117" t="s">
        <v>1962</v>
      </c>
      <c r="C1428" s="117" t="n">
        <v>100309454</v>
      </c>
      <c r="E1428" s="117" t="s">
        <v>1921</v>
      </c>
      <c r="F1428" s="117" t="n">
        <v>1108</v>
      </c>
      <c r="G1428" s="117" t="n">
        <v>2019</v>
      </c>
      <c r="H1428" s="117" t="n">
        <v>12</v>
      </c>
      <c r="I1428" s="118" t="n">
        <v>43919</v>
      </c>
      <c r="J1428" s="118" t="n">
        <v>43919</v>
      </c>
      <c r="K1428" s="119" t="n">
        <v>208337.22</v>
      </c>
      <c r="L1428" s="128" t="n">
        <f aca="false">K1428-Q1428+T1428</f>
        <v>208337.22</v>
      </c>
      <c r="M1428" s="117" t="s">
        <v>149</v>
      </c>
      <c r="N1428" s="117" t="n">
        <v>208337.22</v>
      </c>
      <c r="O1428" s="117" t="s">
        <v>149</v>
      </c>
      <c r="P1428" s="117" t="n">
        <v>0</v>
      </c>
      <c r="Q1428" s="117" t="n">
        <v>0</v>
      </c>
      <c r="R1428" s="117" t="n">
        <v>208337.22</v>
      </c>
      <c r="S1428" s="117" t="n">
        <v>0</v>
      </c>
      <c r="T1428" s="117" t="n">
        <v>0</v>
      </c>
      <c r="U1428" s="117" t="n">
        <v>312948</v>
      </c>
      <c r="V1428" s="117" t="s">
        <v>1984</v>
      </c>
      <c r="X1428" s="117" t="s">
        <v>2679</v>
      </c>
      <c r="Z1428" s="117" t="n">
        <v>64358</v>
      </c>
      <c r="AB1428" s="117" t="s">
        <v>2680</v>
      </c>
      <c r="AD1428" s="117" t="n">
        <v>110000</v>
      </c>
      <c r="AE1428" s="117" t="s">
        <v>1966</v>
      </c>
      <c r="AF1428" s="117" t="n">
        <v>110000</v>
      </c>
      <c r="AG1428" s="117" t="s">
        <v>1966</v>
      </c>
      <c r="AI1428" s="117" t="n">
        <v>110000</v>
      </c>
      <c r="AJ1428" s="117" t="s">
        <v>1966</v>
      </c>
      <c r="AK1428" s="117" t="n">
        <v>0</v>
      </c>
      <c r="AL1428" s="117" t="n">
        <v>4</v>
      </c>
      <c r="AM1428" s="117" t="s">
        <v>161</v>
      </c>
      <c r="AR1428" s="118" t="n">
        <v>43919</v>
      </c>
      <c r="AS1428" s="117" t="n">
        <v>0.312384259259259</v>
      </c>
      <c r="AT1428" s="117" t="n">
        <v>0</v>
      </c>
      <c r="AU1428" s="117" t="n">
        <v>0</v>
      </c>
      <c r="AX1428" s="117" t="n">
        <v>2</v>
      </c>
    </row>
    <row r="1429" customFormat="false" ht="13.8" hidden="true" customHeight="false" outlineLevel="0" collapsed="false">
      <c r="A1429" s="117" t="n">
        <v>1000</v>
      </c>
      <c r="B1429" s="117" t="s">
        <v>1962</v>
      </c>
      <c r="C1429" s="117" t="n">
        <v>100309454</v>
      </c>
      <c r="E1429" s="117" t="s">
        <v>1921</v>
      </c>
      <c r="F1429" s="117" t="n">
        <v>1108</v>
      </c>
      <c r="G1429" s="117" t="n">
        <v>2019</v>
      </c>
      <c r="H1429" s="117" t="n">
        <v>12</v>
      </c>
      <c r="I1429" s="118" t="n">
        <v>43919</v>
      </c>
      <c r="J1429" s="118" t="n">
        <v>43919</v>
      </c>
      <c r="K1429" s="119" t="n">
        <v>-1504141.46</v>
      </c>
      <c r="L1429" s="128" t="n">
        <f aca="false">K1429-Q1429+T1429</f>
        <v>-1504141.46</v>
      </c>
      <c r="M1429" s="117" t="s">
        <v>149</v>
      </c>
      <c r="N1429" s="117" t="n">
        <v>-1504141.46</v>
      </c>
      <c r="O1429" s="117" t="s">
        <v>149</v>
      </c>
      <c r="P1429" s="117" t="n">
        <v>0</v>
      </c>
      <c r="Q1429" s="117" t="n">
        <v>0</v>
      </c>
      <c r="R1429" s="117" t="n">
        <v>-1504141.46</v>
      </c>
      <c r="S1429" s="117" t="n">
        <v>0</v>
      </c>
      <c r="T1429" s="117" t="n">
        <v>0</v>
      </c>
      <c r="U1429" s="117" t="n">
        <v>312948</v>
      </c>
      <c r="V1429" s="117" t="s">
        <v>1984</v>
      </c>
      <c r="Z1429" s="117" t="n">
        <v>100309454</v>
      </c>
      <c r="AD1429" s="117" t="n">
        <v>110000</v>
      </c>
      <c r="AE1429" s="117" t="s">
        <v>1966</v>
      </c>
      <c r="AF1429" s="117" t="n">
        <v>110000</v>
      </c>
      <c r="AG1429" s="117" t="s">
        <v>1966</v>
      </c>
      <c r="AI1429" s="117" t="n">
        <v>110000</v>
      </c>
      <c r="AJ1429" s="117" t="s">
        <v>1966</v>
      </c>
      <c r="AK1429" s="117" t="n">
        <v>0</v>
      </c>
      <c r="AL1429" s="117" t="n">
        <v>17</v>
      </c>
      <c r="AM1429" s="117" t="s">
        <v>225</v>
      </c>
      <c r="AP1429" s="117" t="n">
        <v>100309454</v>
      </c>
      <c r="AQ1429" s="118" t="n">
        <v>43919</v>
      </c>
      <c r="AR1429" s="118" t="n">
        <v>43919</v>
      </c>
      <c r="AS1429" s="117" t="n">
        <v>0.312384259259259</v>
      </c>
      <c r="AT1429" s="117" t="n">
        <v>0</v>
      </c>
      <c r="AU1429" s="117" t="n">
        <v>0</v>
      </c>
      <c r="AX1429" s="117" t="n">
        <v>5</v>
      </c>
    </row>
    <row r="1430" customFormat="false" ht="13.8" hidden="true" customHeight="false" outlineLevel="0" collapsed="false">
      <c r="A1430" s="117" t="n">
        <v>1000</v>
      </c>
      <c r="B1430" s="117" t="s">
        <v>1962</v>
      </c>
      <c r="C1430" s="117" t="n">
        <v>100309454</v>
      </c>
      <c r="E1430" s="117" t="s">
        <v>1921</v>
      </c>
      <c r="F1430" s="117" t="n">
        <v>1108</v>
      </c>
      <c r="G1430" s="117" t="n">
        <v>2019</v>
      </c>
      <c r="H1430" s="117" t="n">
        <v>12</v>
      </c>
      <c r="I1430" s="118" t="n">
        <v>43919</v>
      </c>
      <c r="J1430" s="118" t="n">
        <v>43919</v>
      </c>
      <c r="K1430" s="119" t="n">
        <v>1044655.26</v>
      </c>
      <c r="L1430" s="128" t="n">
        <f aca="false">K1430-Q1430+T1430</f>
        <v>1044655.26</v>
      </c>
      <c r="M1430" s="117" t="s">
        <v>149</v>
      </c>
      <c r="N1430" s="117" t="n">
        <v>1044655.26</v>
      </c>
      <c r="O1430" s="117" t="s">
        <v>149</v>
      </c>
      <c r="P1430" s="117" t="n">
        <v>0</v>
      </c>
      <c r="Q1430" s="117" t="n">
        <v>0</v>
      </c>
      <c r="R1430" s="117" t="n">
        <v>1044655.26</v>
      </c>
      <c r="S1430" s="117" t="n">
        <v>0</v>
      </c>
      <c r="T1430" s="117" t="n">
        <v>0</v>
      </c>
      <c r="U1430" s="117" t="n">
        <v>312948</v>
      </c>
      <c r="V1430" s="117" t="s">
        <v>1984</v>
      </c>
      <c r="X1430" s="117" t="s">
        <v>2683</v>
      </c>
      <c r="Z1430" s="117" t="n">
        <v>64379</v>
      </c>
      <c r="AB1430" s="117" t="s">
        <v>2684</v>
      </c>
      <c r="AD1430" s="117" t="n">
        <v>110000</v>
      </c>
      <c r="AE1430" s="117" t="s">
        <v>1966</v>
      </c>
      <c r="AF1430" s="117" t="n">
        <v>110000</v>
      </c>
      <c r="AG1430" s="117" t="s">
        <v>1966</v>
      </c>
      <c r="AI1430" s="117" t="n">
        <v>110000</v>
      </c>
      <c r="AJ1430" s="117" t="s">
        <v>1966</v>
      </c>
      <c r="AK1430" s="117" t="n">
        <v>0</v>
      </c>
      <c r="AL1430" s="117" t="n">
        <v>4</v>
      </c>
      <c r="AM1430" s="117" t="s">
        <v>161</v>
      </c>
      <c r="AR1430" s="118" t="n">
        <v>43919</v>
      </c>
      <c r="AS1430" s="117" t="n">
        <v>0.312384259259259</v>
      </c>
      <c r="AT1430" s="117" t="n">
        <v>0</v>
      </c>
      <c r="AU1430" s="117" t="n">
        <v>0</v>
      </c>
      <c r="AX1430" s="117" t="n">
        <v>4</v>
      </c>
    </row>
    <row r="1431" customFormat="false" ht="13.8" hidden="true" customHeight="false" outlineLevel="0" collapsed="false">
      <c r="A1431" s="117" t="n">
        <v>1000</v>
      </c>
      <c r="B1431" s="117" t="s">
        <v>1962</v>
      </c>
      <c r="C1431" s="117" t="n">
        <v>100309578</v>
      </c>
      <c r="E1431" s="117" t="s">
        <v>1921</v>
      </c>
      <c r="F1431" s="117" t="n">
        <v>1101</v>
      </c>
      <c r="G1431" s="117" t="n">
        <v>2019</v>
      </c>
      <c r="H1431" s="117" t="n">
        <v>12</v>
      </c>
      <c r="I1431" s="118" t="n">
        <v>43919</v>
      </c>
      <c r="J1431" s="118" t="n">
        <v>43919</v>
      </c>
      <c r="K1431" s="119" t="n">
        <v>-24012.94</v>
      </c>
      <c r="L1431" s="128" t="n">
        <f aca="false">K1431-Q1431+T1431</f>
        <v>-24012.94</v>
      </c>
      <c r="M1431" s="117" t="s">
        <v>149</v>
      </c>
      <c r="N1431" s="117" t="n">
        <v>-24012.94</v>
      </c>
      <c r="O1431" s="117" t="s">
        <v>149</v>
      </c>
      <c r="P1431" s="117" t="n">
        <v>0</v>
      </c>
      <c r="Q1431" s="117" t="n">
        <v>0</v>
      </c>
      <c r="R1431" s="117" t="n">
        <v>-24012.94</v>
      </c>
      <c r="S1431" s="117" t="n">
        <v>0</v>
      </c>
      <c r="T1431" s="117" t="n">
        <v>0</v>
      </c>
      <c r="U1431" s="117" t="n">
        <v>316840</v>
      </c>
      <c r="V1431" s="117" t="s">
        <v>2701</v>
      </c>
      <c r="Z1431" s="117" t="n">
        <v>100309578</v>
      </c>
      <c r="AD1431" s="117" t="n">
        <v>111105</v>
      </c>
      <c r="AE1431" s="117" t="s">
        <v>1994</v>
      </c>
      <c r="AF1431" s="117" t="n">
        <v>310300</v>
      </c>
      <c r="AG1431" s="117" t="s">
        <v>1969</v>
      </c>
      <c r="AI1431" s="117" t="n">
        <v>310300</v>
      </c>
      <c r="AJ1431" s="117" t="s">
        <v>1969</v>
      </c>
      <c r="AK1431" s="117" t="n">
        <v>0</v>
      </c>
      <c r="AL1431" s="117" t="n">
        <v>19</v>
      </c>
      <c r="AM1431" s="117" t="s">
        <v>225</v>
      </c>
      <c r="AN1431" s="117" t="s">
        <v>1995</v>
      </c>
      <c r="AP1431" s="117" t="n">
        <v>100309578</v>
      </c>
      <c r="AQ1431" s="118" t="n">
        <v>43919</v>
      </c>
      <c r="AR1431" s="118" t="n">
        <v>43919</v>
      </c>
      <c r="AS1431" s="117" t="n">
        <v>0.548020833333333</v>
      </c>
      <c r="AT1431" s="117" t="n">
        <v>0</v>
      </c>
      <c r="AU1431" s="117" t="n">
        <v>0</v>
      </c>
      <c r="AX1431" s="117" t="n">
        <v>2</v>
      </c>
    </row>
    <row r="1432" customFormat="false" ht="13.8" hidden="true" customHeight="false" outlineLevel="0" collapsed="false">
      <c r="A1432" s="117" t="n">
        <v>1000</v>
      </c>
      <c r="B1432" s="117" t="s">
        <v>1962</v>
      </c>
      <c r="C1432" s="117" t="n">
        <v>100309578</v>
      </c>
      <c r="E1432" s="117" t="s">
        <v>1921</v>
      </c>
      <c r="F1432" s="117" t="n">
        <v>1101</v>
      </c>
      <c r="G1432" s="117" t="n">
        <v>2019</v>
      </c>
      <c r="H1432" s="117" t="n">
        <v>12</v>
      </c>
      <c r="I1432" s="118" t="n">
        <v>43919</v>
      </c>
      <c r="J1432" s="118" t="n">
        <v>43919</v>
      </c>
      <c r="K1432" s="119" t="n">
        <v>-0.66</v>
      </c>
      <c r="L1432" s="128" t="n">
        <f aca="false">K1432-Q1432+T1432</f>
        <v>-0.66</v>
      </c>
      <c r="M1432" s="117" t="s">
        <v>149</v>
      </c>
      <c r="N1432" s="117" t="n">
        <v>-0.66</v>
      </c>
      <c r="O1432" s="117" t="s">
        <v>149</v>
      </c>
      <c r="P1432" s="117" t="n">
        <v>0</v>
      </c>
      <c r="Q1432" s="117" t="n">
        <v>0</v>
      </c>
      <c r="R1432" s="117" t="n">
        <v>-0.66</v>
      </c>
      <c r="S1432" s="117" t="n">
        <v>0</v>
      </c>
      <c r="T1432" s="117" t="n">
        <v>0</v>
      </c>
      <c r="U1432" s="117" t="n">
        <v>316840</v>
      </c>
      <c r="V1432" s="117" t="s">
        <v>2701</v>
      </c>
      <c r="Z1432" s="117" t="n">
        <v>100309578</v>
      </c>
      <c r="AD1432" s="117" t="n">
        <v>310300</v>
      </c>
      <c r="AE1432" s="117" t="s">
        <v>1969</v>
      </c>
      <c r="AF1432" s="117" t="n">
        <v>310300</v>
      </c>
      <c r="AG1432" s="117" t="s">
        <v>1969</v>
      </c>
      <c r="AI1432" s="117" t="n">
        <v>310300</v>
      </c>
      <c r="AJ1432" s="117" t="s">
        <v>1969</v>
      </c>
      <c r="AK1432" s="117" t="n">
        <v>0</v>
      </c>
      <c r="AL1432" s="117" t="n">
        <v>19</v>
      </c>
      <c r="AM1432" s="117" t="s">
        <v>225</v>
      </c>
      <c r="AN1432" s="117" t="s">
        <v>1978</v>
      </c>
      <c r="AP1432" s="117" t="n">
        <v>100309621</v>
      </c>
      <c r="AQ1432" s="118" t="n">
        <v>43919</v>
      </c>
      <c r="AR1432" s="118" t="n">
        <v>43919</v>
      </c>
      <c r="AS1432" s="117" t="n">
        <v>0.548020833333333</v>
      </c>
      <c r="AT1432" s="117" t="n">
        <v>0</v>
      </c>
      <c r="AU1432" s="117" t="n">
        <v>0</v>
      </c>
      <c r="AX1432" s="117" t="n">
        <v>1</v>
      </c>
    </row>
    <row r="1433" customFormat="false" ht="13.8" hidden="true" customHeight="false" outlineLevel="0" collapsed="false">
      <c r="A1433" s="117" t="n">
        <v>1000</v>
      </c>
      <c r="B1433" s="117" t="s">
        <v>1962</v>
      </c>
      <c r="C1433" s="117" t="n">
        <v>100309578</v>
      </c>
      <c r="E1433" s="117" t="s">
        <v>1921</v>
      </c>
      <c r="F1433" s="117" t="n">
        <v>1101</v>
      </c>
      <c r="G1433" s="117" t="n">
        <v>2019</v>
      </c>
      <c r="H1433" s="117" t="n">
        <v>12</v>
      </c>
      <c r="I1433" s="118" t="n">
        <v>43919</v>
      </c>
      <c r="J1433" s="118" t="n">
        <v>43919</v>
      </c>
      <c r="K1433" s="119" t="n">
        <v>408.01</v>
      </c>
      <c r="L1433" s="128" t="n">
        <f aca="false">K1433-Q1433+T1433</f>
        <v>408.01</v>
      </c>
      <c r="M1433" s="117" t="s">
        <v>149</v>
      </c>
      <c r="N1433" s="117" t="n">
        <v>408.01</v>
      </c>
      <c r="O1433" s="117" t="s">
        <v>149</v>
      </c>
      <c r="P1433" s="117" t="n">
        <v>0</v>
      </c>
      <c r="Q1433" s="117" t="n">
        <v>0</v>
      </c>
      <c r="R1433" s="117" t="n">
        <v>408.01</v>
      </c>
      <c r="S1433" s="117" t="n">
        <v>0</v>
      </c>
      <c r="T1433" s="117" t="n">
        <v>0</v>
      </c>
      <c r="U1433" s="117" t="n">
        <v>316840</v>
      </c>
      <c r="V1433" s="117" t="s">
        <v>2701</v>
      </c>
      <c r="Z1433" s="117" t="n">
        <v>100309578</v>
      </c>
      <c r="AD1433" s="117" t="n">
        <v>310300</v>
      </c>
      <c r="AE1433" s="117" t="s">
        <v>1969</v>
      </c>
      <c r="AF1433" s="117" t="n">
        <v>310300</v>
      </c>
      <c r="AG1433" s="117" t="s">
        <v>1969</v>
      </c>
      <c r="AI1433" s="117" t="n">
        <v>310300</v>
      </c>
      <c r="AJ1433" s="117" t="s">
        <v>1969</v>
      </c>
      <c r="AK1433" s="117" t="n">
        <v>0</v>
      </c>
      <c r="AL1433" s="117" t="n">
        <v>9</v>
      </c>
      <c r="AM1433" s="117" t="s">
        <v>161</v>
      </c>
      <c r="AN1433" s="117" t="s">
        <v>1978</v>
      </c>
      <c r="AP1433" s="117" t="n">
        <v>100309578</v>
      </c>
      <c r="AQ1433" s="118" t="n">
        <v>43919</v>
      </c>
      <c r="AR1433" s="118" t="n">
        <v>43919</v>
      </c>
      <c r="AS1433" s="117" t="n">
        <v>0.548020833333333</v>
      </c>
      <c r="AT1433" s="117" t="n">
        <v>0</v>
      </c>
      <c r="AU1433" s="117" t="n">
        <v>0</v>
      </c>
      <c r="AX1433" s="117" t="n">
        <v>3</v>
      </c>
    </row>
    <row r="1434" customFormat="false" ht="13.8" hidden="true" customHeight="false" outlineLevel="0" collapsed="false">
      <c r="A1434" s="117" t="n">
        <v>1000</v>
      </c>
      <c r="B1434" s="117" t="s">
        <v>1962</v>
      </c>
      <c r="C1434" s="117" t="n">
        <v>100309578</v>
      </c>
      <c r="E1434" s="117" t="s">
        <v>1921</v>
      </c>
      <c r="F1434" s="117" t="n">
        <v>1106</v>
      </c>
      <c r="G1434" s="117" t="n">
        <v>2019</v>
      </c>
      <c r="H1434" s="117" t="n">
        <v>12</v>
      </c>
      <c r="I1434" s="118" t="n">
        <v>43919</v>
      </c>
      <c r="J1434" s="118" t="n">
        <v>43919</v>
      </c>
      <c r="K1434" s="119" t="n">
        <v>23605.59</v>
      </c>
      <c r="L1434" s="128" t="n">
        <f aca="false">K1434-Q1434+T1434</f>
        <v>23605.59</v>
      </c>
      <c r="M1434" s="117" t="s">
        <v>149</v>
      </c>
      <c r="N1434" s="117" t="n">
        <v>23605.59</v>
      </c>
      <c r="O1434" s="117" t="s">
        <v>149</v>
      </c>
      <c r="P1434" s="117" t="n">
        <v>0</v>
      </c>
      <c r="Q1434" s="117" t="n">
        <v>0</v>
      </c>
      <c r="R1434" s="117" t="n">
        <v>23605.59</v>
      </c>
      <c r="S1434" s="117" t="n">
        <v>0</v>
      </c>
      <c r="T1434" s="117" t="n">
        <v>0</v>
      </c>
      <c r="U1434" s="117" t="n">
        <v>316840</v>
      </c>
      <c r="V1434" s="117" t="s">
        <v>2701</v>
      </c>
      <c r="Z1434" s="117" t="n">
        <v>100309578</v>
      </c>
      <c r="AD1434" s="117" t="n">
        <v>310300</v>
      </c>
      <c r="AE1434" s="117" t="s">
        <v>1969</v>
      </c>
      <c r="AF1434" s="117" t="n">
        <v>310300</v>
      </c>
      <c r="AG1434" s="117" t="s">
        <v>1969</v>
      </c>
      <c r="AI1434" s="117" t="n">
        <v>310300</v>
      </c>
      <c r="AJ1434" s="117" t="s">
        <v>1969</v>
      </c>
      <c r="AK1434" s="117" t="n">
        <v>0</v>
      </c>
      <c r="AL1434" s="117" t="n">
        <v>9</v>
      </c>
      <c r="AM1434" s="117" t="s">
        <v>161</v>
      </c>
      <c r="AN1434" s="117" t="s">
        <v>1978</v>
      </c>
      <c r="AP1434" s="117" t="n">
        <v>100309578</v>
      </c>
      <c r="AQ1434" s="118" t="n">
        <v>43919</v>
      </c>
      <c r="AR1434" s="118" t="n">
        <v>43919</v>
      </c>
      <c r="AS1434" s="117" t="n">
        <v>0.548020833333333</v>
      </c>
      <c r="AT1434" s="117" t="n">
        <v>0</v>
      </c>
      <c r="AU1434" s="117" t="n">
        <v>0</v>
      </c>
      <c r="AX1434" s="117" t="n">
        <v>4</v>
      </c>
    </row>
    <row r="1435" customFormat="false" ht="13.8" hidden="true" customHeight="false" outlineLevel="0" collapsed="false">
      <c r="A1435" s="117" t="n">
        <v>1000</v>
      </c>
      <c r="B1435" s="117" t="s">
        <v>1962</v>
      </c>
      <c r="C1435" s="117" t="n">
        <v>100309579</v>
      </c>
      <c r="E1435" s="117" t="s">
        <v>1921</v>
      </c>
      <c r="F1435" s="117" t="n">
        <v>1106</v>
      </c>
      <c r="G1435" s="117" t="n">
        <v>2019</v>
      </c>
      <c r="H1435" s="117" t="n">
        <v>12</v>
      </c>
      <c r="I1435" s="118" t="n">
        <v>43919</v>
      </c>
      <c r="J1435" s="118" t="n">
        <v>43919</v>
      </c>
      <c r="K1435" s="119" t="n">
        <v>-23605.59</v>
      </c>
      <c r="L1435" s="128" t="n">
        <f aca="false">K1435-Q1435+T1435</f>
        <v>-23605.59</v>
      </c>
      <c r="M1435" s="117" t="s">
        <v>149</v>
      </c>
      <c r="N1435" s="117" t="n">
        <v>-23605.59</v>
      </c>
      <c r="O1435" s="117" t="s">
        <v>149</v>
      </c>
      <c r="P1435" s="117" t="n">
        <v>0</v>
      </c>
      <c r="Q1435" s="117" t="n">
        <v>0</v>
      </c>
      <c r="R1435" s="117" t="n">
        <v>-23605.59</v>
      </c>
      <c r="S1435" s="117" t="n">
        <v>0</v>
      </c>
      <c r="T1435" s="117" t="n">
        <v>0</v>
      </c>
      <c r="U1435" s="117" t="n">
        <v>312193</v>
      </c>
      <c r="V1435" s="117" t="s">
        <v>1963</v>
      </c>
      <c r="Z1435" s="117" t="n">
        <v>100309579</v>
      </c>
      <c r="AD1435" s="117" t="n">
        <v>110000</v>
      </c>
      <c r="AE1435" s="117" t="s">
        <v>1966</v>
      </c>
      <c r="AF1435" s="117" t="n">
        <v>310300</v>
      </c>
      <c r="AG1435" s="117" t="s">
        <v>1969</v>
      </c>
      <c r="AI1435" s="117" t="n">
        <v>310300</v>
      </c>
      <c r="AJ1435" s="117" t="s">
        <v>1969</v>
      </c>
      <c r="AK1435" s="117" t="n">
        <v>0</v>
      </c>
      <c r="AL1435" s="117" t="n">
        <v>17</v>
      </c>
      <c r="AM1435" s="117" t="s">
        <v>225</v>
      </c>
      <c r="AP1435" s="117" t="n">
        <v>100309579</v>
      </c>
      <c r="AQ1435" s="118" t="n">
        <v>43919</v>
      </c>
      <c r="AR1435" s="118" t="n">
        <v>43919</v>
      </c>
      <c r="AS1435" s="117" t="n">
        <v>0.54875</v>
      </c>
      <c r="AT1435" s="117" t="n">
        <v>0</v>
      </c>
      <c r="AU1435" s="117" t="n">
        <v>0</v>
      </c>
      <c r="AX1435" s="117" t="n">
        <v>1</v>
      </c>
    </row>
    <row r="1436" customFormat="false" ht="13.8" hidden="true" customHeight="false" outlineLevel="0" collapsed="false">
      <c r="A1436" s="117" t="n">
        <v>1000</v>
      </c>
      <c r="B1436" s="117" t="s">
        <v>1962</v>
      </c>
      <c r="C1436" s="117" t="n">
        <v>100309685</v>
      </c>
      <c r="E1436" s="117" t="s">
        <v>1921</v>
      </c>
      <c r="F1436" s="117" t="n">
        <v>1101</v>
      </c>
      <c r="G1436" s="117" t="n">
        <v>2019</v>
      </c>
      <c r="H1436" s="117" t="n">
        <v>12</v>
      </c>
      <c r="I1436" s="118" t="n">
        <v>43919</v>
      </c>
      <c r="J1436" s="118" t="n">
        <v>43919</v>
      </c>
      <c r="K1436" s="119" t="n">
        <v>-21099.04</v>
      </c>
      <c r="L1436" s="128" t="n">
        <f aca="false">K1436-Q1436+T1436</f>
        <v>-21099.04</v>
      </c>
      <c r="M1436" s="117" t="s">
        <v>149</v>
      </c>
      <c r="N1436" s="117" t="n">
        <v>-21099.04</v>
      </c>
      <c r="O1436" s="117" t="s">
        <v>149</v>
      </c>
      <c r="P1436" s="117" t="n">
        <v>-21099.04</v>
      </c>
      <c r="Q1436" s="117" t="n">
        <v>0</v>
      </c>
      <c r="R1436" s="117" t="n">
        <v>-21099.04</v>
      </c>
      <c r="S1436" s="117" t="n">
        <v>0</v>
      </c>
      <c r="T1436" s="117" t="n">
        <v>0</v>
      </c>
      <c r="U1436" s="117" t="n">
        <v>305576</v>
      </c>
      <c r="V1436" s="117" t="s">
        <v>1973</v>
      </c>
      <c r="X1436" s="117" t="s">
        <v>2702</v>
      </c>
      <c r="Z1436" s="117" t="n">
        <v>100309685</v>
      </c>
      <c r="AD1436" s="117" t="n">
        <v>310300</v>
      </c>
      <c r="AE1436" s="117" t="s">
        <v>1969</v>
      </c>
      <c r="AF1436" s="117" t="n">
        <v>310300</v>
      </c>
      <c r="AG1436" s="117" t="s">
        <v>1969</v>
      </c>
      <c r="AI1436" s="117" t="n">
        <v>310300</v>
      </c>
      <c r="AJ1436" s="117" t="s">
        <v>1969</v>
      </c>
      <c r="AK1436" s="117" t="n">
        <v>0</v>
      </c>
      <c r="AL1436" s="117" t="n">
        <v>19</v>
      </c>
      <c r="AM1436" s="117" t="s">
        <v>225</v>
      </c>
      <c r="AN1436" s="117" t="s">
        <v>1978</v>
      </c>
      <c r="AP1436" s="117" t="n">
        <v>100310136</v>
      </c>
      <c r="AQ1436" s="118" t="n">
        <v>43920</v>
      </c>
      <c r="AR1436" s="118" t="n">
        <v>43920</v>
      </c>
      <c r="AS1436" s="117" t="n">
        <v>0.229131944444444</v>
      </c>
      <c r="AT1436" s="117" t="n">
        <v>0</v>
      </c>
      <c r="AU1436" s="117" t="n">
        <v>0</v>
      </c>
      <c r="AX1436" s="117" t="n">
        <v>1</v>
      </c>
    </row>
    <row r="1437" customFormat="false" ht="13.8" hidden="true" customHeight="false" outlineLevel="0" collapsed="false">
      <c r="A1437" s="117" t="n">
        <v>1000</v>
      </c>
      <c r="B1437" s="117" t="s">
        <v>1962</v>
      </c>
      <c r="C1437" s="117" t="n">
        <v>100309621</v>
      </c>
      <c r="D1437" s="117" t="s">
        <v>2005</v>
      </c>
      <c r="E1437" s="117" t="s">
        <v>1903</v>
      </c>
      <c r="F1437" s="117" t="n">
        <v>1101</v>
      </c>
      <c r="G1437" s="117" t="n">
        <v>2019</v>
      </c>
      <c r="H1437" s="117" t="n">
        <v>12</v>
      </c>
      <c r="I1437" s="118" t="n">
        <v>43919</v>
      </c>
      <c r="J1437" s="118" t="n">
        <v>43919</v>
      </c>
      <c r="K1437" s="119" t="n">
        <v>0.66</v>
      </c>
      <c r="L1437" s="128" t="n">
        <f aca="false">K1437-Q1437+T1437</f>
        <v>0.66</v>
      </c>
      <c r="M1437" s="117" t="s">
        <v>149</v>
      </c>
      <c r="N1437" s="117" t="n">
        <v>0.66</v>
      </c>
      <c r="O1437" s="117" t="s">
        <v>149</v>
      </c>
      <c r="P1437" s="117" t="n">
        <v>0</v>
      </c>
      <c r="Q1437" s="117" t="n">
        <v>0</v>
      </c>
      <c r="R1437" s="117" t="n">
        <v>0.66</v>
      </c>
      <c r="S1437" s="117" t="n">
        <v>0</v>
      </c>
      <c r="T1437" s="117" t="n">
        <v>0</v>
      </c>
      <c r="U1437" s="117" t="n">
        <v>316840</v>
      </c>
      <c r="V1437" s="117" t="s">
        <v>2701</v>
      </c>
      <c r="X1437" s="117" t="s">
        <v>2703</v>
      </c>
      <c r="Y1437" s="117" t="s">
        <v>2008</v>
      </c>
      <c r="Z1437" s="117" t="n">
        <v>100309621</v>
      </c>
      <c r="AD1437" s="117" t="n">
        <v>310300</v>
      </c>
      <c r="AE1437" s="117" t="s">
        <v>1969</v>
      </c>
      <c r="AF1437" s="117" t="n">
        <v>891305</v>
      </c>
      <c r="AG1437" s="117" t="s">
        <v>2009</v>
      </c>
      <c r="AI1437" s="117" t="n">
        <v>891305</v>
      </c>
      <c r="AJ1437" s="117" t="s">
        <v>2009</v>
      </c>
      <c r="AK1437" s="117" t="n">
        <v>0</v>
      </c>
      <c r="AL1437" s="117" t="n">
        <v>9</v>
      </c>
      <c r="AM1437" s="117" t="s">
        <v>161</v>
      </c>
      <c r="AN1437" s="117" t="s">
        <v>1978</v>
      </c>
      <c r="AP1437" s="117" t="n">
        <v>100309621</v>
      </c>
      <c r="AQ1437" s="118" t="n">
        <v>43919</v>
      </c>
      <c r="AR1437" s="118" t="n">
        <v>43919</v>
      </c>
      <c r="AS1437" s="117" t="n">
        <v>0.729016203703704</v>
      </c>
      <c r="AT1437" s="117" t="n">
        <v>0</v>
      </c>
      <c r="AU1437" s="117" t="n">
        <v>0</v>
      </c>
      <c r="AX1437" s="117" t="n">
        <v>2</v>
      </c>
    </row>
    <row r="1438" customFormat="false" ht="13.8" hidden="true" customHeight="false" outlineLevel="0" collapsed="false">
      <c r="A1438" s="117" t="n">
        <v>1000</v>
      </c>
      <c r="B1438" s="117" t="s">
        <v>1962</v>
      </c>
      <c r="C1438" s="117" t="n">
        <v>100309686</v>
      </c>
      <c r="E1438" s="117" t="s">
        <v>1921</v>
      </c>
      <c r="F1438" s="117" t="n">
        <v>1101</v>
      </c>
      <c r="G1438" s="117" t="n">
        <v>2019</v>
      </c>
      <c r="H1438" s="117" t="n">
        <v>12</v>
      </c>
      <c r="I1438" s="118" t="n">
        <v>43919</v>
      </c>
      <c r="J1438" s="118" t="n">
        <v>43919</v>
      </c>
      <c r="K1438" s="119" t="n">
        <v>-47408.47</v>
      </c>
      <c r="L1438" s="128" t="n">
        <f aca="false">K1438-Q1438+T1438</f>
        <v>-47408.47</v>
      </c>
      <c r="M1438" s="117" t="s">
        <v>149</v>
      </c>
      <c r="N1438" s="117" t="n">
        <v>-47408.47</v>
      </c>
      <c r="O1438" s="117" t="s">
        <v>149</v>
      </c>
      <c r="P1438" s="117" t="n">
        <v>0</v>
      </c>
      <c r="Q1438" s="117" t="n">
        <v>0</v>
      </c>
      <c r="R1438" s="117" t="n">
        <v>-47408.47</v>
      </c>
      <c r="S1438" s="117" t="n">
        <v>0</v>
      </c>
      <c r="T1438" s="117" t="n">
        <v>0</v>
      </c>
      <c r="U1438" s="117" t="n">
        <v>315113</v>
      </c>
      <c r="V1438" s="117" t="s">
        <v>143</v>
      </c>
      <c r="Z1438" s="117" t="n">
        <v>100309686</v>
      </c>
      <c r="AD1438" s="117" t="n">
        <v>110000</v>
      </c>
      <c r="AE1438" s="117" t="s">
        <v>1966</v>
      </c>
      <c r="AF1438" s="117" t="n">
        <v>310300</v>
      </c>
      <c r="AG1438" s="117" t="s">
        <v>1969</v>
      </c>
      <c r="AI1438" s="117" t="n">
        <v>310300</v>
      </c>
      <c r="AJ1438" s="117" t="s">
        <v>1969</v>
      </c>
      <c r="AK1438" s="117" t="n">
        <v>0</v>
      </c>
      <c r="AL1438" s="117" t="n">
        <v>17</v>
      </c>
      <c r="AM1438" s="117" t="s">
        <v>225</v>
      </c>
      <c r="AP1438" s="117" t="n">
        <v>100309686</v>
      </c>
      <c r="AQ1438" s="118" t="n">
        <v>43919</v>
      </c>
      <c r="AR1438" s="118" t="n">
        <v>43920</v>
      </c>
      <c r="AS1438" s="117" t="n">
        <v>0.229756944444444</v>
      </c>
      <c r="AT1438" s="117" t="n">
        <v>0</v>
      </c>
      <c r="AU1438" s="117" t="n">
        <v>0</v>
      </c>
      <c r="AX1438" s="117" t="n">
        <v>2</v>
      </c>
    </row>
    <row r="1439" customFormat="false" ht="13.8" hidden="true" customHeight="false" outlineLevel="0" collapsed="false">
      <c r="A1439" s="117" t="n">
        <v>1000</v>
      </c>
      <c r="B1439" s="117" t="s">
        <v>1962</v>
      </c>
      <c r="C1439" s="117" t="n">
        <v>100309685</v>
      </c>
      <c r="E1439" s="117" t="s">
        <v>1921</v>
      </c>
      <c r="F1439" s="117" t="n">
        <v>1101</v>
      </c>
      <c r="G1439" s="117" t="n">
        <v>2019</v>
      </c>
      <c r="H1439" s="117" t="n">
        <v>12</v>
      </c>
      <c r="I1439" s="118" t="n">
        <v>43919</v>
      </c>
      <c r="J1439" s="118" t="n">
        <v>43919</v>
      </c>
      <c r="K1439" s="119" t="n">
        <v>96365.25</v>
      </c>
      <c r="L1439" s="128" t="n">
        <f aca="false">K1439-Q1439+T1439</f>
        <v>96365.25</v>
      </c>
      <c r="M1439" s="117" t="s">
        <v>149</v>
      </c>
      <c r="N1439" s="117" t="n">
        <v>96365.25</v>
      </c>
      <c r="O1439" s="117" t="s">
        <v>149</v>
      </c>
      <c r="P1439" s="117" t="n">
        <v>0</v>
      </c>
      <c r="Q1439" s="117" t="n">
        <v>0</v>
      </c>
      <c r="R1439" s="117" t="n">
        <v>96365.25</v>
      </c>
      <c r="S1439" s="117" t="n">
        <v>0</v>
      </c>
      <c r="T1439" s="117" t="n">
        <v>0</v>
      </c>
      <c r="U1439" s="117" t="n">
        <v>305576</v>
      </c>
      <c r="V1439" s="117" t="s">
        <v>1973</v>
      </c>
      <c r="Z1439" s="117" t="n">
        <v>100309685</v>
      </c>
      <c r="AD1439" s="117" t="n">
        <v>310300</v>
      </c>
      <c r="AE1439" s="117" t="s">
        <v>1969</v>
      </c>
      <c r="AF1439" s="117" t="n">
        <v>310300</v>
      </c>
      <c r="AG1439" s="117" t="s">
        <v>1969</v>
      </c>
      <c r="AI1439" s="117" t="n">
        <v>310300</v>
      </c>
      <c r="AJ1439" s="117" t="s">
        <v>1969</v>
      </c>
      <c r="AK1439" s="117" t="n">
        <v>0</v>
      </c>
      <c r="AL1439" s="117" t="n">
        <v>9</v>
      </c>
      <c r="AM1439" s="117" t="s">
        <v>161</v>
      </c>
      <c r="AN1439" s="117" t="s">
        <v>1978</v>
      </c>
      <c r="AP1439" s="117" t="n">
        <v>100309685</v>
      </c>
      <c r="AQ1439" s="118" t="n">
        <v>43919</v>
      </c>
      <c r="AR1439" s="118" t="n">
        <v>43920</v>
      </c>
      <c r="AS1439" s="117" t="n">
        <v>0.229131944444444</v>
      </c>
      <c r="AT1439" s="117" t="n">
        <v>0</v>
      </c>
      <c r="AU1439" s="117" t="n">
        <v>0</v>
      </c>
      <c r="AX1439" s="117" t="n">
        <v>3</v>
      </c>
    </row>
    <row r="1440" customFormat="false" ht="13.8" hidden="true" customHeight="false" outlineLevel="0" collapsed="false">
      <c r="A1440" s="117" t="n">
        <v>1000</v>
      </c>
      <c r="B1440" s="117" t="s">
        <v>1962</v>
      </c>
      <c r="C1440" s="117" t="n">
        <v>100309579</v>
      </c>
      <c r="E1440" s="117" t="s">
        <v>1921</v>
      </c>
      <c r="F1440" s="117" t="n">
        <v>1106</v>
      </c>
      <c r="G1440" s="117" t="n">
        <v>2019</v>
      </c>
      <c r="H1440" s="117" t="n">
        <v>12</v>
      </c>
      <c r="I1440" s="118" t="n">
        <v>43919</v>
      </c>
      <c r="J1440" s="118" t="n">
        <v>43919</v>
      </c>
      <c r="K1440" s="119" t="n">
        <v>23605.59</v>
      </c>
      <c r="L1440" s="128" t="n">
        <f aca="false">K1440-Q1440+T1440</f>
        <v>23605.59</v>
      </c>
      <c r="M1440" s="117" t="s">
        <v>149</v>
      </c>
      <c r="N1440" s="117" t="n">
        <v>23605.59</v>
      </c>
      <c r="O1440" s="117" t="s">
        <v>149</v>
      </c>
      <c r="P1440" s="117" t="n">
        <v>0</v>
      </c>
      <c r="Q1440" s="117" t="n">
        <v>0</v>
      </c>
      <c r="R1440" s="117" t="n">
        <v>23605.59</v>
      </c>
      <c r="S1440" s="117" t="n">
        <v>0</v>
      </c>
      <c r="T1440" s="117" t="n">
        <v>0</v>
      </c>
      <c r="U1440" s="117" t="n">
        <v>312193</v>
      </c>
      <c r="V1440" s="117" t="s">
        <v>1963</v>
      </c>
      <c r="Z1440" s="117" t="n">
        <v>100309579</v>
      </c>
      <c r="AD1440" s="117" t="n">
        <v>310300</v>
      </c>
      <c r="AE1440" s="117" t="s">
        <v>1969</v>
      </c>
      <c r="AF1440" s="117" t="n">
        <v>110000</v>
      </c>
      <c r="AG1440" s="117" t="s">
        <v>1966</v>
      </c>
      <c r="AI1440" s="117" t="n">
        <v>110000</v>
      </c>
      <c r="AJ1440" s="117" t="s">
        <v>1966</v>
      </c>
      <c r="AK1440" s="117" t="n">
        <v>0</v>
      </c>
      <c r="AL1440" s="117" t="n">
        <v>9</v>
      </c>
      <c r="AM1440" s="117" t="s">
        <v>161</v>
      </c>
      <c r="AN1440" s="117" t="s">
        <v>1978</v>
      </c>
      <c r="AP1440" s="117" t="n">
        <v>100309579</v>
      </c>
      <c r="AQ1440" s="118" t="n">
        <v>43919</v>
      </c>
      <c r="AR1440" s="118" t="n">
        <v>43919</v>
      </c>
      <c r="AS1440" s="117" t="n">
        <v>0.54875</v>
      </c>
      <c r="AT1440" s="117" t="n">
        <v>0</v>
      </c>
      <c r="AU1440" s="117" t="n">
        <v>0</v>
      </c>
      <c r="AX1440" s="117" t="n">
        <v>2</v>
      </c>
    </row>
    <row r="1441" customFormat="false" ht="13.8" hidden="true" customHeight="false" outlineLevel="0" collapsed="false">
      <c r="A1441" s="117" t="n">
        <v>1000</v>
      </c>
      <c r="B1441" s="117" t="s">
        <v>1962</v>
      </c>
      <c r="C1441" s="117" t="n">
        <v>100309686</v>
      </c>
      <c r="E1441" s="117" t="s">
        <v>1921</v>
      </c>
      <c r="F1441" s="117" t="n">
        <v>1106</v>
      </c>
      <c r="G1441" s="117" t="n">
        <v>2019</v>
      </c>
      <c r="H1441" s="117" t="n">
        <v>12</v>
      </c>
      <c r="I1441" s="118" t="n">
        <v>43919</v>
      </c>
      <c r="J1441" s="118" t="n">
        <v>43919</v>
      </c>
      <c r="K1441" s="119" t="n">
        <v>58304.47</v>
      </c>
      <c r="L1441" s="128" t="n">
        <f aca="false">K1441-Q1441+T1441</f>
        <v>58304.47</v>
      </c>
      <c r="M1441" s="117" t="s">
        <v>149</v>
      </c>
      <c r="N1441" s="117" t="n">
        <v>58304.47</v>
      </c>
      <c r="O1441" s="117" t="s">
        <v>149</v>
      </c>
      <c r="P1441" s="117" t="n">
        <v>0</v>
      </c>
      <c r="Q1441" s="117" t="n">
        <v>0</v>
      </c>
      <c r="R1441" s="117" t="n">
        <v>58304.47</v>
      </c>
      <c r="S1441" s="117" t="n">
        <v>0</v>
      </c>
      <c r="T1441" s="117" t="n">
        <v>0</v>
      </c>
      <c r="U1441" s="117" t="n">
        <v>315113</v>
      </c>
      <c r="V1441" s="117" t="s">
        <v>143</v>
      </c>
      <c r="Z1441" s="117" t="n">
        <v>100309686</v>
      </c>
      <c r="AD1441" s="117" t="n">
        <v>310300</v>
      </c>
      <c r="AE1441" s="117" t="s">
        <v>1969</v>
      </c>
      <c r="AF1441" s="117" t="n">
        <v>110000</v>
      </c>
      <c r="AG1441" s="117" t="s">
        <v>1966</v>
      </c>
      <c r="AI1441" s="117" t="n">
        <v>110000</v>
      </c>
      <c r="AJ1441" s="117" t="s">
        <v>1966</v>
      </c>
      <c r="AK1441" s="117" t="n">
        <v>0</v>
      </c>
      <c r="AL1441" s="117" t="n">
        <v>9</v>
      </c>
      <c r="AM1441" s="117" t="s">
        <v>161</v>
      </c>
      <c r="AN1441" s="117" t="s">
        <v>1978</v>
      </c>
      <c r="AP1441" s="117" t="n">
        <v>100309686</v>
      </c>
      <c r="AQ1441" s="118" t="n">
        <v>43919</v>
      </c>
      <c r="AR1441" s="118" t="n">
        <v>43920</v>
      </c>
      <c r="AS1441" s="117" t="n">
        <v>0.229756944444444</v>
      </c>
      <c r="AT1441" s="117" t="n">
        <v>0</v>
      </c>
      <c r="AU1441" s="117" t="n">
        <v>0</v>
      </c>
      <c r="AX1441" s="117" t="n">
        <v>3</v>
      </c>
    </row>
    <row r="1442" customFormat="false" ht="13.8" hidden="true" customHeight="false" outlineLevel="0" collapsed="false">
      <c r="A1442" s="117" t="n">
        <v>1000</v>
      </c>
      <c r="B1442" s="117" t="s">
        <v>1962</v>
      </c>
      <c r="C1442" s="117" t="n">
        <v>100309688</v>
      </c>
      <c r="E1442" s="117" t="s">
        <v>1921</v>
      </c>
      <c r="F1442" s="117" t="n">
        <v>1101</v>
      </c>
      <c r="G1442" s="117" t="n">
        <v>2019</v>
      </c>
      <c r="H1442" s="117" t="n">
        <v>12</v>
      </c>
      <c r="I1442" s="118" t="n">
        <v>43919</v>
      </c>
      <c r="J1442" s="118" t="n">
        <v>43919</v>
      </c>
      <c r="K1442" s="119" t="n">
        <v>-35109.35</v>
      </c>
      <c r="L1442" s="128" t="n">
        <f aca="false">K1442-Q1442+T1442</f>
        <v>-35109.35</v>
      </c>
      <c r="M1442" s="117" t="s">
        <v>149</v>
      </c>
      <c r="N1442" s="117" t="n">
        <v>-35109.35</v>
      </c>
      <c r="O1442" s="117" t="s">
        <v>149</v>
      </c>
      <c r="P1442" s="117" t="n">
        <v>0</v>
      </c>
      <c r="Q1442" s="117" t="n">
        <v>0</v>
      </c>
      <c r="R1442" s="117" t="n">
        <v>-35109.35</v>
      </c>
      <c r="S1442" s="117" t="n">
        <v>0</v>
      </c>
      <c r="T1442" s="117" t="n">
        <v>0</v>
      </c>
      <c r="U1442" s="117" t="n">
        <v>312351</v>
      </c>
      <c r="V1442" s="117" t="s">
        <v>2156</v>
      </c>
      <c r="Z1442" s="117" t="n">
        <v>100309688</v>
      </c>
      <c r="AD1442" s="117" t="n">
        <v>110000</v>
      </c>
      <c r="AE1442" s="117" t="s">
        <v>1966</v>
      </c>
      <c r="AF1442" s="117" t="n">
        <v>110000</v>
      </c>
      <c r="AG1442" s="117" t="s">
        <v>1966</v>
      </c>
      <c r="AI1442" s="117" t="n">
        <v>110000</v>
      </c>
      <c r="AJ1442" s="117" t="s">
        <v>1966</v>
      </c>
      <c r="AK1442" s="117" t="n">
        <v>0</v>
      </c>
      <c r="AL1442" s="117" t="n">
        <v>17</v>
      </c>
      <c r="AM1442" s="117" t="s">
        <v>225</v>
      </c>
      <c r="AP1442" s="117" t="n">
        <v>100309688</v>
      </c>
      <c r="AQ1442" s="118" t="n">
        <v>43919</v>
      </c>
      <c r="AR1442" s="118" t="n">
        <v>43920</v>
      </c>
      <c r="AS1442" s="117" t="n">
        <v>0.232141203703704</v>
      </c>
      <c r="AT1442" s="117" t="n">
        <v>0</v>
      </c>
      <c r="AU1442" s="117" t="n">
        <v>0</v>
      </c>
      <c r="AX1442" s="117" t="n">
        <v>3</v>
      </c>
    </row>
    <row r="1443" customFormat="false" ht="13.8" hidden="true" customHeight="false" outlineLevel="0" collapsed="false">
      <c r="A1443" s="117" t="n">
        <v>1000</v>
      </c>
      <c r="B1443" s="117" t="s">
        <v>1962</v>
      </c>
      <c r="C1443" s="117" t="n">
        <v>100309686</v>
      </c>
      <c r="E1443" s="117" t="s">
        <v>1921</v>
      </c>
      <c r="F1443" s="117" t="n">
        <v>1101</v>
      </c>
      <c r="G1443" s="117" t="n">
        <v>2019</v>
      </c>
      <c r="H1443" s="117" t="n">
        <v>12</v>
      </c>
      <c r="I1443" s="118" t="n">
        <v>43919</v>
      </c>
      <c r="J1443" s="118" t="n">
        <v>43919</v>
      </c>
      <c r="K1443" s="119" t="n">
        <v>-10896</v>
      </c>
      <c r="L1443" s="128" t="n">
        <f aca="false">K1443-Q1443+T1443</f>
        <v>-10896</v>
      </c>
      <c r="M1443" s="117" t="s">
        <v>149</v>
      </c>
      <c r="N1443" s="117" t="n">
        <v>-10896</v>
      </c>
      <c r="O1443" s="117" t="s">
        <v>149</v>
      </c>
      <c r="P1443" s="117" t="n">
        <v>0</v>
      </c>
      <c r="Q1443" s="117" t="n">
        <v>0</v>
      </c>
      <c r="R1443" s="117" t="n">
        <v>-10896</v>
      </c>
      <c r="S1443" s="117" t="n">
        <v>0</v>
      </c>
      <c r="T1443" s="117" t="n">
        <v>0</v>
      </c>
      <c r="U1443" s="117" t="n">
        <v>315113</v>
      </c>
      <c r="V1443" s="117" t="s">
        <v>143</v>
      </c>
      <c r="Z1443" s="117" t="n">
        <v>100309686</v>
      </c>
      <c r="AD1443" s="117" t="n">
        <v>110000</v>
      </c>
      <c r="AE1443" s="117" t="s">
        <v>1966</v>
      </c>
      <c r="AF1443" s="117" t="n">
        <v>310300</v>
      </c>
      <c r="AG1443" s="117" t="s">
        <v>1969</v>
      </c>
      <c r="AI1443" s="117" t="n">
        <v>310300</v>
      </c>
      <c r="AJ1443" s="117" t="s">
        <v>1969</v>
      </c>
      <c r="AK1443" s="117" t="n">
        <v>0</v>
      </c>
      <c r="AL1443" s="117" t="n">
        <v>17</v>
      </c>
      <c r="AM1443" s="117" t="s">
        <v>225</v>
      </c>
      <c r="AP1443" s="117" t="n">
        <v>100309686</v>
      </c>
      <c r="AQ1443" s="118" t="n">
        <v>43919</v>
      </c>
      <c r="AR1443" s="118" t="n">
        <v>43920</v>
      </c>
      <c r="AS1443" s="117" t="n">
        <v>0.229756944444444</v>
      </c>
      <c r="AT1443" s="117" t="n">
        <v>0</v>
      </c>
      <c r="AU1443" s="117" t="n">
        <v>0</v>
      </c>
      <c r="AX1443" s="117" t="n">
        <v>1</v>
      </c>
    </row>
    <row r="1444" customFormat="false" ht="13.8" hidden="true" customHeight="false" outlineLevel="0" collapsed="false">
      <c r="A1444" s="117" t="n">
        <v>1000</v>
      </c>
      <c r="B1444" s="117" t="s">
        <v>1962</v>
      </c>
      <c r="C1444" s="117" t="n">
        <v>100309685</v>
      </c>
      <c r="E1444" s="117" t="s">
        <v>1921</v>
      </c>
      <c r="F1444" s="117" t="n">
        <v>1106</v>
      </c>
      <c r="G1444" s="117" t="n">
        <v>2019</v>
      </c>
      <c r="H1444" s="117" t="n">
        <v>12</v>
      </c>
      <c r="I1444" s="118" t="n">
        <v>43919</v>
      </c>
      <c r="J1444" s="118" t="n">
        <v>43919</v>
      </c>
      <c r="K1444" s="119" t="n">
        <v>-75266.21</v>
      </c>
      <c r="L1444" s="128" t="n">
        <f aca="false">K1444-Q1444+T1444</f>
        <v>-75266.21</v>
      </c>
      <c r="M1444" s="117" t="s">
        <v>149</v>
      </c>
      <c r="N1444" s="117" t="n">
        <v>-75266.21</v>
      </c>
      <c r="O1444" s="117" t="s">
        <v>149</v>
      </c>
      <c r="P1444" s="117" t="n">
        <v>0</v>
      </c>
      <c r="Q1444" s="117" t="n">
        <v>0</v>
      </c>
      <c r="R1444" s="117" t="n">
        <v>-75266.21</v>
      </c>
      <c r="S1444" s="117" t="n">
        <v>0</v>
      </c>
      <c r="T1444" s="117" t="n">
        <v>0</v>
      </c>
      <c r="U1444" s="117" t="n">
        <v>305576</v>
      </c>
      <c r="V1444" s="117" t="s">
        <v>1973</v>
      </c>
      <c r="Z1444" s="117" t="n">
        <v>100309685</v>
      </c>
      <c r="AD1444" s="117" t="n">
        <v>110000</v>
      </c>
      <c r="AE1444" s="117" t="s">
        <v>1966</v>
      </c>
      <c r="AF1444" s="117" t="n">
        <v>310300</v>
      </c>
      <c r="AG1444" s="117" t="s">
        <v>1969</v>
      </c>
      <c r="AI1444" s="117" t="n">
        <v>310300</v>
      </c>
      <c r="AJ1444" s="117" t="s">
        <v>1969</v>
      </c>
      <c r="AK1444" s="117" t="n">
        <v>0</v>
      </c>
      <c r="AL1444" s="117" t="n">
        <v>17</v>
      </c>
      <c r="AM1444" s="117" t="s">
        <v>225</v>
      </c>
      <c r="AP1444" s="117" t="n">
        <v>100309685</v>
      </c>
      <c r="AQ1444" s="118" t="n">
        <v>43919</v>
      </c>
      <c r="AR1444" s="118" t="n">
        <v>43920</v>
      </c>
      <c r="AS1444" s="117" t="n">
        <v>0.229131944444444</v>
      </c>
      <c r="AT1444" s="117" t="n">
        <v>0</v>
      </c>
      <c r="AU1444" s="117" t="n">
        <v>0</v>
      </c>
      <c r="AX1444" s="117" t="n">
        <v>2</v>
      </c>
    </row>
    <row r="1445" customFormat="false" ht="13.8" hidden="true" customHeight="false" outlineLevel="0" collapsed="false">
      <c r="A1445" s="117" t="n">
        <v>1000</v>
      </c>
      <c r="B1445" s="117" t="s">
        <v>1962</v>
      </c>
      <c r="C1445" s="117" t="n">
        <v>100309688</v>
      </c>
      <c r="E1445" s="117" t="s">
        <v>1921</v>
      </c>
      <c r="F1445" s="117" t="n">
        <v>1101</v>
      </c>
      <c r="G1445" s="117" t="n">
        <v>2019</v>
      </c>
      <c r="H1445" s="117" t="n">
        <v>12</v>
      </c>
      <c r="I1445" s="118" t="n">
        <v>43919</v>
      </c>
      <c r="J1445" s="118" t="n">
        <v>43919</v>
      </c>
      <c r="K1445" s="119" t="n">
        <v>-7944.52</v>
      </c>
      <c r="L1445" s="128" t="n">
        <f aca="false">K1445-Q1445+T1445</f>
        <v>-7944.52</v>
      </c>
      <c r="M1445" s="117" t="s">
        <v>149</v>
      </c>
      <c r="N1445" s="117" t="n">
        <v>-7944.52</v>
      </c>
      <c r="O1445" s="117" t="s">
        <v>149</v>
      </c>
      <c r="P1445" s="117" t="n">
        <v>0</v>
      </c>
      <c r="Q1445" s="117" t="n">
        <v>0</v>
      </c>
      <c r="R1445" s="117" t="n">
        <v>-7944.52</v>
      </c>
      <c r="S1445" s="117" t="n">
        <v>0</v>
      </c>
      <c r="T1445" s="117" t="n">
        <v>0</v>
      </c>
      <c r="U1445" s="117" t="n">
        <v>312351</v>
      </c>
      <c r="V1445" s="117" t="s">
        <v>2156</v>
      </c>
      <c r="Z1445" s="117" t="n">
        <v>100309688</v>
      </c>
      <c r="AD1445" s="117" t="n">
        <v>110000</v>
      </c>
      <c r="AE1445" s="117" t="s">
        <v>1966</v>
      </c>
      <c r="AF1445" s="117" t="n">
        <v>110000</v>
      </c>
      <c r="AG1445" s="117" t="s">
        <v>1966</v>
      </c>
      <c r="AI1445" s="117" t="n">
        <v>110000</v>
      </c>
      <c r="AJ1445" s="117" t="s">
        <v>1966</v>
      </c>
      <c r="AK1445" s="117" t="n">
        <v>0</v>
      </c>
      <c r="AL1445" s="117" t="n">
        <v>17</v>
      </c>
      <c r="AM1445" s="117" t="s">
        <v>225</v>
      </c>
      <c r="AP1445" s="117" t="n">
        <v>100309688</v>
      </c>
      <c r="AQ1445" s="118" t="n">
        <v>43919</v>
      </c>
      <c r="AR1445" s="118" t="n">
        <v>43920</v>
      </c>
      <c r="AS1445" s="117" t="n">
        <v>0.232141203703704</v>
      </c>
      <c r="AT1445" s="117" t="n">
        <v>0</v>
      </c>
      <c r="AU1445" s="117" t="n">
        <v>0</v>
      </c>
      <c r="AX1445" s="117" t="n">
        <v>4</v>
      </c>
    </row>
    <row r="1446" customFormat="false" ht="13.8" hidden="true" customHeight="false" outlineLevel="0" collapsed="false">
      <c r="A1446" s="117" t="n">
        <v>1000</v>
      </c>
      <c r="B1446" s="117" t="s">
        <v>1962</v>
      </c>
      <c r="C1446" s="117" t="n">
        <v>100310136</v>
      </c>
      <c r="E1446" s="117" t="s">
        <v>1921</v>
      </c>
      <c r="F1446" s="117" t="n">
        <v>1106</v>
      </c>
      <c r="G1446" s="117" t="n">
        <v>2019</v>
      </c>
      <c r="H1446" s="117" t="n">
        <v>12</v>
      </c>
      <c r="I1446" s="118" t="n">
        <v>43920</v>
      </c>
      <c r="J1446" s="118" t="n">
        <v>43920</v>
      </c>
      <c r="K1446" s="119" t="n">
        <v>-21099.04</v>
      </c>
      <c r="L1446" s="128" t="n">
        <f aca="false">K1446-Q1446+T1446</f>
        <v>-21099.04</v>
      </c>
      <c r="M1446" s="117" t="s">
        <v>149</v>
      </c>
      <c r="N1446" s="117" t="n">
        <v>-21099.04</v>
      </c>
      <c r="O1446" s="117" t="s">
        <v>149</v>
      </c>
      <c r="P1446" s="117" t="n">
        <v>0</v>
      </c>
      <c r="Q1446" s="117" t="n">
        <v>0</v>
      </c>
      <c r="R1446" s="117" t="n">
        <v>-21099.04</v>
      </c>
      <c r="S1446" s="117" t="n">
        <v>0</v>
      </c>
      <c r="T1446" s="117" t="n">
        <v>0</v>
      </c>
      <c r="U1446" s="117" t="n">
        <v>305576</v>
      </c>
      <c r="V1446" s="117" t="s">
        <v>1973</v>
      </c>
      <c r="Z1446" s="117" t="n">
        <v>100310136</v>
      </c>
      <c r="AD1446" s="117" t="n">
        <v>110000</v>
      </c>
      <c r="AE1446" s="117" t="s">
        <v>1966</v>
      </c>
      <c r="AF1446" s="117" t="n">
        <v>310300</v>
      </c>
      <c r="AG1446" s="117" t="s">
        <v>1969</v>
      </c>
      <c r="AI1446" s="117" t="n">
        <v>310300</v>
      </c>
      <c r="AJ1446" s="117" t="s">
        <v>1969</v>
      </c>
      <c r="AK1446" s="117" t="n">
        <v>0</v>
      </c>
      <c r="AL1446" s="117" t="n">
        <v>17</v>
      </c>
      <c r="AM1446" s="117" t="s">
        <v>225</v>
      </c>
      <c r="AP1446" s="117" t="n">
        <v>100310136</v>
      </c>
      <c r="AQ1446" s="118" t="n">
        <v>43920</v>
      </c>
      <c r="AR1446" s="118" t="n">
        <v>43921</v>
      </c>
      <c r="AS1446" s="117" t="n">
        <v>0.481956018518519</v>
      </c>
      <c r="AT1446" s="117" t="n">
        <v>0</v>
      </c>
      <c r="AU1446" s="117" t="n">
        <v>0</v>
      </c>
      <c r="AX1446" s="117" t="n">
        <v>1</v>
      </c>
    </row>
    <row r="1447" customFormat="false" ht="13.8" hidden="true" customHeight="false" outlineLevel="0" collapsed="false">
      <c r="A1447" s="117" t="n">
        <v>1000</v>
      </c>
      <c r="B1447" s="117" t="s">
        <v>1962</v>
      </c>
      <c r="C1447" s="117" t="n">
        <v>100309688</v>
      </c>
      <c r="E1447" s="117" t="s">
        <v>1921</v>
      </c>
      <c r="F1447" s="117" t="n">
        <v>1301</v>
      </c>
      <c r="G1447" s="117" t="n">
        <v>2019</v>
      </c>
      <c r="H1447" s="117" t="n">
        <v>12</v>
      </c>
      <c r="I1447" s="118" t="n">
        <v>43919</v>
      </c>
      <c r="J1447" s="118" t="n">
        <v>43919</v>
      </c>
      <c r="K1447" s="119" t="n">
        <v>-608.48</v>
      </c>
      <c r="L1447" s="128" t="n">
        <f aca="false">K1447-Q1447+T1447</f>
        <v>-608.48</v>
      </c>
      <c r="M1447" s="117" t="s">
        <v>149</v>
      </c>
      <c r="N1447" s="117" t="n">
        <v>-608.48</v>
      </c>
      <c r="O1447" s="117" t="s">
        <v>149</v>
      </c>
      <c r="P1447" s="117" t="n">
        <v>-608.48</v>
      </c>
      <c r="Q1447" s="117" t="n">
        <v>0</v>
      </c>
      <c r="R1447" s="117" t="n">
        <v>-608.48</v>
      </c>
      <c r="S1447" s="117" t="n">
        <v>0</v>
      </c>
      <c r="T1447" s="117" t="n">
        <v>0</v>
      </c>
      <c r="U1447" s="117" t="n">
        <v>312351</v>
      </c>
      <c r="V1447" s="117" t="s">
        <v>2156</v>
      </c>
      <c r="X1447" s="117" t="s">
        <v>2704</v>
      </c>
      <c r="Z1447" s="117" t="n">
        <v>100309688</v>
      </c>
      <c r="AD1447" s="117" t="n">
        <v>310300</v>
      </c>
      <c r="AE1447" s="117" t="s">
        <v>1969</v>
      </c>
      <c r="AF1447" s="117" t="n">
        <v>110000</v>
      </c>
      <c r="AG1447" s="117" t="s">
        <v>1966</v>
      </c>
      <c r="AI1447" s="117" t="n">
        <v>110000</v>
      </c>
      <c r="AJ1447" s="117" t="s">
        <v>1966</v>
      </c>
      <c r="AK1447" s="117" t="n">
        <v>0</v>
      </c>
      <c r="AL1447" s="117" t="n">
        <v>19</v>
      </c>
      <c r="AM1447" s="117" t="s">
        <v>225</v>
      </c>
      <c r="AN1447" s="117" t="s">
        <v>1978</v>
      </c>
      <c r="AP1447" s="117" t="n">
        <v>100310138</v>
      </c>
      <c r="AQ1447" s="118" t="n">
        <v>43920</v>
      </c>
      <c r="AR1447" s="118" t="n">
        <v>43920</v>
      </c>
      <c r="AS1447" s="117" t="n">
        <v>0.232141203703704</v>
      </c>
      <c r="AT1447" s="117" t="n">
        <v>0</v>
      </c>
      <c r="AU1447" s="117" t="n">
        <v>0</v>
      </c>
      <c r="AX1447" s="117" t="n">
        <v>2</v>
      </c>
    </row>
    <row r="1448" customFormat="false" ht="13.8" hidden="true" customHeight="false" outlineLevel="0" collapsed="false">
      <c r="A1448" s="117" t="n">
        <v>1000</v>
      </c>
      <c r="B1448" s="117" t="s">
        <v>1962</v>
      </c>
      <c r="C1448" s="117" t="n">
        <v>100310136</v>
      </c>
      <c r="E1448" s="117" t="s">
        <v>1921</v>
      </c>
      <c r="F1448" s="117" t="n">
        <v>1101</v>
      </c>
      <c r="G1448" s="117" t="n">
        <v>2019</v>
      </c>
      <c r="H1448" s="117" t="n">
        <v>12</v>
      </c>
      <c r="I1448" s="118" t="n">
        <v>43920</v>
      </c>
      <c r="J1448" s="118" t="n">
        <v>43920</v>
      </c>
      <c r="K1448" s="119" t="n">
        <v>21099.04</v>
      </c>
      <c r="L1448" s="128" t="n">
        <f aca="false">K1448-Q1448+T1448</f>
        <v>21099.04</v>
      </c>
      <c r="M1448" s="117" t="s">
        <v>149</v>
      </c>
      <c r="N1448" s="117" t="n">
        <v>21099.04</v>
      </c>
      <c r="O1448" s="117" t="s">
        <v>149</v>
      </c>
      <c r="P1448" s="117" t="n">
        <v>0</v>
      </c>
      <c r="Q1448" s="117" t="n">
        <v>0</v>
      </c>
      <c r="R1448" s="117" t="n">
        <v>21099.04</v>
      </c>
      <c r="S1448" s="117" t="n">
        <v>0</v>
      </c>
      <c r="T1448" s="117" t="n">
        <v>0</v>
      </c>
      <c r="U1448" s="117" t="n">
        <v>305576</v>
      </c>
      <c r="V1448" s="117" t="s">
        <v>1973</v>
      </c>
      <c r="Z1448" s="117" t="n">
        <v>100310136</v>
      </c>
      <c r="AD1448" s="117" t="n">
        <v>310300</v>
      </c>
      <c r="AE1448" s="117" t="s">
        <v>1969</v>
      </c>
      <c r="AF1448" s="117" t="n">
        <v>110000</v>
      </c>
      <c r="AG1448" s="117" t="s">
        <v>1966</v>
      </c>
      <c r="AI1448" s="117" t="n">
        <v>110000</v>
      </c>
      <c r="AJ1448" s="117" t="s">
        <v>1966</v>
      </c>
      <c r="AK1448" s="117" t="n">
        <v>0</v>
      </c>
      <c r="AL1448" s="117" t="n">
        <v>9</v>
      </c>
      <c r="AM1448" s="117" t="s">
        <v>161</v>
      </c>
      <c r="AN1448" s="117" t="s">
        <v>1978</v>
      </c>
      <c r="AP1448" s="117" t="n">
        <v>100310136</v>
      </c>
      <c r="AQ1448" s="118" t="n">
        <v>43920</v>
      </c>
      <c r="AR1448" s="118" t="n">
        <v>43921</v>
      </c>
      <c r="AS1448" s="117" t="n">
        <v>0.481956018518519</v>
      </c>
      <c r="AT1448" s="117" t="n">
        <v>0</v>
      </c>
      <c r="AU1448" s="117" t="n">
        <v>0</v>
      </c>
      <c r="AX1448" s="117" t="n">
        <v>2</v>
      </c>
    </row>
    <row r="1449" customFormat="false" ht="13.8" hidden="true" customHeight="false" outlineLevel="0" collapsed="false">
      <c r="A1449" s="117" t="n">
        <v>1000</v>
      </c>
      <c r="B1449" s="117" t="s">
        <v>1962</v>
      </c>
      <c r="C1449" s="117" t="n">
        <v>100310138</v>
      </c>
      <c r="E1449" s="117" t="s">
        <v>1921</v>
      </c>
      <c r="F1449" s="117" t="n">
        <v>1106</v>
      </c>
      <c r="G1449" s="117" t="n">
        <v>2019</v>
      </c>
      <c r="H1449" s="117" t="n">
        <v>12</v>
      </c>
      <c r="I1449" s="118" t="n">
        <v>43920</v>
      </c>
      <c r="J1449" s="118" t="n">
        <v>43920</v>
      </c>
      <c r="K1449" s="119" t="n">
        <v>21169.04</v>
      </c>
      <c r="L1449" s="128" t="n">
        <f aca="false">K1449-Q1449+T1449</f>
        <v>21169.04</v>
      </c>
      <c r="M1449" s="117" t="s">
        <v>149</v>
      </c>
      <c r="N1449" s="117" t="n">
        <v>21169.04</v>
      </c>
      <c r="O1449" s="117" t="s">
        <v>149</v>
      </c>
      <c r="P1449" s="117" t="n">
        <v>0</v>
      </c>
      <c r="Q1449" s="117" t="n">
        <v>0</v>
      </c>
      <c r="R1449" s="117" t="n">
        <v>21169.04</v>
      </c>
      <c r="S1449" s="117" t="n">
        <v>0</v>
      </c>
      <c r="T1449" s="117" t="n">
        <v>0</v>
      </c>
      <c r="U1449" s="117" t="n">
        <v>312351</v>
      </c>
      <c r="V1449" s="117" t="s">
        <v>2156</v>
      </c>
      <c r="Z1449" s="117" t="n">
        <v>100310138</v>
      </c>
      <c r="AD1449" s="117" t="n">
        <v>310300</v>
      </c>
      <c r="AE1449" s="117" t="s">
        <v>1969</v>
      </c>
      <c r="AF1449" s="117" t="n">
        <v>110000</v>
      </c>
      <c r="AG1449" s="117" t="s">
        <v>1966</v>
      </c>
      <c r="AI1449" s="117" t="n">
        <v>110000</v>
      </c>
      <c r="AJ1449" s="117" t="s">
        <v>1966</v>
      </c>
      <c r="AK1449" s="117" t="n">
        <v>0</v>
      </c>
      <c r="AL1449" s="117" t="n">
        <v>9</v>
      </c>
      <c r="AM1449" s="117" t="s">
        <v>161</v>
      </c>
      <c r="AN1449" s="117" t="s">
        <v>1978</v>
      </c>
      <c r="AP1449" s="117" t="n">
        <v>100310138</v>
      </c>
      <c r="AQ1449" s="118" t="n">
        <v>43920</v>
      </c>
      <c r="AR1449" s="118" t="n">
        <v>43921</v>
      </c>
      <c r="AS1449" s="117" t="n">
        <v>0.483043981481482</v>
      </c>
      <c r="AT1449" s="117" t="n">
        <v>0</v>
      </c>
      <c r="AU1449" s="117" t="n">
        <v>0</v>
      </c>
      <c r="AX1449" s="117" t="n">
        <v>4</v>
      </c>
    </row>
    <row r="1450" customFormat="false" ht="13.8" hidden="true" customHeight="false" outlineLevel="0" collapsed="false">
      <c r="A1450" s="117" t="n">
        <v>1000</v>
      </c>
      <c r="B1450" s="117" t="s">
        <v>1962</v>
      </c>
      <c r="C1450" s="117" t="n">
        <v>100309688</v>
      </c>
      <c r="E1450" s="117" t="s">
        <v>1921</v>
      </c>
      <c r="F1450" s="117" t="n">
        <v>1101</v>
      </c>
      <c r="G1450" s="117" t="n">
        <v>2019</v>
      </c>
      <c r="H1450" s="117" t="n">
        <v>12</v>
      </c>
      <c r="I1450" s="118" t="n">
        <v>43919</v>
      </c>
      <c r="J1450" s="118" t="n">
        <v>43919</v>
      </c>
      <c r="K1450" s="119" t="n">
        <v>25000</v>
      </c>
      <c r="L1450" s="128" t="n">
        <f aca="false">K1450-Q1450+T1450</f>
        <v>25000</v>
      </c>
      <c r="M1450" s="117" t="s">
        <v>149</v>
      </c>
      <c r="N1450" s="117" t="n">
        <v>25000</v>
      </c>
      <c r="O1450" s="117" t="s">
        <v>149</v>
      </c>
      <c r="P1450" s="117" t="n">
        <v>0</v>
      </c>
      <c r="Q1450" s="117" t="n">
        <v>0</v>
      </c>
      <c r="R1450" s="117" t="n">
        <v>25000</v>
      </c>
      <c r="S1450" s="117" t="n">
        <v>0</v>
      </c>
      <c r="T1450" s="117" t="n">
        <v>0</v>
      </c>
      <c r="U1450" s="117" t="n">
        <v>312351</v>
      </c>
      <c r="V1450" s="117" t="s">
        <v>2156</v>
      </c>
      <c r="X1450" s="117" t="s">
        <v>2705</v>
      </c>
      <c r="Z1450" s="117" t="n">
        <v>2037</v>
      </c>
      <c r="AB1450" s="117" t="n">
        <v>3800012477</v>
      </c>
      <c r="AD1450" s="117" t="n">
        <v>110000</v>
      </c>
      <c r="AE1450" s="117" t="s">
        <v>1966</v>
      </c>
      <c r="AF1450" s="117" t="n">
        <v>310300</v>
      </c>
      <c r="AG1450" s="117" t="s">
        <v>1969</v>
      </c>
      <c r="AI1450" s="117" t="n">
        <v>310300</v>
      </c>
      <c r="AJ1450" s="117" t="s">
        <v>1969</v>
      </c>
      <c r="AK1450" s="117" t="n">
        <v>0</v>
      </c>
      <c r="AL1450" s="117" t="n">
        <v>4</v>
      </c>
      <c r="AM1450" s="117" t="s">
        <v>161</v>
      </c>
      <c r="AP1450" s="117" t="n">
        <v>100310138</v>
      </c>
      <c r="AQ1450" s="118" t="n">
        <v>43920</v>
      </c>
      <c r="AR1450" s="118" t="n">
        <v>43920</v>
      </c>
      <c r="AS1450" s="117" t="n">
        <v>0.232141203703704</v>
      </c>
      <c r="AT1450" s="117" t="n">
        <v>0</v>
      </c>
      <c r="AU1450" s="117" t="n">
        <v>0</v>
      </c>
      <c r="AX1450" s="117" t="n">
        <v>1</v>
      </c>
    </row>
    <row r="1451" customFormat="false" ht="13.8" hidden="true" customHeight="false" outlineLevel="0" collapsed="false">
      <c r="A1451" s="117" t="n">
        <v>1000</v>
      </c>
      <c r="B1451" s="117" t="s">
        <v>1962</v>
      </c>
      <c r="C1451" s="117" t="n">
        <v>100310138</v>
      </c>
      <c r="E1451" s="117" t="s">
        <v>1921</v>
      </c>
      <c r="F1451" s="117" t="n">
        <v>1101</v>
      </c>
      <c r="G1451" s="117" t="n">
        <v>2019</v>
      </c>
      <c r="H1451" s="117" t="n">
        <v>12</v>
      </c>
      <c r="I1451" s="118" t="n">
        <v>43920</v>
      </c>
      <c r="J1451" s="118" t="n">
        <v>43920</v>
      </c>
      <c r="K1451" s="119" t="n">
        <v>1316</v>
      </c>
      <c r="L1451" s="128" t="n">
        <f aca="false">K1451-Q1451+T1451</f>
        <v>1316</v>
      </c>
      <c r="M1451" s="117" t="s">
        <v>149</v>
      </c>
      <c r="N1451" s="117" t="n">
        <v>1316</v>
      </c>
      <c r="O1451" s="117" t="s">
        <v>149</v>
      </c>
      <c r="P1451" s="117" t="n">
        <v>0</v>
      </c>
      <c r="Q1451" s="117" t="n">
        <v>0</v>
      </c>
      <c r="R1451" s="117" t="n">
        <v>1316</v>
      </c>
      <c r="S1451" s="117" t="n">
        <v>0</v>
      </c>
      <c r="T1451" s="117" t="n">
        <v>0</v>
      </c>
      <c r="U1451" s="117" t="n">
        <v>312351</v>
      </c>
      <c r="V1451" s="117" t="s">
        <v>2156</v>
      </c>
      <c r="Z1451" s="117" t="n">
        <v>100310138</v>
      </c>
      <c r="AD1451" s="117" t="n">
        <v>310300</v>
      </c>
      <c r="AE1451" s="117" t="s">
        <v>1969</v>
      </c>
      <c r="AF1451" s="117" t="n">
        <v>110000</v>
      </c>
      <c r="AG1451" s="117" t="s">
        <v>1966</v>
      </c>
      <c r="AI1451" s="117" t="n">
        <v>110000</v>
      </c>
      <c r="AJ1451" s="117" t="s">
        <v>1966</v>
      </c>
      <c r="AK1451" s="117" t="n">
        <v>0</v>
      </c>
      <c r="AL1451" s="117" t="n">
        <v>9</v>
      </c>
      <c r="AM1451" s="117" t="s">
        <v>161</v>
      </c>
      <c r="AN1451" s="117" t="s">
        <v>1978</v>
      </c>
      <c r="AP1451" s="117" t="n">
        <v>100310138</v>
      </c>
      <c r="AQ1451" s="118" t="n">
        <v>43920</v>
      </c>
      <c r="AR1451" s="118" t="n">
        <v>43921</v>
      </c>
      <c r="AS1451" s="117" t="n">
        <v>0.483043981481482</v>
      </c>
      <c r="AT1451" s="117" t="n">
        <v>0</v>
      </c>
      <c r="AU1451" s="117" t="n">
        <v>0</v>
      </c>
      <c r="AX1451" s="117" t="n">
        <v>3</v>
      </c>
    </row>
    <row r="1452" customFormat="false" ht="13.8" hidden="true" customHeight="false" outlineLevel="0" collapsed="false">
      <c r="A1452" s="117" t="n">
        <v>1000</v>
      </c>
      <c r="B1452" s="117" t="s">
        <v>1962</v>
      </c>
      <c r="C1452" s="117" t="n">
        <v>100312134</v>
      </c>
      <c r="E1452" s="117" t="s">
        <v>1921</v>
      </c>
      <c r="F1452" s="117" t="n">
        <v>1109</v>
      </c>
      <c r="G1452" s="117" t="n">
        <v>2019</v>
      </c>
      <c r="H1452" s="117" t="n">
        <v>12</v>
      </c>
      <c r="I1452" s="118" t="n">
        <v>43921</v>
      </c>
      <c r="J1452" s="118" t="n">
        <v>43921</v>
      </c>
      <c r="K1452" s="119" t="n">
        <v>-907692.58</v>
      </c>
      <c r="L1452" s="128" t="n">
        <f aca="false">K1452-Q1452+T1452</f>
        <v>-907692.58</v>
      </c>
      <c r="M1452" s="117" t="s">
        <v>149</v>
      </c>
      <c r="N1452" s="117" t="n">
        <v>-907692.58</v>
      </c>
      <c r="O1452" s="117" t="s">
        <v>149</v>
      </c>
      <c r="P1452" s="117" t="n">
        <v>0</v>
      </c>
      <c r="Q1452" s="117" t="n">
        <v>0</v>
      </c>
      <c r="R1452" s="117" t="n">
        <v>-907692.58</v>
      </c>
      <c r="S1452" s="117" t="n">
        <v>0</v>
      </c>
      <c r="T1452" s="117" t="n">
        <v>0</v>
      </c>
      <c r="U1452" s="117" t="n">
        <v>312193</v>
      </c>
      <c r="V1452" s="117" t="s">
        <v>1963</v>
      </c>
      <c r="Z1452" s="117" t="n">
        <v>100312134</v>
      </c>
      <c r="AD1452" s="117" t="n">
        <v>110000</v>
      </c>
      <c r="AE1452" s="117" t="s">
        <v>1966</v>
      </c>
      <c r="AF1452" s="117" t="n">
        <v>110000</v>
      </c>
      <c r="AG1452" s="117" t="s">
        <v>1966</v>
      </c>
      <c r="AI1452" s="117" t="n">
        <v>110000</v>
      </c>
      <c r="AJ1452" s="117" t="s">
        <v>1966</v>
      </c>
      <c r="AK1452" s="117" t="n">
        <v>0</v>
      </c>
      <c r="AL1452" s="117" t="n">
        <v>17</v>
      </c>
      <c r="AM1452" s="117" t="s">
        <v>225</v>
      </c>
      <c r="AP1452" s="117" t="n">
        <v>100312134</v>
      </c>
      <c r="AQ1452" s="118" t="n">
        <v>43921</v>
      </c>
      <c r="AR1452" s="118" t="n">
        <v>43922</v>
      </c>
      <c r="AS1452" s="117" t="n">
        <v>0.236712962962963</v>
      </c>
      <c r="AT1452" s="117" t="n">
        <v>0</v>
      </c>
      <c r="AU1452" s="117" t="n">
        <v>0</v>
      </c>
      <c r="AX1452" s="117" t="n">
        <v>3</v>
      </c>
    </row>
    <row r="1453" customFormat="false" ht="13.8" hidden="true" customHeight="false" outlineLevel="0" collapsed="false">
      <c r="A1453" s="117" t="n">
        <v>1000</v>
      </c>
      <c r="B1453" s="117" t="s">
        <v>1962</v>
      </c>
      <c r="C1453" s="117" t="n">
        <v>100309688</v>
      </c>
      <c r="E1453" s="117" t="s">
        <v>1921</v>
      </c>
      <c r="F1453" s="117" t="n">
        <v>1106</v>
      </c>
      <c r="G1453" s="117" t="n">
        <v>2019</v>
      </c>
      <c r="H1453" s="117" t="n">
        <v>12</v>
      </c>
      <c r="I1453" s="118" t="n">
        <v>43919</v>
      </c>
      <c r="J1453" s="118" t="n">
        <v>43919</v>
      </c>
      <c r="K1453" s="119" t="n">
        <v>10109.35</v>
      </c>
      <c r="L1453" s="128" t="n">
        <f aca="false">K1453-Q1453+T1453</f>
        <v>10109.35</v>
      </c>
      <c r="M1453" s="117" t="s">
        <v>149</v>
      </c>
      <c r="N1453" s="117" t="n">
        <v>10109.35</v>
      </c>
      <c r="O1453" s="117" t="s">
        <v>149</v>
      </c>
      <c r="P1453" s="117" t="n">
        <v>0</v>
      </c>
      <c r="Q1453" s="117" t="n">
        <v>0</v>
      </c>
      <c r="R1453" s="117" t="n">
        <v>10109.35</v>
      </c>
      <c r="S1453" s="117" t="n">
        <v>0</v>
      </c>
      <c r="T1453" s="117" t="n">
        <v>0</v>
      </c>
      <c r="U1453" s="117" t="n">
        <v>312351</v>
      </c>
      <c r="V1453" s="117" t="s">
        <v>2156</v>
      </c>
      <c r="Z1453" s="117" t="n">
        <v>100309688</v>
      </c>
      <c r="AD1453" s="117" t="n">
        <v>310300</v>
      </c>
      <c r="AE1453" s="117" t="s">
        <v>1969</v>
      </c>
      <c r="AF1453" s="117" t="n">
        <v>310300</v>
      </c>
      <c r="AG1453" s="117" t="s">
        <v>1969</v>
      </c>
      <c r="AI1453" s="117" t="n">
        <v>310300</v>
      </c>
      <c r="AJ1453" s="117" t="s">
        <v>1969</v>
      </c>
      <c r="AK1453" s="117" t="n">
        <v>0</v>
      </c>
      <c r="AL1453" s="117" t="n">
        <v>9</v>
      </c>
      <c r="AM1453" s="117" t="s">
        <v>161</v>
      </c>
      <c r="AN1453" s="117" t="s">
        <v>1978</v>
      </c>
      <c r="AP1453" s="117" t="n">
        <v>100309688</v>
      </c>
      <c r="AQ1453" s="118" t="n">
        <v>43919</v>
      </c>
      <c r="AR1453" s="118" t="n">
        <v>43920</v>
      </c>
      <c r="AS1453" s="117" t="n">
        <v>0.232141203703704</v>
      </c>
      <c r="AT1453" s="117" t="n">
        <v>0</v>
      </c>
      <c r="AU1453" s="117" t="n">
        <v>0</v>
      </c>
      <c r="AX1453" s="117" t="n">
        <v>5</v>
      </c>
    </row>
    <row r="1454" customFormat="false" ht="13.8" hidden="true" customHeight="false" outlineLevel="0" collapsed="false">
      <c r="A1454" s="117" t="n">
        <v>1000</v>
      </c>
      <c r="B1454" s="117" t="s">
        <v>1962</v>
      </c>
      <c r="C1454" s="117" t="n">
        <v>100309688</v>
      </c>
      <c r="E1454" s="117" t="s">
        <v>1921</v>
      </c>
      <c r="F1454" s="117" t="n">
        <v>1301</v>
      </c>
      <c r="G1454" s="117" t="n">
        <v>2019</v>
      </c>
      <c r="H1454" s="117" t="n">
        <v>12</v>
      </c>
      <c r="I1454" s="118" t="n">
        <v>43919</v>
      </c>
      <c r="J1454" s="118" t="n">
        <v>43919</v>
      </c>
      <c r="K1454" s="119" t="n">
        <v>8553</v>
      </c>
      <c r="L1454" s="128" t="n">
        <f aca="false">K1454-Q1454+T1454</f>
        <v>8553</v>
      </c>
      <c r="M1454" s="117" t="s">
        <v>149</v>
      </c>
      <c r="N1454" s="117" t="n">
        <v>8553</v>
      </c>
      <c r="O1454" s="117" t="s">
        <v>149</v>
      </c>
      <c r="P1454" s="117" t="n">
        <v>0</v>
      </c>
      <c r="Q1454" s="117" t="n">
        <v>0</v>
      </c>
      <c r="R1454" s="117" t="n">
        <v>8553</v>
      </c>
      <c r="S1454" s="117" t="n">
        <v>0</v>
      </c>
      <c r="T1454" s="117" t="n">
        <v>0</v>
      </c>
      <c r="U1454" s="117" t="n">
        <v>312351</v>
      </c>
      <c r="V1454" s="117" t="s">
        <v>2156</v>
      </c>
      <c r="Z1454" s="117" t="n">
        <v>100309688</v>
      </c>
      <c r="AD1454" s="117" t="n">
        <v>310300</v>
      </c>
      <c r="AE1454" s="117" t="s">
        <v>1969</v>
      </c>
      <c r="AF1454" s="117" t="n">
        <v>310300</v>
      </c>
      <c r="AG1454" s="117" t="s">
        <v>1969</v>
      </c>
      <c r="AI1454" s="117" t="n">
        <v>310300</v>
      </c>
      <c r="AJ1454" s="117" t="s">
        <v>1969</v>
      </c>
      <c r="AK1454" s="117" t="n">
        <v>0</v>
      </c>
      <c r="AL1454" s="117" t="n">
        <v>9</v>
      </c>
      <c r="AM1454" s="117" t="s">
        <v>161</v>
      </c>
      <c r="AN1454" s="117" t="s">
        <v>1978</v>
      </c>
      <c r="AP1454" s="117" t="n">
        <v>100309688</v>
      </c>
      <c r="AQ1454" s="118" t="n">
        <v>43919</v>
      </c>
      <c r="AR1454" s="118" t="n">
        <v>43920</v>
      </c>
      <c r="AS1454" s="117" t="n">
        <v>0.232141203703704</v>
      </c>
      <c r="AT1454" s="117" t="n">
        <v>0</v>
      </c>
      <c r="AU1454" s="117" t="n">
        <v>0</v>
      </c>
      <c r="AX1454" s="117" t="n">
        <v>6</v>
      </c>
    </row>
    <row r="1455" customFormat="false" ht="13.8" hidden="true" customHeight="false" outlineLevel="0" collapsed="false">
      <c r="A1455" s="117" t="n">
        <v>1000</v>
      </c>
      <c r="B1455" s="117" t="s">
        <v>1962</v>
      </c>
      <c r="C1455" s="117" t="n">
        <v>100312134</v>
      </c>
      <c r="E1455" s="117" t="s">
        <v>1921</v>
      </c>
      <c r="F1455" s="117" t="n">
        <v>1109</v>
      </c>
      <c r="G1455" s="117" t="n">
        <v>2019</v>
      </c>
      <c r="H1455" s="117" t="n">
        <v>12</v>
      </c>
      <c r="I1455" s="118" t="n">
        <v>43921</v>
      </c>
      <c r="J1455" s="118" t="n">
        <v>43921</v>
      </c>
      <c r="K1455" s="119" t="n">
        <v>417963.08</v>
      </c>
      <c r="L1455" s="128" t="n">
        <f aca="false">K1455-Q1455+T1455</f>
        <v>417963.08</v>
      </c>
      <c r="M1455" s="117" t="s">
        <v>149</v>
      </c>
      <c r="N1455" s="117" t="n">
        <v>417963.08</v>
      </c>
      <c r="O1455" s="117" t="s">
        <v>149</v>
      </c>
      <c r="P1455" s="117" t="n">
        <v>0</v>
      </c>
      <c r="Q1455" s="117" t="n">
        <v>0</v>
      </c>
      <c r="R1455" s="117" t="n">
        <v>417963.08</v>
      </c>
      <c r="S1455" s="117" t="n">
        <v>0</v>
      </c>
      <c r="T1455" s="117" t="n">
        <v>0</v>
      </c>
      <c r="U1455" s="117" t="n">
        <v>312193</v>
      </c>
      <c r="V1455" s="117" t="s">
        <v>1963</v>
      </c>
      <c r="X1455" s="117" t="s">
        <v>2693</v>
      </c>
      <c r="Z1455" s="117" t="n">
        <v>2525</v>
      </c>
      <c r="AB1455" s="117" t="s">
        <v>2660</v>
      </c>
      <c r="AD1455" s="117" t="n">
        <v>110000</v>
      </c>
      <c r="AE1455" s="117" t="s">
        <v>1966</v>
      </c>
      <c r="AF1455" s="117" t="n">
        <v>110000</v>
      </c>
      <c r="AG1455" s="117" t="s">
        <v>1966</v>
      </c>
      <c r="AI1455" s="117" t="n">
        <v>110000</v>
      </c>
      <c r="AJ1455" s="117" t="s">
        <v>1966</v>
      </c>
      <c r="AK1455" s="117" t="n">
        <v>0</v>
      </c>
      <c r="AL1455" s="117" t="n">
        <v>4</v>
      </c>
      <c r="AM1455" s="117" t="s">
        <v>161</v>
      </c>
      <c r="AR1455" s="118" t="n">
        <v>43922</v>
      </c>
      <c r="AS1455" s="117" t="n">
        <v>0.236712962962963</v>
      </c>
      <c r="AT1455" s="117" t="n">
        <v>0</v>
      </c>
      <c r="AU1455" s="117" t="n">
        <v>0</v>
      </c>
      <c r="AX1455" s="117" t="n">
        <v>2</v>
      </c>
    </row>
    <row r="1456" customFormat="false" ht="13.8" hidden="true" customHeight="false" outlineLevel="0" collapsed="false">
      <c r="A1456" s="117" t="n">
        <v>1000</v>
      </c>
      <c r="B1456" s="117" t="s">
        <v>1962</v>
      </c>
      <c r="C1456" s="117" t="n">
        <v>100312159</v>
      </c>
      <c r="E1456" s="117" t="s">
        <v>1921</v>
      </c>
      <c r="F1456" s="117" t="n">
        <v>1109</v>
      </c>
      <c r="G1456" s="117" t="n">
        <v>2019</v>
      </c>
      <c r="H1456" s="117" t="n">
        <v>12</v>
      </c>
      <c r="I1456" s="118" t="n">
        <v>43921</v>
      </c>
      <c r="J1456" s="118" t="n">
        <v>43921</v>
      </c>
      <c r="K1456" s="119" t="n">
        <v>-107380</v>
      </c>
      <c r="L1456" s="128" t="n">
        <f aca="false">K1456-Q1456+T1456</f>
        <v>-107380</v>
      </c>
      <c r="M1456" s="117" t="s">
        <v>149</v>
      </c>
      <c r="N1456" s="117" t="n">
        <v>-107380</v>
      </c>
      <c r="O1456" s="117" t="s">
        <v>149</v>
      </c>
      <c r="P1456" s="117" t="n">
        <v>0</v>
      </c>
      <c r="Q1456" s="117" t="n">
        <v>0</v>
      </c>
      <c r="R1456" s="117" t="n">
        <v>-107380</v>
      </c>
      <c r="S1456" s="117" t="n">
        <v>0</v>
      </c>
      <c r="T1456" s="117" t="n">
        <v>0</v>
      </c>
      <c r="U1456" s="117" t="n">
        <v>304431</v>
      </c>
      <c r="V1456" s="117" t="s">
        <v>2016</v>
      </c>
      <c r="Z1456" s="117" t="n">
        <v>100312159</v>
      </c>
      <c r="AD1456" s="117" t="n">
        <v>110000</v>
      </c>
      <c r="AE1456" s="117" t="s">
        <v>1966</v>
      </c>
      <c r="AF1456" s="117" t="n">
        <v>110000</v>
      </c>
      <c r="AG1456" s="117" t="s">
        <v>1966</v>
      </c>
      <c r="AI1456" s="117" t="n">
        <v>110000</v>
      </c>
      <c r="AJ1456" s="117" t="s">
        <v>1966</v>
      </c>
      <c r="AK1456" s="117" t="n">
        <v>0</v>
      </c>
      <c r="AL1456" s="117" t="n">
        <v>17</v>
      </c>
      <c r="AM1456" s="117" t="s">
        <v>225</v>
      </c>
      <c r="AP1456" s="117" t="n">
        <v>100312159</v>
      </c>
      <c r="AQ1456" s="118" t="n">
        <v>43921</v>
      </c>
      <c r="AR1456" s="118" t="n">
        <v>43922</v>
      </c>
      <c r="AS1456" s="117" t="n">
        <v>0.298344907407407</v>
      </c>
      <c r="AT1456" s="117" t="n">
        <v>0</v>
      </c>
      <c r="AU1456" s="117" t="n">
        <v>0</v>
      </c>
      <c r="AX1456" s="117" t="n">
        <v>2</v>
      </c>
    </row>
    <row r="1457" customFormat="false" ht="13.8" hidden="true" customHeight="false" outlineLevel="0" collapsed="false">
      <c r="A1457" s="117" t="n">
        <v>1000</v>
      </c>
      <c r="B1457" s="117" t="s">
        <v>1962</v>
      </c>
      <c r="C1457" s="117" t="n">
        <v>100310138</v>
      </c>
      <c r="E1457" s="117" t="s">
        <v>1921</v>
      </c>
      <c r="F1457" s="117" t="n">
        <v>1301</v>
      </c>
      <c r="G1457" s="117" t="n">
        <v>2019</v>
      </c>
      <c r="H1457" s="117" t="n">
        <v>12</v>
      </c>
      <c r="I1457" s="118" t="n">
        <v>43920</v>
      </c>
      <c r="J1457" s="118" t="n">
        <v>43920</v>
      </c>
      <c r="K1457" s="119" t="n">
        <v>1060.48</v>
      </c>
      <c r="L1457" s="128" t="n">
        <f aca="false">K1457-Q1457+T1457</f>
        <v>1060.48</v>
      </c>
      <c r="M1457" s="117" t="s">
        <v>149</v>
      </c>
      <c r="N1457" s="117" t="n">
        <v>1060.48</v>
      </c>
      <c r="O1457" s="117" t="s">
        <v>149</v>
      </c>
      <c r="P1457" s="117" t="n">
        <v>0</v>
      </c>
      <c r="Q1457" s="117" t="n">
        <v>0</v>
      </c>
      <c r="R1457" s="117" t="n">
        <v>1060.48</v>
      </c>
      <c r="S1457" s="117" t="n">
        <v>0</v>
      </c>
      <c r="T1457" s="117" t="n">
        <v>0</v>
      </c>
      <c r="U1457" s="117" t="n">
        <v>312351</v>
      </c>
      <c r="V1457" s="117" t="s">
        <v>2156</v>
      </c>
      <c r="Z1457" s="117" t="n">
        <v>100310138</v>
      </c>
      <c r="AD1457" s="117" t="n">
        <v>310300</v>
      </c>
      <c r="AE1457" s="117" t="s">
        <v>1969</v>
      </c>
      <c r="AF1457" s="117" t="n">
        <v>110000</v>
      </c>
      <c r="AG1457" s="117" t="s">
        <v>1966</v>
      </c>
      <c r="AI1457" s="117" t="n">
        <v>110000</v>
      </c>
      <c r="AJ1457" s="117" t="s">
        <v>1966</v>
      </c>
      <c r="AK1457" s="117" t="n">
        <v>0</v>
      </c>
      <c r="AL1457" s="117" t="n">
        <v>9</v>
      </c>
      <c r="AM1457" s="117" t="s">
        <v>161</v>
      </c>
      <c r="AN1457" s="117" t="s">
        <v>1978</v>
      </c>
      <c r="AP1457" s="117" t="n">
        <v>100310138</v>
      </c>
      <c r="AQ1457" s="118" t="n">
        <v>43920</v>
      </c>
      <c r="AR1457" s="118" t="n">
        <v>43921</v>
      </c>
      <c r="AS1457" s="117" t="n">
        <v>0.483043981481482</v>
      </c>
      <c r="AT1457" s="117" t="n">
        <v>0</v>
      </c>
      <c r="AU1457" s="117" t="n">
        <v>0</v>
      </c>
      <c r="AX1457" s="117" t="n">
        <v>6</v>
      </c>
    </row>
    <row r="1458" customFormat="false" ht="13.8" hidden="true" customHeight="false" outlineLevel="0" collapsed="false">
      <c r="A1458" s="117" t="n">
        <v>1000</v>
      </c>
      <c r="B1458" s="117" t="s">
        <v>1962</v>
      </c>
      <c r="C1458" s="117" t="n">
        <v>100312610</v>
      </c>
      <c r="D1458" s="117" t="s">
        <v>2706</v>
      </c>
      <c r="E1458" s="117" t="s">
        <v>1903</v>
      </c>
      <c r="F1458" s="117" t="n">
        <v>1101</v>
      </c>
      <c r="G1458" s="117" t="n">
        <v>2019</v>
      </c>
      <c r="H1458" s="117" t="n">
        <v>12</v>
      </c>
      <c r="I1458" s="118" t="n">
        <v>43921</v>
      </c>
      <c r="J1458" s="118" t="n">
        <v>43921</v>
      </c>
      <c r="K1458" s="119" t="n">
        <v>-25000</v>
      </c>
      <c r="L1458" s="128" t="n">
        <f aca="false">K1458-Q1458+T1458</f>
        <v>-25000</v>
      </c>
      <c r="M1458" s="117" t="s">
        <v>149</v>
      </c>
      <c r="N1458" s="117" t="n">
        <v>-25000</v>
      </c>
      <c r="O1458" s="117" t="s">
        <v>149</v>
      </c>
      <c r="P1458" s="117" t="n">
        <v>-25000</v>
      </c>
      <c r="Q1458" s="117" t="n">
        <v>0</v>
      </c>
      <c r="R1458" s="117" t="n">
        <v>-25000</v>
      </c>
      <c r="S1458" s="117" t="n">
        <v>0</v>
      </c>
      <c r="T1458" s="117" t="n">
        <v>0</v>
      </c>
      <c r="U1458" s="117" t="n">
        <v>312351</v>
      </c>
      <c r="V1458" s="117" t="s">
        <v>2156</v>
      </c>
      <c r="Y1458" s="117" t="s">
        <v>2707</v>
      </c>
      <c r="Z1458" s="117" t="n">
        <v>100312610</v>
      </c>
      <c r="AD1458" s="117" t="n">
        <v>310300</v>
      </c>
      <c r="AE1458" s="117" t="s">
        <v>1969</v>
      </c>
      <c r="AF1458" s="117" t="n">
        <v>900183</v>
      </c>
      <c r="AG1458" s="117" t="s">
        <v>2708</v>
      </c>
      <c r="AI1458" s="117" t="n">
        <v>900183</v>
      </c>
      <c r="AJ1458" s="131" t="s">
        <v>2708</v>
      </c>
      <c r="AK1458" s="117" t="n">
        <v>0</v>
      </c>
      <c r="AL1458" s="117" t="n">
        <v>19</v>
      </c>
      <c r="AM1458" s="117" t="s">
        <v>225</v>
      </c>
      <c r="AN1458" s="117" t="s">
        <v>1978</v>
      </c>
      <c r="AP1458" s="117" t="n">
        <v>100312623</v>
      </c>
      <c r="AQ1458" s="118" t="n">
        <v>43921</v>
      </c>
      <c r="AR1458" s="118" t="n">
        <v>43922</v>
      </c>
      <c r="AS1458" s="117" t="n">
        <v>0.388888888888889</v>
      </c>
      <c r="AT1458" s="117" t="n">
        <v>0</v>
      </c>
      <c r="AU1458" s="117" t="n">
        <v>0</v>
      </c>
      <c r="AX1458" s="117" t="n">
        <v>2</v>
      </c>
    </row>
    <row r="1459" customFormat="false" ht="13.8" hidden="true" customHeight="false" outlineLevel="0" collapsed="false">
      <c r="A1459" s="117" t="n">
        <v>1000</v>
      </c>
      <c r="B1459" s="117" t="s">
        <v>1962</v>
      </c>
      <c r="C1459" s="117" t="n">
        <v>100310138</v>
      </c>
      <c r="E1459" s="117" t="s">
        <v>1921</v>
      </c>
      <c r="F1459" s="117" t="n">
        <v>1106</v>
      </c>
      <c r="G1459" s="117" t="n">
        <v>2019</v>
      </c>
      <c r="H1459" s="117" t="n">
        <v>12</v>
      </c>
      <c r="I1459" s="118" t="n">
        <v>43920</v>
      </c>
      <c r="J1459" s="118" t="n">
        <v>43920</v>
      </c>
      <c r="K1459" s="119" t="n">
        <v>278</v>
      </c>
      <c r="L1459" s="128" t="n">
        <f aca="false">K1459-Q1459+T1459</f>
        <v>278</v>
      </c>
      <c r="M1459" s="117" t="s">
        <v>149</v>
      </c>
      <c r="N1459" s="117" t="n">
        <v>278</v>
      </c>
      <c r="O1459" s="117" t="s">
        <v>149</v>
      </c>
      <c r="P1459" s="117" t="n">
        <v>0</v>
      </c>
      <c r="Q1459" s="117" t="n">
        <v>0</v>
      </c>
      <c r="R1459" s="117" t="n">
        <v>278</v>
      </c>
      <c r="S1459" s="117" t="n">
        <v>0</v>
      </c>
      <c r="T1459" s="117" t="n">
        <v>0</v>
      </c>
      <c r="U1459" s="117" t="n">
        <v>312351</v>
      </c>
      <c r="V1459" s="117" t="s">
        <v>2156</v>
      </c>
      <c r="Z1459" s="117" t="n">
        <v>100310138</v>
      </c>
      <c r="AD1459" s="117" t="n">
        <v>310300</v>
      </c>
      <c r="AE1459" s="117" t="s">
        <v>1969</v>
      </c>
      <c r="AF1459" s="117" t="n">
        <v>110000</v>
      </c>
      <c r="AG1459" s="117" t="s">
        <v>1966</v>
      </c>
      <c r="AI1459" s="117" t="n">
        <v>110000</v>
      </c>
      <c r="AJ1459" s="117" t="s">
        <v>1966</v>
      </c>
      <c r="AK1459" s="117" t="n">
        <v>0</v>
      </c>
      <c r="AL1459" s="117" t="n">
        <v>9</v>
      </c>
      <c r="AM1459" s="117" t="s">
        <v>161</v>
      </c>
      <c r="AN1459" s="117" t="s">
        <v>1978</v>
      </c>
      <c r="AP1459" s="117" t="n">
        <v>100310138</v>
      </c>
      <c r="AQ1459" s="118" t="n">
        <v>43920</v>
      </c>
      <c r="AR1459" s="118" t="n">
        <v>43921</v>
      </c>
      <c r="AS1459" s="117" t="n">
        <v>0.483043981481482</v>
      </c>
      <c r="AT1459" s="117" t="n">
        <v>0</v>
      </c>
      <c r="AU1459" s="117" t="n">
        <v>0</v>
      </c>
      <c r="AX1459" s="117" t="n">
        <v>5</v>
      </c>
    </row>
    <row r="1460" customFormat="false" ht="13.8" hidden="true" customHeight="false" outlineLevel="0" collapsed="false">
      <c r="A1460" s="117" t="n">
        <v>1000</v>
      </c>
      <c r="B1460" s="117" t="s">
        <v>1962</v>
      </c>
      <c r="C1460" s="117" t="n">
        <v>100310138</v>
      </c>
      <c r="E1460" s="117" t="s">
        <v>1921</v>
      </c>
      <c r="F1460" s="117" t="n">
        <v>1101</v>
      </c>
      <c r="G1460" s="117" t="n">
        <v>2019</v>
      </c>
      <c r="H1460" s="117" t="n">
        <v>12</v>
      </c>
      <c r="I1460" s="118" t="n">
        <v>43920</v>
      </c>
      <c r="J1460" s="118" t="n">
        <v>43920</v>
      </c>
      <c r="K1460" s="119" t="n">
        <v>1176.48</v>
      </c>
      <c r="L1460" s="128" t="n">
        <f aca="false">K1460-Q1460+T1460</f>
        <v>1176.48</v>
      </c>
      <c r="M1460" s="117" t="s">
        <v>149</v>
      </c>
      <c r="N1460" s="117" t="n">
        <v>1176.48</v>
      </c>
      <c r="O1460" s="117" t="s">
        <v>149</v>
      </c>
      <c r="P1460" s="117" t="n">
        <v>0</v>
      </c>
      <c r="Q1460" s="117" t="n">
        <v>0</v>
      </c>
      <c r="R1460" s="117" t="n">
        <v>1176.48</v>
      </c>
      <c r="S1460" s="117" t="n">
        <v>0</v>
      </c>
      <c r="T1460" s="117" t="n">
        <v>0</v>
      </c>
      <c r="U1460" s="117" t="n">
        <v>312351</v>
      </c>
      <c r="V1460" s="117" t="s">
        <v>2156</v>
      </c>
      <c r="X1460" s="117" t="s">
        <v>2705</v>
      </c>
      <c r="Z1460" s="117" t="n">
        <v>2037</v>
      </c>
      <c r="AB1460" s="117" t="n">
        <v>3800012477</v>
      </c>
      <c r="AD1460" s="117" t="n">
        <v>110000</v>
      </c>
      <c r="AE1460" s="117" t="s">
        <v>1966</v>
      </c>
      <c r="AF1460" s="117" t="n">
        <v>110000</v>
      </c>
      <c r="AG1460" s="117" t="s">
        <v>1966</v>
      </c>
      <c r="AI1460" s="117" t="n">
        <v>110000</v>
      </c>
      <c r="AJ1460" s="117" t="s">
        <v>1966</v>
      </c>
      <c r="AK1460" s="117" t="n">
        <v>0</v>
      </c>
      <c r="AL1460" s="117" t="n">
        <v>4</v>
      </c>
      <c r="AM1460" s="117" t="s">
        <v>161</v>
      </c>
      <c r="AP1460" s="117" t="n">
        <v>100312623</v>
      </c>
      <c r="AQ1460" s="118" t="n">
        <v>43921</v>
      </c>
      <c r="AR1460" s="118" t="n">
        <v>43921</v>
      </c>
      <c r="AS1460" s="117" t="n">
        <v>0.483043981481482</v>
      </c>
      <c r="AT1460" s="117" t="n">
        <v>0</v>
      </c>
      <c r="AU1460" s="117" t="n">
        <v>0</v>
      </c>
      <c r="AX1460" s="117" t="n">
        <v>1</v>
      </c>
    </row>
    <row r="1461" customFormat="false" ht="13.8" hidden="true" customHeight="false" outlineLevel="0" collapsed="false">
      <c r="A1461" s="117" t="n">
        <v>1000</v>
      </c>
      <c r="B1461" s="117" t="s">
        <v>1962</v>
      </c>
      <c r="C1461" s="117" t="n">
        <v>100312617</v>
      </c>
      <c r="D1461" s="117" t="s">
        <v>2709</v>
      </c>
      <c r="E1461" s="117" t="s">
        <v>1903</v>
      </c>
      <c r="F1461" s="117" t="n">
        <v>1101</v>
      </c>
      <c r="G1461" s="117" t="n">
        <v>2019</v>
      </c>
      <c r="H1461" s="117" t="n">
        <v>12</v>
      </c>
      <c r="I1461" s="118" t="n">
        <v>43921</v>
      </c>
      <c r="J1461" s="118" t="n">
        <v>43921</v>
      </c>
      <c r="K1461" s="119" t="n">
        <v>-12100</v>
      </c>
      <c r="L1461" s="128" t="n">
        <f aca="false">K1461-Q1461+T1461</f>
        <v>-12100</v>
      </c>
      <c r="M1461" s="117" t="s">
        <v>149</v>
      </c>
      <c r="N1461" s="117" t="n">
        <v>-12100</v>
      </c>
      <c r="O1461" s="117" t="s">
        <v>149</v>
      </c>
      <c r="P1461" s="117" t="n">
        <v>-12100</v>
      </c>
      <c r="Q1461" s="117" t="n">
        <v>0</v>
      </c>
      <c r="R1461" s="117" t="n">
        <v>-12100</v>
      </c>
      <c r="S1461" s="117" t="n">
        <v>0</v>
      </c>
      <c r="T1461" s="117" t="n">
        <v>0</v>
      </c>
      <c r="U1461" s="117" t="n">
        <v>312193</v>
      </c>
      <c r="V1461" s="117" t="s">
        <v>1963</v>
      </c>
      <c r="X1461" s="117" t="s">
        <v>2710</v>
      </c>
      <c r="Y1461" s="117" t="s">
        <v>2711</v>
      </c>
      <c r="Z1461" s="117" t="n">
        <v>100312617</v>
      </c>
      <c r="AD1461" s="117" t="n">
        <v>310300</v>
      </c>
      <c r="AE1461" s="117" t="s">
        <v>1969</v>
      </c>
      <c r="AF1461" s="117" t="n">
        <v>900183</v>
      </c>
      <c r="AG1461" s="117" t="s">
        <v>2708</v>
      </c>
      <c r="AI1461" s="117" t="n">
        <v>900183</v>
      </c>
      <c r="AJ1461" s="131" t="s">
        <v>2708</v>
      </c>
      <c r="AK1461" s="117" t="n">
        <v>0</v>
      </c>
      <c r="AL1461" s="117" t="n">
        <v>19</v>
      </c>
      <c r="AM1461" s="117" t="s">
        <v>225</v>
      </c>
      <c r="AN1461" s="117" t="s">
        <v>1978</v>
      </c>
      <c r="AP1461" s="117" t="n">
        <v>100312627</v>
      </c>
      <c r="AQ1461" s="118" t="n">
        <v>43921</v>
      </c>
      <c r="AR1461" s="118" t="n">
        <v>43922</v>
      </c>
      <c r="AS1461" s="117" t="n">
        <v>0.42244212962963</v>
      </c>
      <c r="AT1461" s="117" t="n">
        <v>0</v>
      </c>
      <c r="AU1461" s="117" t="n">
        <v>0</v>
      </c>
      <c r="AX1461" s="117" t="n">
        <v>2</v>
      </c>
    </row>
    <row r="1462" customFormat="false" ht="13.8" hidden="true" customHeight="false" outlineLevel="0" collapsed="false">
      <c r="A1462" s="117" t="n">
        <v>1000</v>
      </c>
      <c r="B1462" s="117" t="s">
        <v>1962</v>
      </c>
      <c r="C1462" s="117" t="n">
        <v>100312623</v>
      </c>
      <c r="E1462" s="117" t="s">
        <v>1921</v>
      </c>
      <c r="F1462" s="117" t="n">
        <v>1101</v>
      </c>
      <c r="G1462" s="117" t="n">
        <v>2019</v>
      </c>
      <c r="H1462" s="117" t="n">
        <v>12</v>
      </c>
      <c r="I1462" s="118" t="n">
        <v>43921</v>
      </c>
      <c r="J1462" s="118" t="n">
        <v>43921</v>
      </c>
      <c r="K1462" s="119" t="n">
        <v>-23823.52</v>
      </c>
      <c r="L1462" s="128" t="n">
        <f aca="false">K1462-Q1462+T1462</f>
        <v>-23823.52</v>
      </c>
      <c r="M1462" s="117" t="s">
        <v>149</v>
      </c>
      <c r="N1462" s="117" t="n">
        <v>-23823.52</v>
      </c>
      <c r="O1462" s="117" t="s">
        <v>149</v>
      </c>
      <c r="P1462" s="117" t="n">
        <v>-23823.52</v>
      </c>
      <c r="Q1462" s="117" t="n">
        <v>0</v>
      </c>
      <c r="R1462" s="117" t="n">
        <v>-23823.52</v>
      </c>
      <c r="S1462" s="117" t="n">
        <v>0</v>
      </c>
      <c r="T1462" s="117" t="n">
        <v>0</v>
      </c>
      <c r="U1462" s="117" t="n">
        <v>312351</v>
      </c>
      <c r="V1462" s="117" t="s">
        <v>2156</v>
      </c>
      <c r="X1462" s="117" t="s">
        <v>2712</v>
      </c>
      <c r="Z1462" s="117" t="n">
        <v>100312623</v>
      </c>
      <c r="AD1462" s="117" t="n">
        <v>310300</v>
      </c>
      <c r="AE1462" s="117" t="s">
        <v>1969</v>
      </c>
      <c r="AF1462" s="117" t="n">
        <v>310300</v>
      </c>
      <c r="AG1462" s="117" t="s">
        <v>1969</v>
      </c>
      <c r="AI1462" s="117" t="n">
        <v>310300</v>
      </c>
      <c r="AJ1462" s="117" t="s">
        <v>1969</v>
      </c>
      <c r="AK1462" s="117" t="n">
        <v>0</v>
      </c>
      <c r="AL1462" s="117" t="n">
        <v>19</v>
      </c>
      <c r="AM1462" s="117" t="s">
        <v>225</v>
      </c>
      <c r="AN1462" s="117" t="s">
        <v>1978</v>
      </c>
      <c r="AP1462" s="117" t="n">
        <v>100312625</v>
      </c>
      <c r="AQ1462" s="118" t="n">
        <v>43921</v>
      </c>
      <c r="AR1462" s="118" t="n">
        <v>43922</v>
      </c>
      <c r="AS1462" s="117" t="n">
        <v>0.452893518518519</v>
      </c>
      <c r="AT1462" s="117" t="n">
        <v>0</v>
      </c>
      <c r="AU1462" s="117" t="n">
        <v>0</v>
      </c>
      <c r="AX1462" s="117" t="n">
        <v>1</v>
      </c>
    </row>
    <row r="1463" customFormat="false" ht="13.8" hidden="true" customHeight="false" outlineLevel="0" collapsed="false">
      <c r="A1463" s="117" t="n">
        <v>1000</v>
      </c>
      <c r="B1463" s="117" t="s">
        <v>1962</v>
      </c>
      <c r="C1463" s="117" t="n">
        <v>100310138</v>
      </c>
      <c r="E1463" s="117" t="s">
        <v>1921</v>
      </c>
      <c r="F1463" s="117" t="n">
        <v>1101</v>
      </c>
      <c r="G1463" s="117" t="n">
        <v>2019</v>
      </c>
      <c r="H1463" s="117" t="n">
        <v>12</v>
      </c>
      <c r="I1463" s="118" t="n">
        <v>43920</v>
      </c>
      <c r="J1463" s="118" t="n">
        <v>43920</v>
      </c>
      <c r="K1463" s="119" t="n">
        <v>-25000</v>
      </c>
      <c r="L1463" s="128" t="n">
        <f aca="false">K1463-Q1463+T1463</f>
        <v>-25000</v>
      </c>
      <c r="M1463" s="117" t="s">
        <v>149</v>
      </c>
      <c r="N1463" s="117" t="n">
        <v>-25000</v>
      </c>
      <c r="O1463" s="117" t="s">
        <v>149</v>
      </c>
      <c r="P1463" s="117" t="n">
        <v>0</v>
      </c>
      <c r="Q1463" s="117" t="n">
        <v>0</v>
      </c>
      <c r="R1463" s="117" t="n">
        <v>-25000</v>
      </c>
      <c r="S1463" s="117" t="n">
        <v>0</v>
      </c>
      <c r="T1463" s="117" t="n">
        <v>0</v>
      </c>
      <c r="U1463" s="117" t="n">
        <v>312351</v>
      </c>
      <c r="V1463" s="117" t="s">
        <v>2156</v>
      </c>
      <c r="Z1463" s="117" t="n">
        <v>100310138</v>
      </c>
      <c r="AD1463" s="117" t="n">
        <v>110000</v>
      </c>
      <c r="AE1463" s="117" t="s">
        <v>1966</v>
      </c>
      <c r="AF1463" s="117" t="n">
        <v>110000</v>
      </c>
      <c r="AG1463" s="117" t="s">
        <v>1966</v>
      </c>
      <c r="AI1463" s="117" t="n">
        <v>110000</v>
      </c>
      <c r="AJ1463" s="117" t="s">
        <v>1966</v>
      </c>
      <c r="AK1463" s="117" t="n">
        <v>0</v>
      </c>
      <c r="AL1463" s="117" t="n">
        <v>17</v>
      </c>
      <c r="AM1463" s="117" t="s">
        <v>225</v>
      </c>
      <c r="AP1463" s="117" t="n">
        <v>100310138</v>
      </c>
      <c r="AQ1463" s="118" t="n">
        <v>43920</v>
      </c>
      <c r="AR1463" s="118" t="n">
        <v>43921</v>
      </c>
      <c r="AS1463" s="117" t="n">
        <v>0.483043981481482</v>
      </c>
      <c r="AT1463" s="117" t="n">
        <v>0</v>
      </c>
      <c r="AU1463" s="117" t="n">
        <v>0</v>
      </c>
      <c r="AX1463" s="117" t="n">
        <v>2</v>
      </c>
    </row>
    <row r="1464" customFormat="false" ht="13.8" hidden="true" customHeight="false" outlineLevel="0" collapsed="false">
      <c r="A1464" s="117" t="n">
        <v>1000</v>
      </c>
      <c r="B1464" s="117" t="s">
        <v>1962</v>
      </c>
      <c r="C1464" s="117" t="n">
        <v>100312134</v>
      </c>
      <c r="E1464" s="117" t="s">
        <v>1921</v>
      </c>
      <c r="F1464" s="117" t="n">
        <v>1109</v>
      </c>
      <c r="G1464" s="117" t="n">
        <v>2019</v>
      </c>
      <c r="H1464" s="117" t="n">
        <v>12</v>
      </c>
      <c r="I1464" s="118" t="n">
        <v>43921</v>
      </c>
      <c r="J1464" s="118" t="n">
        <v>43921</v>
      </c>
      <c r="K1464" s="119" t="n">
        <v>489729.5</v>
      </c>
      <c r="L1464" s="128" t="n">
        <f aca="false">K1464-Q1464+T1464</f>
        <v>489729.5</v>
      </c>
      <c r="M1464" s="117" t="s">
        <v>149</v>
      </c>
      <c r="N1464" s="117" t="n">
        <v>489729.5</v>
      </c>
      <c r="O1464" s="117" t="s">
        <v>149</v>
      </c>
      <c r="P1464" s="117" t="n">
        <v>0</v>
      </c>
      <c r="Q1464" s="117" t="n">
        <v>0</v>
      </c>
      <c r="R1464" s="117" t="n">
        <v>489729.5</v>
      </c>
      <c r="S1464" s="117" t="n">
        <v>0</v>
      </c>
      <c r="T1464" s="117" t="n">
        <v>0</v>
      </c>
      <c r="U1464" s="117" t="n">
        <v>312193</v>
      </c>
      <c r="V1464" s="117" t="s">
        <v>1963</v>
      </c>
      <c r="X1464" s="117" t="s">
        <v>2692</v>
      </c>
      <c r="Z1464" s="117" t="n">
        <v>2525</v>
      </c>
      <c r="AB1464" s="117" t="s">
        <v>2660</v>
      </c>
      <c r="AD1464" s="117" t="n">
        <v>110000</v>
      </c>
      <c r="AE1464" s="117" t="s">
        <v>1966</v>
      </c>
      <c r="AF1464" s="117" t="n">
        <v>110000</v>
      </c>
      <c r="AG1464" s="117" t="s">
        <v>1966</v>
      </c>
      <c r="AI1464" s="117" t="n">
        <v>110000</v>
      </c>
      <c r="AJ1464" s="117" t="s">
        <v>1966</v>
      </c>
      <c r="AK1464" s="117" t="n">
        <v>0</v>
      </c>
      <c r="AL1464" s="117" t="n">
        <v>4</v>
      </c>
      <c r="AM1464" s="117" t="s">
        <v>161</v>
      </c>
      <c r="AR1464" s="118" t="n">
        <v>43922</v>
      </c>
      <c r="AS1464" s="117" t="n">
        <v>0.236712962962963</v>
      </c>
      <c r="AT1464" s="117" t="n">
        <v>0</v>
      </c>
      <c r="AU1464" s="117" t="n">
        <v>0</v>
      </c>
      <c r="AX1464" s="117" t="n">
        <v>1</v>
      </c>
    </row>
    <row r="1465" customFormat="false" ht="13.8" hidden="true" customHeight="false" outlineLevel="0" collapsed="false">
      <c r="A1465" s="117" t="n">
        <v>1000</v>
      </c>
      <c r="B1465" s="117" t="s">
        <v>1962</v>
      </c>
      <c r="C1465" s="117" t="n">
        <v>100312625</v>
      </c>
      <c r="E1465" s="117" t="s">
        <v>1921</v>
      </c>
      <c r="F1465" s="117" t="n">
        <v>1101</v>
      </c>
      <c r="G1465" s="117" t="n">
        <v>2019</v>
      </c>
      <c r="H1465" s="117" t="n">
        <v>12</v>
      </c>
      <c r="I1465" s="118" t="n">
        <v>43921</v>
      </c>
      <c r="J1465" s="118" t="n">
        <v>43921</v>
      </c>
      <c r="K1465" s="119" t="n">
        <v>23823.52</v>
      </c>
      <c r="L1465" s="128" t="n">
        <f aca="false">K1465-Q1465+T1465</f>
        <v>23823.52</v>
      </c>
      <c r="M1465" s="117" t="s">
        <v>149</v>
      </c>
      <c r="N1465" s="117" t="n">
        <v>23823.52</v>
      </c>
      <c r="O1465" s="117" t="s">
        <v>149</v>
      </c>
      <c r="P1465" s="117" t="n">
        <v>0</v>
      </c>
      <c r="Q1465" s="117" t="n">
        <v>0</v>
      </c>
      <c r="R1465" s="117" t="n">
        <v>23823.52</v>
      </c>
      <c r="S1465" s="117" t="n">
        <v>0</v>
      </c>
      <c r="T1465" s="117" t="n">
        <v>0</v>
      </c>
      <c r="U1465" s="117" t="n">
        <v>312351</v>
      </c>
      <c r="V1465" s="117" t="s">
        <v>2156</v>
      </c>
      <c r="Z1465" s="117" t="n">
        <v>100312625</v>
      </c>
      <c r="AD1465" s="117" t="n">
        <v>310300</v>
      </c>
      <c r="AE1465" s="117" t="s">
        <v>1969</v>
      </c>
      <c r="AF1465" s="117" t="n">
        <v>110000</v>
      </c>
      <c r="AG1465" s="117" t="s">
        <v>1966</v>
      </c>
      <c r="AI1465" s="117" t="n">
        <v>110000</v>
      </c>
      <c r="AJ1465" s="117" t="s">
        <v>1966</v>
      </c>
      <c r="AK1465" s="117" t="n">
        <v>0</v>
      </c>
      <c r="AL1465" s="117" t="n">
        <v>9</v>
      </c>
      <c r="AM1465" s="117" t="s">
        <v>161</v>
      </c>
      <c r="AN1465" s="117" t="s">
        <v>1978</v>
      </c>
      <c r="AP1465" s="117" t="n">
        <v>100312625</v>
      </c>
      <c r="AQ1465" s="118" t="n">
        <v>43921</v>
      </c>
      <c r="AR1465" s="118" t="n">
        <v>43922</v>
      </c>
      <c r="AS1465" s="117" t="n">
        <v>0.455243055555556</v>
      </c>
      <c r="AT1465" s="117" t="n">
        <v>0</v>
      </c>
      <c r="AU1465" s="117" t="n">
        <v>0</v>
      </c>
      <c r="AX1465" s="117" t="n">
        <v>2</v>
      </c>
    </row>
    <row r="1466" customFormat="false" ht="13.8" hidden="true" customHeight="false" outlineLevel="0" collapsed="false">
      <c r="A1466" s="117" t="n">
        <v>1000</v>
      </c>
      <c r="B1466" s="117" t="s">
        <v>1962</v>
      </c>
      <c r="C1466" s="117" t="n">
        <v>100312625</v>
      </c>
      <c r="E1466" s="117" t="s">
        <v>1921</v>
      </c>
      <c r="F1466" s="117" t="n">
        <v>1106</v>
      </c>
      <c r="G1466" s="117" t="n">
        <v>2019</v>
      </c>
      <c r="H1466" s="117" t="n">
        <v>12</v>
      </c>
      <c r="I1466" s="118" t="n">
        <v>43921</v>
      </c>
      <c r="J1466" s="118" t="n">
        <v>43921</v>
      </c>
      <c r="K1466" s="119" t="n">
        <v>-23823.52</v>
      </c>
      <c r="L1466" s="128" t="n">
        <f aca="false">K1466-Q1466+T1466</f>
        <v>-23823.52</v>
      </c>
      <c r="M1466" s="117" t="s">
        <v>149</v>
      </c>
      <c r="N1466" s="117" t="n">
        <v>-23823.52</v>
      </c>
      <c r="O1466" s="117" t="s">
        <v>149</v>
      </c>
      <c r="P1466" s="117" t="n">
        <v>0</v>
      </c>
      <c r="Q1466" s="117" t="n">
        <v>0</v>
      </c>
      <c r="R1466" s="117" t="n">
        <v>-23823.52</v>
      </c>
      <c r="S1466" s="117" t="n">
        <v>0</v>
      </c>
      <c r="T1466" s="117" t="n">
        <v>0</v>
      </c>
      <c r="U1466" s="117" t="n">
        <v>312351</v>
      </c>
      <c r="V1466" s="117" t="s">
        <v>2156</v>
      </c>
      <c r="Z1466" s="117" t="n">
        <v>100312625</v>
      </c>
      <c r="AD1466" s="117" t="n">
        <v>110000</v>
      </c>
      <c r="AE1466" s="117" t="s">
        <v>1966</v>
      </c>
      <c r="AF1466" s="117" t="n">
        <v>310300</v>
      </c>
      <c r="AG1466" s="117" t="s">
        <v>1969</v>
      </c>
      <c r="AI1466" s="117" t="n">
        <v>310300</v>
      </c>
      <c r="AJ1466" s="117" t="s">
        <v>1969</v>
      </c>
      <c r="AK1466" s="117" t="n">
        <v>0</v>
      </c>
      <c r="AL1466" s="117" t="n">
        <v>17</v>
      </c>
      <c r="AM1466" s="117" t="s">
        <v>225</v>
      </c>
      <c r="AP1466" s="117" t="n">
        <v>100312625</v>
      </c>
      <c r="AQ1466" s="118" t="n">
        <v>43921</v>
      </c>
      <c r="AR1466" s="118" t="n">
        <v>43922</v>
      </c>
      <c r="AS1466" s="117" t="n">
        <v>0.455243055555556</v>
      </c>
      <c r="AT1466" s="117" t="n">
        <v>0</v>
      </c>
      <c r="AU1466" s="117" t="n">
        <v>0</v>
      </c>
      <c r="AX1466" s="117" t="n">
        <v>1</v>
      </c>
    </row>
    <row r="1467" customFormat="false" ht="13.8" hidden="true" customHeight="false" outlineLevel="0" collapsed="false">
      <c r="A1467" s="117" t="n">
        <v>1000</v>
      </c>
      <c r="B1467" s="117" t="s">
        <v>1962</v>
      </c>
      <c r="C1467" s="117" t="n">
        <v>100312615</v>
      </c>
      <c r="D1467" s="117" t="s">
        <v>2713</v>
      </c>
      <c r="E1467" s="117" t="s">
        <v>1903</v>
      </c>
      <c r="F1467" s="117" t="n">
        <v>1101</v>
      </c>
      <c r="G1467" s="117" t="n">
        <v>2019</v>
      </c>
      <c r="H1467" s="117" t="n">
        <v>12</v>
      </c>
      <c r="I1467" s="118" t="n">
        <v>43921</v>
      </c>
      <c r="J1467" s="118" t="n">
        <v>43921</v>
      </c>
      <c r="K1467" s="119" t="n">
        <v>-12200</v>
      </c>
      <c r="L1467" s="128" t="n">
        <f aca="false">K1467-Q1467+T1467</f>
        <v>-12200</v>
      </c>
      <c r="M1467" s="117" t="s">
        <v>149</v>
      </c>
      <c r="N1467" s="117" t="n">
        <v>-12200</v>
      </c>
      <c r="O1467" s="117" t="s">
        <v>149</v>
      </c>
      <c r="P1467" s="117" t="n">
        <v>-12200</v>
      </c>
      <c r="Q1467" s="117" t="n">
        <v>0</v>
      </c>
      <c r="R1467" s="117" t="n">
        <v>-12200</v>
      </c>
      <c r="S1467" s="117" t="n">
        <v>0</v>
      </c>
      <c r="T1467" s="117" t="n">
        <v>0</v>
      </c>
      <c r="U1467" s="117" t="n">
        <v>312193</v>
      </c>
      <c r="V1467" s="117" t="s">
        <v>1963</v>
      </c>
      <c r="X1467" s="117" t="s">
        <v>2714</v>
      </c>
      <c r="Y1467" s="117" t="s">
        <v>2715</v>
      </c>
      <c r="Z1467" s="117" t="n">
        <v>100312615</v>
      </c>
      <c r="AD1467" s="117" t="n">
        <v>310300</v>
      </c>
      <c r="AE1467" s="117" t="s">
        <v>1969</v>
      </c>
      <c r="AF1467" s="117" t="n">
        <v>900183</v>
      </c>
      <c r="AG1467" s="117" t="s">
        <v>2708</v>
      </c>
      <c r="AI1467" s="117" t="n">
        <v>900183</v>
      </c>
      <c r="AJ1467" s="131" t="s">
        <v>2708</v>
      </c>
      <c r="AK1467" s="117" t="n">
        <v>0</v>
      </c>
      <c r="AL1467" s="117" t="n">
        <v>19</v>
      </c>
      <c r="AM1467" s="117" t="s">
        <v>225</v>
      </c>
      <c r="AN1467" s="117" t="s">
        <v>1978</v>
      </c>
      <c r="AP1467" s="117" t="n">
        <v>100312627</v>
      </c>
      <c r="AQ1467" s="118" t="n">
        <v>43921</v>
      </c>
      <c r="AR1467" s="118" t="n">
        <v>43922</v>
      </c>
      <c r="AS1467" s="117" t="n">
        <v>0.398888888888889</v>
      </c>
      <c r="AT1467" s="117" t="n">
        <v>0</v>
      </c>
      <c r="AU1467" s="117" t="n">
        <v>0</v>
      </c>
      <c r="AX1467" s="117" t="n">
        <v>2</v>
      </c>
    </row>
    <row r="1468" customFormat="false" ht="13.8" hidden="true" customHeight="false" outlineLevel="0" collapsed="false">
      <c r="A1468" s="117" t="n">
        <v>1000</v>
      </c>
      <c r="B1468" s="117" t="s">
        <v>1962</v>
      </c>
      <c r="C1468" s="117" t="n">
        <v>100312159</v>
      </c>
      <c r="E1468" s="117" t="s">
        <v>1921</v>
      </c>
      <c r="F1468" s="117" t="n">
        <v>1109</v>
      </c>
      <c r="G1468" s="117" t="n">
        <v>2019</v>
      </c>
      <c r="H1468" s="117" t="n">
        <v>12</v>
      </c>
      <c r="I1468" s="118" t="n">
        <v>43921</v>
      </c>
      <c r="J1468" s="118" t="n">
        <v>43921</v>
      </c>
      <c r="K1468" s="119" t="n">
        <v>107380</v>
      </c>
      <c r="L1468" s="128" t="n">
        <f aca="false">K1468-Q1468+T1468</f>
        <v>107380</v>
      </c>
      <c r="M1468" s="117" t="s">
        <v>149</v>
      </c>
      <c r="N1468" s="117" t="n">
        <v>107380</v>
      </c>
      <c r="O1468" s="117" t="s">
        <v>149</v>
      </c>
      <c r="P1468" s="117" t="n">
        <v>0</v>
      </c>
      <c r="Q1468" s="117" t="n">
        <v>0</v>
      </c>
      <c r="R1468" s="117" t="n">
        <v>107380</v>
      </c>
      <c r="S1468" s="117" t="n">
        <v>0</v>
      </c>
      <c r="T1468" s="117" t="n">
        <v>0</v>
      </c>
      <c r="U1468" s="117" t="n">
        <v>304431</v>
      </c>
      <c r="V1468" s="117" t="s">
        <v>2016</v>
      </c>
      <c r="X1468" s="117" t="s">
        <v>2691</v>
      </c>
      <c r="Z1468" s="117" t="n">
        <v>2447</v>
      </c>
      <c r="AB1468" s="117" t="s">
        <v>2052</v>
      </c>
      <c r="AD1468" s="117" t="n">
        <v>110000</v>
      </c>
      <c r="AE1468" s="117" t="s">
        <v>1966</v>
      </c>
      <c r="AF1468" s="117" t="n">
        <v>110000</v>
      </c>
      <c r="AG1468" s="117" t="s">
        <v>1966</v>
      </c>
      <c r="AI1468" s="117" t="n">
        <v>110000</v>
      </c>
      <c r="AJ1468" s="117" t="s">
        <v>1966</v>
      </c>
      <c r="AK1468" s="117" t="n">
        <v>0</v>
      </c>
      <c r="AL1468" s="117" t="n">
        <v>4</v>
      </c>
      <c r="AM1468" s="117" t="s">
        <v>161</v>
      </c>
      <c r="AR1468" s="118" t="n">
        <v>43922</v>
      </c>
      <c r="AS1468" s="117" t="n">
        <v>0.298344907407407</v>
      </c>
      <c r="AT1468" s="117" t="n">
        <v>0</v>
      </c>
      <c r="AU1468" s="117" t="n">
        <v>0</v>
      </c>
      <c r="AX1468" s="117" t="n">
        <v>1</v>
      </c>
    </row>
    <row r="1469" customFormat="false" ht="13.8" hidden="true" customHeight="false" outlineLevel="0" collapsed="false">
      <c r="A1469" s="117" t="n">
        <v>1000</v>
      </c>
      <c r="B1469" s="117" t="s">
        <v>1962</v>
      </c>
      <c r="C1469" s="117" t="n">
        <v>100312616</v>
      </c>
      <c r="D1469" s="117" t="s">
        <v>2716</v>
      </c>
      <c r="E1469" s="117" t="s">
        <v>1903</v>
      </c>
      <c r="F1469" s="117" t="n">
        <v>1101</v>
      </c>
      <c r="G1469" s="117" t="n">
        <v>2019</v>
      </c>
      <c r="H1469" s="117" t="n">
        <v>12</v>
      </c>
      <c r="I1469" s="118" t="n">
        <v>43921</v>
      </c>
      <c r="J1469" s="118" t="n">
        <v>43921</v>
      </c>
      <c r="K1469" s="119" t="n">
        <v>-10392</v>
      </c>
      <c r="L1469" s="128" t="n">
        <f aca="false">K1469-Q1469+T1469</f>
        <v>-10392</v>
      </c>
      <c r="M1469" s="117" t="s">
        <v>149</v>
      </c>
      <c r="N1469" s="117" t="n">
        <v>-10392</v>
      </c>
      <c r="O1469" s="117" t="s">
        <v>149</v>
      </c>
      <c r="P1469" s="117" t="n">
        <v>-10392</v>
      </c>
      <c r="Q1469" s="117" t="n">
        <v>0</v>
      </c>
      <c r="R1469" s="117" t="n">
        <v>-10392</v>
      </c>
      <c r="S1469" s="117" t="n">
        <v>0</v>
      </c>
      <c r="T1469" s="117" t="n">
        <v>0</v>
      </c>
      <c r="U1469" s="117" t="n">
        <v>312193</v>
      </c>
      <c r="V1469" s="117" t="s">
        <v>1963</v>
      </c>
      <c r="X1469" s="117" t="s">
        <v>2717</v>
      </c>
      <c r="Y1469" s="117" t="s">
        <v>2718</v>
      </c>
      <c r="Z1469" s="117" t="n">
        <v>100312616</v>
      </c>
      <c r="AD1469" s="117" t="n">
        <v>310300</v>
      </c>
      <c r="AE1469" s="117" t="s">
        <v>1969</v>
      </c>
      <c r="AF1469" s="117" t="n">
        <v>900183</v>
      </c>
      <c r="AG1469" s="117" t="s">
        <v>2708</v>
      </c>
      <c r="AI1469" s="117" t="n">
        <v>900183</v>
      </c>
      <c r="AJ1469" s="131" t="s">
        <v>2708</v>
      </c>
      <c r="AK1469" s="117" t="n">
        <v>0</v>
      </c>
      <c r="AL1469" s="117" t="n">
        <v>19</v>
      </c>
      <c r="AM1469" s="117" t="s">
        <v>225</v>
      </c>
      <c r="AN1469" s="117" t="s">
        <v>1978</v>
      </c>
      <c r="AP1469" s="117" t="n">
        <v>100312627</v>
      </c>
      <c r="AQ1469" s="118" t="n">
        <v>43921</v>
      </c>
      <c r="AR1469" s="118" t="n">
        <v>43922</v>
      </c>
      <c r="AS1469" s="117" t="n">
        <v>0.405972222222222</v>
      </c>
      <c r="AT1469" s="117" t="n">
        <v>0</v>
      </c>
      <c r="AU1469" s="117" t="n">
        <v>0</v>
      </c>
      <c r="AX1469" s="117" t="n">
        <v>2</v>
      </c>
    </row>
    <row r="1470" customFormat="false" ht="13.8" hidden="true" customHeight="false" outlineLevel="0" collapsed="false">
      <c r="A1470" s="117" t="n">
        <v>1000</v>
      </c>
      <c r="B1470" s="117" t="s">
        <v>1962</v>
      </c>
      <c r="C1470" s="117" t="n">
        <v>100312651</v>
      </c>
      <c r="E1470" s="117" t="s">
        <v>1921</v>
      </c>
      <c r="F1470" s="117" t="n">
        <v>1109</v>
      </c>
      <c r="G1470" s="117" t="n">
        <v>2019</v>
      </c>
      <c r="H1470" s="117" t="n">
        <v>12</v>
      </c>
      <c r="I1470" s="118" t="n">
        <v>43921</v>
      </c>
      <c r="J1470" s="118" t="n">
        <v>43921</v>
      </c>
      <c r="K1470" s="119" t="n">
        <v>-469.88</v>
      </c>
      <c r="L1470" s="128" t="n">
        <f aca="false">K1470-Q1470+T1470</f>
        <v>-469.88</v>
      </c>
      <c r="M1470" s="117" t="s">
        <v>149</v>
      </c>
      <c r="N1470" s="117" t="n">
        <v>-469.88</v>
      </c>
      <c r="O1470" s="117" t="s">
        <v>149</v>
      </c>
      <c r="P1470" s="117" t="n">
        <v>0</v>
      </c>
      <c r="Q1470" s="117" t="n">
        <v>0</v>
      </c>
      <c r="R1470" s="117" t="n">
        <v>-469.88</v>
      </c>
      <c r="S1470" s="117" t="n">
        <v>0</v>
      </c>
      <c r="T1470" s="117" t="n">
        <v>0</v>
      </c>
      <c r="U1470" s="117" t="n">
        <v>315113</v>
      </c>
      <c r="V1470" s="117" t="s">
        <v>143</v>
      </c>
      <c r="Z1470" s="117" t="n">
        <v>100312651</v>
      </c>
      <c r="AD1470" s="117" t="n">
        <v>110000</v>
      </c>
      <c r="AE1470" s="117" t="s">
        <v>1966</v>
      </c>
      <c r="AF1470" s="117" t="n">
        <v>310300</v>
      </c>
      <c r="AG1470" s="117" t="s">
        <v>1969</v>
      </c>
      <c r="AI1470" s="117" t="n">
        <v>310300</v>
      </c>
      <c r="AJ1470" s="117" t="s">
        <v>1969</v>
      </c>
      <c r="AK1470" s="117" t="n">
        <v>0</v>
      </c>
      <c r="AL1470" s="117" t="n">
        <v>17</v>
      </c>
      <c r="AM1470" s="117" t="s">
        <v>225</v>
      </c>
      <c r="AP1470" s="117" t="n">
        <v>100312651</v>
      </c>
      <c r="AQ1470" s="118" t="n">
        <v>43921</v>
      </c>
      <c r="AR1470" s="118" t="n">
        <v>43922</v>
      </c>
      <c r="AS1470" s="117" t="n">
        <v>0.503171296296296</v>
      </c>
      <c r="AT1470" s="117" t="n">
        <v>0</v>
      </c>
      <c r="AU1470" s="117" t="n">
        <v>0</v>
      </c>
      <c r="AX1470" s="117" t="n">
        <v>1</v>
      </c>
    </row>
    <row r="1471" customFormat="false" ht="13.8" hidden="true" customHeight="false" outlineLevel="0" collapsed="false">
      <c r="A1471" s="117" t="n">
        <v>1000</v>
      </c>
      <c r="B1471" s="117" t="s">
        <v>1962</v>
      </c>
      <c r="C1471" s="117" t="n">
        <v>100312651</v>
      </c>
      <c r="E1471" s="117" t="s">
        <v>1921</v>
      </c>
      <c r="F1471" s="117" t="n">
        <v>1106</v>
      </c>
      <c r="G1471" s="117" t="n">
        <v>2019</v>
      </c>
      <c r="H1471" s="117" t="n">
        <v>12</v>
      </c>
      <c r="I1471" s="118" t="n">
        <v>43921</v>
      </c>
      <c r="J1471" s="118" t="n">
        <v>43921</v>
      </c>
      <c r="K1471" s="119" t="n">
        <v>469.88</v>
      </c>
      <c r="L1471" s="128" t="n">
        <f aca="false">K1471-Q1471+T1471</f>
        <v>469.88</v>
      </c>
      <c r="M1471" s="117" t="s">
        <v>149</v>
      </c>
      <c r="N1471" s="117" t="n">
        <v>469.88</v>
      </c>
      <c r="O1471" s="117" t="s">
        <v>149</v>
      </c>
      <c r="P1471" s="117" t="n">
        <v>0</v>
      </c>
      <c r="Q1471" s="117" t="n">
        <v>0</v>
      </c>
      <c r="R1471" s="117" t="n">
        <v>469.88</v>
      </c>
      <c r="S1471" s="117" t="n">
        <v>0</v>
      </c>
      <c r="T1471" s="117" t="n">
        <v>0</v>
      </c>
      <c r="U1471" s="117" t="n">
        <v>315113</v>
      </c>
      <c r="V1471" s="117" t="s">
        <v>143</v>
      </c>
      <c r="Z1471" s="117" t="n">
        <v>100312651</v>
      </c>
      <c r="AD1471" s="117" t="n">
        <v>310300</v>
      </c>
      <c r="AE1471" s="117" t="s">
        <v>1969</v>
      </c>
      <c r="AF1471" s="117" t="n">
        <v>110000</v>
      </c>
      <c r="AG1471" s="117" t="s">
        <v>1966</v>
      </c>
      <c r="AI1471" s="117" t="n">
        <v>110000</v>
      </c>
      <c r="AJ1471" s="117" t="s">
        <v>1966</v>
      </c>
      <c r="AK1471" s="117" t="n">
        <v>0</v>
      </c>
      <c r="AL1471" s="117" t="n">
        <v>9</v>
      </c>
      <c r="AM1471" s="117" t="s">
        <v>161</v>
      </c>
      <c r="AN1471" s="117" t="s">
        <v>1978</v>
      </c>
      <c r="AP1471" s="117" t="n">
        <v>100312651</v>
      </c>
      <c r="AQ1471" s="118" t="n">
        <v>43921</v>
      </c>
      <c r="AR1471" s="118" t="n">
        <v>43922</v>
      </c>
      <c r="AS1471" s="117" t="n">
        <v>0.503171296296296</v>
      </c>
      <c r="AT1471" s="117" t="n">
        <v>0</v>
      </c>
      <c r="AU1471" s="117" t="n">
        <v>0</v>
      </c>
      <c r="AX1471" s="117" t="n">
        <v>2</v>
      </c>
    </row>
    <row r="1472" customFormat="false" ht="13.8" hidden="true" customHeight="false" outlineLevel="0" collapsed="false">
      <c r="A1472" s="117" t="n">
        <v>1000</v>
      </c>
      <c r="B1472" s="117" t="s">
        <v>1962</v>
      </c>
      <c r="C1472" s="117" t="n">
        <v>100312623</v>
      </c>
      <c r="E1472" s="117" t="s">
        <v>1921</v>
      </c>
      <c r="F1472" s="117" t="n">
        <v>1101</v>
      </c>
      <c r="G1472" s="117" t="n">
        <v>2019</v>
      </c>
      <c r="H1472" s="117" t="n">
        <v>12</v>
      </c>
      <c r="I1472" s="118" t="n">
        <v>43921</v>
      </c>
      <c r="J1472" s="118" t="n">
        <v>43921</v>
      </c>
      <c r="K1472" s="119" t="n">
        <v>-1176.48</v>
      </c>
      <c r="L1472" s="128" t="n">
        <f aca="false">K1472-Q1472+T1472</f>
        <v>-1176.48</v>
      </c>
      <c r="M1472" s="117" t="s">
        <v>149</v>
      </c>
      <c r="N1472" s="117" t="n">
        <v>-1176.48</v>
      </c>
      <c r="O1472" s="117" t="s">
        <v>149</v>
      </c>
      <c r="P1472" s="117" t="n">
        <v>0</v>
      </c>
      <c r="Q1472" s="117" t="n">
        <v>0</v>
      </c>
      <c r="R1472" s="117" t="n">
        <v>-1176.48</v>
      </c>
      <c r="S1472" s="117" t="n">
        <v>0</v>
      </c>
      <c r="T1472" s="117" t="n">
        <v>0</v>
      </c>
      <c r="U1472" s="117" t="n">
        <v>312351</v>
      </c>
      <c r="V1472" s="117" t="s">
        <v>2156</v>
      </c>
      <c r="Z1472" s="117" t="n">
        <v>100312623</v>
      </c>
      <c r="AD1472" s="117" t="n">
        <v>110000</v>
      </c>
      <c r="AE1472" s="117" t="s">
        <v>1966</v>
      </c>
      <c r="AF1472" s="117" t="n">
        <v>310300</v>
      </c>
      <c r="AG1472" s="117" t="s">
        <v>1969</v>
      </c>
      <c r="AI1472" s="117" t="n">
        <v>310300</v>
      </c>
      <c r="AJ1472" s="117" t="s">
        <v>1969</v>
      </c>
      <c r="AK1472" s="117" t="n">
        <v>0</v>
      </c>
      <c r="AL1472" s="117" t="n">
        <v>17</v>
      </c>
      <c r="AM1472" s="117" t="s">
        <v>225</v>
      </c>
      <c r="AP1472" s="117" t="n">
        <v>100312623</v>
      </c>
      <c r="AQ1472" s="118" t="n">
        <v>43921</v>
      </c>
      <c r="AR1472" s="118" t="n">
        <v>43922</v>
      </c>
      <c r="AS1472" s="117" t="n">
        <v>0.452893518518519</v>
      </c>
      <c r="AT1472" s="117" t="n">
        <v>0</v>
      </c>
      <c r="AU1472" s="117" t="n">
        <v>0</v>
      </c>
      <c r="AX1472" s="117" t="n">
        <v>2</v>
      </c>
    </row>
    <row r="1473" customFormat="false" ht="13.8" hidden="true" customHeight="false" outlineLevel="0" collapsed="false">
      <c r="A1473" s="117" t="n">
        <v>1000</v>
      </c>
      <c r="B1473" s="117" t="s">
        <v>1962</v>
      </c>
      <c r="C1473" s="117" t="n">
        <v>100312623</v>
      </c>
      <c r="E1473" s="117" t="s">
        <v>1921</v>
      </c>
      <c r="F1473" s="117" t="n">
        <v>1101</v>
      </c>
      <c r="G1473" s="117" t="n">
        <v>2019</v>
      </c>
      <c r="H1473" s="117" t="n">
        <v>12</v>
      </c>
      <c r="I1473" s="118" t="n">
        <v>43921</v>
      </c>
      <c r="J1473" s="118" t="n">
        <v>43921</v>
      </c>
      <c r="K1473" s="119" t="n">
        <v>25000</v>
      </c>
      <c r="L1473" s="128" t="n">
        <f aca="false">K1473-Q1473+T1473</f>
        <v>25000</v>
      </c>
      <c r="M1473" s="117" t="s">
        <v>149</v>
      </c>
      <c r="N1473" s="117" t="n">
        <v>25000</v>
      </c>
      <c r="O1473" s="117" t="s">
        <v>149</v>
      </c>
      <c r="P1473" s="117" t="n">
        <v>0</v>
      </c>
      <c r="Q1473" s="117" t="n">
        <v>0</v>
      </c>
      <c r="R1473" s="117" t="n">
        <v>25000</v>
      </c>
      <c r="S1473" s="117" t="n">
        <v>0</v>
      </c>
      <c r="T1473" s="117" t="n">
        <v>0</v>
      </c>
      <c r="U1473" s="117" t="n">
        <v>312351</v>
      </c>
      <c r="V1473" s="117" t="s">
        <v>2156</v>
      </c>
      <c r="Z1473" s="117" t="n">
        <v>100312623</v>
      </c>
      <c r="AD1473" s="117" t="n">
        <v>310300</v>
      </c>
      <c r="AE1473" s="117" t="s">
        <v>1969</v>
      </c>
      <c r="AF1473" s="117" t="n">
        <v>310300</v>
      </c>
      <c r="AG1473" s="117" t="s">
        <v>1969</v>
      </c>
      <c r="AI1473" s="117" t="n">
        <v>310300</v>
      </c>
      <c r="AJ1473" s="117" t="s">
        <v>1969</v>
      </c>
      <c r="AK1473" s="117" t="n">
        <v>0</v>
      </c>
      <c r="AL1473" s="117" t="n">
        <v>9</v>
      </c>
      <c r="AM1473" s="117" t="s">
        <v>161</v>
      </c>
      <c r="AN1473" s="117" t="s">
        <v>1978</v>
      </c>
      <c r="AP1473" s="117" t="n">
        <v>100312623</v>
      </c>
      <c r="AQ1473" s="118" t="n">
        <v>43921</v>
      </c>
      <c r="AR1473" s="118" t="n">
        <v>43922</v>
      </c>
      <c r="AS1473" s="117" t="n">
        <v>0.452893518518519</v>
      </c>
      <c r="AT1473" s="117" t="n">
        <v>0</v>
      </c>
      <c r="AU1473" s="117" t="n">
        <v>0</v>
      </c>
      <c r="AX1473" s="117" t="n">
        <v>3</v>
      </c>
    </row>
    <row r="1474" customFormat="false" ht="13.8" hidden="true" customHeight="false" outlineLevel="0" collapsed="false">
      <c r="A1474" s="117" t="n">
        <v>1000</v>
      </c>
      <c r="B1474" s="117" t="s">
        <v>1962</v>
      </c>
      <c r="C1474" s="117" t="n">
        <v>1400012107</v>
      </c>
      <c r="E1474" s="117" t="s">
        <v>1972</v>
      </c>
      <c r="F1474" s="117" t="n">
        <v>1106</v>
      </c>
      <c r="G1474" s="117" t="n">
        <v>2019</v>
      </c>
      <c r="H1474" s="117" t="n">
        <v>12</v>
      </c>
      <c r="I1474" s="118" t="n">
        <v>43896</v>
      </c>
      <c r="J1474" s="118" t="n">
        <v>43896</v>
      </c>
      <c r="K1474" s="119" t="n">
        <v>-2876926.1</v>
      </c>
      <c r="L1474" s="128" t="n">
        <f aca="false">K1474-Q1474+T1474</f>
        <v>-2876926.1</v>
      </c>
      <c r="M1474" s="117" t="s">
        <v>149</v>
      </c>
      <c r="N1474" s="117" t="n">
        <v>-2876926.1</v>
      </c>
      <c r="O1474" s="117" t="s">
        <v>149</v>
      </c>
      <c r="P1474" s="117" t="n">
        <v>0</v>
      </c>
      <c r="Q1474" s="117" t="n">
        <v>0</v>
      </c>
      <c r="R1474" s="117" t="n">
        <v>-2876926.1</v>
      </c>
      <c r="S1474" s="117" t="n">
        <v>0</v>
      </c>
      <c r="T1474" s="117" t="n">
        <v>0</v>
      </c>
      <c r="U1474" s="117" t="n">
        <v>311155</v>
      </c>
      <c r="V1474" s="117" t="s">
        <v>2022</v>
      </c>
      <c r="X1474" s="117" t="s">
        <v>2719</v>
      </c>
      <c r="Y1474" s="117" t="s">
        <v>2720</v>
      </c>
      <c r="Z1474" s="117" t="n">
        <v>1400012107</v>
      </c>
      <c r="AC1474" s="117" t="s">
        <v>1976</v>
      </c>
      <c r="AD1474" s="117" t="n">
        <v>310300</v>
      </c>
      <c r="AE1474" s="117" t="s">
        <v>1969</v>
      </c>
      <c r="AF1474" s="117" t="n">
        <v>101105</v>
      </c>
      <c r="AG1474" s="117" t="s">
        <v>1977</v>
      </c>
      <c r="AI1474" s="117" t="n">
        <v>101105</v>
      </c>
      <c r="AJ1474" s="117" t="s">
        <v>1977</v>
      </c>
      <c r="AK1474" s="117" t="n">
        <v>0</v>
      </c>
      <c r="AL1474" s="117" t="n">
        <v>19</v>
      </c>
      <c r="AM1474" s="117" t="s">
        <v>225</v>
      </c>
      <c r="AN1474" s="117" t="s">
        <v>1978</v>
      </c>
      <c r="AP1474" s="117" t="n">
        <v>100308936</v>
      </c>
      <c r="AQ1474" s="118" t="n">
        <v>43915</v>
      </c>
      <c r="AR1474" s="118" t="n">
        <v>43911</v>
      </c>
      <c r="AS1474" s="117" t="n">
        <v>0.287962962962963</v>
      </c>
      <c r="AT1474" s="117" t="n">
        <v>0</v>
      </c>
      <c r="AU1474" s="117" t="n">
        <v>0</v>
      </c>
      <c r="AX1474" s="117" t="n">
        <v>2</v>
      </c>
    </row>
    <row r="1475" customFormat="false" ht="13.8" hidden="true" customHeight="false" outlineLevel="0" collapsed="false">
      <c r="A1475" s="117" t="n">
        <v>1000</v>
      </c>
      <c r="B1475" s="117" t="s">
        <v>1962</v>
      </c>
      <c r="C1475" s="117" t="n">
        <v>1400012010</v>
      </c>
      <c r="E1475" s="117" t="s">
        <v>1972</v>
      </c>
      <c r="F1475" s="117" t="n">
        <v>1101</v>
      </c>
      <c r="G1475" s="117" t="n">
        <v>2019</v>
      </c>
      <c r="H1475" s="117" t="n">
        <v>12</v>
      </c>
      <c r="I1475" s="118" t="n">
        <v>43906</v>
      </c>
      <c r="J1475" s="118" t="n">
        <v>43906</v>
      </c>
      <c r="K1475" s="119" t="n">
        <v>-600451.7</v>
      </c>
      <c r="L1475" s="128" t="n">
        <f aca="false">K1475-Q1475+T1475</f>
        <v>-600451.7</v>
      </c>
      <c r="M1475" s="117" t="s">
        <v>149</v>
      </c>
      <c r="N1475" s="117" t="n">
        <v>-600451.7</v>
      </c>
      <c r="O1475" s="117" t="s">
        <v>149</v>
      </c>
      <c r="P1475" s="117" t="n">
        <v>0</v>
      </c>
      <c r="Q1475" s="117" t="n">
        <v>0</v>
      </c>
      <c r="R1475" s="117" t="n">
        <v>-600451.7</v>
      </c>
      <c r="S1475" s="117" t="n">
        <v>0</v>
      </c>
      <c r="T1475" s="117" t="n">
        <v>0</v>
      </c>
      <c r="U1475" s="117" t="n">
        <v>312193</v>
      </c>
      <c r="V1475" s="117" t="s">
        <v>1963</v>
      </c>
      <c r="X1475" s="117" t="s">
        <v>2721</v>
      </c>
      <c r="Y1475" s="117" t="s">
        <v>2722</v>
      </c>
      <c r="Z1475" s="117" t="n">
        <v>1400012010</v>
      </c>
      <c r="AC1475" s="117" t="s">
        <v>1976</v>
      </c>
      <c r="AD1475" s="117" t="n">
        <v>310300</v>
      </c>
      <c r="AE1475" s="117" t="s">
        <v>1969</v>
      </c>
      <c r="AF1475" s="117" t="n">
        <v>101105</v>
      </c>
      <c r="AG1475" s="117" t="s">
        <v>1977</v>
      </c>
      <c r="AI1475" s="117" t="n">
        <v>101105</v>
      </c>
      <c r="AJ1475" s="117" t="s">
        <v>1977</v>
      </c>
      <c r="AK1475" s="117" t="n">
        <v>0</v>
      </c>
      <c r="AL1475" s="117" t="n">
        <v>19</v>
      </c>
      <c r="AM1475" s="117" t="s">
        <v>225</v>
      </c>
      <c r="AN1475" s="117" t="s">
        <v>1978</v>
      </c>
      <c r="AP1475" s="117" t="n">
        <v>100309449</v>
      </c>
      <c r="AQ1475" s="118" t="n">
        <v>43919</v>
      </c>
      <c r="AR1475" s="118" t="n">
        <v>43909</v>
      </c>
      <c r="AS1475" s="117" t="n">
        <v>0.622708333333333</v>
      </c>
      <c r="AT1475" s="117" t="n">
        <v>0</v>
      </c>
      <c r="AU1475" s="117" t="n">
        <v>0</v>
      </c>
      <c r="AX1475" s="117" t="n">
        <v>2</v>
      </c>
    </row>
    <row r="1476" customFormat="false" ht="13.8" hidden="true" customHeight="false" outlineLevel="0" collapsed="false">
      <c r="A1476" s="117" t="n">
        <v>1000</v>
      </c>
      <c r="B1476" s="117" t="s">
        <v>1962</v>
      </c>
      <c r="C1476" s="117" t="n">
        <v>100312627</v>
      </c>
      <c r="E1476" s="117" t="s">
        <v>1921</v>
      </c>
      <c r="F1476" s="117" t="n">
        <v>1101</v>
      </c>
      <c r="G1476" s="117" t="n">
        <v>2019</v>
      </c>
      <c r="H1476" s="117" t="n">
        <v>12</v>
      </c>
      <c r="I1476" s="118" t="n">
        <v>43921</v>
      </c>
      <c r="J1476" s="118" t="n">
        <v>43921</v>
      </c>
      <c r="K1476" s="119" t="n">
        <v>34692</v>
      </c>
      <c r="L1476" s="128" t="n">
        <f aca="false">K1476-Q1476+T1476</f>
        <v>34692</v>
      </c>
      <c r="M1476" s="117" t="s">
        <v>149</v>
      </c>
      <c r="N1476" s="117" t="n">
        <v>34692</v>
      </c>
      <c r="O1476" s="117" t="s">
        <v>149</v>
      </c>
      <c r="P1476" s="117" t="n">
        <v>0</v>
      </c>
      <c r="Q1476" s="117" t="n">
        <v>0</v>
      </c>
      <c r="R1476" s="117" t="n">
        <v>34692</v>
      </c>
      <c r="S1476" s="117" t="n">
        <v>0</v>
      </c>
      <c r="T1476" s="117" t="n">
        <v>0</v>
      </c>
      <c r="U1476" s="117" t="n">
        <v>312193</v>
      </c>
      <c r="V1476" s="117" t="s">
        <v>1963</v>
      </c>
      <c r="Z1476" s="117" t="n">
        <v>100312627</v>
      </c>
      <c r="AD1476" s="117" t="n">
        <v>310300</v>
      </c>
      <c r="AE1476" s="117" t="s">
        <v>1969</v>
      </c>
      <c r="AF1476" s="117" t="n">
        <v>110000</v>
      </c>
      <c r="AG1476" s="117" t="s">
        <v>1966</v>
      </c>
      <c r="AI1476" s="117" t="n">
        <v>110000</v>
      </c>
      <c r="AJ1476" s="117" t="s">
        <v>1966</v>
      </c>
      <c r="AK1476" s="117" t="n">
        <v>0</v>
      </c>
      <c r="AL1476" s="117" t="n">
        <v>9</v>
      </c>
      <c r="AM1476" s="117" t="s">
        <v>161</v>
      </c>
      <c r="AN1476" s="117" t="s">
        <v>1978</v>
      </c>
      <c r="AP1476" s="117" t="n">
        <v>100312627</v>
      </c>
      <c r="AQ1476" s="118" t="n">
        <v>43921</v>
      </c>
      <c r="AR1476" s="118" t="n">
        <v>43922</v>
      </c>
      <c r="AS1476" s="117" t="n">
        <v>0.46900462962963</v>
      </c>
      <c r="AT1476" s="117" t="n">
        <v>0</v>
      </c>
      <c r="AU1476" s="117" t="n">
        <v>0</v>
      </c>
      <c r="AX1476" s="117" t="n">
        <v>2</v>
      </c>
    </row>
    <row r="1477" customFormat="false" ht="13.8" hidden="true" customHeight="false" outlineLevel="0" collapsed="false">
      <c r="A1477" s="117" t="n">
        <v>1000</v>
      </c>
      <c r="B1477" s="117" t="s">
        <v>1962</v>
      </c>
      <c r="C1477" s="117" t="n">
        <v>1600000505</v>
      </c>
      <c r="D1477" s="117" t="s">
        <v>2175</v>
      </c>
      <c r="E1477" s="117" t="s">
        <v>1987</v>
      </c>
      <c r="F1477" s="117" t="n">
        <v>1106</v>
      </c>
      <c r="G1477" s="117" t="n">
        <v>2019</v>
      </c>
      <c r="H1477" s="117" t="n">
        <v>12</v>
      </c>
      <c r="I1477" s="118" t="n">
        <v>43919</v>
      </c>
      <c r="J1477" s="118" t="n">
        <v>43919</v>
      </c>
      <c r="K1477" s="119" t="n">
        <v>-32148</v>
      </c>
      <c r="L1477" s="128" t="n">
        <f aca="false">K1477-Q1477+T1477</f>
        <v>-32148</v>
      </c>
      <c r="M1477" s="117" t="s">
        <v>149</v>
      </c>
      <c r="N1477" s="117" t="n">
        <v>-32148</v>
      </c>
      <c r="O1477" s="117" t="s">
        <v>149</v>
      </c>
      <c r="P1477" s="117" t="n">
        <v>-32148</v>
      </c>
      <c r="Q1477" s="117" t="n">
        <v>0</v>
      </c>
      <c r="R1477" s="117" t="n">
        <v>-32148</v>
      </c>
      <c r="S1477" s="117" t="n">
        <v>0</v>
      </c>
      <c r="T1477" s="117" t="n">
        <v>0</v>
      </c>
      <c r="U1477" s="117" t="n">
        <v>312193</v>
      </c>
      <c r="V1477" s="117" t="s">
        <v>1963</v>
      </c>
      <c r="X1477" s="117" t="s">
        <v>2176</v>
      </c>
      <c r="Y1477" s="117" t="s">
        <v>2176</v>
      </c>
      <c r="Z1477" s="117" t="n">
        <v>1600000505</v>
      </c>
      <c r="AD1477" s="117" t="n">
        <v>110000</v>
      </c>
      <c r="AE1477" s="117" t="s">
        <v>1966</v>
      </c>
      <c r="AF1477" s="117" t="n">
        <v>312193</v>
      </c>
      <c r="AG1477" s="117" t="s">
        <v>1963</v>
      </c>
      <c r="AI1477" s="117" t="n">
        <v>312193</v>
      </c>
      <c r="AJ1477" s="131" t="s">
        <v>1963</v>
      </c>
      <c r="AK1477" s="117" t="n">
        <v>0</v>
      </c>
      <c r="AL1477" s="117" t="n">
        <v>14</v>
      </c>
      <c r="AM1477" s="117" t="s">
        <v>225</v>
      </c>
      <c r="AP1477" s="117" t="n">
        <v>100309449</v>
      </c>
      <c r="AQ1477" s="118" t="n">
        <v>43919</v>
      </c>
      <c r="AR1477" s="118" t="n">
        <v>43919</v>
      </c>
      <c r="AS1477" s="117" t="n">
        <v>0.295532407407407</v>
      </c>
      <c r="AT1477" s="117" t="n">
        <v>0</v>
      </c>
      <c r="AU1477" s="117" t="n">
        <v>0</v>
      </c>
      <c r="AX1477" s="117" t="n">
        <v>2</v>
      </c>
    </row>
    <row r="1478" customFormat="false" ht="13.8" hidden="true" customHeight="false" outlineLevel="0" collapsed="false">
      <c r="A1478" s="117" t="n">
        <v>1000</v>
      </c>
      <c r="B1478" s="117" t="s">
        <v>1962</v>
      </c>
      <c r="C1478" s="117" t="n">
        <v>1600000509</v>
      </c>
      <c r="D1478" s="117" t="s">
        <v>1991</v>
      </c>
      <c r="E1478" s="117" t="s">
        <v>1987</v>
      </c>
      <c r="F1478" s="117" t="n">
        <v>1106</v>
      </c>
      <c r="G1478" s="117" t="n">
        <v>2019</v>
      </c>
      <c r="H1478" s="117" t="n">
        <v>12</v>
      </c>
      <c r="I1478" s="118" t="n">
        <v>43919</v>
      </c>
      <c r="J1478" s="118" t="n">
        <v>43919</v>
      </c>
      <c r="K1478" s="119" t="n">
        <v>-23605.59</v>
      </c>
      <c r="L1478" s="128" t="n">
        <f aca="false">K1478-Q1478+T1478</f>
        <v>-23605.59</v>
      </c>
      <c r="M1478" s="117" t="s">
        <v>149</v>
      </c>
      <c r="N1478" s="117" t="n">
        <v>-23605.59</v>
      </c>
      <c r="O1478" s="117" t="s">
        <v>149</v>
      </c>
      <c r="P1478" s="117" t="n">
        <v>-23605.59</v>
      </c>
      <c r="Q1478" s="117" t="n">
        <v>0</v>
      </c>
      <c r="R1478" s="117" t="n">
        <v>-23605.59</v>
      </c>
      <c r="S1478" s="117" t="n">
        <v>0</v>
      </c>
      <c r="T1478" s="117" t="n">
        <v>0</v>
      </c>
      <c r="U1478" s="117" t="n">
        <v>316840</v>
      </c>
      <c r="V1478" s="117" t="s">
        <v>2701</v>
      </c>
      <c r="X1478" s="117" t="s">
        <v>2723</v>
      </c>
      <c r="Y1478" s="117" t="s">
        <v>2000</v>
      </c>
      <c r="Z1478" s="117" t="n">
        <v>1600000509</v>
      </c>
      <c r="AD1478" s="117" t="n">
        <v>310300</v>
      </c>
      <c r="AE1478" s="117" t="s">
        <v>1969</v>
      </c>
      <c r="AF1478" s="117" t="n">
        <v>312193</v>
      </c>
      <c r="AG1478" s="117" t="s">
        <v>1963</v>
      </c>
      <c r="AI1478" s="117" t="n">
        <v>312193</v>
      </c>
      <c r="AJ1478" s="131" t="s">
        <v>1963</v>
      </c>
      <c r="AK1478" s="117" t="n">
        <v>0</v>
      </c>
      <c r="AL1478" s="117" t="n">
        <v>19</v>
      </c>
      <c r="AM1478" s="117" t="s">
        <v>225</v>
      </c>
      <c r="AN1478" s="117" t="s">
        <v>1978</v>
      </c>
      <c r="AP1478" s="117" t="n">
        <v>100309578</v>
      </c>
      <c r="AQ1478" s="118" t="n">
        <v>43919</v>
      </c>
      <c r="AR1478" s="118" t="n">
        <v>43919</v>
      </c>
      <c r="AS1478" s="117" t="n">
        <v>0.546157407407407</v>
      </c>
      <c r="AT1478" s="117" t="n">
        <v>0</v>
      </c>
      <c r="AU1478" s="117" t="n">
        <v>0</v>
      </c>
      <c r="AX1478" s="117" t="n">
        <v>2</v>
      </c>
    </row>
    <row r="1479" customFormat="false" ht="13.8" hidden="true" customHeight="false" outlineLevel="0" collapsed="false">
      <c r="A1479" s="117" t="n">
        <v>1000</v>
      </c>
      <c r="B1479" s="117" t="s">
        <v>1962</v>
      </c>
      <c r="C1479" s="117" t="n">
        <v>100312627</v>
      </c>
      <c r="E1479" s="117" t="s">
        <v>1921</v>
      </c>
      <c r="F1479" s="117" t="n">
        <v>1106</v>
      </c>
      <c r="G1479" s="117" t="n">
        <v>2019</v>
      </c>
      <c r="H1479" s="117" t="n">
        <v>12</v>
      </c>
      <c r="I1479" s="118" t="n">
        <v>43921</v>
      </c>
      <c r="J1479" s="118" t="n">
        <v>43921</v>
      </c>
      <c r="K1479" s="119" t="n">
        <v>-34692</v>
      </c>
      <c r="L1479" s="128" t="n">
        <f aca="false">K1479-Q1479+T1479</f>
        <v>-34692</v>
      </c>
      <c r="M1479" s="117" t="s">
        <v>149</v>
      </c>
      <c r="N1479" s="117" t="n">
        <v>-34692</v>
      </c>
      <c r="O1479" s="117" t="s">
        <v>149</v>
      </c>
      <c r="P1479" s="117" t="n">
        <v>0</v>
      </c>
      <c r="Q1479" s="117" t="n">
        <v>0</v>
      </c>
      <c r="R1479" s="117" t="n">
        <v>-34692</v>
      </c>
      <c r="S1479" s="117" t="n">
        <v>0</v>
      </c>
      <c r="T1479" s="117" t="n">
        <v>0</v>
      </c>
      <c r="U1479" s="117" t="n">
        <v>312193</v>
      </c>
      <c r="V1479" s="117" t="s">
        <v>1963</v>
      </c>
      <c r="Z1479" s="117" t="n">
        <v>100312627</v>
      </c>
      <c r="AD1479" s="117" t="n">
        <v>110000</v>
      </c>
      <c r="AE1479" s="117" t="s">
        <v>1966</v>
      </c>
      <c r="AF1479" s="117" t="n">
        <v>310300</v>
      </c>
      <c r="AG1479" s="117" t="s">
        <v>1969</v>
      </c>
      <c r="AI1479" s="117" t="n">
        <v>310300</v>
      </c>
      <c r="AJ1479" s="117" t="s">
        <v>1969</v>
      </c>
      <c r="AK1479" s="117" t="n">
        <v>0</v>
      </c>
      <c r="AL1479" s="117" t="n">
        <v>17</v>
      </c>
      <c r="AM1479" s="117" t="s">
        <v>225</v>
      </c>
      <c r="AP1479" s="117" t="n">
        <v>100312627</v>
      </c>
      <c r="AQ1479" s="118" t="n">
        <v>43921</v>
      </c>
      <c r="AR1479" s="118" t="n">
        <v>43922</v>
      </c>
      <c r="AS1479" s="117" t="n">
        <v>0.46900462962963</v>
      </c>
      <c r="AT1479" s="117" t="n">
        <v>0</v>
      </c>
      <c r="AU1479" s="117" t="n">
        <v>0</v>
      </c>
      <c r="AX1479" s="117" t="n">
        <v>1</v>
      </c>
    </row>
    <row r="1480" customFormat="false" ht="13.8" hidden="true" customHeight="false" outlineLevel="0" collapsed="false">
      <c r="A1480" s="117" t="n">
        <v>1000</v>
      </c>
      <c r="B1480" s="117" t="s">
        <v>1962</v>
      </c>
      <c r="C1480" s="117" t="n">
        <v>1400012242</v>
      </c>
      <c r="D1480" s="117" t="s">
        <v>2724</v>
      </c>
      <c r="E1480" s="117" t="s">
        <v>1972</v>
      </c>
      <c r="F1480" s="117" t="n">
        <v>1106</v>
      </c>
      <c r="G1480" s="117" t="n">
        <v>2019</v>
      </c>
      <c r="H1480" s="117" t="n">
        <v>12</v>
      </c>
      <c r="I1480" s="118" t="n">
        <v>43901</v>
      </c>
      <c r="J1480" s="118" t="n">
        <v>43901</v>
      </c>
      <c r="K1480" s="119" t="n">
        <v>-106452.6</v>
      </c>
      <c r="L1480" s="128" t="n">
        <f aca="false">K1480-Q1480+T1480</f>
        <v>-106452.6</v>
      </c>
      <c r="M1480" s="117" t="s">
        <v>149</v>
      </c>
      <c r="N1480" s="117" t="n">
        <v>-106452.6</v>
      </c>
      <c r="O1480" s="117" t="s">
        <v>149</v>
      </c>
      <c r="P1480" s="117" t="n">
        <v>-106452.6</v>
      </c>
      <c r="Q1480" s="117" t="n">
        <v>0</v>
      </c>
      <c r="R1480" s="117" t="n">
        <v>-106452.6</v>
      </c>
      <c r="S1480" s="117" t="n">
        <v>0</v>
      </c>
      <c r="T1480" s="117" t="n">
        <v>0</v>
      </c>
      <c r="U1480" s="117" t="n">
        <v>312193</v>
      </c>
      <c r="V1480" s="117" t="s">
        <v>1963</v>
      </c>
      <c r="X1480" s="117" t="s">
        <v>2725</v>
      </c>
      <c r="Y1480" s="117" t="s">
        <v>2726</v>
      </c>
      <c r="Z1480" s="117" t="n">
        <v>1400012242</v>
      </c>
      <c r="AC1480" s="117" t="s">
        <v>1976</v>
      </c>
      <c r="AD1480" s="117" t="n">
        <v>310300</v>
      </c>
      <c r="AE1480" s="117" t="s">
        <v>1969</v>
      </c>
      <c r="AF1480" s="117" t="n">
        <v>101105</v>
      </c>
      <c r="AG1480" s="117" t="s">
        <v>1977</v>
      </c>
      <c r="AI1480" s="117" t="n">
        <v>101105</v>
      </c>
      <c r="AJ1480" s="117" t="s">
        <v>1977</v>
      </c>
      <c r="AK1480" s="117" t="n">
        <v>0</v>
      </c>
      <c r="AL1480" s="117" t="n">
        <v>19</v>
      </c>
      <c r="AM1480" s="117" t="s">
        <v>225</v>
      </c>
      <c r="AN1480" s="117" t="s">
        <v>1978</v>
      </c>
      <c r="AP1480" s="117" t="n">
        <v>100309450</v>
      </c>
      <c r="AQ1480" s="118" t="n">
        <v>43919</v>
      </c>
      <c r="AR1480" s="118" t="n">
        <v>43915</v>
      </c>
      <c r="AS1480" s="117" t="n">
        <v>0.614409722222222</v>
      </c>
      <c r="AT1480" s="117" t="n">
        <v>0</v>
      </c>
      <c r="AU1480" s="117" t="n">
        <v>0</v>
      </c>
      <c r="AX1480" s="117" t="n">
        <v>2</v>
      </c>
    </row>
    <row r="1481" customFormat="false" ht="13.8" hidden="true" customHeight="false" outlineLevel="0" collapsed="false">
      <c r="A1481" s="117" t="n">
        <v>1000</v>
      </c>
      <c r="B1481" s="117" t="s">
        <v>1962</v>
      </c>
      <c r="C1481" s="117" t="n">
        <v>1600000515</v>
      </c>
      <c r="D1481" s="117" t="s">
        <v>1991</v>
      </c>
      <c r="E1481" s="117" t="s">
        <v>1987</v>
      </c>
      <c r="F1481" s="117" t="n">
        <v>1106</v>
      </c>
      <c r="G1481" s="117" t="n">
        <v>2019</v>
      </c>
      <c r="H1481" s="117" t="n">
        <v>12</v>
      </c>
      <c r="I1481" s="118" t="n">
        <v>43919</v>
      </c>
      <c r="J1481" s="118" t="n">
        <v>43919</v>
      </c>
      <c r="K1481" s="119" t="n">
        <v>-58304.47</v>
      </c>
      <c r="L1481" s="128" t="n">
        <f aca="false">K1481-Q1481+T1481</f>
        <v>-58304.47</v>
      </c>
      <c r="M1481" s="117" t="s">
        <v>149</v>
      </c>
      <c r="N1481" s="117" t="n">
        <v>-58304.47</v>
      </c>
      <c r="O1481" s="117" t="s">
        <v>149</v>
      </c>
      <c r="P1481" s="117" t="n">
        <v>-58304.47</v>
      </c>
      <c r="Q1481" s="117" t="n">
        <v>0</v>
      </c>
      <c r="R1481" s="117" t="n">
        <v>-58304.47</v>
      </c>
      <c r="S1481" s="117" t="n">
        <v>0</v>
      </c>
      <c r="T1481" s="117" t="n">
        <v>0</v>
      </c>
      <c r="U1481" s="117" t="n">
        <v>315113</v>
      </c>
      <c r="V1481" s="117" t="s">
        <v>143</v>
      </c>
      <c r="X1481" s="117" t="s">
        <v>2727</v>
      </c>
      <c r="Y1481" s="117" t="s">
        <v>2000</v>
      </c>
      <c r="Z1481" s="117" t="n">
        <v>1600000515</v>
      </c>
      <c r="AD1481" s="117" t="n">
        <v>310300</v>
      </c>
      <c r="AE1481" s="117" t="s">
        <v>1969</v>
      </c>
      <c r="AF1481" s="117" t="n">
        <v>305576</v>
      </c>
      <c r="AG1481" s="117" t="s">
        <v>1973</v>
      </c>
      <c r="AI1481" s="117" t="n">
        <v>305576</v>
      </c>
      <c r="AJ1481" s="131" t="s">
        <v>1973</v>
      </c>
      <c r="AK1481" s="117" t="n">
        <v>0</v>
      </c>
      <c r="AL1481" s="117" t="n">
        <v>19</v>
      </c>
      <c r="AM1481" s="117" t="s">
        <v>225</v>
      </c>
      <c r="AN1481" s="117" t="s">
        <v>1978</v>
      </c>
      <c r="AP1481" s="117" t="n">
        <v>100309686</v>
      </c>
      <c r="AQ1481" s="118" t="n">
        <v>43919</v>
      </c>
      <c r="AR1481" s="118" t="n">
        <v>43920</v>
      </c>
      <c r="AS1481" s="117" t="n">
        <v>0.226122685185185</v>
      </c>
      <c r="AT1481" s="117" t="n">
        <v>0</v>
      </c>
      <c r="AU1481" s="117" t="n">
        <v>0</v>
      </c>
      <c r="AX1481" s="117" t="n">
        <v>2</v>
      </c>
    </row>
    <row r="1482" customFormat="false" ht="13.8" hidden="true" customHeight="false" outlineLevel="0" collapsed="false">
      <c r="A1482" s="117" t="n">
        <v>1000</v>
      </c>
      <c r="B1482" s="117" t="s">
        <v>1962</v>
      </c>
      <c r="C1482" s="117" t="n">
        <v>1600000515</v>
      </c>
      <c r="D1482" s="117" t="s">
        <v>1991</v>
      </c>
      <c r="E1482" s="117" t="s">
        <v>1987</v>
      </c>
      <c r="F1482" s="117" t="n">
        <v>1106</v>
      </c>
      <c r="G1482" s="117" t="n">
        <v>2019</v>
      </c>
      <c r="H1482" s="117" t="n">
        <v>12</v>
      </c>
      <c r="I1482" s="118" t="n">
        <v>43919</v>
      </c>
      <c r="J1482" s="118" t="n">
        <v>43919</v>
      </c>
      <c r="K1482" s="119" t="n">
        <v>-10109.35</v>
      </c>
      <c r="L1482" s="128" t="n">
        <f aca="false">K1482-Q1482+T1482</f>
        <v>-10109.35</v>
      </c>
      <c r="M1482" s="117" t="s">
        <v>149</v>
      </c>
      <c r="N1482" s="117" t="n">
        <v>-10109.35</v>
      </c>
      <c r="O1482" s="117" t="s">
        <v>149</v>
      </c>
      <c r="P1482" s="117" t="n">
        <v>-10109.35</v>
      </c>
      <c r="Q1482" s="117" t="n">
        <v>0</v>
      </c>
      <c r="R1482" s="117" t="n">
        <v>-10109.35</v>
      </c>
      <c r="S1482" s="117" t="n">
        <v>0</v>
      </c>
      <c r="T1482" s="117" t="n">
        <v>0</v>
      </c>
      <c r="U1482" s="117" t="n">
        <v>312351</v>
      </c>
      <c r="V1482" s="117" t="s">
        <v>2156</v>
      </c>
      <c r="X1482" s="117" t="s">
        <v>2728</v>
      </c>
      <c r="Y1482" s="117" t="s">
        <v>2000</v>
      </c>
      <c r="Z1482" s="117" t="n">
        <v>1600000515</v>
      </c>
      <c r="AD1482" s="117" t="n">
        <v>310300</v>
      </c>
      <c r="AE1482" s="117" t="s">
        <v>1969</v>
      </c>
      <c r="AF1482" s="117" t="n">
        <v>305576</v>
      </c>
      <c r="AG1482" s="117" t="s">
        <v>1973</v>
      </c>
      <c r="AI1482" s="117" t="n">
        <v>305576</v>
      </c>
      <c r="AJ1482" s="131" t="s">
        <v>1973</v>
      </c>
      <c r="AK1482" s="117" t="n">
        <v>0</v>
      </c>
      <c r="AL1482" s="117" t="n">
        <v>19</v>
      </c>
      <c r="AM1482" s="117" t="s">
        <v>225</v>
      </c>
      <c r="AN1482" s="117" t="s">
        <v>1978</v>
      </c>
      <c r="AP1482" s="117" t="n">
        <v>100309688</v>
      </c>
      <c r="AQ1482" s="118" t="n">
        <v>43919</v>
      </c>
      <c r="AR1482" s="118" t="n">
        <v>43920</v>
      </c>
      <c r="AS1482" s="117" t="n">
        <v>0.226122685185185</v>
      </c>
      <c r="AT1482" s="117" t="n">
        <v>0</v>
      </c>
      <c r="AU1482" s="117" t="n">
        <v>0</v>
      </c>
      <c r="AX1482" s="117" t="n">
        <v>4</v>
      </c>
    </row>
    <row r="1483" customFormat="false" ht="13.8" hidden="true" customHeight="false" outlineLevel="0" collapsed="false">
      <c r="A1483" s="117" t="n">
        <v>1000</v>
      </c>
      <c r="B1483" s="117" t="s">
        <v>1962</v>
      </c>
      <c r="C1483" s="117" t="n">
        <v>1600000509</v>
      </c>
      <c r="D1483" s="117" t="s">
        <v>1991</v>
      </c>
      <c r="E1483" s="117" t="s">
        <v>1987</v>
      </c>
      <c r="F1483" s="117" t="n">
        <v>1106</v>
      </c>
      <c r="G1483" s="117" t="n">
        <v>2019</v>
      </c>
      <c r="H1483" s="117" t="n">
        <v>12</v>
      </c>
      <c r="I1483" s="118" t="n">
        <v>43919</v>
      </c>
      <c r="J1483" s="118" t="n">
        <v>43919</v>
      </c>
      <c r="K1483" s="119" t="n">
        <v>23605.59</v>
      </c>
      <c r="L1483" s="128" t="n">
        <f aca="false">K1483-Q1483+T1483</f>
        <v>23605.59</v>
      </c>
      <c r="M1483" s="117" t="s">
        <v>149</v>
      </c>
      <c r="N1483" s="117" t="n">
        <v>23605.59</v>
      </c>
      <c r="O1483" s="117" t="s">
        <v>149</v>
      </c>
      <c r="P1483" s="117" t="n">
        <v>23605.59</v>
      </c>
      <c r="Q1483" s="117" t="n">
        <v>0</v>
      </c>
      <c r="R1483" s="117" t="n">
        <v>23605.59</v>
      </c>
      <c r="S1483" s="117" t="n">
        <v>0</v>
      </c>
      <c r="T1483" s="117" t="n">
        <v>0</v>
      </c>
      <c r="U1483" s="117" t="n">
        <v>312193</v>
      </c>
      <c r="V1483" s="117" t="s">
        <v>1963</v>
      </c>
      <c r="X1483" s="117" t="s">
        <v>2729</v>
      </c>
      <c r="Y1483" s="117" t="s">
        <v>2000</v>
      </c>
      <c r="Z1483" s="117" t="n">
        <v>1600000509</v>
      </c>
      <c r="AD1483" s="117" t="n">
        <v>110000</v>
      </c>
      <c r="AE1483" s="117" t="s">
        <v>1966</v>
      </c>
      <c r="AF1483" s="117" t="n">
        <v>316840</v>
      </c>
      <c r="AG1483" s="117" t="s">
        <v>2701</v>
      </c>
      <c r="AI1483" s="117" t="n">
        <v>316840</v>
      </c>
      <c r="AJ1483" s="131" t="s">
        <v>2701</v>
      </c>
      <c r="AK1483" s="117" t="n">
        <v>0</v>
      </c>
      <c r="AL1483" s="117" t="n">
        <v>4</v>
      </c>
      <c r="AM1483" s="117" t="s">
        <v>161</v>
      </c>
      <c r="AP1483" s="117" t="n">
        <v>100309579</v>
      </c>
      <c r="AQ1483" s="118" t="n">
        <v>43919</v>
      </c>
      <c r="AR1483" s="118" t="n">
        <v>43919</v>
      </c>
      <c r="AS1483" s="117" t="n">
        <v>0.546157407407407</v>
      </c>
      <c r="AT1483" s="117" t="n">
        <v>0</v>
      </c>
      <c r="AU1483" s="117" t="n">
        <v>0</v>
      </c>
      <c r="AX1483" s="117" t="n">
        <v>1</v>
      </c>
    </row>
    <row r="1484" customFormat="false" ht="13.8" hidden="true" customHeight="false" outlineLevel="0" collapsed="false">
      <c r="A1484" s="117" t="n">
        <v>1000</v>
      </c>
      <c r="B1484" s="117" t="s">
        <v>1962</v>
      </c>
      <c r="C1484" s="117" t="n">
        <v>1600000505</v>
      </c>
      <c r="D1484" s="117" t="s">
        <v>2175</v>
      </c>
      <c r="E1484" s="117" t="s">
        <v>1987</v>
      </c>
      <c r="F1484" s="117" t="n">
        <v>1106</v>
      </c>
      <c r="G1484" s="117" t="n">
        <v>2019</v>
      </c>
      <c r="H1484" s="117" t="n">
        <v>12</v>
      </c>
      <c r="I1484" s="118" t="n">
        <v>43919</v>
      </c>
      <c r="J1484" s="118" t="n">
        <v>43919</v>
      </c>
      <c r="K1484" s="119" t="n">
        <v>32148</v>
      </c>
      <c r="L1484" s="128" t="n">
        <f aca="false">K1484-Q1484+T1484</f>
        <v>32148</v>
      </c>
      <c r="M1484" s="117" t="s">
        <v>149</v>
      </c>
      <c r="N1484" s="117" t="n">
        <v>32148</v>
      </c>
      <c r="O1484" s="117" t="s">
        <v>149</v>
      </c>
      <c r="P1484" s="117" t="n">
        <v>32148</v>
      </c>
      <c r="Q1484" s="117" t="n">
        <v>0</v>
      </c>
      <c r="R1484" s="117" t="n">
        <v>32148</v>
      </c>
      <c r="S1484" s="117" t="n">
        <v>0</v>
      </c>
      <c r="T1484" s="117" t="n">
        <v>0</v>
      </c>
      <c r="U1484" s="117" t="n">
        <v>312193</v>
      </c>
      <c r="V1484" s="117" t="s">
        <v>1963</v>
      </c>
      <c r="X1484" s="117" t="s">
        <v>2730</v>
      </c>
      <c r="Y1484" s="117" t="s">
        <v>2176</v>
      </c>
      <c r="Z1484" s="117" t="n">
        <v>1600000505</v>
      </c>
      <c r="AD1484" s="117" t="n">
        <v>111105</v>
      </c>
      <c r="AE1484" s="117" t="s">
        <v>1994</v>
      </c>
      <c r="AF1484" s="117" t="n">
        <v>312193</v>
      </c>
      <c r="AG1484" s="117" t="s">
        <v>1963</v>
      </c>
      <c r="AI1484" s="117" t="n">
        <v>312193</v>
      </c>
      <c r="AJ1484" s="131" t="s">
        <v>1963</v>
      </c>
      <c r="AK1484" s="117" t="n">
        <v>0</v>
      </c>
      <c r="AL1484" s="117" t="n">
        <v>9</v>
      </c>
      <c r="AM1484" s="117" t="s">
        <v>161</v>
      </c>
      <c r="AN1484" s="117" t="s">
        <v>1995</v>
      </c>
      <c r="AR1484" s="118" t="n">
        <v>43919</v>
      </c>
      <c r="AS1484" s="117" t="n">
        <v>0.295532407407407</v>
      </c>
      <c r="AT1484" s="117" t="n">
        <v>0</v>
      </c>
      <c r="AU1484" s="117" t="n">
        <v>0</v>
      </c>
      <c r="AX1484" s="117" t="n">
        <v>1</v>
      </c>
    </row>
    <row r="1485" customFormat="false" ht="13.8" hidden="true" customHeight="false" outlineLevel="0" collapsed="false">
      <c r="A1485" s="117" t="n">
        <v>1000</v>
      </c>
      <c r="B1485" s="117" t="s">
        <v>1962</v>
      </c>
      <c r="C1485" s="117" t="n">
        <v>1600000530</v>
      </c>
      <c r="D1485" s="117" t="s">
        <v>1991</v>
      </c>
      <c r="E1485" s="117" t="s">
        <v>1987</v>
      </c>
      <c r="F1485" s="117" t="n">
        <v>1106</v>
      </c>
      <c r="G1485" s="117" t="n">
        <v>2019</v>
      </c>
      <c r="H1485" s="117" t="n">
        <v>12</v>
      </c>
      <c r="I1485" s="118" t="n">
        <v>43921</v>
      </c>
      <c r="J1485" s="118" t="n">
        <v>43921</v>
      </c>
      <c r="K1485" s="119" t="n">
        <v>-23823.52</v>
      </c>
      <c r="L1485" s="128" t="n">
        <f aca="false">K1485-Q1485+T1485</f>
        <v>-23823.52</v>
      </c>
      <c r="M1485" s="117" t="s">
        <v>149</v>
      </c>
      <c r="N1485" s="117" t="n">
        <v>-23823.52</v>
      </c>
      <c r="O1485" s="117" t="s">
        <v>149</v>
      </c>
      <c r="P1485" s="117" t="n">
        <v>-23823.52</v>
      </c>
      <c r="Q1485" s="117" t="n">
        <v>0</v>
      </c>
      <c r="R1485" s="117" t="n">
        <v>-23823.52</v>
      </c>
      <c r="S1485" s="117" t="n">
        <v>0</v>
      </c>
      <c r="T1485" s="117" t="n">
        <v>0</v>
      </c>
      <c r="U1485" s="117" t="n">
        <v>305576</v>
      </c>
      <c r="V1485" s="117" t="s">
        <v>1973</v>
      </c>
      <c r="X1485" s="117" t="s">
        <v>2731</v>
      </c>
      <c r="Y1485" s="117" t="s">
        <v>2000</v>
      </c>
      <c r="Z1485" s="117" t="n">
        <v>1600000530</v>
      </c>
      <c r="AD1485" s="117" t="n">
        <v>310300</v>
      </c>
      <c r="AE1485" s="117" t="s">
        <v>1969</v>
      </c>
      <c r="AF1485" s="117" t="n">
        <v>312351</v>
      </c>
      <c r="AG1485" s="117" t="s">
        <v>2156</v>
      </c>
      <c r="AI1485" s="117" t="n">
        <v>312351</v>
      </c>
      <c r="AJ1485" s="131" t="s">
        <v>2156</v>
      </c>
      <c r="AK1485" s="117" t="n">
        <v>0</v>
      </c>
      <c r="AL1485" s="117" t="n">
        <v>19</v>
      </c>
      <c r="AM1485" s="117" t="s">
        <v>225</v>
      </c>
      <c r="AN1485" s="117" t="s">
        <v>1978</v>
      </c>
      <c r="AR1485" s="118" t="n">
        <v>43922</v>
      </c>
      <c r="AS1485" s="117" t="n">
        <v>0.454351851851852</v>
      </c>
      <c r="AT1485" s="117" t="n">
        <v>0</v>
      </c>
      <c r="AU1485" s="117" t="n">
        <v>0</v>
      </c>
      <c r="AX1485" s="117" t="n">
        <v>2</v>
      </c>
    </row>
    <row r="1486" customFormat="false" ht="13.8" hidden="true" customHeight="false" outlineLevel="0" collapsed="false">
      <c r="A1486" s="117" t="n">
        <v>1000</v>
      </c>
      <c r="B1486" s="117" t="s">
        <v>1962</v>
      </c>
      <c r="C1486" s="117" t="n">
        <v>1600000530</v>
      </c>
      <c r="D1486" s="117" t="s">
        <v>1991</v>
      </c>
      <c r="E1486" s="117" t="s">
        <v>1987</v>
      </c>
      <c r="F1486" s="117" t="n">
        <v>1106</v>
      </c>
      <c r="G1486" s="117" t="n">
        <v>2019</v>
      </c>
      <c r="H1486" s="117" t="n">
        <v>12</v>
      </c>
      <c r="I1486" s="118" t="n">
        <v>43921</v>
      </c>
      <c r="J1486" s="118" t="n">
        <v>43921</v>
      </c>
      <c r="K1486" s="119" t="n">
        <v>23823.52</v>
      </c>
      <c r="L1486" s="128" t="n">
        <f aca="false">K1486-Q1486+T1486</f>
        <v>23823.52</v>
      </c>
      <c r="M1486" s="117" t="s">
        <v>149</v>
      </c>
      <c r="N1486" s="117" t="n">
        <v>23823.52</v>
      </c>
      <c r="O1486" s="117" t="s">
        <v>149</v>
      </c>
      <c r="P1486" s="117" t="n">
        <v>23823.52</v>
      </c>
      <c r="Q1486" s="117" t="n">
        <v>0</v>
      </c>
      <c r="R1486" s="117" t="n">
        <v>23823.52</v>
      </c>
      <c r="S1486" s="117" t="n">
        <v>0</v>
      </c>
      <c r="T1486" s="117" t="n">
        <v>0</v>
      </c>
      <c r="U1486" s="117" t="n">
        <v>312351</v>
      </c>
      <c r="V1486" s="117" t="s">
        <v>2156</v>
      </c>
      <c r="X1486" s="117" t="s">
        <v>2732</v>
      </c>
      <c r="Y1486" s="117" t="s">
        <v>2000</v>
      </c>
      <c r="Z1486" s="117" t="n">
        <v>1600000530</v>
      </c>
      <c r="AD1486" s="117" t="n">
        <v>110000</v>
      </c>
      <c r="AE1486" s="117" t="s">
        <v>1966</v>
      </c>
      <c r="AF1486" s="117" t="n">
        <v>305576</v>
      </c>
      <c r="AG1486" s="117" t="s">
        <v>1973</v>
      </c>
      <c r="AI1486" s="117" t="n">
        <v>305576</v>
      </c>
      <c r="AJ1486" s="131" t="s">
        <v>1973</v>
      </c>
      <c r="AK1486" s="117" t="n">
        <v>0</v>
      </c>
      <c r="AL1486" s="117" t="n">
        <v>4</v>
      </c>
      <c r="AM1486" s="117" t="s">
        <v>161</v>
      </c>
      <c r="AP1486" s="117" t="n">
        <v>100312625</v>
      </c>
      <c r="AQ1486" s="118" t="n">
        <v>43921</v>
      </c>
      <c r="AR1486" s="118" t="n">
        <v>43922</v>
      </c>
      <c r="AS1486" s="117" t="n">
        <v>0.454351851851852</v>
      </c>
      <c r="AT1486" s="117" t="n">
        <v>0</v>
      </c>
      <c r="AU1486" s="117" t="n">
        <v>0</v>
      </c>
      <c r="AX1486" s="117" t="n">
        <v>1</v>
      </c>
    </row>
    <row r="1487" customFormat="false" ht="13.8" hidden="true" customHeight="false" outlineLevel="0" collapsed="false">
      <c r="A1487" s="117" t="n">
        <v>1000</v>
      </c>
      <c r="B1487" s="117" t="s">
        <v>1962</v>
      </c>
      <c r="C1487" s="117" t="n">
        <v>1600000523</v>
      </c>
      <c r="D1487" s="117" t="s">
        <v>1991</v>
      </c>
      <c r="E1487" s="117" t="s">
        <v>1987</v>
      </c>
      <c r="F1487" s="117" t="n">
        <v>1106</v>
      </c>
      <c r="G1487" s="117" t="n">
        <v>2019</v>
      </c>
      <c r="H1487" s="117" t="n">
        <v>12</v>
      </c>
      <c r="I1487" s="118" t="n">
        <v>43920</v>
      </c>
      <c r="J1487" s="118" t="n">
        <v>43920</v>
      </c>
      <c r="K1487" s="119" t="n">
        <v>-21099.04</v>
      </c>
      <c r="L1487" s="128" t="n">
        <f aca="false">K1487-Q1487+T1487</f>
        <v>-21099.04</v>
      </c>
      <c r="M1487" s="117" t="s">
        <v>149</v>
      </c>
      <c r="N1487" s="117" t="n">
        <v>-21099.04</v>
      </c>
      <c r="O1487" s="117" t="s">
        <v>149</v>
      </c>
      <c r="P1487" s="117" t="n">
        <v>-21099.04</v>
      </c>
      <c r="Q1487" s="117" t="n">
        <v>0</v>
      </c>
      <c r="R1487" s="117" t="n">
        <v>-21099.04</v>
      </c>
      <c r="S1487" s="117" t="n">
        <v>0</v>
      </c>
      <c r="T1487" s="117" t="n">
        <v>0</v>
      </c>
      <c r="U1487" s="117" t="n">
        <v>312351</v>
      </c>
      <c r="V1487" s="117" t="s">
        <v>2156</v>
      </c>
      <c r="X1487" s="117" t="s">
        <v>2733</v>
      </c>
      <c r="Y1487" s="117" t="s">
        <v>2000</v>
      </c>
      <c r="Z1487" s="117" t="n">
        <v>1600000523</v>
      </c>
      <c r="AD1487" s="117" t="n">
        <v>310300</v>
      </c>
      <c r="AE1487" s="117" t="s">
        <v>1969</v>
      </c>
      <c r="AF1487" s="117" t="n">
        <v>305576</v>
      </c>
      <c r="AG1487" s="117" t="s">
        <v>1973</v>
      </c>
      <c r="AI1487" s="117" t="n">
        <v>305576</v>
      </c>
      <c r="AJ1487" s="131" t="s">
        <v>1973</v>
      </c>
      <c r="AK1487" s="117" t="n">
        <v>0</v>
      </c>
      <c r="AL1487" s="117" t="n">
        <v>19</v>
      </c>
      <c r="AM1487" s="117" t="s">
        <v>225</v>
      </c>
      <c r="AN1487" s="117" t="s">
        <v>1978</v>
      </c>
      <c r="AP1487" s="117" t="n">
        <v>100310138</v>
      </c>
      <c r="AQ1487" s="118" t="n">
        <v>43920</v>
      </c>
      <c r="AR1487" s="118" t="n">
        <v>43921</v>
      </c>
      <c r="AS1487" s="117" t="n">
        <v>0.481527777777778</v>
      </c>
      <c r="AT1487" s="117" t="n">
        <v>0</v>
      </c>
      <c r="AU1487" s="117" t="n">
        <v>0</v>
      </c>
      <c r="AX1487" s="117" t="n">
        <v>2</v>
      </c>
    </row>
    <row r="1488" customFormat="false" ht="13.8" hidden="true" customHeight="false" outlineLevel="0" collapsed="false">
      <c r="A1488" s="117" t="n">
        <v>1000</v>
      </c>
      <c r="B1488" s="117" t="s">
        <v>1962</v>
      </c>
      <c r="C1488" s="117" t="n">
        <v>1600000515</v>
      </c>
      <c r="D1488" s="117" t="s">
        <v>1991</v>
      </c>
      <c r="E1488" s="117" t="s">
        <v>1987</v>
      </c>
      <c r="F1488" s="117" t="n">
        <v>1106</v>
      </c>
      <c r="G1488" s="117" t="n">
        <v>2019</v>
      </c>
      <c r="H1488" s="117" t="n">
        <v>12</v>
      </c>
      <c r="I1488" s="118" t="n">
        <v>43919</v>
      </c>
      <c r="J1488" s="118" t="n">
        <v>43919</v>
      </c>
      <c r="K1488" s="119" t="n">
        <v>75266.21</v>
      </c>
      <c r="L1488" s="128" t="n">
        <f aca="false">K1488-Q1488+T1488</f>
        <v>75266.21</v>
      </c>
      <c r="M1488" s="117" t="s">
        <v>149</v>
      </c>
      <c r="N1488" s="117" t="n">
        <v>75266.21</v>
      </c>
      <c r="O1488" s="117" t="s">
        <v>149</v>
      </c>
      <c r="P1488" s="117" t="n">
        <v>75266.21</v>
      </c>
      <c r="Q1488" s="117" t="n">
        <v>0</v>
      </c>
      <c r="R1488" s="117" t="n">
        <v>75266.21</v>
      </c>
      <c r="S1488" s="117" t="n">
        <v>0</v>
      </c>
      <c r="T1488" s="117" t="n">
        <v>0</v>
      </c>
      <c r="U1488" s="117" t="n">
        <v>305576</v>
      </c>
      <c r="V1488" s="117" t="s">
        <v>1973</v>
      </c>
      <c r="X1488" s="117" t="s">
        <v>2734</v>
      </c>
      <c r="Y1488" s="117" t="s">
        <v>2000</v>
      </c>
      <c r="Z1488" s="117" t="n">
        <v>1600000515</v>
      </c>
      <c r="AD1488" s="117" t="n">
        <v>110000</v>
      </c>
      <c r="AE1488" s="117" t="s">
        <v>1966</v>
      </c>
      <c r="AF1488" s="117" t="n">
        <v>315113</v>
      </c>
      <c r="AG1488" s="117" t="s">
        <v>143</v>
      </c>
      <c r="AI1488" s="117" t="n">
        <v>315113</v>
      </c>
      <c r="AJ1488" s="131" t="s">
        <v>143</v>
      </c>
      <c r="AK1488" s="117" t="n">
        <v>0</v>
      </c>
      <c r="AL1488" s="117" t="n">
        <v>4</v>
      </c>
      <c r="AM1488" s="117" t="s">
        <v>161</v>
      </c>
      <c r="AP1488" s="117" t="n">
        <v>100309685</v>
      </c>
      <c r="AQ1488" s="118" t="n">
        <v>43919</v>
      </c>
      <c r="AR1488" s="118" t="n">
        <v>43920</v>
      </c>
      <c r="AS1488" s="117" t="n">
        <v>0.226122685185185</v>
      </c>
      <c r="AT1488" s="117" t="n">
        <v>0</v>
      </c>
      <c r="AU1488" s="117" t="n">
        <v>0</v>
      </c>
      <c r="AX1488" s="117" t="n">
        <v>1</v>
      </c>
    </row>
    <row r="1489" customFormat="false" ht="13.8" hidden="true" customHeight="false" outlineLevel="0" collapsed="false">
      <c r="A1489" s="117" t="n">
        <v>1000</v>
      </c>
      <c r="B1489" s="117" t="s">
        <v>1962</v>
      </c>
      <c r="C1489" s="117" t="n">
        <v>1600000532</v>
      </c>
      <c r="D1489" s="117" t="s">
        <v>2323</v>
      </c>
      <c r="E1489" s="117" t="s">
        <v>1987</v>
      </c>
      <c r="F1489" s="117" t="n">
        <v>1106</v>
      </c>
      <c r="G1489" s="117" t="n">
        <v>2019</v>
      </c>
      <c r="H1489" s="117" t="n">
        <v>12</v>
      </c>
      <c r="I1489" s="118" t="n">
        <v>43921</v>
      </c>
      <c r="J1489" s="118" t="n">
        <v>43921</v>
      </c>
      <c r="K1489" s="119" t="n">
        <v>-469.88</v>
      </c>
      <c r="L1489" s="128" t="n">
        <f aca="false">K1489-Q1489+T1489</f>
        <v>-469.88</v>
      </c>
      <c r="M1489" s="117" t="s">
        <v>149</v>
      </c>
      <c r="N1489" s="117" t="n">
        <v>-469.88</v>
      </c>
      <c r="O1489" s="117" t="s">
        <v>149</v>
      </c>
      <c r="P1489" s="117" t="n">
        <v>-469.88</v>
      </c>
      <c r="Q1489" s="117" t="n">
        <v>0</v>
      </c>
      <c r="R1489" s="117" t="n">
        <v>-469.88</v>
      </c>
      <c r="S1489" s="117" t="n">
        <v>0</v>
      </c>
      <c r="T1489" s="117" t="n">
        <v>0</v>
      </c>
      <c r="U1489" s="117" t="n">
        <v>315113</v>
      </c>
      <c r="V1489" s="117" t="s">
        <v>143</v>
      </c>
      <c r="X1489" s="117" t="s">
        <v>2735</v>
      </c>
      <c r="Y1489" s="117" t="s">
        <v>2736</v>
      </c>
      <c r="Z1489" s="117" t="n">
        <v>1600000532</v>
      </c>
      <c r="AD1489" s="117" t="n">
        <v>310300</v>
      </c>
      <c r="AE1489" s="117" t="s">
        <v>1969</v>
      </c>
      <c r="AF1489" s="117" t="n">
        <v>891305</v>
      </c>
      <c r="AG1489" s="117" t="s">
        <v>2009</v>
      </c>
      <c r="AI1489" s="117" t="n">
        <v>891305</v>
      </c>
      <c r="AJ1489" s="117" t="s">
        <v>2009</v>
      </c>
      <c r="AK1489" s="117" t="n">
        <v>0</v>
      </c>
      <c r="AL1489" s="117" t="n">
        <v>19</v>
      </c>
      <c r="AM1489" s="117" t="s">
        <v>225</v>
      </c>
      <c r="AN1489" s="117" t="s">
        <v>1978</v>
      </c>
      <c r="AP1489" s="117" t="n">
        <v>100312651</v>
      </c>
      <c r="AQ1489" s="118" t="n">
        <v>43921</v>
      </c>
      <c r="AR1489" s="118" t="n">
        <v>43922</v>
      </c>
      <c r="AS1489" s="117" t="n">
        <v>0.502627314814815</v>
      </c>
      <c r="AT1489" s="117" t="n">
        <v>0</v>
      </c>
      <c r="AU1489" s="117" t="n">
        <v>0</v>
      </c>
      <c r="AX1489" s="117" t="n">
        <v>2</v>
      </c>
    </row>
    <row r="1490" customFormat="false" ht="13.8" hidden="true" customHeight="false" outlineLevel="0" collapsed="false">
      <c r="A1490" s="117" t="n">
        <v>1000</v>
      </c>
      <c r="B1490" s="117" t="s">
        <v>1962</v>
      </c>
      <c r="C1490" s="117" t="n">
        <v>1600000523</v>
      </c>
      <c r="D1490" s="117" t="s">
        <v>1991</v>
      </c>
      <c r="E1490" s="117" t="s">
        <v>1987</v>
      </c>
      <c r="F1490" s="117" t="n">
        <v>1106</v>
      </c>
      <c r="G1490" s="117" t="n">
        <v>2019</v>
      </c>
      <c r="H1490" s="117" t="n">
        <v>12</v>
      </c>
      <c r="I1490" s="118" t="n">
        <v>43920</v>
      </c>
      <c r="J1490" s="118" t="n">
        <v>43920</v>
      </c>
      <c r="K1490" s="119" t="n">
        <v>21099.04</v>
      </c>
      <c r="L1490" s="128" t="n">
        <f aca="false">K1490-Q1490+T1490</f>
        <v>21099.04</v>
      </c>
      <c r="M1490" s="117" t="s">
        <v>149</v>
      </c>
      <c r="N1490" s="117" t="n">
        <v>21099.04</v>
      </c>
      <c r="O1490" s="117" t="s">
        <v>149</v>
      </c>
      <c r="P1490" s="117" t="n">
        <v>21099.04</v>
      </c>
      <c r="Q1490" s="117" t="n">
        <v>0</v>
      </c>
      <c r="R1490" s="117" t="n">
        <v>21099.04</v>
      </c>
      <c r="S1490" s="117" t="n">
        <v>0</v>
      </c>
      <c r="T1490" s="117" t="n">
        <v>0</v>
      </c>
      <c r="U1490" s="117" t="n">
        <v>305576</v>
      </c>
      <c r="V1490" s="117" t="s">
        <v>1973</v>
      </c>
      <c r="X1490" s="117" t="s">
        <v>2737</v>
      </c>
      <c r="Y1490" s="117" t="s">
        <v>2000</v>
      </c>
      <c r="Z1490" s="117" t="n">
        <v>1600000523</v>
      </c>
      <c r="AD1490" s="117" t="n">
        <v>110000</v>
      </c>
      <c r="AE1490" s="117" t="s">
        <v>1966</v>
      </c>
      <c r="AF1490" s="117" t="n">
        <v>312351</v>
      </c>
      <c r="AG1490" s="117" t="s">
        <v>2156</v>
      </c>
      <c r="AI1490" s="117" t="n">
        <v>312351</v>
      </c>
      <c r="AJ1490" s="131" t="s">
        <v>2156</v>
      </c>
      <c r="AK1490" s="117" t="n">
        <v>0</v>
      </c>
      <c r="AL1490" s="117" t="n">
        <v>4</v>
      </c>
      <c r="AM1490" s="117" t="s">
        <v>161</v>
      </c>
      <c r="AP1490" s="117" t="n">
        <v>100310136</v>
      </c>
      <c r="AQ1490" s="118" t="n">
        <v>43920</v>
      </c>
      <c r="AR1490" s="118" t="n">
        <v>43921</v>
      </c>
      <c r="AS1490" s="117" t="n">
        <v>0.481527777777778</v>
      </c>
      <c r="AT1490" s="117" t="n">
        <v>0</v>
      </c>
      <c r="AU1490" s="117" t="n">
        <v>0</v>
      </c>
      <c r="AX1490" s="117" t="n">
        <v>1</v>
      </c>
    </row>
    <row r="1491" customFormat="false" ht="13.8" hidden="true" customHeight="false" outlineLevel="0" collapsed="false"/>
    <row r="1492" customFormat="false" ht="13.8" hidden="true" customHeight="false" outlineLevel="0" collapsed="false">
      <c r="K1492" s="136" t="n">
        <f aca="false">SUBTOTAL(9,K2:K1491)</f>
        <v>0</v>
      </c>
      <c r="L1492" s="136" t="n">
        <f aca="false">SUBTOTAL(9,L2:L1491)</f>
        <v>-335123.86</v>
      </c>
      <c r="Q1492" s="136" t="n">
        <f aca="false">SUBTOTAL(9,Q2:Q1491)</f>
        <v>335123.86</v>
      </c>
      <c r="S1492" s="137" t="n">
        <f aca="false">SUBTOTAL(9,S2:S1491)</f>
        <v>0</v>
      </c>
    </row>
    <row r="1493" customFormat="false" ht="13.8" hidden="true" customHeight="false" outlineLevel="0" collapsed="false">
      <c r="L1493" s="119" t="n">
        <v>220116573.99</v>
      </c>
    </row>
    <row r="1494" customFormat="false" ht="13.8" hidden="true" customHeight="false" outlineLevel="0" collapsed="false">
      <c r="Q1494" s="117" t="n">
        <v>39671815.75</v>
      </c>
    </row>
    <row r="1500" customFormat="false" ht="13.8" hidden="false" customHeight="false" outlineLevel="0" collapsed="false">
      <c r="K1500" s="115" t="n">
        <f aca="false">SUBTOTAL(9,K2:K1498)</f>
        <v>0</v>
      </c>
      <c r="L1500" s="115" t="n">
        <f aca="false">SUBTOTAL(9,L2:L1498)</f>
        <v>-335123.86</v>
      </c>
      <c r="M1500" s="115" t="n">
        <f aca="false">SUBTOTAL(9,M2:M1498)</f>
        <v>0</v>
      </c>
      <c r="N1500" s="115" t="n">
        <f aca="false">SUBTOTAL(9,N2:N1498)</f>
        <v>0</v>
      </c>
      <c r="Q1500" s="115" t="n">
        <f aca="false">SUBTOTAL(9,Q2:Q1498)</f>
        <v>335123.86</v>
      </c>
      <c r="R1500" s="115" t="n">
        <f aca="false">SUBTOTAL(9,R2:R1498)</f>
        <v>-335123.86</v>
      </c>
      <c r="T1500" s="115" t="n">
        <f aca="false">SUBTOTAL(9,T2:T1498)</f>
        <v>0</v>
      </c>
    </row>
  </sheetData>
  <autoFilter ref="A1:AX1490">
    <filterColumn colId="41">
      <customFilters and="true">
        <customFilter operator="equal" val="100173604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S6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22" activeCellId="0" sqref="H22"/>
    </sheetView>
  </sheetViews>
  <sheetFormatPr defaultRowHeight="14.4" zeroHeight="false" outlineLevelRow="0" outlineLevelCol="0"/>
  <cols>
    <col collapsed="false" customWidth="true" hidden="false" outlineLevel="0" max="1" min="1" style="0" width="13.33"/>
    <col collapsed="false" customWidth="true" hidden="false" outlineLevel="0" max="2" min="2" style="0" width="14.89"/>
    <col collapsed="false" customWidth="true" hidden="false" outlineLevel="0" max="3" min="3" style="0" width="15.33"/>
    <col collapsed="false" customWidth="true" hidden="false" outlineLevel="0" max="4" min="4" style="0" width="7.88"/>
    <col collapsed="false" customWidth="true" hidden="false" outlineLevel="0" max="5" min="5" style="0" width="14.55"/>
    <col collapsed="false" customWidth="true" hidden="false" outlineLevel="0" max="6" min="6" style="0" width="15.33"/>
    <col collapsed="false" customWidth="true" hidden="false" outlineLevel="0" max="7" min="7" style="0" width="8.53"/>
    <col collapsed="false" customWidth="true" hidden="false" outlineLevel="0" max="8" min="8" style="0" width="12.33"/>
    <col collapsed="false" customWidth="true" hidden="false" outlineLevel="0" max="9" min="9" style="0" width="11.33"/>
    <col collapsed="false" customWidth="true" hidden="false" outlineLevel="0" max="10" min="10" style="0" width="11.89"/>
    <col collapsed="false" customWidth="true" hidden="false" outlineLevel="0" max="11" min="11" style="0" width="13.55"/>
    <col collapsed="false" customWidth="true" hidden="false" outlineLevel="0" max="12" min="12" style="0" width="11.11"/>
    <col collapsed="false" customWidth="true" hidden="false" outlineLevel="0" max="13" min="13" style="0" width="11.89"/>
    <col collapsed="false" customWidth="true" hidden="false" outlineLevel="0" max="14" min="14" style="0" width="10.44"/>
    <col collapsed="false" customWidth="true" hidden="false" outlineLevel="0" max="16" min="15" style="0" width="8.66"/>
    <col collapsed="false" customWidth="true" hidden="false" outlineLevel="0" max="17" min="17" style="0" width="31"/>
    <col collapsed="false" customWidth="true" hidden="false" outlineLevel="0" max="18" min="18" style="0" width="13.66"/>
    <col collapsed="false" customWidth="true" hidden="false" outlineLevel="0" max="19" min="19" style="0" width="38.88"/>
    <col collapsed="false" customWidth="true" hidden="false" outlineLevel="0" max="20" min="20" style="0" width="19.44"/>
    <col collapsed="false" customWidth="true" hidden="false" outlineLevel="0" max="21" min="21" style="0" width="15.33"/>
    <col collapsed="false" customWidth="true" hidden="false" outlineLevel="0" max="22" min="22" style="0" width="5"/>
    <col collapsed="false" customWidth="true" hidden="false" outlineLevel="0" max="23" min="23" style="0" width="18.55"/>
    <col collapsed="false" customWidth="true" hidden="false" outlineLevel="0" max="24" min="24" style="0" width="12.33"/>
    <col collapsed="false" customWidth="true" hidden="false" outlineLevel="0" max="25" min="25" style="0" width="8"/>
    <col collapsed="false" customWidth="true" hidden="false" outlineLevel="0" max="26" min="26" style="0" width="34.66"/>
    <col collapsed="false" customWidth="true" hidden="false" outlineLevel="0" max="27" min="27" style="0" width="8.88"/>
    <col collapsed="false" customWidth="true" hidden="false" outlineLevel="0" max="28" min="28" style="0" width="35.34"/>
    <col collapsed="false" customWidth="true" hidden="false" outlineLevel="0" max="30" min="29" style="0" width="8.53"/>
    <col collapsed="false" customWidth="true" hidden="false" outlineLevel="0" max="31" min="31" style="0" width="34.44"/>
    <col collapsed="false" customWidth="true" hidden="false" outlineLevel="0" max="32" min="32" style="0" width="7.66"/>
    <col collapsed="false" customWidth="true" hidden="false" outlineLevel="0" max="33" min="33" style="0" width="10.44"/>
    <col collapsed="false" customWidth="true" hidden="false" outlineLevel="0" max="34" min="34" style="0" width="8.88"/>
    <col collapsed="false" customWidth="true" hidden="false" outlineLevel="0" max="35" min="35" style="0" width="13.89"/>
    <col collapsed="false" customWidth="true" hidden="false" outlineLevel="0" max="36" min="36" style="0" width="15.44"/>
    <col collapsed="false" customWidth="true" hidden="false" outlineLevel="0" max="37" min="37" style="0" width="11"/>
    <col collapsed="false" customWidth="true" hidden="false" outlineLevel="0" max="38" min="38" style="0" width="11.89"/>
    <col collapsed="false" customWidth="true" hidden="false" outlineLevel="0" max="39" min="39" style="0" width="10.11"/>
    <col collapsed="false" customWidth="true" hidden="false" outlineLevel="0" max="40" min="40" style="0" width="9.87"/>
    <col collapsed="false" customWidth="false" hidden="false" outlineLevel="0" max="41" min="41" style="0" width="11.44"/>
    <col collapsed="false" customWidth="true" hidden="false" outlineLevel="0" max="42" min="42" style="0" width="11.89"/>
    <col collapsed="false" customWidth="true" hidden="false" outlineLevel="0" max="43" min="43" style="0" width="10.66"/>
    <col collapsed="false" customWidth="true" hidden="false" outlineLevel="0" max="44" min="44" style="0" width="7.44"/>
    <col collapsed="false" customWidth="true" hidden="false" outlineLevel="0" max="45" min="45" style="0" width="9.33"/>
    <col collapsed="false" customWidth="true" hidden="false" outlineLevel="0" max="1025" min="46" style="0" width="8.53"/>
  </cols>
  <sheetData>
    <row r="1" customFormat="false" ht="41.4" hidden="false" customHeight="false" outlineLevel="0" collapsed="false">
      <c r="A1" s="93" t="s">
        <v>92</v>
      </c>
      <c r="B1" s="93" t="s">
        <v>93</v>
      </c>
      <c r="C1" s="93" t="s">
        <v>94</v>
      </c>
      <c r="D1" s="93" t="s">
        <v>2738</v>
      </c>
      <c r="E1" s="93" t="s">
        <v>95</v>
      </c>
      <c r="F1" s="93" t="s">
        <v>94</v>
      </c>
      <c r="G1" s="94" t="s">
        <v>96</v>
      </c>
      <c r="H1" s="93" t="s">
        <v>100</v>
      </c>
      <c r="I1" s="93" t="s">
        <v>101</v>
      </c>
      <c r="J1" s="94" t="s">
        <v>102</v>
      </c>
      <c r="K1" s="95" t="s">
        <v>103</v>
      </c>
      <c r="L1" s="93" t="s">
        <v>108</v>
      </c>
      <c r="M1" s="93" t="s">
        <v>109</v>
      </c>
      <c r="N1" s="94" t="s">
        <v>110</v>
      </c>
      <c r="O1" s="94" t="s">
        <v>111</v>
      </c>
      <c r="P1" s="94" t="s">
        <v>112</v>
      </c>
      <c r="Q1" s="93" t="s">
        <v>113</v>
      </c>
      <c r="R1" s="93" t="s">
        <v>114</v>
      </c>
      <c r="S1" s="93" t="s">
        <v>115</v>
      </c>
      <c r="T1" s="93" t="s">
        <v>116</v>
      </c>
      <c r="U1" s="93" t="s">
        <v>117</v>
      </c>
      <c r="V1" s="93" t="s">
        <v>118</v>
      </c>
      <c r="W1" s="93" t="s">
        <v>119</v>
      </c>
      <c r="X1" s="93" t="s">
        <v>120</v>
      </c>
      <c r="Y1" s="93" t="s">
        <v>121</v>
      </c>
      <c r="Z1" s="93" t="s">
        <v>122</v>
      </c>
      <c r="AA1" s="94" t="s">
        <v>123</v>
      </c>
      <c r="AB1" s="93" t="s">
        <v>124</v>
      </c>
      <c r="AC1" s="94" t="s">
        <v>125</v>
      </c>
      <c r="AD1" s="96" t="s">
        <v>126</v>
      </c>
      <c r="AE1" s="93" t="s">
        <v>127</v>
      </c>
      <c r="AF1" s="94" t="s">
        <v>128</v>
      </c>
      <c r="AG1" s="93" t="s">
        <v>129</v>
      </c>
      <c r="AH1" s="94" t="s">
        <v>130</v>
      </c>
      <c r="AI1" s="93" t="s">
        <v>131</v>
      </c>
      <c r="AJ1" s="93" t="s">
        <v>132</v>
      </c>
      <c r="AK1" s="93" t="s">
        <v>133</v>
      </c>
      <c r="AL1" s="93" t="s">
        <v>134</v>
      </c>
      <c r="AM1" s="93" t="s">
        <v>135</v>
      </c>
      <c r="AN1" s="93" t="s">
        <v>136</v>
      </c>
      <c r="AO1" s="93" t="s">
        <v>137</v>
      </c>
      <c r="AP1" s="94" t="s">
        <v>138</v>
      </c>
      <c r="AQ1" s="93" t="s">
        <v>139</v>
      </c>
      <c r="AR1" s="93" t="s">
        <v>140</v>
      </c>
      <c r="AS1" s="93" t="s">
        <v>141</v>
      </c>
    </row>
    <row r="2" customFormat="false" ht="14.4" hidden="false" customHeight="false" outlineLevel="0" collapsed="false">
      <c r="A2" s="98" t="s">
        <v>142</v>
      </c>
      <c r="B2" s="98" t="s">
        <v>143</v>
      </c>
      <c r="C2" s="98" t="n">
        <v>51007775</v>
      </c>
      <c r="D2" s="98" t="n">
        <v>836595</v>
      </c>
      <c r="E2" s="98" t="s">
        <v>724</v>
      </c>
      <c r="F2" s="98" t="n">
        <v>51007775</v>
      </c>
      <c r="G2" s="98" t="s">
        <v>725</v>
      </c>
      <c r="H2" s="99" t="n">
        <v>43529</v>
      </c>
      <c r="I2" s="99" t="n">
        <v>43558</v>
      </c>
      <c r="J2" s="100" t="n">
        <v>-110831.38</v>
      </c>
      <c r="K2" s="100" t="n">
        <v>-93924.9</v>
      </c>
      <c r="L2" s="100" t="n">
        <v>-16906.48</v>
      </c>
      <c r="M2" s="100" t="n">
        <v>-93924.9</v>
      </c>
      <c r="N2" s="100" t="n">
        <v>0</v>
      </c>
      <c r="O2" s="100" t="n">
        <v>0</v>
      </c>
      <c r="P2" s="98" t="s">
        <v>192</v>
      </c>
      <c r="Q2" s="98" t="s">
        <v>151</v>
      </c>
      <c r="R2" s="98"/>
      <c r="S2" s="98"/>
      <c r="T2" s="98" t="s">
        <v>726</v>
      </c>
      <c r="U2" s="98" t="s">
        <v>727</v>
      </c>
      <c r="V2" s="98"/>
      <c r="W2" s="98" t="s">
        <v>726</v>
      </c>
      <c r="X2" s="98"/>
      <c r="Y2" s="98" t="s">
        <v>155</v>
      </c>
      <c r="Z2" s="98" t="s">
        <v>156</v>
      </c>
      <c r="AA2" s="98" t="s">
        <v>728</v>
      </c>
      <c r="AB2" s="98" t="s">
        <v>729</v>
      </c>
      <c r="AC2" s="98" t="s">
        <v>730</v>
      </c>
      <c r="AD2" s="98" t="s">
        <v>730</v>
      </c>
      <c r="AE2" s="98" t="s">
        <v>731</v>
      </c>
      <c r="AF2" s="98" t="s">
        <v>159</v>
      </c>
      <c r="AG2" s="98" t="s">
        <v>224</v>
      </c>
      <c r="AH2" s="98" t="s">
        <v>225</v>
      </c>
      <c r="AI2" s="98"/>
      <c r="AJ2" s="98"/>
      <c r="AK2" s="98" t="s">
        <v>285</v>
      </c>
      <c r="AL2" s="98" t="s">
        <v>283</v>
      </c>
      <c r="AM2" s="98" t="s">
        <v>243</v>
      </c>
      <c r="AN2" s="98" t="s">
        <v>732</v>
      </c>
      <c r="AO2" s="100" t="n">
        <v>0</v>
      </c>
      <c r="AP2" s="100" t="n">
        <v>-110831.38</v>
      </c>
      <c r="AQ2" s="98"/>
      <c r="AR2" s="98"/>
      <c r="AS2" s="98" t="s">
        <v>165</v>
      </c>
    </row>
    <row r="3" customFormat="false" ht="14.4" hidden="false" customHeight="false" outlineLevel="0" collapsed="false">
      <c r="A3" s="98" t="s">
        <v>142</v>
      </c>
      <c r="B3" s="98" t="s">
        <v>143</v>
      </c>
      <c r="C3" s="98" t="n">
        <v>51015501</v>
      </c>
      <c r="D3" s="98" t="n">
        <v>836600</v>
      </c>
      <c r="E3" s="98" t="s">
        <v>733</v>
      </c>
      <c r="F3" s="98" t="n">
        <v>51015501</v>
      </c>
      <c r="G3" s="98" t="s">
        <v>725</v>
      </c>
      <c r="H3" s="99" t="n">
        <v>43519</v>
      </c>
      <c r="I3" s="99" t="n">
        <v>43563</v>
      </c>
      <c r="J3" s="100" t="n">
        <v>-3510796.22</v>
      </c>
      <c r="K3" s="100" t="n">
        <v>-2975250.93</v>
      </c>
      <c r="L3" s="100" t="n">
        <v>-535545.29</v>
      </c>
      <c r="M3" s="100" t="n">
        <v>-2975250.93</v>
      </c>
      <c r="N3" s="100" t="n">
        <v>0</v>
      </c>
      <c r="O3" s="100" t="n">
        <v>0</v>
      </c>
      <c r="P3" s="98" t="s">
        <v>192</v>
      </c>
      <c r="Q3" s="98" t="s">
        <v>151</v>
      </c>
      <c r="R3" s="98"/>
      <c r="S3" s="98" t="s">
        <v>734</v>
      </c>
      <c r="T3" s="98" t="s">
        <v>735</v>
      </c>
      <c r="U3" s="98" t="s">
        <v>736</v>
      </c>
      <c r="V3" s="98"/>
      <c r="W3" s="98" t="s">
        <v>735</v>
      </c>
      <c r="X3" s="98"/>
      <c r="Y3" s="98" t="s">
        <v>155</v>
      </c>
      <c r="Z3" s="98" t="s">
        <v>156</v>
      </c>
      <c r="AA3" s="98" t="s">
        <v>737</v>
      </c>
      <c r="AB3" s="98" t="s">
        <v>738</v>
      </c>
      <c r="AC3" s="98" t="s">
        <v>739</v>
      </c>
      <c r="AD3" s="98" t="s">
        <v>739</v>
      </c>
      <c r="AE3" s="98" t="s">
        <v>740</v>
      </c>
      <c r="AF3" s="98" t="s">
        <v>159</v>
      </c>
      <c r="AG3" s="98" t="s">
        <v>224</v>
      </c>
      <c r="AH3" s="98" t="s">
        <v>225</v>
      </c>
      <c r="AI3" s="98"/>
      <c r="AJ3" s="98"/>
      <c r="AK3" s="98" t="s">
        <v>280</v>
      </c>
      <c r="AL3" s="98" t="s">
        <v>272</v>
      </c>
      <c r="AM3" s="98" t="s">
        <v>741</v>
      </c>
      <c r="AN3" s="98" t="s">
        <v>742</v>
      </c>
      <c r="AO3" s="100" t="n">
        <v>0</v>
      </c>
      <c r="AP3" s="100" t="n">
        <v>-3510796.22</v>
      </c>
      <c r="AQ3" s="98"/>
      <c r="AR3" s="98"/>
      <c r="AS3" s="98" t="s">
        <v>165</v>
      </c>
    </row>
    <row r="4" customFormat="false" ht="14.4" hidden="false" customHeight="false" outlineLevel="0" collapsed="false">
      <c r="A4" s="98" t="s">
        <v>142</v>
      </c>
      <c r="B4" s="98" t="s">
        <v>143</v>
      </c>
      <c r="C4" s="98" t="n">
        <v>51017855</v>
      </c>
      <c r="D4" s="98" t="n">
        <v>836621</v>
      </c>
      <c r="E4" s="98" t="s">
        <v>743</v>
      </c>
      <c r="F4" s="98" t="n">
        <v>51017855</v>
      </c>
      <c r="G4" s="98" t="s">
        <v>725</v>
      </c>
      <c r="H4" s="99" t="n">
        <v>43551</v>
      </c>
      <c r="I4" s="99" t="n">
        <v>43564</v>
      </c>
      <c r="J4" s="100" t="n">
        <v>-425053.85</v>
      </c>
      <c r="K4" s="100" t="n">
        <v>-366426.01</v>
      </c>
      <c r="L4" s="100" t="n">
        <v>-65956.68</v>
      </c>
      <c r="M4" s="100" t="n">
        <v>-359097.17</v>
      </c>
      <c r="N4" s="100" t="n">
        <v>-366426.01</v>
      </c>
      <c r="O4" s="100" t="n">
        <v>-7328.84</v>
      </c>
      <c r="P4" s="98" t="s">
        <v>192</v>
      </c>
      <c r="Q4" s="98" t="s">
        <v>151</v>
      </c>
      <c r="R4" s="98"/>
      <c r="S4" s="98" t="s">
        <v>744</v>
      </c>
      <c r="T4" s="98" t="s">
        <v>745</v>
      </c>
      <c r="U4" s="98" t="s">
        <v>746</v>
      </c>
      <c r="V4" s="98"/>
      <c r="W4" s="98" t="s">
        <v>745</v>
      </c>
      <c r="X4" s="98"/>
      <c r="Y4" s="98" t="s">
        <v>155</v>
      </c>
      <c r="Z4" s="98" t="s">
        <v>156</v>
      </c>
      <c r="AA4" s="98" t="s">
        <v>747</v>
      </c>
      <c r="AB4" s="98" t="s">
        <v>748</v>
      </c>
      <c r="AC4" s="98" t="s">
        <v>749</v>
      </c>
      <c r="AD4" s="98" t="s">
        <v>749</v>
      </c>
      <c r="AE4" s="98" t="s">
        <v>750</v>
      </c>
      <c r="AF4" s="98" t="s">
        <v>159</v>
      </c>
      <c r="AG4" s="98" t="s">
        <v>224</v>
      </c>
      <c r="AH4" s="98" t="s">
        <v>225</v>
      </c>
      <c r="AI4" s="98"/>
      <c r="AJ4" s="98"/>
      <c r="AK4" s="98" t="s">
        <v>316</v>
      </c>
      <c r="AL4" s="98" t="s">
        <v>314</v>
      </c>
      <c r="AM4" s="98" t="s">
        <v>267</v>
      </c>
      <c r="AN4" s="98" t="s">
        <v>751</v>
      </c>
      <c r="AO4" s="100" t="n">
        <v>0</v>
      </c>
      <c r="AP4" s="100" t="n">
        <v>-425053.85</v>
      </c>
      <c r="AQ4" s="98"/>
      <c r="AR4" s="98"/>
      <c r="AS4" s="98" t="s">
        <v>220</v>
      </c>
    </row>
    <row r="5" customFormat="false" ht="14.4" hidden="false" customHeight="false" outlineLevel="0" collapsed="false">
      <c r="A5" s="98" t="s">
        <v>142</v>
      </c>
      <c r="B5" s="98" t="s">
        <v>143</v>
      </c>
      <c r="C5" s="98" t="n">
        <v>51017855</v>
      </c>
      <c r="D5" s="98" t="n">
        <v>836621</v>
      </c>
      <c r="E5" s="98" t="s">
        <v>743</v>
      </c>
      <c r="F5" s="98" t="n">
        <v>51017855</v>
      </c>
      <c r="G5" s="98" t="s">
        <v>725</v>
      </c>
      <c r="H5" s="99" t="n">
        <v>43551</v>
      </c>
      <c r="I5" s="99" t="n">
        <v>43564</v>
      </c>
      <c r="J5" s="100" t="n">
        <v>-215527.83</v>
      </c>
      <c r="K5" s="100" t="n">
        <v>-185799.99</v>
      </c>
      <c r="L5" s="100" t="n">
        <v>-33444</v>
      </c>
      <c r="M5" s="100" t="n">
        <v>-182083.83</v>
      </c>
      <c r="N5" s="100" t="n">
        <v>-185799.99</v>
      </c>
      <c r="O5" s="100" t="n">
        <v>-3716.16</v>
      </c>
      <c r="P5" s="98" t="s">
        <v>192</v>
      </c>
      <c r="Q5" s="98" t="s">
        <v>151</v>
      </c>
      <c r="R5" s="98"/>
      <c r="S5" s="98" t="s">
        <v>744</v>
      </c>
      <c r="T5" s="98" t="s">
        <v>745</v>
      </c>
      <c r="U5" s="98" t="s">
        <v>746</v>
      </c>
      <c r="V5" s="98"/>
      <c r="W5" s="98" t="s">
        <v>745</v>
      </c>
      <c r="X5" s="98"/>
      <c r="Y5" s="98" t="s">
        <v>155</v>
      </c>
      <c r="Z5" s="98" t="s">
        <v>156</v>
      </c>
      <c r="AA5" s="98" t="s">
        <v>747</v>
      </c>
      <c r="AB5" s="98" t="s">
        <v>748</v>
      </c>
      <c r="AC5" s="98" t="s">
        <v>749</v>
      </c>
      <c r="AD5" s="98" t="s">
        <v>749</v>
      </c>
      <c r="AE5" s="98" t="s">
        <v>750</v>
      </c>
      <c r="AF5" s="98" t="s">
        <v>159</v>
      </c>
      <c r="AG5" s="98" t="s">
        <v>224</v>
      </c>
      <c r="AH5" s="98" t="s">
        <v>225</v>
      </c>
      <c r="AI5" s="98"/>
      <c r="AJ5" s="98"/>
      <c r="AK5" s="98" t="s">
        <v>316</v>
      </c>
      <c r="AL5" s="98" t="s">
        <v>314</v>
      </c>
      <c r="AM5" s="98" t="s">
        <v>267</v>
      </c>
      <c r="AN5" s="98" t="s">
        <v>751</v>
      </c>
      <c r="AO5" s="100" t="n">
        <v>0</v>
      </c>
      <c r="AP5" s="100" t="n">
        <v>-215527.83</v>
      </c>
      <c r="AQ5" s="98"/>
      <c r="AR5" s="98"/>
      <c r="AS5" s="98" t="s">
        <v>165</v>
      </c>
    </row>
    <row r="6" customFormat="false" ht="14.4" hidden="false" customHeight="false" outlineLevel="0" collapsed="false">
      <c r="A6" s="98" t="s">
        <v>142</v>
      </c>
      <c r="B6" s="98" t="s">
        <v>143</v>
      </c>
      <c r="C6" s="98" t="n">
        <v>51017865</v>
      </c>
      <c r="D6" s="98" t="n">
        <v>836621</v>
      </c>
      <c r="E6" s="98" t="s">
        <v>752</v>
      </c>
      <c r="F6" s="98" t="n">
        <v>51017865</v>
      </c>
      <c r="G6" s="98" t="s">
        <v>725</v>
      </c>
      <c r="H6" s="99" t="n">
        <v>43551</v>
      </c>
      <c r="I6" s="99" t="n">
        <v>43564</v>
      </c>
      <c r="J6" s="100" t="n">
        <v>-208614.2</v>
      </c>
      <c r="K6" s="100" t="n">
        <v>-179840</v>
      </c>
      <c r="L6" s="100" t="n">
        <v>-32371.2</v>
      </c>
      <c r="M6" s="100" t="n">
        <v>-176243</v>
      </c>
      <c r="N6" s="100" t="n">
        <v>-179840</v>
      </c>
      <c r="O6" s="100" t="n">
        <v>-3597</v>
      </c>
      <c r="P6" s="98" t="s">
        <v>192</v>
      </c>
      <c r="Q6" s="98" t="s">
        <v>151</v>
      </c>
      <c r="R6" s="98"/>
      <c r="S6" s="98" t="s">
        <v>744</v>
      </c>
      <c r="T6" s="98" t="s">
        <v>753</v>
      </c>
      <c r="U6" s="98" t="s">
        <v>754</v>
      </c>
      <c r="V6" s="98"/>
      <c r="W6" s="98" t="s">
        <v>753</v>
      </c>
      <c r="X6" s="98"/>
      <c r="Y6" s="98" t="s">
        <v>155</v>
      </c>
      <c r="Z6" s="98" t="s">
        <v>156</v>
      </c>
      <c r="AA6" s="98" t="s">
        <v>747</v>
      </c>
      <c r="AB6" s="98" t="s">
        <v>748</v>
      </c>
      <c r="AC6" s="98" t="s">
        <v>749</v>
      </c>
      <c r="AD6" s="98" t="s">
        <v>749</v>
      </c>
      <c r="AE6" s="98" t="s">
        <v>750</v>
      </c>
      <c r="AF6" s="98" t="s">
        <v>159</v>
      </c>
      <c r="AG6" s="98" t="s">
        <v>224</v>
      </c>
      <c r="AH6" s="98" t="s">
        <v>225</v>
      </c>
      <c r="AI6" s="98"/>
      <c r="AJ6" s="98"/>
      <c r="AK6" s="98" t="s">
        <v>316</v>
      </c>
      <c r="AL6" s="98" t="s">
        <v>314</v>
      </c>
      <c r="AM6" s="98" t="s">
        <v>267</v>
      </c>
      <c r="AN6" s="98" t="s">
        <v>755</v>
      </c>
      <c r="AO6" s="100" t="n">
        <v>0</v>
      </c>
      <c r="AP6" s="100" t="n">
        <v>-208614.2</v>
      </c>
      <c r="AQ6" s="98"/>
      <c r="AR6" s="98"/>
      <c r="AS6" s="98" t="s">
        <v>165</v>
      </c>
    </row>
    <row r="7" customFormat="false" ht="14.4" hidden="false" customHeight="false" outlineLevel="0" collapsed="false">
      <c r="A7" s="98" t="s">
        <v>142</v>
      </c>
      <c r="B7" s="98" t="s">
        <v>143</v>
      </c>
      <c r="C7" s="98" t="n">
        <v>51017868</v>
      </c>
      <c r="D7" s="98" t="n">
        <v>836621</v>
      </c>
      <c r="E7" s="98" t="s">
        <v>756</v>
      </c>
      <c r="F7" s="98" t="n">
        <v>51017868</v>
      </c>
      <c r="G7" s="98" t="s">
        <v>725</v>
      </c>
      <c r="H7" s="99" t="n">
        <v>43551</v>
      </c>
      <c r="I7" s="99" t="n">
        <v>43564</v>
      </c>
      <c r="J7" s="100" t="n">
        <v>-106070.26</v>
      </c>
      <c r="K7" s="100" t="n">
        <v>-91440</v>
      </c>
      <c r="L7" s="100" t="n">
        <v>-16459.2</v>
      </c>
      <c r="M7" s="100" t="n">
        <v>-89611.06</v>
      </c>
      <c r="N7" s="100" t="n">
        <v>-91440</v>
      </c>
      <c r="O7" s="100" t="n">
        <v>-1828.94</v>
      </c>
      <c r="P7" s="98" t="s">
        <v>192</v>
      </c>
      <c r="Q7" s="98" t="s">
        <v>151</v>
      </c>
      <c r="R7" s="98"/>
      <c r="S7" s="98" t="s">
        <v>744</v>
      </c>
      <c r="T7" s="98" t="s">
        <v>757</v>
      </c>
      <c r="U7" s="98" t="s">
        <v>758</v>
      </c>
      <c r="V7" s="98"/>
      <c r="W7" s="98" t="s">
        <v>757</v>
      </c>
      <c r="X7" s="98"/>
      <c r="Y7" s="98" t="s">
        <v>155</v>
      </c>
      <c r="Z7" s="98" t="s">
        <v>156</v>
      </c>
      <c r="AA7" s="98" t="s">
        <v>747</v>
      </c>
      <c r="AB7" s="98" t="s">
        <v>748</v>
      </c>
      <c r="AC7" s="98" t="s">
        <v>749</v>
      </c>
      <c r="AD7" s="98" t="s">
        <v>749</v>
      </c>
      <c r="AE7" s="98" t="s">
        <v>750</v>
      </c>
      <c r="AF7" s="98" t="s">
        <v>159</v>
      </c>
      <c r="AG7" s="98" t="s">
        <v>224</v>
      </c>
      <c r="AH7" s="98" t="s">
        <v>225</v>
      </c>
      <c r="AI7" s="98"/>
      <c r="AJ7" s="98"/>
      <c r="AK7" s="98" t="s">
        <v>316</v>
      </c>
      <c r="AL7" s="98" t="s">
        <v>314</v>
      </c>
      <c r="AM7" s="98" t="s">
        <v>267</v>
      </c>
      <c r="AN7" s="98" t="s">
        <v>759</v>
      </c>
      <c r="AO7" s="100" t="n">
        <v>0</v>
      </c>
      <c r="AP7" s="100" t="n">
        <v>-106070.26</v>
      </c>
      <c r="AQ7" s="98"/>
      <c r="AR7" s="98"/>
      <c r="AS7" s="98" t="s">
        <v>148</v>
      </c>
    </row>
    <row r="8" customFormat="false" ht="14.4" hidden="false" customHeight="false" outlineLevel="0" collapsed="false">
      <c r="A8" s="98" t="s">
        <v>142</v>
      </c>
      <c r="B8" s="98" t="s">
        <v>143</v>
      </c>
      <c r="C8" s="98" t="n">
        <v>51017868</v>
      </c>
      <c r="D8" s="98" t="n">
        <v>836621</v>
      </c>
      <c r="E8" s="98" t="s">
        <v>756</v>
      </c>
      <c r="F8" s="98" t="n">
        <v>51017868</v>
      </c>
      <c r="G8" s="98" t="s">
        <v>725</v>
      </c>
      <c r="H8" s="99" t="n">
        <v>43551</v>
      </c>
      <c r="I8" s="99" t="n">
        <v>43564</v>
      </c>
      <c r="J8" s="100" t="n">
        <v>-129212.23</v>
      </c>
      <c r="K8" s="100" t="n">
        <v>-111390</v>
      </c>
      <c r="L8" s="100" t="n">
        <v>-20050.2</v>
      </c>
      <c r="M8" s="100" t="n">
        <v>-109162.03</v>
      </c>
      <c r="N8" s="100" t="n">
        <v>-111390</v>
      </c>
      <c r="O8" s="100" t="n">
        <v>-2227.97</v>
      </c>
      <c r="P8" s="98" t="s">
        <v>192</v>
      </c>
      <c r="Q8" s="98" t="s">
        <v>151</v>
      </c>
      <c r="R8" s="98"/>
      <c r="S8" s="98" t="s">
        <v>744</v>
      </c>
      <c r="T8" s="98" t="s">
        <v>757</v>
      </c>
      <c r="U8" s="98" t="s">
        <v>758</v>
      </c>
      <c r="V8" s="98"/>
      <c r="W8" s="98" t="s">
        <v>757</v>
      </c>
      <c r="X8" s="98"/>
      <c r="Y8" s="98" t="s">
        <v>155</v>
      </c>
      <c r="Z8" s="98" t="s">
        <v>156</v>
      </c>
      <c r="AA8" s="98" t="s">
        <v>747</v>
      </c>
      <c r="AB8" s="98" t="s">
        <v>748</v>
      </c>
      <c r="AC8" s="98" t="s">
        <v>749</v>
      </c>
      <c r="AD8" s="98" t="s">
        <v>749</v>
      </c>
      <c r="AE8" s="98" t="s">
        <v>750</v>
      </c>
      <c r="AF8" s="98" t="s">
        <v>159</v>
      </c>
      <c r="AG8" s="98" t="s">
        <v>224</v>
      </c>
      <c r="AH8" s="98" t="s">
        <v>225</v>
      </c>
      <c r="AI8" s="98"/>
      <c r="AJ8" s="98"/>
      <c r="AK8" s="98" t="s">
        <v>316</v>
      </c>
      <c r="AL8" s="98" t="s">
        <v>314</v>
      </c>
      <c r="AM8" s="98" t="s">
        <v>267</v>
      </c>
      <c r="AN8" s="98" t="s">
        <v>759</v>
      </c>
      <c r="AO8" s="100" t="n">
        <v>0</v>
      </c>
      <c r="AP8" s="100" t="n">
        <v>-129212.23</v>
      </c>
      <c r="AQ8" s="98"/>
      <c r="AR8" s="98"/>
      <c r="AS8" s="98" t="s">
        <v>220</v>
      </c>
    </row>
    <row r="9" customFormat="false" ht="14.4" hidden="false" customHeight="false" outlineLevel="0" collapsed="false">
      <c r="A9" s="98" t="s">
        <v>142</v>
      </c>
      <c r="B9" s="98" t="s">
        <v>143</v>
      </c>
      <c r="C9" s="98" t="n">
        <v>51017868</v>
      </c>
      <c r="D9" s="98" t="n">
        <v>836621</v>
      </c>
      <c r="E9" s="98" t="s">
        <v>756</v>
      </c>
      <c r="F9" s="98" t="n">
        <v>51017868</v>
      </c>
      <c r="G9" s="98" t="s">
        <v>725</v>
      </c>
      <c r="H9" s="99" t="n">
        <v>43551</v>
      </c>
      <c r="I9" s="99" t="n">
        <v>43564</v>
      </c>
      <c r="J9" s="100" t="n">
        <v>-68903.91</v>
      </c>
      <c r="K9" s="100" t="n">
        <v>-59400</v>
      </c>
      <c r="L9" s="100" t="n">
        <v>-10692</v>
      </c>
      <c r="M9" s="100" t="n">
        <v>-58211.91</v>
      </c>
      <c r="N9" s="100" t="n">
        <v>-59400</v>
      </c>
      <c r="O9" s="100" t="n">
        <v>-1188.09</v>
      </c>
      <c r="P9" s="98" t="s">
        <v>192</v>
      </c>
      <c r="Q9" s="98" t="s">
        <v>151</v>
      </c>
      <c r="R9" s="98"/>
      <c r="S9" s="98" t="s">
        <v>744</v>
      </c>
      <c r="T9" s="98" t="s">
        <v>757</v>
      </c>
      <c r="U9" s="98" t="s">
        <v>758</v>
      </c>
      <c r="V9" s="98"/>
      <c r="W9" s="98" t="s">
        <v>757</v>
      </c>
      <c r="X9" s="98"/>
      <c r="Y9" s="98" t="s">
        <v>155</v>
      </c>
      <c r="Z9" s="98" t="s">
        <v>156</v>
      </c>
      <c r="AA9" s="98" t="s">
        <v>747</v>
      </c>
      <c r="AB9" s="98" t="s">
        <v>748</v>
      </c>
      <c r="AC9" s="98" t="s">
        <v>749</v>
      </c>
      <c r="AD9" s="98" t="s">
        <v>749</v>
      </c>
      <c r="AE9" s="98" t="s">
        <v>750</v>
      </c>
      <c r="AF9" s="98" t="s">
        <v>159</v>
      </c>
      <c r="AG9" s="98" t="s">
        <v>224</v>
      </c>
      <c r="AH9" s="98" t="s">
        <v>225</v>
      </c>
      <c r="AI9" s="98"/>
      <c r="AJ9" s="98"/>
      <c r="AK9" s="98" t="s">
        <v>316</v>
      </c>
      <c r="AL9" s="98" t="s">
        <v>314</v>
      </c>
      <c r="AM9" s="98" t="s">
        <v>267</v>
      </c>
      <c r="AN9" s="98" t="s">
        <v>759</v>
      </c>
      <c r="AO9" s="100" t="n">
        <v>0</v>
      </c>
      <c r="AP9" s="100" t="n">
        <v>-68903.91</v>
      </c>
      <c r="AQ9" s="98"/>
      <c r="AR9" s="98"/>
      <c r="AS9" s="98" t="s">
        <v>165</v>
      </c>
    </row>
    <row r="10" customFormat="false" ht="14.4" hidden="false" customHeight="false" outlineLevel="0" collapsed="false">
      <c r="A10" s="98" t="s">
        <v>142</v>
      </c>
      <c r="B10" s="98" t="s">
        <v>143</v>
      </c>
      <c r="C10" s="98" t="n">
        <v>51017875</v>
      </c>
      <c r="D10" s="98" t="n">
        <v>836621</v>
      </c>
      <c r="E10" s="98" t="s">
        <v>760</v>
      </c>
      <c r="F10" s="98" t="n">
        <v>51017875</v>
      </c>
      <c r="G10" s="98" t="s">
        <v>725</v>
      </c>
      <c r="H10" s="99" t="n">
        <v>43551</v>
      </c>
      <c r="I10" s="99" t="n">
        <v>43564</v>
      </c>
      <c r="J10" s="100" t="n">
        <v>-414990</v>
      </c>
      <c r="K10" s="100" t="n">
        <v>-357750</v>
      </c>
      <c r="L10" s="100" t="n">
        <v>-64395</v>
      </c>
      <c r="M10" s="100" t="n">
        <v>-350595</v>
      </c>
      <c r="N10" s="100" t="n">
        <v>-357750</v>
      </c>
      <c r="O10" s="100" t="n">
        <v>-7155</v>
      </c>
      <c r="P10" s="98" t="s">
        <v>192</v>
      </c>
      <c r="Q10" s="98" t="s">
        <v>151</v>
      </c>
      <c r="R10" s="98"/>
      <c r="S10" s="98" t="s">
        <v>744</v>
      </c>
      <c r="T10" s="98" t="s">
        <v>761</v>
      </c>
      <c r="U10" s="98" t="s">
        <v>762</v>
      </c>
      <c r="V10" s="98"/>
      <c r="W10" s="98" t="s">
        <v>761</v>
      </c>
      <c r="X10" s="98"/>
      <c r="Y10" s="98" t="s">
        <v>155</v>
      </c>
      <c r="Z10" s="98" t="s">
        <v>156</v>
      </c>
      <c r="AA10" s="98" t="s">
        <v>747</v>
      </c>
      <c r="AB10" s="98" t="s">
        <v>748</v>
      </c>
      <c r="AC10" s="98" t="s">
        <v>749</v>
      </c>
      <c r="AD10" s="98" t="s">
        <v>749</v>
      </c>
      <c r="AE10" s="98" t="s">
        <v>750</v>
      </c>
      <c r="AF10" s="98" t="s">
        <v>159</v>
      </c>
      <c r="AG10" s="98" t="s">
        <v>224</v>
      </c>
      <c r="AH10" s="98" t="s">
        <v>225</v>
      </c>
      <c r="AI10" s="98"/>
      <c r="AJ10" s="98"/>
      <c r="AK10" s="98" t="s">
        <v>316</v>
      </c>
      <c r="AL10" s="98" t="s">
        <v>314</v>
      </c>
      <c r="AM10" s="98" t="s">
        <v>267</v>
      </c>
      <c r="AN10" s="98" t="s">
        <v>763</v>
      </c>
      <c r="AO10" s="100" t="n">
        <v>0</v>
      </c>
      <c r="AP10" s="100" t="n">
        <v>-414990</v>
      </c>
      <c r="AQ10" s="98"/>
      <c r="AR10" s="98"/>
      <c r="AS10" s="98" t="s">
        <v>165</v>
      </c>
    </row>
    <row r="11" customFormat="false" ht="14.4" hidden="false" customHeight="false" outlineLevel="0" collapsed="false">
      <c r="A11" s="98" t="s">
        <v>142</v>
      </c>
      <c r="B11" s="98" t="s">
        <v>143</v>
      </c>
      <c r="C11" s="98" t="n">
        <v>51019236</v>
      </c>
      <c r="D11" s="98" t="n">
        <v>836603</v>
      </c>
      <c r="E11" s="98" t="s">
        <v>764</v>
      </c>
      <c r="F11" s="98" t="n">
        <v>51019236</v>
      </c>
      <c r="G11" s="98" t="s">
        <v>725</v>
      </c>
      <c r="H11" s="99" t="n">
        <v>43537</v>
      </c>
      <c r="I11" s="99" t="n">
        <v>43564</v>
      </c>
      <c r="J11" s="100" t="n">
        <v>-1844550.34</v>
      </c>
      <c r="K11" s="100" t="n">
        <v>-1563178.35</v>
      </c>
      <c r="L11" s="100" t="n">
        <v>-281371.99</v>
      </c>
      <c r="M11" s="100" t="n">
        <v>-1563178.35</v>
      </c>
      <c r="N11" s="100" t="n">
        <v>0</v>
      </c>
      <c r="O11" s="100" t="n">
        <v>0</v>
      </c>
      <c r="P11" s="98" t="s">
        <v>192</v>
      </c>
      <c r="Q11" s="98" t="s">
        <v>151</v>
      </c>
      <c r="R11" s="98"/>
      <c r="S11" s="98" t="s">
        <v>734</v>
      </c>
      <c r="T11" s="98" t="s">
        <v>765</v>
      </c>
      <c r="U11" s="98" t="s">
        <v>766</v>
      </c>
      <c r="V11" s="98"/>
      <c r="W11" s="98" t="s">
        <v>765</v>
      </c>
      <c r="X11" s="98"/>
      <c r="Y11" s="98" t="s">
        <v>155</v>
      </c>
      <c r="Z11" s="98" t="s">
        <v>156</v>
      </c>
      <c r="AA11" s="98" t="s">
        <v>737</v>
      </c>
      <c r="AB11" s="98" t="s">
        <v>738</v>
      </c>
      <c r="AC11" s="98" t="s">
        <v>739</v>
      </c>
      <c r="AD11" s="98" t="s">
        <v>739</v>
      </c>
      <c r="AE11" s="98" t="s">
        <v>740</v>
      </c>
      <c r="AF11" s="98" t="s">
        <v>159</v>
      </c>
      <c r="AG11" s="98" t="s">
        <v>224</v>
      </c>
      <c r="AH11" s="98" t="s">
        <v>225</v>
      </c>
      <c r="AI11" s="98"/>
      <c r="AJ11" s="98"/>
      <c r="AK11" s="98" t="s">
        <v>289</v>
      </c>
      <c r="AL11" s="98" t="s">
        <v>283</v>
      </c>
      <c r="AM11" s="98" t="s">
        <v>267</v>
      </c>
      <c r="AN11" s="98" t="s">
        <v>767</v>
      </c>
      <c r="AO11" s="100" t="n">
        <v>0</v>
      </c>
      <c r="AP11" s="100" t="n">
        <v>-1844550.34</v>
      </c>
      <c r="AQ11" s="98"/>
      <c r="AR11" s="98"/>
      <c r="AS11" s="98" t="s">
        <v>165</v>
      </c>
    </row>
    <row r="12" customFormat="false" ht="14.4" hidden="false" customHeight="false" outlineLevel="0" collapsed="false">
      <c r="A12" s="98" t="s">
        <v>142</v>
      </c>
      <c r="B12" s="98" t="s">
        <v>143</v>
      </c>
      <c r="C12" s="98" t="n">
        <v>51019944</v>
      </c>
      <c r="D12" s="98" t="n">
        <v>836580</v>
      </c>
      <c r="E12" s="98" t="s">
        <v>768</v>
      </c>
      <c r="F12" s="98" t="n">
        <v>51019944</v>
      </c>
      <c r="G12" s="98" t="s">
        <v>725</v>
      </c>
      <c r="H12" s="99" t="n">
        <v>43492</v>
      </c>
      <c r="I12" s="99" t="n">
        <v>43565</v>
      </c>
      <c r="J12" s="100" t="n">
        <v>-309.75</v>
      </c>
      <c r="K12" s="100" t="n">
        <v>-262.5</v>
      </c>
      <c r="L12" s="100" t="n">
        <v>-47.25</v>
      </c>
      <c r="M12" s="100" t="n">
        <v>-262.5</v>
      </c>
      <c r="N12" s="100" t="n">
        <v>0</v>
      </c>
      <c r="O12" s="100" t="n">
        <v>0</v>
      </c>
      <c r="P12" s="98" t="s">
        <v>150</v>
      </c>
      <c r="Q12" s="98" t="s">
        <v>151</v>
      </c>
      <c r="R12" s="98"/>
      <c r="S12" s="98"/>
      <c r="T12" s="98" t="s">
        <v>769</v>
      </c>
      <c r="U12" s="98" t="s">
        <v>770</v>
      </c>
      <c r="V12" s="98"/>
      <c r="W12" s="98" t="s">
        <v>769</v>
      </c>
      <c r="X12" s="98"/>
      <c r="Y12" s="98" t="s">
        <v>155</v>
      </c>
      <c r="Z12" s="98" t="s">
        <v>156</v>
      </c>
      <c r="AA12" s="98" t="s">
        <v>728</v>
      </c>
      <c r="AB12" s="98" t="s">
        <v>729</v>
      </c>
      <c r="AC12" s="98" t="s">
        <v>730</v>
      </c>
      <c r="AD12" s="98" t="s">
        <v>730</v>
      </c>
      <c r="AE12" s="98" t="s">
        <v>731</v>
      </c>
      <c r="AF12" s="98" t="s">
        <v>159</v>
      </c>
      <c r="AG12" s="98" t="s">
        <v>224</v>
      </c>
      <c r="AH12" s="98" t="s">
        <v>225</v>
      </c>
      <c r="AI12" s="98"/>
      <c r="AJ12" s="98"/>
      <c r="AK12" s="98" t="s">
        <v>294</v>
      </c>
      <c r="AL12" s="98" t="s">
        <v>292</v>
      </c>
      <c r="AM12" s="98" t="s">
        <v>771</v>
      </c>
      <c r="AN12" s="98" t="s">
        <v>772</v>
      </c>
      <c r="AO12" s="100" t="n">
        <v>0</v>
      </c>
      <c r="AP12" s="100" t="n">
        <v>-309.75</v>
      </c>
      <c r="AQ12" s="98"/>
      <c r="AR12" s="98"/>
      <c r="AS12" s="98" t="s">
        <v>165</v>
      </c>
    </row>
    <row r="13" customFormat="false" ht="14.4" hidden="false" customHeight="false" outlineLevel="0" collapsed="false">
      <c r="A13" s="98" t="s">
        <v>142</v>
      </c>
      <c r="B13" s="98" t="s">
        <v>143</v>
      </c>
      <c r="C13" s="98" t="n">
        <v>51019945</v>
      </c>
      <c r="D13" s="98" t="n">
        <v>836581</v>
      </c>
      <c r="E13" s="98" t="s">
        <v>773</v>
      </c>
      <c r="F13" s="98" t="n">
        <v>51019945</v>
      </c>
      <c r="G13" s="98" t="s">
        <v>725</v>
      </c>
      <c r="H13" s="99" t="n">
        <v>43492</v>
      </c>
      <c r="I13" s="99" t="n">
        <v>43565</v>
      </c>
      <c r="J13" s="100" t="n">
        <v>-10752.75</v>
      </c>
      <c r="K13" s="100" t="n">
        <v>-9112.5</v>
      </c>
      <c r="L13" s="100" t="n">
        <v>-1640.25</v>
      </c>
      <c r="M13" s="100" t="n">
        <v>-9112.5</v>
      </c>
      <c r="N13" s="100" t="n">
        <v>0</v>
      </c>
      <c r="O13" s="100" t="n">
        <v>0</v>
      </c>
      <c r="P13" s="98" t="s">
        <v>150</v>
      </c>
      <c r="Q13" s="98" t="s">
        <v>151</v>
      </c>
      <c r="R13" s="98"/>
      <c r="S13" s="98"/>
      <c r="T13" s="98" t="s">
        <v>769</v>
      </c>
      <c r="U13" s="98" t="s">
        <v>774</v>
      </c>
      <c r="V13" s="98"/>
      <c r="W13" s="98" t="s">
        <v>769</v>
      </c>
      <c r="X13" s="98"/>
      <c r="Y13" s="98" t="s">
        <v>155</v>
      </c>
      <c r="Z13" s="98" t="s">
        <v>156</v>
      </c>
      <c r="AA13" s="98" t="s">
        <v>728</v>
      </c>
      <c r="AB13" s="98" t="s">
        <v>729</v>
      </c>
      <c r="AC13" s="98" t="s">
        <v>730</v>
      </c>
      <c r="AD13" s="98" t="s">
        <v>730</v>
      </c>
      <c r="AE13" s="98" t="s">
        <v>731</v>
      </c>
      <c r="AF13" s="98" t="s">
        <v>159</v>
      </c>
      <c r="AG13" s="98" t="s">
        <v>224</v>
      </c>
      <c r="AH13" s="98" t="s">
        <v>225</v>
      </c>
      <c r="AI13" s="98"/>
      <c r="AJ13" s="98"/>
      <c r="AK13" s="98" t="s">
        <v>294</v>
      </c>
      <c r="AL13" s="98" t="s">
        <v>292</v>
      </c>
      <c r="AM13" s="98" t="s">
        <v>771</v>
      </c>
      <c r="AN13" s="98" t="s">
        <v>775</v>
      </c>
      <c r="AO13" s="100" t="n">
        <v>0</v>
      </c>
      <c r="AP13" s="100" t="n">
        <v>-10752.75</v>
      </c>
      <c r="AQ13" s="98"/>
      <c r="AR13" s="98"/>
      <c r="AS13" s="98" t="s">
        <v>165</v>
      </c>
    </row>
    <row r="14" customFormat="false" ht="14.4" hidden="false" customHeight="false" outlineLevel="0" collapsed="false">
      <c r="A14" s="98" t="s">
        <v>142</v>
      </c>
      <c r="B14" s="98" t="s">
        <v>143</v>
      </c>
      <c r="C14" s="98" t="n">
        <v>51019946</v>
      </c>
      <c r="D14" s="98" t="n">
        <v>836598</v>
      </c>
      <c r="E14" s="98" t="s">
        <v>776</v>
      </c>
      <c r="F14" s="98" t="n">
        <v>51019946</v>
      </c>
      <c r="G14" s="98" t="s">
        <v>725</v>
      </c>
      <c r="H14" s="99" t="n">
        <v>43492</v>
      </c>
      <c r="I14" s="99" t="n">
        <v>43565</v>
      </c>
      <c r="J14" s="100" t="n">
        <v>-1618.96</v>
      </c>
      <c r="K14" s="100" t="n">
        <v>-1372</v>
      </c>
      <c r="L14" s="100" t="n">
        <v>-246.96</v>
      </c>
      <c r="M14" s="100" t="n">
        <v>-1372</v>
      </c>
      <c r="N14" s="100" t="n">
        <v>0</v>
      </c>
      <c r="O14" s="100" t="n">
        <v>0</v>
      </c>
      <c r="P14" s="98" t="s">
        <v>150</v>
      </c>
      <c r="Q14" s="98" t="s">
        <v>151</v>
      </c>
      <c r="R14" s="98"/>
      <c r="S14" s="98"/>
      <c r="T14" s="98" t="s">
        <v>769</v>
      </c>
      <c r="U14" s="98" t="s">
        <v>777</v>
      </c>
      <c r="V14" s="98"/>
      <c r="W14" s="98" t="s">
        <v>769</v>
      </c>
      <c r="X14" s="98"/>
      <c r="Y14" s="98" t="s">
        <v>155</v>
      </c>
      <c r="Z14" s="98" t="s">
        <v>156</v>
      </c>
      <c r="AA14" s="98" t="s">
        <v>728</v>
      </c>
      <c r="AB14" s="98" t="s">
        <v>729</v>
      </c>
      <c r="AC14" s="98" t="s">
        <v>730</v>
      </c>
      <c r="AD14" s="98" t="s">
        <v>730</v>
      </c>
      <c r="AE14" s="98" t="s">
        <v>731</v>
      </c>
      <c r="AF14" s="98" t="s">
        <v>159</v>
      </c>
      <c r="AG14" s="98" t="s">
        <v>224</v>
      </c>
      <c r="AH14" s="98" t="s">
        <v>225</v>
      </c>
      <c r="AI14" s="98"/>
      <c r="AJ14" s="98"/>
      <c r="AK14" s="98" t="s">
        <v>294</v>
      </c>
      <c r="AL14" s="98" t="s">
        <v>292</v>
      </c>
      <c r="AM14" s="98" t="s">
        <v>771</v>
      </c>
      <c r="AN14" s="98" t="s">
        <v>778</v>
      </c>
      <c r="AO14" s="100" t="n">
        <v>0</v>
      </c>
      <c r="AP14" s="100" t="n">
        <v>-1618.96</v>
      </c>
      <c r="AQ14" s="98"/>
      <c r="AR14" s="98"/>
      <c r="AS14" s="98" t="s">
        <v>165</v>
      </c>
    </row>
    <row r="15" customFormat="false" ht="14.4" hidden="false" customHeight="false" outlineLevel="0" collapsed="false">
      <c r="A15" s="98" t="s">
        <v>142</v>
      </c>
      <c r="B15" s="98" t="s">
        <v>143</v>
      </c>
      <c r="C15" s="98" t="n">
        <v>51019947</v>
      </c>
      <c r="D15" s="98" t="n">
        <v>836596</v>
      </c>
      <c r="E15" s="98" t="s">
        <v>779</v>
      </c>
      <c r="F15" s="98" t="n">
        <v>51019947</v>
      </c>
      <c r="G15" s="98" t="s">
        <v>725</v>
      </c>
      <c r="H15" s="99" t="n">
        <v>43492</v>
      </c>
      <c r="I15" s="99" t="n">
        <v>43565</v>
      </c>
      <c r="J15" s="100" t="n">
        <v>-5286.4</v>
      </c>
      <c r="K15" s="100" t="n">
        <v>-4480</v>
      </c>
      <c r="L15" s="100" t="n">
        <v>-806.4</v>
      </c>
      <c r="M15" s="100" t="n">
        <v>-4480</v>
      </c>
      <c r="N15" s="100" t="n">
        <v>0</v>
      </c>
      <c r="O15" s="100" t="n">
        <v>0</v>
      </c>
      <c r="P15" s="98" t="s">
        <v>150</v>
      </c>
      <c r="Q15" s="98" t="s">
        <v>151</v>
      </c>
      <c r="R15" s="98"/>
      <c r="S15" s="98"/>
      <c r="T15" s="98" t="s">
        <v>769</v>
      </c>
      <c r="U15" s="98" t="s">
        <v>780</v>
      </c>
      <c r="V15" s="98"/>
      <c r="W15" s="98" t="s">
        <v>769</v>
      </c>
      <c r="X15" s="98"/>
      <c r="Y15" s="98" t="s">
        <v>155</v>
      </c>
      <c r="Z15" s="98" t="s">
        <v>156</v>
      </c>
      <c r="AA15" s="98" t="s">
        <v>728</v>
      </c>
      <c r="AB15" s="98" t="s">
        <v>729</v>
      </c>
      <c r="AC15" s="98" t="s">
        <v>730</v>
      </c>
      <c r="AD15" s="98" t="s">
        <v>730</v>
      </c>
      <c r="AE15" s="98" t="s">
        <v>731</v>
      </c>
      <c r="AF15" s="98" t="s">
        <v>159</v>
      </c>
      <c r="AG15" s="98" t="s">
        <v>224</v>
      </c>
      <c r="AH15" s="98" t="s">
        <v>225</v>
      </c>
      <c r="AI15" s="98"/>
      <c r="AJ15" s="98"/>
      <c r="AK15" s="98" t="s">
        <v>294</v>
      </c>
      <c r="AL15" s="98" t="s">
        <v>292</v>
      </c>
      <c r="AM15" s="98" t="s">
        <v>771</v>
      </c>
      <c r="AN15" s="98" t="s">
        <v>781</v>
      </c>
      <c r="AO15" s="100" t="n">
        <v>0</v>
      </c>
      <c r="AP15" s="100" t="n">
        <v>-5286.4</v>
      </c>
      <c r="AQ15" s="98"/>
      <c r="AR15" s="98"/>
      <c r="AS15" s="98" t="s">
        <v>165</v>
      </c>
    </row>
    <row r="16" customFormat="false" ht="14.4" hidden="false" customHeight="false" outlineLevel="0" collapsed="false">
      <c r="A16" s="98" t="s">
        <v>142</v>
      </c>
      <c r="B16" s="98" t="s">
        <v>143</v>
      </c>
      <c r="C16" s="98" t="n">
        <v>51035916</v>
      </c>
      <c r="D16" s="98" t="n">
        <v>836621</v>
      </c>
      <c r="E16" s="98" t="s">
        <v>782</v>
      </c>
      <c r="F16" s="98" t="n">
        <v>51035916</v>
      </c>
      <c r="G16" s="98" t="s">
        <v>725</v>
      </c>
      <c r="H16" s="99" t="n">
        <v>43551</v>
      </c>
      <c r="I16" s="99" t="n">
        <v>43572</v>
      </c>
      <c r="J16" s="100" t="n">
        <v>-165299.87</v>
      </c>
      <c r="K16" s="100" t="n">
        <v>-142500</v>
      </c>
      <c r="L16" s="100" t="n">
        <v>-25650</v>
      </c>
      <c r="M16" s="100" t="n">
        <v>-139649.87</v>
      </c>
      <c r="N16" s="100" t="n">
        <v>-142500</v>
      </c>
      <c r="O16" s="100" t="n">
        <v>-2850.13</v>
      </c>
      <c r="P16" s="98" t="s">
        <v>192</v>
      </c>
      <c r="Q16" s="98" t="s">
        <v>151</v>
      </c>
      <c r="R16" s="98"/>
      <c r="S16" s="98" t="s">
        <v>783</v>
      </c>
      <c r="T16" s="98" t="s">
        <v>784</v>
      </c>
      <c r="U16" s="98" t="s">
        <v>785</v>
      </c>
      <c r="V16" s="98"/>
      <c r="W16" s="98" t="s">
        <v>784</v>
      </c>
      <c r="X16" s="98"/>
      <c r="Y16" s="98" t="s">
        <v>155</v>
      </c>
      <c r="Z16" s="98" t="s">
        <v>156</v>
      </c>
      <c r="AA16" s="98" t="s">
        <v>747</v>
      </c>
      <c r="AB16" s="98" t="s">
        <v>748</v>
      </c>
      <c r="AC16" s="98" t="s">
        <v>786</v>
      </c>
      <c r="AD16" s="98" t="s">
        <v>786</v>
      </c>
      <c r="AE16" s="98" t="s">
        <v>787</v>
      </c>
      <c r="AF16" s="98" t="s">
        <v>159</v>
      </c>
      <c r="AG16" s="98" t="s">
        <v>224</v>
      </c>
      <c r="AH16" s="98" t="s">
        <v>225</v>
      </c>
      <c r="AI16" s="98"/>
      <c r="AJ16" s="98"/>
      <c r="AK16" s="98" t="s">
        <v>326</v>
      </c>
      <c r="AL16" s="98" t="s">
        <v>324</v>
      </c>
      <c r="AM16" s="98" t="s">
        <v>292</v>
      </c>
      <c r="AN16" s="98" t="s">
        <v>788</v>
      </c>
      <c r="AO16" s="100" t="n">
        <v>0</v>
      </c>
      <c r="AP16" s="100" t="n">
        <v>-165299.87</v>
      </c>
      <c r="AQ16" s="98"/>
      <c r="AR16" s="98"/>
      <c r="AS16" s="98" t="s">
        <v>220</v>
      </c>
    </row>
    <row r="17" customFormat="false" ht="14.4" hidden="false" customHeight="false" outlineLevel="0" collapsed="false">
      <c r="A17" s="98" t="s">
        <v>142</v>
      </c>
      <c r="B17" s="98" t="s">
        <v>143</v>
      </c>
      <c r="C17" s="98" t="n">
        <v>51035916</v>
      </c>
      <c r="D17" s="98" t="n">
        <v>836621</v>
      </c>
      <c r="E17" s="98" t="s">
        <v>782</v>
      </c>
      <c r="F17" s="98" t="n">
        <v>51035916</v>
      </c>
      <c r="G17" s="98" t="s">
        <v>725</v>
      </c>
      <c r="H17" s="99" t="n">
        <v>43551</v>
      </c>
      <c r="I17" s="99" t="n">
        <v>43572</v>
      </c>
      <c r="J17" s="100" t="n">
        <v>-214989.02</v>
      </c>
      <c r="K17" s="100" t="n">
        <v>-185335.5</v>
      </c>
      <c r="L17" s="100" t="n">
        <v>-33360.39</v>
      </c>
      <c r="M17" s="100" t="n">
        <v>-181628.63</v>
      </c>
      <c r="N17" s="100" t="n">
        <v>-185335.5</v>
      </c>
      <c r="O17" s="100" t="n">
        <v>-3706.87</v>
      </c>
      <c r="P17" s="98" t="s">
        <v>192</v>
      </c>
      <c r="Q17" s="98" t="s">
        <v>151</v>
      </c>
      <c r="R17" s="98"/>
      <c r="S17" s="98" t="s">
        <v>783</v>
      </c>
      <c r="T17" s="98" t="s">
        <v>784</v>
      </c>
      <c r="U17" s="98" t="s">
        <v>785</v>
      </c>
      <c r="V17" s="98"/>
      <c r="W17" s="98" t="s">
        <v>784</v>
      </c>
      <c r="X17" s="98"/>
      <c r="Y17" s="98" t="s">
        <v>155</v>
      </c>
      <c r="Z17" s="98" t="s">
        <v>156</v>
      </c>
      <c r="AA17" s="98" t="s">
        <v>747</v>
      </c>
      <c r="AB17" s="98" t="s">
        <v>748</v>
      </c>
      <c r="AC17" s="98" t="s">
        <v>786</v>
      </c>
      <c r="AD17" s="98" t="s">
        <v>786</v>
      </c>
      <c r="AE17" s="98" t="s">
        <v>787</v>
      </c>
      <c r="AF17" s="98" t="s">
        <v>159</v>
      </c>
      <c r="AG17" s="98" t="s">
        <v>224</v>
      </c>
      <c r="AH17" s="98" t="s">
        <v>225</v>
      </c>
      <c r="AI17" s="98"/>
      <c r="AJ17" s="98"/>
      <c r="AK17" s="98" t="s">
        <v>326</v>
      </c>
      <c r="AL17" s="98" t="s">
        <v>324</v>
      </c>
      <c r="AM17" s="98" t="s">
        <v>292</v>
      </c>
      <c r="AN17" s="98" t="s">
        <v>788</v>
      </c>
      <c r="AO17" s="100" t="n">
        <v>0</v>
      </c>
      <c r="AP17" s="100" t="n">
        <v>-214989.02</v>
      </c>
      <c r="AQ17" s="98"/>
      <c r="AR17" s="98"/>
      <c r="AS17" s="98" t="s">
        <v>165</v>
      </c>
    </row>
    <row r="18" customFormat="false" ht="14.4" hidden="false" customHeight="false" outlineLevel="0" collapsed="false">
      <c r="A18" s="98" t="s">
        <v>142</v>
      </c>
      <c r="B18" s="98" t="s">
        <v>143</v>
      </c>
      <c r="C18" s="98" t="n">
        <v>51038398</v>
      </c>
      <c r="D18" s="98" t="n">
        <v>836561</v>
      </c>
      <c r="E18" s="98" t="s">
        <v>789</v>
      </c>
      <c r="F18" s="98" t="n">
        <v>51038398</v>
      </c>
      <c r="G18" s="98" t="s">
        <v>725</v>
      </c>
      <c r="H18" s="99" t="n">
        <v>43543</v>
      </c>
      <c r="I18" s="99" t="n">
        <v>43573</v>
      </c>
      <c r="J18" s="100" t="n">
        <v>-1164518</v>
      </c>
      <c r="K18" s="100" t="n">
        <v>-986879.6</v>
      </c>
      <c r="L18" s="100" t="n">
        <v>-177638.4</v>
      </c>
      <c r="M18" s="100" t="n">
        <v>-986879.6</v>
      </c>
      <c r="N18" s="100" t="n">
        <v>0</v>
      </c>
      <c r="O18" s="100" t="n">
        <v>0</v>
      </c>
      <c r="P18" s="98" t="s">
        <v>192</v>
      </c>
      <c r="Q18" s="98" t="s">
        <v>151</v>
      </c>
      <c r="R18" s="98"/>
      <c r="S18" s="98" t="s">
        <v>790</v>
      </c>
      <c r="T18" s="98" t="s">
        <v>791</v>
      </c>
      <c r="U18" s="98" t="s">
        <v>792</v>
      </c>
      <c r="V18" s="98"/>
      <c r="W18" s="98" t="s">
        <v>791</v>
      </c>
      <c r="X18" s="98"/>
      <c r="Y18" s="98" t="s">
        <v>155</v>
      </c>
      <c r="Z18" s="98" t="s">
        <v>156</v>
      </c>
      <c r="AA18" s="98" t="s">
        <v>737</v>
      </c>
      <c r="AB18" s="98" t="s">
        <v>738</v>
      </c>
      <c r="AC18" s="98" t="s">
        <v>793</v>
      </c>
      <c r="AD18" s="98" t="s">
        <v>793</v>
      </c>
      <c r="AE18" s="98" t="s">
        <v>794</v>
      </c>
      <c r="AF18" s="98" t="s">
        <v>159</v>
      </c>
      <c r="AG18" s="98" t="s">
        <v>224</v>
      </c>
      <c r="AH18" s="98" t="s">
        <v>225</v>
      </c>
      <c r="AI18" s="98"/>
      <c r="AJ18" s="98"/>
      <c r="AK18" s="98" t="s">
        <v>300</v>
      </c>
      <c r="AL18" s="98" t="s">
        <v>298</v>
      </c>
      <c r="AM18" s="98" t="s">
        <v>795</v>
      </c>
      <c r="AN18" s="98" t="s">
        <v>796</v>
      </c>
      <c r="AO18" s="100" t="n">
        <v>0</v>
      </c>
      <c r="AP18" s="100" t="n">
        <v>-1164518</v>
      </c>
      <c r="AQ18" s="98"/>
      <c r="AR18" s="98"/>
      <c r="AS18" s="98" t="s">
        <v>165</v>
      </c>
    </row>
    <row r="19" customFormat="false" ht="14.4" hidden="false" customHeight="false" outlineLevel="0" collapsed="false">
      <c r="A19" s="98" t="s">
        <v>142</v>
      </c>
      <c r="B19" s="98" t="s">
        <v>143</v>
      </c>
      <c r="C19" s="98" t="n">
        <v>51038775</v>
      </c>
      <c r="D19" s="98" t="n">
        <v>836557</v>
      </c>
      <c r="E19" s="98" t="s">
        <v>797</v>
      </c>
      <c r="F19" s="98" t="n">
        <v>51038775</v>
      </c>
      <c r="G19" s="98" t="s">
        <v>725</v>
      </c>
      <c r="H19" s="99" t="n">
        <v>43543</v>
      </c>
      <c r="I19" s="99" t="n">
        <v>43573</v>
      </c>
      <c r="J19" s="100" t="n">
        <v>-974532</v>
      </c>
      <c r="K19" s="100" t="n">
        <v>-825874.5</v>
      </c>
      <c r="L19" s="100" t="n">
        <v>-148657.5</v>
      </c>
      <c r="M19" s="100" t="n">
        <v>-825874.5</v>
      </c>
      <c r="N19" s="100" t="n">
        <v>0</v>
      </c>
      <c r="O19" s="100" t="n">
        <v>0</v>
      </c>
      <c r="P19" s="98" t="s">
        <v>192</v>
      </c>
      <c r="Q19" s="98" t="s">
        <v>151</v>
      </c>
      <c r="R19" s="98"/>
      <c r="S19" s="98" t="s">
        <v>798</v>
      </c>
      <c r="T19" s="98" t="s">
        <v>799</v>
      </c>
      <c r="U19" s="98" t="s">
        <v>800</v>
      </c>
      <c r="V19" s="98"/>
      <c r="W19" s="98" t="s">
        <v>799</v>
      </c>
      <c r="X19" s="98"/>
      <c r="Y19" s="98" t="s">
        <v>155</v>
      </c>
      <c r="Z19" s="98" t="s">
        <v>156</v>
      </c>
      <c r="AA19" s="98" t="s">
        <v>737</v>
      </c>
      <c r="AB19" s="98" t="s">
        <v>738</v>
      </c>
      <c r="AC19" s="98" t="s">
        <v>793</v>
      </c>
      <c r="AD19" s="98" t="s">
        <v>793</v>
      </c>
      <c r="AE19" s="98" t="s">
        <v>794</v>
      </c>
      <c r="AF19" s="98" t="s">
        <v>159</v>
      </c>
      <c r="AG19" s="98" t="s">
        <v>224</v>
      </c>
      <c r="AH19" s="98" t="s">
        <v>225</v>
      </c>
      <c r="AI19" s="98"/>
      <c r="AJ19" s="98"/>
      <c r="AK19" s="98" t="s">
        <v>300</v>
      </c>
      <c r="AL19" s="98" t="s">
        <v>298</v>
      </c>
      <c r="AM19" s="98" t="s">
        <v>795</v>
      </c>
      <c r="AN19" s="98" t="s">
        <v>801</v>
      </c>
      <c r="AO19" s="100" t="n">
        <v>0</v>
      </c>
      <c r="AP19" s="100" t="n">
        <v>-974532</v>
      </c>
      <c r="AQ19" s="98"/>
      <c r="AR19" s="98"/>
      <c r="AS19" s="98" t="s">
        <v>165</v>
      </c>
    </row>
    <row r="20" customFormat="false" ht="14.4" hidden="false" customHeight="false" outlineLevel="0" collapsed="false">
      <c r="A20" s="98" t="s">
        <v>142</v>
      </c>
      <c r="B20" s="98" t="s">
        <v>143</v>
      </c>
      <c r="C20" s="98" t="n">
        <v>51043071</v>
      </c>
      <c r="D20" s="98" t="n">
        <v>836582</v>
      </c>
      <c r="E20" s="98" t="s">
        <v>810</v>
      </c>
      <c r="F20" s="98" t="n">
        <v>51043071</v>
      </c>
      <c r="G20" s="98" t="s">
        <v>725</v>
      </c>
      <c r="H20" s="99" t="n">
        <v>43492</v>
      </c>
      <c r="I20" s="99" t="n">
        <v>43577</v>
      </c>
      <c r="J20" s="100" t="n">
        <v>-832.49</v>
      </c>
      <c r="K20" s="100" t="n">
        <v>-705.5</v>
      </c>
      <c r="L20" s="100" t="n">
        <v>-126.99</v>
      </c>
      <c r="M20" s="100" t="n">
        <v>-705.5</v>
      </c>
      <c r="N20" s="100" t="n">
        <v>0</v>
      </c>
      <c r="O20" s="100" t="n">
        <v>0</v>
      </c>
      <c r="P20" s="98" t="s">
        <v>150</v>
      </c>
      <c r="Q20" s="98" t="s">
        <v>151</v>
      </c>
      <c r="R20" s="98"/>
      <c r="S20" s="98" t="s">
        <v>811</v>
      </c>
      <c r="T20" s="98" t="s">
        <v>769</v>
      </c>
      <c r="U20" s="98" t="s">
        <v>812</v>
      </c>
      <c r="V20" s="98"/>
      <c r="W20" s="98" t="s">
        <v>769</v>
      </c>
      <c r="X20" s="98"/>
      <c r="Y20" s="98" t="s">
        <v>155</v>
      </c>
      <c r="Z20" s="98" t="s">
        <v>156</v>
      </c>
      <c r="AA20" s="98" t="s">
        <v>728</v>
      </c>
      <c r="AB20" s="98" t="s">
        <v>729</v>
      </c>
      <c r="AC20" s="98" t="s">
        <v>730</v>
      </c>
      <c r="AD20" s="98" t="s">
        <v>730</v>
      </c>
      <c r="AE20" s="98" t="s">
        <v>731</v>
      </c>
      <c r="AF20" s="98" t="s">
        <v>159</v>
      </c>
      <c r="AG20" s="98" t="s">
        <v>224</v>
      </c>
      <c r="AH20" s="98" t="s">
        <v>225</v>
      </c>
      <c r="AI20" s="98"/>
      <c r="AJ20" s="98"/>
      <c r="AK20" s="98" t="s">
        <v>415</v>
      </c>
      <c r="AL20" s="98" t="s">
        <v>413</v>
      </c>
      <c r="AM20" s="98" t="s">
        <v>298</v>
      </c>
      <c r="AN20" s="98" t="s">
        <v>813</v>
      </c>
      <c r="AO20" s="100" t="n">
        <v>0</v>
      </c>
      <c r="AP20" s="100" t="n">
        <v>-832.49</v>
      </c>
      <c r="AQ20" s="98"/>
      <c r="AR20" s="98"/>
      <c r="AS20" s="98" t="s">
        <v>165</v>
      </c>
    </row>
    <row r="21" customFormat="false" ht="14.4" hidden="false" customHeight="false" outlineLevel="0" collapsed="false">
      <c r="A21" s="98" t="s">
        <v>142</v>
      </c>
      <c r="B21" s="98" t="s">
        <v>143</v>
      </c>
      <c r="C21" s="98" t="n">
        <v>51043072</v>
      </c>
      <c r="D21" s="98" t="n">
        <v>836576</v>
      </c>
      <c r="E21" s="98" t="s">
        <v>814</v>
      </c>
      <c r="F21" s="98" t="n">
        <v>51043072</v>
      </c>
      <c r="G21" s="98" t="s">
        <v>725</v>
      </c>
      <c r="H21" s="99" t="n">
        <v>43492</v>
      </c>
      <c r="I21" s="99" t="n">
        <v>43577</v>
      </c>
      <c r="J21" s="100" t="n">
        <v>-27251.51</v>
      </c>
      <c r="K21" s="100" t="n">
        <v>-23094.5</v>
      </c>
      <c r="L21" s="100" t="n">
        <v>-4157.01</v>
      </c>
      <c r="M21" s="100" t="n">
        <v>-23094.5</v>
      </c>
      <c r="N21" s="100" t="n">
        <v>0</v>
      </c>
      <c r="O21" s="100" t="n">
        <v>0</v>
      </c>
      <c r="P21" s="98" t="s">
        <v>150</v>
      </c>
      <c r="Q21" s="98" t="s">
        <v>151</v>
      </c>
      <c r="R21" s="98"/>
      <c r="S21" s="98" t="s">
        <v>811</v>
      </c>
      <c r="T21" s="98" t="s">
        <v>769</v>
      </c>
      <c r="U21" s="98" t="s">
        <v>815</v>
      </c>
      <c r="V21" s="98"/>
      <c r="W21" s="98" t="s">
        <v>769</v>
      </c>
      <c r="X21" s="98"/>
      <c r="Y21" s="98" t="s">
        <v>155</v>
      </c>
      <c r="Z21" s="98" t="s">
        <v>156</v>
      </c>
      <c r="AA21" s="98" t="s">
        <v>728</v>
      </c>
      <c r="AB21" s="98" t="s">
        <v>729</v>
      </c>
      <c r="AC21" s="98" t="s">
        <v>730</v>
      </c>
      <c r="AD21" s="98" t="s">
        <v>730</v>
      </c>
      <c r="AE21" s="98" t="s">
        <v>731</v>
      </c>
      <c r="AF21" s="98" t="s">
        <v>159</v>
      </c>
      <c r="AG21" s="98" t="s">
        <v>224</v>
      </c>
      <c r="AH21" s="98" t="s">
        <v>225</v>
      </c>
      <c r="AI21" s="98"/>
      <c r="AJ21" s="98"/>
      <c r="AK21" s="98" t="s">
        <v>415</v>
      </c>
      <c r="AL21" s="98" t="s">
        <v>413</v>
      </c>
      <c r="AM21" s="98" t="s">
        <v>298</v>
      </c>
      <c r="AN21" s="98" t="s">
        <v>816</v>
      </c>
      <c r="AO21" s="100" t="n">
        <v>0</v>
      </c>
      <c r="AP21" s="100" t="n">
        <v>-27251.51</v>
      </c>
      <c r="AQ21" s="98"/>
      <c r="AR21" s="98"/>
      <c r="AS21" s="98" t="s">
        <v>165</v>
      </c>
    </row>
    <row r="22" customFormat="false" ht="14.4" hidden="false" customHeight="false" outlineLevel="0" collapsed="false">
      <c r="A22" s="98" t="s">
        <v>142</v>
      </c>
      <c r="B22" s="98" t="s">
        <v>143</v>
      </c>
      <c r="C22" s="98" t="n">
        <v>51043074</v>
      </c>
      <c r="D22" s="98" t="n">
        <v>836590</v>
      </c>
      <c r="E22" s="98" t="s">
        <v>817</v>
      </c>
      <c r="F22" s="98" t="n">
        <v>51043074</v>
      </c>
      <c r="G22" s="98" t="s">
        <v>725</v>
      </c>
      <c r="H22" s="99" t="n">
        <v>43492</v>
      </c>
      <c r="I22" s="99" t="n">
        <v>43577</v>
      </c>
      <c r="J22" s="100" t="n">
        <v>-4956</v>
      </c>
      <c r="K22" s="100" t="n">
        <v>-4200</v>
      </c>
      <c r="L22" s="100" t="n">
        <v>-756</v>
      </c>
      <c r="M22" s="100" t="n">
        <v>-4200</v>
      </c>
      <c r="N22" s="100" t="n">
        <v>0</v>
      </c>
      <c r="O22" s="100" t="n">
        <v>0</v>
      </c>
      <c r="P22" s="98" t="s">
        <v>150</v>
      </c>
      <c r="Q22" s="98" t="s">
        <v>151</v>
      </c>
      <c r="R22" s="98"/>
      <c r="S22" s="98" t="s">
        <v>811</v>
      </c>
      <c r="T22" s="98" t="s">
        <v>769</v>
      </c>
      <c r="U22" s="98" t="s">
        <v>818</v>
      </c>
      <c r="V22" s="98"/>
      <c r="W22" s="98" t="s">
        <v>769</v>
      </c>
      <c r="X22" s="98"/>
      <c r="Y22" s="98" t="s">
        <v>155</v>
      </c>
      <c r="Z22" s="98" t="s">
        <v>156</v>
      </c>
      <c r="AA22" s="98" t="s">
        <v>728</v>
      </c>
      <c r="AB22" s="98" t="s">
        <v>729</v>
      </c>
      <c r="AC22" s="98" t="s">
        <v>730</v>
      </c>
      <c r="AD22" s="98" t="s">
        <v>730</v>
      </c>
      <c r="AE22" s="98" t="s">
        <v>731</v>
      </c>
      <c r="AF22" s="98" t="s">
        <v>159</v>
      </c>
      <c r="AG22" s="98" t="s">
        <v>224</v>
      </c>
      <c r="AH22" s="98" t="s">
        <v>225</v>
      </c>
      <c r="AI22" s="98"/>
      <c r="AJ22" s="98"/>
      <c r="AK22" s="98" t="s">
        <v>415</v>
      </c>
      <c r="AL22" s="98" t="s">
        <v>413</v>
      </c>
      <c r="AM22" s="98" t="s">
        <v>298</v>
      </c>
      <c r="AN22" s="98" t="s">
        <v>819</v>
      </c>
      <c r="AO22" s="100" t="n">
        <v>0</v>
      </c>
      <c r="AP22" s="100" t="n">
        <v>-4956</v>
      </c>
      <c r="AQ22" s="98"/>
      <c r="AR22" s="98"/>
      <c r="AS22" s="98" t="s">
        <v>165</v>
      </c>
    </row>
    <row r="23" customFormat="false" ht="14.4" hidden="false" customHeight="false" outlineLevel="0" collapsed="false">
      <c r="A23" s="98" t="s">
        <v>142</v>
      </c>
      <c r="B23" s="98" t="s">
        <v>143</v>
      </c>
      <c r="C23" s="98" t="n">
        <v>51043076</v>
      </c>
      <c r="D23" s="98" t="n">
        <v>836593</v>
      </c>
      <c r="E23" s="98" t="s">
        <v>820</v>
      </c>
      <c r="F23" s="98" t="n">
        <v>51043076</v>
      </c>
      <c r="G23" s="98" t="s">
        <v>725</v>
      </c>
      <c r="H23" s="99" t="n">
        <v>43492</v>
      </c>
      <c r="I23" s="99" t="n">
        <v>43577</v>
      </c>
      <c r="J23" s="100" t="n">
        <v>-8673</v>
      </c>
      <c r="K23" s="100" t="n">
        <v>-7350</v>
      </c>
      <c r="L23" s="100" t="n">
        <v>-1323</v>
      </c>
      <c r="M23" s="100" t="n">
        <v>-7350</v>
      </c>
      <c r="N23" s="100" t="n">
        <v>0</v>
      </c>
      <c r="O23" s="100" t="n">
        <v>0</v>
      </c>
      <c r="P23" s="98" t="s">
        <v>150</v>
      </c>
      <c r="Q23" s="98" t="s">
        <v>151</v>
      </c>
      <c r="R23" s="98"/>
      <c r="S23" s="98" t="s">
        <v>811</v>
      </c>
      <c r="T23" s="98" t="s">
        <v>769</v>
      </c>
      <c r="U23" s="98" t="s">
        <v>821</v>
      </c>
      <c r="V23" s="98"/>
      <c r="W23" s="98" t="s">
        <v>769</v>
      </c>
      <c r="X23" s="98"/>
      <c r="Y23" s="98" t="s">
        <v>155</v>
      </c>
      <c r="Z23" s="98" t="s">
        <v>156</v>
      </c>
      <c r="AA23" s="98" t="s">
        <v>728</v>
      </c>
      <c r="AB23" s="98" t="s">
        <v>729</v>
      </c>
      <c r="AC23" s="98" t="s">
        <v>730</v>
      </c>
      <c r="AD23" s="98" t="s">
        <v>730</v>
      </c>
      <c r="AE23" s="98" t="s">
        <v>731</v>
      </c>
      <c r="AF23" s="98" t="s">
        <v>159</v>
      </c>
      <c r="AG23" s="98" t="s">
        <v>224</v>
      </c>
      <c r="AH23" s="98" t="s">
        <v>225</v>
      </c>
      <c r="AI23" s="98"/>
      <c r="AJ23" s="98"/>
      <c r="AK23" s="98" t="s">
        <v>415</v>
      </c>
      <c r="AL23" s="98" t="s">
        <v>413</v>
      </c>
      <c r="AM23" s="98" t="s">
        <v>298</v>
      </c>
      <c r="AN23" s="98" t="s">
        <v>822</v>
      </c>
      <c r="AO23" s="100" t="n">
        <v>0</v>
      </c>
      <c r="AP23" s="100" t="n">
        <v>-8673</v>
      </c>
      <c r="AQ23" s="98"/>
      <c r="AR23" s="98"/>
      <c r="AS23" s="98" t="s">
        <v>165</v>
      </c>
    </row>
    <row r="24" customFormat="false" ht="14.4" hidden="false" customHeight="false" outlineLevel="0" collapsed="false">
      <c r="A24" s="98" t="s">
        <v>142</v>
      </c>
      <c r="B24" s="98" t="s">
        <v>143</v>
      </c>
      <c r="C24" s="98" t="n">
        <v>51047406</v>
      </c>
      <c r="D24" s="98" t="n">
        <v>836572</v>
      </c>
      <c r="E24" s="98" t="s">
        <v>823</v>
      </c>
      <c r="F24" s="98" t="n">
        <v>51047406</v>
      </c>
      <c r="G24" s="98" t="s">
        <v>725</v>
      </c>
      <c r="H24" s="99" t="n">
        <v>43492</v>
      </c>
      <c r="I24" s="99" t="n">
        <v>43578</v>
      </c>
      <c r="J24" s="100" t="n">
        <v>-21655.36</v>
      </c>
      <c r="K24" s="100" t="n">
        <v>-18352</v>
      </c>
      <c r="L24" s="100" t="n">
        <v>-3303.36</v>
      </c>
      <c r="M24" s="100" t="n">
        <v>-18352</v>
      </c>
      <c r="N24" s="100" t="n">
        <v>0</v>
      </c>
      <c r="O24" s="100" t="n">
        <v>0</v>
      </c>
      <c r="P24" s="98" t="s">
        <v>150</v>
      </c>
      <c r="Q24" s="98" t="s">
        <v>151</v>
      </c>
      <c r="R24" s="98"/>
      <c r="S24" s="98" t="s">
        <v>811</v>
      </c>
      <c r="T24" s="98" t="s">
        <v>769</v>
      </c>
      <c r="U24" s="98" t="s">
        <v>824</v>
      </c>
      <c r="V24" s="98"/>
      <c r="W24" s="98" t="s">
        <v>769</v>
      </c>
      <c r="X24" s="98"/>
      <c r="Y24" s="98" t="s">
        <v>155</v>
      </c>
      <c r="Z24" s="98" t="s">
        <v>156</v>
      </c>
      <c r="AA24" s="98" t="s">
        <v>728</v>
      </c>
      <c r="AB24" s="98" t="s">
        <v>729</v>
      </c>
      <c r="AC24" s="98" t="s">
        <v>730</v>
      </c>
      <c r="AD24" s="98" t="s">
        <v>730</v>
      </c>
      <c r="AE24" s="98" t="s">
        <v>731</v>
      </c>
      <c r="AF24" s="98" t="s">
        <v>159</v>
      </c>
      <c r="AG24" s="98" t="s">
        <v>224</v>
      </c>
      <c r="AH24" s="98" t="s">
        <v>225</v>
      </c>
      <c r="AI24" s="98"/>
      <c r="AJ24" s="98"/>
      <c r="AK24" s="98" t="s">
        <v>389</v>
      </c>
      <c r="AL24" s="98" t="s">
        <v>387</v>
      </c>
      <c r="AM24" s="98" t="s">
        <v>825</v>
      </c>
      <c r="AN24" s="98" t="s">
        <v>826</v>
      </c>
      <c r="AO24" s="100" t="n">
        <v>0</v>
      </c>
      <c r="AP24" s="100" t="n">
        <v>-21655.36</v>
      </c>
      <c r="AQ24" s="98"/>
      <c r="AR24" s="98"/>
      <c r="AS24" s="98" t="s">
        <v>165</v>
      </c>
    </row>
    <row r="25" customFormat="false" ht="14.4" hidden="false" customHeight="false" outlineLevel="0" collapsed="false">
      <c r="A25" s="98" t="s">
        <v>142</v>
      </c>
      <c r="B25" s="98" t="s">
        <v>143</v>
      </c>
      <c r="C25" s="98" t="n">
        <v>51047407</v>
      </c>
      <c r="D25" s="98" t="n">
        <v>836574</v>
      </c>
      <c r="E25" s="98" t="s">
        <v>827</v>
      </c>
      <c r="F25" s="98" t="n">
        <v>51047407</v>
      </c>
      <c r="G25" s="98" t="s">
        <v>725</v>
      </c>
      <c r="H25" s="99" t="n">
        <v>43492</v>
      </c>
      <c r="I25" s="99" t="n">
        <v>43578</v>
      </c>
      <c r="J25" s="100" t="n">
        <v>-21655.36</v>
      </c>
      <c r="K25" s="100" t="n">
        <v>-18352</v>
      </c>
      <c r="L25" s="100" t="n">
        <v>-3303.36</v>
      </c>
      <c r="M25" s="100" t="n">
        <v>-18352</v>
      </c>
      <c r="N25" s="100" t="n">
        <v>0</v>
      </c>
      <c r="O25" s="100" t="n">
        <v>0</v>
      </c>
      <c r="P25" s="98" t="s">
        <v>150</v>
      </c>
      <c r="Q25" s="98" t="s">
        <v>151</v>
      </c>
      <c r="R25" s="98"/>
      <c r="S25" s="98" t="s">
        <v>811</v>
      </c>
      <c r="T25" s="98" t="s">
        <v>769</v>
      </c>
      <c r="U25" s="98" t="s">
        <v>828</v>
      </c>
      <c r="V25" s="98"/>
      <c r="W25" s="98" t="s">
        <v>769</v>
      </c>
      <c r="X25" s="98"/>
      <c r="Y25" s="98" t="s">
        <v>155</v>
      </c>
      <c r="Z25" s="98" t="s">
        <v>156</v>
      </c>
      <c r="AA25" s="98" t="s">
        <v>728</v>
      </c>
      <c r="AB25" s="98" t="s">
        <v>729</v>
      </c>
      <c r="AC25" s="98" t="s">
        <v>730</v>
      </c>
      <c r="AD25" s="98" t="s">
        <v>730</v>
      </c>
      <c r="AE25" s="98" t="s">
        <v>731</v>
      </c>
      <c r="AF25" s="98" t="s">
        <v>159</v>
      </c>
      <c r="AG25" s="98" t="s">
        <v>224</v>
      </c>
      <c r="AH25" s="98" t="s">
        <v>225</v>
      </c>
      <c r="AI25" s="98"/>
      <c r="AJ25" s="98"/>
      <c r="AK25" s="98" t="s">
        <v>389</v>
      </c>
      <c r="AL25" s="98" t="s">
        <v>387</v>
      </c>
      <c r="AM25" s="98" t="s">
        <v>825</v>
      </c>
      <c r="AN25" s="98" t="s">
        <v>829</v>
      </c>
      <c r="AO25" s="100" t="n">
        <v>0</v>
      </c>
      <c r="AP25" s="100" t="n">
        <v>-21655.36</v>
      </c>
      <c r="AQ25" s="98"/>
      <c r="AR25" s="98"/>
      <c r="AS25" s="98" t="s">
        <v>165</v>
      </c>
    </row>
    <row r="26" customFormat="false" ht="14.4" hidden="false" customHeight="false" outlineLevel="0" collapsed="false">
      <c r="A26" s="98" t="s">
        <v>142</v>
      </c>
      <c r="B26" s="98" t="s">
        <v>143</v>
      </c>
      <c r="C26" s="98" t="n">
        <v>51047408</v>
      </c>
      <c r="D26" s="98" t="n">
        <v>836575</v>
      </c>
      <c r="E26" s="98" t="s">
        <v>830</v>
      </c>
      <c r="F26" s="98" t="n">
        <v>51047408</v>
      </c>
      <c r="G26" s="98" t="s">
        <v>725</v>
      </c>
      <c r="H26" s="99" t="n">
        <v>43492</v>
      </c>
      <c r="I26" s="99" t="n">
        <v>43578</v>
      </c>
      <c r="J26" s="100" t="n">
        <v>-7858.8</v>
      </c>
      <c r="K26" s="100" t="n">
        <v>-6660</v>
      </c>
      <c r="L26" s="100" t="n">
        <v>-1198.8</v>
      </c>
      <c r="M26" s="100" t="n">
        <v>-6660</v>
      </c>
      <c r="N26" s="100" t="n">
        <v>0</v>
      </c>
      <c r="O26" s="100" t="n">
        <v>0</v>
      </c>
      <c r="P26" s="98" t="s">
        <v>150</v>
      </c>
      <c r="Q26" s="98" t="s">
        <v>151</v>
      </c>
      <c r="R26" s="98"/>
      <c r="S26" s="98" t="s">
        <v>811</v>
      </c>
      <c r="T26" s="98" t="s">
        <v>769</v>
      </c>
      <c r="U26" s="98" t="s">
        <v>831</v>
      </c>
      <c r="V26" s="98"/>
      <c r="W26" s="98" t="s">
        <v>769</v>
      </c>
      <c r="X26" s="98"/>
      <c r="Y26" s="98" t="s">
        <v>155</v>
      </c>
      <c r="Z26" s="98" t="s">
        <v>156</v>
      </c>
      <c r="AA26" s="98" t="s">
        <v>728</v>
      </c>
      <c r="AB26" s="98" t="s">
        <v>729</v>
      </c>
      <c r="AC26" s="98" t="s">
        <v>730</v>
      </c>
      <c r="AD26" s="98" t="s">
        <v>730</v>
      </c>
      <c r="AE26" s="98" t="s">
        <v>731</v>
      </c>
      <c r="AF26" s="98" t="s">
        <v>159</v>
      </c>
      <c r="AG26" s="98" t="s">
        <v>224</v>
      </c>
      <c r="AH26" s="98" t="s">
        <v>225</v>
      </c>
      <c r="AI26" s="98"/>
      <c r="AJ26" s="98"/>
      <c r="AK26" s="98" t="s">
        <v>389</v>
      </c>
      <c r="AL26" s="98" t="s">
        <v>387</v>
      </c>
      <c r="AM26" s="98" t="s">
        <v>825</v>
      </c>
      <c r="AN26" s="98" t="s">
        <v>832</v>
      </c>
      <c r="AO26" s="100" t="n">
        <v>0</v>
      </c>
      <c r="AP26" s="100" t="n">
        <v>-7858.8</v>
      </c>
      <c r="AQ26" s="98"/>
      <c r="AR26" s="98"/>
      <c r="AS26" s="98" t="s">
        <v>165</v>
      </c>
    </row>
    <row r="27" customFormat="false" ht="14.4" hidden="false" customHeight="false" outlineLevel="0" collapsed="false">
      <c r="A27" s="98" t="s">
        <v>142</v>
      </c>
      <c r="B27" s="98" t="s">
        <v>143</v>
      </c>
      <c r="C27" s="98" t="n">
        <v>51047409</v>
      </c>
      <c r="D27" s="98" t="n">
        <v>836591</v>
      </c>
      <c r="E27" s="98" t="s">
        <v>833</v>
      </c>
      <c r="F27" s="98" t="n">
        <v>51047409</v>
      </c>
      <c r="G27" s="98" t="s">
        <v>725</v>
      </c>
      <c r="H27" s="99" t="n">
        <v>43492</v>
      </c>
      <c r="I27" s="99" t="n">
        <v>43578</v>
      </c>
      <c r="J27" s="100" t="n">
        <v>-2124</v>
      </c>
      <c r="K27" s="100" t="n">
        <v>-1800</v>
      </c>
      <c r="L27" s="100" t="n">
        <v>-324</v>
      </c>
      <c r="M27" s="100" t="n">
        <v>-1800</v>
      </c>
      <c r="N27" s="100" t="n">
        <v>0</v>
      </c>
      <c r="O27" s="100" t="n">
        <v>0</v>
      </c>
      <c r="P27" s="98" t="s">
        <v>150</v>
      </c>
      <c r="Q27" s="98" t="s">
        <v>151</v>
      </c>
      <c r="R27" s="98"/>
      <c r="S27" s="98" t="s">
        <v>811</v>
      </c>
      <c r="T27" s="98" t="s">
        <v>769</v>
      </c>
      <c r="U27" s="98" t="s">
        <v>834</v>
      </c>
      <c r="V27" s="98"/>
      <c r="W27" s="98" t="s">
        <v>769</v>
      </c>
      <c r="X27" s="98"/>
      <c r="Y27" s="98" t="s">
        <v>155</v>
      </c>
      <c r="Z27" s="98" t="s">
        <v>156</v>
      </c>
      <c r="AA27" s="98" t="s">
        <v>728</v>
      </c>
      <c r="AB27" s="98" t="s">
        <v>729</v>
      </c>
      <c r="AC27" s="98" t="s">
        <v>730</v>
      </c>
      <c r="AD27" s="98" t="s">
        <v>730</v>
      </c>
      <c r="AE27" s="98" t="s">
        <v>731</v>
      </c>
      <c r="AF27" s="98" t="s">
        <v>159</v>
      </c>
      <c r="AG27" s="98" t="s">
        <v>224</v>
      </c>
      <c r="AH27" s="98" t="s">
        <v>225</v>
      </c>
      <c r="AI27" s="98"/>
      <c r="AJ27" s="98"/>
      <c r="AK27" s="98" t="s">
        <v>389</v>
      </c>
      <c r="AL27" s="98" t="s">
        <v>387</v>
      </c>
      <c r="AM27" s="98" t="s">
        <v>825</v>
      </c>
      <c r="AN27" s="98" t="s">
        <v>835</v>
      </c>
      <c r="AO27" s="100" t="n">
        <v>0</v>
      </c>
      <c r="AP27" s="100" t="n">
        <v>-2124</v>
      </c>
      <c r="AQ27" s="98"/>
      <c r="AR27" s="98"/>
      <c r="AS27" s="98" t="s">
        <v>165</v>
      </c>
    </row>
    <row r="28" customFormat="false" ht="14.4" hidden="false" customHeight="false" outlineLevel="0" collapsed="false">
      <c r="A28" s="98" t="s">
        <v>142</v>
      </c>
      <c r="B28" s="98" t="s">
        <v>143</v>
      </c>
      <c r="C28" s="98" t="n">
        <v>51047410</v>
      </c>
      <c r="D28" s="98" t="n">
        <v>836579</v>
      </c>
      <c r="E28" s="98" t="s">
        <v>836</v>
      </c>
      <c r="F28" s="98" t="n">
        <v>51047410</v>
      </c>
      <c r="G28" s="98" t="s">
        <v>725</v>
      </c>
      <c r="H28" s="99" t="n">
        <v>43492</v>
      </c>
      <c r="I28" s="99" t="n">
        <v>43578</v>
      </c>
      <c r="J28" s="100" t="n">
        <v>-511128.8</v>
      </c>
      <c r="K28" s="100" t="n">
        <v>-433160</v>
      </c>
      <c r="L28" s="100" t="n">
        <v>-77968.8</v>
      </c>
      <c r="M28" s="100" t="n">
        <v>-433160</v>
      </c>
      <c r="N28" s="100" t="n">
        <v>0</v>
      </c>
      <c r="O28" s="100" t="n">
        <v>0</v>
      </c>
      <c r="P28" s="98" t="s">
        <v>150</v>
      </c>
      <c r="Q28" s="98" t="s">
        <v>151</v>
      </c>
      <c r="R28" s="98"/>
      <c r="S28" s="98" t="s">
        <v>811</v>
      </c>
      <c r="T28" s="98" t="s">
        <v>769</v>
      </c>
      <c r="U28" s="98" t="s">
        <v>837</v>
      </c>
      <c r="V28" s="98"/>
      <c r="W28" s="98" t="s">
        <v>769</v>
      </c>
      <c r="X28" s="98"/>
      <c r="Y28" s="98" t="s">
        <v>155</v>
      </c>
      <c r="Z28" s="98" t="s">
        <v>156</v>
      </c>
      <c r="AA28" s="98" t="s">
        <v>728</v>
      </c>
      <c r="AB28" s="98" t="s">
        <v>729</v>
      </c>
      <c r="AC28" s="98" t="s">
        <v>730</v>
      </c>
      <c r="AD28" s="98" t="s">
        <v>730</v>
      </c>
      <c r="AE28" s="98" t="s">
        <v>731</v>
      </c>
      <c r="AF28" s="98" t="s">
        <v>159</v>
      </c>
      <c r="AG28" s="98" t="s">
        <v>224</v>
      </c>
      <c r="AH28" s="98" t="s">
        <v>225</v>
      </c>
      <c r="AI28" s="98"/>
      <c r="AJ28" s="98"/>
      <c r="AK28" s="98" t="s">
        <v>389</v>
      </c>
      <c r="AL28" s="98" t="s">
        <v>387</v>
      </c>
      <c r="AM28" s="98" t="s">
        <v>825</v>
      </c>
      <c r="AN28" s="98" t="s">
        <v>838</v>
      </c>
      <c r="AO28" s="100" t="n">
        <v>0</v>
      </c>
      <c r="AP28" s="100" t="n">
        <v>-511128.8</v>
      </c>
      <c r="AQ28" s="98"/>
      <c r="AR28" s="98"/>
      <c r="AS28" s="98" t="s">
        <v>165</v>
      </c>
    </row>
    <row r="29" customFormat="false" ht="14.4" hidden="false" customHeight="false" outlineLevel="0" collapsed="false">
      <c r="A29" s="98" t="s">
        <v>142</v>
      </c>
      <c r="B29" s="98" t="s">
        <v>143</v>
      </c>
      <c r="C29" s="98" t="n">
        <v>51047411</v>
      </c>
      <c r="D29" s="98" t="n">
        <v>836611</v>
      </c>
      <c r="E29" s="98" t="s">
        <v>839</v>
      </c>
      <c r="F29" s="98" t="n">
        <v>51047411</v>
      </c>
      <c r="G29" s="98" t="s">
        <v>725</v>
      </c>
      <c r="H29" s="99" t="n">
        <v>43492</v>
      </c>
      <c r="I29" s="99" t="n">
        <v>43578</v>
      </c>
      <c r="J29" s="100" t="n">
        <v>-4956</v>
      </c>
      <c r="K29" s="100" t="n">
        <v>-4200</v>
      </c>
      <c r="L29" s="100" t="n">
        <v>-756</v>
      </c>
      <c r="M29" s="100" t="n">
        <v>-4200</v>
      </c>
      <c r="N29" s="100" t="n">
        <v>0</v>
      </c>
      <c r="O29" s="100" t="n">
        <v>0</v>
      </c>
      <c r="P29" s="98" t="s">
        <v>150</v>
      </c>
      <c r="Q29" s="98" t="s">
        <v>151</v>
      </c>
      <c r="R29" s="98"/>
      <c r="S29" s="98" t="s">
        <v>811</v>
      </c>
      <c r="T29" s="98" t="s">
        <v>769</v>
      </c>
      <c r="U29" s="98" t="s">
        <v>840</v>
      </c>
      <c r="V29" s="98"/>
      <c r="W29" s="98" t="s">
        <v>769</v>
      </c>
      <c r="X29" s="98"/>
      <c r="Y29" s="98" t="s">
        <v>155</v>
      </c>
      <c r="Z29" s="98" t="s">
        <v>156</v>
      </c>
      <c r="AA29" s="98" t="s">
        <v>728</v>
      </c>
      <c r="AB29" s="98" t="s">
        <v>729</v>
      </c>
      <c r="AC29" s="98" t="s">
        <v>730</v>
      </c>
      <c r="AD29" s="98" t="s">
        <v>730</v>
      </c>
      <c r="AE29" s="98" t="s">
        <v>731</v>
      </c>
      <c r="AF29" s="98" t="s">
        <v>159</v>
      </c>
      <c r="AG29" s="98" t="s">
        <v>224</v>
      </c>
      <c r="AH29" s="98" t="s">
        <v>225</v>
      </c>
      <c r="AI29" s="98"/>
      <c r="AJ29" s="98"/>
      <c r="AK29" s="98" t="s">
        <v>389</v>
      </c>
      <c r="AL29" s="98" t="s">
        <v>387</v>
      </c>
      <c r="AM29" s="98" t="s">
        <v>825</v>
      </c>
      <c r="AN29" s="98" t="s">
        <v>841</v>
      </c>
      <c r="AO29" s="100" t="n">
        <v>0</v>
      </c>
      <c r="AP29" s="100" t="n">
        <v>-4956</v>
      </c>
      <c r="AQ29" s="98"/>
      <c r="AR29" s="98"/>
      <c r="AS29" s="98" t="s">
        <v>165</v>
      </c>
    </row>
    <row r="30" customFormat="false" ht="14.4" hidden="false" customHeight="false" outlineLevel="0" collapsed="false">
      <c r="A30" s="98" t="s">
        <v>142</v>
      </c>
      <c r="B30" s="98" t="s">
        <v>143</v>
      </c>
      <c r="C30" s="98" t="n">
        <v>51047412</v>
      </c>
      <c r="D30" s="98" t="n">
        <v>836584</v>
      </c>
      <c r="E30" s="98" t="s">
        <v>842</v>
      </c>
      <c r="F30" s="98" t="n">
        <v>51047412</v>
      </c>
      <c r="G30" s="98" t="s">
        <v>725</v>
      </c>
      <c r="H30" s="99" t="n">
        <v>43492</v>
      </c>
      <c r="I30" s="99" t="n">
        <v>43578</v>
      </c>
      <c r="J30" s="100" t="n">
        <v>-61914.6</v>
      </c>
      <c r="K30" s="100" t="n">
        <v>-52470</v>
      </c>
      <c r="L30" s="100" t="n">
        <v>-9444.6</v>
      </c>
      <c r="M30" s="100" t="n">
        <v>-52470</v>
      </c>
      <c r="N30" s="100" t="n">
        <v>0</v>
      </c>
      <c r="O30" s="100" t="n">
        <v>0</v>
      </c>
      <c r="P30" s="98" t="s">
        <v>150</v>
      </c>
      <c r="Q30" s="98" t="s">
        <v>151</v>
      </c>
      <c r="R30" s="98"/>
      <c r="S30" s="98" t="s">
        <v>811</v>
      </c>
      <c r="T30" s="98" t="s">
        <v>769</v>
      </c>
      <c r="U30" s="98" t="s">
        <v>843</v>
      </c>
      <c r="V30" s="98"/>
      <c r="W30" s="98" t="s">
        <v>769</v>
      </c>
      <c r="X30" s="98"/>
      <c r="Y30" s="98" t="s">
        <v>155</v>
      </c>
      <c r="Z30" s="98" t="s">
        <v>156</v>
      </c>
      <c r="AA30" s="98" t="s">
        <v>728</v>
      </c>
      <c r="AB30" s="98" t="s">
        <v>729</v>
      </c>
      <c r="AC30" s="98" t="s">
        <v>730</v>
      </c>
      <c r="AD30" s="98" t="s">
        <v>730</v>
      </c>
      <c r="AE30" s="98" t="s">
        <v>731</v>
      </c>
      <c r="AF30" s="98" t="s">
        <v>159</v>
      </c>
      <c r="AG30" s="98" t="s">
        <v>224</v>
      </c>
      <c r="AH30" s="98" t="s">
        <v>225</v>
      </c>
      <c r="AI30" s="98"/>
      <c r="AJ30" s="98"/>
      <c r="AK30" s="98" t="s">
        <v>389</v>
      </c>
      <c r="AL30" s="98" t="s">
        <v>387</v>
      </c>
      <c r="AM30" s="98" t="s">
        <v>825</v>
      </c>
      <c r="AN30" s="98" t="s">
        <v>844</v>
      </c>
      <c r="AO30" s="100" t="n">
        <v>0</v>
      </c>
      <c r="AP30" s="100" t="n">
        <v>-61914.6</v>
      </c>
      <c r="AQ30" s="98"/>
      <c r="AR30" s="98"/>
      <c r="AS30" s="98" t="s">
        <v>165</v>
      </c>
    </row>
    <row r="31" customFormat="false" ht="14.4" hidden="false" customHeight="false" outlineLevel="0" collapsed="false">
      <c r="A31" s="98" t="s">
        <v>142</v>
      </c>
      <c r="B31" s="98" t="s">
        <v>143</v>
      </c>
      <c r="C31" s="98" t="n">
        <v>51047413</v>
      </c>
      <c r="D31" s="98" t="n">
        <v>836587</v>
      </c>
      <c r="E31" s="98" t="s">
        <v>845</v>
      </c>
      <c r="F31" s="98" t="n">
        <v>51047413</v>
      </c>
      <c r="G31" s="98" t="s">
        <v>725</v>
      </c>
      <c r="H31" s="99" t="n">
        <v>43492</v>
      </c>
      <c r="I31" s="99" t="n">
        <v>43578</v>
      </c>
      <c r="J31" s="100" t="n">
        <v>-61914.6</v>
      </c>
      <c r="K31" s="100" t="n">
        <v>-52470</v>
      </c>
      <c r="L31" s="100" t="n">
        <v>-9444.6</v>
      </c>
      <c r="M31" s="100" t="n">
        <v>-52470</v>
      </c>
      <c r="N31" s="100" t="n">
        <v>0</v>
      </c>
      <c r="O31" s="100" t="n">
        <v>0</v>
      </c>
      <c r="P31" s="98" t="s">
        <v>150</v>
      </c>
      <c r="Q31" s="98" t="s">
        <v>151</v>
      </c>
      <c r="R31" s="98"/>
      <c r="S31" s="98" t="s">
        <v>811</v>
      </c>
      <c r="T31" s="98" t="s">
        <v>769</v>
      </c>
      <c r="U31" s="98" t="s">
        <v>846</v>
      </c>
      <c r="V31" s="98"/>
      <c r="W31" s="98" t="s">
        <v>769</v>
      </c>
      <c r="X31" s="98"/>
      <c r="Y31" s="98" t="s">
        <v>155</v>
      </c>
      <c r="Z31" s="98" t="s">
        <v>156</v>
      </c>
      <c r="AA31" s="98" t="s">
        <v>728</v>
      </c>
      <c r="AB31" s="98" t="s">
        <v>729</v>
      </c>
      <c r="AC31" s="98" t="s">
        <v>730</v>
      </c>
      <c r="AD31" s="98" t="s">
        <v>730</v>
      </c>
      <c r="AE31" s="98" t="s">
        <v>731</v>
      </c>
      <c r="AF31" s="98" t="s">
        <v>159</v>
      </c>
      <c r="AG31" s="98" t="s">
        <v>224</v>
      </c>
      <c r="AH31" s="98" t="s">
        <v>225</v>
      </c>
      <c r="AI31" s="98"/>
      <c r="AJ31" s="98"/>
      <c r="AK31" s="98" t="s">
        <v>389</v>
      </c>
      <c r="AL31" s="98" t="s">
        <v>387</v>
      </c>
      <c r="AM31" s="98" t="s">
        <v>825</v>
      </c>
      <c r="AN31" s="98" t="s">
        <v>847</v>
      </c>
      <c r="AO31" s="100" t="n">
        <v>0</v>
      </c>
      <c r="AP31" s="100" t="n">
        <v>-61914.6</v>
      </c>
      <c r="AQ31" s="98"/>
      <c r="AR31" s="98"/>
      <c r="AS31" s="98" t="s">
        <v>165</v>
      </c>
    </row>
    <row r="32" customFormat="false" ht="14.4" hidden="false" customHeight="false" outlineLevel="0" collapsed="false">
      <c r="A32" s="98" t="s">
        <v>142</v>
      </c>
      <c r="B32" s="98" t="s">
        <v>143</v>
      </c>
      <c r="C32" s="98" t="n">
        <v>51047414</v>
      </c>
      <c r="D32" s="98" t="n">
        <v>0</v>
      </c>
      <c r="E32" s="98" t="s">
        <v>848</v>
      </c>
      <c r="F32" s="98" t="n">
        <v>51047414</v>
      </c>
      <c r="G32" s="98" t="s">
        <v>725</v>
      </c>
      <c r="H32" s="99" t="n">
        <v>43492</v>
      </c>
      <c r="I32" s="99" t="n">
        <v>43578</v>
      </c>
      <c r="J32" s="100" t="n">
        <v>-61961.33</v>
      </c>
      <c r="K32" s="100" t="n">
        <v>-52509.6</v>
      </c>
      <c r="L32" s="100" t="n">
        <v>-9451.73</v>
      </c>
      <c r="M32" s="100" t="n">
        <v>-52509.6</v>
      </c>
      <c r="N32" s="100" t="n">
        <v>0</v>
      </c>
      <c r="O32" s="100" t="n">
        <v>0</v>
      </c>
      <c r="P32" s="98" t="s">
        <v>150</v>
      </c>
      <c r="Q32" s="98" t="s">
        <v>151</v>
      </c>
      <c r="R32" s="98"/>
      <c r="S32" s="98" t="s">
        <v>811</v>
      </c>
      <c r="T32" s="98" t="s">
        <v>769</v>
      </c>
      <c r="U32" s="98" t="s">
        <v>849</v>
      </c>
      <c r="V32" s="98"/>
      <c r="W32" s="98" t="s">
        <v>769</v>
      </c>
      <c r="X32" s="98"/>
      <c r="Y32" s="98" t="s">
        <v>155</v>
      </c>
      <c r="Z32" s="98" t="s">
        <v>156</v>
      </c>
      <c r="AA32" s="98" t="s">
        <v>728</v>
      </c>
      <c r="AB32" s="98" t="s">
        <v>729</v>
      </c>
      <c r="AC32" s="98" t="s">
        <v>730</v>
      </c>
      <c r="AD32" s="98" t="s">
        <v>730</v>
      </c>
      <c r="AE32" s="98" t="s">
        <v>731</v>
      </c>
      <c r="AF32" s="98" t="s">
        <v>159</v>
      </c>
      <c r="AG32" s="98" t="s">
        <v>224</v>
      </c>
      <c r="AH32" s="98" t="s">
        <v>225</v>
      </c>
      <c r="AI32" s="98"/>
      <c r="AJ32" s="98"/>
      <c r="AK32" s="98" t="s">
        <v>389</v>
      </c>
      <c r="AL32" s="98" t="s">
        <v>387</v>
      </c>
      <c r="AM32" s="98" t="s">
        <v>825</v>
      </c>
      <c r="AN32" s="98" t="s">
        <v>850</v>
      </c>
      <c r="AO32" s="100" t="n">
        <v>0</v>
      </c>
      <c r="AP32" s="100" t="n">
        <v>-61961.33</v>
      </c>
      <c r="AQ32" s="98"/>
      <c r="AR32" s="98"/>
      <c r="AS32" s="98" t="s">
        <v>165</v>
      </c>
    </row>
    <row r="33" customFormat="false" ht="14.4" hidden="false" customHeight="false" outlineLevel="0" collapsed="false">
      <c r="A33" s="98" t="s">
        <v>142</v>
      </c>
      <c r="B33" s="98" t="s">
        <v>143</v>
      </c>
      <c r="C33" s="98" t="n">
        <v>51047416</v>
      </c>
      <c r="D33" s="98" t="n">
        <v>836592</v>
      </c>
      <c r="E33" s="98" t="s">
        <v>851</v>
      </c>
      <c r="F33" s="98" t="n">
        <v>51047416</v>
      </c>
      <c r="G33" s="98" t="s">
        <v>725</v>
      </c>
      <c r="H33" s="99" t="n">
        <v>43492</v>
      </c>
      <c r="I33" s="99" t="n">
        <v>43578</v>
      </c>
      <c r="J33" s="100" t="n">
        <v>-31167.58</v>
      </c>
      <c r="K33" s="100" t="n">
        <v>-26413.2</v>
      </c>
      <c r="L33" s="100" t="n">
        <v>-4754.38</v>
      </c>
      <c r="M33" s="100" t="n">
        <v>-26413.2</v>
      </c>
      <c r="N33" s="100" t="n">
        <v>0</v>
      </c>
      <c r="O33" s="100" t="n">
        <v>0</v>
      </c>
      <c r="P33" s="98" t="s">
        <v>150</v>
      </c>
      <c r="Q33" s="98" t="s">
        <v>151</v>
      </c>
      <c r="R33" s="98"/>
      <c r="S33" s="98" t="s">
        <v>811</v>
      </c>
      <c r="T33" s="98" t="s">
        <v>769</v>
      </c>
      <c r="U33" s="98" t="s">
        <v>852</v>
      </c>
      <c r="V33" s="98"/>
      <c r="W33" s="98" t="s">
        <v>769</v>
      </c>
      <c r="X33" s="98"/>
      <c r="Y33" s="98" t="s">
        <v>155</v>
      </c>
      <c r="Z33" s="98" t="s">
        <v>156</v>
      </c>
      <c r="AA33" s="98" t="s">
        <v>728</v>
      </c>
      <c r="AB33" s="98" t="s">
        <v>729</v>
      </c>
      <c r="AC33" s="98" t="s">
        <v>730</v>
      </c>
      <c r="AD33" s="98" t="s">
        <v>730</v>
      </c>
      <c r="AE33" s="98" t="s">
        <v>731</v>
      </c>
      <c r="AF33" s="98" t="s">
        <v>159</v>
      </c>
      <c r="AG33" s="98" t="s">
        <v>224</v>
      </c>
      <c r="AH33" s="98" t="s">
        <v>225</v>
      </c>
      <c r="AI33" s="98"/>
      <c r="AJ33" s="98"/>
      <c r="AK33" s="98" t="s">
        <v>389</v>
      </c>
      <c r="AL33" s="98" t="s">
        <v>387</v>
      </c>
      <c r="AM33" s="98" t="s">
        <v>825</v>
      </c>
      <c r="AN33" s="98" t="s">
        <v>853</v>
      </c>
      <c r="AO33" s="100" t="n">
        <v>0</v>
      </c>
      <c r="AP33" s="100" t="n">
        <v>-31167.58</v>
      </c>
      <c r="AQ33" s="98"/>
      <c r="AR33" s="98"/>
      <c r="AS33" s="98" t="s">
        <v>165</v>
      </c>
    </row>
    <row r="34" customFormat="false" ht="14.4" hidden="false" customHeight="false" outlineLevel="0" collapsed="false">
      <c r="A34" s="98" t="s">
        <v>142</v>
      </c>
      <c r="B34" s="98" t="s">
        <v>143</v>
      </c>
      <c r="C34" s="98" t="n">
        <v>51047418</v>
      </c>
      <c r="D34" s="98" t="n">
        <v>836586</v>
      </c>
      <c r="E34" s="98" t="s">
        <v>854</v>
      </c>
      <c r="F34" s="98" t="n">
        <v>51047418</v>
      </c>
      <c r="G34" s="98" t="s">
        <v>725</v>
      </c>
      <c r="H34" s="99" t="n">
        <v>43492</v>
      </c>
      <c r="I34" s="99" t="n">
        <v>43578</v>
      </c>
      <c r="J34" s="100" t="n">
        <v>-14018.4</v>
      </c>
      <c r="K34" s="100" t="n">
        <v>-11880</v>
      </c>
      <c r="L34" s="100" t="n">
        <v>-2138.4</v>
      </c>
      <c r="M34" s="100" t="n">
        <v>-11880</v>
      </c>
      <c r="N34" s="100" t="n">
        <v>0</v>
      </c>
      <c r="O34" s="100" t="n">
        <v>0</v>
      </c>
      <c r="P34" s="98" t="s">
        <v>150</v>
      </c>
      <c r="Q34" s="98" t="s">
        <v>151</v>
      </c>
      <c r="R34" s="98"/>
      <c r="S34" s="98" t="s">
        <v>811</v>
      </c>
      <c r="T34" s="98" t="s">
        <v>769</v>
      </c>
      <c r="U34" s="98" t="s">
        <v>855</v>
      </c>
      <c r="V34" s="98"/>
      <c r="W34" s="98" t="s">
        <v>769</v>
      </c>
      <c r="X34" s="98"/>
      <c r="Y34" s="98" t="s">
        <v>155</v>
      </c>
      <c r="Z34" s="98" t="s">
        <v>156</v>
      </c>
      <c r="AA34" s="98" t="s">
        <v>728</v>
      </c>
      <c r="AB34" s="98" t="s">
        <v>729</v>
      </c>
      <c r="AC34" s="98" t="s">
        <v>730</v>
      </c>
      <c r="AD34" s="98" t="s">
        <v>730</v>
      </c>
      <c r="AE34" s="98" t="s">
        <v>731</v>
      </c>
      <c r="AF34" s="98" t="s">
        <v>159</v>
      </c>
      <c r="AG34" s="98" t="s">
        <v>224</v>
      </c>
      <c r="AH34" s="98" t="s">
        <v>225</v>
      </c>
      <c r="AI34" s="98"/>
      <c r="AJ34" s="98"/>
      <c r="AK34" s="98" t="s">
        <v>389</v>
      </c>
      <c r="AL34" s="98" t="s">
        <v>387</v>
      </c>
      <c r="AM34" s="98" t="s">
        <v>825</v>
      </c>
      <c r="AN34" s="98" t="s">
        <v>856</v>
      </c>
      <c r="AO34" s="100" t="n">
        <v>0</v>
      </c>
      <c r="AP34" s="100" t="n">
        <v>-14018.4</v>
      </c>
      <c r="AQ34" s="98"/>
      <c r="AR34" s="98"/>
      <c r="AS34" s="98" t="s">
        <v>165</v>
      </c>
    </row>
    <row r="35" customFormat="false" ht="14.4" hidden="false" customHeight="false" outlineLevel="0" collapsed="false">
      <c r="A35" s="98" t="s">
        <v>142</v>
      </c>
      <c r="B35" s="98" t="s">
        <v>143</v>
      </c>
      <c r="C35" s="98" t="n">
        <v>51760890</v>
      </c>
      <c r="D35" s="98" t="n">
        <v>0</v>
      </c>
      <c r="E35" s="98" t="s">
        <v>857</v>
      </c>
      <c r="F35" s="98" t="n">
        <v>51760890</v>
      </c>
      <c r="G35" s="98" t="s">
        <v>725</v>
      </c>
      <c r="H35" s="104" t="n">
        <v>40379</v>
      </c>
      <c r="I35" s="99" t="n">
        <v>43908</v>
      </c>
      <c r="J35" s="100" t="n">
        <v>-2834</v>
      </c>
      <c r="K35" s="100" t="n">
        <v>-2834</v>
      </c>
      <c r="L35" s="100" t="n">
        <v>0</v>
      </c>
      <c r="M35" s="100" t="n">
        <v>-2834</v>
      </c>
      <c r="N35" s="100" t="n">
        <v>0</v>
      </c>
      <c r="O35" s="100" t="n">
        <v>0</v>
      </c>
      <c r="P35" s="98" t="s">
        <v>192</v>
      </c>
      <c r="Q35" s="98" t="s">
        <v>151</v>
      </c>
      <c r="R35" s="98"/>
      <c r="S35" s="98" t="s">
        <v>858</v>
      </c>
      <c r="T35" s="98" t="s">
        <v>859</v>
      </c>
      <c r="U35" s="98" t="s">
        <v>860</v>
      </c>
      <c r="V35" s="98"/>
      <c r="W35" s="98" t="s">
        <v>861</v>
      </c>
      <c r="X35" s="98"/>
      <c r="Y35" s="98" t="s">
        <v>155</v>
      </c>
      <c r="Z35" s="98" t="s">
        <v>156</v>
      </c>
      <c r="AA35" s="98" t="s">
        <v>862</v>
      </c>
      <c r="AB35" s="98" t="s">
        <v>863</v>
      </c>
      <c r="AC35" s="98" t="s">
        <v>864</v>
      </c>
      <c r="AD35" s="98" t="s">
        <v>864</v>
      </c>
      <c r="AE35" s="98" t="s">
        <v>865</v>
      </c>
      <c r="AF35" s="98" t="s">
        <v>159</v>
      </c>
      <c r="AG35" s="98" t="s">
        <v>224</v>
      </c>
      <c r="AH35" s="98" t="s">
        <v>225</v>
      </c>
      <c r="AI35" s="98"/>
      <c r="AJ35" s="98"/>
      <c r="AK35" s="98" t="s">
        <v>866</v>
      </c>
      <c r="AL35" s="98" t="s">
        <v>867</v>
      </c>
      <c r="AM35" s="98" t="s">
        <v>868</v>
      </c>
      <c r="AN35" s="98" t="s">
        <v>869</v>
      </c>
      <c r="AO35" s="100" t="n">
        <v>0</v>
      </c>
      <c r="AP35" s="100" t="n">
        <v>-2834</v>
      </c>
      <c r="AQ35" s="98"/>
      <c r="AR35" s="98"/>
      <c r="AS35" s="98" t="s">
        <v>165</v>
      </c>
    </row>
    <row r="36" customFormat="false" ht="14.4" hidden="false" customHeight="false" outlineLevel="0" collapsed="false">
      <c r="A36" s="98" t="s">
        <v>142</v>
      </c>
      <c r="B36" s="98" t="s">
        <v>143</v>
      </c>
      <c r="C36" s="98" t="n">
        <v>51760823</v>
      </c>
      <c r="D36" s="98" t="n">
        <v>0</v>
      </c>
      <c r="E36" s="98" t="s">
        <v>220</v>
      </c>
      <c r="F36" s="98" t="n">
        <v>51760823</v>
      </c>
      <c r="G36" s="98" t="s">
        <v>725</v>
      </c>
      <c r="H36" s="104" t="n">
        <v>40382</v>
      </c>
      <c r="I36" s="99" t="n">
        <v>43908</v>
      </c>
      <c r="J36" s="100" t="n">
        <v>-7802.46</v>
      </c>
      <c r="K36" s="100" t="n">
        <v>-7802.46</v>
      </c>
      <c r="L36" s="100" t="n">
        <v>0</v>
      </c>
      <c r="M36" s="100" t="n">
        <v>-7802.46</v>
      </c>
      <c r="N36" s="100" t="n">
        <v>0</v>
      </c>
      <c r="O36" s="100" t="n">
        <v>0</v>
      </c>
      <c r="P36" s="98" t="s">
        <v>192</v>
      </c>
      <c r="Q36" s="98" t="s">
        <v>151</v>
      </c>
      <c r="R36" s="98"/>
      <c r="S36" s="98" t="s">
        <v>858</v>
      </c>
      <c r="T36" s="98" t="s">
        <v>859</v>
      </c>
      <c r="U36" s="98" t="s">
        <v>870</v>
      </c>
      <c r="V36" s="98"/>
      <c r="W36" s="98" t="s">
        <v>871</v>
      </c>
      <c r="X36" s="98"/>
      <c r="Y36" s="98" t="s">
        <v>155</v>
      </c>
      <c r="Z36" s="98" t="s">
        <v>156</v>
      </c>
      <c r="AA36" s="98" t="s">
        <v>862</v>
      </c>
      <c r="AB36" s="98" t="s">
        <v>863</v>
      </c>
      <c r="AC36" s="98" t="s">
        <v>864</v>
      </c>
      <c r="AD36" s="98" t="s">
        <v>864</v>
      </c>
      <c r="AE36" s="98" t="s">
        <v>865</v>
      </c>
      <c r="AF36" s="98" t="s">
        <v>159</v>
      </c>
      <c r="AG36" s="98" t="s">
        <v>224</v>
      </c>
      <c r="AH36" s="98" t="s">
        <v>225</v>
      </c>
      <c r="AI36" s="98"/>
      <c r="AJ36" s="98"/>
      <c r="AK36" s="98" t="s">
        <v>872</v>
      </c>
      <c r="AL36" s="98" t="s">
        <v>873</v>
      </c>
      <c r="AM36" s="98" t="s">
        <v>868</v>
      </c>
      <c r="AN36" s="98" t="s">
        <v>874</v>
      </c>
      <c r="AO36" s="100" t="n">
        <v>0</v>
      </c>
      <c r="AP36" s="100" t="n">
        <v>-7802.46</v>
      </c>
      <c r="AQ36" s="98"/>
      <c r="AR36" s="98"/>
      <c r="AS36" s="98" t="s">
        <v>165</v>
      </c>
    </row>
    <row r="37" customFormat="false" ht="14.4" hidden="false" customHeight="false" outlineLevel="0" collapsed="false">
      <c r="A37" s="98" t="s">
        <v>142</v>
      </c>
      <c r="B37" s="98" t="s">
        <v>143</v>
      </c>
      <c r="C37" s="98" t="n">
        <v>51786309</v>
      </c>
      <c r="D37" s="98" t="n">
        <v>0</v>
      </c>
      <c r="E37" s="98" t="s">
        <v>875</v>
      </c>
      <c r="F37" s="98" t="n">
        <v>51786309</v>
      </c>
      <c r="G37" s="98" t="s">
        <v>725</v>
      </c>
      <c r="H37" s="104" t="n">
        <v>40448</v>
      </c>
      <c r="I37" s="99" t="n">
        <v>43921</v>
      </c>
      <c r="J37" s="100" t="n">
        <v>-12970.19</v>
      </c>
      <c r="K37" s="100" t="n">
        <v>-12970.19</v>
      </c>
      <c r="L37" s="100" t="n">
        <v>0</v>
      </c>
      <c r="M37" s="100" t="n">
        <v>-12970.19</v>
      </c>
      <c r="N37" s="100" t="n">
        <v>0</v>
      </c>
      <c r="O37" s="100" t="n">
        <v>0</v>
      </c>
      <c r="P37" s="98" t="s">
        <v>192</v>
      </c>
      <c r="Q37" s="98" t="s">
        <v>151</v>
      </c>
      <c r="R37" s="98"/>
      <c r="S37" s="98" t="s">
        <v>876</v>
      </c>
      <c r="T37" s="98" t="s">
        <v>877</v>
      </c>
      <c r="U37" s="98" t="s">
        <v>878</v>
      </c>
      <c r="V37" s="98"/>
      <c r="W37" s="98" t="s">
        <v>879</v>
      </c>
      <c r="X37" s="98"/>
      <c r="Y37" s="98" t="s">
        <v>155</v>
      </c>
      <c r="Z37" s="98" t="s">
        <v>156</v>
      </c>
      <c r="AA37" s="98" t="s">
        <v>862</v>
      </c>
      <c r="AB37" s="98" t="s">
        <v>863</v>
      </c>
      <c r="AC37" s="98" t="s">
        <v>864</v>
      </c>
      <c r="AD37" s="98" t="s">
        <v>864</v>
      </c>
      <c r="AE37" s="98" t="s">
        <v>865</v>
      </c>
      <c r="AF37" s="98" t="s">
        <v>159</v>
      </c>
      <c r="AG37" s="98" t="s">
        <v>224</v>
      </c>
      <c r="AH37" s="98" t="s">
        <v>225</v>
      </c>
      <c r="AI37" s="98"/>
      <c r="AJ37" s="98"/>
      <c r="AK37" s="98"/>
      <c r="AL37" s="98"/>
      <c r="AM37" s="98" t="s">
        <v>880</v>
      </c>
      <c r="AN37" s="98" t="s">
        <v>881</v>
      </c>
      <c r="AO37" s="100" t="n">
        <v>0</v>
      </c>
      <c r="AP37" s="100" t="n">
        <v>-12970.19</v>
      </c>
      <c r="AQ37" s="98"/>
      <c r="AR37" s="98"/>
      <c r="AS37" s="98" t="s">
        <v>165</v>
      </c>
    </row>
    <row r="38" customFormat="false" ht="14.4" hidden="false" customHeight="false" outlineLevel="0" collapsed="false">
      <c r="A38" s="98" t="s">
        <v>142</v>
      </c>
      <c r="B38" s="98" t="s">
        <v>143</v>
      </c>
      <c r="C38" s="98" t="n">
        <v>51062273</v>
      </c>
      <c r="D38" s="98" t="n">
        <v>836568</v>
      </c>
      <c r="E38" s="98" t="s">
        <v>882</v>
      </c>
      <c r="F38" s="98" t="n">
        <v>51062273</v>
      </c>
      <c r="G38" s="98" t="s">
        <v>725</v>
      </c>
      <c r="H38" s="99" t="n">
        <v>43492</v>
      </c>
      <c r="I38" s="99" t="n">
        <v>43585</v>
      </c>
      <c r="J38" s="100" t="n">
        <v>-43091.71</v>
      </c>
      <c r="K38" s="100" t="n">
        <v>-36518.4</v>
      </c>
      <c r="L38" s="100" t="n">
        <v>-6573.31</v>
      </c>
      <c r="M38" s="100" t="n">
        <v>-36518.4</v>
      </c>
      <c r="N38" s="100" t="n">
        <v>0</v>
      </c>
      <c r="O38" s="100" t="n">
        <v>0</v>
      </c>
      <c r="P38" s="98" t="s">
        <v>150</v>
      </c>
      <c r="Q38" s="98" t="s">
        <v>151</v>
      </c>
      <c r="R38" s="98"/>
      <c r="S38" s="98"/>
      <c r="T38" s="98" t="s">
        <v>769</v>
      </c>
      <c r="U38" s="98" t="s">
        <v>883</v>
      </c>
      <c r="V38" s="98"/>
      <c r="W38" s="98" t="s">
        <v>769</v>
      </c>
      <c r="X38" s="98"/>
      <c r="Y38" s="98" t="s">
        <v>155</v>
      </c>
      <c r="Z38" s="98" t="s">
        <v>156</v>
      </c>
      <c r="AA38" s="98" t="s">
        <v>728</v>
      </c>
      <c r="AB38" s="98" t="s">
        <v>729</v>
      </c>
      <c r="AC38" s="98" t="s">
        <v>730</v>
      </c>
      <c r="AD38" s="98" t="s">
        <v>730</v>
      </c>
      <c r="AE38" s="98" t="s">
        <v>731</v>
      </c>
      <c r="AF38" s="98" t="s">
        <v>159</v>
      </c>
      <c r="AG38" s="98" t="s">
        <v>224</v>
      </c>
      <c r="AH38" s="98" t="s">
        <v>225</v>
      </c>
      <c r="AI38" s="98"/>
      <c r="AJ38" s="98"/>
      <c r="AK38" s="98" t="s">
        <v>321</v>
      </c>
      <c r="AL38" s="98" t="s">
        <v>319</v>
      </c>
      <c r="AM38" s="98" t="s">
        <v>884</v>
      </c>
      <c r="AN38" s="98" t="s">
        <v>885</v>
      </c>
      <c r="AO38" s="100" t="n">
        <v>0</v>
      </c>
      <c r="AP38" s="100" t="n">
        <v>-43091.71</v>
      </c>
      <c r="AQ38" s="98"/>
      <c r="AR38" s="98"/>
      <c r="AS38" s="98" t="s">
        <v>165</v>
      </c>
    </row>
    <row r="39" customFormat="false" ht="14.4" hidden="false" customHeight="false" outlineLevel="0" collapsed="false">
      <c r="A39" s="98" t="s">
        <v>142</v>
      </c>
      <c r="B39" s="98" t="s">
        <v>143</v>
      </c>
      <c r="C39" s="98" t="n">
        <v>51062274</v>
      </c>
      <c r="D39" s="98" t="n">
        <v>836577</v>
      </c>
      <c r="E39" s="98" t="s">
        <v>886</v>
      </c>
      <c r="F39" s="98" t="n">
        <v>51062274</v>
      </c>
      <c r="G39" s="98" t="s">
        <v>725</v>
      </c>
      <c r="H39" s="99" t="n">
        <v>43492</v>
      </c>
      <c r="I39" s="99" t="n">
        <v>43585</v>
      </c>
      <c r="J39" s="100" t="n">
        <v>-121118.98</v>
      </c>
      <c r="K39" s="100" t="n">
        <v>-102643.2</v>
      </c>
      <c r="L39" s="100" t="n">
        <v>-18475.78</v>
      </c>
      <c r="M39" s="100" t="n">
        <v>-102643.2</v>
      </c>
      <c r="N39" s="100" t="n">
        <v>0</v>
      </c>
      <c r="O39" s="100" t="n">
        <v>0</v>
      </c>
      <c r="P39" s="98" t="s">
        <v>150</v>
      </c>
      <c r="Q39" s="98" t="s">
        <v>151</v>
      </c>
      <c r="R39" s="98"/>
      <c r="S39" s="98"/>
      <c r="T39" s="98" t="s">
        <v>769</v>
      </c>
      <c r="U39" s="98" t="s">
        <v>887</v>
      </c>
      <c r="V39" s="98"/>
      <c r="W39" s="98" t="s">
        <v>769</v>
      </c>
      <c r="X39" s="98"/>
      <c r="Y39" s="98" t="s">
        <v>155</v>
      </c>
      <c r="Z39" s="98" t="s">
        <v>156</v>
      </c>
      <c r="AA39" s="98" t="s">
        <v>728</v>
      </c>
      <c r="AB39" s="98" t="s">
        <v>729</v>
      </c>
      <c r="AC39" s="98" t="s">
        <v>730</v>
      </c>
      <c r="AD39" s="98" t="s">
        <v>730</v>
      </c>
      <c r="AE39" s="98" t="s">
        <v>731</v>
      </c>
      <c r="AF39" s="98" t="s">
        <v>159</v>
      </c>
      <c r="AG39" s="98" t="s">
        <v>224</v>
      </c>
      <c r="AH39" s="98" t="s">
        <v>225</v>
      </c>
      <c r="AI39" s="98"/>
      <c r="AJ39" s="98"/>
      <c r="AK39" s="98" t="s">
        <v>335</v>
      </c>
      <c r="AL39" s="98" t="s">
        <v>329</v>
      </c>
      <c r="AM39" s="98" t="s">
        <v>884</v>
      </c>
      <c r="AN39" s="98" t="s">
        <v>888</v>
      </c>
      <c r="AO39" s="100" t="n">
        <v>0</v>
      </c>
      <c r="AP39" s="100" t="n">
        <v>-121118.98</v>
      </c>
      <c r="AQ39" s="98"/>
      <c r="AR39" s="98"/>
      <c r="AS39" s="98" t="s">
        <v>165</v>
      </c>
    </row>
    <row r="40" customFormat="false" ht="14.4" hidden="false" customHeight="false" outlineLevel="0" collapsed="false">
      <c r="A40" s="98" t="s">
        <v>142</v>
      </c>
      <c r="B40" s="98" t="s">
        <v>143</v>
      </c>
      <c r="C40" s="98" t="n">
        <v>51062276</v>
      </c>
      <c r="D40" s="98" t="n">
        <v>836569</v>
      </c>
      <c r="E40" s="98" t="s">
        <v>889</v>
      </c>
      <c r="F40" s="98" t="n">
        <v>51062276</v>
      </c>
      <c r="G40" s="98" t="s">
        <v>725</v>
      </c>
      <c r="H40" s="99" t="n">
        <v>43492</v>
      </c>
      <c r="I40" s="99" t="n">
        <v>43585</v>
      </c>
      <c r="J40" s="100" t="n">
        <v>-13345.8</v>
      </c>
      <c r="K40" s="100" t="n">
        <v>-11310</v>
      </c>
      <c r="L40" s="100" t="n">
        <v>-2035.8</v>
      </c>
      <c r="M40" s="100" t="n">
        <v>-11310</v>
      </c>
      <c r="N40" s="100" t="n">
        <v>0</v>
      </c>
      <c r="O40" s="100" t="n">
        <v>0</v>
      </c>
      <c r="P40" s="98" t="s">
        <v>150</v>
      </c>
      <c r="Q40" s="98" t="s">
        <v>151</v>
      </c>
      <c r="R40" s="98"/>
      <c r="S40" s="98"/>
      <c r="T40" s="98" t="s">
        <v>769</v>
      </c>
      <c r="U40" s="98" t="s">
        <v>890</v>
      </c>
      <c r="V40" s="98"/>
      <c r="W40" s="98" t="s">
        <v>769</v>
      </c>
      <c r="X40" s="98"/>
      <c r="Y40" s="98" t="s">
        <v>155</v>
      </c>
      <c r="Z40" s="98" t="s">
        <v>156</v>
      </c>
      <c r="AA40" s="98" t="s">
        <v>728</v>
      </c>
      <c r="AB40" s="98" t="s">
        <v>729</v>
      </c>
      <c r="AC40" s="98" t="s">
        <v>730</v>
      </c>
      <c r="AD40" s="98" t="s">
        <v>730</v>
      </c>
      <c r="AE40" s="98" t="s">
        <v>731</v>
      </c>
      <c r="AF40" s="98" t="s">
        <v>159</v>
      </c>
      <c r="AG40" s="98" t="s">
        <v>224</v>
      </c>
      <c r="AH40" s="98" t="s">
        <v>225</v>
      </c>
      <c r="AI40" s="98"/>
      <c r="AJ40" s="98"/>
      <c r="AK40" s="98" t="s">
        <v>321</v>
      </c>
      <c r="AL40" s="98" t="s">
        <v>319</v>
      </c>
      <c r="AM40" s="98" t="s">
        <v>884</v>
      </c>
      <c r="AN40" s="98" t="s">
        <v>891</v>
      </c>
      <c r="AO40" s="100" t="n">
        <v>0</v>
      </c>
      <c r="AP40" s="100" t="n">
        <v>-13345.8</v>
      </c>
      <c r="AQ40" s="98"/>
      <c r="AR40" s="98"/>
      <c r="AS40" s="98" t="s">
        <v>165</v>
      </c>
    </row>
    <row r="41" customFormat="false" ht="14.4" hidden="false" customHeight="false" outlineLevel="0" collapsed="false">
      <c r="A41" s="98" t="s">
        <v>142</v>
      </c>
      <c r="B41" s="98" t="s">
        <v>143</v>
      </c>
      <c r="C41" s="98" t="n">
        <v>51062277</v>
      </c>
      <c r="D41" s="98" t="n">
        <v>836583</v>
      </c>
      <c r="E41" s="98" t="s">
        <v>892</v>
      </c>
      <c r="F41" s="98" t="n">
        <v>51062277</v>
      </c>
      <c r="G41" s="98" t="s">
        <v>725</v>
      </c>
      <c r="H41" s="99" t="n">
        <v>43492</v>
      </c>
      <c r="I41" s="99" t="n">
        <v>43585</v>
      </c>
      <c r="J41" s="100" t="n">
        <v>-2950</v>
      </c>
      <c r="K41" s="100" t="n">
        <v>-2500</v>
      </c>
      <c r="L41" s="100" t="n">
        <v>-450</v>
      </c>
      <c r="M41" s="100" t="n">
        <v>-2500</v>
      </c>
      <c r="N41" s="100" t="n">
        <v>0</v>
      </c>
      <c r="O41" s="100" t="n">
        <v>0</v>
      </c>
      <c r="P41" s="98" t="s">
        <v>150</v>
      </c>
      <c r="Q41" s="98" t="s">
        <v>151</v>
      </c>
      <c r="R41" s="98"/>
      <c r="S41" s="98"/>
      <c r="T41" s="98" t="s">
        <v>769</v>
      </c>
      <c r="U41" s="98" t="s">
        <v>893</v>
      </c>
      <c r="V41" s="98"/>
      <c r="W41" s="98" t="s">
        <v>769</v>
      </c>
      <c r="X41" s="98"/>
      <c r="Y41" s="98" t="s">
        <v>155</v>
      </c>
      <c r="Z41" s="98" t="s">
        <v>156</v>
      </c>
      <c r="AA41" s="98" t="s">
        <v>728</v>
      </c>
      <c r="AB41" s="98" t="s">
        <v>729</v>
      </c>
      <c r="AC41" s="98" t="s">
        <v>730</v>
      </c>
      <c r="AD41" s="98" t="s">
        <v>730</v>
      </c>
      <c r="AE41" s="98" t="s">
        <v>731</v>
      </c>
      <c r="AF41" s="98" t="s">
        <v>159</v>
      </c>
      <c r="AG41" s="98" t="s">
        <v>224</v>
      </c>
      <c r="AH41" s="98" t="s">
        <v>225</v>
      </c>
      <c r="AI41" s="98"/>
      <c r="AJ41" s="98"/>
      <c r="AK41" s="98" t="s">
        <v>321</v>
      </c>
      <c r="AL41" s="98" t="s">
        <v>319</v>
      </c>
      <c r="AM41" s="98" t="s">
        <v>884</v>
      </c>
      <c r="AN41" s="98" t="s">
        <v>894</v>
      </c>
      <c r="AO41" s="100" t="n">
        <v>0</v>
      </c>
      <c r="AP41" s="100" t="n">
        <v>-2950</v>
      </c>
      <c r="AQ41" s="98"/>
      <c r="AR41" s="98"/>
      <c r="AS41" s="98" t="s">
        <v>165</v>
      </c>
    </row>
    <row r="42" customFormat="false" ht="14.4" hidden="false" customHeight="false" outlineLevel="0" collapsed="false">
      <c r="A42" s="98" t="s">
        <v>142</v>
      </c>
      <c r="B42" s="98" t="s">
        <v>143</v>
      </c>
      <c r="C42" s="98" t="n">
        <v>51062278</v>
      </c>
      <c r="D42" s="98" t="n">
        <v>836578</v>
      </c>
      <c r="E42" s="98" t="s">
        <v>895</v>
      </c>
      <c r="F42" s="98" t="n">
        <v>51062278</v>
      </c>
      <c r="G42" s="98" t="s">
        <v>725</v>
      </c>
      <c r="H42" s="99" t="n">
        <v>43492</v>
      </c>
      <c r="I42" s="99" t="n">
        <v>43585</v>
      </c>
      <c r="J42" s="100" t="n">
        <v>-4425</v>
      </c>
      <c r="K42" s="100" t="n">
        <v>-3750</v>
      </c>
      <c r="L42" s="100" t="n">
        <v>-675</v>
      </c>
      <c r="M42" s="100" t="n">
        <v>-3750</v>
      </c>
      <c r="N42" s="100" t="n">
        <v>0</v>
      </c>
      <c r="O42" s="100" t="n">
        <v>0</v>
      </c>
      <c r="P42" s="98" t="s">
        <v>150</v>
      </c>
      <c r="Q42" s="98" t="s">
        <v>151</v>
      </c>
      <c r="R42" s="98"/>
      <c r="S42" s="98"/>
      <c r="T42" s="98" t="s">
        <v>769</v>
      </c>
      <c r="U42" s="98" t="s">
        <v>896</v>
      </c>
      <c r="V42" s="98"/>
      <c r="W42" s="98" t="s">
        <v>769</v>
      </c>
      <c r="X42" s="98"/>
      <c r="Y42" s="98" t="s">
        <v>155</v>
      </c>
      <c r="Z42" s="98" t="s">
        <v>156</v>
      </c>
      <c r="AA42" s="98" t="s">
        <v>728</v>
      </c>
      <c r="AB42" s="98" t="s">
        <v>729</v>
      </c>
      <c r="AC42" s="98" t="s">
        <v>730</v>
      </c>
      <c r="AD42" s="98" t="s">
        <v>730</v>
      </c>
      <c r="AE42" s="98" t="s">
        <v>731</v>
      </c>
      <c r="AF42" s="98" t="s">
        <v>159</v>
      </c>
      <c r="AG42" s="98" t="s">
        <v>224</v>
      </c>
      <c r="AH42" s="98" t="s">
        <v>225</v>
      </c>
      <c r="AI42" s="98"/>
      <c r="AJ42" s="98"/>
      <c r="AK42" s="98" t="s">
        <v>321</v>
      </c>
      <c r="AL42" s="98" t="s">
        <v>319</v>
      </c>
      <c r="AM42" s="98" t="s">
        <v>884</v>
      </c>
      <c r="AN42" s="98" t="s">
        <v>897</v>
      </c>
      <c r="AO42" s="100" t="n">
        <v>0</v>
      </c>
      <c r="AP42" s="100" t="n">
        <v>-4425</v>
      </c>
      <c r="AQ42" s="98"/>
      <c r="AR42" s="98"/>
      <c r="AS42" s="98" t="s">
        <v>165</v>
      </c>
    </row>
    <row r="43" customFormat="false" ht="14.4" hidden="false" customHeight="false" outlineLevel="0" collapsed="false">
      <c r="A43" s="98" t="s">
        <v>142</v>
      </c>
      <c r="B43" s="98" t="s">
        <v>143</v>
      </c>
      <c r="C43" s="98" t="n">
        <v>51062279</v>
      </c>
      <c r="D43" s="98" t="n">
        <v>836585</v>
      </c>
      <c r="E43" s="98" t="s">
        <v>898</v>
      </c>
      <c r="F43" s="98" t="n">
        <v>51062279</v>
      </c>
      <c r="G43" s="98" t="s">
        <v>725</v>
      </c>
      <c r="H43" s="99" t="n">
        <v>43492</v>
      </c>
      <c r="I43" s="99" t="n">
        <v>43585</v>
      </c>
      <c r="J43" s="100" t="n">
        <v>-3186</v>
      </c>
      <c r="K43" s="100" t="n">
        <v>-2700</v>
      </c>
      <c r="L43" s="100" t="n">
        <v>-486</v>
      </c>
      <c r="M43" s="100" t="n">
        <v>-2700</v>
      </c>
      <c r="N43" s="100" t="n">
        <v>0</v>
      </c>
      <c r="O43" s="100" t="n">
        <v>0</v>
      </c>
      <c r="P43" s="98" t="s">
        <v>150</v>
      </c>
      <c r="Q43" s="98" t="s">
        <v>151</v>
      </c>
      <c r="R43" s="98"/>
      <c r="S43" s="98"/>
      <c r="T43" s="98" t="s">
        <v>769</v>
      </c>
      <c r="U43" s="98" t="s">
        <v>899</v>
      </c>
      <c r="V43" s="98"/>
      <c r="W43" s="98" t="s">
        <v>769</v>
      </c>
      <c r="X43" s="98"/>
      <c r="Y43" s="98" t="s">
        <v>155</v>
      </c>
      <c r="Z43" s="98" t="s">
        <v>156</v>
      </c>
      <c r="AA43" s="98" t="s">
        <v>728</v>
      </c>
      <c r="AB43" s="98" t="s">
        <v>729</v>
      </c>
      <c r="AC43" s="98" t="s">
        <v>730</v>
      </c>
      <c r="AD43" s="98" t="s">
        <v>730</v>
      </c>
      <c r="AE43" s="98" t="s">
        <v>731</v>
      </c>
      <c r="AF43" s="98" t="s">
        <v>159</v>
      </c>
      <c r="AG43" s="98" t="s">
        <v>224</v>
      </c>
      <c r="AH43" s="98" t="s">
        <v>225</v>
      </c>
      <c r="AI43" s="98"/>
      <c r="AJ43" s="98"/>
      <c r="AK43" s="98" t="s">
        <v>321</v>
      </c>
      <c r="AL43" s="98" t="s">
        <v>319</v>
      </c>
      <c r="AM43" s="98" t="s">
        <v>884</v>
      </c>
      <c r="AN43" s="98" t="s">
        <v>900</v>
      </c>
      <c r="AO43" s="100" t="n">
        <v>0</v>
      </c>
      <c r="AP43" s="100" t="n">
        <v>-3186</v>
      </c>
      <c r="AQ43" s="98"/>
      <c r="AR43" s="98"/>
      <c r="AS43" s="98" t="s">
        <v>165</v>
      </c>
    </row>
    <row r="44" customFormat="false" ht="14.4" hidden="false" customHeight="false" outlineLevel="0" collapsed="false">
      <c r="A44" s="98" t="s">
        <v>142</v>
      </c>
      <c r="B44" s="98" t="s">
        <v>143</v>
      </c>
      <c r="C44" s="98" t="n">
        <v>51062280</v>
      </c>
      <c r="D44" s="98" t="n">
        <v>836588</v>
      </c>
      <c r="E44" s="98" t="s">
        <v>901</v>
      </c>
      <c r="F44" s="98" t="n">
        <v>51062280</v>
      </c>
      <c r="G44" s="98" t="s">
        <v>725</v>
      </c>
      <c r="H44" s="99" t="n">
        <v>43492</v>
      </c>
      <c r="I44" s="99" t="n">
        <v>43585</v>
      </c>
      <c r="J44" s="100" t="n">
        <v>-660.8</v>
      </c>
      <c r="K44" s="100" t="n">
        <v>-560</v>
      </c>
      <c r="L44" s="100" t="n">
        <v>-100.8</v>
      </c>
      <c r="M44" s="100" t="n">
        <v>-560</v>
      </c>
      <c r="N44" s="100" t="n">
        <v>0</v>
      </c>
      <c r="O44" s="100" t="n">
        <v>0</v>
      </c>
      <c r="P44" s="98" t="s">
        <v>150</v>
      </c>
      <c r="Q44" s="98" t="s">
        <v>151</v>
      </c>
      <c r="R44" s="98"/>
      <c r="S44" s="98"/>
      <c r="T44" s="98" t="s">
        <v>769</v>
      </c>
      <c r="U44" s="98" t="s">
        <v>902</v>
      </c>
      <c r="V44" s="98"/>
      <c r="W44" s="98" t="s">
        <v>769</v>
      </c>
      <c r="X44" s="98"/>
      <c r="Y44" s="98" t="s">
        <v>155</v>
      </c>
      <c r="Z44" s="98" t="s">
        <v>156</v>
      </c>
      <c r="AA44" s="98" t="s">
        <v>728</v>
      </c>
      <c r="AB44" s="98" t="s">
        <v>729</v>
      </c>
      <c r="AC44" s="98" t="s">
        <v>730</v>
      </c>
      <c r="AD44" s="98" t="s">
        <v>730</v>
      </c>
      <c r="AE44" s="98" t="s">
        <v>731</v>
      </c>
      <c r="AF44" s="98" t="s">
        <v>159</v>
      </c>
      <c r="AG44" s="98" t="s">
        <v>224</v>
      </c>
      <c r="AH44" s="98" t="s">
        <v>225</v>
      </c>
      <c r="AI44" s="98"/>
      <c r="AJ44" s="98"/>
      <c r="AK44" s="98" t="s">
        <v>321</v>
      </c>
      <c r="AL44" s="98" t="s">
        <v>319</v>
      </c>
      <c r="AM44" s="98" t="s">
        <v>884</v>
      </c>
      <c r="AN44" s="98" t="s">
        <v>903</v>
      </c>
      <c r="AO44" s="100" t="n">
        <v>0</v>
      </c>
      <c r="AP44" s="100" t="n">
        <v>-660.8</v>
      </c>
      <c r="AQ44" s="98"/>
      <c r="AR44" s="98"/>
      <c r="AS44" s="98" t="s">
        <v>165</v>
      </c>
    </row>
    <row r="45" customFormat="false" ht="14.4" hidden="false" customHeight="false" outlineLevel="0" collapsed="false">
      <c r="A45" s="98" t="s">
        <v>142</v>
      </c>
      <c r="B45" s="98" t="s">
        <v>143</v>
      </c>
      <c r="C45" s="98" t="n">
        <v>51786311</v>
      </c>
      <c r="D45" s="98" t="n">
        <v>0</v>
      </c>
      <c r="E45" s="98" t="s">
        <v>924</v>
      </c>
      <c r="F45" s="98" t="n">
        <v>51786311</v>
      </c>
      <c r="G45" s="98" t="s">
        <v>725</v>
      </c>
      <c r="H45" s="104" t="n">
        <v>40448</v>
      </c>
      <c r="I45" s="99" t="n">
        <v>43921</v>
      </c>
      <c r="J45" s="100" t="n">
        <v>-9016.07</v>
      </c>
      <c r="K45" s="100" t="n">
        <v>-9016.07</v>
      </c>
      <c r="L45" s="100" t="n">
        <v>0</v>
      </c>
      <c r="M45" s="100" t="n">
        <v>-9016.07</v>
      </c>
      <c r="N45" s="100" t="n">
        <v>0</v>
      </c>
      <c r="O45" s="100" t="n">
        <v>0</v>
      </c>
      <c r="P45" s="98" t="s">
        <v>192</v>
      </c>
      <c r="Q45" s="98" t="s">
        <v>151</v>
      </c>
      <c r="R45" s="98"/>
      <c r="S45" s="98" t="s">
        <v>876</v>
      </c>
      <c r="T45" s="98" t="s">
        <v>877</v>
      </c>
      <c r="U45" s="98" t="s">
        <v>925</v>
      </c>
      <c r="V45" s="98"/>
      <c r="W45" s="98" t="s">
        <v>926</v>
      </c>
      <c r="X45" s="98"/>
      <c r="Y45" s="98" t="s">
        <v>155</v>
      </c>
      <c r="Z45" s="98" t="s">
        <v>156</v>
      </c>
      <c r="AA45" s="98" t="s">
        <v>862</v>
      </c>
      <c r="AB45" s="98" t="s">
        <v>863</v>
      </c>
      <c r="AC45" s="98" t="s">
        <v>864</v>
      </c>
      <c r="AD45" s="98" t="s">
        <v>864</v>
      </c>
      <c r="AE45" s="98" t="s">
        <v>865</v>
      </c>
      <c r="AF45" s="98" t="s">
        <v>159</v>
      </c>
      <c r="AG45" s="98" t="s">
        <v>224</v>
      </c>
      <c r="AH45" s="98" t="s">
        <v>225</v>
      </c>
      <c r="AI45" s="98"/>
      <c r="AJ45" s="98"/>
      <c r="AK45" s="98"/>
      <c r="AL45" s="98"/>
      <c r="AM45" s="98" t="s">
        <v>880</v>
      </c>
      <c r="AN45" s="98" t="s">
        <v>927</v>
      </c>
      <c r="AO45" s="100" t="n">
        <v>0</v>
      </c>
      <c r="AP45" s="100" t="n">
        <v>-9016.07</v>
      </c>
      <c r="AQ45" s="98"/>
      <c r="AR45" s="98"/>
      <c r="AS45" s="98" t="s">
        <v>165</v>
      </c>
    </row>
    <row r="46" customFormat="false" ht="14.4" hidden="false" customHeight="false" outlineLevel="0" collapsed="false">
      <c r="A46" s="98" t="s">
        <v>142</v>
      </c>
      <c r="B46" s="98" t="s">
        <v>143</v>
      </c>
      <c r="C46" s="98" t="n">
        <v>51786380</v>
      </c>
      <c r="D46" s="98" t="n">
        <v>0</v>
      </c>
      <c r="E46" s="98" t="s">
        <v>928</v>
      </c>
      <c r="F46" s="98" t="n">
        <v>51786380</v>
      </c>
      <c r="G46" s="98" t="s">
        <v>725</v>
      </c>
      <c r="H46" s="104" t="n">
        <v>40448</v>
      </c>
      <c r="I46" s="99" t="n">
        <v>43921</v>
      </c>
      <c r="J46" s="100" t="n">
        <v>-33456.06</v>
      </c>
      <c r="K46" s="100" t="n">
        <v>-33456.06</v>
      </c>
      <c r="L46" s="100" t="n">
        <v>0</v>
      </c>
      <c r="M46" s="100" t="n">
        <v>-33456.06</v>
      </c>
      <c r="N46" s="100" t="n">
        <v>0</v>
      </c>
      <c r="O46" s="100" t="n">
        <v>0</v>
      </c>
      <c r="P46" s="98" t="s">
        <v>192</v>
      </c>
      <c r="Q46" s="98" t="s">
        <v>151</v>
      </c>
      <c r="R46" s="98"/>
      <c r="S46" s="98" t="s">
        <v>876</v>
      </c>
      <c r="T46" s="98" t="s">
        <v>877</v>
      </c>
      <c r="U46" s="98" t="s">
        <v>929</v>
      </c>
      <c r="V46" s="98"/>
      <c r="W46" s="98" t="s">
        <v>930</v>
      </c>
      <c r="X46" s="98"/>
      <c r="Y46" s="98" t="s">
        <v>155</v>
      </c>
      <c r="Z46" s="98" t="s">
        <v>156</v>
      </c>
      <c r="AA46" s="98" t="s">
        <v>862</v>
      </c>
      <c r="AB46" s="98" t="s">
        <v>863</v>
      </c>
      <c r="AC46" s="98" t="s">
        <v>864</v>
      </c>
      <c r="AD46" s="98" t="s">
        <v>864</v>
      </c>
      <c r="AE46" s="98" t="s">
        <v>865</v>
      </c>
      <c r="AF46" s="98" t="s">
        <v>159</v>
      </c>
      <c r="AG46" s="98" t="s">
        <v>224</v>
      </c>
      <c r="AH46" s="98" t="s">
        <v>225</v>
      </c>
      <c r="AI46" s="98"/>
      <c r="AJ46" s="98"/>
      <c r="AK46" s="98"/>
      <c r="AL46" s="98"/>
      <c r="AM46" s="98" t="s">
        <v>931</v>
      </c>
      <c r="AN46" s="98" t="s">
        <v>932</v>
      </c>
      <c r="AO46" s="100" t="n">
        <v>0</v>
      </c>
      <c r="AP46" s="100" t="n">
        <v>-33456.06</v>
      </c>
      <c r="AQ46" s="98"/>
      <c r="AR46" s="98"/>
      <c r="AS46" s="98" t="s">
        <v>165</v>
      </c>
    </row>
    <row r="47" customFormat="false" ht="14.4" hidden="false" customHeight="false" outlineLevel="0" collapsed="false">
      <c r="A47" s="98" t="s">
        <v>142</v>
      </c>
      <c r="B47" s="98" t="s">
        <v>143</v>
      </c>
      <c r="C47" s="98" t="n">
        <v>51093980</v>
      </c>
      <c r="D47" s="98" t="n">
        <v>836564</v>
      </c>
      <c r="E47" s="98" t="s">
        <v>951</v>
      </c>
      <c r="F47" s="98" t="n">
        <v>51093980</v>
      </c>
      <c r="G47" s="98" t="s">
        <v>725</v>
      </c>
      <c r="H47" s="104" t="n">
        <v>43433</v>
      </c>
      <c r="I47" s="99" t="n">
        <v>43600</v>
      </c>
      <c r="J47" s="100" t="n">
        <v>-619500</v>
      </c>
      <c r="K47" s="100" t="n">
        <v>-525000</v>
      </c>
      <c r="L47" s="100" t="n">
        <v>-94500</v>
      </c>
      <c r="M47" s="100" t="n">
        <v>-619500</v>
      </c>
      <c r="N47" s="100" t="n">
        <v>0</v>
      </c>
      <c r="O47" s="100" t="n">
        <v>0</v>
      </c>
      <c r="P47" s="98" t="s">
        <v>192</v>
      </c>
      <c r="Q47" s="98" t="s">
        <v>151</v>
      </c>
      <c r="R47" s="98"/>
      <c r="S47" s="98"/>
      <c r="T47" s="98" t="s">
        <v>952</v>
      </c>
      <c r="U47" s="98" t="s">
        <v>953</v>
      </c>
      <c r="V47" s="98"/>
      <c r="W47" s="98" t="s">
        <v>952</v>
      </c>
      <c r="X47" s="98"/>
      <c r="Y47" s="98" t="s">
        <v>155</v>
      </c>
      <c r="Z47" s="98" t="s">
        <v>156</v>
      </c>
      <c r="AA47" s="98" t="s">
        <v>728</v>
      </c>
      <c r="AB47" s="98" t="s">
        <v>729</v>
      </c>
      <c r="AC47" s="98" t="s">
        <v>730</v>
      </c>
      <c r="AD47" s="98" t="s">
        <v>730</v>
      </c>
      <c r="AE47" s="98" t="s">
        <v>731</v>
      </c>
      <c r="AF47" s="98" t="s">
        <v>159</v>
      </c>
      <c r="AG47" s="98" t="s">
        <v>224</v>
      </c>
      <c r="AH47" s="98" t="s">
        <v>225</v>
      </c>
      <c r="AI47" s="98"/>
      <c r="AJ47" s="98"/>
      <c r="AK47" s="98" t="s">
        <v>344</v>
      </c>
      <c r="AL47" s="98" t="s">
        <v>342</v>
      </c>
      <c r="AM47" s="98" t="s">
        <v>954</v>
      </c>
      <c r="AN47" s="98" t="s">
        <v>955</v>
      </c>
      <c r="AO47" s="100" t="n">
        <v>0</v>
      </c>
      <c r="AP47" s="100" t="n">
        <v>-619500</v>
      </c>
      <c r="AQ47" s="98"/>
      <c r="AR47" s="98"/>
      <c r="AS47" s="98" t="s">
        <v>165</v>
      </c>
    </row>
    <row r="48" customFormat="false" ht="14.4" hidden="false" customHeight="false" outlineLevel="0" collapsed="false">
      <c r="A48" s="98" t="s">
        <v>142</v>
      </c>
      <c r="B48" s="98" t="s">
        <v>143</v>
      </c>
      <c r="C48" s="98" t="n">
        <v>51087756</v>
      </c>
      <c r="D48" s="98" t="n">
        <v>836589</v>
      </c>
      <c r="E48" s="98" t="s">
        <v>956</v>
      </c>
      <c r="F48" s="98" t="n">
        <v>51087756</v>
      </c>
      <c r="G48" s="98" t="s">
        <v>725</v>
      </c>
      <c r="H48" s="104" t="n">
        <v>43434</v>
      </c>
      <c r="I48" s="99" t="n">
        <v>43599</v>
      </c>
      <c r="J48" s="100" t="n">
        <v>-1937796</v>
      </c>
      <c r="K48" s="100" t="n">
        <v>-1642200</v>
      </c>
      <c r="L48" s="100" t="n">
        <v>-295596</v>
      </c>
      <c r="M48" s="100" t="n">
        <v>-1937796</v>
      </c>
      <c r="N48" s="100" t="n">
        <v>0</v>
      </c>
      <c r="O48" s="100" t="n">
        <v>0</v>
      </c>
      <c r="P48" s="98" t="s">
        <v>192</v>
      </c>
      <c r="Q48" s="98" t="s">
        <v>151</v>
      </c>
      <c r="R48" s="98"/>
      <c r="S48" s="98"/>
      <c r="T48" s="98" t="s">
        <v>952</v>
      </c>
      <c r="U48" s="98" t="s">
        <v>957</v>
      </c>
      <c r="V48" s="98"/>
      <c r="W48" s="98" t="s">
        <v>952</v>
      </c>
      <c r="X48" s="98"/>
      <c r="Y48" s="98" t="s">
        <v>155</v>
      </c>
      <c r="Z48" s="98" t="s">
        <v>156</v>
      </c>
      <c r="AA48" s="98" t="s">
        <v>728</v>
      </c>
      <c r="AB48" s="98" t="s">
        <v>729</v>
      </c>
      <c r="AC48" s="98" t="s">
        <v>730</v>
      </c>
      <c r="AD48" s="98" t="s">
        <v>730</v>
      </c>
      <c r="AE48" s="98" t="s">
        <v>731</v>
      </c>
      <c r="AF48" s="98" t="s">
        <v>159</v>
      </c>
      <c r="AG48" s="98" t="s">
        <v>224</v>
      </c>
      <c r="AH48" s="98" t="s">
        <v>225</v>
      </c>
      <c r="AI48" s="98"/>
      <c r="AJ48" s="98"/>
      <c r="AK48" s="98" t="s">
        <v>331</v>
      </c>
      <c r="AL48" s="98" t="s">
        <v>329</v>
      </c>
      <c r="AM48" s="98" t="s">
        <v>958</v>
      </c>
      <c r="AN48" s="98" t="s">
        <v>959</v>
      </c>
      <c r="AO48" s="100" t="n">
        <v>0</v>
      </c>
      <c r="AP48" s="100" t="n">
        <v>-1937796</v>
      </c>
      <c r="AQ48" s="98"/>
      <c r="AR48" s="98"/>
      <c r="AS48" s="98" t="s">
        <v>165</v>
      </c>
    </row>
    <row r="49" customFormat="false" ht="14.4" hidden="false" customHeight="false" outlineLevel="0" collapsed="false">
      <c r="A49" s="98" t="s">
        <v>142</v>
      </c>
      <c r="B49" s="98" t="s">
        <v>143</v>
      </c>
      <c r="C49" s="98" t="n">
        <v>51087758</v>
      </c>
      <c r="D49" s="98" t="n">
        <v>836571</v>
      </c>
      <c r="E49" s="98" t="s">
        <v>960</v>
      </c>
      <c r="F49" s="98" t="n">
        <v>51087758</v>
      </c>
      <c r="G49" s="98" t="s">
        <v>725</v>
      </c>
      <c r="H49" s="104" t="n">
        <v>43434</v>
      </c>
      <c r="I49" s="99" t="n">
        <v>43599</v>
      </c>
      <c r="J49" s="100" t="n">
        <v>-1937796</v>
      </c>
      <c r="K49" s="100" t="n">
        <v>-1642200</v>
      </c>
      <c r="L49" s="100" t="n">
        <v>-295596</v>
      </c>
      <c r="M49" s="100" t="n">
        <v>-1937796</v>
      </c>
      <c r="N49" s="100" t="n">
        <v>0</v>
      </c>
      <c r="O49" s="100" t="n">
        <v>0</v>
      </c>
      <c r="P49" s="98" t="s">
        <v>192</v>
      </c>
      <c r="Q49" s="98" t="s">
        <v>151</v>
      </c>
      <c r="R49" s="98"/>
      <c r="S49" s="98"/>
      <c r="T49" s="98" t="s">
        <v>952</v>
      </c>
      <c r="U49" s="98" t="s">
        <v>961</v>
      </c>
      <c r="V49" s="98"/>
      <c r="W49" s="98" t="s">
        <v>952</v>
      </c>
      <c r="X49" s="98"/>
      <c r="Y49" s="98" t="s">
        <v>155</v>
      </c>
      <c r="Z49" s="98" t="s">
        <v>156</v>
      </c>
      <c r="AA49" s="98" t="s">
        <v>728</v>
      </c>
      <c r="AB49" s="98" t="s">
        <v>729</v>
      </c>
      <c r="AC49" s="98" t="s">
        <v>730</v>
      </c>
      <c r="AD49" s="98" t="s">
        <v>730</v>
      </c>
      <c r="AE49" s="98" t="s">
        <v>731</v>
      </c>
      <c r="AF49" s="98" t="s">
        <v>159</v>
      </c>
      <c r="AG49" s="98" t="s">
        <v>224</v>
      </c>
      <c r="AH49" s="98" t="s">
        <v>225</v>
      </c>
      <c r="AI49" s="98"/>
      <c r="AJ49" s="98"/>
      <c r="AK49" s="98" t="s">
        <v>331</v>
      </c>
      <c r="AL49" s="98" t="s">
        <v>329</v>
      </c>
      <c r="AM49" s="98" t="s">
        <v>958</v>
      </c>
      <c r="AN49" s="98" t="s">
        <v>962</v>
      </c>
      <c r="AO49" s="100" t="n">
        <v>0</v>
      </c>
      <c r="AP49" s="100" t="n">
        <v>-1937796</v>
      </c>
      <c r="AQ49" s="98"/>
      <c r="AR49" s="98"/>
      <c r="AS49" s="98" t="s">
        <v>165</v>
      </c>
    </row>
    <row r="50" customFormat="false" ht="14.4" hidden="false" customHeight="false" outlineLevel="0" collapsed="false">
      <c r="A50" s="98" t="s">
        <v>142</v>
      </c>
      <c r="B50" s="98" t="s">
        <v>143</v>
      </c>
      <c r="C50" s="98" t="n">
        <v>51093981</v>
      </c>
      <c r="D50" s="98" t="n">
        <v>836567</v>
      </c>
      <c r="E50" s="98" t="s">
        <v>963</v>
      </c>
      <c r="F50" s="98" t="n">
        <v>51093981</v>
      </c>
      <c r="G50" s="98" t="s">
        <v>725</v>
      </c>
      <c r="H50" s="104" t="n">
        <v>43434</v>
      </c>
      <c r="I50" s="99" t="n">
        <v>43600</v>
      </c>
      <c r="J50" s="100" t="n">
        <v>-1850240</v>
      </c>
      <c r="K50" s="100" t="n">
        <v>-1568000</v>
      </c>
      <c r="L50" s="100" t="n">
        <v>-282240</v>
      </c>
      <c r="M50" s="100" t="n">
        <v>-1850240</v>
      </c>
      <c r="N50" s="100" t="n">
        <v>0</v>
      </c>
      <c r="O50" s="100" t="n">
        <v>0</v>
      </c>
      <c r="P50" s="98" t="s">
        <v>192</v>
      </c>
      <c r="Q50" s="98" t="s">
        <v>151</v>
      </c>
      <c r="R50" s="98"/>
      <c r="S50" s="98"/>
      <c r="T50" s="98" t="s">
        <v>952</v>
      </c>
      <c r="U50" s="98" t="s">
        <v>964</v>
      </c>
      <c r="V50" s="98"/>
      <c r="W50" s="98" t="s">
        <v>952</v>
      </c>
      <c r="X50" s="98"/>
      <c r="Y50" s="98" t="s">
        <v>155</v>
      </c>
      <c r="Z50" s="98" t="s">
        <v>156</v>
      </c>
      <c r="AA50" s="98" t="s">
        <v>728</v>
      </c>
      <c r="AB50" s="98" t="s">
        <v>729</v>
      </c>
      <c r="AC50" s="98" t="s">
        <v>730</v>
      </c>
      <c r="AD50" s="98" t="s">
        <v>730</v>
      </c>
      <c r="AE50" s="98" t="s">
        <v>731</v>
      </c>
      <c r="AF50" s="98" t="s">
        <v>159</v>
      </c>
      <c r="AG50" s="98" t="s">
        <v>224</v>
      </c>
      <c r="AH50" s="98" t="s">
        <v>225</v>
      </c>
      <c r="AI50" s="98"/>
      <c r="AJ50" s="98"/>
      <c r="AK50" s="98" t="s">
        <v>344</v>
      </c>
      <c r="AL50" s="98" t="s">
        <v>342</v>
      </c>
      <c r="AM50" s="98" t="s">
        <v>954</v>
      </c>
      <c r="AN50" s="98" t="s">
        <v>965</v>
      </c>
      <c r="AO50" s="100" t="n">
        <v>0</v>
      </c>
      <c r="AP50" s="100" t="n">
        <v>-1850240</v>
      </c>
      <c r="AQ50" s="98"/>
      <c r="AR50" s="98"/>
      <c r="AS50" s="98" t="s">
        <v>165</v>
      </c>
    </row>
    <row r="51" customFormat="false" ht="14.4" hidden="false" customHeight="false" outlineLevel="0" collapsed="false">
      <c r="A51" s="98" t="s">
        <v>142</v>
      </c>
      <c r="B51" s="98" t="s">
        <v>143</v>
      </c>
      <c r="C51" s="98" t="n">
        <v>51093982</v>
      </c>
      <c r="D51" s="98" t="n">
        <v>836562</v>
      </c>
      <c r="E51" s="98" t="s">
        <v>966</v>
      </c>
      <c r="F51" s="98" t="n">
        <v>51093982</v>
      </c>
      <c r="G51" s="98" t="s">
        <v>725</v>
      </c>
      <c r="H51" s="104" t="n">
        <v>43434</v>
      </c>
      <c r="I51" s="99" t="n">
        <v>43600</v>
      </c>
      <c r="J51" s="100" t="n">
        <v>-1639610</v>
      </c>
      <c r="K51" s="100" t="n">
        <v>-1389500</v>
      </c>
      <c r="L51" s="100" t="n">
        <v>-250110</v>
      </c>
      <c r="M51" s="100" t="n">
        <v>-1639610</v>
      </c>
      <c r="N51" s="100" t="n">
        <v>0</v>
      </c>
      <c r="O51" s="100" t="n">
        <v>0</v>
      </c>
      <c r="P51" s="98" t="s">
        <v>192</v>
      </c>
      <c r="Q51" s="98" t="s">
        <v>151</v>
      </c>
      <c r="R51" s="98"/>
      <c r="S51" s="98"/>
      <c r="T51" s="98" t="s">
        <v>952</v>
      </c>
      <c r="U51" s="98" t="s">
        <v>967</v>
      </c>
      <c r="V51" s="98"/>
      <c r="W51" s="98" t="s">
        <v>952</v>
      </c>
      <c r="X51" s="98"/>
      <c r="Y51" s="98" t="s">
        <v>155</v>
      </c>
      <c r="Z51" s="98" t="s">
        <v>156</v>
      </c>
      <c r="AA51" s="98" t="s">
        <v>728</v>
      </c>
      <c r="AB51" s="98" t="s">
        <v>729</v>
      </c>
      <c r="AC51" s="98" t="s">
        <v>730</v>
      </c>
      <c r="AD51" s="98" t="s">
        <v>730</v>
      </c>
      <c r="AE51" s="98" t="s">
        <v>731</v>
      </c>
      <c r="AF51" s="98" t="s">
        <v>159</v>
      </c>
      <c r="AG51" s="98" t="s">
        <v>224</v>
      </c>
      <c r="AH51" s="98" t="s">
        <v>225</v>
      </c>
      <c r="AI51" s="98"/>
      <c r="AJ51" s="98"/>
      <c r="AK51" s="98" t="s">
        <v>344</v>
      </c>
      <c r="AL51" s="98" t="s">
        <v>342</v>
      </c>
      <c r="AM51" s="98" t="s">
        <v>954</v>
      </c>
      <c r="AN51" s="98" t="s">
        <v>968</v>
      </c>
      <c r="AO51" s="100" t="n">
        <v>0</v>
      </c>
      <c r="AP51" s="100" t="n">
        <v>-1639610</v>
      </c>
      <c r="AQ51" s="98"/>
      <c r="AR51" s="98"/>
      <c r="AS51" s="98" t="s">
        <v>165</v>
      </c>
    </row>
    <row r="52" customFormat="false" ht="14.4" hidden="false" customHeight="false" outlineLevel="0" collapsed="false">
      <c r="A52" s="98" t="s">
        <v>142</v>
      </c>
      <c r="B52" s="98" t="s">
        <v>143</v>
      </c>
      <c r="C52" s="98" t="n">
        <v>51050682</v>
      </c>
      <c r="D52" s="98" t="n">
        <v>836617</v>
      </c>
      <c r="E52" s="98" t="s">
        <v>969</v>
      </c>
      <c r="F52" s="98" t="n">
        <v>51050682</v>
      </c>
      <c r="G52" s="98" t="s">
        <v>725</v>
      </c>
      <c r="H52" s="104" t="n">
        <v>43462</v>
      </c>
      <c r="I52" s="99" t="n">
        <v>43580</v>
      </c>
      <c r="J52" s="100" t="n">
        <v>-11906.85</v>
      </c>
      <c r="K52" s="100" t="n">
        <v>24842.32</v>
      </c>
      <c r="L52" s="100" t="n">
        <v>-36954.56</v>
      </c>
      <c r="M52" s="100" t="n">
        <v>-11906.85</v>
      </c>
      <c r="N52" s="100" t="n">
        <v>-9751.37</v>
      </c>
      <c r="O52" s="100" t="n">
        <v>-205.39</v>
      </c>
      <c r="P52" s="98" t="s">
        <v>150</v>
      </c>
      <c r="Q52" s="98" t="s">
        <v>151</v>
      </c>
      <c r="R52" s="98"/>
      <c r="S52" s="98"/>
      <c r="T52" s="98" t="s">
        <v>170</v>
      </c>
      <c r="U52" s="98" t="s">
        <v>970</v>
      </c>
      <c r="V52" s="98"/>
      <c r="W52" s="98" t="s">
        <v>170</v>
      </c>
      <c r="X52" s="98"/>
      <c r="Y52" s="98" t="s">
        <v>155</v>
      </c>
      <c r="Z52" s="98" t="s">
        <v>156</v>
      </c>
      <c r="AA52" s="98" t="s">
        <v>747</v>
      </c>
      <c r="AB52" s="98" t="s">
        <v>748</v>
      </c>
      <c r="AC52" s="98" t="s">
        <v>971</v>
      </c>
      <c r="AD52" s="98" t="s">
        <v>971</v>
      </c>
      <c r="AE52" s="98" t="s">
        <v>972</v>
      </c>
      <c r="AF52" s="98" t="s">
        <v>159</v>
      </c>
      <c r="AG52" s="98" t="s">
        <v>224</v>
      </c>
      <c r="AH52" s="98" t="s">
        <v>225</v>
      </c>
      <c r="AI52" s="98"/>
      <c r="AJ52" s="98"/>
      <c r="AK52" s="98"/>
      <c r="AL52" s="98"/>
      <c r="AM52" s="98" t="s">
        <v>973</v>
      </c>
      <c r="AN52" s="98" t="s">
        <v>974</v>
      </c>
      <c r="AO52" s="100" t="n">
        <v>0</v>
      </c>
      <c r="AP52" s="100" t="n">
        <v>-11906.85</v>
      </c>
      <c r="AQ52" s="98"/>
      <c r="AR52" s="98"/>
      <c r="AS52" s="98" t="s">
        <v>556</v>
      </c>
    </row>
    <row r="53" customFormat="false" ht="14.4" hidden="false" customHeight="false" outlineLevel="0" collapsed="false">
      <c r="A53" s="98" t="s">
        <v>142</v>
      </c>
      <c r="B53" s="98" t="s">
        <v>143</v>
      </c>
      <c r="C53" s="98" t="n">
        <v>51050682</v>
      </c>
      <c r="D53" s="98" t="n">
        <v>836617</v>
      </c>
      <c r="E53" s="98" t="s">
        <v>969</v>
      </c>
      <c r="F53" s="98" t="n">
        <v>51050682</v>
      </c>
      <c r="G53" s="98" t="s">
        <v>725</v>
      </c>
      <c r="H53" s="104" t="n">
        <v>43462</v>
      </c>
      <c r="I53" s="99" t="n">
        <v>43580</v>
      </c>
      <c r="J53" s="100" t="n">
        <v>-214335.34</v>
      </c>
      <c r="K53" s="100" t="n">
        <v>-218032.56</v>
      </c>
      <c r="L53" s="100" t="n">
        <v>0</v>
      </c>
      <c r="M53" s="100" t="n">
        <v>-214335.34</v>
      </c>
      <c r="N53" s="100" t="n">
        <v>-175534.61</v>
      </c>
      <c r="O53" s="100" t="n">
        <v>-3697.22</v>
      </c>
      <c r="P53" s="98" t="s">
        <v>150</v>
      </c>
      <c r="Q53" s="98" t="s">
        <v>151</v>
      </c>
      <c r="R53" s="98"/>
      <c r="S53" s="98"/>
      <c r="T53" s="98" t="s">
        <v>170</v>
      </c>
      <c r="U53" s="98" t="s">
        <v>970</v>
      </c>
      <c r="V53" s="98"/>
      <c r="W53" s="98" t="s">
        <v>170</v>
      </c>
      <c r="X53" s="98"/>
      <c r="Y53" s="98" t="s">
        <v>155</v>
      </c>
      <c r="Z53" s="98" t="s">
        <v>156</v>
      </c>
      <c r="AA53" s="98" t="s">
        <v>747</v>
      </c>
      <c r="AB53" s="98" t="s">
        <v>748</v>
      </c>
      <c r="AC53" s="98" t="s">
        <v>971</v>
      </c>
      <c r="AD53" s="98" t="s">
        <v>971</v>
      </c>
      <c r="AE53" s="98" t="s">
        <v>972</v>
      </c>
      <c r="AF53" s="98" t="s">
        <v>159</v>
      </c>
      <c r="AG53" s="98" t="s">
        <v>224</v>
      </c>
      <c r="AH53" s="98" t="s">
        <v>225</v>
      </c>
      <c r="AI53" s="98"/>
      <c r="AJ53" s="98"/>
      <c r="AK53" s="98" t="s">
        <v>311</v>
      </c>
      <c r="AL53" s="98" t="s">
        <v>309</v>
      </c>
      <c r="AM53" s="98" t="s">
        <v>973</v>
      </c>
      <c r="AN53" s="98" t="s">
        <v>974</v>
      </c>
      <c r="AO53" s="100" t="n">
        <v>0</v>
      </c>
      <c r="AP53" s="100" t="n">
        <v>-214335.34</v>
      </c>
      <c r="AQ53" s="98"/>
      <c r="AR53" s="98"/>
      <c r="AS53" s="98" t="s">
        <v>175</v>
      </c>
    </row>
    <row r="54" customFormat="false" ht="14.4" hidden="false" customHeight="false" outlineLevel="0" collapsed="false">
      <c r="A54" s="98" t="s">
        <v>142</v>
      </c>
      <c r="B54" s="98" t="s">
        <v>143</v>
      </c>
      <c r="C54" s="98" t="n">
        <v>51050682</v>
      </c>
      <c r="D54" s="98" t="n">
        <v>836617</v>
      </c>
      <c r="E54" s="98" t="s">
        <v>969</v>
      </c>
      <c r="F54" s="98" t="n">
        <v>51050682</v>
      </c>
      <c r="G54" s="98" t="s">
        <v>725</v>
      </c>
      <c r="H54" s="104" t="n">
        <v>43462</v>
      </c>
      <c r="I54" s="99" t="n">
        <v>43580</v>
      </c>
      <c r="J54" s="100" t="n">
        <v>-11906.85</v>
      </c>
      <c r="K54" s="100" t="n">
        <v>-12112.24</v>
      </c>
      <c r="L54" s="100" t="n">
        <v>0</v>
      </c>
      <c r="M54" s="100" t="n">
        <v>-11906.85</v>
      </c>
      <c r="N54" s="100" t="n">
        <v>-9751.37</v>
      </c>
      <c r="O54" s="100" t="n">
        <v>-205.39</v>
      </c>
      <c r="P54" s="98" t="s">
        <v>150</v>
      </c>
      <c r="Q54" s="98" t="s">
        <v>151</v>
      </c>
      <c r="R54" s="98"/>
      <c r="S54" s="98"/>
      <c r="T54" s="98" t="s">
        <v>170</v>
      </c>
      <c r="U54" s="98" t="s">
        <v>970</v>
      </c>
      <c r="V54" s="98"/>
      <c r="W54" s="98" t="s">
        <v>170</v>
      </c>
      <c r="X54" s="98"/>
      <c r="Y54" s="98" t="s">
        <v>155</v>
      </c>
      <c r="Z54" s="98" t="s">
        <v>156</v>
      </c>
      <c r="AA54" s="98" t="s">
        <v>747</v>
      </c>
      <c r="AB54" s="98" t="s">
        <v>748</v>
      </c>
      <c r="AC54" s="98" t="s">
        <v>971</v>
      </c>
      <c r="AD54" s="98" t="s">
        <v>971</v>
      </c>
      <c r="AE54" s="98" t="s">
        <v>972</v>
      </c>
      <c r="AF54" s="98" t="s">
        <v>159</v>
      </c>
      <c r="AG54" s="98" t="s">
        <v>224</v>
      </c>
      <c r="AH54" s="98" t="s">
        <v>225</v>
      </c>
      <c r="AI54" s="98"/>
      <c r="AJ54" s="98"/>
      <c r="AK54" s="98"/>
      <c r="AL54" s="98"/>
      <c r="AM54" s="98" t="s">
        <v>973</v>
      </c>
      <c r="AN54" s="98" t="s">
        <v>974</v>
      </c>
      <c r="AO54" s="100" t="n">
        <v>0</v>
      </c>
      <c r="AP54" s="100" t="n">
        <v>-11906.85</v>
      </c>
      <c r="AQ54" s="98"/>
      <c r="AR54" s="98"/>
      <c r="AS54" s="98" t="s">
        <v>535</v>
      </c>
    </row>
    <row r="55" customFormat="false" ht="14.4" hidden="false" customHeight="false" outlineLevel="0" collapsed="false">
      <c r="A55" s="98" t="s">
        <v>142</v>
      </c>
      <c r="B55" s="98" t="s">
        <v>143</v>
      </c>
      <c r="C55" s="98" t="n">
        <v>51087753</v>
      </c>
      <c r="D55" s="98" t="n">
        <v>836573</v>
      </c>
      <c r="E55" s="98" t="s">
        <v>975</v>
      </c>
      <c r="F55" s="98" t="n">
        <v>51087753</v>
      </c>
      <c r="G55" s="98" t="s">
        <v>725</v>
      </c>
      <c r="H55" s="104" t="n">
        <v>43464</v>
      </c>
      <c r="I55" s="99" t="n">
        <v>43599</v>
      </c>
      <c r="J55" s="100" t="n">
        <v>-696683.8</v>
      </c>
      <c r="K55" s="100" t="n">
        <v>-590410</v>
      </c>
      <c r="L55" s="100" t="n">
        <v>-106273.8</v>
      </c>
      <c r="M55" s="100" t="n">
        <v>-696683.8</v>
      </c>
      <c r="N55" s="100" t="n">
        <v>0</v>
      </c>
      <c r="O55" s="100" t="n">
        <v>0</v>
      </c>
      <c r="P55" s="98" t="s">
        <v>192</v>
      </c>
      <c r="Q55" s="98" t="s">
        <v>151</v>
      </c>
      <c r="R55" s="98"/>
      <c r="S55" s="98"/>
      <c r="T55" s="98" t="s">
        <v>952</v>
      </c>
      <c r="U55" s="98" t="s">
        <v>976</v>
      </c>
      <c r="V55" s="98"/>
      <c r="W55" s="98" t="s">
        <v>952</v>
      </c>
      <c r="X55" s="98"/>
      <c r="Y55" s="98" t="s">
        <v>155</v>
      </c>
      <c r="Z55" s="98" t="s">
        <v>156</v>
      </c>
      <c r="AA55" s="98" t="s">
        <v>728</v>
      </c>
      <c r="AB55" s="98" t="s">
        <v>729</v>
      </c>
      <c r="AC55" s="98" t="s">
        <v>730</v>
      </c>
      <c r="AD55" s="98" t="s">
        <v>730</v>
      </c>
      <c r="AE55" s="98" t="s">
        <v>731</v>
      </c>
      <c r="AF55" s="98" t="s">
        <v>159</v>
      </c>
      <c r="AG55" s="98" t="s">
        <v>224</v>
      </c>
      <c r="AH55" s="98" t="s">
        <v>225</v>
      </c>
      <c r="AI55" s="98"/>
      <c r="AJ55" s="98"/>
      <c r="AK55" s="98" t="s">
        <v>331</v>
      </c>
      <c r="AL55" s="98" t="s">
        <v>329</v>
      </c>
      <c r="AM55" s="98" t="s">
        <v>958</v>
      </c>
      <c r="AN55" s="98" t="s">
        <v>977</v>
      </c>
      <c r="AO55" s="100" t="n">
        <v>0</v>
      </c>
      <c r="AP55" s="100" t="n">
        <v>-696683.8</v>
      </c>
      <c r="AQ55" s="98"/>
      <c r="AR55" s="98"/>
      <c r="AS55" s="98" t="s">
        <v>165</v>
      </c>
    </row>
    <row r="56" customFormat="false" ht="14.4" hidden="false" customHeight="false" outlineLevel="0" collapsed="false">
      <c r="A56" s="98" t="s">
        <v>142</v>
      </c>
      <c r="B56" s="98" t="s">
        <v>143</v>
      </c>
      <c r="C56" s="98" t="n">
        <v>51087754</v>
      </c>
      <c r="D56" s="98" t="n">
        <v>836566</v>
      </c>
      <c r="E56" s="98" t="s">
        <v>978</v>
      </c>
      <c r="F56" s="98" t="n">
        <v>51087754</v>
      </c>
      <c r="G56" s="98" t="s">
        <v>725</v>
      </c>
      <c r="H56" s="104" t="n">
        <v>43464</v>
      </c>
      <c r="I56" s="99" t="n">
        <v>43599</v>
      </c>
      <c r="J56" s="100" t="n">
        <v>-2045947.25</v>
      </c>
      <c r="K56" s="100" t="n">
        <v>-1733853.6</v>
      </c>
      <c r="L56" s="100" t="n">
        <v>-312093.65</v>
      </c>
      <c r="M56" s="100" t="n">
        <v>-2045947.25</v>
      </c>
      <c r="N56" s="100" t="n">
        <v>0</v>
      </c>
      <c r="O56" s="100" t="n">
        <v>0</v>
      </c>
      <c r="P56" s="98" t="s">
        <v>192</v>
      </c>
      <c r="Q56" s="98" t="s">
        <v>151</v>
      </c>
      <c r="R56" s="98"/>
      <c r="S56" s="98"/>
      <c r="T56" s="98" t="s">
        <v>952</v>
      </c>
      <c r="U56" s="98" t="s">
        <v>979</v>
      </c>
      <c r="V56" s="98"/>
      <c r="W56" s="98" t="s">
        <v>952</v>
      </c>
      <c r="X56" s="98"/>
      <c r="Y56" s="98" t="s">
        <v>155</v>
      </c>
      <c r="Z56" s="98" t="s">
        <v>156</v>
      </c>
      <c r="AA56" s="98" t="s">
        <v>728</v>
      </c>
      <c r="AB56" s="98" t="s">
        <v>729</v>
      </c>
      <c r="AC56" s="98" t="s">
        <v>730</v>
      </c>
      <c r="AD56" s="98" t="s">
        <v>730</v>
      </c>
      <c r="AE56" s="98" t="s">
        <v>731</v>
      </c>
      <c r="AF56" s="98" t="s">
        <v>159</v>
      </c>
      <c r="AG56" s="98" t="s">
        <v>224</v>
      </c>
      <c r="AH56" s="98" t="s">
        <v>225</v>
      </c>
      <c r="AI56" s="98"/>
      <c r="AJ56" s="98"/>
      <c r="AK56" s="98" t="s">
        <v>331</v>
      </c>
      <c r="AL56" s="98" t="s">
        <v>329</v>
      </c>
      <c r="AM56" s="98" t="s">
        <v>958</v>
      </c>
      <c r="AN56" s="98" t="s">
        <v>980</v>
      </c>
      <c r="AO56" s="100" t="n">
        <v>0</v>
      </c>
      <c r="AP56" s="100" t="n">
        <v>-2045947.25</v>
      </c>
      <c r="AQ56" s="98"/>
      <c r="AR56" s="98"/>
      <c r="AS56" s="98" t="s">
        <v>165</v>
      </c>
    </row>
    <row r="57" customFormat="false" ht="14.4" hidden="false" customHeight="false" outlineLevel="0" collapsed="false">
      <c r="A57" s="98" t="s">
        <v>142</v>
      </c>
      <c r="B57" s="98" t="s">
        <v>143</v>
      </c>
      <c r="C57" s="98" t="n">
        <v>51093219</v>
      </c>
      <c r="D57" s="98" t="n">
        <v>836558</v>
      </c>
      <c r="E57" s="98" t="s">
        <v>981</v>
      </c>
      <c r="F57" s="98" t="n">
        <v>51093219</v>
      </c>
      <c r="G57" s="98" t="s">
        <v>725</v>
      </c>
      <c r="H57" s="99" t="n">
        <v>43522</v>
      </c>
      <c r="I57" s="99" t="n">
        <v>43600</v>
      </c>
      <c r="J57" s="100" t="n">
        <v>-595900</v>
      </c>
      <c r="K57" s="100" t="n">
        <v>-505000</v>
      </c>
      <c r="L57" s="100" t="n">
        <v>-90900</v>
      </c>
      <c r="M57" s="100" t="n">
        <v>-505000</v>
      </c>
      <c r="N57" s="100" t="n">
        <v>0</v>
      </c>
      <c r="O57" s="100" t="n">
        <v>0</v>
      </c>
      <c r="P57" s="98" t="s">
        <v>192</v>
      </c>
      <c r="Q57" s="98" t="s">
        <v>151</v>
      </c>
      <c r="R57" s="98"/>
      <c r="S57" s="98"/>
      <c r="T57" s="98" t="s">
        <v>982</v>
      </c>
      <c r="U57" s="98" t="s">
        <v>983</v>
      </c>
      <c r="V57" s="98"/>
      <c r="W57" s="98" t="s">
        <v>982</v>
      </c>
      <c r="X57" s="98"/>
      <c r="Y57" s="98" t="s">
        <v>155</v>
      </c>
      <c r="Z57" s="98" t="s">
        <v>156</v>
      </c>
      <c r="AA57" s="98" t="s">
        <v>737</v>
      </c>
      <c r="AB57" s="98" t="s">
        <v>738</v>
      </c>
      <c r="AC57" s="98" t="s">
        <v>739</v>
      </c>
      <c r="AD57" s="98" t="s">
        <v>739</v>
      </c>
      <c r="AE57" s="98" t="s">
        <v>740</v>
      </c>
      <c r="AF57" s="98" t="s">
        <v>159</v>
      </c>
      <c r="AG57" s="98" t="s">
        <v>224</v>
      </c>
      <c r="AH57" s="98" t="s">
        <v>225</v>
      </c>
      <c r="AI57" s="98"/>
      <c r="AJ57" s="98"/>
      <c r="AK57" s="98" t="s">
        <v>331</v>
      </c>
      <c r="AL57" s="98" t="s">
        <v>329</v>
      </c>
      <c r="AM57" s="98" t="s">
        <v>954</v>
      </c>
      <c r="AN57" s="98" t="s">
        <v>984</v>
      </c>
      <c r="AO57" s="100" t="n">
        <v>0</v>
      </c>
      <c r="AP57" s="100" t="n">
        <v>-595900</v>
      </c>
      <c r="AQ57" s="98"/>
      <c r="AR57" s="98"/>
      <c r="AS57" s="98" t="s">
        <v>165</v>
      </c>
    </row>
    <row r="58" customFormat="false" ht="14.4" hidden="false" customHeight="false" outlineLevel="0" collapsed="false">
      <c r="A58" s="98" t="s">
        <v>142</v>
      </c>
      <c r="B58" s="98" t="s">
        <v>143</v>
      </c>
      <c r="C58" s="98" t="n">
        <v>51093319</v>
      </c>
      <c r="D58" s="98" t="n">
        <v>836565</v>
      </c>
      <c r="E58" s="98" t="s">
        <v>985</v>
      </c>
      <c r="F58" s="98" t="n">
        <v>51093319</v>
      </c>
      <c r="G58" s="98" t="s">
        <v>725</v>
      </c>
      <c r="H58" s="99" t="n">
        <v>43522</v>
      </c>
      <c r="I58" s="99" t="n">
        <v>43600</v>
      </c>
      <c r="J58" s="100" t="n">
        <v>-909780</v>
      </c>
      <c r="K58" s="100" t="n">
        <v>-771000</v>
      </c>
      <c r="L58" s="100" t="n">
        <v>-138780</v>
      </c>
      <c r="M58" s="100" t="n">
        <v>-771000</v>
      </c>
      <c r="N58" s="100" t="n">
        <v>0</v>
      </c>
      <c r="O58" s="100" t="n">
        <v>0</v>
      </c>
      <c r="P58" s="98" t="s">
        <v>192</v>
      </c>
      <c r="Q58" s="98" t="s">
        <v>151</v>
      </c>
      <c r="R58" s="98"/>
      <c r="S58" s="98"/>
      <c r="T58" s="98" t="s">
        <v>982</v>
      </c>
      <c r="U58" s="98" t="s">
        <v>986</v>
      </c>
      <c r="V58" s="98"/>
      <c r="W58" s="98" t="s">
        <v>982</v>
      </c>
      <c r="X58" s="98"/>
      <c r="Y58" s="98" t="s">
        <v>155</v>
      </c>
      <c r="Z58" s="98" t="s">
        <v>156</v>
      </c>
      <c r="AA58" s="98" t="s">
        <v>737</v>
      </c>
      <c r="AB58" s="98" t="s">
        <v>738</v>
      </c>
      <c r="AC58" s="98" t="s">
        <v>739</v>
      </c>
      <c r="AD58" s="98" t="s">
        <v>739</v>
      </c>
      <c r="AE58" s="98" t="s">
        <v>740</v>
      </c>
      <c r="AF58" s="98" t="s">
        <v>159</v>
      </c>
      <c r="AG58" s="98" t="s">
        <v>224</v>
      </c>
      <c r="AH58" s="98" t="s">
        <v>225</v>
      </c>
      <c r="AI58" s="98"/>
      <c r="AJ58" s="98"/>
      <c r="AK58" s="98" t="s">
        <v>331</v>
      </c>
      <c r="AL58" s="98" t="s">
        <v>329</v>
      </c>
      <c r="AM58" s="98" t="s">
        <v>954</v>
      </c>
      <c r="AN58" s="98" t="s">
        <v>987</v>
      </c>
      <c r="AO58" s="100" t="n">
        <v>0</v>
      </c>
      <c r="AP58" s="100" t="n">
        <v>-909780</v>
      </c>
      <c r="AQ58" s="98"/>
      <c r="AR58" s="98"/>
      <c r="AS58" s="98" t="s">
        <v>165</v>
      </c>
    </row>
    <row r="59" customFormat="false" ht="14.4" hidden="false" customHeight="false" outlineLevel="0" collapsed="false">
      <c r="A59" s="98" t="s">
        <v>142</v>
      </c>
      <c r="B59" s="98" t="s">
        <v>143</v>
      </c>
      <c r="C59" s="98" t="n">
        <v>51091615</v>
      </c>
      <c r="D59" s="98" t="n">
        <v>836620</v>
      </c>
      <c r="E59" s="98" t="s">
        <v>993</v>
      </c>
      <c r="F59" s="98" t="n">
        <v>51091615</v>
      </c>
      <c r="G59" s="98" t="s">
        <v>725</v>
      </c>
      <c r="H59" s="104" t="n">
        <v>43525</v>
      </c>
      <c r="I59" s="99" t="n">
        <v>43600</v>
      </c>
      <c r="J59" s="100" t="n">
        <v>-14267.87</v>
      </c>
      <c r="K59" s="100" t="n">
        <v>29768.64</v>
      </c>
      <c r="L59" s="100" t="n">
        <v>-44282.65</v>
      </c>
      <c r="M59" s="100" t="n">
        <v>-14267.87</v>
      </c>
      <c r="N59" s="100" t="n">
        <v>-12300</v>
      </c>
      <c r="O59" s="100" t="n">
        <v>-246.14</v>
      </c>
      <c r="P59" s="98" t="s">
        <v>150</v>
      </c>
      <c r="Q59" s="98" t="s">
        <v>151</v>
      </c>
      <c r="R59" s="98"/>
      <c r="S59" s="98"/>
      <c r="T59" s="98" t="s">
        <v>170</v>
      </c>
      <c r="U59" s="98" t="s">
        <v>994</v>
      </c>
      <c r="V59" s="98"/>
      <c r="W59" s="98" t="s">
        <v>170</v>
      </c>
      <c r="X59" s="98"/>
      <c r="Y59" s="98" t="s">
        <v>155</v>
      </c>
      <c r="Z59" s="98" t="s">
        <v>156</v>
      </c>
      <c r="AA59" s="98" t="s">
        <v>747</v>
      </c>
      <c r="AB59" s="98" t="s">
        <v>748</v>
      </c>
      <c r="AC59" s="98" t="s">
        <v>971</v>
      </c>
      <c r="AD59" s="98" t="s">
        <v>971</v>
      </c>
      <c r="AE59" s="98" t="s">
        <v>972</v>
      </c>
      <c r="AF59" s="98" t="s">
        <v>159</v>
      </c>
      <c r="AG59" s="98" t="s">
        <v>224</v>
      </c>
      <c r="AH59" s="98" t="s">
        <v>225</v>
      </c>
      <c r="AI59" s="98"/>
      <c r="AJ59" s="98"/>
      <c r="AK59" s="98"/>
      <c r="AL59" s="98"/>
      <c r="AM59" s="98" t="s">
        <v>954</v>
      </c>
      <c r="AN59" s="98" t="s">
        <v>995</v>
      </c>
      <c r="AO59" s="100" t="n">
        <v>0</v>
      </c>
      <c r="AP59" s="100" t="n">
        <v>-14267.87</v>
      </c>
      <c r="AQ59" s="98"/>
      <c r="AR59" s="98"/>
      <c r="AS59" s="98" t="s">
        <v>535</v>
      </c>
    </row>
    <row r="60" customFormat="false" ht="14.4" hidden="false" customHeight="false" outlineLevel="0" collapsed="false">
      <c r="A60" s="98" t="s">
        <v>142</v>
      </c>
      <c r="B60" s="98" t="s">
        <v>143</v>
      </c>
      <c r="C60" s="98" t="n">
        <v>51091615</v>
      </c>
      <c r="D60" s="98" t="n">
        <v>836620</v>
      </c>
      <c r="E60" s="98" t="s">
        <v>993</v>
      </c>
      <c r="F60" s="98" t="n">
        <v>51091615</v>
      </c>
      <c r="G60" s="98" t="s">
        <v>725</v>
      </c>
      <c r="H60" s="104" t="n">
        <v>43525</v>
      </c>
      <c r="I60" s="99" t="n">
        <v>43600</v>
      </c>
      <c r="J60" s="100" t="n">
        <v>-256838.6</v>
      </c>
      <c r="K60" s="100" t="n">
        <v>-261269.33</v>
      </c>
      <c r="L60" s="100" t="n">
        <v>0</v>
      </c>
      <c r="M60" s="100" t="n">
        <v>-256838.6</v>
      </c>
      <c r="N60" s="100" t="n">
        <v>-221414.68</v>
      </c>
      <c r="O60" s="100" t="n">
        <v>-4430.73</v>
      </c>
      <c r="P60" s="98" t="s">
        <v>150</v>
      </c>
      <c r="Q60" s="98" t="s">
        <v>151</v>
      </c>
      <c r="R60" s="98"/>
      <c r="S60" s="98"/>
      <c r="T60" s="98" t="s">
        <v>170</v>
      </c>
      <c r="U60" s="98" t="s">
        <v>994</v>
      </c>
      <c r="V60" s="98"/>
      <c r="W60" s="98" t="s">
        <v>170</v>
      </c>
      <c r="X60" s="98"/>
      <c r="Y60" s="98" t="s">
        <v>155</v>
      </c>
      <c r="Z60" s="98" t="s">
        <v>156</v>
      </c>
      <c r="AA60" s="98" t="s">
        <v>747</v>
      </c>
      <c r="AB60" s="98" t="s">
        <v>748</v>
      </c>
      <c r="AC60" s="98" t="s">
        <v>971</v>
      </c>
      <c r="AD60" s="98" t="s">
        <v>971</v>
      </c>
      <c r="AE60" s="98" t="s">
        <v>972</v>
      </c>
      <c r="AF60" s="98" t="s">
        <v>159</v>
      </c>
      <c r="AG60" s="98" t="s">
        <v>224</v>
      </c>
      <c r="AH60" s="98" t="s">
        <v>225</v>
      </c>
      <c r="AI60" s="98"/>
      <c r="AJ60" s="98"/>
      <c r="AK60" s="98" t="s">
        <v>349</v>
      </c>
      <c r="AL60" s="98" t="s">
        <v>347</v>
      </c>
      <c r="AM60" s="98" t="s">
        <v>954</v>
      </c>
      <c r="AN60" s="98" t="s">
        <v>995</v>
      </c>
      <c r="AO60" s="100" t="n">
        <v>0</v>
      </c>
      <c r="AP60" s="100" t="n">
        <v>-256838.6</v>
      </c>
      <c r="AQ60" s="98"/>
      <c r="AR60" s="98"/>
      <c r="AS60" s="98" t="s">
        <v>175</v>
      </c>
    </row>
    <row r="61" customFormat="false" ht="14.4" hidden="false" customHeight="false" outlineLevel="0" collapsed="false">
      <c r="A61" s="98" t="s">
        <v>142</v>
      </c>
      <c r="B61" s="98" t="s">
        <v>143</v>
      </c>
      <c r="C61" s="98" t="n">
        <v>51091615</v>
      </c>
      <c r="D61" s="98" t="n">
        <v>836620</v>
      </c>
      <c r="E61" s="98" t="s">
        <v>993</v>
      </c>
      <c r="F61" s="98" t="n">
        <v>51091615</v>
      </c>
      <c r="G61" s="98" t="s">
        <v>725</v>
      </c>
      <c r="H61" s="104" t="n">
        <v>43525</v>
      </c>
      <c r="I61" s="99" t="n">
        <v>43600</v>
      </c>
      <c r="J61" s="100" t="n">
        <v>-14267.86</v>
      </c>
      <c r="K61" s="100" t="n">
        <v>-14514</v>
      </c>
      <c r="L61" s="100" t="n">
        <v>0</v>
      </c>
      <c r="M61" s="100" t="n">
        <v>-14267.86</v>
      </c>
      <c r="N61" s="100" t="n">
        <v>-12300</v>
      </c>
      <c r="O61" s="100" t="n">
        <v>-246.14</v>
      </c>
      <c r="P61" s="98" t="s">
        <v>150</v>
      </c>
      <c r="Q61" s="98" t="s">
        <v>151</v>
      </c>
      <c r="R61" s="98"/>
      <c r="S61" s="98"/>
      <c r="T61" s="98" t="s">
        <v>170</v>
      </c>
      <c r="U61" s="98" t="s">
        <v>994</v>
      </c>
      <c r="V61" s="98"/>
      <c r="W61" s="98" t="s">
        <v>170</v>
      </c>
      <c r="X61" s="98"/>
      <c r="Y61" s="98" t="s">
        <v>155</v>
      </c>
      <c r="Z61" s="98" t="s">
        <v>156</v>
      </c>
      <c r="AA61" s="98" t="s">
        <v>747</v>
      </c>
      <c r="AB61" s="98" t="s">
        <v>748</v>
      </c>
      <c r="AC61" s="98" t="s">
        <v>971</v>
      </c>
      <c r="AD61" s="98" t="s">
        <v>971</v>
      </c>
      <c r="AE61" s="98" t="s">
        <v>972</v>
      </c>
      <c r="AF61" s="98" t="s">
        <v>159</v>
      </c>
      <c r="AG61" s="98" t="s">
        <v>224</v>
      </c>
      <c r="AH61" s="98" t="s">
        <v>225</v>
      </c>
      <c r="AI61" s="98"/>
      <c r="AJ61" s="98"/>
      <c r="AK61" s="98"/>
      <c r="AL61" s="98"/>
      <c r="AM61" s="98" t="s">
        <v>954</v>
      </c>
      <c r="AN61" s="98" t="s">
        <v>995</v>
      </c>
      <c r="AO61" s="100" t="n">
        <v>0</v>
      </c>
      <c r="AP61" s="100" t="n">
        <v>-14267.86</v>
      </c>
      <c r="AQ61" s="98"/>
      <c r="AR61" s="98"/>
      <c r="AS61" s="98" t="s">
        <v>556</v>
      </c>
    </row>
    <row r="62" customFormat="false" ht="14.4" hidden="false" customHeight="false" outlineLevel="0" collapsed="false">
      <c r="A62" s="98" t="s">
        <v>142</v>
      </c>
      <c r="B62" s="98" t="s">
        <v>143</v>
      </c>
      <c r="C62" s="98" t="n">
        <v>51099503</v>
      </c>
      <c r="D62" s="98" t="n">
        <v>836563</v>
      </c>
      <c r="E62" s="98" t="s">
        <v>996</v>
      </c>
      <c r="F62" s="98" t="n">
        <v>51099503</v>
      </c>
      <c r="G62" s="98" t="s">
        <v>725</v>
      </c>
      <c r="H62" s="99" t="n">
        <v>43464</v>
      </c>
      <c r="I62" s="99" t="n">
        <v>43602</v>
      </c>
      <c r="J62" s="100" t="n">
        <v>-59253.32</v>
      </c>
      <c r="K62" s="100" t="n">
        <v>-50214.68</v>
      </c>
      <c r="L62" s="100" t="n">
        <v>-9038.64</v>
      </c>
      <c r="M62" s="100" t="n">
        <v>-50214.68</v>
      </c>
      <c r="N62" s="100" t="n">
        <v>0</v>
      </c>
      <c r="O62" s="100" t="n">
        <v>0</v>
      </c>
      <c r="P62" s="98" t="s">
        <v>150</v>
      </c>
      <c r="Q62" s="98" t="s">
        <v>151</v>
      </c>
      <c r="R62" s="98"/>
      <c r="S62" s="98"/>
      <c r="T62" s="98" t="s">
        <v>769</v>
      </c>
      <c r="U62" s="98" t="s">
        <v>997</v>
      </c>
      <c r="V62" s="98"/>
      <c r="W62" s="98" t="s">
        <v>769</v>
      </c>
      <c r="X62" s="98"/>
      <c r="Y62" s="98" t="s">
        <v>155</v>
      </c>
      <c r="Z62" s="98" t="s">
        <v>156</v>
      </c>
      <c r="AA62" s="98" t="s">
        <v>728</v>
      </c>
      <c r="AB62" s="98" t="s">
        <v>729</v>
      </c>
      <c r="AC62" s="98" t="s">
        <v>730</v>
      </c>
      <c r="AD62" s="98" t="s">
        <v>730</v>
      </c>
      <c r="AE62" s="98" t="s">
        <v>731</v>
      </c>
      <c r="AF62" s="98" t="s">
        <v>159</v>
      </c>
      <c r="AG62" s="98" t="s">
        <v>224</v>
      </c>
      <c r="AH62" s="98" t="s">
        <v>225</v>
      </c>
      <c r="AI62" s="98"/>
      <c r="AJ62" s="98"/>
      <c r="AK62" s="98" t="s">
        <v>363</v>
      </c>
      <c r="AL62" s="98" t="s">
        <v>357</v>
      </c>
      <c r="AM62" s="98" t="s">
        <v>998</v>
      </c>
      <c r="AN62" s="98" t="s">
        <v>999</v>
      </c>
      <c r="AO62" s="100" t="n">
        <v>0</v>
      </c>
      <c r="AP62" s="100" t="n">
        <v>-59253.32</v>
      </c>
      <c r="AQ62" s="98"/>
      <c r="AR62" s="98"/>
      <c r="AS62" s="98" t="s">
        <v>165</v>
      </c>
    </row>
    <row r="63" customFormat="false" ht="14.4" hidden="false" customHeight="false" outlineLevel="0" collapsed="false">
      <c r="A63" s="98" t="s">
        <v>142</v>
      </c>
      <c r="B63" s="98" t="s">
        <v>143</v>
      </c>
      <c r="C63" s="98" t="n">
        <v>51135741</v>
      </c>
      <c r="D63" s="98" t="n">
        <v>836602</v>
      </c>
      <c r="E63" s="98" t="s">
        <v>1134</v>
      </c>
      <c r="F63" s="98" t="n">
        <v>51135741</v>
      </c>
      <c r="G63" s="98" t="s">
        <v>725</v>
      </c>
      <c r="H63" s="99" t="n">
        <v>43537</v>
      </c>
      <c r="I63" s="99" t="n">
        <v>43619</v>
      </c>
      <c r="J63" s="100" t="n">
        <v>-1842039</v>
      </c>
      <c r="K63" s="100" t="n">
        <v>-1561050</v>
      </c>
      <c r="L63" s="100" t="n">
        <v>-280989</v>
      </c>
      <c r="M63" s="100" t="n">
        <v>-1561050</v>
      </c>
      <c r="N63" s="100" t="n">
        <v>0</v>
      </c>
      <c r="O63" s="100" t="n">
        <v>0</v>
      </c>
      <c r="P63" s="98" t="s">
        <v>192</v>
      </c>
      <c r="Q63" s="98" t="s">
        <v>151</v>
      </c>
      <c r="R63" s="98"/>
      <c r="S63" s="98" t="s">
        <v>1135</v>
      </c>
      <c r="T63" s="98" t="s">
        <v>1135</v>
      </c>
      <c r="U63" s="98" t="s">
        <v>1136</v>
      </c>
      <c r="V63" s="98"/>
      <c r="W63" s="98" t="s">
        <v>1135</v>
      </c>
      <c r="X63" s="98"/>
      <c r="Y63" s="98" t="s">
        <v>155</v>
      </c>
      <c r="Z63" s="98" t="s">
        <v>156</v>
      </c>
      <c r="AA63" s="98" t="s">
        <v>737</v>
      </c>
      <c r="AB63" s="98" t="s">
        <v>738</v>
      </c>
      <c r="AC63" s="98" t="s">
        <v>739</v>
      </c>
      <c r="AD63" s="98" t="s">
        <v>739</v>
      </c>
      <c r="AE63" s="98" t="s">
        <v>740</v>
      </c>
      <c r="AF63" s="98" t="s">
        <v>159</v>
      </c>
      <c r="AG63" s="98" t="s">
        <v>224</v>
      </c>
      <c r="AH63" s="98" t="s">
        <v>225</v>
      </c>
      <c r="AI63" s="98"/>
      <c r="AJ63" s="98"/>
      <c r="AK63" s="98" t="s">
        <v>410</v>
      </c>
      <c r="AL63" s="98" t="s">
        <v>408</v>
      </c>
      <c r="AM63" s="98" t="s">
        <v>1137</v>
      </c>
      <c r="AN63" s="98" t="s">
        <v>1138</v>
      </c>
      <c r="AO63" s="100" t="n">
        <v>0</v>
      </c>
      <c r="AP63" s="100" t="n">
        <v>-1842039</v>
      </c>
      <c r="AQ63" s="98"/>
      <c r="AR63" s="98"/>
      <c r="AS63" s="98" t="s">
        <v>165</v>
      </c>
    </row>
    <row r="64" customFormat="false" ht="14.4" hidden="false" customHeight="false" outlineLevel="0" collapsed="false">
      <c r="A64" s="98" t="s">
        <v>142</v>
      </c>
      <c r="B64" s="98" t="s">
        <v>143</v>
      </c>
      <c r="C64" s="98" t="n">
        <v>51091574</v>
      </c>
      <c r="D64" s="98" t="n">
        <v>836620</v>
      </c>
      <c r="E64" s="98" t="s">
        <v>1514</v>
      </c>
      <c r="F64" s="98" t="n">
        <v>51091574</v>
      </c>
      <c r="G64" s="98" t="s">
        <v>725</v>
      </c>
      <c r="H64" s="104" t="n">
        <v>43531</v>
      </c>
      <c r="I64" s="99" t="n">
        <v>43600</v>
      </c>
      <c r="J64" s="100" t="n">
        <v>-7484.01</v>
      </c>
      <c r="K64" s="100" t="n">
        <v>-7613.15</v>
      </c>
      <c r="L64" s="100" t="n">
        <v>0</v>
      </c>
      <c r="M64" s="100" t="n">
        <v>-7484.01</v>
      </c>
      <c r="N64" s="100" t="n">
        <v>-6129.23</v>
      </c>
      <c r="O64" s="100" t="n">
        <v>-129.14</v>
      </c>
      <c r="P64" s="98" t="s">
        <v>150</v>
      </c>
      <c r="Q64" s="98" t="s">
        <v>151</v>
      </c>
      <c r="R64" s="98"/>
      <c r="S64" s="98"/>
      <c r="T64" s="98" t="s">
        <v>170</v>
      </c>
      <c r="U64" s="98" t="s">
        <v>1515</v>
      </c>
      <c r="V64" s="98"/>
      <c r="W64" s="98" t="s">
        <v>170</v>
      </c>
      <c r="X64" s="98"/>
      <c r="Y64" s="98" t="s">
        <v>155</v>
      </c>
      <c r="Z64" s="98" t="s">
        <v>156</v>
      </c>
      <c r="AA64" s="98" t="s">
        <v>747</v>
      </c>
      <c r="AB64" s="98" t="s">
        <v>748</v>
      </c>
      <c r="AC64" s="98" t="s">
        <v>971</v>
      </c>
      <c r="AD64" s="98" t="s">
        <v>971</v>
      </c>
      <c r="AE64" s="98" t="s">
        <v>972</v>
      </c>
      <c r="AF64" s="98" t="s">
        <v>159</v>
      </c>
      <c r="AG64" s="98" t="s">
        <v>224</v>
      </c>
      <c r="AH64" s="98" t="s">
        <v>225</v>
      </c>
      <c r="AI64" s="98"/>
      <c r="AJ64" s="98"/>
      <c r="AK64" s="98"/>
      <c r="AL64" s="98"/>
      <c r="AM64" s="98" t="s">
        <v>954</v>
      </c>
      <c r="AN64" s="98" t="s">
        <v>1516</v>
      </c>
      <c r="AO64" s="100" t="n">
        <v>0</v>
      </c>
      <c r="AP64" s="100" t="n">
        <v>-7484.01</v>
      </c>
      <c r="AQ64" s="98"/>
      <c r="AR64" s="98"/>
      <c r="AS64" s="98" t="s">
        <v>175</v>
      </c>
    </row>
    <row r="65" customFormat="false" ht="14.4" hidden="false" customHeight="false" outlineLevel="0" collapsed="false">
      <c r="A65" s="98" t="s">
        <v>142</v>
      </c>
      <c r="B65" s="98" t="s">
        <v>143</v>
      </c>
      <c r="C65" s="98" t="n">
        <v>51091574</v>
      </c>
      <c r="D65" s="98" t="n">
        <v>836620</v>
      </c>
      <c r="E65" s="98" t="s">
        <v>1514</v>
      </c>
      <c r="F65" s="98" t="n">
        <v>51091574</v>
      </c>
      <c r="G65" s="98" t="s">
        <v>725</v>
      </c>
      <c r="H65" s="104" t="n">
        <v>43531</v>
      </c>
      <c r="I65" s="99" t="n">
        <v>43600</v>
      </c>
      <c r="J65" s="100" t="n">
        <v>-134729.21</v>
      </c>
      <c r="K65" s="100" t="n">
        <v>15226.29</v>
      </c>
      <c r="L65" s="100" t="n">
        <v>-152280.23</v>
      </c>
      <c r="M65" s="100" t="n">
        <v>-134729.21</v>
      </c>
      <c r="N65" s="100" t="n">
        <v>-110340.04</v>
      </c>
      <c r="O65" s="100" t="n">
        <v>-2324.73</v>
      </c>
      <c r="P65" s="98" t="s">
        <v>150</v>
      </c>
      <c r="Q65" s="98" t="s">
        <v>151</v>
      </c>
      <c r="R65" s="98"/>
      <c r="S65" s="98"/>
      <c r="T65" s="98" t="s">
        <v>170</v>
      </c>
      <c r="U65" s="98" t="s">
        <v>1515</v>
      </c>
      <c r="V65" s="98"/>
      <c r="W65" s="98" t="s">
        <v>170</v>
      </c>
      <c r="X65" s="98"/>
      <c r="Y65" s="98" t="s">
        <v>155</v>
      </c>
      <c r="Z65" s="98" t="s">
        <v>156</v>
      </c>
      <c r="AA65" s="98" t="s">
        <v>747</v>
      </c>
      <c r="AB65" s="98" t="s">
        <v>748</v>
      </c>
      <c r="AC65" s="98" t="s">
        <v>971</v>
      </c>
      <c r="AD65" s="98" t="s">
        <v>971</v>
      </c>
      <c r="AE65" s="98" t="s">
        <v>972</v>
      </c>
      <c r="AF65" s="98" t="s">
        <v>159</v>
      </c>
      <c r="AG65" s="98" t="s">
        <v>224</v>
      </c>
      <c r="AH65" s="98" t="s">
        <v>225</v>
      </c>
      <c r="AI65" s="98"/>
      <c r="AJ65" s="98"/>
      <c r="AK65" s="98" t="s">
        <v>349</v>
      </c>
      <c r="AL65" s="98" t="s">
        <v>347</v>
      </c>
      <c r="AM65" s="98" t="s">
        <v>954</v>
      </c>
      <c r="AN65" s="98" t="s">
        <v>1516</v>
      </c>
      <c r="AO65" s="100" t="n">
        <v>0</v>
      </c>
      <c r="AP65" s="100" t="n">
        <v>-134729.21</v>
      </c>
      <c r="AQ65" s="98"/>
      <c r="AR65" s="98"/>
      <c r="AS65" s="98" t="s">
        <v>402</v>
      </c>
    </row>
    <row r="66" customFormat="false" ht="14.4" hidden="false" customHeight="false" outlineLevel="0" collapsed="false">
      <c r="A66" s="98" t="s">
        <v>142</v>
      </c>
      <c r="B66" s="98" t="s">
        <v>143</v>
      </c>
      <c r="C66" s="98" t="n">
        <v>51091574</v>
      </c>
      <c r="D66" s="98" t="n">
        <v>836620</v>
      </c>
      <c r="E66" s="98" t="s">
        <v>1514</v>
      </c>
      <c r="F66" s="98" t="n">
        <v>51091574</v>
      </c>
      <c r="G66" s="98" t="s">
        <v>725</v>
      </c>
      <c r="H66" s="104" t="n">
        <v>43531</v>
      </c>
      <c r="I66" s="99" t="n">
        <v>43600</v>
      </c>
      <c r="J66" s="100" t="n">
        <v>-7484.01</v>
      </c>
      <c r="K66" s="100" t="n">
        <v>-7613.15</v>
      </c>
      <c r="L66" s="100" t="n">
        <v>0</v>
      </c>
      <c r="M66" s="100" t="n">
        <v>-7484.01</v>
      </c>
      <c r="N66" s="100" t="n">
        <v>-6129.23</v>
      </c>
      <c r="O66" s="100" t="n">
        <v>-129.14</v>
      </c>
      <c r="P66" s="98" t="s">
        <v>150</v>
      </c>
      <c r="Q66" s="98" t="s">
        <v>151</v>
      </c>
      <c r="R66" s="98"/>
      <c r="S66" s="98"/>
      <c r="T66" s="98" t="s">
        <v>170</v>
      </c>
      <c r="U66" s="98" t="s">
        <v>1515</v>
      </c>
      <c r="V66" s="98"/>
      <c r="W66" s="98" t="s">
        <v>170</v>
      </c>
      <c r="X66" s="98"/>
      <c r="Y66" s="98" t="s">
        <v>155</v>
      </c>
      <c r="Z66" s="98" t="s">
        <v>156</v>
      </c>
      <c r="AA66" s="98" t="s">
        <v>747</v>
      </c>
      <c r="AB66" s="98" t="s">
        <v>748</v>
      </c>
      <c r="AC66" s="98" t="s">
        <v>971</v>
      </c>
      <c r="AD66" s="98" t="s">
        <v>971</v>
      </c>
      <c r="AE66" s="98" t="s">
        <v>972</v>
      </c>
      <c r="AF66" s="98" t="s">
        <v>159</v>
      </c>
      <c r="AG66" s="98" t="s">
        <v>224</v>
      </c>
      <c r="AH66" s="98" t="s">
        <v>225</v>
      </c>
      <c r="AI66" s="98"/>
      <c r="AJ66" s="98"/>
      <c r="AK66" s="98"/>
      <c r="AL66" s="98"/>
      <c r="AM66" s="98" t="s">
        <v>954</v>
      </c>
      <c r="AN66" s="98" t="s">
        <v>1516</v>
      </c>
      <c r="AO66" s="100" t="n">
        <v>0</v>
      </c>
      <c r="AP66" s="100" t="n">
        <v>-7484.01</v>
      </c>
      <c r="AQ66" s="98"/>
      <c r="AR66" s="98"/>
      <c r="AS66" s="98" t="s">
        <v>168</v>
      </c>
    </row>
    <row r="67" customFormat="false" ht="14.4" hidden="false" customHeight="false" outlineLevel="0" collapsed="false">
      <c r="A67" s="98" t="s">
        <v>142</v>
      </c>
      <c r="B67" s="98" t="s">
        <v>143</v>
      </c>
      <c r="C67" s="98" t="n">
        <v>52001308</v>
      </c>
      <c r="D67" s="98" t="n">
        <v>0</v>
      </c>
      <c r="E67" s="98" t="s">
        <v>1882</v>
      </c>
      <c r="F67" s="98" t="n">
        <v>52001308</v>
      </c>
      <c r="G67" s="98" t="s">
        <v>1883</v>
      </c>
      <c r="H67" s="99" t="n">
        <v>43492</v>
      </c>
      <c r="I67" s="99" t="n">
        <v>43585</v>
      </c>
      <c r="J67" s="100" t="n">
        <v>45533.9</v>
      </c>
      <c r="K67" s="100" t="n">
        <v>38588.05</v>
      </c>
      <c r="L67" s="100" t="n">
        <v>6945.85</v>
      </c>
      <c r="M67" s="100" t="n">
        <v>38588.05</v>
      </c>
      <c r="N67" s="100" t="n">
        <v>0</v>
      </c>
      <c r="O67" s="100" t="n">
        <v>0</v>
      </c>
      <c r="P67" s="98" t="s">
        <v>150</v>
      </c>
      <c r="Q67" s="98" t="s">
        <v>151</v>
      </c>
      <c r="R67" s="98"/>
      <c r="S67" s="98" t="s">
        <v>1884</v>
      </c>
      <c r="T67" s="98" t="s">
        <v>769</v>
      </c>
      <c r="U67" s="98" t="s">
        <v>1885</v>
      </c>
      <c r="V67" s="98"/>
      <c r="W67" s="98" t="s">
        <v>769</v>
      </c>
      <c r="X67" s="98"/>
      <c r="Y67" s="98" t="s">
        <v>155</v>
      </c>
      <c r="Z67" s="98" t="s">
        <v>156</v>
      </c>
      <c r="AA67" s="98" t="s">
        <v>1886</v>
      </c>
      <c r="AB67" s="98" t="s">
        <v>1887</v>
      </c>
      <c r="AC67" s="98" t="s">
        <v>730</v>
      </c>
      <c r="AD67" s="98" t="s">
        <v>730</v>
      </c>
      <c r="AE67" s="98" t="s">
        <v>731</v>
      </c>
      <c r="AF67" s="98" t="s">
        <v>159</v>
      </c>
      <c r="AG67" s="98" t="s">
        <v>160</v>
      </c>
      <c r="AH67" s="98" t="s">
        <v>161</v>
      </c>
      <c r="AI67" s="98"/>
      <c r="AJ67" s="98"/>
      <c r="AK67" s="98" t="s">
        <v>321</v>
      </c>
      <c r="AL67" s="98" t="s">
        <v>319</v>
      </c>
      <c r="AM67" s="98" t="s">
        <v>884</v>
      </c>
      <c r="AN67" s="98" t="s">
        <v>1888</v>
      </c>
      <c r="AO67" s="100" t="n">
        <v>0</v>
      </c>
      <c r="AP67" s="100" t="n">
        <v>45533.9</v>
      </c>
      <c r="AQ67" s="98"/>
      <c r="AR67" s="98"/>
      <c r="AS67" s="98" t="s">
        <v>165</v>
      </c>
    </row>
    <row r="68" customFormat="false" ht="14.4" hidden="false" customHeight="false" outlineLevel="0" collapsed="false">
      <c r="K68" s="105" t="n">
        <f aca="false">SUM(K2:K67)</f>
        <v>-21471051.37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P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0" activeCellId="0" sqref="D10"/>
    </sheetView>
  </sheetViews>
  <sheetFormatPr defaultRowHeight="14.4" zeroHeight="false" outlineLevelRow="0" outlineLevelCol="0"/>
  <cols>
    <col collapsed="false" customWidth="true" hidden="false" outlineLevel="0" max="1" min="1" style="0" width="11.55"/>
    <col collapsed="false" customWidth="true" hidden="false" outlineLevel="0" max="2" min="2" style="0" width="17.67"/>
    <col collapsed="false" customWidth="true" hidden="false" outlineLevel="0" max="3" min="3" style="0" width="13.33"/>
    <col collapsed="false" customWidth="true" hidden="false" outlineLevel="0" max="4" min="4" style="0" width="11.33"/>
    <col collapsed="false" customWidth="true" hidden="false" outlineLevel="0" max="5" min="5" style="0" width="34.55"/>
    <col collapsed="false" customWidth="true" hidden="false" outlineLevel="0" max="6" min="6" style="0" width="8.66"/>
    <col collapsed="false" customWidth="true" hidden="false" outlineLevel="0" max="7" min="7" style="0" width="13.33"/>
    <col collapsed="false" customWidth="true" hidden="false" outlineLevel="0" max="8" min="8" style="0" width="10.66"/>
    <col collapsed="false" customWidth="true" hidden="false" outlineLevel="0" max="10" min="9" style="0" width="8.44"/>
    <col collapsed="false" customWidth="true" hidden="false" outlineLevel="0" max="11" min="11" style="0" width="10"/>
    <col collapsed="false" customWidth="true" hidden="false" outlineLevel="0" max="12" min="12" style="0" width="9.87"/>
    <col collapsed="false" customWidth="true" hidden="false" outlineLevel="0" max="13" min="13" style="0" width="10.33"/>
    <col collapsed="false" customWidth="true" hidden="false" outlineLevel="0" max="14" min="14" style="0" width="13.89"/>
    <col collapsed="false" customWidth="true" hidden="false" outlineLevel="0" max="15" min="15" style="0" width="8.66"/>
    <col collapsed="false" customWidth="true" hidden="false" outlineLevel="0" max="16" min="16" style="0" width="10.33"/>
    <col collapsed="false" customWidth="true" hidden="false" outlineLevel="0" max="1025" min="17" style="0" width="8.53"/>
  </cols>
  <sheetData>
    <row r="2" customFormat="false" ht="48" hidden="false" customHeight="false" outlineLevel="0" collapsed="false">
      <c r="A2" s="120" t="s">
        <v>92</v>
      </c>
      <c r="B2" s="120" t="s">
        <v>93</v>
      </c>
      <c r="C2" s="120" t="s">
        <v>94</v>
      </c>
      <c r="D2" s="120" t="s">
        <v>95</v>
      </c>
      <c r="E2" s="120"/>
      <c r="F2" s="121" t="s">
        <v>96</v>
      </c>
      <c r="G2" s="120" t="s">
        <v>94</v>
      </c>
      <c r="H2" s="120" t="s">
        <v>97</v>
      </c>
      <c r="I2" s="120" t="s">
        <v>98</v>
      </c>
      <c r="J2" s="121" t="s">
        <v>99</v>
      </c>
      <c r="K2" s="122" t="s">
        <v>1954</v>
      </c>
      <c r="L2" s="122" t="s">
        <v>101</v>
      </c>
      <c r="M2" s="123" t="s">
        <v>102</v>
      </c>
      <c r="N2" s="124" t="s">
        <v>103</v>
      </c>
      <c r="O2" s="121" t="s">
        <v>104</v>
      </c>
      <c r="P2" s="123" t="s">
        <v>105</v>
      </c>
    </row>
    <row r="3" customFormat="false" ht="14.4" hidden="false" customHeight="false" outlineLevel="0" collapsed="false">
      <c r="A3" s="138" t="n">
        <v>1000</v>
      </c>
      <c r="B3" s="138" t="s">
        <v>1962</v>
      </c>
      <c r="C3" s="138" t="n">
        <v>111055</v>
      </c>
      <c r="D3" s="138" t="s">
        <v>2551</v>
      </c>
      <c r="E3" s="106" t="e">
        <f aca="false">VLOOKUP(D3,TBSL!D15:AG1803,31,0)</f>
        <v>#VALUE!</v>
      </c>
      <c r="F3" s="138" t="s">
        <v>1970</v>
      </c>
      <c r="G3" s="138" t="n">
        <v>111055</v>
      </c>
      <c r="H3" s="138" t="n">
        <v>1109</v>
      </c>
      <c r="I3" s="138" t="n">
        <v>2019</v>
      </c>
      <c r="J3" s="138" t="n">
        <v>9</v>
      </c>
      <c r="K3" s="139" t="n">
        <v>43830</v>
      </c>
      <c r="L3" s="139" t="n">
        <v>43830</v>
      </c>
      <c r="M3" s="140" t="n">
        <v>3917924.21</v>
      </c>
      <c r="N3" s="141" t="n">
        <v>3320274.75</v>
      </c>
      <c r="O3" s="138" t="s">
        <v>149</v>
      </c>
      <c r="P3" s="140" t="n">
        <v>3917924.21</v>
      </c>
    </row>
    <row r="4" customFormat="false" ht="14.4" hidden="false" customHeight="false" outlineLevel="0" collapsed="false">
      <c r="A4" s="106" t="n">
        <v>1000</v>
      </c>
      <c r="B4" s="106" t="s">
        <v>1962</v>
      </c>
      <c r="C4" s="106" t="n">
        <v>111100</v>
      </c>
      <c r="D4" s="106" t="s">
        <v>2530</v>
      </c>
      <c r="E4" s="106" t="e">
        <f aca="false">VLOOKUP(D4,TBSL!D16:AG1804,31,0)</f>
        <v>#VALUE!</v>
      </c>
      <c r="F4" s="106" t="s">
        <v>1970</v>
      </c>
      <c r="G4" s="106" t="n">
        <v>111100</v>
      </c>
      <c r="H4" s="106" t="n">
        <v>1109</v>
      </c>
      <c r="I4" s="106" t="n">
        <v>2019</v>
      </c>
      <c r="J4" s="106" t="n">
        <v>9</v>
      </c>
      <c r="K4" s="129" t="n">
        <v>43830</v>
      </c>
      <c r="L4" s="129" t="n">
        <v>43830</v>
      </c>
      <c r="M4" s="107" t="n">
        <v>1250608.57</v>
      </c>
      <c r="N4" s="130" t="n">
        <v>1059837.77</v>
      </c>
      <c r="O4" s="106" t="s">
        <v>149</v>
      </c>
      <c r="P4" s="107" t="n">
        <v>1250608.57</v>
      </c>
    </row>
    <row r="5" customFormat="false" ht="14.4" hidden="false" customHeight="false" outlineLevel="0" collapsed="false">
      <c r="A5" s="106" t="n">
        <v>1000</v>
      </c>
      <c r="B5" s="106" t="s">
        <v>1962</v>
      </c>
      <c r="C5" s="106" t="n">
        <v>111487</v>
      </c>
      <c r="D5" s="106" t="s">
        <v>2575</v>
      </c>
      <c r="E5" s="106" t="e">
        <f aca="false">VLOOKUP(D5,TBSL!D18:AG1806,31,0)</f>
        <v>#VALUE!</v>
      </c>
      <c r="F5" s="106" t="s">
        <v>1970</v>
      </c>
      <c r="G5" s="106" t="n">
        <v>111487</v>
      </c>
      <c r="H5" s="106" t="n">
        <v>1109</v>
      </c>
      <c r="I5" s="106" t="n">
        <v>2019</v>
      </c>
      <c r="J5" s="106" t="n">
        <v>10</v>
      </c>
      <c r="K5" s="129" t="n">
        <v>43847</v>
      </c>
      <c r="L5" s="129" t="n">
        <v>43847</v>
      </c>
      <c r="M5" s="107" t="n">
        <v>781093.9</v>
      </c>
      <c r="N5" s="130" t="n">
        <v>661943.98</v>
      </c>
      <c r="O5" s="106" t="s">
        <v>149</v>
      </c>
      <c r="P5" s="107" t="n">
        <v>781093.9</v>
      </c>
    </row>
    <row r="6" customFormat="false" ht="14.4" hidden="false" customHeight="false" outlineLevel="0" collapsed="false">
      <c r="A6" s="106" t="n">
        <v>1000</v>
      </c>
      <c r="B6" s="106" t="s">
        <v>1962</v>
      </c>
      <c r="C6" s="106" t="n">
        <v>114069</v>
      </c>
      <c r="D6" s="106" t="s">
        <v>2675</v>
      </c>
      <c r="E6" s="106" t="e">
        <f aca="false">VLOOKUP(D6,TBSL!D24:AG1812,31,0)</f>
        <v>#VALUE!</v>
      </c>
      <c r="F6" s="106" t="s">
        <v>1970</v>
      </c>
      <c r="G6" s="106" t="n">
        <v>114069</v>
      </c>
      <c r="H6" s="106" t="n">
        <v>1108</v>
      </c>
      <c r="I6" s="106" t="n">
        <v>2019</v>
      </c>
      <c r="J6" s="106" t="n">
        <v>12</v>
      </c>
      <c r="K6" s="129" t="n">
        <v>43907</v>
      </c>
      <c r="L6" s="129" t="n">
        <v>43907</v>
      </c>
      <c r="M6" s="107" t="n">
        <v>176487.93</v>
      </c>
      <c r="N6" s="130" t="n">
        <v>149566.03</v>
      </c>
      <c r="O6" s="106" t="s">
        <v>149</v>
      </c>
      <c r="P6" s="107" t="n">
        <v>176487.93</v>
      </c>
    </row>
    <row r="7" customFormat="false" ht="14.4" hidden="false" customHeight="false" outlineLevel="0" collapsed="false">
      <c r="A7" s="106" t="n">
        <v>1000</v>
      </c>
      <c r="B7" s="106" t="s">
        <v>1962</v>
      </c>
      <c r="C7" s="106" t="n">
        <v>114071</v>
      </c>
      <c r="D7" s="106" t="s">
        <v>2677</v>
      </c>
      <c r="E7" s="106" t="e">
        <f aca="false">VLOOKUP(D7,TBSL!D25:AG1813,31,0)</f>
        <v>#VALUE!</v>
      </c>
      <c r="F7" s="106" t="s">
        <v>1970</v>
      </c>
      <c r="G7" s="106" t="n">
        <v>114071</v>
      </c>
      <c r="H7" s="106" t="n">
        <v>1108</v>
      </c>
      <c r="I7" s="106" t="n">
        <v>2019</v>
      </c>
      <c r="J7" s="106" t="n">
        <v>12</v>
      </c>
      <c r="K7" s="129" t="n">
        <v>43907</v>
      </c>
      <c r="L7" s="129" t="n">
        <v>43907</v>
      </c>
      <c r="M7" s="107" t="n">
        <v>74661.05</v>
      </c>
      <c r="N7" s="130" t="n">
        <v>63272.07</v>
      </c>
      <c r="O7" s="106" t="s">
        <v>149</v>
      </c>
      <c r="P7" s="106" t="n">
        <v>74661.05</v>
      </c>
    </row>
    <row r="8" customFormat="false" ht="14.4" hidden="false" customHeight="false" outlineLevel="0" collapsed="false">
      <c r="A8" s="106" t="n">
        <v>1000</v>
      </c>
      <c r="B8" s="106" t="s">
        <v>1962</v>
      </c>
      <c r="C8" s="106" t="n">
        <v>114070</v>
      </c>
      <c r="D8" s="106" t="s">
        <v>2679</v>
      </c>
      <c r="E8" s="106" t="e">
        <f aca="false">VLOOKUP(D8,TBSL!D26:AG1814,31,0)</f>
        <v>#VALUE!</v>
      </c>
      <c r="F8" s="106" t="s">
        <v>1970</v>
      </c>
      <c r="G8" s="106" t="n">
        <v>114070</v>
      </c>
      <c r="H8" s="106" t="n">
        <v>1108</v>
      </c>
      <c r="I8" s="106" t="n">
        <v>2019</v>
      </c>
      <c r="J8" s="106" t="n">
        <v>12</v>
      </c>
      <c r="K8" s="129" t="n">
        <v>43907</v>
      </c>
      <c r="L8" s="129" t="n">
        <v>43907</v>
      </c>
      <c r="M8" s="107" t="n">
        <v>208337.22</v>
      </c>
      <c r="N8" s="130" t="n">
        <v>176556.96</v>
      </c>
      <c r="O8" s="106" t="s">
        <v>149</v>
      </c>
      <c r="P8" s="107" t="n">
        <v>208337.22</v>
      </c>
    </row>
    <row r="9" customFormat="false" ht="14.4" hidden="false" customHeight="false" outlineLevel="0" collapsed="false">
      <c r="A9" s="106" t="n">
        <v>1000</v>
      </c>
      <c r="B9" s="106" t="s">
        <v>1962</v>
      </c>
      <c r="C9" s="106" t="n">
        <v>114072</v>
      </c>
      <c r="D9" s="106" t="s">
        <v>2681</v>
      </c>
      <c r="E9" s="106" t="e">
        <f aca="false">VLOOKUP(D9,TBSL!D27:AG1815,31,0)</f>
        <v>#VALUE!</v>
      </c>
      <c r="F9" s="106" t="s">
        <v>1970</v>
      </c>
      <c r="G9" s="106" t="n">
        <v>114072</v>
      </c>
      <c r="H9" s="106" t="n">
        <v>1108</v>
      </c>
      <c r="I9" s="106" t="n">
        <v>2019</v>
      </c>
      <c r="J9" s="106" t="n">
        <v>12</v>
      </c>
      <c r="K9" s="129" t="n">
        <v>43907</v>
      </c>
      <c r="L9" s="129" t="n">
        <v>43907</v>
      </c>
      <c r="M9" s="107" t="n">
        <v>49163.52</v>
      </c>
      <c r="N9" s="130" t="n">
        <v>41664</v>
      </c>
      <c r="O9" s="106" t="s">
        <v>149</v>
      </c>
      <c r="P9" s="106" t="n">
        <v>49163.52</v>
      </c>
    </row>
    <row r="10" customFormat="false" ht="14.4" hidden="false" customHeight="false" outlineLevel="0" collapsed="false">
      <c r="A10" s="106" t="n">
        <v>1000</v>
      </c>
      <c r="B10" s="106" t="s">
        <v>1962</v>
      </c>
      <c r="C10" s="106" t="n">
        <v>114073</v>
      </c>
      <c r="D10" s="106" t="s">
        <v>2683</v>
      </c>
      <c r="E10" s="106" t="e">
        <f aca="false">VLOOKUP(D10,TBSL!D28:AG1816,31,0)</f>
        <v>#VALUE!</v>
      </c>
      <c r="F10" s="106" t="s">
        <v>1970</v>
      </c>
      <c r="G10" s="106" t="n">
        <v>114073</v>
      </c>
      <c r="H10" s="106" t="n">
        <v>1108</v>
      </c>
      <c r="I10" s="106" t="n">
        <v>2019</v>
      </c>
      <c r="J10" s="106" t="n">
        <v>12</v>
      </c>
      <c r="K10" s="129" t="n">
        <v>43907</v>
      </c>
      <c r="L10" s="129" t="n">
        <v>43907</v>
      </c>
      <c r="M10" s="107" t="n">
        <v>1044655.26</v>
      </c>
      <c r="N10" s="130" t="n">
        <v>885301.08</v>
      </c>
      <c r="O10" s="106" t="s">
        <v>149</v>
      </c>
      <c r="P10" s="107" t="n">
        <v>1044655.26</v>
      </c>
    </row>
    <row r="11" customFormat="false" ht="14.4" hidden="false" customHeight="false" outlineLevel="0" collapsed="false">
      <c r="A11" s="106" t="n">
        <v>1000</v>
      </c>
      <c r="B11" s="106" t="s">
        <v>1962</v>
      </c>
      <c r="C11" s="106" t="n">
        <v>114347</v>
      </c>
      <c r="D11" s="106" t="s">
        <v>2689</v>
      </c>
      <c r="E11" s="106" t="e">
        <f aca="false">VLOOKUP(D11,TBSL!D31:AG1819,31,0)</f>
        <v>#VALUE!</v>
      </c>
      <c r="F11" s="106" t="s">
        <v>1970</v>
      </c>
      <c r="G11" s="106" t="n">
        <v>114347</v>
      </c>
      <c r="H11" s="106" t="n">
        <v>1109</v>
      </c>
      <c r="I11" s="106" t="n">
        <v>2019</v>
      </c>
      <c r="J11" s="106" t="n">
        <v>12</v>
      </c>
      <c r="K11" s="129" t="n">
        <v>43911</v>
      </c>
      <c r="L11" s="129" t="n">
        <v>43911</v>
      </c>
      <c r="M11" s="107" t="n">
        <v>1557104.4</v>
      </c>
      <c r="N11" s="130" t="n">
        <v>1319580</v>
      </c>
      <c r="O11" s="106" t="s">
        <v>149</v>
      </c>
      <c r="P11" s="106" t="n">
        <v>1557104.4</v>
      </c>
    </row>
    <row r="12" customFormat="false" ht="14.4" hidden="false" customHeight="false" outlineLevel="0" collapsed="false">
      <c r="A12" s="106" t="n">
        <v>1000</v>
      </c>
      <c r="B12" s="106" t="s">
        <v>1962</v>
      </c>
      <c r="C12" s="106" t="n">
        <v>107704</v>
      </c>
      <c r="D12" s="106" t="s">
        <v>2404</v>
      </c>
      <c r="E12" s="106" t="e">
        <f aca="false">VLOOKUP(D12,TBSL!D11:AG1799,31,0)</f>
        <v>#VALUE!</v>
      </c>
      <c r="F12" s="106" t="s">
        <v>1970</v>
      </c>
      <c r="G12" s="106" t="n">
        <v>107704</v>
      </c>
      <c r="H12" s="106" t="n">
        <v>1101</v>
      </c>
      <c r="I12" s="106" t="n">
        <v>2019</v>
      </c>
      <c r="J12" s="106" t="n">
        <v>7</v>
      </c>
      <c r="K12" s="129" t="n">
        <v>43747</v>
      </c>
      <c r="L12" s="129" t="n">
        <v>43747</v>
      </c>
      <c r="M12" s="107" t="n">
        <v>70003.45</v>
      </c>
      <c r="N12" s="130" t="n">
        <v>59324.95</v>
      </c>
      <c r="O12" s="106" t="s">
        <v>149</v>
      </c>
      <c r="P12" s="106" t="n">
        <v>70003.45</v>
      </c>
    </row>
    <row r="13" customFormat="false" ht="14.4" hidden="false" customHeight="false" outlineLevel="0" collapsed="false">
      <c r="N13" s="142" t="n">
        <f aca="false">SUM(N3:N12)</f>
        <v>7737321.59</v>
      </c>
    </row>
  </sheetData>
  <autoFilter ref="A2:Q2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Q27"/>
  <sheetViews>
    <sheetView showFormulas="false" showGridLines="true" showRowColHeaders="true" showZeros="true" rightToLeft="false" tabSelected="false" showOutlineSymbols="true" defaultGridColor="true" view="normal" topLeftCell="A2" colorId="64" zoomScale="85" zoomScaleNormal="85" zoomScalePageLayoutView="100" workbookViewId="0">
      <selection pane="topLeft" activeCell="K68" activeCellId="0" sqref="K68"/>
    </sheetView>
  </sheetViews>
  <sheetFormatPr defaultRowHeight="14.4" zeroHeight="false" outlineLevelRow="0" outlineLevelCol="0"/>
  <cols>
    <col collapsed="false" customWidth="true" hidden="false" outlineLevel="0" max="5" min="1" style="0" width="8.53"/>
    <col collapsed="false" customWidth="true" hidden="false" outlineLevel="0" max="6" min="6" style="0" width="33"/>
    <col collapsed="false" customWidth="true" hidden="false" outlineLevel="0" max="12" min="7" style="0" width="8.53"/>
    <col collapsed="false" customWidth="true" hidden="false" outlineLevel="0" max="13" min="13" style="0" width="17.67"/>
    <col collapsed="false" customWidth="true" hidden="false" outlineLevel="0" max="14" min="14" style="0" width="10.33"/>
    <col collapsed="false" customWidth="true" hidden="false" outlineLevel="0" max="15" min="15" style="0" width="19.11"/>
    <col collapsed="false" customWidth="true" hidden="false" outlineLevel="0" max="16" min="16" style="0" width="3.34"/>
    <col collapsed="false" customWidth="true" hidden="false" outlineLevel="0" max="17" min="17" style="0" width="12.55"/>
    <col collapsed="false" customWidth="true" hidden="false" outlineLevel="0" max="1025" min="18" style="0" width="8.53"/>
  </cols>
  <sheetData>
    <row r="3" customFormat="false" ht="60" hidden="false" customHeight="false" outlineLevel="0" collapsed="false">
      <c r="B3" s="120" t="s">
        <v>92</v>
      </c>
      <c r="C3" s="120" t="s">
        <v>93</v>
      </c>
      <c r="D3" s="120" t="s">
        <v>94</v>
      </c>
      <c r="E3" s="120" t="s">
        <v>95</v>
      </c>
      <c r="F3" s="120"/>
      <c r="G3" s="121" t="s">
        <v>96</v>
      </c>
      <c r="H3" s="120" t="s">
        <v>94</v>
      </c>
      <c r="I3" s="120" t="s">
        <v>97</v>
      </c>
      <c r="J3" s="120" t="s">
        <v>98</v>
      </c>
      <c r="K3" s="121" t="s">
        <v>99</v>
      </c>
      <c r="L3" s="122" t="s">
        <v>1954</v>
      </c>
      <c r="M3" s="122" t="s">
        <v>101</v>
      </c>
      <c r="N3" s="123" t="s">
        <v>102</v>
      </c>
      <c r="O3" s="124" t="s">
        <v>103</v>
      </c>
      <c r="P3" s="121" t="s">
        <v>104</v>
      </c>
      <c r="Q3" s="123" t="s">
        <v>105</v>
      </c>
    </row>
    <row r="4" customFormat="false" ht="14.4" hidden="false" customHeight="false" outlineLevel="0" collapsed="false">
      <c r="B4" s="106" t="n">
        <v>1000</v>
      </c>
      <c r="C4" s="106" t="s">
        <v>1962</v>
      </c>
      <c r="D4" s="106" t="n">
        <v>100882</v>
      </c>
      <c r="E4" s="106" t="s">
        <v>1979</v>
      </c>
      <c r="F4" s="106" t="e">
        <f aca="false">VLOOKUP(E4,TBSL!D5:AG1793,31,0)</f>
        <v>#VALUE!</v>
      </c>
      <c r="G4" s="106" t="s">
        <v>1970</v>
      </c>
      <c r="H4" s="106" t="n">
        <v>100882</v>
      </c>
      <c r="I4" s="106" t="n">
        <v>1109</v>
      </c>
      <c r="J4" s="106" t="n">
        <v>2019</v>
      </c>
      <c r="K4" s="106" t="n">
        <v>1</v>
      </c>
      <c r="L4" s="129" t="n">
        <v>43581</v>
      </c>
      <c r="M4" s="129" t="n">
        <v>43581</v>
      </c>
      <c r="N4" s="107" t="n">
        <v>651626.68</v>
      </c>
      <c r="O4" s="130" t="n">
        <v>552226</v>
      </c>
      <c r="P4" s="106" t="s">
        <v>149</v>
      </c>
      <c r="Q4" s="107" t="n">
        <v>651626.68</v>
      </c>
    </row>
    <row r="5" customFormat="false" ht="14.4" hidden="false" customHeight="false" outlineLevel="0" collapsed="false">
      <c r="B5" s="106" t="n">
        <v>1000</v>
      </c>
      <c r="C5" s="106" t="s">
        <v>1962</v>
      </c>
      <c r="D5" s="106" t="n">
        <v>101042</v>
      </c>
      <c r="E5" s="106" t="s">
        <v>2002</v>
      </c>
      <c r="F5" s="106" t="e">
        <f aca="false">VLOOKUP(E5,TBSL!D6:AG1794,31,0)</f>
        <v>#VALUE!</v>
      </c>
      <c r="G5" s="106" t="s">
        <v>1970</v>
      </c>
      <c r="H5" s="106" t="n">
        <v>101042</v>
      </c>
      <c r="I5" s="106" t="n">
        <v>1109</v>
      </c>
      <c r="J5" s="106" t="n">
        <v>2019</v>
      </c>
      <c r="K5" s="106" t="n">
        <v>1</v>
      </c>
      <c r="L5" s="129" t="n">
        <v>43584</v>
      </c>
      <c r="M5" s="129" t="n">
        <v>43584</v>
      </c>
      <c r="N5" s="107" t="n">
        <v>212211.2</v>
      </c>
      <c r="O5" s="130" t="n">
        <v>179840</v>
      </c>
      <c r="P5" s="106" t="s">
        <v>149</v>
      </c>
      <c r="Q5" s="107" t="n">
        <v>212211.2</v>
      </c>
    </row>
    <row r="6" customFormat="false" ht="14.4" hidden="false" customHeight="false" outlineLevel="0" collapsed="false">
      <c r="B6" s="106" t="n">
        <v>1000</v>
      </c>
      <c r="C6" s="106" t="s">
        <v>1962</v>
      </c>
      <c r="D6" s="106" t="n">
        <v>101052</v>
      </c>
      <c r="E6" s="106" t="s">
        <v>2010</v>
      </c>
      <c r="F6" s="106" t="e">
        <f aca="false">VLOOKUP(E6,TBSL!D7:AG1795,31,0)</f>
        <v>#VALUE!</v>
      </c>
      <c r="G6" s="106" t="s">
        <v>1970</v>
      </c>
      <c r="H6" s="106" t="n">
        <v>101052</v>
      </c>
      <c r="I6" s="106" t="n">
        <v>1109</v>
      </c>
      <c r="J6" s="106" t="n">
        <v>2019</v>
      </c>
      <c r="K6" s="106" t="n">
        <v>1</v>
      </c>
      <c r="L6" s="129" t="n">
        <v>43584</v>
      </c>
      <c r="M6" s="129" t="n">
        <v>43584</v>
      </c>
      <c r="N6" s="107" t="n">
        <v>309431.4</v>
      </c>
      <c r="O6" s="130" t="n">
        <v>262230</v>
      </c>
      <c r="P6" s="106" t="s">
        <v>149</v>
      </c>
      <c r="Q6" s="107" t="n">
        <v>309431.4</v>
      </c>
    </row>
    <row r="7" customFormat="false" ht="14.4" hidden="false" customHeight="false" outlineLevel="0" collapsed="false">
      <c r="B7" s="106" t="n">
        <v>1000</v>
      </c>
      <c r="C7" s="106" t="s">
        <v>1962</v>
      </c>
      <c r="D7" s="106" t="n">
        <v>101077</v>
      </c>
      <c r="E7" s="106" t="s">
        <v>2060</v>
      </c>
      <c r="F7" s="106" t="e">
        <f aca="false">VLOOKUP(E7,TBSL!D8:AG1796,31,0)</f>
        <v>#VALUE!</v>
      </c>
      <c r="G7" s="106" t="s">
        <v>1970</v>
      </c>
      <c r="H7" s="106" t="n">
        <v>101077</v>
      </c>
      <c r="I7" s="106" t="n">
        <v>1109</v>
      </c>
      <c r="J7" s="106" t="n">
        <v>2019</v>
      </c>
      <c r="K7" s="106" t="n">
        <v>1</v>
      </c>
      <c r="L7" s="129" t="n">
        <v>43584</v>
      </c>
      <c r="M7" s="129" t="n">
        <v>43584</v>
      </c>
      <c r="N7" s="107" t="n">
        <v>422145</v>
      </c>
      <c r="O7" s="130" t="n">
        <v>357750</v>
      </c>
      <c r="P7" s="106" t="s">
        <v>149</v>
      </c>
      <c r="Q7" s="107" t="n">
        <v>422145</v>
      </c>
    </row>
    <row r="8" customFormat="false" ht="14.4" hidden="false" customHeight="false" outlineLevel="0" collapsed="false">
      <c r="B8" s="106" t="n">
        <v>1000</v>
      </c>
      <c r="C8" s="106" t="s">
        <v>1962</v>
      </c>
      <c r="D8" s="106" t="n">
        <v>107464</v>
      </c>
      <c r="E8" s="106" t="s">
        <v>2087</v>
      </c>
      <c r="F8" s="106" t="e">
        <f aca="false">VLOOKUP(E8,TBSL!D10:AG1798,31,0)</f>
        <v>#VALUE!</v>
      </c>
      <c r="G8" s="106" t="s">
        <v>1970</v>
      </c>
      <c r="H8" s="106" t="n">
        <v>107464</v>
      </c>
      <c r="I8" s="106" t="n">
        <v>1108</v>
      </c>
      <c r="J8" s="106" t="n">
        <v>2019</v>
      </c>
      <c r="K8" s="106" t="n">
        <v>6</v>
      </c>
      <c r="L8" s="129" t="n">
        <v>43738</v>
      </c>
      <c r="M8" s="129" t="n">
        <v>43738</v>
      </c>
      <c r="N8" s="107" t="n">
        <v>100717.43</v>
      </c>
      <c r="O8" s="130" t="n">
        <v>85353.75</v>
      </c>
      <c r="P8" s="106" t="s">
        <v>149</v>
      </c>
      <c r="Q8" s="106" t="n">
        <v>100717.43</v>
      </c>
    </row>
    <row r="9" customFormat="false" ht="14.4" hidden="false" customHeight="false" outlineLevel="0" collapsed="false">
      <c r="B9" s="106" t="n">
        <v>1000</v>
      </c>
      <c r="C9" s="106" t="s">
        <v>1962</v>
      </c>
      <c r="D9" s="106" t="n">
        <v>109114</v>
      </c>
      <c r="E9" s="106" t="s">
        <v>2413</v>
      </c>
      <c r="F9" s="106" t="e">
        <f aca="false">VLOOKUP(E9,TBSL!D13:AG1801,31,0)</f>
        <v>#VALUE!</v>
      </c>
      <c r="G9" s="106" t="s">
        <v>1970</v>
      </c>
      <c r="H9" s="106" t="n">
        <v>109114</v>
      </c>
      <c r="I9" s="106" t="n">
        <v>1108</v>
      </c>
      <c r="J9" s="106" t="n">
        <v>2019</v>
      </c>
      <c r="K9" s="106" t="n">
        <v>8</v>
      </c>
      <c r="L9" s="129" t="n">
        <v>43788</v>
      </c>
      <c r="M9" s="129" t="n">
        <v>43788</v>
      </c>
      <c r="N9" s="107" t="n">
        <v>501797.01</v>
      </c>
      <c r="O9" s="130" t="n">
        <v>425251.7</v>
      </c>
      <c r="P9" s="106" t="s">
        <v>149</v>
      </c>
      <c r="Q9" s="107" t="n">
        <v>501797.01</v>
      </c>
    </row>
    <row r="10" customFormat="false" ht="14.4" hidden="false" customHeight="false" outlineLevel="0" collapsed="false">
      <c r="B10" s="106" t="n">
        <v>1000</v>
      </c>
      <c r="C10" s="106" t="s">
        <v>1962</v>
      </c>
      <c r="D10" s="106" t="n">
        <v>109115</v>
      </c>
      <c r="E10" s="106" t="s">
        <v>2510</v>
      </c>
      <c r="F10" s="106" t="e">
        <f aca="false">VLOOKUP(E10,TBSL!D14:AG1802,31,0)</f>
        <v>#VALUE!</v>
      </c>
      <c r="G10" s="106" t="s">
        <v>1970</v>
      </c>
      <c r="H10" s="106" t="n">
        <v>109115</v>
      </c>
      <c r="I10" s="106" t="n">
        <v>1109</v>
      </c>
      <c r="J10" s="106" t="n">
        <v>2019</v>
      </c>
      <c r="K10" s="106" t="n">
        <v>8</v>
      </c>
      <c r="L10" s="129" t="n">
        <v>43788</v>
      </c>
      <c r="M10" s="129" t="n">
        <v>43788</v>
      </c>
      <c r="N10" s="107" t="n">
        <v>42404.1</v>
      </c>
      <c r="O10" s="130" t="n">
        <v>35935.68</v>
      </c>
      <c r="P10" s="106" t="s">
        <v>149</v>
      </c>
      <c r="Q10" s="106" t="n">
        <v>42404.1</v>
      </c>
    </row>
    <row r="11" customFormat="false" ht="14.4" hidden="false" customHeight="false" outlineLevel="0" collapsed="false">
      <c r="B11" s="106" t="n">
        <v>1000</v>
      </c>
      <c r="C11" s="106" t="s">
        <v>1962</v>
      </c>
      <c r="D11" s="106" t="n">
        <v>111241</v>
      </c>
      <c r="E11" s="106" t="s">
        <v>2572</v>
      </c>
      <c r="F11" s="106" t="e">
        <f aca="false">VLOOKUP(E11,TBSL!D17:AG1805,31,0)</f>
        <v>#VALUE!</v>
      </c>
      <c r="G11" s="106" t="s">
        <v>1970</v>
      </c>
      <c r="H11" s="106" t="n">
        <v>111241</v>
      </c>
      <c r="I11" s="106" t="n">
        <v>1108</v>
      </c>
      <c r="J11" s="106" t="n">
        <v>2019</v>
      </c>
      <c r="K11" s="106" t="n">
        <v>10</v>
      </c>
      <c r="L11" s="129" t="n">
        <v>43839</v>
      </c>
      <c r="M11" s="129" t="n">
        <v>43839</v>
      </c>
      <c r="N11" s="107" t="n">
        <v>673505.06</v>
      </c>
      <c r="O11" s="130" t="n">
        <v>570767</v>
      </c>
      <c r="P11" s="106" t="s">
        <v>149</v>
      </c>
      <c r="Q11" s="106" t="n">
        <v>673505.06</v>
      </c>
    </row>
    <row r="12" customFormat="false" ht="14.4" hidden="false" customHeight="false" outlineLevel="0" collapsed="false">
      <c r="B12" s="106" t="n">
        <v>1000</v>
      </c>
      <c r="C12" s="106" t="s">
        <v>1962</v>
      </c>
      <c r="D12" s="106" t="n">
        <v>113356</v>
      </c>
      <c r="E12" s="106" t="s">
        <v>2579</v>
      </c>
      <c r="F12" s="106" t="e">
        <f aca="false">VLOOKUP(E12,TBSL!D19:AG1807,31,0)</f>
        <v>#VALUE!</v>
      </c>
      <c r="G12" s="106" t="s">
        <v>1970</v>
      </c>
      <c r="H12" s="106" t="n">
        <v>113356</v>
      </c>
      <c r="I12" s="106" t="n">
        <v>1109</v>
      </c>
      <c r="J12" s="106" t="n">
        <v>2019</v>
      </c>
      <c r="K12" s="106" t="n">
        <v>11</v>
      </c>
      <c r="L12" s="129" t="n">
        <v>43889</v>
      </c>
      <c r="M12" s="129" t="n">
        <v>43889</v>
      </c>
      <c r="N12" s="107" t="n">
        <v>797495.35</v>
      </c>
      <c r="O12" s="130" t="n">
        <v>675843.52</v>
      </c>
      <c r="P12" s="106" t="s">
        <v>149</v>
      </c>
      <c r="Q12" s="107" t="n">
        <v>797495.35</v>
      </c>
    </row>
    <row r="13" customFormat="false" ht="14.4" hidden="false" customHeight="false" outlineLevel="0" collapsed="false">
      <c r="B13" s="106" t="n">
        <v>1000</v>
      </c>
      <c r="C13" s="106" t="s">
        <v>1962</v>
      </c>
      <c r="D13" s="106" t="n">
        <v>113665</v>
      </c>
      <c r="E13" s="106" t="n">
        <v>95004890</v>
      </c>
      <c r="F13" s="106" t="e">
        <f aca="false">VLOOKUP(E13,TBSL!D20:AG1808,31,0)</f>
        <v>#VALUE!</v>
      </c>
      <c r="G13" s="106" t="s">
        <v>1970</v>
      </c>
      <c r="H13" s="106" t="n">
        <v>113665</v>
      </c>
      <c r="I13" s="106" t="n">
        <v>1109</v>
      </c>
      <c r="J13" s="106" t="n">
        <v>2019</v>
      </c>
      <c r="K13" s="106" t="n">
        <v>12</v>
      </c>
      <c r="L13" s="129" t="n">
        <v>43896</v>
      </c>
      <c r="M13" s="129" t="n">
        <v>43896</v>
      </c>
      <c r="N13" s="107" t="n">
        <v>325092.93</v>
      </c>
      <c r="O13" s="130" t="n">
        <v>275502.48</v>
      </c>
      <c r="P13" s="106" t="s">
        <v>149</v>
      </c>
      <c r="Q13" s="107" t="n">
        <v>325092.93</v>
      </c>
    </row>
    <row r="14" customFormat="false" ht="14.4" hidden="false" customHeight="false" outlineLevel="0" collapsed="false">
      <c r="B14" s="106" t="n">
        <v>1000</v>
      </c>
      <c r="C14" s="106" t="s">
        <v>1962</v>
      </c>
      <c r="D14" s="106" t="n">
        <v>113885</v>
      </c>
      <c r="E14" s="106" t="n">
        <v>95004894</v>
      </c>
      <c r="F14" s="106" t="e">
        <f aca="false">VLOOKUP(E14,TBSL!D21:AG1809,31,0)</f>
        <v>#VALUE!</v>
      </c>
      <c r="G14" s="106" t="s">
        <v>1970</v>
      </c>
      <c r="H14" s="106" t="n">
        <v>113885</v>
      </c>
      <c r="I14" s="106" t="n">
        <v>1109</v>
      </c>
      <c r="J14" s="106" t="n">
        <v>2019</v>
      </c>
      <c r="K14" s="106" t="n">
        <v>12</v>
      </c>
      <c r="L14" s="129" t="n">
        <v>43903</v>
      </c>
      <c r="M14" s="129" t="n">
        <v>43903</v>
      </c>
      <c r="N14" s="107" t="n">
        <v>129302.32</v>
      </c>
      <c r="O14" s="130" t="n">
        <v>109578.24</v>
      </c>
      <c r="P14" s="106" t="s">
        <v>149</v>
      </c>
      <c r="Q14" s="107" t="n">
        <v>129302.32</v>
      </c>
    </row>
    <row r="15" customFormat="false" ht="14.4" hidden="false" customHeight="false" outlineLevel="0" collapsed="false">
      <c r="B15" s="106" t="n">
        <v>1000</v>
      </c>
      <c r="C15" s="106" t="s">
        <v>1962</v>
      </c>
      <c r="D15" s="106" t="n">
        <v>113927</v>
      </c>
      <c r="E15" s="106" t="n">
        <v>95004896</v>
      </c>
      <c r="F15" s="106" t="e">
        <f aca="false">VLOOKUP(E15,TBSL!D22:AG1810,31,0)</f>
        <v>#VALUE!</v>
      </c>
      <c r="G15" s="106" t="s">
        <v>1970</v>
      </c>
      <c r="H15" s="106" t="n">
        <v>113927</v>
      </c>
      <c r="I15" s="106" t="n">
        <v>1108</v>
      </c>
      <c r="J15" s="106" t="n">
        <v>2019</v>
      </c>
      <c r="K15" s="106" t="n">
        <v>12</v>
      </c>
      <c r="L15" s="129" t="n">
        <v>43903</v>
      </c>
      <c r="M15" s="129" t="n">
        <v>43903</v>
      </c>
      <c r="N15" s="107" t="n">
        <v>1409887.81</v>
      </c>
      <c r="O15" s="130" t="n">
        <v>1194820.18</v>
      </c>
      <c r="P15" s="106" t="s">
        <v>149</v>
      </c>
      <c r="Q15" s="107" t="n">
        <v>1409887.81</v>
      </c>
    </row>
    <row r="16" customFormat="false" ht="14.4" hidden="false" customHeight="false" outlineLevel="0" collapsed="false">
      <c r="B16" s="106" t="n">
        <v>1000</v>
      </c>
      <c r="C16" s="106" t="s">
        <v>1962</v>
      </c>
      <c r="D16" s="106" t="n">
        <v>113881</v>
      </c>
      <c r="E16" s="106" t="n">
        <v>95004893</v>
      </c>
      <c r="F16" s="106" t="e">
        <f aca="false">VLOOKUP(E16,TBSL!D23:AG1811,31,0)</f>
        <v>#VALUE!</v>
      </c>
      <c r="G16" s="106" t="s">
        <v>1970</v>
      </c>
      <c r="H16" s="106" t="n">
        <v>113881</v>
      </c>
      <c r="I16" s="106" t="n">
        <v>1108</v>
      </c>
      <c r="J16" s="106" t="n">
        <v>2019</v>
      </c>
      <c r="K16" s="106" t="n">
        <v>12</v>
      </c>
      <c r="L16" s="129" t="n">
        <v>43903</v>
      </c>
      <c r="M16" s="129" t="n">
        <v>43903</v>
      </c>
      <c r="N16" s="107" t="n">
        <v>198551.52</v>
      </c>
      <c r="O16" s="130" t="n">
        <v>168264</v>
      </c>
      <c r="P16" s="106" t="s">
        <v>149</v>
      </c>
      <c r="Q16" s="107" t="n">
        <v>198551.52</v>
      </c>
    </row>
    <row r="17" customFormat="false" ht="14.4" hidden="false" customHeight="false" outlineLevel="0" collapsed="false">
      <c r="B17" s="106" t="n">
        <v>1000</v>
      </c>
      <c r="C17" s="106" t="s">
        <v>1962</v>
      </c>
      <c r="D17" s="106" t="n">
        <v>114172</v>
      </c>
      <c r="E17" s="106" t="s">
        <v>2685</v>
      </c>
      <c r="F17" s="106" t="e">
        <f aca="false">VLOOKUP(E17,TBSL!D29:AG1817,31,0)</f>
        <v>#VALUE!</v>
      </c>
      <c r="G17" s="106" t="s">
        <v>1970</v>
      </c>
      <c r="H17" s="106" t="n">
        <v>114172</v>
      </c>
      <c r="I17" s="106" t="n">
        <v>1108</v>
      </c>
      <c r="J17" s="106" t="n">
        <v>2019</v>
      </c>
      <c r="K17" s="106" t="n">
        <v>12</v>
      </c>
      <c r="L17" s="129" t="n">
        <v>43908</v>
      </c>
      <c r="M17" s="129" t="n">
        <v>43908</v>
      </c>
      <c r="N17" s="107" t="n">
        <v>391260.28</v>
      </c>
      <c r="O17" s="130" t="n">
        <v>331576.51</v>
      </c>
      <c r="P17" s="106" t="s">
        <v>149</v>
      </c>
      <c r="Q17" s="107" t="n">
        <v>391260.28</v>
      </c>
    </row>
    <row r="18" customFormat="false" ht="14.4" hidden="false" customHeight="false" outlineLevel="0" collapsed="false">
      <c r="B18" s="106" t="n">
        <v>1000</v>
      </c>
      <c r="C18" s="106" t="s">
        <v>1962</v>
      </c>
      <c r="D18" s="106" t="n">
        <v>114301</v>
      </c>
      <c r="E18" s="106" t="s">
        <v>2688</v>
      </c>
      <c r="F18" s="106" t="e">
        <f aca="false">VLOOKUP(E18,TBSL!D30:AG1818,31,0)</f>
        <v>#VALUE!</v>
      </c>
      <c r="G18" s="106" t="s">
        <v>1970</v>
      </c>
      <c r="H18" s="106" t="n">
        <v>114301</v>
      </c>
      <c r="I18" s="106" t="n">
        <v>1109</v>
      </c>
      <c r="J18" s="106" t="n">
        <v>2019</v>
      </c>
      <c r="K18" s="106" t="n">
        <v>12</v>
      </c>
      <c r="L18" s="129" t="n">
        <v>43910</v>
      </c>
      <c r="M18" s="129" t="n">
        <v>43910</v>
      </c>
      <c r="N18" s="107" t="n">
        <v>122720</v>
      </c>
      <c r="O18" s="130" t="n">
        <v>104000</v>
      </c>
      <c r="P18" s="106" t="s">
        <v>149</v>
      </c>
      <c r="Q18" s="107" t="n">
        <v>122720</v>
      </c>
    </row>
    <row r="19" customFormat="false" ht="14.4" hidden="false" customHeight="false" outlineLevel="0" collapsed="false">
      <c r="B19" s="106" t="n">
        <v>1000</v>
      </c>
      <c r="C19" s="106" t="s">
        <v>1962</v>
      </c>
      <c r="D19" s="106" t="n">
        <v>114382</v>
      </c>
      <c r="E19" s="106" t="s">
        <v>2690</v>
      </c>
      <c r="F19" s="106" t="e">
        <f aca="false">VLOOKUP(E19,TBSL!D32:AG1820,31,0)</f>
        <v>#VALUE!</v>
      </c>
      <c r="G19" s="106" t="s">
        <v>1970</v>
      </c>
      <c r="H19" s="106" t="n">
        <v>114382</v>
      </c>
      <c r="I19" s="106" t="n">
        <v>1109</v>
      </c>
      <c r="J19" s="106" t="n">
        <v>2019</v>
      </c>
      <c r="K19" s="106" t="n">
        <v>12</v>
      </c>
      <c r="L19" s="129" t="n">
        <v>43918</v>
      </c>
      <c r="M19" s="129" t="n">
        <v>43918</v>
      </c>
      <c r="N19" s="107" t="n">
        <v>563956.22</v>
      </c>
      <c r="O19" s="130" t="n">
        <v>477929</v>
      </c>
      <c r="P19" s="106" t="s">
        <v>149</v>
      </c>
      <c r="Q19" s="107" t="n">
        <v>563956.22</v>
      </c>
    </row>
    <row r="20" customFormat="false" ht="14.4" hidden="false" customHeight="false" outlineLevel="0" collapsed="false">
      <c r="B20" s="106" t="n">
        <v>1000</v>
      </c>
      <c r="C20" s="106" t="s">
        <v>1962</v>
      </c>
      <c r="D20" s="106" t="n">
        <v>114391</v>
      </c>
      <c r="E20" s="106" t="s">
        <v>2691</v>
      </c>
      <c r="F20" s="106" t="e">
        <f aca="false">VLOOKUP(E20,TBSL!D33:AG1821,31,0)</f>
        <v>#VALUE!</v>
      </c>
      <c r="G20" s="106" t="s">
        <v>1970</v>
      </c>
      <c r="H20" s="106" t="n">
        <v>114391</v>
      </c>
      <c r="I20" s="106" t="n">
        <v>1109</v>
      </c>
      <c r="J20" s="106" t="n">
        <v>2019</v>
      </c>
      <c r="K20" s="106" t="n">
        <v>12</v>
      </c>
      <c r="L20" s="129" t="n">
        <v>43921</v>
      </c>
      <c r="M20" s="129" t="n">
        <v>43921</v>
      </c>
      <c r="N20" s="107" t="n">
        <v>107380</v>
      </c>
      <c r="O20" s="130" t="n">
        <v>91000</v>
      </c>
      <c r="P20" s="106" t="s">
        <v>149</v>
      </c>
      <c r="Q20" s="106" t="n">
        <v>107380</v>
      </c>
    </row>
    <row r="21" customFormat="false" ht="14.4" hidden="false" customHeight="false" outlineLevel="0" collapsed="false">
      <c r="B21" s="106" t="n">
        <v>1000</v>
      </c>
      <c r="C21" s="106" t="s">
        <v>1962</v>
      </c>
      <c r="D21" s="106" t="n">
        <v>114392</v>
      </c>
      <c r="E21" s="106" t="s">
        <v>2692</v>
      </c>
      <c r="F21" s="106" t="e">
        <f aca="false">VLOOKUP(E21,TBSL!D34:AG1822,31,0)</f>
        <v>#VALUE!</v>
      </c>
      <c r="G21" s="106" t="s">
        <v>1970</v>
      </c>
      <c r="H21" s="106" t="n">
        <v>114392</v>
      </c>
      <c r="I21" s="106" t="n">
        <v>1109</v>
      </c>
      <c r="J21" s="106" t="n">
        <v>2019</v>
      </c>
      <c r="K21" s="106" t="n">
        <v>12</v>
      </c>
      <c r="L21" s="129" t="n">
        <v>43921</v>
      </c>
      <c r="M21" s="129" t="n">
        <v>43921</v>
      </c>
      <c r="N21" s="107" t="n">
        <v>489729.5</v>
      </c>
      <c r="O21" s="130" t="n">
        <v>415025</v>
      </c>
      <c r="P21" s="106" t="s">
        <v>149</v>
      </c>
      <c r="Q21" s="107" t="n">
        <v>489729.5</v>
      </c>
    </row>
    <row r="22" customFormat="false" ht="14.4" hidden="false" customHeight="false" outlineLevel="0" collapsed="false">
      <c r="B22" s="106" t="n">
        <v>1000</v>
      </c>
      <c r="C22" s="106" t="s">
        <v>1962</v>
      </c>
      <c r="D22" s="106" t="n">
        <v>114393</v>
      </c>
      <c r="E22" s="106" t="s">
        <v>2693</v>
      </c>
      <c r="F22" s="106" t="e">
        <f aca="false">VLOOKUP(E22,TBSL!D35:AG1823,31,0)</f>
        <v>#VALUE!</v>
      </c>
      <c r="G22" s="106" t="s">
        <v>1970</v>
      </c>
      <c r="H22" s="106" t="n">
        <v>114393</v>
      </c>
      <c r="I22" s="106" t="n">
        <v>1109</v>
      </c>
      <c r="J22" s="106" t="n">
        <v>2019</v>
      </c>
      <c r="K22" s="106" t="n">
        <v>12</v>
      </c>
      <c r="L22" s="129" t="n">
        <v>43921</v>
      </c>
      <c r="M22" s="129" t="n">
        <v>43921</v>
      </c>
      <c r="N22" s="107" t="n">
        <v>417963.08</v>
      </c>
      <c r="O22" s="130" t="n">
        <v>354206</v>
      </c>
      <c r="P22" s="106" t="s">
        <v>149</v>
      </c>
      <c r="Q22" s="107" t="n">
        <v>417963.08</v>
      </c>
    </row>
    <row r="23" customFormat="false" ht="14.4" hidden="false" customHeight="false" outlineLevel="0" collapsed="false">
      <c r="J23" s="0" t="s">
        <v>2739</v>
      </c>
      <c r="O23" s="143" t="n">
        <f aca="false">SUM(O4:O22)</f>
        <v>6667099.06</v>
      </c>
      <c r="Q23" s="143"/>
    </row>
    <row r="25" customFormat="false" ht="14.4" hidden="false" customHeight="false" outlineLevel="0" collapsed="false">
      <c r="J25" s="29" t="s">
        <v>2740</v>
      </c>
      <c r="K25" s="29"/>
      <c r="L25" s="29"/>
      <c r="M25" s="29"/>
      <c r="N25" s="29"/>
      <c r="O25" s="29" t="n">
        <v>-3562266.08999999</v>
      </c>
    </row>
    <row r="27" customFormat="false" ht="14.4" hidden="false" customHeight="false" outlineLevel="0" collapsed="false">
      <c r="J27" s="0" t="s">
        <v>2741</v>
      </c>
      <c r="O27" s="144" t="n">
        <f aca="false">O23+O25</f>
        <v>3104832.97000001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59"/>
  <sheetViews>
    <sheetView showFormulas="false" showGridLines="true" showRowColHeaders="true" showZeros="true" rightToLeft="false" tabSelected="false" showOutlineSymbols="true" defaultGridColor="true" view="normal" topLeftCell="C135" colorId="64" zoomScale="85" zoomScaleNormal="85" zoomScalePageLayoutView="100" workbookViewId="0">
      <selection pane="topLeft" activeCell="D145" activeCellId="0" sqref="D145"/>
    </sheetView>
  </sheetViews>
  <sheetFormatPr defaultRowHeight="14.4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.33"/>
    <col collapsed="false" customWidth="true" hidden="false" outlineLevel="0" max="4" min="4" style="0" width="13.33"/>
    <col collapsed="false" customWidth="true" hidden="false" outlineLevel="0" max="5" min="5" style="0" width="15.55"/>
    <col collapsed="false" customWidth="true" hidden="false" outlineLevel="0" max="6" min="6" style="0" width="14"/>
    <col collapsed="false" customWidth="false" hidden="false" outlineLevel="0" max="7" min="7" style="0" width="11.44"/>
    <col collapsed="false" customWidth="true" hidden="false" outlineLevel="0" max="8" min="8" style="0" width="10.66"/>
    <col collapsed="false" customWidth="true" hidden="false" outlineLevel="0" max="9" min="9" style="0" width="14.55"/>
    <col collapsed="false" customWidth="true" hidden="false" outlineLevel="0" max="11" min="10" style="0" width="14.89"/>
    <col collapsed="false" customWidth="true" hidden="false" outlineLevel="0" max="12" min="12" style="0" width="25.66"/>
    <col collapsed="false" customWidth="true" hidden="false" outlineLevel="0" max="13" min="13" style="0" width="14.44"/>
    <col collapsed="false" customWidth="true" hidden="false" outlineLevel="0" max="14" min="14" style="0" width="30.56"/>
    <col collapsed="false" customWidth="true" hidden="false" outlineLevel="0" max="15" min="15" style="0" width="19.33"/>
    <col collapsed="false" customWidth="true" hidden="false" outlineLevel="0" max="16" min="16" style="0" width="22.44"/>
    <col collapsed="false" customWidth="true" hidden="false" outlineLevel="0" max="18" min="17" style="0" width="12.44"/>
    <col collapsed="false" customWidth="true" hidden="false" outlineLevel="0" max="19" min="19" style="0" width="30"/>
    <col collapsed="false" customWidth="true" hidden="false" outlineLevel="0" max="20" min="20" style="0" width="24.55"/>
    <col collapsed="false" customWidth="true" hidden="false" outlineLevel="0" max="21" min="21" style="0" width="16.33"/>
    <col collapsed="false" customWidth="true" hidden="false" outlineLevel="0" max="22" min="22" style="0" width="35.55"/>
    <col collapsed="false" customWidth="true" hidden="false" outlineLevel="0" max="23" min="23" style="0" width="15.33"/>
    <col collapsed="false" customWidth="true" hidden="false" outlineLevel="0" max="24" min="24" style="0" width="42.66"/>
    <col collapsed="false" customWidth="true" hidden="false" outlineLevel="0" max="25" min="25" style="0" width="11"/>
    <col collapsed="false" customWidth="true" hidden="false" outlineLevel="0" max="26" min="26" style="0" width="16.44"/>
    <col collapsed="false" customWidth="true" hidden="false" outlineLevel="0" max="27" min="27" style="0" width="5.55"/>
    <col collapsed="false" customWidth="true" hidden="false" outlineLevel="0" max="28" min="28" style="0" width="21"/>
    <col collapsed="false" customWidth="true" hidden="false" outlineLevel="0" max="29" min="29" style="0" width="14"/>
    <col collapsed="false" customWidth="true" hidden="false" outlineLevel="0" max="30" min="30" style="0" width="8.11"/>
    <col collapsed="false" customWidth="true" hidden="false" outlineLevel="0" max="31" min="31" style="0" width="39"/>
    <col collapsed="false" customWidth="true" hidden="false" outlineLevel="0" max="32" min="32" style="0" width="18.44"/>
    <col collapsed="false" customWidth="true" hidden="false" outlineLevel="0" max="33" min="33" style="0" width="41.33"/>
    <col collapsed="false" customWidth="true" hidden="false" outlineLevel="0" max="34" min="34" style="0" width="23.67"/>
    <col collapsed="false" customWidth="true" hidden="false" outlineLevel="0" max="35" min="35" style="0" width="23.89"/>
    <col collapsed="false" customWidth="true" hidden="false" outlineLevel="0" max="36" min="36" style="0" width="45"/>
    <col collapsed="false" customWidth="true" hidden="false" outlineLevel="0" max="37" min="37" style="0" width="13.55"/>
    <col collapsed="false" customWidth="true" hidden="false" outlineLevel="0" max="38" min="38" style="0" width="11.89"/>
    <col collapsed="false" customWidth="true" hidden="false" outlineLevel="0" max="39" min="39" style="0" width="11.33"/>
    <col collapsed="false" customWidth="true" hidden="false" outlineLevel="0" max="40" min="40" style="0" width="14.44"/>
    <col collapsed="false" customWidth="true" hidden="false" outlineLevel="0" max="41" min="41" style="0" width="17.67"/>
    <col collapsed="false" customWidth="true" hidden="false" outlineLevel="0" max="42" min="42" style="0" width="12.55"/>
    <col collapsed="false" customWidth="true" hidden="false" outlineLevel="0" max="44" min="43" style="0" width="14.89"/>
    <col collapsed="false" customWidth="true" hidden="false" outlineLevel="0" max="45" min="45" style="0" width="11"/>
    <col collapsed="false" customWidth="true" hidden="false" outlineLevel="0" max="46" min="46" style="0" width="13.11"/>
    <col collapsed="false" customWidth="true" hidden="false" outlineLevel="0" max="47" min="47" style="0" width="31.66"/>
    <col collapsed="false" customWidth="true" hidden="false" outlineLevel="0" max="48" min="48" style="0" width="12.11"/>
    <col collapsed="false" customWidth="true" hidden="false" outlineLevel="0" max="49" min="49" style="0" width="8.33"/>
    <col collapsed="false" customWidth="true" hidden="false" outlineLevel="0" max="50" min="50" style="0" width="10.33"/>
    <col collapsed="false" customWidth="true" hidden="false" outlineLevel="0" max="51" min="51" style="0" width="34.44"/>
    <col collapsed="false" customWidth="true" hidden="false" outlineLevel="0" max="52" min="52" style="0" width="39.34"/>
    <col collapsed="false" customWidth="true" hidden="false" outlineLevel="0" max="53" min="53" style="0" width="16.11"/>
    <col collapsed="false" customWidth="true" hidden="false" outlineLevel="0" max="54" min="54" style="0" width="17"/>
    <col collapsed="false" customWidth="true" hidden="false" outlineLevel="0" max="55" min="55" style="0" width="9.66"/>
    <col collapsed="false" customWidth="true" hidden="false" outlineLevel="0" max="57" min="56" style="0" width="20.67"/>
    <col collapsed="false" customWidth="true" hidden="false" outlineLevel="0" max="58" min="58" style="0" width="13.55"/>
    <col collapsed="false" customWidth="true" hidden="false" outlineLevel="0" max="59" min="59" style="0" width="15.89"/>
    <col collapsed="false" customWidth="true" hidden="false" outlineLevel="0" max="60" min="60" style="0" width="10.66"/>
    <col collapsed="false" customWidth="true" hidden="false" outlineLevel="0" max="61" min="61" style="0" width="14.11"/>
    <col collapsed="false" customWidth="true" hidden="false" outlineLevel="0" max="62" min="62" style="0" width="27.89"/>
    <col collapsed="false" customWidth="true" hidden="false" outlineLevel="0" max="63" min="63" style="0" width="8"/>
    <col collapsed="false" customWidth="true" hidden="false" outlineLevel="0" max="64" min="64" style="0" width="46.44"/>
    <col collapsed="false" customWidth="true" hidden="false" outlineLevel="0" max="65" min="65" style="0" width="15.89"/>
    <col collapsed="false" customWidth="true" hidden="false" outlineLevel="0" max="66" min="66" style="0" width="13.89"/>
    <col collapsed="false" customWidth="true" hidden="false" outlineLevel="0" max="1025" min="67" style="0" width="8.53"/>
  </cols>
  <sheetData>
    <row r="1" customFormat="false" ht="14.4" hidden="false" customHeight="false" outlineLevel="0" collapsed="false">
      <c r="A1" s="0" t="s">
        <v>92</v>
      </c>
      <c r="B1" s="0" t="s">
        <v>93</v>
      </c>
      <c r="C1" s="0" t="s">
        <v>94</v>
      </c>
      <c r="D1" s="0" t="s">
        <v>95</v>
      </c>
      <c r="E1" s="0" t="s">
        <v>96</v>
      </c>
      <c r="F1" s="0" t="s">
        <v>97</v>
      </c>
      <c r="G1" s="0" t="s">
        <v>2742</v>
      </c>
      <c r="H1" s="0" t="s">
        <v>98</v>
      </c>
      <c r="I1" s="0" t="s">
        <v>99</v>
      </c>
      <c r="J1" s="0" t="s">
        <v>1954</v>
      </c>
      <c r="K1" s="0" t="s">
        <v>101</v>
      </c>
      <c r="L1" s="0" t="s">
        <v>102</v>
      </c>
      <c r="M1" s="0" t="s">
        <v>104</v>
      </c>
      <c r="N1" s="0" t="s">
        <v>105</v>
      </c>
      <c r="O1" s="0" t="s">
        <v>106</v>
      </c>
      <c r="P1" s="0" t="s">
        <v>107</v>
      </c>
      <c r="Q1" s="0" t="s">
        <v>108</v>
      </c>
      <c r="R1" s="0" t="s">
        <v>109</v>
      </c>
      <c r="S1" s="0" t="s">
        <v>110</v>
      </c>
      <c r="T1" s="0" t="s">
        <v>111</v>
      </c>
      <c r="U1" s="0" t="s">
        <v>1955</v>
      </c>
      <c r="V1" s="0" t="s">
        <v>1956</v>
      </c>
      <c r="W1" s="0" t="s">
        <v>114</v>
      </c>
      <c r="X1" s="0" t="s">
        <v>2743</v>
      </c>
      <c r="Y1" s="0" t="s">
        <v>116</v>
      </c>
      <c r="Z1" s="0" t="s">
        <v>1959</v>
      </c>
      <c r="AA1" s="0" t="s">
        <v>118</v>
      </c>
      <c r="AB1" s="0" t="s">
        <v>119</v>
      </c>
      <c r="AC1" s="0" t="s">
        <v>120</v>
      </c>
      <c r="AD1" s="0" t="s">
        <v>121</v>
      </c>
      <c r="AE1" s="0" t="s">
        <v>122</v>
      </c>
      <c r="AF1" s="0" t="s">
        <v>123</v>
      </c>
      <c r="AG1" s="0" t="s">
        <v>124</v>
      </c>
      <c r="AH1" s="0" t="s">
        <v>125</v>
      </c>
      <c r="AI1" s="0" t="s">
        <v>126</v>
      </c>
      <c r="AJ1" s="0" t="s">
        <v>127</v>
      </c>
      <c r="AK1" s="0" t="s">
        <v>128</v>
      </c>
      <c r="AL1" s="0" t="s">
        <v>129</v>
      </c>
      <c r="AM1" s="0" t="s">
        <v>1960</v>
      </c>
      <c r="AN1" s="0" t="s">
        <v>1961</v>
      </c>
      <c r="AO1" s="0" t="s">
        <v>132</v>
      </c>
      <c r="AP1" s="0" t="s">
        <v>133</v>
      </c>
      <c r="AQ1" s="0" t="s">
        <v>134</v>
      </c>
      <c r="AR1" s="0" t="s">
        <v>135</v>
      </c>
      <c r="AS1" s="0" t="s">
        <v>136</v>
      </c>
      <c r="AT1" s="0" t="s">
        <v>137</v>
      </c>
      <c r="AU1" s="0" t="s">
        <v>138</v>
      </c>
      <c r="AV1" s="0" t="s">
        <v>139</v>
      </c>
      <c r="AW1" s="0" t="s">
        <v>140</v>
      </c>
      <c r="AX1" s="0" t="s">
        <v>141</v>
      </c>
      <c r="AY1" s="0" t="s">
        <v>2744</v>
      </c>
      <c r="AZ1" s="0" t="s">
        <v>2745</v>
      </c>
      <c r="BA1" s="0" t="s">
        <v>2746</v>
      </c>
      <c r="BB1" s="0" t="s">
        <v>2747</v>
      </c>
      <c r="BC1" s="0" t="s">
        <v>2748</v>
      </c>
      <c r="BD1" s="0" t="s">
        <v>2749</v>
      </c>
      <c r="BE1" s="0" t="s">
        <v>2750</v>
      </c>
      <c r="BF1" s="0" t="s">
        <v>2751</v>
      </c>
      <c r="BG1" s="0" t="s">
        <v>2752</v>
      </c>
      <c r="BH1" s="0" t="s">
        <v>2753</v>
      </c>
      <c r="BI1" s="0" t="s">
        <v>2754</v>
      </c>
      <c r="BJ1" s="0" t="s">
        <v>2755</v>
      </c>
      <c r="BK1" s="0" t="s">
        <v>2756</v>
      </c>
      <c r="BL1" s="0" t="s">
        <v>2757</v>
      </c>
      <c r="BM1" s="0" t="s">
        <v>2758</v>
      </c>
    </row>
    <row r="2" customFormat="false" ht="14.4" hidden="false" customHeight="false" outlineLevel="0" collapsed="false">
      <c r="A2" s="0" t="n">
        <v>1000</v>
      </c>
      <c r="B2" s="0" t="s">
        <v>1962</v>
      </c>
      <c r="C2" s="0" t="n">
        <v>110821</v>
      </c>
      <c r="D2" s="0" t="s">
        <v>1566</v>
      </c>
      <c r="E2" s="0" t="s">
        <v>1970</v>
      </c>
      <c r="F2" s="0" t="n">
        <v>1109</v>
      </c>
      <c r="H2" s="0" t="n">
        <v>2019</v>
      </c>
      <c r="I2" s="0" t="n">
        <v>9</v>
      </c>
      <c r="J2" s="145" t="n">
        <v>43827</v>
      </c>
      <c r="K2" s="145" t="n">
        <v>43827</v>
      </c>
      <c r="L2" s="105" t="n">
        <v>653406.83</v>
      </c>
      <c r="M2" s="0" t="s">
        <v>149</v>
      </c>
      <c r="N2" s="105" t="n">
        <v>653406.83</v>
      </c>
      <c r="O2" s="0" t="s">
        <v>149</v>
      </c>
      <c r="P2" s="0" t="n">
        <v>0</v>
      </c>
      <c r="Q2" s="105" t="n">
        <v>99672.23</v>
      </c>
      <c r="R2" s="105" t="n">
        <v>553734.6</v>
      </c>
      <c r="S2" s="0" t="n">
        <v>0</v>
      </c>
      <c r="T2" s="0" t="n">
        <v>0</v>
      </c>
      <c r="U2" s="0" t="n">
        <v>312193</v>
      </c>
      <c r="V2" s="0" t="s">
        <v>1963</v>
      </c>
      <c r="Z2" s="0" t="n">
        <v>2495</v>
      </c>
      <c r="AB2" s="0" t="s">
        <v>2451</v>
      </c>
      <c r="AD2" s="0" t="n">
        <v>110000</v>
      </c>
      <c r="AE2" s="0" t="s">
        <v>1966</v>
      </c>
      <c r="AF2" s="0" t="n">
        <v>501020</v>
      </c>
      <c r="AG2" s="0" t="s">
        <v>1971</v>
      </c>
      <c r="AI2" s="0" t="n">
        <v>501020</v>
      </c>
      <c r="AJ2" s="0" t="s">
        <v>1971</v>
      </c>
      <c r="AK2" s="0" t="n">
        <v>0</v>
      </c>
      <c r="AL2" s="0" t="n">
        <v>1</v>
      </c>
      <c r="AM2" s="0" t="s">
        <v>161</v>
      </c>
      <c r="AP2" s="0" t="n">
        <v>100199799</v>
      </c>
      <c r="AQ2" s="145" t="n">
        <v>43830</v>
      </c>
      <c r="AR2" s="145" t="n">
        <v>43827</v>
      </c>
      <c r="AS2" s="146" t="n">
        <v>0.810335648148148</v>
      </c>
      <c r="AT2" s="0" t="n">
        <v>0</v>
      </c>
      <c r="AU2" s="0" t="n">
        <v>0</v>
      </c>
      <c r="AX2" s="0" t="n">
        <v>1</v>
      </c>
      <c r="AY2" s="105" t="n">
        <v>-653406.83</v>
      </c>
      <c r="AZ2" s="105" t="n">
        <v>-653406.83</v>
      </c>
      <c r="BA2" s="0" t="s">
        <v>2759</v>
      </c>
      <c r="BB2" s="0" t="s">
        <v>2760</v>
      </c>
      <c r="BC2" s="0" t="s">
        <v>2761</v>
      </c>
      <c r="BD2" s="0" t="s">
        <v>2762</v>
      </c>
      <c r="BE2" s="0" t="s">
        <v>2762</v>
      </c>
      <c r="BF2" s="0" t="n">
        <v>843556</v>
      </c>
      <c r="BG2" s="145" t="n">
        <v>43896.311400463</v>
      </c>
      <c r="BH2" s="0" t="s">
        <v>2763</v>
      </c>
      <c r="BI2" s="0" t="n">
        <v>438595</v>
      </c>
      <c r="BJ2" s="0" t="s">
        <v>2764</v>
      </c>
      <c r="BK2" s="0" t="n">
        <v>1</v>
      </c>
      <c r="BL2" s="0" t="s">
        <v>2765</v>
      </c>
      <c r="BM2" s="145" t="n">
        <v>43867.9434259259</v>
      </c>
    </row>
    <row r="3" customFormat="false" ht="14.4" hidden="false" customHeight="false" outlineLevel="0" collapsed="false">
      <c r="L3" s="147" t="n">
        <f aca="false">SUM(L2)</f>
        <v>653406.83</v>
      </c>
    </row>
    <row r="5" customFormat="false" ht="14.4" hidden="false" customHeight="false" outlineLevel="0" collapsed="false">
      <c r="A5" s="0" t="s">
        <v>92</v>
      </c>
      <c r="B5" s="0" t="s">
        <v>93</v>
      </c>
      <c r="C5" s="0" t="s">
        <v>94</v>
      </c>
      <c r="D5" s="0" t="s">
        <v>95</v>
      </c>
      <c r="E5" s="0" t="s">
        <v>96</v>
      </c>
      <c r="F5" s="0" t="s">
        <v>97</v>
      </c>
      <c r="G5" s="0" t="s">
        <v>2742</v>
      </c>
      <c r="H5" s="0" t="s">
        <v>98</v>
      </c>
      <c r="I5" s="0" t="s">
        <v>99</v>
      </c>
      <c r="J5" s="0" t="s">
        <v>1954</v>
      </c>
      <c r="K5" s="0" t="s">
        <v>101</v>
      </c>
      <c r="L5" s="0" t="s">
        <v>102</v>
      </c>
      <c r="M5" s="0" t="s">
        <v>104</v>
      </c>
      <c r="N5" s="0" t="s">
        <v>105</v>
      </c>
      <c r="O5" s="0" t="s">
        <v>106</v>
      </c>
      <c r="P5" s="0" t="s">
        <v>107</v>
      </c>
      <c r="Q5" s="0" t="s">
        <v>108</v>
      </c>
      <c r="R5" s="0" t="s">
        <v>109</v>
      </c>
      <c r="S5" s="0" t="s">
        <v>110</v>
      </c>
      <c r="T5" s="0" t="s">
        <v>111</v>
      </c>
      <c r="U5" s="0" t="s">
        <v>1955</v>
      </c>
      <c r="V5" s="0" t="s">
        <v>1956</v>
      </c>
      <c r="W5" s="0" t="s">
        <v>114</v>
      </c>
      <c r="X5" s="0" t="s">
        <v>2743</v>
      </c>
      <c r="Y5" s="0" t="s">
        <v>116</v>
      </c>
      <c r="Z5" s="0" t="s">
        <v>1959</v>
      </c>
      <c r="AA5" s="0" t="s">
        <v>118</v>
      </c>
      <c r="AB5" s="0" t="s">
        <v>119</v>
      </c>
      <c r="AC5" s="0" t="s">
        <v>120</v>
      </c>
      <c r="AD5" s="0" t="s">
        <v>121</v>
      </c>
      <c r="AE5" s="0" t="s">
        <v>122</v>
      </c>
      <c r="AF5" s="0" t="s">
        <v>123</v>
      </c>
      <c r="AG5" s="0" t="s">
        <v>124</v>
      </c>
      <c r="AH5" s="0" t="s">
        <v>125</v>
      </c>
      <c r="AI5" s="0" t="s">
        <v>126</v>
      </c>
      <c r="AJ5" s="0" t="s">
        <v>127</v>
      </c>
      <c r="AK5" s="0" t="s">
        <v>128</v>
      </c>
      <c r="AL5" s="0" t="s">
        <v>129</v>
      </c>
      <c r="AM5" s="0" t="s">
        <v>1960</v>
      </c>
      <c r="AN5" s="0" t="s">
        <v>1961</v>
      </c>
      <c r="AO5" s="0" t="s">
        <v>132</v>
      </c>
      <c r="AP5" s="0" t="s">
        <v>133</v>
      </c>
      <c r="AQ5" s="0" t="s">
        <v>134</v>
      </c>
      <c r="AR5" s="0" t="s">
        <v>135</v>
      </c>
      <c r="AS5" s="0" t="s">
        <v>136</v>
      </c>
      <c r="AT5" s="0" t="s">
        <v>137</v>
      </c>
      <c r="AU5" s="0" t="s">
        <v>138</v>
      </c>
      <c r="AV5" s="0" t="s">
        <v>139</v>
      </c>
      <c r="AW5" s="0" t="s">
        <v>140</v>
      </c>
      <c r="AX5" s="0" t="s">
        <v>141</v>
      </c>
      <c r="AY5" s="0" t="s">
        <v>2744</v>
      </c>
      <c r="AZ5" s="0" t="s">
        <v>2745</v>
      </c>
      <c r="BA5" s="0" t="s">
        <v>2746</v>
      </c>
      <c r="BB5" s="0" t="s">
        <v>2747</v>
      </c>
      <c r="BC5" s="0" t="s">
        <v>2748</v>
      </c>
      <c r="BD5" s="0" t="s">
        <v>2749</v>
      </c>
      <c r="BE5" s="0" t="s">
        <v>2750</v>
      </c>
      <c r="BF5" s="0" t="s">
        <v>2751</v>
      </c>
      <c r="BG5" s="0" t="s">
        <v>2752</v>
      </c>
      <c r="BH5" s="0" t="s">
        <v>2753</v>
      </c>
      <c r="BI5" s="0" t="s">
        <v>2754</v>
      </c>
      <c r="BJ5" s="0" t="s">
        <v>2755</v>
      </c>
      <c r="BK5" s="0" t="s">
        <v>2756</v>
      </c>
      <c r="BL5" s="0" t="s">
        <v>2757</v>
      </c>
      <c r="BM5" s="0" t="s">
        <v>2758</v>
      </c>
    </row>
    <row r="6" customFormat="false" ht="14.4" hidden="false" customHeight="false" outlineLevel="0" collapsed="false">
      <c r="A6" s="0" t="n">
        <v>1000</v>
      </c>
      <c r="B6" s="0" t="s">
        <v>143</v>
      </c>
      <c r="C6" s="0" t="n">
        <v>51724962</v>
      </c>
      <c r="D6" s="0" t="s">
        <v>1566</v>
      </c>
      <c r="E6" s="0" t="s">
        <v>725</v>
      </c>
      <c r="F6" s="0" t="n">
        <v>9600</v>
      </c>
      <c r="G6" s="0" t="s">
        <v>2766</v>
      </c>
      <c r="H6" s="0" t="n">
        <v>2020</v>
      </c>
      <c r="I6" s="0" t="n">
        <v>12</v>
      </c>
      <c r="J6" s="145" t="n">
        <v>43827</v>
      </c>
      <c r="K6" s="145" t="n">
        <v>43894</v>
      </c>
      <c r="L6" s="105" t="n">
        <v>-600451.7</v>
      </c>
      <c r="M6" s="0" t="s">
        <v>149</v>
      </c>
      <c r="N6" s="105" t="n">
        <v>-600451.7</v>
      </c>
      <c r="O6" s="0" t="s">
        <v>149</v>
      </c>
      <c r="P6" s="105" t="n">
        <v>-610804.7</v>
      </c>
      <c r="Q6" s="0" t="n">
        <v>0</v>
      </c>
      <c r="R6" s="105" t="n">
        <v>-600451.7</v>
      </c>
      <c r="S6" s="105" t="n">
        <v>-517631.56</v>
      </c>
      <c r="T6" s="105" t="n">
        <v>-10619.55</v>
      </c>
      <c r="U6" s="0" t="s">
        <v>150</v>
      </c>
      <c r="V6" s="0" t="s">
        <v>151</v>
      </c>
      <c r="Y6" s="0" t="n">
        <v>3700796848</v>
      </c>
      <c r="Z6" s="0" t="n">
        <v>51724962</v>
      </c>
      <c r="AB6" s="0" t="n">
        <v>3700796848</v>
      </c>
      <c r="AD6" s="0" t="n">
        <v>2408402</v>
      </c>
      <c r="AE6" s="0" t="s">
        <v>156</v>
      </c>
      <c r="AF6" s="0" t="n">
        <v>2408422</v>
      </c>
      <c r="AG6" s="0" t="s">
        <v>748</v>
      </c>
      <c r="AH6" s="0" t="n">
        <v>5149106</v>
      </c>
      <c r="AI6" s="0" t="n">
        <v>5149106</v>
      </c>
      <c r="AJ6" s="0" t="s">
        <v>972</v>
      </c>
      <c r="AK6" s="0" t="n">
        <v>0</v>
      </c>
      <c r="AL6" s="0" t="n">
        <v>31</v>
      </c>
      <c r="AM6" s="0" t="s">
        <v>225</v>
      </c>
      <c r="AP6" s="0" t="n">
        <v>45262199</v>
      </c>
      <c r="AQ6" s="145" t="n">
        <v>43903</v>
      </c>
      <c r="AR6" s="145" t="n">
        <v>43894</v>
      </c>
      <c r="AS6" s="146" t="n">
        <v>0.721435185185185</v>
      </c>
      <c r="AT6" s="0" t="n">
        <v>0</v>
      </c>
      <c r="AU6" s="105" t="n">
        <v>-600451.7</v>
      </c>
      <c r="AX6" s="0" t="n">
        <v>2</v>
      </c>
      <c r="AY6" s="105" t="n">
        <v>600451.7</v>
      </c>
      <c r="AZ6" s="105" t="n">
        <v>600451.7</v>
      </c>
      <c r="BA6" s="0" t="s">
        <v>2767</v>
      </c>
      <c r="BB6" s="0" t="s">
        <v>2768</v>
      </c>
      <c r="BC6" s="0" t="s">
        <v>2761</v>
      </c>
      <c r="BD6" s="0" t="s">
        <v>2762</v>
      </c>
      <c r="BE6" s="0" t="s">
        <v>2762</v>
      </c>
      <c r="BH6" s="0" t="s">
        <v>2769</v>
      </c>
      <c r="BI6" s="0" t="n">
        <v>477367</v>
      </c>
      <c r="BJ6" s="0" t="s">
        <v>2770</v>
      </c>
      <c r="BK6" s="0" t="n">
        <v>1</v>
      </c>
      <c r="BL6" s="0" t="s">
        <v>2771</v>
      </c>
      <c r="BM6" s="145" t="n">
        <v>43924.1278125</v>
      </c>
    </row>
    <row r="7" customFormat="false" ht="14.4" hidden="false" customHeight="false" outlineLevel="0" collapsed="false">
      <c r="A7" s="0" t="n">
        <v>1000</v>
      </c>
      <c r="B7" s="0" t="s">
        <v>143</v>
      </c>
      <c r="C7" s="0" t="n">
        <v>51724962</v>
      </c>
      <c r="D7" s="0" t="s">
        <v>1566</v>
      </c>
      <c r="E7" s="0" t="s">
        <v>725</v>
      </c>
      <c r="F7" s="0" t="n">
        <v>9600</v>
      </c>
      <c r="G7" s="0" t="s">
        <v>2766</v>
      </c>
      <c r="H7" s="0" t="n">
        <v>2020</v>
      </c>
      <c r="I7" s="0" t="n">
        <v>12</v>
      </c>
      <c r="J7" s="145" t="n">
        <v>43827</v>
      </c>
      <c r="K7" s="145" t="n">
        <v>43894</v>
      </c>
      <c r="L7" s="105" t="n">
        <v>-15800.81</v>
      </c>
      <c r="M7" s="0" t="s">
        <v>149</v>
      </c>
      <c r="N7" s="105" t="n">
        <v>-15800.81</v>
      </c>
      <c r="O7" s="0" t="s">
        <v>149</v>
      </c>
      <c r="P7" s="105" t="n">
        <v>-16073.81</v>
      </c>
      <c r="Q7" s="0" t="n">
        <v>0</v>
      </c>
      <c r="R7" s="105" t="n">
        <v>-15800.81</v>
      </c>
      <c r="S7" s="105" t="n">
        <v>-13621.41</v>
      </c>
      <c r="T7" s="0" t="n">
        <v>-279.45</v>
      </c>
      <c r="U7" s="0" t="s">
        <v>150</v>
      </c>
      <c r="V7" s="0" t="s">
        <v>151</v>
      </c>
      <c r="Y7" s="0" t="n">
        <v>3700796848</v>
      </c>
      <c r="Z7" s="0" t="n">
        <v>51724962</v>
      </c>
      <c r="AB7" s="0" t="n">
        <v>3700796848</v>
      </c>
      <c r="AD7" s="0" t="n">
        <v>2408402</v>
      </c>
      <c r="AE7" s="0" t="s">
        <v>156</v>
      </c>
      <c r="AF7" s="0" t="n">
        <v>2408422</v>
      </c>
      <c r="AG7" s="0" t="s">
        <v>748</v>
      </c>
      <c r="AH7" s="0" t="n">
        <v>5149106</v>
      </c>
      <c r="AI7" s="0" t="n">
        <v>5149106</v>
      </c>
      <c r="AJ7" s="0" t="s">
        <v>972</v>
      </c>
      <c r="AK7" s="0" t="n">
        <v>0</v>
      </c>
      <c r="AL7" s="0" t="n">
        <v>31</v>
      </c>
      <c r="AM7" s="0" t="s">
        <v>225</v>
      </c>
      <c r="AR7" s="145" t="n">
        <v>43894</v>
      </c>
      <c r="AS7" s="146" t="n">
        <v>0.721435185185185</v>
      </c>
      <c r="AT7" s="0" t="n">
        <v>0</v>
      </c>
      <c r="AU7" s="105" t="n">
        <v>-15800.81</v>
      </c>
      <c r="AX7" s="0" t="n">
        <v>3</v>
      </c>
      <c r="AY7" s="105" t="n">
        <v>15800.81</v>
      </c>
      <c r="AZ7" s="105" t="n">
        <v>15800.81</v>
      </c>
      <c r="BA7" s="0" t="s">
        <v>2767</v>
      </c>
      <c r="BB7" s="0" t="s">
        <v>2768</v>
      </c>
      <c r="BC7" s="0" t="s">
        <v>2761</v>
      </c>
      <c r="BD7" s="0" t="s">
        <v>2762</v>
      </c>
      <c r="BE7" s="0" t="s">
        <v>2762</v>
      </c>
      <c r="BH7" s="0" t="s">
        <v>2769</v>
      </c>
      <c r="BI7" s="0" t="n">
        <v>477616</v>
      </c>
      <c r="BJ7" s="0" t="s">
        <v>2770</v>
      </c>
      <c r="BK7" s="0" t="n">
        <v>1</v>
      </c>
      <c r="BL7" s="0" t="s">
        <v>2771</v>
      </c>
      <c r="BM7" s="145" t="n">
        <v>43924.1278125</v>
      </c>
    </row>
    <row r="8" customFormat="false" ht="14.4" hidden="false" customHeight="false" outlineLevel="0" collapsed="false">
      <c r="A8" s="0" t="n">
        <v>1000</v>
      </c>
      <c r="B8" s="0" t="s">
        <v>143</v>
      </c>
      <c r="C8" s="0" t="n">
        <v>51724962</v>
      </c>
      <c r="D8" s="0" t="s">
        <v>1566</v>
      </c>
      <c r="E8" s="0" t="s">
        <v>725</v>
      </c>
      <c r="F8" s="0" t="n">
        <v>9600</v>
      </c>
      <c r="G8" s="0" t="s">
        <v>2766</v>
      </c>
      <c r="H8" s="0" t="n">
        <v>2020</v>
      </c>
      <c r="I8" s="0" t="n">
        <v>12</v>
      </c>
      <c r="J8" s="145" t="n">
        <v>43827</v>
      </c>
      <c r="K8" s="145" t="n">
        <v>43894</v>
      </c>
      <c r="L8" s="105" t="n">
        <v>-15800.81</v>
      </c>
      <c r="M8" s="0" t="s">
        <v>149</v>
      </c>
      <c r="N8" s="105" t="n">
        <v>-15800.81</v>
      </c>
      <c r="O8" s="0" t="s">
        <v>149</v>
      </c>
      <c r="P8" s="105" t="n">
        <v>-16073.81</v>
      </c>
      <c r="Q8" s="0" t="n">
        <v>0</v>
      </c>
      <c r="R8" s="105" t="n">
        <v>-15800.81</v>
      </c>
      <c r="S8" s="105" t="n">
        <v>-13621.41</v>
      </c>
      <c r="T8" s="0" t="n">
        <v>-279.45</v>
      </c>
      <c r="U8" s="0" t="s">
        <v>150</v>
      </c>
      <c r="V8" s="0" t="s">
        <v>151</v>
      </c>
      <c r="Y8" s="0" t="n">
        <v>3700796848</v>
      </c>
      <c r="Z8" s="0" t="n">
        <v>51724962</v>
      </c>
      <c r="AB8" s="0" t="n">
        <v>3700796848</v>
      </c>
      <c r="AD8" s="0" t="n">
        <v>2408402</v>
      </c>
      <c r="AE8" s="0" t="s">
        <v>156</v>
      </c>
      <c r="AF8" s="0" t="n">
        <v>2408422</v>
      </c>
      <c r="AG8" s="0" t="s">
        <v>748</v>
      </c>
      <c r="AH8" s="0" t="n">
        <v>5149106</v>
      </c>
      <c r="AI8" s="0" t="n">
        <v>5149106</v>
      </c>
      <c r="AJ8" s="0" t="s">
        <v>972</v>
      </c>
      <c r="AK8" s="0" t="n">
        <v>0</v>
      </c>
      <c r="AL8" s="0" t="n">
        <v>31</v>
      </c>
      <c r="AM8" s="0" t="s">
        <v>225</v>
      </c>
      <c r="AR8" s="145" t="n">
        <v>43894</v>
      </c>
      <c r="AS8" s="146" t="n">
        <v>0.721435185185185</v>
      </c>
      <c r="AT8" s="0" t="n">
        <v>0</v>
      </c>
      <c r="AU8" s="105" t="n">
        <v>-15800.81</v>
      </c>
      <c r="AX8" s="0" t="n">
        <v>4</v>
      </c>
      <c r="AY8" s="105" t="n">
        <v>15800.81</v>
      </c>
      <c r="AZ8" s="105" t="n">
        <v>15800.81</v>
      </c>
      <c r="BA8" s="0" t="s">
        <v>2767</v>
      </c>
      <c r="BB8" s="0" t="s">
        <v>2768</v>
      </c>
      <c r="BC8" s="0" t="s">
        <v>2761</v>
      </c>
      <c r="BD8" s="0" t="s">
        <v>2762</v>
      </c>
      <c r="BE8" s="0" t="s">
        <v>2762</v>
      </c>
      <c r="BH8" s="0" t="s">
        <v>2769</v>
      </c>
      <c r="BI8" s="0" t="n">
        <v>477660</v>
      </c>
      <c r="BJ8" s="0" t="s">
        <v>2770</v>
      </c>
      <c r="BK8" s="0" t="n">
        <v>1</v>
      </c>
      <c r="BL8" s="0" t="s">
        <v>2771</v>
      </c>
      <c r="BM8" s="145" t="n">
        <v>43924.1278125</v>
      </c>
    </row>
    <row r="9" customFormat="false" ht="14.4" hidden="false" customHeight="false" outlineLevel="0" collapsed="false">
      <c r="A9" s="0" t="n">
        <v>1000</v>
      </c>
      <c r="B9" s="0" t="s">
        <v>143</v>
      </c>
      <c r="C9" s="0" t="n">
        <v>51724962</v>
      </c>
      <c r="D9" s="0" t="s">
        <v>1566</v>
      </c>
      <c r="E9" s="0" t="s">
        <v>725</v>
      </c>
      <c r="F9" s="0" t="n">
        <v>9600</v>
      </c>
      <c r="G9" s="0" t="s">
        <v>2772</v>
      </c>
      <c r="H9" s="0" t="n">
        <v>2020</v>
      </c>
      <c r="I9" s="0" t="n">
        <v>12</v>
      </c>
      <c r="J9" s="145" t="n">
        <v>43827</v>
      </c>
      <c r="K9" s="145" t="n">
        <v>43894</v>
      </c>
      <c r="L9" s="0" t="n">
        <v>-273</v>
      </c>
      <c r="M9" s="0" t="s">
        <v>149</v>
      </c>
      <c r="N9" s="0" t="n">
        <v>-273</v>
      </c>
      <c r="O9" s="0" t="s">
        <v>149</v>
      </c>
      <c r="P9" s="0" t="n">
        <v>0</v>
      </c>
      <c r="Q9" s="0" t="n">
        <v>0</v>
      </c>
      <c r="R9" s="0" t="n">
        <v>-273</v>
      </c>
      <c r="S9" s="0" t="n">
        <v>0</v>
      </c>
      <c r="T9" s="0" t="n">
        <v>0</v>
      </c>
      <c r="U9" s="0" t="s">
        <v>150</v>
      </c>
      <c r="V9" s="0" t="s">
        <v>151</v>
      </c>
      <c r="X9" s="0" t="s">
        <v>2773</v>
      </c>
      <c r="Y9" s="0" t="n">
        <v>3700796848</v>
      </c>
      <c r="Z9" s="0" t="n">
        <v>51724962</v>
      </c>
      <c r="AD9" s="0" t="n">
        <v>2404331</v>
      </c>
      <c r="AE9" s="0" t="s">
        <v>2774</v>
      </c>
      <c r="AF9" s="0" t="n">
        <v>2408422</v>
      </c>
      <c r="AG9" s="0" t="s">
        <v>748</v>
      </c>
      <c r="AI9" s="0" t="n">
        <v>2408422</v>
      </c>
      <c r="AJ9" s="0" t="s">
        <v>748</v>
      </c>
      <c r="AL9" s="0" t="n">
        <v>50</v>
      </c>
      <c r="AM9" s="0" t="s">
        <v>225</v>
      </c>
      <c r="AR9" s="145" t="n">
        <v>43894</v>
      </c>
      <c r="AS9" s="146" t="n">
        <v>0.721435185185185</v>
      </c>
      <c r="AT9" s="0" t="n">
        <v>0</v>
      </c>
      <c r="AU9" s="0" t="n">
        <v>0</v>
      </c>
      <c r="AX9" s="0" t="n">
        <v>6</v>
      </c>
      <c r="AY9" s="0" t="n">
        <v>273</v>
      </c>
      <c r="AZ9" s="0" t="n">
        <v>273</v>
      </c>
      <c r="BA9" s="0" t="s">
        <v>2767</v>
      </c>
      <c r="BB9" s="0" t="s">
        <v>2775</v>
      </c>
      <c r="BC9" s="0" t="s">
        <v>2776</v>
      </c>
      <c r="BD9" s="0" t="s">
        <v>2762</v>
      </c>
      <c r="BE9" s="0" t="s">
        <v>2762</v>
      </c>
      <c r="BH9" s="0" t="s">
        <v>2769</v>
      </c>
      <c r="BI9" s="0" t="n">
        <v>477838</v>
      </c>
      <c r="BJ9" s="0" t="s">
        <v>2770</v>
      </c>
      <c r="BK9" s="0" t="n">
        <v>1</v>
      </c>
      <c r="BL9" s="0" t="s">
        <v>2777</v>
      </c>
      <c r="BM9" s="145" t="n">
        <v>43924.1362268518</v>
      </c>
    </row>
    <row r="10" customFormat="false" ht="14.4" hidden="false" customHeight="false" outlineLevel="0" collapsed="false">
      <c r="A10" s="0" t="n">
        <v>1000</v>
      </c>
      <c r="B10" s="0" t="s">
        <v>143</v>
      </c>
      <c r="C10" s="0" t="n">
        <v>51724962</v>
      </c>
      <c r="D10" s="0" t="s">
        <v>1566</v>
      </c>
      <c r="E10" s="0" t="s">
        <v>725</v>
      </c>
      <c r="F10" s="0" t="n">
        <v>9600</v>
      </c>
      <c r="G10" s="0" t="s">
        <v>2772</v>
      </c>
      <c r="H10" s="0" t="n">
        <v>2020</v>
      </c>
      <c r="I10" s="0" t="n">
        <v>12</v>
      </c>
      <c r="J10" s="145" t="n">
        <v>43827</v>
      </c>
      <c r="K10" s="145" t="n">
        <v>43894</v>
      </c>
      <c r="L10" s="0" t="n">
        <v>-273</v>
      </c>
      <c r="M10" s="0" t="s">
        <v>149</v>
      </c>
      <c r="N10" s="0" t="n">
        <v>-273</v>
      </c>
      <c r="O10" s="0" t="s">
        <v>149</v>
      </c>
      <c r="P10" s="0" t="n">
        <v>0</v>
      </c>
      <c r="Q10" s="0" t="n">
        <v>0</v>
      </c>
      <c r="R10" s="0" t="n">
        <v>-273</v>
      </c>
      <c r="S10" s="0" t="n">
        <v>0</v>
      </c>
      <c r="T10" s="0" t="n">
        <v>0</v>
      </c>
      <c r="U10" s="0" t="s">
        <v>150</v>
      </c>
      <c r="V10" s="0" t="s">
        <v>151</v>
      </c>
      <c r="X10" s="0" t="s">
        <v>2773</v>
      </c>
      <c r="Y10" s="0" t="n">
        <v>3700796848</v>
      </c>
      <c r="Z10" s="0" t="n">
        <v>51724962</v>
      </c>
      <c r="AD10" s="0" t="n">
        <v>2404331</v>
      </c>
      <c r="AE10" s="0" t="s">
        <v>2774</v>
      </c>
      <c r="AF10" s="0" t="n">
        <v>2408422</v>
      </c>
      <c r="AG10" s="0" t="s">
        <v>748</v>
      </c>
      <c r="AI10" s="0" t="n">
        <v>2408422</v>
      </c>
      <c r="AJ10" s="0" t="s">
        <v>748</v>
      </c>
      <c r="AL10" s="0" t="n">
        <v>50</v>
      </c>
      <c r="AM10" s="0" t="s">
        <v>225</v>
      </c>
      <c r="AR10" s="145" t="n">
        <v>43894</v>
      </c>
      <c r="AS10" s="146" t="n">
        <v>0.721435185185185</v>
      </c>
      <c r="AT10" s="0" t="n">
        <v>0</v>
      </c>
      <c r="AU10" s="0" t="n">
        <v>0</v>
      </c>
      <c r="AX10" s="0" t="n">
        <v>7</v>
      </c>
      <c r="AY10" s="0" t="n">
        <v>273</v>
      </c>
      <c r="AZ10" s="0" t="n">
        <v>273</v>
      </c>
      <c r="BA10" s="0" t="s">
        <v>2767</v>
      </c>
      <c r="BB10" s="0" t="s">
        <v>2775</v>
      </c>
      <c r="BC10" s="0" t="s">
        <v>2776</v>
      </c>
      <c r="BD10" s="0" t="s">
        <v>2762</v>
      </c>
      <c r="BE10" s="0" t="s">
        <v>2762</v>
      </c>
      <c r="BH10" s="0" t="s">
        <v>2769</v>
      </c>
      <c r="BI10" s="0" t="n">
        <v>477882</v>
      </c>
      <c r="BJ10" s="0" t="s">
        <v>2770</v>
      </c>
      <c r="BK10" s="0" t="n">
        <v>1</v>
      </c>
      <c r="BL10" s="0" t="s">
        <v>2777</v>
      </c>
      <c r="BM10" s="145" t="n">
        <v>43924.1362268518</v>
      </c>
    </row>
    <row r="11" customFormat="false" ht="14.4" hidden="false" customHeight="false" outlineLevel="0" collapsed="false">
      <c r="A11" s="0" t="n">
        <v>1000</v>
      </c>
      <c r="B11" s="0" t="s">
        <v>143</v>
      </c>
      <c r="C11" s="0" t="n">
        <v>51724962</v>
      </c>
      <c r="D11" s="0" t="s">
        <v>1566</v>
      </c>
      <c r="E11" s="0" t="s">
        <v>725</v>
      </c>
      <c r="F11" s="0" t="n">
        <v>9600</v>
      </c>
      <c r="G11" s="0" t="s">
        <v>2772</v>
      </c>
      <c r="H11" s="0" t="n">
        <v>2020</v>
      </c>
      <c r="I11" s="0" t="n">
        <v>12</v>
      </c>
      <c r="J11" s="145" t="n">
        <v>43827</v>
      </c>
      <c r="K11" s="145" t="n">
        <v>43894</v>
      </c>
      <c r="L11" s="105" t="n">
        <v>-10353</v>
      </c>
      <c r="M11" s="0" t="s">
        <v>149</v>
      </c>
      <c r="N11" s="105" t="n">
        <v>-10353</v>
      </c>
      <c r="O11" s="0" t="s">
        <v>149</v>
      </c>
      <c r="P11" s="0" t="n">
        <v>0</v>
      </c>
      <c r="Q11" s="0" t="n">
        <v>0</v>
      </c>
      <c r="R11" s="105" t="n">
        <v>-10353</v>
      </c>
      <c r="S11" s="0" t="n">
        <v>0</v>
      </c>
      <c r="T11" s="0" t="n">
        <v>0</v>
      </c>
      <c r="U11" s="0" t="s">
        <v>150</v>
      </c>
      <c r="V11" s="0" t="s">
        <v>151</v>
      </c>
      <c r="X11" s="0" t="s">
        <v>2773</v>
      </c>
      <c r="Y11" s="0" t="n">
        <v>3700796848</v>
      </c>
      <c r="Z11" s="0" t="n">
        <v>51724962</v>
      </c>
      <c r="AD11" s="0" t="n">
        <v>2404331</v>
      </c>
      <c r="AE11" s="0" t="s">
        <v>2774</v>
      </c>
      <c r="AF11" s="0" t="n">
        <v>2408422</v>
      </c>
      <c r="AG11" s="0" t="s">
        <v>748</v>
      </c>
      <c r="AI11" s="0" t="n">
        <v>2408422</v>
      </c>
      <c r="AJ11" s="0" t="s">
        <v>748</v>
      </c>
      <c r="AL11" s="0" t="n">
        <v>50</v>
      </c>
      <c r="AM11" s="0" t="s">
        <v>225</v>
      </c>
      <c r="AR11" s="145" t="n">
        <v>43894</v>
      </c>
      <c r="AS11" s="146" t="n">
        <v>0.721435185185185</v>
      </c>
      <c r="AT11" s="0" t="n">
        <v>0</v>
      </c>
      <c r="AU11" s="0" t="n">
        <v>0</v>
      </c>
      <c r="AX11" s="0" t="n">
        <v>5</v>
      </c>
      <c r="AY11" s="105" t="n">
        <v>10353</v>
      </c>
      <c r="AZ11" s="105" t="n">
        <v>10353</v>
      </c>
      <c r="BA11" s="0" t="s">
        <v>2767</v>
      </c>
      <c r="BB11" s="0" t="s">
        <v>2775</v>
      </c>
      <c r="BC11" s="0" t="s">
        <v>2776</v>
      </c>
      <c r="BD11" s="0" t="s">
        <v>2762</v>
      </c>
      <c r="BE11" s="0" t="s">
        <v>2762</v>
      </c>
      <c r="BH11" s="0" t="s">
        <v>2769</v>
      </c>
      <c r="BI11" s="0" t="n">
        <v>478000</v>
      </c>
      <c r="BJ11" s="0" t="s">
        <v>2770</v>
      </c>
      <c r="BK11" s="0" t="n">
        <v>1</v>
      </c>
      <c r="BL11" s="0" t="s">
        <v>2777</v>
      </c>
      <c r="BM11" s="145" t="n">
        <v>43924.1362268518</v>
      </c>
    </row>
    <row r="12" customFormat="false" ht="14.4" hidden="false" customHeight="false" outlineLevel="0" collapsed="false">
      <c r="L12" s="105" t="n">
        <f aca="false">SUM(L6:L11)</f>
        <v>-642952.32</v>
      </c>
    </row>
    <row r="13" customFormat="false" ht="14.4" hidden="false" customHeight="false" outlineLevel="0" collapsed="false">
      <c r="L13" s="147" t="n">
        <f aca="false">L12+L3</f>
        <v>10454.51</v>
      </c>
    </row>
    <row r="14" customFormat="false" ht="14.4" hidden="false" customHeight="false" outlineLevel="0" collapsed="false">
      <c r="L14" s="147"/>
    </row>
    <row r="15" customFormat="false" ht="14.4" hidden="false" customHeight="false" outlineLevel="0" collapsed="false">
      <c r="L15" s="147"/>
    </row>
    <row r="16" customFormat="false" ht="14.4" hidden="false" customHeight="false" outlineLevel="0" collapsed="false">
      <c r="A16" s="0" t="s">
        <v>92</v>
      </c>
      <c r="B16" s="0" t="s">
        <v>93</v>
      </c>
      <c r="C16" s="0" t="s">
        <v>94</v>
      </c>
      <c r="D16" s="0" t="s">
        <v>95</v>
      </c>
      <c r="E16" s="0" t="s">
        <v>96</v>
      </c>
      <c r="F16" s="0" t="s">
        <v>97</v>
      </c>
      <c r="G16" s="0" t="s">
        <v>2742</v>
      </c>
      <c r="H16" s="0" t="s">
        <v>98</v>
      </c>
      <c r="I16" s="0" t="s">
        <v>99</v>
      </c>
      <c r="J16" s="0" t="s">
        <v>1954</v>
      </c>
      <c r="K16" s="0" t="s">
        <v>101</v>
      </c>
      <c r="L16" s="0" t="s">
        <v>102</v>
      </c>
      <c r="M16" s="0" t="s">
        <v>104</v>
      </c>
      <c r="N16" s="0" t="s">
        <v>105</v>
      </c>
      <c r="O16" s="0" t="s">
        <v>106</v>
      </c>
      <c r="P16" s="0" t="s">
        <v>107</v>
      </c>
      <c r="Q16" s="0" t="s">
        <v>108</v>
      </c>
      <c r="R16" s="0" t="s">
        <v>109</v>
      </c>
      <c r="S16" s="0" t="s">
        <v>110</v>
      </c>
      <c r="T16" s="0" t="s">
        <v>111</v>
      </c>
      <c r="U16" s="0" t="s">
        <v>1955</v>
      </c>
      <c r="V16" s="0" t="s">
        <v>1956</v>
      </c>
      <c r="W16" s="0" t="s">
        <v>114</v>
      </c>
      <c r="X16" s="0" t="s">
        <v>2743</v>
      </c>
      <c r="Y16" s="0" t="s">
        <v>116</v>
      </c>
      <c r="Z16" s="0" t="s">
        <v>1959</v>
      </c>
      <c r="AA16" s="0" t="s">
        <v>118</v>
      </c>
      <c r="AB16" s="0" t="s">
        <v>119</v>
      </c>
      <c r="AC16" s="0" t="s">
        <v>120</v>
      </c>
      <c r="AD16" s="0" t="s">
        <v>121</v>
      </c>
      <c r="AE16" s="0" t="s">
        <v>122</v>
      </c>
      <c r="AF16" s="0" t="s">
        <v>123</v>
      </c>
      <c r="AG16" s="0" t="s">
        <v>124</v>
      </c>
      <c r="AH16" s="0" t="s">
        <v>125</v>
      </c>
      <c r="AI16" s="0" t="s">
        <v>126</v>
      </c>
      <c r="AJ16" s="0" t="s">
        <v>127</v>
      </c>
      <c r="AK16" s="0" t="s">
        <v>128</v>
      </c>
      <c r="AL16" s="0" t="s">
        <v>129</v>
      </c>
      <c r="AM16" s="0" t="s">
        <v>1960</v>
      </c>
      <c r="AN16" s="0" t="s">
        <v>1961</v>
      </c>
      <c r="AO16" s="0" t="s">
        <v>132</v>
      </c>
      <c r="AP16" s="0" t="s">
        <v>133</v>
      </c>
      <c r="AQ16" s="0" t="s">
        <v>134</v>
      </c>
      <c r="AR16" s="0" t="s">
        <v>135</v>
      </c>
      <c r="AS16" s="0" t="s">
        <v>136</v>
      </c>
      <c r="AT16" s="0" t="s">
        <v>137</v>
      </c>
      <c r="AU16" s="0" t="s">
        <v>138</v>
      </c>
      <c r="AV16" s="0" t="s">
        <v>139</v>
      </c>
      <c r="AW16" s="0" t="s">
        <v>140</v>
      </c>
      <c r="AX16" s="0" t="s">
        <v>141</v>
      </c>
      <c r="AY16" s="0" t="s">
        <v>2744</v>
      </c>
      <c r="AZ16" s="0" t="s">
        <v>2745</v>
      </c>
      <c r="BA16" s="0" t="s">
        <v>2746</v>
      </c>
      <c r="BB16" s="0" t="s">
        <v>2747</v>
      </c>
      <c r="BC16" s="0" t="s">
        <v>2748</v>
      </c>
      <c r="BD16" s="0" t="s">
        <v>2749</v>
      </c>
      <c r="BE16" s="0" t="s">
        <v>2750</v>
      </c>
      <c r="BF16" s="0" t="s">
        <v>2751</v>
      </c>
      <c r="BG16" s="0" t="s">
        <v>2752</v>
      </c>
      <c r="BH16" s="0" t="s">
        <v>2753</v>
      </c>
      <c r="BI16" s="0" t="s">
        <v>2754</v>
      </c>
      <c r="BJ16" s="0" t="s">
        <v>2755</v>
      </c>
      <c r="BK16" s="0" t="s">
        <v>2756</v>
      </c>
      <c r="BL16" s="0" t="s">
        <v>2757</v>
      </c>
      <c r="BM16" s="0" t="s">
        <v>2758</v>
      </c>
    </row>
    <row r="17" customFormat="false" ht="14.4" hidden="false" customHeight="false" outlineLevel="0" collapsed="false">
      <c r="A17" s="0" t="n">
        <v>1000</v>
      </c>
      <c r="B17" s="0" t="s">
        <v>1962</v>
      </c>
      <c r="C17" s="0" t="n">
        <v>103704</v>
      </c>
      <c r="D17" s="0" t="s">
        <v>2161</v>
      </c>
      <c r="E17" s="0" t="s">
        <v>1970</v>
      </c>
      <c r="F17" s="0" t="n">
        <v>1101</v>
      </c>
      <c r="H17" s="0" t="n">
        <v>2019</v>
      </c>
      <c r="I17" s="0" t="n">
        <v>3</v>
      </c>
      <c r="J17" s="145" t="n">
        <v>43641</v>
      </c>
      <c r="K17" s="145" t="n">
        <v>43641</v>
      </c>
      <c r="L17" s="105" t="n">
        <v>157168.41</v>
      </c>
      <c r="M17" s="0" t="s">
        <v>149</v>
      </c>
      <c r="N17" s="105" t="n">
        <v>157168.41</v>
      </c>
      <c r="O17" s="0" t="s">
        <v>149</v>
      </c>
      <c r="P17" s="0" t="n">
        <v>0</v>
      </c>
      <c r="Q17" s="105" t="n">
        <v>23974.84</v>
      </c>
      <c r="R17" s="105" t="n">
        <v>133193.57</v>
      </c>
      <c r="S17" s="0" t="n">
        <v>0</v>
      </c>
      <c r="T17" s="0" t="n">
        <v>0</v>
      </c>
      <c r="U17" s="0" t="n">
        <v>318999</v>
      </c>
      <c r="V17" s="0" t="s">
        <v>143</v>
      </c>
      <c r="Z17" s="0" t="n">
        <v>103704</v>
      </c>
      <c r="AD17" s="0" t="n">
        <v>110000</v>
      </c>
      <c r="AE17" s="0" t="s">
        <v>1966</v>
      </c>
      <c r="AF17" s="0" t="n">
        <v>501040</v>
      </c>
      <c r="AG17" s="0" t="s">
        <v>2036</v>
      </c>
      <c r="AI17" s="0" t="n">
        <v>501040</v>
      </c>
      <c r="AJ17" s="0" t="s">
        <v>2036</v>
      </c>
      <c r="AK17" s="0" t="n">
        <v>0</v>
      </c>
      <c r="AL17" s="0" t="n">
        <v>1</v>
      </c>
      <c r="AM17" s="0" t="s">
        <v>161</v>
      </c>
      <c r="AP17" s="0" t="n">
        <v>100039983</v>
      </c>
      <c r="AQ17" s="145" t="n">
        <v>43645</v>
      </c>
      <c r="AR17" s="145" t="n">
        <v>43641</v>
      </c>
      <c r="AS17" s="146" t="n">
        <v>0.521585648148148</v>
      </c>
      <c r="AT17" s="0" t="n">
        <v>0</v>
      </c>
      <c r="AU17" s="0" t="n">
        <v>0</v>
      </c>
      <c r="AX17" s="0" t="n">
        <v>1</v>
      </c>
      <c r="AY17" s="105" t="n">
        <v>-157168.41</v>
      </c>
      <c r="AZ17" s="105" t="n">
        <v>-157168.41</v>
      </c>
      <c r="BA17" s="0" t="s">
        <v>2759</v>
      </c>
      <c r="BB17" s="0" t="s">
        <v>2760</v>
      </c>
      <c r="BC17" s="0" t="s">
        <v>2761</v>
      </c>
      <c r="BD17" s="0" t="s">
        <v>2762</v>
      </c>
      <c r="BE17" s="0" t="s">
        <v>2762</v>
      </c>
      <c r="BF17" s="0" t="n">
        <v>799949</v>
      </c>
      <c r="BG17" s="145" t="n">
        <v>43890.357037037</v>
      </c>
      <c r="BH17" s="0" t="s">
        <v>2763</v>
      </c>
      <c r="BI17" s="0" t="n">
        <v>187210</v>
      </c>
      <c r="BJ17" s="0" t="s">
        <v>2764</v>
      </c>
      <c r="BK17" s="0" t="n">
        <v>1</v>
      </c>
      <c r="BL17" s="0" t="s">
        <v>2778</v>
      </c>
      <c r="BM17" s="145" t="n">
        <v>43826.850462963</v>
      </c>
    </row>
    <row r="18" customFormat="false" ht="14.4" hidden="false" customHeight="false" outlineLevel="0" collapsed="false">
      <c r="A18" s="0" t="n">
        <v>1000</v>
      </c>
      <c r="B18" s="0" t="s">
        <v>1962</v>
      </c>
      <c r="C18" s="0" t="n">
        <v>102765</v>
      </c>
      <c r="D18" s="0" t="s">
        <v>2187</v>
      </c>
      <c r="E18" s="0" t="s">
        <v>1970</v>
      </c>
      <c r="F18" s="0" t="n">
        <v>1101</v>
      </c>
      <c r="H18" s="0" t="n">
        <v>2019</v>
      </c>
      <c r="I18" s="0" t="n">
        <v>3</v>
      </c>
      <c r="J18" s="145" t="n">
        <v>43623</v>
      </c>
      <c r="K18" s="145" t="n">
        <v>43623</v>
      </c>
      <c r="L18" s="105" t="n">
        <v>1127613.23</v>
      </c>
      <c r="M18" s="0" t="s">
        <v>149</v>
      </c>
      <c r="N18" s="105" t="n">
        <v>1127613.23</v>
      </c>
      <c r="O18" s="0" t="s">
        <v>149</v>
      </c>
      <c r="P18" s="0" t="n">
        <v>0</v>
      </c>
      <c r="Q18" s="105" t="n">
        <v>172008.78</v>
      </c>
      <c r="R18" s="105" t="n">
        <v>955604.45</v>
      </c>
      <c r="S18" s="0" t="n">
        <v>0</v>
      </c>
      <c r="T18" s="0" t="n">
        <v>0</v>
      </c>
      <c r="U18" s="0" t="n">
        <v>318999</v>
      </c>
      <c r="V18" s="0" t="s">
        <v>143</v>
      </c>
      <c r="Z18" s="0" t="n">
        <v>102765</v>
      </c>
      <c r="AD18" s="0" t="n">
        <v>110000</v>
      </c>
      <c r="AE18" s="0" t="s">
        <v>1966</v>
      </c>
      <c r="AF18" s="0" t="n">
        <v>501040</v>
      </c>
      <c r="AG18" s="0" t="s">
        <v>2036</v>
      </c>
      <c r="AI18" s="0" t="n">
        <v>501040</v>
      </c>
      <c r="AJ18" s="0" t="s">
        <v>2036</v>
      </c>
      <c r="AK18" s="0" t="n">
        <v>0</v>
      </c>
      <c r="AL18" s="0" t="n">
        <v>1</v>
      </c>
      <c r="AM18" s="0" t="s">
        <v>161</v>
      </c>
      <c r="AP18" s="0" t="n">
        <v>100039983</v>
      </c>
      <c r="AQ18" s="145" t="n">
        <v>43645</v>
      </c>
      <c r="AR18" s="145" t="n">
        <v>43623</v>
      </c>
      <c r="AS18" s="146" t="n">
        <v>0.625324074074074</v>
      </c>
      <c r="AT18" s="0" t="n">
        <v>0</v>
      </c>
      <c r="AU18" s="0" t="n">
        <v>0</v>
      </c>
      <c r="AX18" s="0" t="n">
        <v>1</v>
      </c>
      <c r="AY18" s="105" t="n">
        <v>-1127613.23</v>
      </c>
      <c r="AZ18" s="105" t="n">
        <v>-1127613.23</v>
      </c>
      <c r="BA18" s="0" t="s">
        <v>2759</v>
      </c>
      <c r="BB18" s="0" t="s">
        <v>2760</v>
      </c>
      <c r="BC18" s="0" t="s">
        <v>2761</v>
      </c>
      <c r="BD18" s="0" t="s">
        <v>2762</v>
      </c>
      <c r="BE18" s="0" t="s">
        <v>2762</v>
      </c>
      <c r="BF18" s="0" t="n">
        <v>799949</v>
      </c>
      <c r="BG18" s="145" t="n">
        <v>43890.357037037</v>
      </c>
      <c r="BH18" s="0" t="s">
        <v>2763</v>
      </c>
      <c r="BI18" s="0" t="n">
        <v>187263</v>
      </c>
      <c r="BJ18" s="0" t="s">
        <v>2764</v>
      </c>
      <c r="BK18" s="0" t="n">
        <v>1</v>
      </c>
      <c r="BL18" s="0" t="s">
        <v>2778</v>
      </c>
      <c r="BM18" s="145" t="n">
        <v>43826.850462963</v>
      </c>
    </row>
    <row r="19" customFormat="false" ht="14.4" hidden="false" customHeight="false" outlineLevel="0" collapsed="false">
      <c r="A19" s="0" t="n">
        <v>1000</v>
      </c>
      <c r="B19" s="0" t="s">
        <v>1962</v>
      </c>
      <c r="C19" s="0" t="n">
        <v>102047</v>
      </c>
      <c r="D19" s="0" t="s">
        <v>2188</v>
      </c>
      <c r="E19" s="0" t="s">
        <v>1970</v>
      </c>
      <c r="F19" s="0" t="n">
        <v>1101</v>
      </c>
      <c r="H19" s="0" t="n">
        <v>2019</v>
      </c>
      <c r="I19" s="0" t="n">
        <v>2</v>
      </c>
      <c r="J19" s="145" t="n">
        <v>43609</v>
      </c>
      <c r="K19" s="145" t="n">
        <v>43609</v>
      </c>
      <c r="L19" s="105" t="n">
        <v>1398976.7</v>
      </c>
      <c r="M19" s="0" t="s">
        <v>149</v>
      </c>
      <c r="N19" s="105" t="n">
        <v>1398976.7</v>
      </c>
      <c r="O19" s="0" t="s">
        <v>149</v>
      </c>
      <c r="P19" s="0" t="n">
        <v>0</v>
      </c>
      <c r="Q19" s="105" t="n">
        <v>213403.22</v>
      </c>
      <c r="R19" s="105" t="n">
        <v>1185573.48</v>
      </c>
      <c r="S19" s="0" t="n">
        <v>0</v>
      </c>
      <c r="T19" s="0" t="n">
        <v>0</v>
      </c>
      <c r="U19" s="0" t="n">
        <v>318999</v>
      </c>
      <c r="V19" s="0" t="s">
        <v>143</v>
      </c>
      <c r="Z19" s="0" t="n">
        <v>102047</v>
      </c>
      <c r="AD19" s="0" t="n">
        <v>110000</v>
      </c>
      <c r="AE19" s="0" t="s">
        <v>1966</v>
      </c>
      <c r="AF19" s="0" t="n">
        <v>501040</v>
      </c>
      <c r="AG19" s="0" t="s">
        <v>2036</v>
      </c>
      <c r="AI19" s="0" t="n">
        <v>501040</v>
      </c>
      <c r="AJ19" s="0" t="s">
        <v>2036</v>
      </c>
      <c r="AK19" s="0" t="n">
        <v>0</v>
      </c>
      <c r="AL19" s="0" t="n">
        <v>1</v>
      </c>
      <c r="AM19" s="0" t="s">
        <v>161</v>
      </c>
      <c r="AP19" s="0" t="n">
        <v>100022980</v>
      </c>
      <c r="AQ19" s="145" t="n">
        <v>43616</v>
      </c>
      <c r="AR19" s="145" t="n">
        <v>43609</v>
      </c>
      <c r="AS19" s="146" t="n">
        <v>0.592222222222222</v>
      </c>
      <c r="AT19" s="0" t="n">
        <v>0</v>
      </c>
      <c r="AU19" s="0" t="n">
        <v>0</v>
      </c>
      <c r="AX19" s="0" t="n">
        <v>1</v>
      </c>
      <c r="AY19" s="105" t="n">
        <v>-1398976.7</v>
      </c>
      <c r="AZ19" s="105" t="n">
        <v>-1398976.7</v>
      </c>
      <c r="BA19" s="0" t="s">
        <v>2759</v>
      </c>
      <c r="BB19" s="0" t="s">
        <v>2760</v>
      </c>
      <c r="BC19" s="0" t="s">
        <v>2761</v>
      </c>
      <c r="BD19" s="0" t="s">
        <v>2762</v>
      </c>
      <c r="BE19" s="0" t="s">
        <v>2762</v>
      </c>
      <c r="BH19" s="0" t="s">
        <v>2763</v>
      </c>
      <c r="BI19" s="0" t="n">
        <v>187267</v>
      </c>
      <c r="BJ19" s="0" t="s">
        <v>2764</v>
      </c>
      <c r="BK19" s="0" t="n">
        <v>1</v>
      </c>
      <c r="BL19" s="0" t="s">
        <v>2778</v>
      </c>
      <c r="BM19" s="145" t="n">
        <v>43826.850462963</v>
      </c>
    </row>
    <row r="20" customFormat="false" ht="14.4" hidden="false" customHeight="false" outlineLevel="0" collapsed="false">
      <c r="A20" s="0" t="n">
        <v>1000</v>
      </c>
      <c r="B20" s="0" t="s">
        <v>1962</v>
      </c>
      <c r="C20" s="0" t="n">
        <v>103787</v>
      </c>
      <c r="D20" s="0" t="s">
        <v>2196</v>
      </c>
      <c r="E20" s="0" t="s">
        <v>1970</v>
      </c>
      <c r="F20" s="0" t="n">
        <v>1101</v>
      </c>
      <c r="H20" s="0" t="n">
        <v>2019</v>
      </c>
      <c r="I20" s="0" t="n">
        <v>3</v>
      </c>
      <c r="J20" s="145" t="n">
        <v>43642</v>
      </c>
      <c r="K20" s="145" t="n">
        <v>43642</v>
      </c>
      <c r="L20" s="105" t="n">
        <v>78324.67</v>
      </c>
      <c r="M20" s="0" t="s">
        <v>149</v>
      </c>
      <c r="N20" s="105" t="n">
        <v>78324.67</v>
      </c>
      <c r="O20" s="0" t="s">
        <v>149</v>
      </c>
      <c r="P20" s="0" t="n">
        <v>0</v>
      </c>
      <c r="Q20" s="105" t="n">
        <v>11947.84</v>
      </c>
      <c r="R20" s="105" t="n">
        <v>66376.83</v>
      </c>
      <c r="S20" s="0" t="n">
        <v>0</v>
      </c>
      <c r="T20" s="0" t="n">
        <v>0</v>
      </c>
      <c r="U20" s="0" t="n">
        <v>318999</v>
      </c>
      <c r="V20" s="0" t="s">
        <v>143</v>
      </c>
      <c r="Z20" s="0" t="n">
        <v>103787</v>
      </c>
      <c r="AD20" s="0" t="n">
        <v>110000</v>
      </c>
      <c r="AE20" s="0" t="s">
        <v>1966</v>
      </c>
      <c r="AF20" s="0" t="n">
        <v>501040</v>
      </c>
      <c r="AG20" s="0" t="s">
        <v>2036</v>
      </c>
      <c r="AI20" s="0" t="n">
        <v>501040</v>
      </c>
      <c r="AJ20" s="0" t="s">
        <v>2036</v>
      </c>
      <c r="AK20" s="0" t="n">
        <v>0</v>
      </c>
      <c r="AL20" s="0" t="n">
        <v>1</v>
      </c>
      <c r="AM20" s="0" t="s">
        <v>161</v>
      </c>
      <c r="AP20" s="0" t="n">
        <v>100039983</v>
      </c>
      <c r="AQ20" s="145" t="n">
        <v>43645</v>
      </c>
      <c r="AR20" s="145" t="n">
        <v>43642</v>
      </c>
      <c r="AS20" s="146" t="n">
        <v>0.677083333333333</v>
      </c>
      <c r="AT20" s="0" t="n">
        <v>0</v>
      </c>
      <c r="AU20" s="0" t="n">
        <v>0</v>
      </c>
      <c r="AX20" s="0" t="n">
        <v>1</v>
      </c>
      <c r="AY20" s="105" t="n">
        <v>-78324.67</v>
      </c>
      <c r="AZ20" s="105" t="n">
        <v>-78324.67</v>
      </c>
      <c r="BA20" s="0" t="s">
        <v>2759</v>
      </c>
      <c r="BB20" s="0" t="s">
        <v>2760</v>
      </c>
      <c r="BC20" s="0" t="s">
        <v>2761</v>
      </c>
      <c r="BD20" s="0" t="s">
        <v>2762</v>
      </c>
      <c r="BE20" s="0" t="s">
        <v>2762</v>
      </c>
      <c r="BF20" s="0" t="n">
        <v>799949</v>
      </c>
      <c r="BG20" s="145" t="n">
        <v>43890.357037037</v>
      </c>
      <c r="BH20" s="0" t="s">
        <v>2763</v>
      </c>
      <c r="BI20" s="0" t="n">
        <v>187283</v>
      </c>
      <c r="BJ20" s="0" t="s">
        <v>2764</v>
      </c>
      <c r="BK20" s="0" t="n">
        <v>1</v>
      </c>
      <c r="BL20" s="0" t="s">
        <v>2778</v>
      </c>
      <c r="BM20" s="145" t="n">
        <v>43826.850462963</v>
      </c>
    </row>
    <row r="21" customFormat="false" ht="14.4" hidden="false" customHeight="false" outlineLevel="0" collapsed="false">
      <c r="A21" s="0" t="n">
        <v>1000</v>
      </c>
      <c r="B21" s="0" t="s">
        <v>1962</v>
      </c>
      <c r="C21" s="0" t="n">
        <v>103386</v>
      </c>
      <c r="D21" s="0" t="s">
        <v>2185</v>
      </c>
      <c r="E21" s="0" t="s">
        <v>1970</v>
      </c>
      <c r="F21" s="0" t="n">
        <v>1101</v>
      </c>
      <c r="H21" s="0" t="n">
        <v>2019</v>
      </c>
      <c r="I21" s="0" t="n">
        <v>3</v>
      </c>
      <c r="J21" s="145" t="n">
        <v>43635</v>
      </c>
      <c r="K21" s="145" t="n">
        <v>43635</v>
      </c>
      <c r="L21" s="105" t="n">
        <v>794634.51</v>
      </c>
      <c r="M21" s="0" t="s">
        <v>149</v>
      </c>
      <c r="N21" s="105" t="n">
        <v>794634.51</v>
      </c>
      <c r="O21" s="0" t="s">
        <v>149</v>
      </c>
      <c r="P21" s="0" t="n">
        <v>0</v>
      </c>
      <c r="Q21" s="105" t="n">
        <v>121215.42</v>
      </c>
      <c r="R21" s="105" t="n">
        <v>673419.09</v>
      </c>
      <c r="S21" s="0" t="n">
        <v>0</v>
      </c>
      <c r="T21" s="0" t="n">
        <v>0</v>
      </c>
      <c r="U21" s="0" t="n">
        <v>318999</v>
      </c>
      <c r="V21" s="0" t="s">
        <v>143</v>
      </c>
      <c r="Z21" s="0" t="n">
        <v>103386</v>
      </c>
      <c r="AD21" s="0" t="n">
        <v>110000</v>
      </c>
      <c r="AE21" s="0" t="s">
        <v>1966</v>
      </c>
      <c r="AF21" s="0" t="n">
        <v>501040</v>
      </c>
      <c r="AG21" s="0" t="s">
        <v>2036</v>
      </c>
      <c r="AI21" s="0" t="n">
        <v>501040</v>
      </c>
      <c r="AJ21" s="0" t="s">
        <v>2036</v>
      </c>
      <c r="AK21" s="0" t="n">
        <v>0</v>
      </c>
      <c r="AL21" s="0" t="n">
        <v>1</v>
      </c>
      <c r="AM21" s="0" t="s">
        <v>161</v>
      </c>
      <c r="AP21" s="0" t="n">
        <v>100039983</v>
      </c>
      <c r="AQ21" s="145" t="n">
        <v>43645</v>
      </c>
      <c r="AR21" s="145" t="n">
        <v>43635</v>
      </c>
      <c r="AS21" s="146" t="n">
        <v>0.632372685185185</v>
      </c>
      <c r="AT21" s="0" t="n">
        <v>0</v>
      </c>
      <c r="AU21" s="0" t="n">
        <v>0</v>
      </c>
      <c r="AX21" s="0" t="n">
        <v>1</v>
      </c>
      <c r="AY21" s="105" t="n">
        <v>-794634.51</v>
      </c>
      <c r="AZ21" s="105" t="n">
        <v>-794634.51</v>
      </c>
      <c r="BA21" s="0" t="s">
        <v>2759</v>
      </c>
      <c r="BB21" s="0" t="s">
        <v>2760</v>
      </c>
      <c r="BC21" s="0" t="s">
        <v>2761</v>
      </c>
      <c r="BD21" s="0" t="s">
        <v>2762</v>
      </c>
      <c r="BE21" s="0" t="s">
        <v>2762</v>
      </c>
      <c r="BF21" s="0" t="n">
        <v>799949</v>
      </c>
      <c r="BG21" s="145" t="n">
        <v>43890.357037037</v>
      </c>
      <c r="BH21" s="0" t="s">
        <v>2763</v>
      </c>
      <c r="BI21" s="0" t="n">
        <v>187320</v>
      </c>
      <c r="BJ21" s="0" t="s">
        <v>2764</v>
      </c>
      <c r="BK21" s="0" t="n">
        <v>1</v>
      </c>
      <c r="BL21" s="0" t="s">
        <v>2778</v>
      </c>
      <c r="BM21" s="145" t="n">
        <v>43826.850462963</v>
      </c>
    </row>
    <row r="22" customFormat="false" ht="14.4" hidden="false" customHeight="false" outlineLevel="0" collapsed="false">
      <c r="A22" s="0" t="n">
        <v>1000</v>
      </c>
      <c r="B22" s="0" t="s">
        <v>1962</v>
      </c>
      <c r="C22" s="0" t="n">
        <v>103756</v>
      </c>
      <c r="D22" s="0" t="s">
        <v>2225</v>
      </c>
      <c r="E22" s="0" t="s">
        <v>1970</v>
      </c>
      <c r="F22" s="0" t="n">
        <v>1108</v>
      </c>
      <c r="H22" s="0" t="n">
        <v>2019</v>
      </c>
      <c r="I22" s="0" t="n">
        <v>3</v>
      </c>
      <c r="J22" s="145" t="n">
        <v>43641</v>
      </c>
      <c r="K22" s="145" t="n">
        <v>43641</v>
      </c>
      <c r="L22" s="105" t="n">
        <v>876749.39</v>
      </c>
      <c r="M22" s="0" t="s">
        <v>149</v>
      </c>
      <c r="N22" s="105" t="n">
        <v>876749.39</v>
      </c>
      <c r="O22" s="0" t="s">
        <v>149</v>
      </c>
      <c r="P22" s="0" t="n">
        <v>0</v>
      </c>
      <c r="Q22" s="105" t="n">
        <v>133741.38</v>
      </c>
      <c r="R22" s="105" t="n">
        <v>743008.01</v>
      </c>
      <c r="S22" s="0" t="n">
        <v>0</v>
      </c>
      <c r="T22" s="0" t="n">
        <v>0</v>
      </c>
      <c r="U22" s="0" t="n">
        <v>318999</v>
      </c>
      <c r="V22" s="0" t="s">
        <v>143</v>
      </c>
      <c r="Z22" s="0" t="n">
        <v>103756</v>
      </c>
      <c r="AD22" s="0" t="n">
        <v>110000</v>
      </c>
      <c r="AE22" s="0" t="s">
        <v>1966</v>
      </c>
      <c r="AF22" s="0" t="n">
        <v>501040</v>
      </c>
      <c r="AG22" s="0" t="s">
        <v>2036</v>
      </c>
      <c r="AI22" s="0" t="n">
        <v>501040</v>
      </c>
      <c r="AJ22" s="0" t="s">
        <v>2036</v>
      </c>
      <c r="AK22" s="0" t="n">
        <v>0</v>
      </c>
      <c r="AL22" s="0" t="n">
        <v>1</v>
      </c>
      <c r="AM22" s="0" t="s">
        <v>161</v>
      </c>
      <c r="AP22" s="0" t="n">
        <v>100039983</v>
      </c>
      <c r="AQ22" s="145" t="n">
        <v>43645</v>
      </c>
      <c r="AR22" s="145" t="n">
        <v>43641</v>
      </c>
      <c r="AS22" s="146" t="n">
        <v>0.792997685185185</v>
      </c>
      <c r="AT22" s="0" t="n">
        <v>0</v>
      </c>
      <c r="AU22" s="0" t="n">
        <v>0</v>
      </c>
      <c r="AX22" s="0" t="n">
        <v>1</v>
      </c>
      <c r="AY22" s="105" t="n">
        <v>-876749.39</v>
      </c>
      <c r="AZ22" s="105" t="n">
        <v>-876749.39</v>
      </c>
      <c r="BA22" s="0" t="s">
        <v>2759</v>
      </c>
      <c r="BB22" s="0" t="s">
        <v>2760</v>
      </c>
      <c r="BC22" s="0" t="s">
        <v>2761</v>
      </c>
      <c r="BD22" s="0" t="s">
        <v>2762</v>
      </c>
      <c r="BE22" s="0" t="s">
        <v>2762</v>
      </c>
      <c r="BF22" s="0" t="n">
        <v>799949</v>
      </c>
      <c r="BG22" s="145" t="n">
        <v>43890.357037037</v>
      </c>
      <c r="BH22" s="0" t="s">
        <v>2763</v>
      </c>
      <c r="BI22" s="0" t="n">
        <v>187325</v>
      </c>
      <c r="BJ22" s="0" t="s">
        <v>2764</v>
      </c>
      <c r="BK22" s="0" t="n">
        <v>1</v>
      </c>
      <c r="BL22" s="0" t="s">
        <v>2778</v>
      </c>
      <c r="BM22" s="145" t="n">
        <v>43826.850462963</v>
      </c>
    </row>
    <row r="23" customFormat="false" ht="14.4" hidden="false" customHeight="false" outlineLevel="0" collapsed="false">
      <c r="A23" s="0" t="n">
        <v>1000</v>
      </c>
      <c r="B23" s="0" t="s">
        <v>1962</v>
      </c>
      <c r="C23" s="0" t="n">
        <v>102810</v>
      </c>
      <c r="D23" s="0" t="s">
        <v>2244</v>
      </c>
      <c r="E23" s="0" t="s">
        <v>1970</v>
      </c>
      <c r="F23" s="0" t="n">
        <v>1101</v>
      </c>
      <c r="H23" s="0" t="n">
        <v>2019</v>
      </c>
      <c r="I23" s="0" t="n">
        <v>3</v>
      </c>
      <c r="J23" s="145" t="n">
        <v>43624</v>
      </c>
      <c r="K23" s="145" t="n">
        <v>43624</v>
      </c>
      <c r="L23" s="105" t="n">
        <v>1549683.81</v>
      </c>
      <c r="M23" s="0" t="s">
        <v>149</v>
      </c>
      <c r="N23" s="105" t="n">
        <v>1549683.81</v>
      </c>
      <c r="O23" s="0" t="s">
        <v>149</v>
      </c>
      <c r="P23" s="0" t="n">
        <v>0</v>
      </c>
      <c r="Q23" s="105" t="n">
        <v>236392.44</v>
      </c>
      <c r="R23" s="105" t="n">
        <v>1313291.37</v>
      </c>
      <c r="S23" s="0" t="n">
        <v>0</v>
      </c>
      <c r="T23" s="0" t="n">
        <v>0</v>
      </c>
      <c r="U23" s="0" t="n">
        <v>318999</v>
      </c>
      <c r="V23" s="0" t="s">
        <v>143</v>
      </c>
      <c r="Z23" s="0" t="n">
        <v>102810</v>
      </c>
      <c r="AD23" s="0" t="n">
        <v>110000</v>
      </c>
      <c r="AE23" s="0" t="s">
        <v>1966</v>
      </c>
      <c r="AF23" s="0" t="n">
        <v>501040</v>
      </c>
      <c r="AG23" s="0" t="s">
        <v>2036</v>
      </c>
      <c r="AI23" s="0" t="n">
        <v>501040</v>
      </c>
      <c r="AJ23" s="0" t="s">
        <v>2036</v>
      </c>
      <c r="AK23" s="0" t="n">
        <v>0</v>
      </c>
      <c r="AL23" s="0" t="n">
        <v>1</v>
      </c>
      <c r="AM23" s="0" t="s">
        <v>161</v>
      </c>
      <c r="AP23" s="0" t="n">
        <v>100039983</v>
      </c>
      <c r="AQ23" s="145" t="n">
        <v>43645</v>
      </c>
      <c r="AR23" s="145" t="n">
        <v>43624</v>
      </c>
      <c r="AS23" s="146" t="n">
        <v>0.634143518518518</v>
      </c>
      <c r="AT23" s="0" t="n">
        <v>0</v>
      </c>
      <c r="AU23" s="0" t="n">
        <v>0</v>
      </c>
      <c r="AX23" s="0" t="n">
        <v>1</v>
      </c>
      <c r="AY23" s="105" t="n">
        <v>-1549683.81</v>
      </c>
      <c r="AZ23" s="105" t="n">
        <v>-1549683.81</v>
      </c>
      <c r="BA23" s="0" t="s">
        <v>2759</v>
      </c>
      <c r="BB23" s="0" t="s">
        <v>2760</v>
      </c>
      <c r="BC23" s="0" t="s">
        <v>2761</v>
      </c>
      <c r="BD23" s="0" t="s">
        <v>2762</v>
      </c>
      <c r="BE23" s="0" t="s">
        <v>2762</v>
      </c>
      <c r="BF23" s="0" t="n">
        <v>799949</v>
      </c>
      <c r="BG23" s="145" t="n">
        <v>43890.357037037</v>
      </c>
      <c r="BH23" s="0" t="s">
        <v>2763</v>
      </c>
      <c r="BI23" s="0" t="n">
        <v>187371</v>
      </c>
      <c r="BJ23" s="0" t="s">
        <v>2764</v>
      </c>
      <c r="BK23" s="0" t="n">
        <v>1</v>
      </c>
      <c r="BL23" s="0" t="s">
        <v>2778</v>
      </c>
      <c r="BM23" s="145" t="n">
        <v>43826.850462963</v>
      </c>
    </row>
    <row r="24" customFormat="false" ht="14.4" hidden="false" customHeight="false" outlineLevel="0" collapsed="false">
      <c r="A24" s="0" t="n">
        <v>1000</v>
      </c>
      <c r="B24" s="0" t="s">
        <v>1962</v>
      </c>
      <c r="C24" s="0" t="n">
        <v>102643</v>
      </c>
      <c r="D24" s="0" t="s">
        <v>2218</v>
      </c>
      <c r="E24" s="0" t="s">
        <v>1970</v>
      </c>
      <c r="F24" s="0" t="n">
        <v>1108</v>
      </c>
      <c r="G24" s="0" t="n">
        <v>90136817</v>
      </c>
      <c r="H24" s="0" t="n">
        <v>2019</v>
      </c>
      <c r="I24" s="0" t="n">
        <v>3</v>
      </c>
      <c r="J24" s="145" t="n">
        <v>43619</v>
      </c>
      <c r="K24" s="145" t="n">
        <v>43619</v>
      </c>
      <c r="L24" s="105" t="n">
        <v>3211527.25</v>
      </c>
      <c r="M24" s="0" t="s">
        <v>149</v>
      </c>
      <c r="N24" s="105" t="n">
        <v>3211527.25</v>
      </c>
      <c r="O24" s="0" t="s">
        <v>149</v>
      </c>
      <c r="P24" s="0" t="n">
        <v>0</v>
      </c>
      <c r="Q24" s="105" t="n">
        <v>489893.98</v>
      </c>
      <c r="R24" s="105" t="n">
        <v>2721633.27</v>
      </c>
      <c r="S24" s="0" t="n">
        <v>0</v>
      </c>
      <c r="T24" s="0" t="n">
        <v>0</v>
      </c>
      <c r="U24" s="0" t="n">
        <v>312948</v>
      </c>
      <c r="V24" s="0" t="s">
        <v>1984</v>
      </c>
      <c r="Z24" s="0" t="n">
        <v>58874</v>
      </c>
      <c r="AB24" s="0" t="s">
        <v>2099</v>
      </c>
      <c r="AD24" s="0" t="n">
        <v>110000</v>
      </c>
      <c r="AE24" s="0" t="s">
        <v>1966</v>
      </c>
      <c r="AF24" s="0" t="n">
        <v>501005</v>
      </c>
      <c r="AG24" s="0" t="s">
        <v>2033</v>
      </c>
      <c r="AI24" s="0" t="n">
        <v>501005</v>
      </c>
      <c r="AJ24" s="0" t="s">
        <v>2033</v>
      </c>
      <c r="AK24" s="0" t="n">
        <v>0</v>
      </c>
      <c r="AL24" s="0" t="n">
        <v>1</v>
      </c>
      <c r="AM24" s="0" t="s">
        <v>161</v>
      </c>
      <c r="AP24" s="0" t="n">
        <v>100039106</v>
      </c>
      <c r="AQ24" s="145" t="n">
        <v>43644</v>
      </c>
      <c r="AR24" s="145" t="n">
        <v>43619</v>
      </c>
      <c r="AS24" s="146" t="n">
        <v>0.83412037037037</v>
      </c>
      <c r="AT24" s="0" t="n">
        <v>0</v>
      </c>
      <c r="AU24" s="0" t="n">
        <v>0</v>
      </c>
      <c r="AX24" s="0" t="n">
        <v>1</v>
      </c>
      <c r="AY24" s="105" t="n">
        <v>-3211527.25</v>
      </c>
      <c r="AZ24" s="105" t="n">
        <v>-3211527.25</v>
      </c>
      <c r="BA24" s="0" t="s">
        <v>2759</v>
      </c>
      <c r="BB24" s="0" t="s">
        <v>2760</v>
      </c>
      <c r="BC24" s="0" t="s">
        <v>2761</v>
      </c>
      <c r="BD24" s="0" t="s">
        <v>2762</v>
      </c>
      <c r="BE24" s="0" t="s">
        <v>2762</v>
      </c>
      <c r="BF24" s="0" t="n">
        <v>799949</v>
      </c>
      <c r="BG24" s="145" t="n">
        <v>43890.357037037</v>
      </c>
      <c r="BH24" s="0" t="s">
        <v>2763</v>
      </c>
      <c r="BI24" s="0" t="n">
        <v>187409</v>
      </c>
      <c r="BJ24" s="0" t="s">
        <v>2764</v>
      </c>
      <c r="BK24" s="0" t="n">
        <v>1</v>
      </c>
      <c r="BL24" s="0" t="s">
        <v>2778</v>
      </c>
      <c r="BM24" s="145" t="n">
        <v>43826.850462963</v>
      </c>
    </row>
    <row r="25" customFormat="false" ht="14.4" hidden="false" customHeight="false" outlineLevel="0" collapsed="false">
      <c r="A25" s="0" t="n">
        <v>1000</v>
      </c>
      <c r="B25" s="0" t="s">
        <v>1962</v>
      </c>
      <c r="C25" s="0" t="n">
        <v>102626</v>
      </c>
      <c r="D25" s="0" t="s">
        <v>2276</v>
      </c>
      <c r="E25" s="0" t="s">
        <v>1970</v>
      </c>
      <c r="F25" s="0" t="n">
        <v>1108</v>
      </c>
      <c r="H25" s="0" t="n">
        <v>2019</v>
      </c>
      <c r="I25" s="0" t="n">
        <v>3</v>
      </c>
      <c r="J25" s="145" t="n">
        <v>43619</v>
      </c>
      <c r="K25" s="145" t="n">
        <v>43619</v>
      </c>
      <c r="L25" s="105" t="n">
        <v>3132811.94</v>
      </c>
      <c r="M25" s="0" t="s">
        <v>149</v>
      </c>
      <c r="N25" s="105" t="n">
        <v>3132811.94</v>
      </c>
      <c r="O25" s="0" t="s">
        <v>149</v>
      </c>
      <c r="P25" s="0" t="n">
        <v>0</v>
      </c>
      <c r="Q25" s="105" t="n">
        <v>477886.56</v>
      </c>
      <c r="R25" s="105" t="n">
        <v>2654925.38</v>
      </c>
      <c r="S25" s="0" t="n">
        <v>0</v>
      </c>
      <c r="T25" s="0" t="n">
        <v>0</v>
      </c>
      <c r="U25" s="0" t="n">
        <v>318999</v>
      </c>
      <c r="V25" s="0" t="s">
        <v>143</v>
      </c>
      <c r="Z25" s="0" t="n">
        <v>102626</v>
      </c>
      <c r="AD25" s="0" t="n">
        <v>110000</v>
      </c>
      <c r="AE25" s="0" t="s">
        <v>1966</v>
      </c>
      <c r="AF25" s="0" t="n">
        <v>501040</v>
      </c>
      <c r="AG25" s="0" t="s">
        <v>2036</v>
      </c>
      <c r="AI25" s="0" t="n">
        <v>501040</v>
      </c>
      <c r="AJ25" s="0" t="s">
        <v>2036</v>
      </c>
      <c r="AK25" s="0" t="n">
        <v>0</v>
      </c>
      <c r="AL25" s="0" t="n">
        <v>1</v>
      </c>
      <c r="AM25" s="0" t="s">
        <v>161</v>
      </c>
      <c r="AP25" s="0" t="n">
        <v>100039983</v>
      </c>
      <c r="AQ25" s="145" t="n">
        <v>43645</v>
      </c>
      <c r="AR25" s="145" t="n">
        <v>43619</v>
      </c>
      <c r="AS25" s="146" t="n">
        <v>0.69349537037037</v>
      </c>
      <c r="AT25" s="0" t="n">
        <v>0</v>
      </c>
      <c r="AU25" s="0" t="n">
        <v>0</v>
      </c>
      <c r="AX25" s="0" t="n">
        <v>1</v>
      </c>
      <c r="AY25" s="105" t="n">
        <v>-3132811.94</v>
      </c>
      <c r="AZ25" s="105" t="n">
        <v>-3132811.94</v>
      </c>
      <c r="BA25" s="0" t="s">
        <v>2759</v>
      </c>
      <c r="BB25" s="0" t="s">
        <v>2760</v>
      </c>
      <c r="BC25" s="0" t="s">
        <v>2761</v>
      </c>
      <c r="BD25" s="0" t="s">
        <v>2762</v>
      </c>
      <c r="BE25" s="0" t="s">
        <v>2762</v>
      </c>
      <c r="BF25" s="0" t="n">
        <v>799949</v>
      </c>
      <c r="BG25" s="145" t="n">
        <v>43890.357037037</v>
      </c>
      <c r="BH25" s="0" t="s">
        <v>2763</v>
      </c>
      <c r="BI25" s="0" t="n">
        <v>187442</v>
      </c>
      <c r="BJ25" s="0" t="s">
        <v>2764</v>
      </c>
      <c r="BK25" s="0" t="n">
        <v>1</v>
      </c>
      <c r="BL25" s="0" t="s">
        <v>2778</v>
      </c>
      <c r="BM25" s="145" t="n">
        <v>43826.850462963</v>
      </c>
    </row>
    <row r="26" customFormat="false" ht="14.4" hidden="false" customHeight="false" outlineLevel="0" collapsed="false">
      <c r="A26" s="0" t="n">
        <v>1000</v>
      </c>
      <c r="B26" s="0" t="s">
        <v>1962</v>
      </c>
      <c r="C26" s="0" t="n">
        <v>102754</v>
      </c>
      <c r="D26" s="0" t="s">
        <v>2279</v>
      </c>
      <c r="E26" s="0" t="s">
        <v>1970</v>
      </c>
      <c r="F26" s="0" t="n">
        <v>1101</v>
      </c>
      <c r="H26" s="0" t="n">
        <v>2019</v>
      </c>
      <c r="I26" s="0" t="n">
        <v>3</v>
      </c>
      <c r="J26" s="145" t="n">
        <v>43623</v>
      </c>
      <c r="K26" s="145" t="n">
        <v>43623</v>
      </c>
      <c r="L26" s="105" t="n">
        <v>1431759.34</v>
      </c>
      <c r="M26" s="0" t="s">
        <v>149</v>
      </c>
      <c r="N26" s="105" t="n">
        <v>1431759.34</v>
      </c>
      <c r="O26" s="0" t="s">
        <v>149</v>
      </c>
      <c r="P26" s="0" t="n">
        <v>0</v>
      </c>
      <c r="Q26" s="105" t="n">
        <v>218403.96</v>
      </c>
      <c r="R26" s="105" t="n">
        <v>1213355.38</v>
      </c>
      <c r="S26" s="0" t="n">
        <v>0</v>
      </c>
      <c r="T26" s="0" t="n">
        <v>0</v>
      </c>
      <c r="U26" s="0" t="n">
        <v>318999</v>
      </c>
      <c r="V26" s="0" t="s">
        <v>143</v>
      </c>
      <c r="Z26" s="0" t="n">
        <v>102754</v>
      </c>
      <c r="AD26" s="0" t="n">
        <v>110000</v>
      </c>
      <c r="AE26" s="0" t="s">
        <v>1966</v>
      </c>
      <c r="AF26" s="0" t="n">
        <v>501040</v>
      </c>
      <c r="AG26" s="0" t="s">
        <v>2036</v>
      </c>
      <c r="AI26" s="0" t="n">
        <v>501040</v>
      </c>
      <c r="AJ26" s="0" t="s">
        <v>2036</v>
      </c>
      <c r="AK26" s="0" t="n">
        <v>0</v>
      </c>
      <c r="AL26" s="0" t="n">
        <v>1</v>
      </c>
      <c r="AM26" s="0" t="s">
        <v>161</v>
      </c>
      <c r="AP26" s="0" t="n">
        <v>100039983</v>
      </c>
      <c r="AQ26" s="145" t="n">
        <v>43645</v>
      </c>
      <c r="AR26" s="145" t="n">
        <v>43623</v>
      </c>
      <c r="AS26" s="146" t="n">
        <v>0.44369212962963</v>
      </c>
      <c r="AT26" s="0" t="n">
        <v>0</v>
      </c>
      <c r="AU26" s="0" t="n">
        <v>0</v>
      </c>
      <c r="AX26" s="0" t="n">
        <v>1</v>
      </c>
      <c r="AY26" s="105" t="n">
        <v>-1431759.34</v>
      </c>
      <c r="AZ26" s="105" t="n">
        <v>-1431759.34</v>
      </c>
      <c r="BA26" s="0" t="s">
        <v>2759</v>
      </c>
      <c r="BB26" s="0" t="s">
        <v>2760</v>
      </c>
      <c r="BC26" s="0" t="s">
        <v>2761</v>
      </c>
      <c r="BD26" s="0" t="s">
        <v>2762</v>
      </c>
      <c r="BE26" s="0" t="s">
        <v>2762</v>
      </c>
      <c r="BF26" s="0" t="n">
        <v>799949</v>
      </c>
      <c r="BG26" s="145" t="n">
        <v>43890.357037037</v>
      </c>
      <c r="BH26" s="0" t="s">
        <v>2763</v>
      </c>
      <c r="BI26" s="0" t="n">
        <v>187525</v>
      </c>
      <c r="BJ26" s="0" t="s">
        <v>2764</v>
      </c>
      <c r="BK26" s="0" t="n">
        <v>1</v>
      </c>
      <c r="BL26" s="0" t="s">
        <v>2778</v>
      </c>
      <c r="BM26" s="145" t="n">
        <v>43826.850462963</v>
      </c>
    </row>
    <row r="27" customFormat="false" ht="14.4" hidden="false" customHeight="false" outlineLevel="0" collapsed="false">
      <c r="A27" s="0" t="n">
        <v>1000</v>
      </c>
      <c r="B27" s="0" t="s">
        <v>1962</v>
      </c>
      <c r="C27" s="0" t="n">
        <v>101553</v>
      </c>
      <c r="D27" s="0" t="s">
        <v>2326</v>
      </c>
      <c r="E27" s="0" t="s">
        <v>1970</v>
      </c>
      <c r="F27" s="0" t="n">
        <v>1101</v>
      </c>
      <c r="H27" s="0" t="n">
        <v>2019</v>
      </c>
      <c r="I27" s="0" t="n">
        <v>2</v>
      </c>
      <c r="J27" s="145" t="n">
        <v>43598</v>
      </c>
      <c r="K27" s="145" t="n">
        <v>43598</v>
      </c>
      <c r="L27" s="105" t="n">
        <v>2558613.57</v>
      </c>
      <c r="M27" s="0" t="s">
        <v>149</v>
      </c>
      <c r="N27" s="105" t="n">
        <v>2558613.57</v>
      </c>
      <c r="O27" s="0" t="s">
        <v>149</v>
      </c>
      <c r="P27" s="0" t="n">
        <v>0</v>
      </c>
      <c r="Q27" s="105" t="n">
        <v>390297</v>
      </c>
      <c r="R27" s="105" t="n">
        <v>2168316.57</v>
      </c>
      <c r="S27" s="0" t="n">
        <v>0</v>
      </c>
      <c r="T27" s="0" t="n">
        <v>0</v>
      </c>
      <c r="U27" s="0" t="n">
        <v>318999</v>
      </c>
      <c r="V27" s="0" t="s">
        <v>143</v>
      </c>
      <c r="Z27" s="0" t="n">
        <v>101553</v>
      </c>
      <c r="AD27" s="0" t="n">
        <v>110000</v>
      </c>
      <c r="AE27" s="0" t="s">
        <v>1966</v>
      </c>
      <c r="AF27" s="0" t="n">
        <v>501040</v>
      </c>
      <c r="AG27" s="0" t="s">
        <v>2036</v>
      </c>
      <c r="AI27" s="0" t="n">
        <v>501040</v>
      </c>
      <c r="AJ27" s="0" t="s">
        <v>2036</v>
      </c>
      <c r="AK27" s="0" t="n">
        <v>0</v>
      </c>
      <c r="AL27" s="0" t="n">
        <v>1</v>
      </c>
      <c r="AM27" s="0" t="s">
        <v>161</v>
      </c>
      <c r="AP27" s="0" t="n">
        <v>100022980</v>
      </c>
      <c r="AQ27" s="145" t="n">
        <v>43616</v>
      </c>
      <c r="AR27" s="145" t="n">
        <v>43598</v>
      </c>
      <c r="AS27" s="146" t="n">
        <v>0.714467592592593</v>
      </c>
      <c r="AT27" s="0" t="n">
        <v>0</v>
      </c>
      <c r="AU27" s="0" t="n">
        <v>0</v>
      </c>
      <c r="AX27" s="0" t="n">
        <v>1</v>
      </c>
      <c r="AY27" s="105" t="n">
        <v>-2558613.57</v>
      </c>
      <c r="AZ27" s="105" t="n">
        <v>-2558613.57</v>
      </c>
      <c r="BA27" s="0" t="s">
        <v>2759</v>
      </c>
      <c r="BB27" s="0" t="s">
        <v>2760</v>
      </c>
      <c r="BC27" s="0" t="s">
        <v>2761</v>
      </c>
      <c r="BD27" s="0" t="s">
        <v>2762</v>
      </c>
      <c r="BE27" s="0" t="s">
        <v>2762</v>
      </c>
      <c r="BF27" s="0" t="n">
        <v>799949</v>
      </c>
      <c r="BG27" s="145" t="n">
        <v>43890.357037037</v>
      </c>
      <c r="BH27" s="0" t="s">
        <v>2763</v>
      </c>
      <c r="BI27" s="0" t="n">
        <v>187561</v>
      </c>
      <c r="BJ27" s="0" t="s">
        <v>2764</v>
      </c>
      <c r="BK27" s="0" t="n">
        <v>1</v>
      </c>
      <c r="BL27" s="0" t="s">
        <v>2778</v>
      </c>
      <c r="BM27" s="145" t="n">
        <v>43826.850462963</v>
      </c>
    </row>
    <row r="28" customFormat="false" ht="14.4" hidden="false" customHeight="false" outlineLevel="0" collapsed="false">
      <c r="A28" s="0" t="n">
        <v>1000</v>
      </c>
      <c r="B28" s="0" t="s">
        <v>1962</v>
      </c>
      <c r="C28" s="0" t="n">
        <v>102648</v>
      </c>
      <c r="D28" s="0" t="s">
        <v>2271</v>
      </c>
      <c r="E28" s="0" t="s">
        <v>1970</v>
      </c>
      <c r="F28" s="0" t="n">
        <v>1108</v>
      </c>
      <c r="H28" s="0" t="n">
        <v>2019</v>
      </c>
      <c r="I28" s="0" t="n">
        <v>3</v>
      </c>
      <c r="J28" s="145" t="n">
        <v>43620</v>
      </c>
      <c r="K28" s="145" t="n">
        <v>43620</v>
      </c>
      <c r="L28" s="105" t="n">
        <v>2342452.06</v>
      </c>
      <c r="M28" s="0" t="s">
        <v>149</v>
      </c>
      <c r="N28" s="105" t="n">
        <v>2342452.06</v>
      </c>
      <c r="O28" s="0" t="s">
        <v>149</v>
      </c>
      <c r="P28" s="0" t="n">
        <v>0</v>
      </c>
      <c r="Q28" s="105" t="n">
        <v>357323.2</v>
      </c>
      <c r="R28" s="105" t="n">
        <v>1985128.86</v>
      </c>
      <c r="S28" s="0" t="n">
        <v>0</v>
      </c>
      <c r="T28" s="0" t="n">
        <v>0</v>
      </c>
      <c r="U28" s="0" t="n">
        <v>318999</v>
      </c>
      <c r="V28" s="0" t="s">
        <v>143</v>
      </c>
      <c r="Z28" s="0" t="n">
        <v>102648</v>
      </c>
      <c r="AD28" s="0" t="n">
        <v>110000</v>
      </c>
      <c r="AE28" s="0" t="s">
        <v>1966</v>
      </c>
      <c r="AF28" s="0" t="n">
        <v>501040</v>
      </c>
      <c r="AG28" s="0" t="s">
        <v>2036</v>
      </c>
      <c r="AI28" s="0" t="n">
        <v>501040</v>
      </c>
      <c r="AJ28" s="0" t="s">
        <v>2036</v>
      </c>
      <c r="AK28" s="0" t="n">
        <v>0</v>
      </c>
      <c r="AL28" s="0" t="n">
        <v>1</v>
      </c>
      <c r="AM28" s="0" t="s">
        <v>161</v>
      </c>
      <c r="AP28" s="0" t="n">
        <v>100039983</v>
      </c>
      <c r="AQ28" s="145" t="n">
        <v>43645</v>
      </c>
      <c r="AR28" s="145" t="n">
        <v>43620</v>
      </c>
      <c r="AS28" s="146" t="n">
        <v>0.622615740740741</v>
      </c>
      <c r="AT28" s="0" t="n">
        <v>0</v>
      </c>
      <c r="AU28" s="0" t="n">
        <v>0</v>
      </c>
      <c r="AX28" s="0" t="n">
        <v>1</v>
      </c>
      <c r="AY28" s="105" t="n">
        <v>-2342452.06</v>
      </c>
      <c r="AZ28" s="105" t="n">
        <v>-2342452.06</v>
      </c>
      <c r="BA28" s="0" t="s">
        <v>2759</v>
      </c>
      <c r="BB28" s="0" t="s">
        <v>2760</v>
      </c>
      <c r="BC28" s="0" t="s">
        <v>2761</v>
      </c>
      <c r="BD28" s="0" t="s">
        <v>2762</v>
      </c>
      <c r="BE28" s="0" t="s">
        <v>2762</v>
      </c>
      <c r="BF28" s="0" t="n">
        <v>799949</v>
      </c>
      <c r="BG28" s="145" t="n">
        <v>43890.357037037</v>
      </c>
      <c r="BH28" s="0" t="s">
        <v>2763</v>
      </c>
      <c r="BI28" s="0" t="n">
        <v>187578</v>
      </c>
      <c r="BJ28" s="0" t="s">
        <v>2764</v>
      </c>
      <c r="BK28" s="0" t="n">
        <v>1</v>
      </c>
      <c r="BL28" s="0" t="s">
        <v>2778</v>
      </c>
      <c r="BM28" s="145" t="n">
        <v>43826.850462963</v>
      </c>
    </row>
    <row r="29" customFormat="false" ht="14.4" hidden="false" customHeight="false" outlineLevel="0" collapsed="false">
      <c r="L29" s="147" t="n">
        <f aca="false">SUM(L17:L28)</f>
        <v>18660314.88</v>
      </c>
    </row>
    <row r="30" customFormat="false" ht="14.4" hidden="false" customHeight="false" outlineLevel="0" collapsed="false">
      <c r="L30" s="147"/>
    </row>
    <row r="31" customFormat="false" ht="14.4" hidden="false" customHeight="false" outlineLevel="0" collapsed="false">
      <c r="A31" s="0" t="s">
        <v>92</v>
      </c>
      <c r="B31" s="0" t="s">
        <v>93</v>
      </c>
      <c r="C31" s="0" t="s">
        <v>94</v>
      </c>
      <c r="D31" s="0" t="s">
        <v>95</v>
      </c>
      <c r="E31" s="0" t="s">
        <v>96</v>
      </c>
      <c r="F31" s="0" t="s">
        <v>97</v>
      </c>
      <c r="G31" s="0" t="s">
        <v>2742</v>
      </c>
      <c r="H31" s="0" t="s">
        <v>98</v>
      </c>
      <c r="I31" s="0" t="s">
        <v>99</v>
      </c>
      <c r="J31" s="0" t="s">
        <v>1954</v>
      </c>
      <c r="K31" s="0" t="s">
        <v>101</v>
      </c>
      <c r="L31" s="0" t="s">
        <v>102</v>
      </c>
      <c r="M31" s="0" t="s">
        <v>104</v>
      </c>
      <c r="N31" s="0" t="s">
        <v>105</v>
      </c>
      <c r="O31" s="0" t="s">
        <v>106</v>
      </c>
      <c r="P31" s="0" t="s">
        <v>107</v>
      </c>
      <c r="Q31" s="0" t="s">
        <v>108</v>
      </c>
      <c r="R31" s="0" t="s">
        <v>109</v>
      </c>
      <c r="S31" s="0" t="s">
        <v>110</v>
      </c>
      <c r="T31" s="0" t="s">
        <v>111</v>
      </c>
      <c r="U31" s="0" t="s">
        <v>1955</v>
      </c>
      <c r="V31" s="0" t="s">
        <v>1956</v>
      </c>
      <c r="W31" s="0" t="s">
        <v>114</v>
      </c>
      <c r="X31" s="0" t="s">
        <v>2743</v>
      </c>
      <c r="Y31" s="0" t="s">
        <v>116</v>
      </c>
      <c r="Z31" s="0" t="s">
        <v>1959</v>
      </c>
      <c r="AA31" s="0" t="s">
        <v>118</v>
      </c>
      <c r="AB31" s="0" t="s">
        <v>119</v>
      </c>
      <c r="AC31" s="0" t="s">
        <v>120</v>
      </c>
      <c r="AD31" s="0" t="s">
        <v>121</v>
      </c>
      <c r="AE31" s="0" t="s">
        <v>122</v>
      </c>
      <c r="AF31" s="0" t="s">
        <v>123</v>
      </c>
      <c r="AG31" s="0" t="s">
        <v>124</v>
      </c>
      <c r="AH31" s="0" t="s">
        <v>125</v>
      </c>
      <c r="AI31" s="0" t="s">
        <v>126</v>
      </c>
      <c r="AJ31" s="0" t="s">
        <v>127</v>
      </c>
      <c r="AK31" s="0" t="s">
        <v>128</v>
      </c>
      <c r="AL31" s="0" t="s">
        <v>129</v>
      </c>
      <c r="AM31" s="0" t="s">
        <v>1960</v>
      </c>
      <c r="AN31" s="0" t="s">
        <v>1961</v>
      </c>
      <c r="AO31" s="0" t="s">
        <v>132</v>
      </c>
      <c r="AP31" s="0" t="s">
        <v>133</v>
      </c>
      <c r="AQ31" s="0" t="s">
        <v>134</v>
      </c>
      <c r="AR31" s="0" t="s">
        <v>135</v>
      </c>
      <c r="AS31" s="0" t="s">
        <v>136</v>
      </c>
      <c r="AT31" s="0" t="s">
        <v>137</v>
      </c>
      <c r="AU31" s="0" t="s">
        <v>138</v>
      </c>
      <c r="AV31" s="0" t="s">
        <v>139</v>
      </c>
      <c r="AW31" s="0" t="s">
        <v>140</v>
      </c>
      <c r="AX31" s="0" t="s">
        <v>141</v>
      </c>
      <c r="AY31" s="0" t="s">
        <v>2744</v>
      </c>
      <c r="AZ31" s="0" t="s">
        <v>2745</v>
      </c>
      <c r="BA31" s="0" t="s">
        <v>2746</v>
      </c>
      <c r="BB31" s="0" t="s">
        <v>2747</v>
      </c>
      <c r="BC31" s="0" t="s">
        <v>2748</v>
      </c>
      <c r="BD31" s="0" t="s">
        <v>2749</v>
      </c>
      <c r="BE31" s="0" t="s">
        <v>2750</v>
      </c>
      <c r="BF31" s="0" t="s">
        <v>2751</v>
      </c>
      <c r="BG31" s="0" t="s">
        <v>2752</v>
      </c>
      <c r="BH31" s="0" t="s">
        <v>2753</v>
      </c>
      <c r="BI31" s="0" t="s">
        <v>2754</v>
      </c>
      <c r="BJ31" s="0" t="s">
        <v>2755</v>
      </c>
      <c r="BK31" s="0" t="s">
        <v>2756</v>
      </c>
      <c r="BL31" s="0" t="s">
        <v>2757</v>
      </c>
      <c r="BM31" s="0" t="s">
        <v>2758</v>
      </c>
    </row>
    <row r="32" customFormat="false" ht="14.4" hidden="false" customHeight="false" outlineLevel="0" collapsed="false">
      <c r="A32" s="0" t="n">
        <v>1000</v>
      </c>
      <c r="B32" s="0" t="s">
        <v>143</v>
      </c>
      <c r="C32" s="0" t="n">
        <v>51309694</v>
      </c>
      <c r="D32" s="0" t="s">
        <v>1608</v>
      </c>
      <c r="E32" s="0" t="s">
        <v>725</v>
      </c>
      <c r="F32" s="0" t="n">
        <v>4500</v>
      </c>
      <c r="G32" s="0" t="s">
        <v>2779</v>
      </c>
      <c r="H32" s="0" t="n">
        <v>2020</v>
      </c>
      <c r="I32" s="0" t="n">
        <v>5</v>
      </c>
      <c r="J32" s="145" t="n">
        <v>43619</v>
      </c>
      <c r="K32" s="145" t="n">
        <v>43697</v>
      </c>
      <c r="L32" s="105" t="n">
        <v>-3211488.92</v>
      </c>
      <c r="M32" s="0" t="s">
        <v>149</v>
      </c>
      <c r="N32" s="105" t="n">
        <v>-3211488.92</v>
      </c>
      <c r="O32" s="0" t="s">
        <v>149</v>
      </c>
      <c r="P32" s="105" t="n">
        <v>-3211488.92</v>
      </c>
      <c r="Q32" s="0" t="n">
        <v>0</v>
      </c>
      <c r="R32" s="105" t="n">
        <v>-3211488.92</v>
      </c>
      <c r="S32" s="0" t="n">
        <v>0</v>
      </c>
      <c r="T32" s="0" t="n">
        <v>0</v>
      </c>
      <c r="U32" s="0" t="s">
        <v>192</v>
      </c>
      <c r="V32" s="0" t="s">
        <v>151</v>
      </c>
      <c r="X32" s="0" t="s">
        <v>1609</v>
      </c>
      <c r="Y32" s="0" t="n">
        <v>2100559131</v>
      </c>
      <c r="Z32" s="0" t="n">
        <v>51309694</v>
      </c>
      <c r="AB32" s="0" t="n">
        <v>2100559131</v>
      </c>
      <c r="AD32" s="0" t="n">
        <v>2408402</v>
      </c>
      <c r="AE32" s="0" t="s">
        <v>156</v>
      </c>
      <c r="AF32" s="0" t="n">
        <v>2408409</v>
      </c>
      <c r="AG32" s="0" t="s">
        <v>738</v>
      </c>
      <c r="AH32" s="0" t="n">
        <v>1200006</v>
      </c>
      <c r="AI32" s="0" t="n">
        <v>1200006</v>
      </c>
      <c r="AJ32" s="0" t="s">
        <v>2780</v>
      </c>
      <c r="AK32" s="0" t="n">
        <v>0</v>
      </c>
      <c r="AL32" s="0" t="n">
        <v>31</v>
      </c>
      <c r="AM32" s="0" t="s">
        <v>225</v>
      </c>
      <c r="AP32" s="0" t="n">
        <v>45124517</v>
      </c>
      <c r="AQ32" s="145" t="n">
        <v>43705</v>
      </c>
      <c r="AR32" s="145" t="n">
        <v>43697</v>
      </c>
      <c r="AS32" s="146" t="n">
        <v>0.46744212962963</v>
      </c>
      <c r="AT32" s="0" t="n">
        <v>0</v>
      </c>
      <c r="AU32" s="105" t="n">
        <v>-3211488.92</v>
      </c>
      <c r="AX32" s="0" t="n">
        <v>1</v>
      </c>
      <c r="AY32" s="105" t="n">
        <v>3211488.92</v>
      </c>
      <c r="AZ32" s="105" t="n">
        <v>3211488.92</v>
      </c>
      <c r="BA32" s="0" t="s">
        <v>2767</v>
      </c>
      <c r="BB32" s="0" t="s">
        <v>2768</v>
      </c>
      <c r="BC32" s="0" t="s">
        <v>2761</v>
      </c>
      <c r="BD32" s="0" t="s">
        <v>2762</v>
      </c>
      <c r="BE32" s="0" t="s">
        <v>2762</v>
      </c>
      <c r="BF32" s="0" t="n">
        <v>799949</v>
      </c>
      <c r="BG32" s="145" t="n">
        <v>43890.357037037</v>
      </c>
      <c r="BH32" s="0" t="s">
        <v>2769</v>
      </c>
      <c r="BI32" s="0" t="n">
        <v>341537</v>
      </c>
      <c r="BJ32" s="0" t="s">
        <v>2770</v>
      </c>
      <c r="BK32" s="0" t="n">
        <v>1</v>
      </c>
      <c r="BL32" s="0" t="s">
        <v>2781</v>
      </c>
      <c r="BM32" s="145" t="n">
        <v>43858.6422569445</v>
      </c>
    </row>
    <row r="33" customFormat="false" ht="14.4" hidden="false" customHeight="false" outlineLevel="0" collapsed="false">
      <c r="A33" s="0" t="n">
        <v>1000</v>
      </c>
      <c r="B33" s="0" t="s">
        <v>143</v>
      </c>
      <c r="C33" s="0" t="n">
        <v>51322504</v>
      </c>
      <c r="D33" s="0" t="s">
        <v>1791</v>
      </c>
      <c r="E33" s="0" t="s">
        <v>725</v>
      </c>
      <c r="F33" s="0" t="n">
        <v>7000</v>
      </c>
      <c r="G33" s="0" t="s">
        <v>2782</v>
      </c>
      <c r="H33" s="0" t="n">
        <v>2020</v>
      </c>
      <c r="I33" s="0" t="n">
        <v>5</v>
      </c>
      <c r="J33" s="145" t="n">
        <v>43598</v>
      </c>
      <c r="K33" s="145" t="n">
        <v>43703</v>
      </c>
      <c r="L33" s="105" t="n">
        <v>-120798.82</v>
      </c>
      <c r="M33" s="0" t="s">
        <v>149</v>
      </c>
      <c r="N33" s="105" t="n">
        <v>-120798.82</v>
      </c>
      <c r="O33" s="0" t="s">
        <v>149</v>
      </c>
      <c r="P33" s="105" t="n">
        <v>-120798.82</v>
      </c>
      <c r="Q33" s="0" t="n">
        <v>0</v>
      </c>
      <c r="R33" s="105" t="n">
        <v>-120798.82</v>
      </c>
      <c r="S33" s="0" t="n">
        <v>0</v>
      </c>
      <c r="T33" s="0" t="n">
        <v>0</v>
      </c>
      <c r="U33" s="0" t="s">
        <v>192</v>
      </c>
      <c r="V33" s="0" t="s">
        <v>151</v>
      </c>
      <c r="X33" s="0" t="s">
        <v>1212</v>
      </c>
      <c r="Y33" s="0" t="n">
        <v>2300050954</v>
      </c>
      <c r="Z33" s="0" t="n">
        <v>51322504</v>
      </c>
      <c r="AB33" s="0" t="n">
        <v>2300050954</v>
      </c>
      <c r="AD33" s="0" t="n">
        <v>2408402</v>
      </c>
      <c r="AE33" s="0" t="s">
        <v>156</v>
      </c>
      <c r="AF33" s="0" t="n">
        <v>2408425</v>
      </c>
      <c r="AG33" s="0" t="s">
        <v>2783</v>
      </c>
      <c r="AH33" s="0" t="n">
        <v>1013001</v>
      </c>
      <c r="AI33" s="0" t="n">
        <v>1013001</v>
      </c>
      <c r="AJ33" s="0" t="s">
        <v>2784</v>
      </c>
      <c r="AK33" s="0" t="n">
        <v>0</v>
      </c>
      <c r="AL33" s="0" t="n">
        <v>31</v>
      </c>
      <c r="AM33" s="0" t="s">
        <v>225</v>
      </c>
      <c r="AP33" s="0" t="n">
        <v>45167654</v>
      </c>
      <c r="AQ33" s="145" t="n">
        <v>43768</v>
      </c>
      <c r="AR33" s="145" t="n">
        <v>43703</v>
      </c>
      <c r="AS33" s="146" t="n">
        <v>0.532673611111111</v>
      </c>
      <c r="AT33" s="0" t="n">
        <v>0</v>
      </c>
      <c r="AU33" s="105" t="n">
        <v>-120798.82</v>
      </c>
      <c r="AX33" s="0" t="n">
        <v>9</v>
      </c>
      <c r="AY33" s="105" t="n">
        <v>120798.82</v>
      </c>
      <c r="AZ33" s="105" t="n">
        <v>120798.82</v>
      </c>
      <c r="BA33" s="0" t="s">
        <v>2767</v>
      </c>
      <c r="BB33" s="0" t="s">
        <v>2768</v>
      </c>
      <c r="BC33" s="0" t="s">
        <v>2761</v>
      </c>
      <c r="BD33" s="0" t="s">
        <v>2762</v>
      </c>
      <c r="BE33" s="0" t="s">
        <v>2762</v>
      </c>
      <c r="BF33" s="0" t="n">
        <v>799949</v>
      </c>
      <c r="BG33" s="145" t="n">
        <v>43890.357037037</v>
      </c>
      <c r="BH33" s="0" t="s">
        <v>2769</v>
      </c>
      <c r="BI33" s="0" t="n">
        <v>341552</v>
      </c>
      <c r="BJ33" s="0" t="s">
        <v>2770</v>
      </c>
      <c r="BK33" s="0" t="n">
        <v>1</v>
      </c>
      <c r="BL33" s="0" t="s">
        <v>2781</v>
      </c>
      <c r="BM33" s="145" t="n">
        <v>43858.6422569445</v>
      </c>
    </row>
    <row r="34" customFormat="false" ht="14.4" hidden="false" customHeight="false" outlineLevel="0" collapsed="false">
      <c r="A34" s="0" t="n">
        <v>1000</v>
      </c>
      <c r="B34" s="0" t="s">
        <v>143</v>
      </c>
      <c r="C34" s="0" t="n">
        <v>51322559</v>
      </c>
      <c r="D34" s="0" t="s">
        <v>1699</v>
      </c>
      <c r="E34" s="0" t="s">
        <v>725</v>
      </c>
      <c r="F34" s="0" t="n">
        <v>7000</v>
      </c>
      <c r="G34" s="0" t="s">
        <v>2782</v>
      </c>
      <c r="H34" s="0" t="n">
        <v>2020</v>
      </c>
      <c r="I34" s="0" t="n">
        <v>5</v>
      </c>
      <c r="J34" s="145" t="n">
        <v>43619</v>
      </c>
      <c r="K34" s="145" t="n">
        <v>43703</v>
      </c>
      <c r="L34" s="105" t="n">
        <v>-155422.69</v>
      </c>
      <c r="M34" s="0" t="s">
        <v>149</v>
      </c>
      <c r="N34" s="105" t="n">
        <v>-155422.69</v>
      </c>
      <c r="O34" s="0" t="s">
        <v>149</v>
      </c>
      <c r="P34" s="105" t="n">
        <v>-155422.69</v>
      </c>
      <c r="Q34" s="0" t="n">
        <v>0</v>
      </c>
      <c r="R34" s="105" t="n">
        <v>-155422.69</v>
      </c>
      <c r="S34" s="0" t="n">
        <v>0</v>
      </c>
      <c r="T34" s="0" t="n">
        <v>0</v>
      </c>
      <c r="U34" s="0" t="s">
        <v>192</v>
      </c>
      <c r="V34" s="0" t="s">
        <v>151</v>
      </c>
      <c r="X34" s="0" t="s">
        <v>1212</v>
      </c>
      <c r="Y34" s="0" t="n">
        <v>2300050954</v>
      </c>
      <c r="Z34" s="0" t="n">
        <v>51322559</v>
      </c>
      <c r="AB34" s="0" t="n">
        <v>2300050954</v>
      </c>
      <c r="AD34" s="0" t="n">
        <v>2408402</v>
      </c>
      <c r="AE34" s="0" t="s">
        <v>156</v>
      </c>
      <c r="AF34" s="0" t="n">
        <v>2408425</v>
      </c>
      <c r="AG34" s="0" t="s">
        <v>2783</v>
      </c>
      <c r="AH34" s="0" t="n">
        <v>1013001</v>
      </c>
      <c r="AI34" s="0" t="n">
        <v>1013001</v>
      </c>
      <c r="AJ34" s="0" t="s">
        <v>2784</v>
      </c>
      <c r="AK34" s="0" t="n">
        <v>0</v>
      </c>
      <c r="AL34" s="0" t="n">
        <v>31</v>
      </c>
      <c r="AM34" s="0" t="s">
        <v>225</v>
      </c>
      <c r="AP34" s="0" t="n">
        <v>45167654</v>
      </c>
      <c r="AQ34" s="145" t="n">
        <v>43768</v>
      </c>
      <c r="AR34" s="145" t="n">
        <v>43703</v>
      </c>
      <c r="AS34" s="146" t="n">
        <v>0.540219907407407</v>
      </c>
      <c r="AT34" s="0" t="n">
        <v>0</v>
      </c>
      <c r="AU34" s="105" t="n">
        <v>-155422.69</v>
      </c>
      <c r="AX34" s="0" t="n">
        <v>10</v>
      </c>
      <c r="AY34" s="105" t="n">
        <v>155422.69</v>
      </c>
      <c r="AZ34" s="105" t="n">
        <v>155422.69</v>
      </c>
      <c r="BA34" s="0" t="s">
        <v>2767</v>
      </c>
      <c r="BB34" s="0" t="s">
        <v>2768</v>
      </c>
      <c r="BC34" s="0" t="s">
        <v>2761</v>
      </c>
      <c r="BD34" s="0" t="s">
        <v>2762</v>
      </c>
      <c r="BE34" s="0" t="s">
        <v>2762</v>
      </c>
      <c r="BF34" s="0" t="n">
        <v>799949</v>
      </c>
      <c r="BG34" s="145" t="n">
        <v>43890.357037037</v>
      </c>
      <c r="BH34" s="0" t="s">
        <v>2769</v>
      </c>
      <c r="BI34" s="0" t="n">
        <v>341556</v>
      </c>
      <c r="BJ34" s="0" t="s">
        <v>2770</v>
      </c>
      <c r="BK34" s="0" t="n">
        <v>1</v>
      </c>
      <c r="BL34" s="0" t="s">
        <v>2781</v>
      </c>
      <c r="BM34" s="145" t="n">
        <v>43858.6422569445</v>
      </c>
    </row>
    <row r="35" customFormat="false" ht="14.4" hidden="false" customHeight="false" outlineLevel="0" collapsed="false">
      <c r="A35" s="0" t="n">
        <v>1000</v>
      </c>
      <c r="B35" s="0" t="s">
        <v>143</v>
      </c>
      <c r="C35" s="0" t="n">
        <v>51322559</v>
      </c>
      <c r="D35" s="0" t="s">
        <v>1699</v>
      </c>
      <c r="E35" s="0" t="s">
        <v>725</v>
      </c>
      <c r="F35" s="0" t="n">
        <v>7000</v>
      </c>
      <c r="G35" s="0" t="s">
        <v>2782</v>
      </c>
      <c r="H35" s="0" t="n">
        <v>2020</v>
      </c>
      <c r="I35" s="0" t="n">
        <v>5</v>
      </c>
      <c r="J35" s="145" t="n">
        <v>43619</v>
      </c>
      <c r="K35" s="145" t="n">
        <v>43703</v>
      </c>
      <c r="L35" s="105" t="n">
        <v>-155422.69</v>
      </c>
      <c r="M35" s="0" t="s">
        <v>149</v>
      </c>
      <c r="N35" s="105" t="n">
        <v>-155422.69</v>
      </c>
      <c r="O35" s="0" t="s">
        <v>149</v>
      </c>
      <c r="P35" s="105" t="n">
        <v>-155422.69</v>
      </c>
      <c r="Q35" s="0" t="n">
        <v>0</v>
      </c>
      <c r="R35" s="105" t="n">
        <v>-155422.69</v>
      </c>
      <c r="S35" s="0" t="n">
        <v>0</v>
      </c>
      <c r="T35" s="0" t="n">
        <v>0</v>
      </c>
      <c r="U35" s="0" t="s">
        <v>192</v>
      </c>
      <c r="V35" s="0" t="s">
        <v>151</v>
      </c>
      <c r="X35" s="0" t="s">
        <v>1212</v>
      </c>
      <c r="Y35" s="0" t="n">
        <v>2300050954</v>
      </c>
      <c r="Z35" s="0" t="n">
        <v>51322559</v>
      </c>
      <c r="AB35" s="0" t="n">
        <v>2300050954</v>
      </c>
      <c r="AD35" s="0" t="n">
        <v>2408402</v>
      </c>
      <c r="AE35" s="0" t="s">
        <v>156</v>
      </c>
      <c r="AF35" s="0" t="n">
        <v>2408425</v>
      </c>
      <c r="AG35" s="0" t="s">
        <v>2783</v>
      </c>
      <c r="AH35" s="0" t="n">
        <v>1013001</v>
      </c>
      <c r="AI35" s="0" t="n">
        <v>1013001</v>
      </c>
      <c r="AJ35" s="0" t="s">
        <v>2784</v>
      </c>
      <c r="AK35" s="0" t="n">
        <v>0</v>
      </c>
      <c r="AL35" s="0" t="n">
        <v>31</v>
      </c>
      <c r="AM35" s="0" t="s">
        <v>225</v>
      </c>
      <c r="AP35" s="0" t="n">
        <v>45167654</v>
      </c>
      <c r="AQ35" s="145" t="n">
        <v>43768</v>
      </c>
      <c r="AR35" s="145" t="n">
        <v>43703</v>
      </c>
      <c r="AS35" s="146" t="n">
        <v>0.540219907407407</v>
      </c>
      <c r="AT35" s="0" t="n">
        <v>0</v>
      </c>
      <c r="AU35" s="105" t="n">
        <v>-155422.69</v>
      </c>
      <c r="AX35" s="0" t="n">
        <v>11</v>
      </c>
      <c r="AY35" s="105" t="n">
        <v>155422.69</v>
      </c>
      <c r="AZ35" s="105" t="n">
        <v>155422.69</v>
      </c>
      <c r="BA35" s="0" t="s">
        <v>2767</v>
      </c>
      <c r="BB35" s="0" t="s">
        <v>2768</v>
      </c>
      <c r="BC35" s="0" t="s">
        <v>2761</v>
      </c>
      <c r="BD35" s="0" t="s">
        <v>2762</v>
      </c>
      <c r="BE35" s="0" t="s">
        <v>2762</v>
      </c>
      <c r="BF35" s="0" t="n">
        <v>799949</v>
      </c>
      <c r="BG35" s="145" t="n">
        <v>43890.357037037</v>
      </c>
      <c r="BH35" s="0" t="s">
        <v>2769</v>
      </c>
      <c r="BI35" s="0" t="n">
        <v>341560</v>
      </c>
      <c r="BJ35" s="0" t="s">
        <v>2770</v>
      </c>
      <c r="BK35" s="0" t="n">
        <v>1</v>
      </c>
      <c r="BL35" s="0" t="s">
        <v>2781</v>
      </c>
      <c r="BM35" s="145" t="n">
        <v>43858.6422569445</v>
      </c>
    </row>
    <row r="36" customFormat="false" ht="14.4" hidden="false" customHeight="false" outlineLevel="0" collapsed="false">
      <c r="A36" s="0" t="n">
        <v>1000</v>
      </c>
      <c r="B36" s="0" t="s">
        <v>143</v>
      </c>
      <c r="C36" s="0" t="n">
        <v>51322687</v>
      </c>
      <c r="D36" s="0" t="s">
        <v>1620</v>
      </c>
      <c r="E36" s="0" t="s">
        <v>725</v>
      </c>
      <c r="F36" s="0" t="n">
        <v>7000</v>
      </c>
      <c r="G36" s="0" t="s">
        <v>2782</v>
      </c>
      <c r="H36" s="0" t="n">
        <v>2020</v>
      </c>
      <c r="I36" s="0" t="n">
        <v>5</v>
      </c>
      <c r="J36" s="145" t="n">
        <v>43623</v>
      </c>
      <c r="K36" s="145" t="n">
        <v>43703</v>
      </c>
      <c r="L36" s="105" t="n">
        <v>-1255692.22</v>
      </c>
      <c r="M36" s="0" t="s">
        <v>149</v>
      </c>
      <c r="N36" s="105" t="n">
        <v>-1255692.22</v>
      </c>
      <c r="O36" s="0" t="s">
        <v>149</v>
      </c>
      <c r="P36" s="105" t="n">
        <v>-1255692.22</v>
      </c>
      <c r="Q36" s="0" t="n">
        <v>0</v>
      </c>
      <c r="R36" s="105" t="n">
        <v>-1255692.22</v>
      </c>
      <c r="S36" s="0" t="n">
        <v>0</v>
      </c>
      <c r="T36" s="0" t="n">
        <v>0</v>
      </c>
      <c r="U36" s="0" t="s">
        <v>192</v>
      </c>
      <c r="V36" s="0" t="s">
        <v>151</v>
      </c>
      <c r="X36" s="0" t="s">
        <v>1212</v>
      </c>
      <c r="Y36" s="0" t="n">
        <v>2300050954</v>
      </c>
      <c r="Z36" s="0" t="n">
        <v>51322687</v>
      </c>
      <c r="AB36" s="0" t="n">
        <v>2300050954</v>
      </c>
      <c r="AD36" s="0" t="n">
        <v>2408402</v>
      </c>
      <c r="AE36" s="0" t="s">
        <v>156</v>
      </c>
      <c r="AF36" s="0" t="n">
        <v>2408425</v>
      </c>
      <c r="AG36" s="0" t="s">
        <v>2783</v>
      </c>
      <c r="AH36" s="0" t="n">
        <v>1013001</v>
      </c>
      <c r="AI36" s="0" t="n">
        <v>1013001</v>
      </c>
      <c r="AJ36" s="0" t="s">
        <v>2784</v>
      </c>
      <c r="AK36" s="0" t="n">
        <v>0</v>
      </c>
      <c r="AL36" s="0" t="n">
        <v>31</v>
      </c>
      <c r="AM36" s="0" t="s">
        <v>225</v>
      </c>
      <c r="AP36" s="0" t="n">
        <v>45122600</v>
      </c>
      <c r="AQ36" s="145" t="n">
        <v>43704</v>
      </c>
      <c r="AR36" s="145" t="n">
        <v>43703</v>
      </c>
      <c r="AS36" s="146" t="n">
        <v>0.576655092592593</v>
      </c>
      <c r="AT36" s="0" t="n">
        <v>0</v>
      </c>
      <c r="AU36" s="105" t="n">
        <v>-1255692.22</v>
      </c>
      <c r="AX36" s="0" t="n">
        <v>8</v>
      </c>
      <c r="AY36" s="105" t="n">
        <v>1255692.22</v>
      </c>
      <c r="AZ36" s="105" t="n">
        <v>1255692.22</v>
      </c>
      <c r="BA36" s="0" t="s">
        <v>2767</v>
      </c>
      <c r="BB36" s="0" t="s">
        <v>2768</v>
      </c>
      <c r="BC36" s="0" t="s">
        <v>2761</v>
      </c>
      <c r="BD36" s="0" t="s">
        <v>2762</v>
      </c>
      <c r="BE36" s="0" t="s">
        <v>2762</v>
      </c>
      <c r="BF36" s="0" t="n">
        <v>799949</v>
      </c>
      <c r="BG36" s="145" t="n">
        <v>43890.357037037</v>
      </c>
      <c r="BH36" s="0" t="s">
        <v>2769</v>
      </c>
      <c r="BI36" s="0" t="n">
        <v>341564</v>
      </c>
      <c r="BJ36" s="0" t="s">
        <v>2770</v>
      </c>
      <c r="BK36" s="0" t="n">
        <v>1</v>
      </c>
      <c r="BL36" s="0" t="s">
        <v>2781</v>
      </c>
      <c r="BM36" s="145" t="n">
        <v>43858.6422569445</v>
      </c>
    </row>
    <row r="37" customFormat="false" ht="14.4" hidden="false" customHeight="false" outlineLevel="0" collapsed="false">
      <c r="A37" s="0" t="n">
        <v>1000</v>
      </c>
      <c r="B37" s="0" t="s">
        <v>143</v>
      </c>
      <c r="C37" s="0" t="n">
        <v>51322731</v>
      </c>
      <c r="D37" s="0" t="s">
        <v>1571</v>
      </c>
      <c r="E37" s="0" t="s">
        <v>725</v>
      </c>
      <c r="F37" s="0" t="n">
        <v>7000</v>
      </c>
      <c r="G37" s="0" t="s">
        <v>2782</v>
      </c>
      <c r="H37" s="0" t="n">
        <v>2020</v>
      </c>
      <c r="I37" s="0" t="n">
        <v>5</v>
      </c>
      <c r="J37" s="145" t="n">
        <v>43635</v>
      </c>
      <c r="K37" s="145" t="n">
        <v>43703</v>
      </c>
      <c r="L37" s="105" t="n">
        <v>-698852.51</v>
      </c>
      <c r="M37" s="0" t="s">
        <v>149</v>
      </c>
      <c r="N37" s="105" t="n">
        <v>-698852.51</v>
      </c>
      <c r="O37" s="0" t="s">
        <v>149</v>
      </c>
      <c r="P37" s="105" t="n">
        <v>-698852.51</v>
      </c>
      <c r="Q37" s="0" t="n">
        <v>0</v>
      </c>
      <c r="R37" s="105" t="n">
        <v>-698852.51</v>
      </c>
      <c r="S37" s="0" t="n">
        <v>0</v>
      </c>
      <c r="T37" s="0" t="n">
        <v>0</v>
      </c>
      <c r="U37" s="0" t="s">
        <v>192</v>
      </c>
      <c r="V37" s="0" t="s">
        <v>151</v>
      </c>
      <c r="X37" s="0" t="s">
        <v>1212</v>
      </c>
      <c r="Y37" s="0" t="n">
        <v>2300050954</v>
      </c>
      <c r="Z37" s="0" t="n">
        <v>51322731</v>
      </c>
      <c r="AB37" s="0" t="n">
        <v>2300050954</v>
      </c>
      <c r="AD37" s="0" t="n">
        <v>2408402</v>
      </c>
      <c r="AE37" s="0" t="s">
        <v>156</v>
      </c>
      <c r="AF37" s="0" t="n">
        <v>2408425</v>
      </c>
      <c r="AG37" s="0" t="s">
        <v>2783</v>
      </c>
      <c r="AH37" s="0" t="n">
        <v>1013001</v>
      </c>
      <c r="AI37" s="0" t="n">
        <v>1013001</v>
      </c>
      <c r="AJ37" s="0" t="s">
        <v>2784</v>
      </c>
      <c r="AK37" s="0" t="n">
        <v>0</v>
      </c>
      <c r="AL37" s="0" t="n">
        <v>31</v>
      </c>
      <c r="AM37" s="0" t="s">
        <v>225</v>
      </c>
      <c r="AP37" s="0" t="n">
        <v>45122600</v>
      </c>
      <c r="AQ37" s="145" t="n">
        <v>43704</v>
      </c>
      <c r="AR37" s="145" t="n">
        <v>43703</v>
      </c>
      <c r="AS37" s="146" t="n">
        <v>0.593368055555556</v>
      </c>
      <c r="AT37" s="0" t="n">
        <v>0</v>
      </c>
      <c r="AU37" s="105" t="n">
        <v>-698852.51</v>
      </c>
      <c r="AX37" s="0" t="n">
        <v>8</v>
      </c>
      <c r="AY37" s="105" t="n">
        <v>698852.51</v>
      </c>
      <c r="AZ37" s="105" t="n">
        <v>698852.51</v>
      </c>
      <c r="BA37" s="0" t="s">
        <v>2767</v>
      </c>
      <c r="BB37" s="0" t="s">
        <v>2768</v>
      </c>
      <c r="BC37" s="0" t="s">
        <v>2761</v>
      </c>
      <c r="BD37" s="0" t="s">
        <v>2762</v>
      </c>
      <c r="BE37" s="0" t="s">
        <v>2762</v>
      </c>
      <c r="BF37" s="0" t="n">
        <v>799949</v>
      </c>
      <c r="BG37" s="145" t="n">
        <v>43890.357037037</v>
      </c>
      <c r="BH37" s="0" t="s">
        <v>2769</v>
      </c>
      <c r="BI37" s="0" t="n">
        <v>341567</v>
      </c>
      <c r="BJ37" s="0" t="s">
        <v>2770</v>
      </c>
      <c r="BK37" s="0" t="n">
        <v>1</v>
      </c>
      <c r="BL37" s="0" t="s">
        <v>2781</v>
      </c>
      <c r="BM37" s="145" t="n">
        <v>43858.6422569445</v>
      </c>
    </row>
    <row r="38" customFormat="false" ht="14.4" hidden="false" customHeight="false" outlineLevel="0" collapsed="false">
      <c r="A38" s="0" t="n">
        <v>1000</v>
      </c>
      <c r="B38" s="0" t="s">
        <v>143</v>
      </c>
      <c r="C38" s="0" t="n">
        <v>51322731</v>
      </c>
      <c r="D38" s="0" t="s">
        <v>1571</v>
      </c>
      <c r="E38" s="0" t="s">
        <v>725</v>
      </c>
      <c r="F38" s="0" t="n">
        <v>7000</v>
      </c>
      <c r="G38" s="0" t="s">
        <v>2782</v>
      </c>
      <c r="H38" s="0" t="n">
        <v>2020</v>
      </c>
      <c r="I38" s="0" t="n">
        <v>5</v>
      </c>
      <c r="J38" s="145" t="n">
        <v>43635</v>
      </c>
      <c r="K38" s="145" t="n">
        <v>43703</v>
      </c>
      <c r="L38" s="105" t="n">
        <v>-41108.97</v>
      </c>
      <c r="M38" s="0" t="s">
        <v>149</v>
      </c>
      <c r="N38" s="105" t="n">
        <v>-41108.97</v>
      </c>
      <c r="O38" s="0" t="s">
        <v>149</v>
      </c>
      <c r="P38" s="105" t="n">
        <v>-41108.97</v>
      </c>
      <c r="Q38" s="0" t="n">
        <v>0</v>
      </c>
      <c r="R38" s="105" t="n">
        <v>-41108.97</v>
      </c>
      <c r="S38" s="0" t="n">
        <v>0</v>
      </c>
      <c r="T38" s="0" t="n">
        <v>0</v>
      </c>
      <c r="U38" s="0" t="s">
        <v>192</v>
      </c>
      <c r="V38" s="0" t="s">
        <v>151</v>
      </c>
      <c r="X38" s="0" t="s">
        <v>1212</v>
      </c>
      <c r="Y38" s="0" t="n">
        <v>2300050954</v>
      </c>
      <c r="Z38" s="0" t="n">
        <v>51322731</v>
      </c>
      <c r="AB38" s="0" t="n">
        <v>2300050954</v>
      </c>
      <c r="AD38" s="0" t="n">
        <v>2408402</v>
      </c>
      <c r="AE38" s="0" t="s">
        <v>156</v>
      </c>
      <c r="AF38" s="0" t="n">
        <v>2408425</v>
      </c>
      <c r="AG38" s="0" t="s">
        <v>2783</v>
      </c>
      <c r="AH38" s="0" t="n">
        <v>1013001</v>
      </c>
      <c r="AI38" s="0" t="n">
        <v>1013001</v>
      </c>
      <c r="AJ38" s="0" t="s">
        <v>2784</v>
      </c>
      <c r="AK38" s="0" t="n">
        <v>0</v>
      </c>
      <c r="AL38" s="0" t="n">
        <v>31</v>
      </c>
      <c r="AM38" s="0" t="s">
        <v>225</v>
      </c>
      <c r="AP38" s="0" t="n">
        <v>45167654</v>
      </c>
      <c r="AQ38" s="145" t="n">
        <v>43768</v>
      </c>
      <c r="AR38" s="145" t="n">
        <v>43703</v>
      </c>
      <c r="AS38" s="146" t="n">
        <v>0.593368055555556</v>
      </c>
      <c r="AT38" s="0" t="n">
        <v>0</v>
      </c>
      <c r="AU38" s="105" t="n">
        <v>-41108.97</v>
      </c>
      <c r="AX38" s="0" t="n">
        <v>9</v>
      </c>
      <c r="AY38" s="105" t="n">
        <v>41108.97</v>
      </c>
      <c r="AZ38" s="105" t="n">
        <v>41108.97</v>
      </c>
      <c r="BA38" s="0" t="s">
        <v>2767</v>
      </c>
      <c r="BB38" s="0" t="s">
        <v>2768</v>
      </c>
      <c r="BC38" s="0" t="s">
        <v>2761</v>
      </c>
      <c r="BD38" s="0" t="s">
        <v>2762</v>
      </c>
      <c r="BE38" s="0" t="s">
        <v>2762</v>
      </c>
      <c r="BF38" s="0" t="n">
        <v>799949</v>
      </c>
      <c r="BG38" s="145" t="n">
        <v>43890.357037037</v>
      </c>
      <c r="BH38" s="0" t="s">
        <v>2769</v>
      </c>
      <c r="BI38" s="0" t="n">
        <v>341571</v>
      </c>
      <c r="BJ38" s="0" t="s">
        <v>2770</v>
      </c>
      <c r="BK38" s="0" t="n">
        <v>1</v>
      </c>
      <c r="BL38" s="0" t="s">
        <v>2781</v>
      </c>
      <c r="BM38" s="145" t="n">
        <v>43858.6422569445</v>
      </c>
    </row>
    <row r="39" customFormat="false" ht="14.4" hidden="false" customHeight="false" outlineLevel="0" collapsed="false">
      <c r="A39" s="0" t="n">
        <v>1000</v>
      </c>
      <c r="B39" s="0" t="s">
        <v>143</v>
      </c>
      <c r="C39" s="0" t="n">
        <v>51323115</v>
      </c>
      <c r="D39" s="0" t="s">
        <v>1560</v>
      </c>
      <c r="E39" s="0" t="s">
        <v>725</v>
      </c>
      <c r="F39" s="0" t="n">
        <v>7000</v>
      </c>
      <c r="G39" s="0" t="s">
        <v>2782</v>
      </c>
      <c r="H39" s="0" t="n">
        <v>2020</v>
      </c>
      <c r="I39" s="0" t="n">
        <v>5</v>
      </c>
      <c r="J39" s="145" t="n">
        <v>43641</v>
      </c>
      <c r="K39" s="145" t="n">
        <v>43703</v>
      </c>
      <c r="L39" s="105" t="n">
        <v>-135472.75</v>
      </c>
      <c r="M39" s="0" t="s">
        <v>149</v>
      </c>
      <c r="N39" s="105" t="n">
        <v>-135472.75</v>
      </c>
      <c r="O39" s="0" t="s">
        <v>149</v>
      </c>
      <c r="P39" s="105" t="n">
        <v>-135472.75</v>
      </c>
      <c r="Q39" s="0" t="n">
        <v>0</v>
      </c>
      <c r="R39" s="105" t="n">
        <v>-135472.75</v>
      </c>
      <c r="S39" s="0" t="n">
        <v>0</v>
      </c>
      <c r="T39" s="0" t="n">
        <v>0</v>
      </c>
      <c r="U39" s="0" t="s">
        <v>192</v>
      </c>
      <c r="V39" s="0" t="s">
        <v>151</v>
      </c>
      <c r="X39" s="0" t="s">
        <v>1212</v>
      </c>
      <c r="Y39" s="0" t="n">
        <v>2300050954</v>
      </c>
      <c r="Z39" s="0" t="n">
        <v>51323115</v>
      </c>
      <c r="AB39" s="0" t="n">
        <v>2300050954</v>
      </c>
      <c r="AD39" s="0" t="n">
        <v>2408402</v>
      </c>
      <c r="AE39" s="0" t="s">
        <v>156</v>
      </c>
      <c r="AF39" s="0" t="n">
        <v>2408425</v>
      </c>
      <c r="AG39" s="0" t="s">
        <v>2783</v>
      </c>
      <c r="AH39" s="0" t="n">
        <v>1013001</v>
      </c>
      <c r="AI39" s="0" t="n">
        <v>1013001</v>
      </c>
      <c r="AJ39" s="0" t="s">
        <v>2784</v>
      </c>
      <c r="AK39" s="0" t="n">
        <v>0</v>
      </c>
      <c r="AL39" s="0" t="n">
        <v>31</v>
      </c>
      <c r="AM39" s="0" t="s">
        <v>225</v>
      </c>
      <c r="AP39" s="0" t="n">
        <v>45122600</v>
      </c>
      <c r="AQ39" s="145" t="n">
        <v>43704</v>
      </c>
      <c r="AR39" s="145" t="n">
        <v>43703</v>
      </c>
      <c r="AS39" s="146" t="n">
        <v>0.654363425925926</v>
      </c>
      <c r="AT39" s="0" t="n">
        <v>0</v>
      </c>
      <c r="AU39" s="105" t="n">
        <v>-135472.75</v>
      </c>
      <c r="AX39" s="0" t="n">
        <v>9</v>
      </c>
      <c r="AY39" s="105" t="n">
        <v>135472.75</v>
      </c>
      <c r="AZ39" s="105" t="n">
        <v>135472.75</v>
      </c>
      <c r="BA39" s="0" t="s">
        <v>2767</v>
      </c>
      <c r="BB39" s="0" t="s">
        <v>2768</v>
      </c>
      <c r="BC39" s="0" t="s">
        <v>2761</v>
      </c>
      <c r="BD39" s="0" t="s">
        <v>2762</v>
      </c>
      <c r="BE39" s="0" t="s">
        <v>2762</v>
      </c>
      <c r="BF39" s="0" t="n">
        <v>799949</v>
      </c>
      <c r="BG39" s="145" t="n">
        <v>43890.357037037</v>
      </c>
      <c r="BH39" s="0" t="s">
        <v>2769</v>
      </c>
      <c r="BI39" s="0" t="n">
        <v>341596</v>
      </c>
      <c r="BJ39" s="0" t="s">
        <v>2770</v>
      </c>
      <c r="BK39" s="0" t="n">
        <v>1</v>
      </c>
      <c r="BL39" s="0" t="s">
        <v>2781</v>
      </c>
      <c r="BM39" s="145" t="n">
        <v>43858.6422569445</v>
      </c>
    </row>
    <row r="40" customFormat="false" ht="14.4" hidden="false" customHeight="false" outlineLevel="0" collapsed="false">
      <c r="A40" s="0" t="n">
        <v>1000</v>
      </c>
      <c r="B40" s="0" t="s">
        <v>143</v>
      </c>
      <c r="C40" s="0" t="n">
        <v>51323115</v>
      </c>
      <c r="D40" s="0" t="s">
        <v>1560</v>
      </c>
      <c r="E40" s="0" t="s">
        <v>725</v>
      </c>
      <c r="F40" s="0" t="n">
        <v>7000</v>
      </c>
      <c r="G40" s="0" t="s">
        <v>2782</v>
      </c>
      <c r="H40" s="0" t="n">
        <v>2020</v>
      </c>
      <c r="I40" s="0" t="n">
        <v>5</v>
      </c>
      <c r="J40" s="145" t="n">
        <v>43641</v>
      </c>
      <c r="K40" s="145" t="n">
        <v>43703</v>
      </c>
      <c r="L40" s="105" t="n">
        <v>-7968.97</v>
      </c>
      <c r="M40" s="0" t="s">
        <v>149</v>
      </c>
      <c r="N40" s="105" t="n">
        <v>-7968.97</v>
      </c>
      <c r="O40" s="0" t="s">
        <v>149</v>
      </c>
      <c r="P40" s="105" t="n">
        <v>-7968.97</v>
      </c>
      <c r="Q40" s="0" t="n">
        <v>0</v>
      </c>
      <c r="R40" s="105" t="n">
        <v>-7968.97</v>
      </c>
      <c r="S40" s="0" t="n">
        <v>0</v>
      </c>
      <c r="T40" s="0" t="n">
        <v>0</v>
      </c>
      <c r="U40" s="0" t="s">
        <v>192</v>
      </c>
      <c r="V40" s="0" t="s">
        <v>151</v>
      </c>
      <c r="X40" s="0" t="s">
        <v>1212</v>
      </c>
      <c r="Y40" s="0" t="n">
        <v>2300050954</v>
      </c>
      <c r="Z40" s="0" t="n">
        <v>51323115</v>
      </c>
      <c r="AB40" s="0" t="n">
        <v>2300050954</v>
      </c>
      <c r="AD40" s="0" t="n">
        <v>2408402</v>
      </c>
      <c r="AE40" s="0" t="s">
        <v>156</v>
      </c>
      <c r="AF40" s="0" t="n">
        <v>2408425</v>
      </c>
      <c r="AG40" s="0" t="s">
        <v>2783</v>
      </c>
      <c r="AH40" s="0" t="n">
        <v>1013001</v>
      </c>
      <c r="AI40" s="0" t="n">
        <v>1013001</v>
      </c>
      <c r="AJ40" s="0" t="s">
        <v>2784</v>
      </c>
      <c r="AK40" s="0" t="n">
        <v>0</v>
      </c>
      <c r="AL40" s="0" t="n">
        <v>31</v>
      </c>
      <c r="AM40" s="0" t="s">
        <v>225</v>
      </c>
      <c r="AP40" s="0" t="n">
        <v>45167654</v>
      </c>
      <c r="AQ40" s="145" t="n">
        <v>43768</v>
      </c>
      <c r="AR40" s="145" t="n">
        <v>43703</v>
      </c>
      <c r="AS40" s="146" t="n">
        <v>0.654363425925926</v>
      </c>
      <c r="AT40" s="0" t="n">
        <v>0</v>
      </c>
      <c r="AU40" s="105" t="n">
        <v>-7968.97</v>
      </c>
      <c r="AX40" s="0" t="n">
        <v>12</v>
      </c>
      <c r="AY40" s="105" t="n">
        <v>7968.97</v>
      </c>
      <c r="AZ40" s="105" t="n">
        <v>7968.97</v>
      </c>
      <c r="BA40" s="0" t="s">
        <v>2767</v>
      </c>
      <c r="BB40" s="0" t="s">
        <v>2768</v>
      </c>
      <c r="BC40" s="0" t="s">
        <v>2761</v>
      </c>
      <c r="BD40" s="0" t="s">
        <v>2762</v>
      </c>
      <c r="BE40" s="0" t="s">
        <v>2762</v>
      </c>
      <c r="BF40" s="0" t="n">
        <v>799949</v>
      </c>
      <c r="BG40" s="145" t="n">
        <v>43890.357037037</v>
      </c>
      <c r="BH40" s="0" t="s">
        <v>2769</v>
      </c>
      <c r="BI40" s="0" t="n">
        <v>341601</v>
      </c>
      <c r="BJ40" s="0" t="s">
        <v>2770</v>
      </c>
      <c r="BK40" s="0" t="n">
        <v>1</v>
      </c>
      <c r="BL40" s="0" t="s">
        <v>2781</v>
      </c>
      <c r="BM40" s="145" t="n">
        <v>43858.6422569445</v>
      </c>
    </row>
    <row r="41" customFormat="false" ht="14.4" hidden="false" customHeight="false" outlineLevel="0" collapsed="false">
      <c r="A41" s="0" t="n">
        <v>1000</v>
      </c>
      <c r="B41" s="0" t="s">
        <v>143</v>
      </c>
      <c r="C41" s="0" t="n">
        <v>51323124</v>
      </c>
      <c r="D41" s="0" t="s">
        <v>1563</v>
      </c>
      <c r="E41" s="0" t="s">
        <v>725</v>
      </c>
      <c r="F41" s="0" t="n">
        <v>7000</v>
      </c>
      <c r="G41" s="0" t="s">
        <v>2782</v>
      </c>
      <c r="H41" s="0" t="n">
        <v>2020</v>
      </c>
      <c r="I41" s="0" t="n">
        <v>5</v>
      </c>
      <c r="J41" s="145" t="n">
        <v>43641</v>
      </c>
      <c r="K41" s="145" t="n">
        <v>43703</v>
      </c>
      <c r="L41" s="105" t="n">
        <v>-749304.43</v>
      </c>
      <c r="M41" s="0" t="s">
        <v>149</v>
      </c>
      <c r="N41" s="105" t="n">
        <v>-749304.43</v>
      </c>
      <c r="O41" s="0" t="s">
        <v>149</v>
      </c>
      <c r="P41" s="105" t="n">
        <v>-749304.43</v>
      </c>
      <c r="Q41" s="0" t="n">
        <v>0</v>
      </c>
      <c r="R41" s="105" t="n">
        <v>-749304.43</v>
      </c>
      <c r="S41" s="0" t="n">
        <v>0</v>
      </c>
      <c r="T41" s="0" t="n">
        <v>0</v>
      </c>
      <c r="U41" s="0" t="s">
        <v>192</v>
      </c>
      <c r="V41" s="0" t="s">
        <v>151</v>
      </c>
      <c r="X41" s="0" t="s">
        <v>1212</v>
      </c>
      <c r="Y41" s="0" t="n">
        <v>2300050954</v>
      </c>
      <c r="Z41" s="0" t="n">
        <v>51323124</v>
      </c>
      <c r="AB41" s="0" t="n">
        <v>2300050954</v>
      </c>
      <c r="AD41" s="0" t="n">
        <v>2408402</v>
      </c>
      <c r="AE41" s="0" t="s">
        <v>156</v>
      </c>
      <c r="AF41" s="0" t="n">
        <v>2408425</v>
      </c>
      <c r="AG41" s="0" t="s">
        <v>2783</v>
      </c>
      <c r="AH41" s="0" t="n">
        <v>1013001</v>
      </c>
      <c r="AI41" s="0" t="n">
        <v>1013001</v>
      </c>
      <c r="AJ41" s="0" t="s">
        <v>2784</v>
      </c>
      <c r="AK41" s="0" t="n">
        <v>0</v>
      </c>
      <c r="AL41" s="0" t="n">
        <v>31</v>
      </c>
      <c r="AM41" s="0" t="s">
        <v>225</v>
      </c>
      <c r="AP41" s="0" t="n">
        <v>45122600</v>
      </c>
      <c r="AQ41" s="145" t="n">
        <v>43704</v>
      </c>
      <c r="AR41" s="145" t="n">
        <v>43703</v>
      </c>
      <c r="AS41" s="146" t="n">
        <v>0.656423611111111</v>
      </c>
      <c r="AT41" s="0" t="n">
        <v>0</v>
      </c>
      <c r="AU41" s="105" t="n">
        <v>-749304.43</v>
      </c>
      <c r="AX41" s="0" t="n">
        <v>9</v>
      </c>
      <c r="AY41" s="105" t="n">
        <v>749304.43</v>
      </c>
      <c r="AZ41" s="105" t="n">
        <v>749304.43</v>
      </c>
      <c r="BA41" s="0" t="s">
        <v>2767</v>
      </c>
      <c r="BB41" s="0" t="s">
        <v>2768</v>
      </c>
      <c r="BC41" s="0" t="s">
        <v>2761</v>
      </c>
      <c r="BD41" s="0" t="s">
        <v>2762</v>
      </c>
      <c r="BE41" s="0" t="s">
        <v>2762</v>
      </c>
      <c r="BF41" s="0" t="n">
        <v>799949</v>
      </c>
      <c r="BG41" s="145" t="n">
        <v>43890.357037037</v>
      </c>
      <c r="BH41" s="0" t="s">
        <v>2769</v>
      </c>
      <c r="BI41" s="0" t="n">
        <v>341604</v>
      </c>
      <c r="BJ41" s="0" t="s">
        <v>2770</v>
      </c>
      <c r="BK41" s="0" t="n">
        <v>1</v>
      </c>
      <c r="BL41" s="0" t="s">
        <v>2781</v>
      </c>
      <c r="BM41" s="145" t="n">
        <v>43858.6422569445</v>
      </c>
    </row>
    <row r="42" customFormat="false" ht="14.4" hidden="false" customHeight="false" outlineLevel="0" collapsed="false">
      <c r="A42" s="0" t="n">
        <v>1000</v>
      </c>
      <c r="B42" s="0" t="s">
        <v>143</v>
      </c>
      <c r="C42" s="0" t="n">
        <v>51323181</v>
      </c>
      <c r="D42" s="0" t="s">
        <v>1550</v>
      </c>
      <c r="E42" s="0" t="s">
        <v>725</v>
      </c>
      <c r="F42" s="0" t="n">
        <v>7000</v>
      </c>
      <c r="G42" s="0" t="s">
        <v>2782</v>
      </c>
      <c r="H42" s="0" t="n">
        <v>2020</v>
      </c>
      <c r="I42" s="0" t="n">
        <v>5</v>
      </c>
      <c r="J42" s="145" t="n">
        <v>43642</v>
      </c>
      <c r="K42" s="145" t="n">
        <v>43703</v>
      </c>
      <c r="L42" s="105" t="n">
        <v>-5990.48</v>
      </c>
      <c r="M42" s="0" t="s">
        <v>149</v>
      </c>
      <c r="N42" s="105" t="n">
        <v>-5990.48</v>
      </c>
      <c r="O42" s="0" t="s">
        <v>149</v>
      </c>
      <c r="P42" s="105" t="n">
        <v>-5990.48</v>
      </c>
      <c r="Q42" s="0" t="n">
        <v>0</v>
      </c>
      <c r="R42" s="105" t="n">
        <v>-5990.48</v>
      </c>
      <c r="S42" s="0" t="n">
        <v>0</v>
      </c>
      <c r="T42" s="0" t="n">
        <v>0</v>
      </c>
      <c r="U42" s="0" t="s">
        <v>192</v>
      </c>
      <c r="V42" s="0" t="s">
        <v>151</v>
      </c>
      <c r="X42" s="0" t="s">
        <v>1212</v>
      </c>
      <c r="Y42" s="0" t="n">
        <v>2300050954</v>
      </c>
      <c r="Z42" s="0" t="n">
        <v>51323181</v>
      </c>
      <c r="AB42" s="0" t="n">
        <v>2300050954</v>
      </c>
      <c r="AD42" s="0" t="n">
        <v>2408402</v>
      </c>
      <c r="AE42" s="0" t="s">
        <v>156</v>
      </c>
      <c r="AF42" s="0" t="n">
        <v>2408425</v>
      </c>
      <c r="AG42" s="0" t="s">
        <v>2783</v>
      </c>
      <c r="AH42" s="0" t="n">
        <v>1013001</v>
      </c>
      <c r="AI42" s="0" t="n">
        <v>1013001</v>
      </c>
      <c r="AJ42" s="0" t="s">
        <v>2784</v>
      </c>
      <c r="AK42" s="0" t="n">
        <v>0</v>
      </c>
      <c r="AL42" s="0" t="n">
        <v>31</v>
      </c>
      <c r="AM42" s="0" t="s">
        <v>225</v>
      </c>
      <c r="AP42" s="0" t="n">
        <v>45167654</v>
      </c>
      <c r="AQ42" s="145" t="n">
        <v>43768</v>
      </c>
      <c r="AR42" s="145" t="n">
        <v>43703</v>
      </c>
      <c r="AS42" s="146" t="n">
        <v>0.666712962962963</v>
      </c>
      <c r="AT42" s="0" t="n">
        <v>0</v>
      </c>
      <c r="AU42" s="105" t="n">
        <v>-5990.48</v>
      </c>
      <c r="AX42" s="0" t="n">
        <v>11</v>
      </c>
      <c r="AY42" s="105" t="n">
        <v>5990.48</v>
      </c>
      <c r="AZ42" s="105" t="n">
        <v>5990.48</v>
      </c>
      <c r="BA42" s="0" t="s">
        <v>2767</v>
      </c>
      <c r="BB42" s="0" t="s">
        <v>2768</v>
      </c>
      <c r="BC42" s="0" t="s">
        <v>2761</v>
      </c>
      <c r="BD42" s="0" t="s">
        <v>2762</v>
      </c>
      <c r="BE42" s="0" t="s">
        <v>2762</v>
      </c>
      <c r="BF42" s="0" t="n">
        <v>799949</v>
      </c>
      <c r="BG42" s="145" t="n">
        <v>43890.357037037</v>
      </c>
      <c r="BH42" s="0" t="s">
        <v>2769</v>
      </c>
      <c r="BI42" s="0" t="n">
        <v>341607</v>
      </c>
      <c r="BJ42" s="0" t="s">
        <v>2770</v>
      </c>
      <c r="BK42" s="0" t="n">
        <v>1</v>
      </c>
      <c r="BL42" s="0" t="s">
        <v>2781</v>
      </c>
      <c r="BM42" s="145" t="n">
        <v>43858.6422569445</v>
      </c>
    </row>
    <row r="43" customFormat="false" ht="14.4" hidden="false" customHeight="false" outlineLevel="0" collapsed="false">
      <c r="A43" s="0" t="n">
        <v>1000</v>
      </c>
      <c r="B43" s="0" t="s">
        <v>143</v>
      </c>
      <c r="C43" s="0" t="n">
        <v>51323181</v>
      </c>
      <c r="D43" s="0" t="s">
        <v>1550</v>
      </c>
      <c r="E43" s="0" t="s">
        <v>725</v>
      </c>
      <c r="F43" s="0" t="n">
        <v>7000</v>
      </c>
      <c r="G43" s="0" t="s">
        <v>2782</v>
      </c>
      <c r="H43" s="0" t="n">
        <v>2020</v>
      </c>
      <c r="I43" s="0" t="n">
        <v>5</v>
      </c>
      <c r="J43" s="145" t="n">
        <v>43642</v>
      </c>
      <c r="K43" s="145" t="n">
        <v>43703</v>
      </c>
      <c r="L43" s="105" t="n">
        <v>-5990.48</v>
      </c>
      <c r="M43" s="0" t="s">
        <v>149</v>
      </c>
      <c r="N43" s="105" t="n">
        <v>-5990.48</v>
      </c>
      <c r="O43" s="0" t="s">
        <v>149</v>
      </c>
      <c r="P43" s="105" t="n">
        <v>-5990.48</v>
      </c>
      <c r="Q43" s="0" t="n">
        <v>0</v>
      </c>
      <c r="R43" s="105" t="n">
        <v>-5990.48</v>
      </c>
      <c r="S43" s="0" t="n">
        <v>0</v>
      </c>
      <c r="T43" s="0" t="n">
        <v>0</v>
      </c>
      <c r="U43" s="0" t="s">
        <v>192</v>
      </c>
      <c r="V43" s="0" t="s">
        <v>151</v>
      </c>
      <c r="X43" s="0" t="s">
        <v>1212</v>
      </c>
      <c r="Y43" s="0" t="n">
        <v>2300050954</v>
      </c>
      <c r="Z43" s="0" t="n">
        <v>51323181</v>
      </c>
      <c r="AB43" s="0" t="n">
        <v>2300050954</v>
      </c>
      <c r="AD43" s="0" t="n">
        <v>2408402</v>
      </c>
      <c r="AE43" s="0" t="s">
        <v>156</v>
      </c>
      <c r="AF43" s="0" t="n">
        <v>2408425</v>
      </c>
      <c r="AG43" s="0" t="s">
        <v>2783</v>
      </c>
      <c r="AH43" s="0" t="n">
        <v>1013001</v>
      </c>
      <c r="AI43" s="0" t="n">
        <v>1013001</v>
      </c>
      <c r="AJ43" s="0" t="s">
        <v>2784</v>
      </c>
      <c r="AK43" s="0" t="n">
        <v>0</v>
      </c>
      <c r="AL43" s="0" t="n">
        <v>31</v>
      </c>
      <c r="AM43" s="0" t="s">
        <v>225</v>
      </c>
      <c r="AP43" s="0" t="n">
        <v>45167654</v>
      </c>
      <c r="AQ43" s="145" t="n">
        <v>43768</v>
      </c>
      <c r="AR43" s="145" t="n">
        <v>43703</v>
      </c>
      <c r="AS43" s="146" t="n">
        <v>0.666712962962963</v>
      </c>
      <c r="AT43" s="0" t="n">
        <v>0</v>
      </c>
      <c r="AU43" s="105" t="n">
        <v>-5990.48</v>
      </c>
      <c r="AX43" s="0" t="n">
        <v>12</v>
      </c>
      <c r="AY43" s="105" t="n">
        <v>5990.48</v>
      </c>
      <c r="AZ43" s="105" t="n">
        <v>5990.48</v>
      </c>
      <c r="BA43" s="0" t="s">
        <v>2767</v>
      </c>
      <c r="BB43" s="0" t="s">
        <v>2768</v>
      </c>
      <c r="BC43" s="0" t="s">
        <v>2761</v>
      </c>
      <c r="BD43" s="0" t="s">
        <v>2762</v>
      </c>
      <c r="BE43" s="0" t="s">
        <v>2762</v>
      </c>
      <c r="BF43" s="0" t="n">
        <v>799949</v>
      </c>
      <c r="BG43" s="145" t="n">
        <v>43890.357037037</v>
      </c>
      <c r="BH43" s="0" t="s">
        <v>2769</v>
      </c>
      <c r="BI43" s="0" t="n">
        <v>341610</v>
      </c>
      <c r="BJ43" s="0" t="s">
        <v>2770</v>
      </c>
      <c r="BK43" s="0" t="n">
        <v>1</v>
      </c>
      <c r="BL43" s="0" t="s">
        <v>2781</v>
      </c>
      <c r="BM43" s="145" t="n">
        <v>43858.6422569445</v>
      </c>
    </row>
    <row r="44" customFormat="false" ht="14.4" hidden="false" customHeight="false" outlineLevel="0" collapsed="false">
      <c r="A44" s="0" t="n">
        <v>1000</v>
      </c>
      <c r="B44" s="0" t="s">
        <v>143</v>
      </c>
      <c r="C44" s="0" t="n">
        <v>51322525</v>
      </c>
      <c r="D44" s="0" t="s">
        <v>1702</v>
      </c>
      <c r="E44" s="0" t="s">
        <v>725</v>
      </c>
      <c r="F44" s="0" t="n">
        <v>7000</v>
      </c>
      <c r="G44" s="0" t="s">
        <v>2782</v>
      </c>
      <c r="H44" s="0" t="n">
        <v>2020</v>
      </c>
      <c r="I44" s="0" t="n">
        <v>5</v>
      </c>
      <c r="J44" s="145" t="n">
        <v>43609</v>
      </c>
      <c r="K44" s="145" t="n">
        <v>43703</v>
      </c>
      <c r="L44" s="105" t="n">
        <v>-1189170.43</v>
      </c>
      <c r="M44" s="0" t="s">
        <v>149</v>
      </c>
      <c r="N44" s="105" t="n">
        <v>-1189170.43</v>
      </c>
      <c r="O44" s="0" t="s">
        <v>149</v>
      </c>
      <c r="P44" s="105" t="n">
        <v>-1189170.43</v>
      </c>
      <c r="Q44" s="0" t="n">
        <v>0</v>
      </c>
      <c r="R44" s="105" t="n">
        <v>-1189170.43</v>
      </c>
      <c r="S44" s="0" t="n">
        <v>0</v>
      </c>
      <c r="T44" s="0" t="n">
        <v>0</v>
      </c>
      <c r="U44" s="0" t="s">
        <v>192</v>
      </c>
      <c r="V44" s="0" t="s">
        <v>151</v>
      </c>
      <c r="X44" s="0" t="s">
        <v>1212</v>
      </c>
      <c r="Y44" s="0" t="n">
        <v>2300050954</v>
      </c>
      <c r="Z44" s="0" t="n">
        <v>51322525</v>
      </c>
      <c r="AB44" s="0" t="n">
        <v>2300050954</v>
      </c>
      <c r="AD44" s="0" t="n">
        <v>2408402</v>
      </c>
      <c r="AE44" s="0" t="s">
        <v>156</v>
      </c>
      <c r="AF44" s="0" t="n">
        <v>2408425</v>
      </c>
      <c r="AG44" s="0" t="s">
        <v>2783</v>
      </c>
      <c r="AH44" s="0" t="n">
        <v>1013001</v>
      </c>
      <c r="AI44" s="0" t="n">
        <v>1013001</v>
      </c>
      <c r="AJ44" s="0" t="s">
        <v>2784</v>
      </c>
      <c r="AK44" s="0" t="n">
        <v>0</v>
      </c>
      <c r="AL44" s="0" t="n">
        <v>31</v>
      </c>
      <c r="AM44" s="0" t="s">
        <v>225</v>
      </c>
      <c r="AP44" s="0" t="n">
        <v>45122600</v>
      </c>
      <c r="AQ44" s="145" t="n">
        <v>43704</v>
      </c>
      <c r="AR44" s="145" t="n">
        <v>43703</v>
      </c>
      <c r="AS44" s="146" t="n">
        <v>0.535787037037037</v>
      </c>
      <c r="AT44" s="0" t="n">
        <v>0</v>
      </c>
      <c r="AU44" s="105" t="n">
        <v>-1189170.43</v>
      </c>
      <c r="AX44" s="0" t="n">
        <v>9</v>
      </c>
      <c r="AY44" s="105" t="n">
        <v>1189170.43</v>
      </c>
      <c r="AZ44" s="105" t="n">
        <v>1189170.43</v>
      </c>
      <c r="BA44" s="0" t="s">
        <v>2767</v>
      </c>
      <c r="BB44" s="0" t="s">
        <v>2768</v>
      </c>
      <c r="BC44" s="0" t="s">
        <v>2761</v>
      </c>
      <c r="BD44" s="0" t="s">
        <v>2762</v>
      </c>
      <c r="BE44" s="0" t="s">
        <v>2762</v>
      </c>
      <c r="BF44" s="0" t="n">
        <v>799949</v>
      </c>
      <c r="BG44" s="145" t="n">
        <v>43890.357037037</v>
      </c>
      <c r="BH44" s="0" t="s">
        <v>2769</v>
      </c>
      <c r="BI44" s="0" t="n">
        <v>341637</v>
      </c>
      <c r="BJ44" s="0" t="s">
        <v>2770</v>
      </c>
      <c r="BK44" s="0" t="n">
        <v>1</v>
      </c>
      <c r="BL44" s="0" t="s">
        <v>2781</v>
      </c>
      <c r="BM44" s="145" t="n">
        <v>43858.6422569445</v>
      </c>
    </row>
    <row r="45" customFormat="false" ht="14.4" hidden="false" customHeight="false" outlineLevel="0" collapsed="false">
      <c r="A45" s="0" t="n">
        <v>1000</v>
      </c>
      <c r="B45" s="0" t="s">
        <v>143</v>
      </c>
      <c r="C45" s="0" t="n">
        <v>51322525</v>
      </c>
      <c r="D45" s="0" t="s">
        <v>1702</v>
      </c>
      <c r="E45" s="0" t="s">
        <v>725</v>
      </c>
      <c r="F45" s="0" t="n">
        <v>7000</v>
      </c>
      <c r="G45" s="0" t="s">
        <v>2782</v>
      </c>
      <c r="H45" s="0" t="n">
        <v>2020</v>
      </c>
      <c r="I45" s="0" t="n">
        <v>5</v>
      </c>
      <c r="J45" s="145" t="n">
        <v>43609</v>
      </c>
      <c r="K45" s="145" t="n">
        <v>43703</v>
      </c>
      <c r="L45" s="105" t="n">
        <v>-69951.2</v>
      </c>
      <c r="M45" s="0" t="s">
        <v>149</v>
      </c>
      <c r="N45" s="105" t="n">
        <v>-69951.2</v>
      </c>
      <c r="O45" s="0" t="s">
        <v>149</v>
      </c>
      <c r="P45" s="105" t="n">
        <v>-69951.2</v>
      </c>
      <c r="Q45" s="0" t="n">
        <v>0</v>
      </c>
      <c r="R45" s="105" t="n">
        <v>-69951.2</v>
      </c>
      <c r="S45" s="0" t="n">
        <v>0</v>
      </c>
      <c r="T45" s="0" t="n">
        <v>0</v>
      </c>
      <c r="U45" s="0" t="s">
        <v>192</v>
      </c>
      <c r="V45" s="0" t="s">
        <v>151</v>
      </c>
      <c r="X45" s="0" t="s">
        <v>1212</v>
      </c>
      <c r="Y45" s="0" t="n">
        <v>2300050954</v>
      </c>
      <c r="Z45" s="0" t="n">
        <v>51322525</v>
      </c>
      <c r="AB45" s="0" t="n">
        <v>2300050954</v>
      </c>
      <c r="AD45" s="0" t="n">
        <v>2408402</v>
      </c>
      <c r="AE45" s="0" t="s">
        <v>156</v>
      </c>
      <c r="AF45" s="0" t="n">
        <v>2408425</v>
      </c>
      <c r="AG45" s="0" t="s">
        <v>2783</v>
      </c>
      <c r="AH45" s="0" t="n">
        <v>1013001</v>
      </c>
      <c r="AI45" s="0" t="n">
        <v>1013001</v>
      </c>
      <c r="AJ45" s="0" t="s">
        <v>2784</v>
      </c>
      <c r="AK45" s="0" t="n">
        <v>0</v>
      </c>
      <c r="AL45" s="0" t="n">
        <v>31</v>
      </c>
      <c r="AM45" s="0" t="s">
        <v>225</v>
      </c>
      <c r="AP45" s="0" t="n">
        <v>45167654</v>
      </c>
      <c r="AQ45" s="145" t="n">
        <v>43768</v>
      </c>
      <c r="AR45" s="145" t="n">
        <v>43703</v>
      </c>
      <c r="AS45" s="146" t="n">
        <v>0.535787037037037</v>
      </c>
      <c r="AT45" s="0" t="n">
        <v>0</v>
      </c>
      <c r="AU45" s="105" t="n">
        <v>-69951.2</v>
      </c>
      <c r="AX45" s="0" t="n">
        <v>10</v>
      </c>
      <c r="AY45" s="105" t="n">
        <v>69951.2</v>
      </c>
      <c r="AZ45" s="105" t="n">
        <v>69951.2</v>
      </c>
      <c r="BA45" s="0" t="s">
        <v>2767</v>
      </c>
      <c r="BB45" s="0" t="s">
        <v>2768</v>
      </c>
      <c r="BC45" s="0" t="s">
        <v>2761</v>
      </c>
      <c r="BD45" s="0" t="s">
        <v>2762</v>
      </c>
      <c r="BE45" s="0" t="s">
        <v>2762</v>
      </c>
      <c r="BF45" s="0" t="n">
        <v>799949</v>
      </c>
      <c r="BG45" s="145" t="n">
        <v>43890.357037037</v>
      </c>
      <c r="BH45" s="0" t="s">
        <v>2769</v>
      </c>
      <c r="BI45" s="0" t="n">
        <v>341641</v>
      </c>
      <c r="BJ45" s="0" t="s">
        <v>2770</v>
      </c>
      <c r="BK45" s="0" t="n">
        <v>1</v>
      </c>
      <c r="BL45" s="0" t="s">
        <v>2781</v>
      </c>
      <c r="BM45" s="145" t="n">
        <v>43858.6422569445</v>
      </c>
    </row>
    <row r="46" customFormat="false" ht="14.4" hidden="false" customHeight="false" outlineLevel="0" collapsed="false">
      <c r="A46" s="0" t="n">
        <v>1000</v>
      </c>
      <c r="B46" s="0" t="s">
        <v>143</v>
      </c>
      <c r="C46" s="0" t="n">
        <v>51322525</v>
      </c>
      <c r="D46" s="0" t="s">
        <v>1702</v>
      </c>
      <c r="E46" s="0" t="s">
        <v>725</v>
      </c>
      <c r="F46" s="0" t="n">
        <v>7000</v>
      </c>
      <c r="G46" s="0" t="s">
        <v>2782</v>
      </c>
      <c r="H46" s="0" t="n">
        <v>2020</v>
      </c>
      <c r="I46" s="0" t="n">
        <v>5</v>
      </c>
      <c r="J46" s="145" t="n">
        <v>43609</v>
      </c>
      <c r="K46" s="145" t="n">
        <v>43703</v>
      </c>
      <c r="L46" s="105" t="n">
        <v>-69951.2</v>
      </c>
      <c r="M46" s="0" t="s">
        <v>149</v>
      </c>
      <c r="N46" s="105" t="n">
        <v>-69951.2</v>
      </c>
      <c r="O46" s="0" t="s">
        <v>149</v>
      </c>
      <c r="P46" s="105" t="n">
        <v>-69951.2</v>
      </c>
      <c r="Q46" s="0" t="n">
        <v>0</v>
      </c>
      <c r="R46" s="105" t="n">
        <v>-69951.2</v>
      </c>
      <c r="S46" s="0" t="n">
        <v>0</v>
      </c>
      <c r="T46" s="0" t="n">
        <v>0</v>
      </c>
      <c r="U46" s="0" t="s">
        <v>192</v>
      </c>
      <c r="V46" s="0" t="s">
        <v>151</v>
      </c>
      <c r="X46" s="0" t="s">
        <v>1212</v>
      </c>
      <c r="Y46" s="0" t="n">
        <v>2300050954</v>
      </c>
      <c r="Z46" s="0" t="n">
        <v>51322525</v>
      </c>
      <c r="AB46" s="0" t="n">
        <v>2300050954</v>
      </c>
      <c r="AD46" s="0" t="n">
        <v>2408402</v>
      </c>
      <c r="AE46" s="0" t="s">
        <v>156</v>
      </c>
      <c r="AF46" s="0" t="n">
        <v>2408425</v>
      </c>
      <c r="AG46" s="0" t="s">
        <v>2783</v>
      </c>
      <c r="AH46" s="0" t="n">
        <v>1013001</v>
      </c>
      <c r="AI46" s="0" t="n">
        <v>1013001</v>
      </c>
      <c r="AJ46" s="0" t="s">
        <v>2784</v>
      </c>
      <c r="AK46" s="0" t="n">
        <v>0</v>
      </c>
      <c r="AL46" s="0" t="n">
        <v>31</v>
      </c>
      <c r="AM46" s="0" t="s">
        <v>225</v>
      </c>
      <c r="AP46" s="0" t="n">
        <v>45167654</v>
      </c>
      <c r="AQ46" s="145" t="n">
        <v>43768</v>
      </c>
      <c r="AR46" s="145" t="n">
        <v>43703</v>
      </c>
      <c r="AS46" s="146" t="n">
        <v>0.535787037037037</v>
      </c>
      <c r="AT46" s="0" t="n">
        <v>0</v>
      </c>
      <c r="AU46" s="105" t="n">
        <v>-69951.2</v>
      </c>
      <c r="AX46" s="0" t="n">
        <v>11</v>
      </c>
      <c r="AY46" s="105" t="n">
        <v>69951.2</v>
      </c>
      <c r="AZ46" s="105" t="n">
        <v>69951.2</v>
      </c>
      <c r="BA46" s="0" t="s">
        <v>2767</v>
      </c>
      <c r="BB46" s="0" t="s">
        <v>2768</v>
      </c>
      <c r="BC46" s="0" t="s">
        <v>2761</v>
      </c>
      <c r="BD46" s="0" t="s">
        <v>2762</v>
      </c>
      <c r="BE46" s="0" t="s">
        <v>2762</v>
      </c>
      <c r="BF46" s="0" t="n">
        <v>799949</v>
      </c>
      <c r="BG46" s="145" t="n">
        <v>43890.357037037</v>
      </c>
      <c r="BH46" s="0" t="s">
        <v>2769</v>
      </c>
      <c r="BI46" s="0" t="n">
        <v>341645</v>
      </c>
      <c r="BJ46" s="0" t="s">
        <v>2770</v>
      </c>
      <c r="BK46" s="0" t="n">
        <v>1</v>
      </c>
      <c r="BL46" s="0" t="s">
        <v>2781</v>
      </c>
      <c r="BM46" s="145" t="n">
        <v>43858.6422569445</v>
      </c>
    </row>
    <row r="47" customFormat="false" ht="14.4" hidden="false" customHeight="false" outlineLevel="0" collapsed="false">
      <c r="A47" s="0" t="n">
        <v>1000</v>
      </c>
      <c r="B47" s="0" t="s">
        <v>143</v>
      </c>
      <c r="C47" s="0" t="n">
        <v>51322525</v>
      </c>
      <c r="D47" s="0" t="s">
        <v>1702</v>
      </c>
      <c r="E47" s="0" t="s">
        <v>725</v>
      </c>
      <c r="F47" s="0" t="n">
        <v>7000</v>
      </c>
      <c r="G47" s="0" t="s">
        <v>2782</v>
      </c>
      <c r="H47" s="0" t="n">
        <v>2020</v>
      </c>
      <c r="I47" s="0" t="n">
        <v>5</v>
      </c>
      <c r="J47" s="145" t="n">
        <v>43609</v>
      </c>
      <c r="K47" s="145" t="n">
        <v>43703</v>
      </c>
      <c r="L47" s="105" t="n">
        <v>-69951.2</v>
      </c>
      <c r="M47" s="0" t="s">
        <v>149</v>
      </c>
      <c r="N47" s="105" t="n">
        <v>-69951.2</v>
      </c>
      <c r="O47" s="0" t="s">
        <v>149</v>
      </c>
      <c r="P47" s="105" t="n">
        <v>-69951.2</v>
      </c>
      <c r="Q47" s="0" t="n">
        <v>0</v>
      </c>
      <c r="R47" s="105" t="n">
        <v>-69951.2</v>
      </c>
      <c r="S47" s="0" t="n">
        <v>0</v>
      </c>
      <c r="T47" s="0" t="n">
        <v>0</v>
      </c>
      <c r="U47" s="0" t="s">
        <v>192</v>
      </c>
      <c r="V47" s="0" t="s">
        <v>151</v>
      </c>
      <c r="X47" s="0" t="s">
        <v>1212</v>
      </c>
      <c r="Y47" s="0" t="n">
        <v>2300050954</v>
      </c>
      <c r="Z47" s="0" t="n">
        <v>51322525</v>
      </c>
      <c r="AB47" s="0" t="n">
        <v>2300050954</v>
      </c>
      <c r="AD47" s="0" t="n">
        <v>2408402</v>
      </c>
      <c r="AE47" s="0" t="s">
        <v>156</v>
      </c>
      <c r="AF47" s="0" t="n">
        <v>2408425</v>
      </c>
      <c r="AG47" s="0" t="s">
        <v>2783</v>
      </c>
      <c r="AH47" s="0" t="n">
        <v>1013001</v>
      </c>
      <c r="AI47" s="0" t="n">
        <v>1013001</v>
      </c>
      <c r="AJ47" s="0" t="s">
        <v>2784</v>
      </c>
      <c r="AK47" s="0" t="n">
        <v>0</v>
      </c>
      <c r="AL47" s="0" t="n">
        <v>31</v>
      </c>
      <c r="AM47" s="0" t="s">
        <v>225</v>
      </c>
      <c r="AP47" s="0" t="n">
        <v>45167654</v>
      </c>
      <c r="AQ47" s="145" t="n">
        <v>43768</v>
      </c>
      <c r="AR47" s="145" t="n">
        <v>43703</v>
      </c>
      <c r="AS47" s="146" t="n">
        <v>0.535787037037037</v>
      </c>
      <c r="AT47" s="0" t="n">
        <v>0</v>
      </c>
      <c r="AU47" s="105" t="n">
        <v>-69951.2</v>
      </c>
      <c r="AX47" s="0" t="n">
        <v>12</v>
      </c>
      <c r="AY47" s="105" t="n">
        <v>69951.2</v>
      </c>
      <c r="AZ47" s="105" t="n">
        <v>69951.2</v>
      </c>
      <c r="BA47" s="0" t="s">
        <v>2767</v>
      </c>
      <c r="BB47" s="0" t="s">
        <v>2768</v>
      </c>
      <c r="BC47" s="0" t="s">
        <v>2761</v>
      </c>
      <c r="BD47" s="0" t="s">
        <v>2762</v>
      </c>
      <c r="BE47" s="0" t="s">
        <v>2762</v>
      </c>
      <c r="BF47" s="0" t="n">
        <v>799949</v>
      </c>
      <c r="BG47" s="145" t="n">
        <v>43890.357037037</v>
      </c>
      <c r="BH47" s="0" t="s">
        <v>2769</v>
      </c>
      <c r="BI47" s="0" t="n">
        <v>341648</v>
      </c>
      <c r="BJ47" s="0" t="s">
        <v>2770</v>
      </c>
      <c r="BK47" s="0" t="n">
        <v>1</v>
      </c>
      <c r="BL47" s="0" t="s">
        <v>2781</v>
      </c>
      <c r="BM47" s="145" t="n">
        <v>43858.6422569445</v>
      </c>
    </row>
    <row r="48" customFormat="false" ht="14.4" hidden="false" customHeight="false" outlineLevel="0" collapsed="false">
      <c r="A48" s="0" t="n">
        <v>1000</v>
      </c>
      <c r="B48" s="0" t="s">
        <v>143</v>
      </c>
      <c r="C48" s="0" t="n">
        <v>51322687</v>
      </c>
      <c r="D48" s="0" t="s">
        <v>1620</v>
      </c>
      <c r="E48" s="0" t="s">
        <v>725</v>
      </c>
      <c r="F48" s="0" t="n">
        <v>7000</v>
      </c>
      <c r="G48" s="0" t="s">
        <v>2782</v>
      </c>
      <c r="H48" s="0" t="n">
        <v>2020</v>
      </c>
      <c r="I48" s="0" t="n">
        <v>5</v>
      </c>
      <c r="J48" s="145" t="n">
        <v>43623</v>
      </c>
      <c r="K48" s="145" t="n">
        <v>43703</v>
      </c>
      <c r="L48" s="105" t="n">
        <v>-73864.24</v>
      </c>
      <c r="M48" s="0" t="s">
        <v>149</v>
      </c>
      <c r="N48" s="105" t="n">
        <v>-73864.24</v>
      </c>
      <c r="O48" s="0" t="s">
        <v>149</v>
      </c>
      <c r="P48" s="105" t="n">
        <v>-73864.24</v>
      </c>
      <c r="Q48" s="0" t="n">
        <v>0</v>
      </c>
      <c r="R48" s="105" t="n">
        <v>-73864.24</v>
      </c>
      <c r="S48" s="0" t="n">
        <v>0</v>
      </c>
      <c r="T48" s="0" t="n">
        <v>0</v>
      </c>
      <c r="U48" s="0" t="s">
        <v>192</v>
      </c>
      <c r="V48" s="0" t="s">
        <v>151</v>
      </c>
      <c r="X48" s="0" t="s">
        <v>1212</v>
      </c>
      <c r="Y48" s="0" t="n">
        <v>2300050954</v>
      </c>
      <c r="Z48" s="0" t="n">
        <v>51322687</v>
      </c>
      <c r="AB48" s="0" t="n">
        <v>2300050954</v>
      </c>
      <c r="AD48" s="0" t="n">
        <v>2408402</v>
      </c>
      <c r="AE48" s="0" t="s">
        <v>156</v>
      </c>
      <c r="AF48" s="0" t="n">
        <v>2408425</v>
      </c>
      <c r="AG48" s="0" t="s">
        <v>2783</v>
      </c>
      <c r="AH48" s="0" t="n">
        <v>1013001</v>
      </c>
      <c r="AI48" s="0" t="n">
        <v>1013001</v>
      </c>
      <c r="AJ48" s="0" t="s">
        <v>2784</v>
      </c>
      <c r="AK48" s="0" t="n">
        <v>0</v>
      </c>
      <c r="AL48" s="0" t="n">
        <v>31</v>
      </c>
      <c r="AM48" s="0" t="s">
        <v>225</v>
      </c>
      <c r="AP48" s="0" t="n">
        <v>45167654</v>
      </c>
      <c r="AQ48" s="145" t="n">
        <v>43768</v>
      </c>
      <c r="AR48" s="145" t="n">
        <v>43703</v>
      </c>
      <c r="AS48" s="146" t="n">
        <v>0.576655092592593</v>
      </c>
      <c r="AT48" s="0" t="n">
        <v>0</v>
      </c>
      <c r="AU48" s="105" t="n">
        <v>-73864.24</v>
      </c>
      <c r="AX48" s="0" t="n">
        <v>11</v>
      </c>
      <c r="AY48" s="105" t="n">
        <v>73864.24</v>
      </c>
      <c r="AZ48" s="105" t="n">
        <v>73864.24</v>
      </c>
      <c r="BA48" s="0" t="s">
        <v>2767</v>
      </c>
      <c r="BB48" s="0" t="s">
        <v>2768</v>
      </c>
      <c r="BC48" s="0" t="s">
        <v>2761</v>
      </c>
      <c r="BD48" s="0" t="s">
        <v>2762</v>
      </c>
      <c r="BE48" s="0" t="s">
        <v>2762</v>
      </c>
      <c r="BF48" s="0" t="n">
        <v>799949</v>
      </c>
      <c r="BG48" s="145" t="n">
        <v>43890.357037037</v>
      </c>
      <c r="BH48" s="0" t="s">
        <v>2769</v>
      </c>
      <c r="BI48" s="0" t="n">
        <v>341659</v>
      </c>
      <c r="BJ48" s="0" t="s">
        <v>2770</v>
      </c>
      <c r="BK48" s="0" t="n">
        <v>1</v>
      </c>
      <c r="BL48" s="0" t="s">
        <v>2781</v>
      </c>
      <c r="BM48" s="145" t="n">
        <v>43858.6422569445</v>
      </c>
    </row>
    <row r="49" customFormat="false" ht="14.4" hidden="false" customHeight="false" outlineLevel="0" collapsed="false">
      <c r="A49" s="0" t="n">
        <v>1000</v>
      </c>
      <c r="B49" s="0" t="s">
        <v>143</v>
      </c>
      <c r="C49" s="0" t="n">
        <v>51322690</v>
      </c>
      <c r="D49" s="0" t="s">
        <v>1623</v>
      </c>
      <c r="E49" s="0" t="s">
        <v>725</v>
      </c>
      <c r="F49" s="0" t="n">
        <v>7000</v>
      </c>
      <c r="G49" s="0" t="s">
        <v>2782</v>
      </c>
      <c r="H49" s="0" t="n">
        <v>2020</v>
      </c>
      <c r="I49" s="0" t="n">
        <v>5</v>
      </c>
      <c r="J49" s="145" t="n">
        <v>43623</v>
      </c>
      <c r="K49" s="145" t="n">
        <v>43703</v>
      </c>
      <c r="L49" s="105" t="n">
        <v>-55782.9</v>
      </c>
      <c r="M49" s="0" t="s">
        <v>149</v>
      </c>
      <c r="N49" s="105" t="n">
        <v>-55782.9</v>
      </c>
      <c r="O49" s="0" t="s">
        <v>149</v>
      </c>
      <c r="P49" s="105" t="n">
        <v>-55782.9</v>
      </c>
      <c r="Q49" s="0" t="n">
        <v>0</v>
      </c>
      <c r="R49" s="105" t="n">
        <v>-55782.9</v>
      </c>
      <c r="S49" s="0" t="n">
        <v>0</v>
      </c>
      <c r="T49" s="0" t="n">
        <v>0</v>
      </c>
      <c r="U49" s="0" t="s">
        <v>192</v>
      </c>
      <c r="V49" s="0" t="s">
        <v>151</v>
      </c>
      <c r="X49" s="0" t="s">
        <v>1212</v>
      </c>
      <c r="Y49" s="0" t="n">
        <v>2300050954</v>
      </c>
      <c r="Z49" s="0" t="n">
        <v>51322690</v>
      </c>
      <c r="AB49" s="0" t="n">
        <v>2300050954</v>
      </c>
      <c r="AD49" s="0" t="n">
        <v>2408402</v>
      </c>
      <c r="AE49" s="0" t="s">
        <v>156</v>
      </c>
      <c r="AF49" s="0" t="n">
        <v>2408425</v>
      </c>
      <c r="AG49" s="0" t="s">
        <v>2783</v>
      </c>
      <c r="AH49" s="0" t="n">
        <v>1013001</v>
      </c>
      <c r="AI49" s="0" t="n">
        <v>1013001</v>
      </c>
      <c r="AJ49" s="0" t="s">
        <v>2784</v>
      </c>
      <c r="AK49" s="0" t="n">
        <v>0</v>
      </c>
      <c r="AL49" s="0" t="n">
        <v>31</v>
      </c>
      <c r="AM49" s="0" t="s">
        <v>225</v>
      </c>
      <c r="AP49" s="0" t="n">
        <v>45167654</v>
      </c>
      <c r="AQ49" s="145" t="n">
        <v>43768</v>
      </c>
      <c r="AR49" s="145" t="n">
        <v>43703</v>
      </c>
      <c r="AS49" s="146" t="n">
        <v>0.579270833333333</v>
      </c>
      <c r="AT49" s="0" t="n">
        <v>0</v>
      </c>
      <c r="AU49" s="105" t="n">
        <v>-55782.9</v>
      </c>
      <c r="AX49" s="0" t="n">
        <v>10</v>
      </c>
      <c r="AY49" s="105" t="n">
        <v>55782.9</v>
      </c>
      <c r="AZ49" s="105" t="n">
        <v>55782.9</v>
      </c>
      <c r="BA49" s="0" t="s">
        <v>2767</v>
      </c>
      <c r="BB49" s="0" t="s">
        <v>2768</v>
      </c>
      <c r="BC49" s="0" t="s">
        <v>2761</v>
      </c>
      <c r="BD49" s="0" t="s">
        <v>2762</v>
      </c>
      <c r="BE49" s="0" t="s">
        <v>2762</v>
      </c>
      <c r="BF49" s="0" t="n">
        <v>799949</v>
      </c>
      <c r="BG49" s="145" t="n">
        <v>43890.357037037</v>
      </c>
      <c r="BH49" s="0" t="s">
        <v>2769</v>
      </c>
      <c r="BI49" s="0" t="n">
        <v>341662</v>
      </c>
      <c r="BJ49" s="0" t="s">
        <v>2770</v>
      </c>
      <c r="BK49" s="0" t="n">
        <v>1</v>
      </c>
      <c r="BL49" s="0" t="s">
        <v>2781</v>
      </c>
      <c r="BM49" s="145" t="n">
        <v>43858.6422569445</v>
      </c>
    </row>
    <row r="50" customFormat="false" ht="14.4" hidden="false" customHeight="false" outlineLevel="0" collapsed="false">
      <c r="A50" s="0" t="n">
        <v>1000</v>
      </c>
      <c r="B50" s="0" t="s">
        <v>143</v>
      </c>
      <c r="C50" s="0" t="n">
        <v>51322690</v>
      </c>
      <c r="D50" s="0" t="s">
        <v>1623</v>
      </c>
      <c r="E50" s="0" t="s">
        <v>725</v>
      </c>
      <c r="F50" s="0" t="n">
        <v>7000</v>
      </c>
      <c r="G50" s="0" t="s">
        <v>2782</v>
      </c>
      <c r="H50" s="0" t="n">
        <v>2020</v>
      </c>
      <c r="I50" s="0" t="n">
        <v>5</v>
      </c>
      <c r="J50" s="145" t="n">
        <v>43623</v>
      </c>
      <c r="K50" s="145" t="n">
        <v>43703</v>
      </c>
      <c r="L50" s="105" t="n">
        <v>-55782.9</v>
      </c>
      <c r="M50" s="0" t="s">
        <v>149</v>
      </c>
      <c r="N50" s="105" t="n">
        <v>-55782.9</v>
      </c>
      <c r="O50" s="0" t="s">
        <v>149</v>
      </c>
      <c r="P50" s="105" t="n">
        <v>-55782.9</v>
      </c>
      <c r="Q50" s="0" t="n">
        <v>0</v>
      </c>
      <c r="R50" s="105" t="n">
        <v>-55782.9</v>
      </c>
      <c r="S50" s="0" t="n">
        <v>0</v>
      </c>
      <c r="T50" s="0" t="n">
        <v>0</v>
      </c>
      <c r="U50" s="0" t="s">
        <v>192</v>
      </c>
      <c r="V50" s="0" t="s">
        <v>151</v>
      </c>
      <c r="X50" s="0" t="s">
        <v>1212</v>
      </c>
      <c r="Y50" s="0" t="n">
        <v>2300050954</v>
      </c>
      <c r="Z50" s="0" t="n">
        <v>51322690</v>
      </c>
      <c r="AB50" s="0" t="n">
        <v>2300050954</v>
      </c>
      <c r="AD50" s="0" t="n">
        <v>2408402</v>
      </c>
      <c r="AE50" s="0" t="s">
        <v>156</v>
      </c>
      <c r="AF50" s="0" t="n">
        <v>2408425</v>
      </c>
      <c r="AG50" s="0" t="s">
        <v>2783</v>
      </c>
      <c r="AH50" s="0" t="n">
        <v>1013001</v>
      </c>
      <c r="AI50" s="0" t="n">
        <v>1013001</v>
      </c>
      <c r="AJ50" s="0" t="s">
        <v>2784</v>
      </c>
      <c r="AK50" s="0" t="n">
        <v>0</v>
      </c>
      <c r="AL50" s="0" t="n">
        <v>31</v>
      </c>
      <c r="AM50" s="0" t="s">
        <v>225</v>
      </c>
      <c r="AP50" s="0" t="n">
        <v>45167654</v>
      </c>
      <c r="AQ50" s="145" t="n">
        <v>43768</v>
      </c>
      <c r="AR50" s="145" t="n">
        <v>43703</v>
      </c>
      <c r="AS50" s="146" t="n">
        <v>0.579270833333333</v>
      </c>
      <c r="AT50" s="0" t="n">
        <v>0</v>
      </c>
      <c r="AU50" s="105" t="n">
        <v>-55782.9</v>
      </c>
      <c r="AX50" s="0" t="n">
        <v>11</v>
      </c>
      <c r="AY50" s="105" t="n">
        <v>55782.9</v>
      </c>
      <c r="AZ50" s="105" t="n">
        <v>55782.9</v>
      </c>
      <c r="BA50" s="0" t="s">
        <v>2767</v>
      </c>
      <c r="BB50" s="0" t="s">
        <v>2768</v>
      </c>
      <c r="BC50" s="0" t="s">
        <v>2761</v>
      </c>
      <c r="BD50" s="0" t="s">
        <v>2762</v>
      </c>
      <c r="BE50" s="0" t="s">
        <v>2762</v>
      </c>
      <c r="BF50" s="0" t="n">
        <v>799949</v>
      </c>
      <c r="BG50" s="145" t="n">
        <v>43890.357037037</v>
      </c>
      <c r="BH50" s="0" t="s">
        <v>2769</v>
      </c>
      <c r="BI50" s="0" t="n">
        <v>341665</v>
      </c>
      <c r="BJ50" s="0" t="s">
        <v>2770</v>
      </c>
      <c r="BK50" s="0" t="n">
        <v>1</v>
      </c>
      <c r="BL50" s="0" t="s">
        <v>2781</v>
      </c>
      <c r="BM50" s="145" t="n">
        <v>43858.6422569445</v>
      </c>
    </row>
    <row r="51" customFormat="false" ht="14.4" hidden="false" customHeight="false" outlineLevel="0" collapsed="false">
      <c r="A51" s="0" t="n">
        <v>1000</v>
      </c>
      <c r="B51" s="0" t="s">
        <v>143</v>
      </c>
      <c r="C51" s="0" t="n">
        <v>51323115</v>
      </c>
      <c r="D51" s="0" t="s">
        <v>1560</v>
      </c>
      <c r="E51" s="0" t="s">
        <v>725</v>
      </c>
      <c r="F51" s="0" t="n">
        <v>7000</v>
      </c>
      <c r="G51" s="0" t="s">
        <v>2782</v>
      </c>
      <c r="H51" s="0" t="n">
        <v>2020</v>
      </c>
      <c r="I51" s="0" t="n">
        <v>5</v>
      </c>
      <c r="J51" s="145" t="n">
        <v>43641</v>
      </c>
      <c r="K51" s="145" t="n">
        <v>43703</v>
      </c>
      <c r="L51" s="105" t="n">
        <v>-7968.99</v>
      </c>
      <c r="M51" s="0" t="s">
        <v>149</v>
      </c>
      <c r="N51" s="105" t="n">
        <v>-7968.99</v>
      </c>
      <c r="O51" s="0" t="s">
        <v>149</v>
      </c>
      <c r="P51" s="105" t="n">
        <v>-7968.99</v>
      </c>
      <c r="Q51" s="0" t="n">
        <v>0</v>
      </c>
      <c r="R51" s="105" t="n">
        <v>-7968.99</v>
      </c>
      <c r="S51" s="0" t="n">
        <v>0</v>
      </c>
      <c r="T51" s="0" t="n">
        <v>0</v>
      </c>
      <c r="U51" s="0" t="s">
        <v>192</v>
      </c>
      <c r="V51" s="0" t="s">
        <v>151</v>
      </c>
      <c r="X51" s="0" t="s">
        <v>1212</v>
      </c>
      <c r="Y51" s="0" t="n">
        <v>2300050954</v>
      </c>
      <c r="Z51" s="0" t="n">
        <v>51323115</v>
      </c>
      <c r="AB51" s="0" t="n">
        <v>2300050954</v>
      </c>
      <c r="AD51" s="0" t="n">
        <v>2408402</v>
      </c>
      <c r="AE51" s="0" t="s">
        <v>156</v>
      </c>
      <c r="AF51" s="0" t="n">
        <v>2408425</v>
      </c>
      <c r="AG51" s="0" t="s">
        <v>2783</v>
      </c>
      <c r="AH51" s="0" t="n">
        <v>1013001</v>
      </c>
      <c r="AI51" s="0" t="n">
        <v>1013001</v>
      </c>
      <c r="AJ51" s="0" t="s">
        <v>2784</v>
      </c>
      <c r="AK51" s="0" t="n">
        <v>0</v>
      </c>
      <c r="AL51" s="0" t="n">
        <v>31</v>
      </c>
      <c r="AM51" s="0" t="s">
        <v>225</v>
      </c>
      <c r="AP51" s="0" t="n">
        <v>45167654</v>
      </c>
      <c r="AQ51" s="145" t="n">
        <v>43768</v>
      </c>
      <c r="AR51" s="145" t="n">
        <v>43703</v>
      </c>
      <c r="AS51" s="146" t="n">
        <v>0.654363425925926</v>
      </c>
      <c r="AT51" s="0" t="n">
        <v>0</v>
      </c>
      <c r="AU51" s="105" t="n">
        <v>-7968.99</v>
      </c>
      <c r="AX51" s="0" t="n">
        <v>10</v>
      </c>
      <c r="AY51" s="105" t="n">
        <v>7968.99</v>
      </c>
      <c r="AZ51" s="105" t="n">
        <v>7968.99</v>
      </c>
      <c r="BA51" s="0" t="s">
        <v>2767</v>
      </c>
      <c r="BB51" s="0" t="s">
        <v>2768</v>
      </c>
      <c r="BC51" s="0" t="s">
        <v>2761</v>
      </c>
      <c r="BD51" s="0" t="s">
        <v>2762</v>
      </c>
      <c r="BE51" s="0" t="s">
        <v>2762</v>
      </c>
      <c r="BF51" s="0" t="n">
        <v>799949</v>
      </c>
      <c r="BG51" s="145" t="n">
        <v>43890.357037037</v>
      </c>
      <c r="BH51" s="0" t="s">
        <v>2769</v>
      </c>
      <c r="BI51" s="0" t="n">
        <v>341693</v>
      </c>
      <c r="BJ51" s="0" t="s">
        <v>2770</v>
      </c>
      <c r="BK51" s="0" t="n">
        <v>1</v>
      </c>
      <c r="BL51" s="0" t="s">
        <v>2781</v>
      </c>
      <c r="BM51" s="145" t="n">
        <v>43858.6422569445</v>
      </c>
    </row>
    <row r="52" customFormat="false" ht="14.4" hidden="false" customHeight="false" outlineLevel="0" collapsed="false">
      <c r="A52" s="0" t="n">
        <v>1000</v>
      </c>
      <c r="B52" s="0" t="s">
        <v>143</v>
      </c>
      <c r="C52" s="0" t="n">
        <v>51323115</v>
      </c>
      <c r="D52" s="0" t="s">
        <v>1560</v>
      </c>
      <c r="E52" s="0" t="s">
        <v>725</v>
      </c>
      <c r="F52" s="0" t="n">
        <v>7000</v>
      </c>
      <c r="G52" s="0" t="s">
        <v>2782</v>
      </c>
      <c r="H52" s="0" t="n">
        <v>2020</v>
      </c>
      <c r="I52" s="0" t="n">
        <v>5</v>
      </c>
      <c r="J52" s="145" t="n">
        <v>43641</v>
      </c>
      <c r="K52" s="145" t="n">
        <v>43703</v>
      </c>
      <c r="L52" s="105" t="n">
        <v>-7968.99</v>
      </c>
      <c r="M52" s="0" t="s">
        <v>149</v>
      </c>
      <c r="N52" s="105" t="n">
        <v>-7968.99</v>
      </c>
      <c r="O52" s="0" t="s">
        <v>149</v>
      </c>
      <c r="P52" s="105" t="n">
        <v>-7968.99</v>
      </c>
      <c r="Q52" s="0" t="n">
        <v>0</v>
      </c>
      <c r="R52" s="105" t="n">
        <v>-7968.99</v>
      </c>
      <c r="S52" s="0" t="n">
        <v>0</v>
      </c>
      <c r="T52" s="0" t="n">
        <v>0</v>
      </c>
      <c r="U52" s="0" t="s">
        <v>192</v>
      </c>
      <c r="V52" s="0" t="s">
        <v>151</v>
      </c>
      <c r="X52" s="0" t="s">
        <v>1212</v>
      </c>
      <c r="Y52" s="0" t="n">
        <v>2300050954</v>
      </c>
      <c r="Z52" s="0" t="n">
        <v>51323115</v>
      </c>
      <c r="AB52" s="0" t="n">
        <v>2300050954</v>
      </c>
      <c r="AD52" s="0" t="n">
        <v>2408402</v>
      </c>
      <c r="AE52" s="0" t="s">
        <v>156</v>
      </c>
      <c r="AF52" s="0" t="n">
        <v>2408425</v>
      </c>
      <c r="AG52" s="0" t="s">
        <v>2783</v>
      </c>
      <c r="AH52" s="0" t="n">
        <v>1013001</v>
      </c>
      <c r="AI52" s="0" t="n">
        <v>1013001</v>
      </c>
      <c r="AJ52" s="0" t="s">
        <v>2784</v>
      </c>
      <c r="AK52" s="0" t="n">
        <v>0</v>
      </c>
      <c r="AL52" s="0" t="n">
        <v>31</v>
      </c>
      <c r="AM52" s="0" t="s">
        <v>225</v>
      </c>
      <c r="AP52" s="0" t="n">
        <v>45167654</v>
      </c>
      <c r="AQ52" s="145" t="n">
        <v>43768</v>
      </c>
      <c r="AR52" s="145" t="n">
        <v>43703</v>
      </c>
      <c r="AS52" s="146" t="n">
        <v>0.654363425925926</v>
      </c>
      <c r="AT52" s="0" t="n">
        <v>0</v>
      </c>
      <c r="AU52" s="105" t="n">
        <v>-7968.99</v>
      </c>
      <c r="AX52" s="0" t="n">
        <v>11</v>
      </c>
      <c r="AY52" s="105" t="n">
        <v>7968.99</v>
      </c>
      <c r="AZ52" s="105" t="n">
        <v>7968.99</v>
      </c>
      <c r="BA52" s="0" t="s">
        <v>2767</v>
      </c>
      <c r="BB52" s="0" t="s">
        <v>2768</v>
      </c>
      <c r="BC52" s="0" t="s">
        <v>2761</v>
      </c>
      <c r="BD52" s="0" t="s">
        <v>2762</v>
      </c>
      <c r="BE52" s="0" t="s">
        <v>2762</v>
      </c>
      <c r="BF52" s="0" t="n">
        <v>799949</v>
      </c>
      <c r="BG52" s="145" t="n">
        <v>43890.357037037</v>
      </c>
      <c r="BH52" s="0" t="s">
        <v>2769</v>
      </c>
      <c r="BI52" s="0" t="n">
        <v>341696</v>
      </c>
      <c r="BJ52" s="0" t="s">
        <v>2770</v>
      </c>
      <c r="BK52" s="0" t="n">
        <v>1</v>
      </c>
      <c r="BL52" s="0" t="s">
        <v>2781</v>
      </c>
      <c r="BM52" s="145" t="n">
        <v>43858.6422569445</v>
      </c>
    </row>
    <row r="53" customFormat="false" ht="14.4" hidden="false" customHeight="false" outlineLevel="0" collapsed="false">
      <c r="A53" s="0" t="n">
        <v>1000</v>
      </c>
      <c r="B53" s="0" t="s">
        <v>143</v>
      </c>
      <c r="C53" s="0" t="n">
        <v>51323124</v>
      </c>
      <c r="D53" s="0" t="s">
        <v>1563</v>
      </c>
      <c r="E53" s="0" t="s">
        <v>725</v>
      </c>
      <c r="F53" s="0" t="n">
        <v>7000</v>
      </c>
      <c r="G53" s="0" t="s">
        <v>2782</v>
      </c>
      <c r="H53" s="0" t="n">
        <v>2020</v>
      </c>
      <c r="I53" s="0" t="n">
        <v>5</v>
      </c>
      <c r="J53" s="145" t="n">
        <v>43641</v>
      </c>
      <c r="K53" s="145" t="n">
        <v>43703</v>
      </c>
      <c r="L53" s="105" t="n">
        <v>-44076.73</v>
      </c>
      <c r="M53" s="0" t="s">
        <v>149</v>
      </c>
      <c r="N53" s="105" t="n">
        <v>-44076.73</v>
      </c>
      <c r="O53" s="0" t="s">
        <v>149</v>
      </c>
      <c r="P53" s="105" t="n">
        <v>-44076.73</v>
      </c>
      <c r="Q53" s="0" t="n">
        <v>0</v>
      </c>
      <c r="R53" s="105" t="n">
        <v>-44076.73</v>
      </c>
      <c r="S53" s="0" t="n">
        <v>0</v>
      </c>
      <c r="T53" s="0" t="n">
        <v>0</v>
      </c>
      <c r="U53" s="0" t="s">
        <v>192</v>
      </c>
      <c r="V53" s="0" t="s">
        <v>151</v>
      </c>
      <c r="X53" s="0" t="s">
        <v>1212</v>
      </c>
      <c r="Y53" s="0" t="n">
        <v>2300050954</v>
      </c>
      <c r="Z53" s="0" t="n">
        <v>51323124</v>
      </c>
      <c r="AB53" s="0" t="n">
        <v>2300050954</v>
      </c>
      <c r="AD53" s="0" t="n">
        <v>2408402</v>
      </c>
      <c r="AE53" s="0" t="s">
        <v>156</v>
      </c>
      <c r="AF53" s="0" t="n">
        <v>2408425</v>
      </c>
      <c r="AG53" s="0" t="s">
        <v>2783</v>
      </c>
      <c r="AH53" s="0" t="n">
        <v>1013001</v>
      </c>
      <c r="AI53" s="0" t="n">
        <v>1013001</v>
      </c>
      <c r="AJ53" s="0" t="s">
        <v>2784</v>
      </c>
      <c r="AK53" s="0" t="n">
        <v>0</v>
      </c>
      <c r="AL53" s="0" t="n">
        <v>31</v>
      </c>
      <c r="AM53" s="0" t="s">
        <v>225</v>
      </c>
      <c r="AP53" s="0" t="n">
        <v>45167654</v>
      </c>
      <c r="AQ53" s="145" t="n">
        <v>43768</v>
      </c>
      <c r="AR53" s="145" t="n">
        <v>43703</v>
      </c>
      <c r="AS53" s="146" t="n">
        <v>0.656423611111111</v>
      </c>
      <c r="AT53" s="0" t="n">
        <v>0</v>
      </c>
      <c r="AU53" s="105" t="n">
        <v>-44076.73</v>
      </c>
      <c r="AX53" s="0" t="n">
        <v>10</v>
      </c>
      <c r="AY53" s="105" t="n">
        <v>44076.73</v>
      </c>
      <c r="AZ53" s="105" t="n">
        <v>44076.73</v>
      </c>
      <c r="BA53" s="0" t="s">
        <v>2767</v>
      </c>
      <c r="BB53" s="0" t="s">
        <v>2768</v>
      </c>
      <c r="BC53" s="0" t="s">
        <v>2761</v>
      </c>
      <c r="BD53" s="0" t="s">
        <v>2762</v>
      </c>
      <c r="BE53" s="0" t="s">
        <v>2762</v>
      </c>
      <c r="BF53" s="0" t="n">
        <v>799949</v>
      </c>
      <c r="BG53" s="145" t="n">
        <v>43890.357037037</v>
      </c>
      <c r="BH53" s="0" t="s">
        <v>2769</v>
      </c>
      <c r="BI53" s="0" t="n">
        <v>341699</v>
      </c>
      <c r="BJ53" s="0" t="s">
        <v>2770</v>
      </c>
      <c r="BK53" s="0" t="n">
        <v>1</v>
      </c>
      <c r="BL53" s="0" t="s">
        <v>2781</v>
      </c>
      <c r="BM53" s="145" t="n">
        <v>43858.6422569445</v>
      </c>
    </row>
    <row r="54" customFormat="false" ht="14.4" hidden="false" customHeight="false" outlineLevel="0" collapsed="false">
      <c r="A54" s="0" t="n">
        <v>1000</v>
      </c>
      <c r="B54" s="0" t="s">
        <v>143</v>
      </c>
      <c r="C54" s="0" t="n">
        <v>51323124</v>
      </c>
      <c r="D54" s="0" t="s">
        <v>1563</v>
      </c>
      <c r="E54" s="0" t="s">
        <v>725</v>
      </c>
      <c r="F54" s="0" t="n">
        <v>7000</v>
      </c>
      <c r="G54" s="0" t="s">
        <v>2782</v>
      </c>
      <c r="H54" s="0" t="n">
        <v>2020</v>
      </c>
      <c r="I54" s="0" t="n">
        <v>5</v>
      </c>
      <c r="J54" s="145" t="n">
        <v>43641</v>
      </c>
      <c r="K54" s="145" t="n">
        <v>43703</v>
      </c>
      <c r="L54" s="105" t="n">
        <v>-44076.73</v>
      </c>
      <c r="M54" s="0" t="s">
        <v>149</v>
      </c>
      <c r="N54" s="105" t="n">
        <v>-44076.73</v>
      </c>
      <c r="O54" s="0" t="s">
        <v>149</v>
      </c>
      <c r="P54" s="105" t="n">
        <v>-44076.73</v>
      </c>
      <c r="Q54" s="0" t="n">
        <v>0</v>
      </c>
      <c r="R54" s="105" t="n">
        <v>-44076.73</v>
      </c>
      <c r="S54" s="0" t="n">
        <v>0</v>
      </c>
      <c r="T54" s="0" t="n">
        <v>0</v>
      </c>
      <c r="U54" s="0" t="s">
        <v>192</v>
      </c>
      <c r="V54" s="0" t="s">
        <v>151</v>
      </c>
      <c r="X54" s="0" t="s">
        <v>1212</v>
      </c>
      <c r="Y54" s="0" t="n">
        <v>2300050954</v>
      </c>
      <c r="Z54" s="0" t="n">
        <v>51323124</v>
      </c>
      <c r="AB54" s="0" t="n">
        <v>2300050954</v>
      </c>
      <c r="AD54" s="0" t="n">
        <v>2408402</v>
      </c>
      <c r="AE54" s="0" t="s">
        <v>156</v>
      </c>
      <c r="AF54" s="0" t="n">
        <v>2408425</v>
      </c>
      <c r="AG54" s="0" t="s">
        <v>2783</v>
      </c>
      <c r="AH54" s="0" t="n">
        <v>1013001</v>
      </c>
      <c r="AI54" s="0" t="n">
        <v>1013001</v>
      </c>
      <c r="AJ54" s="0" t="s">
        <v>2784</v>
      </c>
      <c r="AK54" s="0" t="n">
        <v>0</v>
      </c>
      <c r="AL54" s="0" t="n">
        <v>31</v>
      </c>
      <c r="AM54" s="0" t="s">
        <v>225</v>
      </c>
      <c r="AP54" s="0" t="n">
        <v>45167654</v>
      </c>
      <c r="AQ54" s="145" t="n">
        <v>43768</v>
      </c>
      <c r="AR54" s="145" t="n">
        <v>43703</v>
      </c>
      <c r="AS54" s="146" t="n">
        <v>0.656423611111111</v>
      </c>
      <c r="AT54" s="0" t="n">
        <v>0</v>
      </c>
      <c r="AU54" s="105" t="n">
        <v>-44076.73</v>
      </c>
      <c r="AX54" s="0" t="n">
        <v>11</v>
      </c>
      <c r="AY54" s="105" t="n">
        <v>44076.73</v>
      </c>
      <c r="AZ54" s="105" t="n">
        <v>44076.73</v>
      </c>
      <c r="BA54" s="0" t="s">
        <v>2767</v>
      </c>
      <c r="BB54" s="0" t="s">
        <v>2768</v>
      </c>
      <c r="BC54" s="0" t="s">
        <v>2761</v>
      </c>
      <c r="BD54" s="0" t="s">
        <v>2762</v>
      </c>
      <c r="BE54" s="0" t="s">
        <v>2762</v>
      </c>
      <c r="BF54" s="0" t="n">
        <v>799949</v>
      </c>
      <c r="BG54" s="145" t="n">
        <v>43890.357037037</v>
      </c>
      <c r="BH54" s="0" t="s">
        <v>2769</v>
      </c>
      <c r="BI54" s="0" t="n">
        <v>341702</v>
      </c>
      <c r="BJ54" s="0" t="s">
        <v>2770</v>
      </c>
      <c r="BK54" s="0" t="n">
        <v>1</v>
      </c>
      <c r="BL54" s="0" t="s">
        <v>2781</v>
      </c>
      <c r="BM54" s="145" t="n">
        <v>43858.6422569445</v>
      </c>
    </row>
    <row r="55" customFormat="false" ht="14.4" hidden="false" customHeight="false" outlineLevel="0" collapsed="false">
      <c r="A55" s="0" t="n">
        <v>1000</v>
      </c>
      <c r="B55" s="0" t="s">
        <v>143</v>
      </c>
      <c r="C55" s="0" t="n">
        <v>51323181</v>
      </c>
      <c r="D55" s="0" t="s">
        <v>1550</v>
      </c>
      <c r="E55" s="0" t="s">
        <v>725</v>
      </c>
      <c r="F55" s="0" t="n">
        <v>7000</v>
      </c>
      <c r="G55" s="0" t="s">
        <v>2782</v>
      </c>
      <c r="H55" s="0" t="n">
        <v>2020</v>
      </c>
      <c r="I55" s="0" t="n">
        <v>5</v>
      </c>
      <c r="J55" s="145" t="n">
        <v>43642</v>
      </c>
      <c r="K55" s="145" t="n">
        <v>43703</v>
      </c>
      <c r="L55" s="105" t="n">
        <v>-5990.48</v>
      </c>
      <c r="M55" s="0" t="s">
        <v>149</v>
      </c>
      <c r="N55" s="105" t="n">
        <v>-5990.48</v>
      </c>
      <c r="O55" s="0" t="s">
        <v>149</v>
      </c>
      <c r="P55" s="105" t="n">
        <v>-5990.48</v>
      </c>
      <c r="Q55" s="0" t="n">
        <v>0</v>
      </c>
      <c r="R55" s="105" t="n">
        <v>-5990.48</v>
      </c>
      <c r="S55" s="0" t="n">
        <v>0</v>
      </c>
      <c r="T55" s="0" t="n">
        <v>0</v>
      </c>
      <c r="U55" s="0" t="s">
        <v>192</v>
      </c>
      <c r="V55" s="0" t="s">
        <v>151</v>
      </c>
      <c r="X55" s="0" t="s">
        <v>1212</v>
      </c>
      <c r="Y55" s="0" t="n">
        <v>2300050954</v>
      </c>
      <c r="Z55" s="0" t="n">
        <v>51323181</v>
      </c>
      <c r="AB55" s="0" t="n">
        <v>2300050954</v>
      </c>
      <c r="AD55" s="0" t="n">
        <v>2408402</v>
      </c>
      <c r="AE55" s="0" t="s">
        <v>156</v>
      </c>
      <c r="AF55" s="0" t="n">
        <v>2408425</v>
      </c>
      <c r="AG55" s="0" t="s">
        <v>2783</v>
      </c>
      <c r="AH55" s="0" t="n">
        <v>1013001</v>
      </c>
      <c r="AI55" s="0" t="n">
        <v>1013001</v>
      </c>
      <c r="AJ55" s="0" t="s">
        <v>2784</v>
      </c>
      <c r="AK55" s="0" t="n">
        <v>0</v>
      </c>
      <c r="AL55" s="0" t="n">
        <v>31</v>
      </c>
      <c r="AM55" s="0" t="s">
        <v>225</v>
      </c>
      <c r="AP55" s="0" t="n">
        <v>45167654</v>
      </c>
      <c r="AQ55" s="145" t="n">
        <v>43768</v>
      </c>
      <c r="AR55" s="145" t="n">
        <v>43703</v>
      </c>
      <c r="AS55" s="146" t="n">
        <v>0.666712962962963</v>
      </c>
      <c r="AT55" s="0" t="n">
        <v>0</v>
      </c>
      <c r="AU55" s="105" t="n">
        <v>-5990.48</v>
      </c>
      <c r="AX55" s="0" t="n">
        <v>10</v>
      </c>
      <c r="AY55" s="105" t="n">
        <v>5990.48</v>
      </c>
      <c r="AZ55" s="105" t="n">
        <v>5990.48</v>
      </c>
      <c r="BA55" s="0" t="s">
        <v>2767</v>
      </c>
      <c r="BB55" s="0" t="s">
        <v>2768</v>
      </c>
      <c r="BC55" s="0" t="s">
        <v>2761</v>
      </c>
      <c r="BD55" s="0" t="s">
        <v>2762</v>
      </c>
      <c r="BE55" s="0" t="s">
        <v>2762</v>
      </c>
      <c r="BF55" s="0" t="n">
        <v>799949</v>
      </c>
      <c r="BG55" s="145" t="n">
        <v>43890.357037037</v>
      </c>
      <c r="BH55" s="0" t="s">
        <v>2769</v>
      </c>
      <c r="BI55" s="0" t="n">
        <v>341706</v>
      </c>
      <c r="BJ55" s="0" t="s">
        <v>2770</v>
      </c>
      <c r="BK55" s="0" t="n">
        <v>1</v>
      </c>
      <c r="BL55" s="0" t="s">
        <v>2781</v>
      </c>
      <c r="BM55" s="145" t="n">
        <v>43858.6422569445</v>
      </c>
    </row>
    <row r="56" customFormat="false" ht="14.4" hidden="false" customHeight="false" outlineLevel="0" collapsed="false">
      <c r="A56" s="0" t="n">
        <v>1000</v>
      </c>
      <c r="B56" s="0" t="s">
        <v>143</v>
      </c>
      <c r="C56" s="0" t="n">
        <v>51322504</v>
      </c>
      <c r="D56" s="0" t="s">
        <v>1791</v>
      </c>
      <c r="E56" s="0" t="s">
        <v>725</v>
      </c>
      <c r="F56" s="0" t="n">
        <v>7000</v>
      </c>
      <c r="G56" s="0" t="s">
        <v>2782</v>
      </c>
      <c r="H56" s="0" t="n">
        <v>2020</v>
      </c>
      <c r="I56" s="0" t="n">
        <v>5</v>
      </c>
      <c r="J56" s="145" t="n">
        <v>43598</v>
      </c>
      <c r="K56" s="145" t="n">
        <v>43703</v>
      </c>
      <c r="L56" s="105" t="n">
        <v>-2053579.97</v>
      </c>
      <c r="M56" s="0" t="s">
        <v>149</v>
      </c>
      <c r="N56" s="105" t="n">
        <v>-2053579.97</v>
      </c>
      <c r="O56" s="0" t="s">
        <v>149</v>
      </c>
      <c r="P56" s="105" t="n">
        <v>-2053579.97</v>
      </c>
      <c r="Q56" s="0" t="n">
        <v>0</v>
      </c>
      <c r="R56" s="105" t="n">
        <v>-2053579.97</v>
      </c>
      <c r="S56" s="0" t="n">
        <v>0</v>
      </c>
      <c r="T56" s="0" t="n">
        <v>0</v>
      </c>
      <c r="U56" s="0" t="s">
        <v>192</v>
      </c>
      <c r="V56" s="0" t="s">
        <v>151</v>
      </c>
      <c r="X56" s="0" t="s">
        <v>1212</v>
      </c>
      <c r="Y56" s="0" t="n">
        <v>2300050954</v>
      </c>
      <c r="Z56" s="0" t="n">
        <v>51322504</v>
      </c>
      <c r="AB56" s="0" t="n">
        <v>2300050954</v>
      </c>
      <c r="AD56" s="0" t="n">
        <v>2408402</v>
      </c>
      <c r="AE56" s="0" t="s">
        <v>156</v>
      </c>
      <c r="AF56" s="0" t="n">
        <v>2408425</v>
      </c>
      <c r="AG56" s="0" t="s">
        <v>2783</v>
      </c>
      <c r="AH56" s="0" t="n">
        <v>1013001</v>
      </c>
      <c r="AI56" s="0" t="n">
        <v>1013001</v>
      </c>
      <c r="AJ56" s="0" t="s">
        <v>2784</v>
      </c>
      <c r="AK56" s="0" t="n">
        <v>0</v>
      </c>
      <c r="AL56" s="0" t="n">
        <v>31</v>
      </c>
      <c r="AM56" s="0" t="s">
        <v>225</v>
      </c>
      <c r="AP56" s="0" t="n">
        <v>45122600</v>
      </c>
      <c r="AQ56" s="145" t="n">
        <v>43704</v>
      </c>
      <c r="AR56" s="145" t="n">
        <v>43703</v>
      </c>
      <c r="AS56" s="146" t="n">
        <v>0.532673611111111</v>
      </c>
      <c r="AT56" s="0" t="n">
        <v>0</v>
      </c>
      <c r="AU56" s="105" t="n">
        <v>-2053579.97</v>
      </c>
      <c r="AX56" s="0" t="n">
        <v>8</v>
      </c>
      <c r="AY56" s="105" t="n">
        <v>2053579.97</v>
      </c>
      <c r="AZ56" s="105" t="n">
        <v>2053579.97</v>
      </c>
      <c r="BA56" s="0" t="s">
        <v>2767</v>
      </c>
      <c r="BB56" s="0" t="s">
        <v>2768</v>
      </c>
      <c r="BC56" s="0" t="s">
        <v>2761</v>
      </c>
      <c r="BD56" s="0" t="s">
        <v>2762</v>
      </c>
      <c r="BE56" s="0" t="s">
        <v>2762</v>
      </c>
      <c r="BF56" s="0" t="n">
        <v>799949</v>
      </c>
      <c r="BG56" s="145" t="n">
        <v>43890.357037037</v>
      </c>
      <c r="BH56" s="0" t="s">
        <v>2769</v>
      </c>
      <c r="BI56" s="0" t="n">
        <v>341826</v>
      </c>
      <c r="BJ56" s="0" t="s">
        <v>2770</v>
      </c>
      <c r="BK56" s="0" t="n">
        <v>1</v>
      </c>
      <c r="BL56" s="0" t="s">
        <v>2781</v>
      </c>
      <c r="BM56" s="145" t="n">
        <v>43858.6422569445</v>
      </c>
    </row>
    <row r="57" customFormat="false" ht="14.4" hidden="false" customHeight="false" outlineLevel="0" collapsed="false">
      <c r="A57" s="0" t="n">
        <v>1000</v>
      </c>
      <c r="B57" s="0" t="s">
        <v>143</v>
      </c>
      <c r="C57" s="0" t="n">
        <v>51322559</v>
      </c>
      <c r="D57" s="0" t="s">
        <v>1699</v>
      </c>
      <c r="E57" s="0" t="s">
        <v>725</v>
      </c>
      <c r="F57" s="0" t="n">
        <v>7000</v>
      </c>
      <c r="G57" s="0" t="s">
        <v>2782</v>
      </c>
      <c r="H57" s="0" t="n">
        <v>2020</v>
      </c>
      <c r="I57" s="0" t="n">
        <v>5</v>
      </c>
      <c r="J57" s="145" t="n">
        <v>43619</v>
      </c>
      <c r="K57" s="145" t="n">
        <v>43703</v>
      </c>
      <c r="L57" s="105" t="n">
        <v>-2642185.7</v>
      </c>
      <c r="M57" s="0" t="s">
        <v>149</v>
      </c>
      <c r="N57" s="105" t="n">
        <v>-2642185.7</v>
      </c>
      <c r="O57" s="0" t="s">
        <v>149</v>
      </c>
      <c r="P57" s="105" t="n">
        <v>-2642185.7</v>
      </c>
      <c r="Q57" s="0" t="n">
        <v>0</v>
      </c>
      <c r="R57" s="105" t="n">
        <v>-2642185.7</v>
      </c>
      <c r="S57" s="0" t="n">
        <v>0</v>
      </c>
      <c r="T57" s="0" t="n">
        <v>0</v>
      </c>
      <c r="U57" s="0" t="s">
        <v>192</v>
      </c>
      <c r="V57" s="0" t="s">
        <v>151</v>
      </c>
      <c r="X57" s="0" t="s">
        <v>1212</v>
      </c>
      <c r="Y57" s="0" t="n">
        <v>2300050954</v>
      </c>
      <c r="Z57" s="0" t="n">
        <v>51322559</v>
      </c>
      <c r="AB57" s="0" t="n">
        <v>2300050954</v>
      </c>
      <c r="AD57" s="0" t="n">
        <v>2408402</v>
      </c>
      <c r="AE57" s="0" t="s">
        <v>156</v>
      </c>
      <c r="AF57" s="0" t="n">
        <v>2408425</v>
      </c>
      <c r="AG57" s="0" t="s">
        <v>2783</v>
      </c>
      <c r="AH57" s="0" t="n">
        <v>1013001</v>
      </c>
      <c r="AI57" s="0" t="n">
        <v>1013001</v>
      </c>
      <c r="AJ57" s="0" t="s">
        <v>2784</v>
      </c>
      <c r="AK57" s="0" t="n">
        <v>0</v>
      </c>
      <c r="AL57" s="0" t="n">
        <v>31</v>
      </c>
      <c r="AM57" s="0" t="s">
        <v>225</v>
      </c>
      <c r="AP57" s="0" t="n">
        <v>45122600</v>
      </c>
      <c r="AQ57" s="145" t="n">
        <v>43704</v>
      </c>
      <c r="AR57" s="145" t="n">
        <v>43703</v>
      </c>
      <c r="AS57" s="146" t="n">
        <v>0.540219907407407</v>
      </c>
      <c r="AT57" s="0" t="n">
        <v>0</v>
      </c>
      <c r="AU57" s="105" t="n">
        <v>-2642185.7</v>
      </c>
      <c r="AX57" s="0" t="n">
        <v>9</v>
      </c>
      <c r="AY57" s="105" t="n">
        <v>2642185.7</v>
      </c>
      <c r="AZ57" s="105" t="n">
        <v>2642185.7</v>
      </c>
      <c r="BA57" s="0" t="s">
        <v>2767</v>
      </c>
      <c r="BB57" s="0" t="s">
        <v>2768</v>
      </c>
      <c r="BC57" s="0" t="s">
        <v>2761</v>
      </c>
      <c r="BD57" s="0" t="s">
        <v>2762</v>
      </c>
      <c r="BE57" s="0" t="s">
        <v>2762</v>
      </c>
      <c r="BF57" s="0" t="n">
        <v>799949</v>
      </c>
      <c r="BG57" s="145" t="n">
        <v>43890.357037037</v>
      </c>
      <c r="BH57" s="0" t="s">
        <v>2769</v>
      </c>
      <c r="BI57" s="0" t="n">
        <v>341829</v>
      </c>
      <c r="BJ57" s="0" t="s">
        <v>2770</v>
      </c>
      <c r="BK57" s="0" t="n">
        <v>1</v>
      </c>
      <c r="BL57" s="0" t="s">
        <v>2781</v>
      </c>
      <c r="BM57" s="145" t="n">
        <v>43858.6422569445</v>
      </c>
    </row>
    <row r="58" customFormat="false" ht="14.4" hidden="false" customHeight="false" outlineLevel="0" collapsed="false">
      <c r="A58" s="0" t="n">
        <v>1000</v>
      </c>
      <c r="B58" s="0" t="s">
        <v>143</v>
      </c>
      <c r="C58" s="0" t="n">
        <v>51322559</v>
      </c>
      <c r="D58" s="0" t="s">
        <v>1699</v>
      </c>
      <c r="E58" s="0" t="s">
        <v>725</v>
      </c>
      <c r="F58" s="0" t="n">
        <v>7000</v>
      </c>
      <c r="G58" s="0" t="s">
        <v>2782</v>
      </c>
      <c r="H58" s="0" t="n">
        <v>2020</v>
      </c>
      <c r="I58" s="0" t="n">
        <v>5</v>
      </c>
      <c r="J58" s="145" t="n">
        <v>43619</v>
      </c>
      <c r="K58" s="145" t="n">
        <v>43703</v>
      </c>
      <c r="L58" s="105" t="n">
        <v>-155422.68</v>
      </c>
      <c r="M58" s="0" t="s">
        <v>149</v>
      </c>
      <c r="N58" s="105" t="n">
        <v>-155422.68</v>
      </c>
      <c r="O58" s="0" t="s">
        <v>149</v>
      </c>
      <c r="P58" s="105" t="n">
        <v>-155422.68</v>
      </c>
      <c r="Q58" s="0" t="n">
        <v>0</v>
      </c>
      <c r="R58" s="105" t="n">
        <v>-155422.68</v>
      </c>
      <c r="S58" s="0" t="n">
        <v>0</v>
      </c>
      <c r="T58" s="0" t="n">
        <v>0</v>
      </c>
      <c r="U58" s="0" t="s">
        <v>192</v>
      </c>
      <c r="V58" s="0" t="s">
        <v>151</v>
      </c>
      <c r="X58" s="0" t="s">
        <v>1212</v>
      </c>
      <c r="Y58" s="0" t="n">
        <v>2300050954</v>
      </c>
      <c r="Z58" s="0" t="n">
        <v>51322559</v>
      </c>
      <c r="AB58" s="0" t="n">
        <v>2300050954</v>
      </c>
      <c r="AD58" s="0" t="n">
        <v>2408402</v>
      </c>
      <c r="AE58" s="0" t="s">
        <v>156</v>
      </c>
      <c r="AF58" s="0" t="n">
        <v>2408425</v>
      </c>
      <c r="AG58" s="0" t="s">
        <v>2783</v>
      </c>
      <c r="AH58" s="0" t="n">
        <v>1013001</v>
      </c>
      <c r="AI58" s="0" t="n">
        <v>1013001</v>
      </c>
      <c r="AJ58" s="0" t="s">
        <v>2784</v>
      </c>
      <c r="AK58" s="0" t="n">
        <v>0</v>
      </c>
      <c r="AL58" s="0" t="n">
        <v>31</v>
      </c>
      <c r="AM58" s="0" t="s">
        <v>225</v>
      </c>
      <c r="AP58" s="0" t="n">
        <v>45167654</v>
      </c>
      <c r="AQ58" s="145" t="n">
        <v>43768</v>
      </c>
      <c r="AR58" s="145" t="n">
        <v>43703</v>
      </c>
      <c r="AS58" s="146" t="n">
        <v>0.540219907407407</v>
      </c>
      <c r="AT58" s="0" t="n">
        <v>0</v>
      </c>
      <c r="AU58" s="105" t="n">
        <v>-155422.68</v>
      </c>
      <c r="AX58" s="0" t="n">
        <v>12</v>
      </c>
      <c r="AY58" s="105" t="n">
        <v>155422.68</v>
      </c>
      <c r="AZ58" s="105" t="n">
        <v>155422.68</v>
      </c>
      <c r="BA58" s="0" t="s">
        <v>2767</v>
      </c>
      <c r="BB58" s="0" t="s">
        <v>2768</v>
      </c>
      <c r="BC58" s="0" t="s">
        <v>2761</v>
      </c>
      <c r="BD58" s="0" t="s">
        <v>2762</v>
      </c>
      <c r="BE58" s="0" t="s">
        <v>2762</v>
      </c>
      <c r="BF58" s="0" t="n">
        <v>799949</v>
      </c>
      <c r="BG58" s="145" t="n">
        <v>43890.357037037</v>
      </c>
      <c r="BH58" s="0" t="s">
        <v>2769</v>
      </c>
      <c r="BI58" s="0" t="n">
        <v>341833</v>
      </c>
      <c r="BJ58" s="0" t="s">
        <v>2770</v>
      </c>
      <c r="BK58" s="0" t="n">
        <v>1</v>
      </c>
      <c r="BL58" s="0" t="s">
        <v>2781</v>
      </c>
      <c r="BM58" s="145" t="n">
        <v>43858.6422569445</v>
      </c>
    </row>
    <row r="59" customFormat="false" ht="14.4" hidden="false" customHeight="false" outlineLevel="0" collapsed="false">
      <c r="A59" s="0" t="n">
        <v>1000</v>
      </c>
      <c r="B59" s="0" t="s">
        <v>143</v>
      </c>
      <c r="C59" s="0" t="n">
        <v>51322577</v>
      </c>
      <c r="D59" s="0" t="s">
        <v>1696</v>
      </c>
      <c r="E59" s="0" t="s">
        <v>725</v>
      </c>
      <c r="F59" s="0" t="n">
        <v>7000</v>
      </c>
      <c r="G59" s="0" t="s">
        <v>2782</v>
      </c>
      <c r="H59" s="0" t="n">
        <v>2020</v>
      </c>
      <c r="I59" s="0" t="n">
        <v>5</v>
      </c>
      <c r="J59" s="145" t="n">
        <v>43620</v>
      </c>
      <c r="K59" s="145" t="n">
        <v>43703</v>
      </c>
      <c r="L59" s="105" t="n">
        <v>-116676.94</v>
      </c>
      <c r="M59" s="0" t="s">
        <v>149</v>
      </c>
      <c r="N59" s="105" t="n">
        <v>-116676.94</v>
      </c>
      <c r="O59" s="0" t="s">
        <v>149</v>
      </c>
      <c r="P59" s="105" t="n">
        <v>-116676.94</v>
      </c>
      <c r="Q59" s="0" t="n">
        <v>0</v>
      </c>
      <c r="R59" s="105" t="n">
        <v>-116676.94</v>
      </c>
      <c r="S59" s="0" t="n">
        <v>0</v>
      </c>
      <c r="T59" s="0" t="n">
        <v>0</v>
      </c>
      <c r="U59" s="0" t="s">
        <v>192</v>
      </c>
      <c r="V59" s="0" t="s">
        <v>151</v>
      </c>
      <c r="X59" s="0" t="s">
        <v>1212</v>
      </c>
      <c r="Y59" s="0" t="n">
        <v>2300050954</v>
      </c>
      <c r="Z59" s="0" t="n">
        <v>51322577</v>
      </c>
      <c r="AB59" s="0" t="n">
        <v>2300050954</v>
      </c>
      <c r="AD59" s="0" t="n">
        <v>2408402</v>
      </c>
      <c r="AE59" s="0" t="s">
        <v>156</v>
      </c>
      <c r="AF59" s="0" t="n">
        <v>2408425</v>
      </c>
      <c r="AG59" s="0" t="s">
        <v>2783</v>
      </c>
      <c r="AH59" s="0" t="n">
        <v>1013001</v>
      </c>
      <c r="AI59" s="0" t="n">
        <v>1013001</v>
      </c>
      <c r="AJ59" s="0" t="s">
        <v>2784</v>
      </c>
      <c r="AK59" s="0" t="n">
        <v>0</v>
      </c>
      <c r="AL59" s="0" t="n">
        <v>31</v>
      </c>
      <c r="AM59" s="0" t="s">
        <v>225</v>
      </c>
      <c r="AP59" s="0" t="n">
        <v>45167654</v>
      </c>
      <c r="AQ59" s="145" t="n">
        <v>43768</v>
      </c>
      <c r="AR59" s="145" t="n">
        <v>43703</v>
      </c>
      <c r="AS59" s="146" t="n">
        <v>0.542488425925926</v>
      </c>
      <c r="AT59" s="0" t="n">
        <v>0</v>
      </c>
      <c r="AU59" s="105" t="n">
        <v>-116676.94</v>
      </c>
      <c r="AX59" s="0" t="n">
        <v>12</v>
      </c>
      <c r="AY59" s="105" t="n">
        <v>116676.94</v>
      </c>
      <c r="AZ59" s="105" t="n">
        <v>116676.94</v>
      </c>
      <c r="BA59" s="0" t="s">
        <v>2767</v>
      </c>
      <c r="BB59" s="0" t="s">
        <v>2768</v>
      </c>
      <c r="BC59" s="0" t="s">
        <v>2761</v>
      </c>
      <c r="BD59" s="0" t="s">
        <v>2762</v>
      </c>
      <c r="BE59" s="0" t="s">
        <v>2762</v>
      </c>
      <c r="BF59" s="0" t="n">
        <v>799949</v>
      </c>
      <c r="BG59" s="145" t="n">
        <v>43890.357037037</v>
      </c>
      <c r="BH59" s="0" t="s">
        <v>2769</v>
      </c>
      <c r="BI59" s="0" t="n">
        <v>341837</v>
      </c>
      <c r="BJ59" s="0" t="s">
        <v>2770</v>
      </c>
      <c r="BK59" s="0" t="n">
        <v>1</v>
      </c>
      <c r="BL59" s="0" t="s">
        <v>2781</v>
      </c>
      <c r="BM59" s="145" t="n">
        <v>43858.6422569445</v>
      </c>
    </row>
    <row r="60" customFormat="false" ht="14.4" hidden="false" customHeight="false" outlineLevel="0" collapsed="false">
      <c r="A60" s="0" t="n">
        <v>1000</v>
      </c>
      <c r="B60" s="0" t="s">
        <v>143</v>
      </c>
      <c r="C60" s="0" t="n">
        <v>51322577</v>
      </c>
      <c r="D60" s="0" t="s">
        <v>1696</v>
      </c>
      <c r="E60" s="0" t="s">
        <v>725</v>
      </c>
      <c r="F60" s="0" t="n">
        <v>7000</v>
      </c>
      <c r="G60" s="0" t="s">
        <v>2782</v>
      </c>
      <c r="H60" s="0" t="n">
        <v>2020</v>
      </c>
      <c r="I60" s="0" t="n">
        <v>5</v>
      </c>
      <c r="J60" s="145" t="n">
        <v>43620</v>
      </c>
      <c r="K60" s="145" t="n">
        <v>43703</v>
      </c>
      <c r="L60" s="105" t="n">
        <v>-116676.93</v>
      </c>
      <c r="M60" s="0" t="s">
        <v>149</v>
      </c>
      <c r="N60" s="105" t="n">
        <v>-116676.93</v>
      </c>
      <c r="O60" s="0" t="s">
        <v>149</v>
      </c>
      <c r="P60" s="105" t="n">
        <v>-116676.93</v>
      </c>
      <c r="Q60" s="0" t="n">
        <v>0</v>
      </c>
      <c r="R60" s="105" t="n">
        <v>-116676.93</v>
      </c>
      <c r="S60" s="0" t="n">
        <v>0</v>
      </c>
      <c r="T60" s="0" t="n">
        <v>0</v>
      </c>
      <c r="U60" s="0" t="s">
        <v>192</v>
      </c>
      <c r="V60" s="0" t="s">
        <v>151</v>
      </c>
      <c r="X60" s="0" t="s">
        <v>1212</v>
      </c>
      <c r="Y60" s="0" t="n">
        <v>2300050954</v>
      </c>
      <c r="Z60" s="0" t="n">
        <v>51322577</v>
      </c>
      <c r="AB60" s="0" t="n">
        <v>2300050954</v>
      </c>
      <c r="AD60" s="0" t="n">
        <v>2408402</v>
      </c>
      <c r="AE60" s="0" t="s">
        <v>156</v>
      </c>
      <c r="AF60" s="0" t="n">
        <v>2408425</v>
      </c>
      <c r="AG60" s="0" t="s">
        <v>2783</v>
      </c>
      <c r="AH60" s="0" t="n">
        <v>1013001</v>
      </c>
      <c r="AI60" s="0" t="n">
        <v>1013001</v>
      </c>
      <c r="AJ60" s="0" t="s">
        <v>2784</v>
      </c>
      <c r="AK60" s="0" t="n">
        <v>0</v>
      </c>
      <c r="AL60" s="0" t="n">
        <v>31</v>
      </c>
      <c r="AM60" s="0" t="s">
        <v>225</v>
      </c>
      <c r="AP60" s="0" t="n">
        <v>45167654</v>
      </c>
      <c r="AQ60" s="145" t="n">
        <v>43768</v>
      </c>
      <c r="AR60" s="145" t="n">
        <v>43703</v>
      </c>
      <c r="AS60" s="146" t="n">
        <v>0.542488425925926</v>
      </c>
      <c r="AT60" s="0" t="n">
        <v>0</v>
      </c>
      <c r="AU60" s="105" t="n">
        <v>-116676.93</v>
      </c>
      <c r="AX60" s="0" t="n">
        <v>10</v>
      </c>
      <c r="AY60" s="105" t="n">
        <v>116676.93</v>
      </c>
      <c r="AZ60" s="105" t="n">
        <v>116676.93</v>
      </c>
      <c r="BA60" s="0" t="s">
        <v>2767</v>
      </c>
      <c r="BB60" s="0" t="s">
        <v>2768</v>
      </c>
      <c r="BC60" s="0" t="s">
        <v>2761</v>
      </c>
      <c r="BD60" s="0" t="s">
        <v>2762</v>
      </c>
      <c r="BE60" s="0" t="s">
        <v>2762</v>
      </c>
      <c r="BF60" s="0" t="n">
        <v>799949</v>
      </c>
      <c r="BG60" s="145" t="n">
        <v>43890.357037037</v>
      </c>
      <c r="BH60" s="0" t="s">
        <v>2769</v>
      </c>
      <c r="BI60" s="0" t="n">
        <v>341841</v>
      </c>
      <c r="BJ60" s="0" t="s">
        <v>2770</v>
      </c>
      <c r="BK60" s="0" t="n">
        <v>1</v>
      </c>
      <c r="BL60" s="0" t="s">
        <v>2781</v>
      </c>
      <c r="BM60" s="145" t="n">
        <v>43858.6422569445</v>
      </c>
    </row>
    <row r="61" customFormat="false" ht="14.4" hidden="false" customHeight="false" outlineLevel="0" collapsed="false">
      <c r="A61" s="0" t="n">
        <v>1000</v>
      </c>
      <c r="B61" s="0" t="s">
        <v>143</v>
      </c>
      <c r="C61" s="0" t="n">
        <v>51322577</v>
      </c>
      <c r="D61" s="0" t="s">
        <v>1696</v>
      </c>
      <c r="E61" s="0" t="s">
        <v>725</v>
      </c>
      <c r="F61" s="0" t="n">
        <v>7000</v>
      </c>
      <c r="G61" s="0" t="s">
        <v>2782</v>
      </c>
      <c r="H61" s="0" t="n">
        <v>2020</v>
      </c>
      <c r="I61" s="0" t="n">
        <v>5</v>
      </c>
      <c r="J61" s="145" t="n">
        <v>43620</v>
      </c>
      <c r="K61" s="145" t="n">
        <v>43703</v>
      </c>
      <c r="L61" s="105" t="n">
        <v>-116676.93</v>
      </c>
      <c r="M61" s="0" t="s">
        <v>149</v>
      </c>
      <c r="N61" s="105" t="n">
        <v>-116676.93</v>
      </c>
      <c r="O61" s="0" t="s">
        <v>149</v>
      </c>
      <c r="P61" s="105" t="n">
        <v>-116676.93</v>
      </c>
      <c r="Q61" s="0" t="n">
        <v>0</v>
      </c>
      <c r="R61" s="105" t="n">
        <v>-116676.93</v>
      </c>
      <c r="S61" s="0" t="n">
        <v>0</v>
      </c>
      <c r="T61" s="0" t="n">
        <v>0</v>
      </c>
      <c r="U61" s="0" t="s">
        <v>192</v>
      </c>
      <c r="V61" s="0" t="s">
        <v>151</v>
      </c>
      <c r="X61" s="0" t="s">
        <v>1212</v>
      </c>
      <c r="Y61" s="0" t="n">
        <v>2300050954</v>
      </c>
      <c r="Z61" s="0" t="n">
        <v>51322577</v>
      </c>
      <c r="AB61" s="0" t="n">
        <v>2300050954</v>
      </c>
      <c r="AD61" s="0" t="n">
        <v>2408402</v>
      </c>
      <c r="AE61" s="0" t="s">
        <v>156</v>
      </c>
      <c r="AF61" s="0" t="n">
        <v>2408425</v>
      </c>
      <c r="AG61" s="0" t="s">
        <v>2783</v>
      </c>
      <c r="AH61" s="0" t="n">
        <v>1013001</v>
      </c>
      <c r="AI61" s="0" t="n">
        <v>1013001</v>
      </c>
      <c r="AJ61" s="0" t="s">
        <v>2784</v>
      </c>
      <c r="AK61" s="0" t="n">
        <v>0</v>
      </c>
      <c r="AL61" s="0" t="n">
        <v>31</v>
      </c>
      <c r="AM61" s="0" t="s">
        <v>225</v>
      </c>
      <c r="AP61" s="0" t="n">
        <v>45167654</v>
      </c>
      <c r="AQ61" s="145" t="n">
        <v>43768</v>
      </c>
      <c r="AR61" s="145" t="n">
        <v>43703</v>
      </c>
      <c r="AS61" s="146" t="n">
        <v>0.542488425925926</v>
      </c>
      <c r="AT61" s="0" t="n">
        <v>0</v>
      </c>
      <c r="AU61" s="105" t="n">
        <v>-116676.93</v>
      </c>
      <c r="AX61" s="0" t="n">
        <v>11</v>
      </c>
      <c r="AY61" s="105" t="n">
        <v>116676.93</v>
      </c>
      <c r="AZ61" s="105" t="n">
        <v>116676.93</v>
      </c>
      <c r="BA61" s="0" t="s">
        <v>2767</v>
      </c>
      <c r="BB61" s="0" t="s">
        <v>2768</v>
      </c>
      <c r="BC61" s="0" t="s">
        <v>2761</v>
      </c>
      <c r="BD61" s="0" t="s">
        <v>2762</v>
      </c>
      <c r="BE61" s="0" t="s">
        <v>2762</v>
      </c>
      <c r="BF61" s="0" t="n">
        <v>799949</v>
      </c>
      <c r="BG61" s="145" t="n">
        <v>43890.357037037</v>
      </c>
      <c r="BH61" s="0" t="s">
        <v>2769</v>
      </c>
      <c r="BI61" s="0" t="n">
        <v>341846</v>
      </c>
      <c r="BJ61" s="0" t="s">
        <v>2770</v>
      </c>
      <c r="BK61" s="0" t="n">
        <v>1</v>
      </c>
      <c r="BL61" s="0" t="s">
        <v>2781</v>
      </c>
      <c r="BM61" s="145" t="n">
        <v>43858.6422569445</v>
      </c>
    </row>
    <row r="62" customFormat="false" ht="14.4" hidden="false" customHeight="false" outlineLevel="0" collapsed="false">
      <c r="A62" s="0" t="n">
        <v>1000</v>
      </c>
      <c r="B62" s="0" t="s">
        <v>143</v>
      </c>
      <c r="C62" s="0" t="n">
        <v>51322687</v>
      </c>
      <c r="D62" s="0" t="s">
        <v>1620</v>
      </c>
      <c r="E62" s="0" t="s">
        <v>725</v>
      </c>
      <c r="F62" s="0" t="n">
        <v>7000</v>
      </c>
      <c r="G62" s="0" t="s">
        <v>2782</v>
      </c>
      <c r="H62" s="0" t="n">
        <v>2020</v>
      </c>
      <c r="I62" s="0" t="n">
        <v>5</v>
      </c>
      <c r="J62" s="145" t="n">
        <v>43623</v>
      </c>
      <c r="K62" s="145" t="n">
        <v>43703</v>
      </c>
      <c r="L62" s="105" t="n">
        <v>-73864.25</v>
      </c>
      <c r="M62" s="0" t="s">
        <v>149</v>
      </c>
      <c r="N62" s="105" t="n">
        <v>-73864.25</v>
      </c>
      <c r="O62" s="0" t="s">
        <v>149</v>
      </c>
      <c r="P62" s="105" t="n">
        <v>-73864.25</v>
      </c>
      <c r="Q62" s="0" t="n">
        <v>0</v>
      </c>
      <c r="R62" s="105" t="n">
        <v>-73864.25</v>
      </c>
      <c r="S62" s="0" t="n">
        <v>0</v>
      </c>
      <c r="T62" s="0" t="n">
        <v>0</v>
      </c>
      <c r="U62" s="0" t="s">
        <v>192</v>
      </c>
      <c r="V62" s="0" t="s">
        <v>151</v>
      </c>
      <c r="X62" s="0" t="s">
        <v>1212</v>
      </c>
      <c r="Y62" s="0" t="n">
        <v>2300050954</v>
      </c>
      <c r="Z62" s="0" t="n">
        <v>51322687</v>
      </c>
      <c r="AB62" s="0" t="n">
        <v>2300050954</v>
      </c>
      <c r="AD62" s="0" t="n">
        <v>2408402</v>
      </c>
      <c r="AE62" s="0" t="s">
        <v>156</v>
      </c>
      <c r="AF62" s="0" t="n">
        <v>2408425</v>
      </c>
      <c r="AG62" s="0" t="s">
        <v>2783</v>
      </c>
      <c r="AH62" s="0" t="n">
        <v>1013001</v>
      </c>
      <c r="AI62" s="0" t="n">
        <v>1013001</v>
      </c>
      <c r="AJ62" s="0" t="s">
        <v>2784</v>
      </c>
      <c r="AK62" s="0" t="n">
        <v>0</v>
      </c>
      <c r="AL62" s="0" t="n">
        <v>31</v>
      </c>
      <c r="AM62" s="0" t="s">
        <v>225</v>
      </c>
      <c r="AP62" s="0" t="n">
        <v>45167654</v>
      </c>
      <c r="AQ62" s="145" t="n">
        <v>43768</v>
      </c>
      <c r="AR62" s="145" t="n">
        <v>43703</v>
      </c>
      <c r="AS62" s="146" t="n">
        <v>0.576655092592593</v>
      </c>
      <c r="AT62" s="0" t="n">
        <v>0</v>
      </c>
      <c r="AU62" s="105" t="n">
        <v>-73864.25</v>
      </c>
      <c r="AX62" s="0" t="n">
        <v>10</v>
      </c>
      <c r="AY62" s="105" t="n">
        <v>73864.25</v>
      </c>
      <c r="AZ62" s="105" t="n">
        <v>73864.25</v>
      </c>
      <c r="BA62" s="0" t="s">
        <v>2767</v>
      </c>
      <c r="BB62" s="0" t="s">
        <v>2768</v>
      </c>
      <c r="BC62" s="0" t="s">
        <v>2761</v>
      </c>
      <c r="BD62" s="0" t="s">
        <v>2762</v>
      </c>
      <c r="BE62" s="0" t="s">
        <v>2762</v>
      </c>
      <c r="BF62" s="0" t="n">
        <v>799949</v>
      </c>
      <c r="BG62" s="145" t="n">
        <v>43890.357037037</v>
      </c>
      <c r="BH62" s="0" t="s">
        <v>2769</v>
      </c>
      <c r="BI62" s="0" t="n">
        <v>341854</v>
      </c>
      <c r="BJ62" s="0" t="s">
        <v>2770</v>
      </c>
      <c r="BK62" s="0" t="n">
        <v>1</v>
      </c>
      <c r="BL62" s="0" t="s">
        <v>2781</v>
      </c>
      <c r="BM62" s="145" t="n">
        <v>43858.6422569445</v>
      </c>
    </row>
    <row r="63" customFormat="false" ht="14.4" hidden="false" customHeight="false" outlineLevel="0" collapsed="false">
      <c r="A63" s="0" t="n">
        <v>1000</v>
      </c>
      <c r="B63" s="0" t="s">
        <v>143</v>
      </c>
      <c r="C63" s="0" t="n">
        <v>51322687</v>
      </c>
      <c r="D63" s="0" t="s">
        <v>1620</v>
      </c>
      <c r="E63" s="0" t="s">
        <v>725</v>
      </c>
      <c r="F63" s="0" t="n">
        <v>7000</v>
      </c>
      <c r="G63" s="0" t="s">
        <v>2782</v>
      </c>
      <c r="H63" s="0" t="n">
        <v>2020</v>
      </c>
      <c r="I63" s="0" t="n">
        <v>5</v>
      </c>
      <c r="J63" s="145" t="n">
        <v>43623</v>
      </c>
      <c r="K63" s="145" t="n">
        <v>43703</v>
      </c>
      <c r="L63" s="105" t="n">
        <v>-73864.25</v>
      </c>
      <c r="M63" s="0" t="s">
        <v>149</v>
      </c>
      <c r="N63" s="105" t="n">
        <v>-73864.25</v>
      </c>
      <c r="O63" s="0" t="s">
        <v>149</v>
      </c>
      <c r="P63" s="105" t="n">
        <v>-73864.25</v>
      </c>
      <c r="Q63" s="0" t="n">
        <v>0</v>
      </c>
      <c r="R63" s="105" t="n">
        <v>-73864.25</v>
      </c>
      <c r="S63" s="0" t="n">
        <v>0</v>
      </c>
      <c r="T63" s="0" t="n">
        <v>0</v>
      </c>
      <c r="U63" s="0" t="s">
        <v>192</v>
      </c>
      <c r="V63" s="0" t="s">
        <v>151</v>
      </c>
      <c r="X63" s="0" t="s">
        <v>1212</v>
      </c>
      <c r="Y63" s="0" t="n">
        <v>2300050954</v>
      </c>
      <c r="Z63" s="0" t="n">
        <v>51322687</v>
      </c>
      <c r="AB63" s="0" t="n">
        <v>2300050954</v>
      </c>
      <c r="AD63" s="0" t="n">
        <v>2408402</v>
      </c>
      <c r="AE63" s="0" t="s">
        <v>156</v>
      </c>
      <c r="AF63" s="0" t="n">
        <v>2408425</v>
      </c>
      <c r="AG63" s="0" t="s">
        <v>2783</v>
      </c>
      <c r="AH63" s="0" t="n">
        <v>1013001</v>
      </c>
      <c r="AI63" s="0" t="n">
        <v>1013001</v>
      </c>
      <c r="AJ63" s="0" t="s">
        <v>2784</v>
      </c>
      <c r="AK63" s="0" t="n">
        <v>0</v>
      </c>
      <c r="AL63" s="0" t="n">
        <v>31</v>
      </c>
      <c r="AM63" s="0" t="s">
        <v>225</v>
      </c>
      <c r="AP63" s="0" t="n">
        <v>45167654</v>
      </c>
      <c r="AQ63" s="145" t="n">
        <v>43768</v>
      </c>
      <c r="AR63" s="145" t="n">
        <v>43703</v>
      </c>
      <c r="AS63" s="146" t="n">
        <v>0.576655092592593</v>
      </c>
      <c r="AT63" s="0" t="n">
        <v>0</v>
      </c>
      <c r="AU63" s="105" t="n">
        <v>-73864.25</v>
      </c>
      <c r="AX63" s="0" t="n">
        <v>9</v>
      </c>
      <c r="AY63" s="105" t="n">
        <v>73864.25</v>
      </c>
      <c r="AZ63" s="105" t="n">
        <v>73864.25</v>
      </c>
      <c r="BA63" s="0" t="s">
        <v>2767</v>
      </c>
      <c r="BB63" s="0" t="s">
        <v>2768</v>
      </c>
      <c r="BC63" s="0" t="s">
        <v>2761</v>
      </c>
      <c r="BD63" s="0" t="s">
        <v>2762</v>
      </c>
      <c r="BE63" s="0" t="s">
        <v>2762</v>
      </c>
      <c r="BF63" s="0" t="n">
        <v>799949</v>
      </c>
      <c r="BG63" s="145" t="n">
        <v>43890.357037037</v>
      </c>
      <c r="BH63" s="0" t="s">
        <v>2769</v>
      </c>
      <c r="BI63" s="0" t="n">
        <v>341858</v>
      </c>
      <c r="BJ63" s="0" t="s">
        <v>2770</v>
      </c>
      <c r="BK63" s="0" t="n">
        <v>1</v>
      </c>
      <c r="BL63" s="0" t="s">
        <v>2781</v>
      </c>
      <c r="BM63" s="145" t="n">
        <v>43858.6422569445</v>
      </c>
    </row>
    <row r="64" customFormat="false" ht="14.4" hidden="false" customHeight="false" outlineLevel="0" collapsed="false">
      <c r="A64" s="0" t="n">
        <v>1000</v>
      </c>
      <c r="B64" s="0" t="s">
        <v>143</v>
      </c>
      <c r="C64" s="0" t="n">
        <v>51322690</v>
      </c>
      <c r="D64" s="0" t="s">
        <v>1623</v>
      </c>
      <c r="E64" s="0" t="s">
        <v>725</v>
      </c>
      <c r="F64" s="0" t="n">
        <v>7000</v>
      </c>
      <c r="G64" s="0" t="s">
        <v>2782</v>
      </c>
      <c r="H64" s="0" t="n">
        <v>2020</v>
      </c>
      <c r="I64" s="0" t="n">
        <v>5</v>
      </c>
      <c r="J64" s="145" t="n">
        <v>43623</v>
      </c>
      <c r="K64" s="145" t="n">
        <v>43703</v>
      </c>
      <c r="L64" s="105" t="n">
        <v>-55782.89</v>
      </c>
      <c r="M64" s="0" t="s">
        <v>149</v>
      </c>
      <c r="N64" s="105" t="n">
        <v>-55782.89</v>
      </c>
      <c r="O64" s="0" t="s">
        <v>149</v>
      </c>
      <c r="P64" s="105" t="n">
        <v>-55782.89</v>
      </c>
      <c r="Q64" s="0" t="n">
        <v>0</v>
      </c>
      <c r="R64" s="105" t="n">
        <v>-55782.89</v>
      </c>
      <c r="S64" s="0" t="n">
        <v>0</v>
      </c>
      <c r="T64" s="0" t="n">
        <v>0</v>
      </c>
      <c r="U64" s="0" t="s">
        <v>192</v>
      </c>
      <c r="V64" s="0" t="s">
        <v>151</v>
      </c>
      <c r="X64" s="0" t="s">
        <v>1212</v>
      </c>
      <c r="Y64" s="0" t="n">
        <v>2300050954</v>
      </c>
      <c r="Z64" s="0" t="n">
        <v>51322690</v>
      </c>
      <c r="AB64" s="0" t="n">
        <v>2300050954</v>
      </c>
      <c r="AD64" s="0" t="n">
        <v>2408402</v>
      </c>
      <c r="AE64" s="0" t="s">
        <v>156</v>
      </c>
      <c r="AF64" s="0" t="n">
        <v>2408425</v>
      </c>
      <c r="AG64" s="0" t="s">
        <v>2783</v>
      </c>
      <c r="AH64" s="0" t="n">
        <v>1013001</v>
      </c>
      <c r="AI64" s="0" t="n">
        <v>1013001</v>
      </c>
      <c r="AJ64" s="0" t="s">
        <v>2784</v>
      </c>
      <c r="AK64" s="0" t="n">
        <v>0</v>
      </c>
      <c r="AL64" s="0" t="n">
        <v>31</v>
      </c>
      <c r="AM64" s="0" t="s">
        <v>225</v>
      </c>
      <c r="AP64" s="0" t="n">
        <v>45167654</v>
      </c>
      <c r="AQ64" s="145" t="n">
        <v>43768</v>
      </c>
      <c r="AR64" s="145" t="n">
        <v>43703</v>
      </c>
      <c r="AS64" s="146" t="n">
        <v>0.579270833333333</v>
      </c>
      <c r="AT64" s="0" t="n">
        <v>0</v>
      </c>
      <c r="AU64" s="105" t="n">
        <v>-55782.89</v>
      </c>
      <c r="AX64" s="0" t="n">
        <v>12</v>
      </c>
      <c r="AY64" s="105" t="n">
        <v>55782.89</v>
      </c>
      <c r="AZ64" s="105" t="n">
        <v>55782.89</v>
      </c>
      <c r="BA64" s="0" t="s">
        <v>2767</v>
      </c>
      <c r="BB64" s="0" t="s">
        <v>2768</v>
      </c>
      <c r="BC64" s="0" t="s">
        <v>2761</v>
      </c>
      <c r="BD64" s="0" t="s">
        <v>2762</v>
      </c>
      <c r="BE64" s="0" t="s">
        <v>2762</v>
      </c>
      <c r="BF64" s="0" t="n">
        <v>799949</v>
      </c>
      <c r="BG64" s="145" t="n">
        <v>43890.357037037</v>
      </c>
      <c r="BH64" s="0" t="s">
        <v>2769</v>
      </c>
      <c r="BI64" s="0" t="n">
        <v>341863</v>
      </c>
      <c r="BJ64" s="0" t="s">
        <v>2770</v>
      </c>
      <c r="BK64" s="0" t="n">
        <v>1</v>
      </c>
      <c r="BL64" s="0" t="s">
        <v>2781</v>
      </c>
      <c r="BM64" s="145" t="n">
        <v>43858.6422569445</v>
      </c>
    </row>
    <row r="65" customFormat="false" ht="14.4" hidden="false" customHeight="false" outlineLevel="0" collapsed="false">
      <c r="A65" s="0" t="n">
        <v>1000</v>
      </c>
      <c r="B65" s="0" t="s">
        <v>143</v>
      </c>
      <c r="C65" s="0" t="n">
        <v>51322696</v>
      </c>
      <c r="D65" s="0" t="s">
        <v>1617</v>
      </c>
      <c r="E65" s="0" t="s">
        <v>725</v>
      </c>
      <c r="F65" s="0" t="n">
        <v>7000</v>
      </c>
      <c r="G65" s="0" t="s">
        <v>2782</v>
      </c>
      <c r="H65" s="0" t="n">
        <v>2020</v>
      </c>
      <c r="I65" s="0" t="n">
        <v>5</v>
      </c>
      <c r="J65" s="145" t="n">
        <v>43624</v>
      </c>
      <c r="K65" s="145" t="n">
        <v>43703</v>
      </c>
      <c r="L65" s="105" t="n">
        <v>-1359398.94</v>
      </c>
      <c r="M65" s="0" t="s">
        <v>149</v>
      </c>
      <c r="N65" s="105" t="n">
        <v>-1359398.94</v>
      </c>
      <c r="O65" s="0" t="s">
        <v>149</v>
      </c>
      <c r="P65" s="105" t="n">
        <v>-1359398.94</v>
      </c>
      <c r="Q65" s="0" t="n">
        <v>0</v>
      </c>
      <c r="R65" s="105" t="n">
        <v>-1359398.94</v>
      </c>
      <c r="S65" s="0" t="n">
        <v>0</v>
      </c>
      <c r="T65" s="0" t="n">
        <v>0</v>
      </c>
      <c r="U65" s="0" t="s">
        <v>192</v>
      </c>
      <c r="V65" s="0" t="s">
        <v>151</v>
      </c>
      <c r="X65" s="0" t="s">
        <v>1212</v>
      </c>
      <c r="Y65" s="0" t="n">
        <v>2300050954</v>
      </c>
      <c r="Z65" s="0" t="n">
        <v>51322696</v>
      </c>
      <c r="AB65" s="0" t="n">
        <v>2300050954</v>
      </c>
      <c r="AD65" s="0" t="n">
        <v>2408402</v>
      </c>
      <c r="AE65" s="0" t="s">
        <v>156</v>
      </c>
      <c r="AF65" s="0" t="n">
        <v>2408425</v>
      </c>
      <c r="AG65" s="0" t="s">
        <v>2783</v>
      </c>
      <c r="AH65" s="0" t="n">
        <v>1013001</v>
      </c>
      <c r="AI65" s="0" t="n">
        <v>1013001</v>
      </c>
      <c r="AJ65" s="0" t="s">
        <v>2784</v>
      </c>
      <c r="AK65" s="0" t="n">
        <v>0</v>
      </c>
      <c r="AL65" s="0" t="n">
        <v>31</v>
      </c>
      <c r="AM65" s="0" t="s">
        <v>225</v>
      </c>
      <c r="AP65" s="0" t="n">
        <v>45122600</v>
      </c>
      <c r="AQ65" s="145" t="n">
        <v>43704</v>
      </c>
      <c r="AR65" s="145" t="n">
        <v>43703</v>
      </c>
      <c r="AS65" s="146" t="n">
        <v>0.582372685185185</v>
      </c>
      <c r="AT65" s="0" t="n">
        <v>0</v>
      </c>
      <c r="AU65" s="105" t="n">
        <v>-1359398.94</v>
      </c>
      <c r="AX65" s="0" t="n">
        <v>9</v>
      </c>
      <c r="AY65" s="105" t="n">
        <v>1359398.94</v>
      </c>
      <c r="AZ65" s="105" t="n">
        <v>1359398.94</v>
      </c>
      <c r="BA65" s="0" t="s">
        <v>2767</v>
      </c>
      <c r="BB65" s="0" t="s">
        <v>2768</v>
      </c>
      <c r="BC65" s="0" t="s">
        <v>2761</v>
      </c>
      <c r="BD65" s="0" t="s">
        <v>2762</v>
      </c>
      <c r="BE65" s="0" t="s">
        <v>2762</v>
      </c>
      <c r="BF65" s="0" t="n">
        <v>799949</v>
      </c>
      <c r="BG65" s="145" t="n">
        <v>43890.357037037</v>
      </c>
      <c r="BH65" s="0" t="s">
        <v>2769</v>
      </c>
      <c r="BI65" s="0" t="n">
        <v>341867</v>
      </c>
      <c r="BJ65" s="0" t="s">
        <v>2770</v>
      </c>
      <c r="BK65" s="0" t="n">
        <v>1</v>
      </c>
      <c r="BL65" s="0" t="s">
        <v>2781</v>
      </c>
      <c r="BM65" s="145" t="n">
        <v>43858.6422569445</v>
      </c>
    </row>
    <row r="66" customFormat="false" ht="14.4" hidden="false" customHeight="false" outlineLevel="0" collapsed="false">
      <c r="A66" s="0" t="n">
        <v>1000</v>
      </c>
      <c r="B66" s="0" t="s">
        <v>143</v>
      </c>
      <c r="C66" s="0" t="n">
        <v>51322696</v>
      </c>
      <c r="D66" s="0" t="s">
        <v>1617</v>
      </c>
      <c r="E66" s="0" t="s">
        <v>725</v>
      </c>
      <c r="F66" s="0" t="n">
        <v>7000</v>
      </c>
      <c r="G66" s="0" t="s">
        <v>2782</v>
      </c>
      <c r="H66" s="0" t="n">
        <v>2020</v>
      </c>
      <c r="I66" s="0" t="n">
        <v>5</v>
      </c>
      <c r="J66" s="145" t="n">
        <v>43624</v>
      </c>
      <c r="K66" s="145" t="n">
        <v>43703</v>
      </c>
      <c r="L66" s="105" t="n">
        <v>-79964.65</v>
      </c>
      <c r="M66" s="0" t="s">
        <v>149</v>
      </c>
      <c r="N66" s="105" t="n">
        <v>-79964.65</v>
      </c>
      <c r="O66" s="0" t="s">
        <v>149</v>
      </c>
      <c r="P66" s="105" t="n">
        <v>-79964.65</v>
      </c>
      <c r="Q66" s="0" t="n">
        <v>0</v>
      </c>
      <c r="R66" s="105" t="n">
        <v>-79964.65</v>
      </c>
      <c r="S66" s="0" t="n">
        <v>0</v>
      </c>
      <c r="T66" s="0" t="n">
        <v>0</v>
      </c>
      <c r="U66" s="0" t="s">
        <v>192</v>
      </c>
      <c r="V66" s="0" t="s">
        <v>151</v>
      </c>
      <c r="X66" s="0" t="s">
        <v>1212</v>
      </c>
      <c r="Y66" s="0" t="n">
        <v>2300050954</v>
      </c>
      <c r="Z66" s="0" t="n">
        <v>51322696</v>
      </c>
      <c r="AB66" s="0" t="n">
        <v>2300050954</v>
      </c>
      <c r="AD66" s="0" t="n">
        <v>2408402</v>
      </c>
      <c r="AE66" s="0" t="s">
        <v>156</v>
      </c>
      <c r="AF66" s="0" t="n">
        <v>2408425</v>
      </c>
      <c r="AG66" s="0" t="s">
        <v>2783</v>
      </c>
      <c r="AH66" s="0" t="n">
        <v>1013001</v>
      </c>
      <c r="AI66" s="0" t="n">
        <v>1013001</v>
      </c>
      <c r="AJ66" s="0" t="s">
        <v>2784</v>
      </c>
      <c r="AK66" s="0" t="n">
        <v>0</v>
      </c>
      <c r="AL66" s="0" t="n">
        <v>31</v>
      </c>
      <c r="AM66" s="0" t="s">
        <v>225</v>
      </c>
      <c r="AP66" s="0" t="n">
        <v>45167654</v>
      </c>
      <c r="AQ66" s="145" t="n">
        <v>43768</v>
      </c>
      <c r="AR66" s="145" t="n">
        <v>43703</v>
      </c>
      <c r="AS66" s="146" t="n">
        <v>0.582372685185185</v>
      </c>
      <c r="AT66" s="0" t="n">
        <v>0</v>
      </c>
      <c r="AU66" s="105" t="n">
        <v>-79964.65</v>
      </c>
      <c r="AX66" s="0" t="n">
        <v>12</v>
      </c>
      <c r="AY66" s="105" t="n">
        <v>79964.65</v>
      </c>
      <c r="AZ66" s="105" t="n">
        <v>79964.65</v>
      </c>
      <c r="BA66" s="0" t="s">
        <v>2767</v>
      </c>
      <c r="BB66" s="0" t="s">
        <v>2768</v>
      </c>
      <c r="BC66" s="0" t="s">
        <v>2761</v>
      </c>
      <c r="BD66" s="0" t="s">
        <v>2762</v>
      </c>
      <c r="BE66" s="0" t="s">
        <v>2762</v>
      </c>
      <c r="BF66" s="0" t="n">
        <v>799949</v>
      </c>
      <c r="BG66" s="145" t="n">
        <v>43890.357037037</v>
      </c>
      <c r="BH66" s="0" t="s">
        <v>2769</v>
      </c>
      <c r="BI66" s="0" t="n">
        <v>341871</v>
      </c>
      <c r="BJ66" s="0" t="s">
        <v>2770</v>
      </c>
      <c r="BK66" s="0" t="n">
        <v>1</v>
      </c>
      <c r="BL66" s="0" t="s">
        <v>2781</v>
      </c>
      <c r="BM66" s="145" t="n">
        <v>43858.6422569445</v>
      </c>
    </row>
    <row r="67" customFormat="false" ht="14.4" hidden="false" customHeight="false" outlineLevel="0" collapsed="false">
      <c r="A67" s="0" t="n">
        <v>1000</v>
      </c>
      <c r="B67" s="0" t="s">
        <v>143</v>
      </c>
      <c r="C67" s="0" t="n">
        <v>51322696</v>
      </c>
      <c r="D67" s="0" t="s">
        <v>1617</v>
      </c>
      <c r="E67" s="0" t="s">
        <v>725</v>
      </c>
      <c r="F67" s="0" t="n">
        <v>7000</v>
      </c>
      <c r="G67" s="0" t="s">
        <v>2782</v>
      </c>
      <c r="H67" s="0" t="n">
        <v>2020</v>
      </c>
      <c r="I67" s="0" t="n">
        <v>5</v>
      </c>
      <c r="J67" s="145" t="n">
        <v>43624</v>
      </c>
      <c r="K67" s="145" t="n">
        <v>43703</v>
      </c>
      <c r="L67" s="105" t="n">
        <v>-79964.64</v>
      </c>
      <c r="M67" s="0" t="s">
        <v>149</v>
      </c>
      <c r="N67" s="105" t="n">
        <v>-79964.64</v>
      </c>
      <c r="O67" s="0" t="s">
        <v>149</v>
      </c>
      <c r="P67" s="105" t="n">
        <v>-79964.64</v>
      </c>
      <c r="Q67" s="0" t="n">
        <v>0</v>
      </c>
      <c r="R67" s="105" t="n">
        <v>-79964.64</v>
      </c>
      <c r="S67" s="0" t="n">
        <v>0</v>
      </c>
      <c r="T67" s="0" t="n">
        <v>0</v>
      </c>
      <c r="U67" s="0" t="s">
        <v>192</v>
      </c>
      <c r="V67" s="0" t="s">
        <v>151</v>
      </c>
      <c r="X67" s="0" t="s">
        <v>1212</v>
      </c>
      <c r="Y67" s="0" t="n">
        <v>2300050954</v>
      </c>
      <c r="Z67" s="0" t="n">
        <v>51322696</v>
      </c>
      <c r="AB67" s="0" t="n">
        <v>2300050954</v>
      </c>
      <c r="AD67" s="0" t="n">
        <v>2408402</v>
      </c>
      <c r="AE67" s="0" t="s">
        <v>156</v>
      </c>
      <c r="AF67" s="0" t="n">
        <v>2408425</v>
      </c>
      <c r="AG67" s="0" t="s">
        <v>2783</v>
      </c>
      <c r="AH67" s="0" t="n">
        <v>1013001</v>
      </c>
      <c r="AI67" s="0" t="n">
        <v>1013001</v>
      </c>
      <c r="AJ67" s="0" t="s">
        <v>2784</v>
      </c>
      <c r="AK67" s="0" t="n">
        <v>0</v>
      </c>
      <c r="AL67" s="0" t="n">
        <v>31</v>
      </c>
      <c r="AM67" s="0" t="s">
        <v>225</v>
      </c>
      <c r="AP67" s="0" t="n">
        <v>45167654</v>
      </c>
      <c r="AQ67" s="145" t="n">
        <v>43768</v>
      </c>
      <c r="AR67" s="145" t="n">
        <v>43703</v>
      </c>
      <c r="AS67" s="146" t="n">
        <v>0.582372685185185</v>
      </c>
      <c r="AT67" s="0" t="n">
        <v>0</v>
      </c>
      <c r="AU67" s="105" t="n">
        <v>-79964.64</v>
      </c>
      <c r="AX67" s="0" t="n">
        <v>10</v>
      </c>
      <c r="AY67" s="105" t="n">
        <v>79964.64</v>
      </c>
      <c r="AZ67" s="105" t="n">
        <v>79964.64</v>
      </c>
      <c r="BA67" s="0" t="s">
        <v>2767</v>
      </c>
      <c r="BB67" s="0" t="s">
        <v>2768</v>
      </c>
      <c r="BC67" s="0" t="s">
        <v>2761</v>
      </c>
      <c r="BD67" s="0" t="s">
        <v>2762</v>
      </c>
      <c r="BE67" s="0" t="s">
        <v>2762</v>
      </c>
      <c r="BF67" s="0" t="n">
        <v>799949</v>
      </c>
      <c r="BG67" s="145" t="n">
        <v>43890.357037037</v>
      </c>
      <c r="BH67" s="0" t="s">
        <v>2769</v>
      </c>
      <c r="BI67" s="0" t="n">
        <v>341874</v>
      </c>
      <c r="BJ67" s="0" t="s">
        <v>2770</v>
      </c>
      <c r="BK67" s="0" t="n">
        <v>1</v>
      </c>
      <c r="BL67" s="0" t="s">
        <v>2781</v>
      </c>
      <c r="BM67" s="145" t="n">
        <v>43858.6422569445</v>
      </c>
    </row>
    <row r="68" customFormat="false" ht="14.4" hidden="false" customHeight="false" outlineLevel="0" collapsed="false">
      <c r="A68" s="0" t="n">
        <v>1000</v>
      </c>
      <c r="B68" s="0" t="s">
        <v>143</v>
      </c>
      <c r="C68" s="0" t="n">
        <v>51322696</v>
      </c>
      <c r="D68" s="0" t="s">
        <v>1617</v>
      </c>
      <c r="E68" s="0" t="s">
        <v>725</v>
      </c>
      <c r="F68" s="0" t="n">
        <v>7000</v>
      </c>
      <c r="G68" s="0" t="s">
        <v>2782</v>
      </c>
      <c r="H68" s="0" t="n">
        <v>2020</v>
      </c>
      <c r="I68" s="0" t="n">
        <v>5</v>
      </c>
      <c r="J68" s="145" t="n">
        <v>43624</v>
      </c>
      <c r="K68" s="145" t="n">
        <v>43703</v>
      </c>
      <c r="L68" s="105" t="n">
        <v>-79964.64</v>
      </c>
      <c r="M68" s="0" t="s">
        <v>149</v>
      </c>
      <c r="N68" s="105" t="n">
        <v>-79964.64</v>
      </c>
      <c r="O68" s="0" t="s">
        <v>149</v>
      </c>
      <c r="P68" s="105" t="n">
        <v>-79964.64</v>
      </c>
      <c r="Q68" s="0" t="n">
        <v>0</v>
      </c>
      <c r="R68" s="105" t="n">
        <v>-79964.64</v>
      </c>
      <c r="S68" s="0" t="n">
        <v>0</v>
      </c>
      <c r="T68" s="0" t="n">
        <v>0</v>
      </c>
      <c r="U68" s="0" t="s">
        <v>192</v>
      </c>
      <c r="V68" s="0" t="s">
        <v>151</v>
      </c>
      <c r="X68" s="0" t="s">
        <v>1212</v>
      </c>
      <c r="Y68" s="0" t="n">
        <v>2300050954</v>
      </c>
      <c r="Z68" s="0" t="n">
        <v>51322696</v>
      </c>
      <c r="AB68" s="0" t="n">
        <v>2300050954</v>
      </c>
      <c r="AD68" s="0" t="n">
        <v>2408402</v>
      </c>
      <c r="AE68" s="0" t="s">
        <v>156</v>
      </c>
      <c r="AF68" s="0" t="n">
        <v>2408425</v>
      </c>
      <c r="AG68" s="0" t="s">
        <v>2783</v>
      </c>
      <c r="AH68" s="0" t="n">
        <v>1013001</v>
      </c>
      <c r="AI68" s="0" t="n">
        <v>1013001</v>
      </c>
      <c r="AJ68" s="0" t="s">
        <v>2784</v>
      </c>
      <c r="AK68" s="0" t="n">
        <v>0</v>
      </c>
      <c r="AL68" s="0" t="n">
        <v>31</v>
      </c>
      <c r="AM68" s="0" t="s">
        <v>225</v>
      </c>
      <c r="AP68" s="0" t="n">
        <v>45167654</v>
      </c>
      <c r="AQ68" s="145" t="n">
        <v>43768</v>
      </c>
      <c r="AR68" s="145" t="n">
        <v>43703</v>
      </c>
      <c r="AS68" s="146" t="n">
        <v>0.582372685185185</v>
      </c>
      <c r="AT68" s="0" t="n">
        <v>0</v>
      </c>
      <c r="AU68" s="105" t="n">
        <v>-79964.64</v>
      </c>
      <c r="AX68" s="0" t="n">
        <v>11</v>
      </c>
      <c r="AY68" s="105" t="n">
        <v>79964.64</v>
      </c>
      <c r="AZ68" s="105" t="n">
        <v>79964.64</v>
      </c>
      <c r="BA68" s="0" t="s">
        <v>2767</v>
      </c>
      <c r="BB68" s="0" t="s">
        <v>2768</v>
      </c>
      <c r="BC68" s="0" t="s">
        <v>2761</v>
      </c>
      <c r="BD68" s="0" t="s">
        <v>2762</v>
      </c>
      <c r="BE68" s="0" t="s">
        <v>2762</v>
      </c>
      <c r="BF68" s="0" t="n">
        <v>799949</v>
      </c>
      <c r="BG68" s="145" t="n">
        <v>43890.357037037</v>
      </c>
      <c r="BH68" s="0" t="s">
        <v>2769</v>
      </c>
      <c r="BI68" s="0" t="n">
        <v>341877</v>
      </c>
      <c r="BJ68" s="0" t="s">
        <v>2770</v>
      </c>
      <c r="BK68" s="0" t="n">
        <v>1</v>
      </c>
      <c r="BL68" s="0" t="s">
        <v>2781</v>
      </c>
      <c r="BM68" s="145" t="n">
        <v>43858.6422569445</v>
      </c>
    </row>
    <row r="69" customFormat="false" ht="14.4" hidden="false" customHeight="false" outlineLevel="0" collapsed="false">
      <c r="A69" s="0" t="n">
        <v>1000</v>
      </c>
      <c r="B69" s="0" t="s">
        <v>143</v>
      </c>
      <c r="C69" s="0" t="n">
        <v>51323124</v>
      </c>
      <c r="D69" s="0" t="s">
        <v>1563</v>
      </c>
      <c r="E69" s="0" t="s">
        <v>725</v>
      </c>
      <c r="F69" s="0" t="n">
        <v>7000</v>
      </c>
      <c r="G69" s="0" t="s">
        <v>2782</v>
      </c>
      <c r="H69" s="0" t="n">
        <v>2020</v>
      </c>
      <c r="I69" s="0" t="n">
        <v>5</v>
      </c>
      <c r="J69" s="145" t="n">
        <v>43641</v>
      </c>
      <c r="K69" s="145" t="n">
        <v>43703</v>
      </c>
      <c r="L69" s="105" t="n">
        <v>-44076.73</v>
      </c>
      <c r="M69" s="0" t="s">
        <v>149</v>
      </c>
      <c r="N69" s="105" t="n">
        <v>-44076.73</v>
      </c>
      <c r="O69" s="0" t="s">
        <v>149</v>
      </c>
      <c r="P69" s="105" t="n">
        <v>-44076.73</v>
      </c>
      <c r="Q69" s="0" t="n">
        <v>0</v>
      </c>
      <c r="R69" s="105" t="n">
        <v>-44076.73</v>
      </c>
      <c r="S69" s="0" t="n">
        <v>0</v>
      </c>
      <c r="T69" s="0" t="n">
        <v>0</v>
      </c>
      <c r="U69" s="0" t="s">
        <v>192</v>
      </c>
      <c r="V69" s="0" t="s">
        <v>151</v>
      </c>
      <c r="X69" s="0" t="s">
        <v>1212</v>
      </c>
      <c r="Y69" s="0" t="n">
        <v>2300050954</v>
      </c>
      <c r="Z69" s="0" t="n">
        <v>51323124</v>
      </c>
      <c r="AB69" s="0" t="n">
        <v>2300050954</v>
      </c>
      <c r="AD69" s="0" t="n">
        <v>2408402</v>
      </c>
      <c r="AE69" s="0" t="s">
        <v>156</v>
      </c>
      <c r="AF69" s="0" t="n">
        <v>2408425</v>
      </c>
      <c r="AG69" s="0" t="s">
        <v>2783</v>
      </c>
      <c r="AH69" s="0" t="n">
        <v>1013001</v>
      </c>
      <c r="AI69" s="0" t="n">
        <v>1013001</v>
      </c>
      <c r="AJ69" s="0" t="s">
        <v>2784</v>
      </c>
      <c r="AK69" s="0" t="n">
        <v>0</v>
      </c>
      <c r="AL69" s="0" t="n">
        <v>31</v>
      </c>
      <c r="AM69" s="0" t="s">
        <v>225</v>
      </c>
      <c r="AP69" s="0" t="n">
        <v>45167654</v>
      </c>
      <c r="AQ69" s="145" t="n">
        <v>43768</v>
      </c>
      <c r="AR69" s="145" t="n">
        <v>43703</v>
      </c>
      <c r="AS69" s="146" t="n">
        <v>0.656423611111111</v>
      </c>
      <c r="AT69" s="0" t="n">
        <v>0</v>
      </c>
      <c r="AU69" s="105" t="n">
        <v>-44076.73</v>
      </c>
      <c r="AX69" s="0" t="n">
        <v>12</v>
      </c>
      <c r="AY69" s="105" t="n">
        <v>44076.73</v>
      </c>
      <c r="AZ69" s="105" t="n">
        <v>44076.73</v>
      </c>
      <c r="BA69" s="0" t="s">
        <v>2767</v>
      </c>
      <c r="BB69" s="0" t="s">
        <v>2768</v>
      </c>
      <c r="BC69" s="0" t="s">
        <v>2761</v>
      </c>
      <c r="BD69" s="0" t="s">
        <v>2762</v>
      </c>
      <c r="BE69" s="0" t="s">
        <v>2762</v>
      </c>
      <c r="BF69" s="0" t="n">
        <v>799949</v>
      </c>
      <c r="BG69" s="145" t="n">
        <v>43890.357037037</v>
      </c>
      <c r="BH69" s="0" t="s">
        <v>2769</v>
      </c>
      <c r="BI69" s="0" t="n">
        <v>341881</v>
      </c>
      <c r="BJ69" s="0" t="s">
        <v>2770</v>
      </c>
      <c r="BK69" s="0" t="n">
        <v>1</v>
      </c>
      <c r="BL69" s="0" t="s">
        <v>2781</v>
      </c>
      <c r="BM69" s="145" t="n">
        <v>43858.6422569445</v>
      </c>
    </row>
    <row r="70" customFormat="false" ht="14.4" hidden="false" customHeight="false" outlineLevel="0" collapsed="false">
      <c r="A70" s="0" t="n">
        <v>1000</v>
      </c>
      <c r="B70" s="0" t="s">
        <v>143</v>
      </c>
      <c r="C70" s="0" t="n">
        <v>51323181</v>
      </c>
      <c r="D70" s="0" t="s">
        <v>1550</v>
      </c>
      <c r="E70" s="0" t="s">
        <v>725</v>
      </c>
      <c r="F70" s="0" t="n">
        <v>7000</v>
      </c>
      <c r="G70" s="0" t="s">
        <v>2782</v>
      </c>
      <c r="H70" s="0" t="n">
        <v>2020</v>
      </c>
      <c r="I70" s="0" t="n">
        <v>5</v>
      </c>
      <c r="J70" s="145" t="n">
        <v>43642</v>
      </c>
      <c r="K70" s="145" t="n">
        <v>43703</v>
      </c>
      <c r="L70" s="105" t="n">
        <v>-101838.13</v>
      </c>
      <c r="M70" s="0" t="s">
        <v>149</v>
      </c>
      <c r="N70" s="105" t="n">
        <v>-101838.13</v>
      </c>
      <c r="O70" s="0" t="s">
        <v>149</v>
      </c>
      <c r="P70" s="105" t="n">
        <v>-101838.13</v>
      </c>
      <c r="Q70" s="0" t="n">
        <v>0</v>
      </c>
      <c r="R70" s="105" t="n">
        <v>-101838.13</v>
      </c>
      <c r="S70" s="0" t="n">
        <v>0</v>
      </c>
      <c r="T70" s="0" t="n">
        <v>0</v>
      </c>
      <c r="U70" s="0" t="s">
        <v>192</v>
      </c>
      <c r="V70" s="0" t="s">
        <v>151</v>
      </c>
      <c r="X70" s="0" t="s">
        <v>1212</v>
      </c>
      <c r="Y70" s="0" t="n">
        <v>2300050954</v>
      </c>
      <c r="Z70" s="0" t="n">
        <v>51323181</v>
      </c>
      <c r="AB70" s="0" t="n">
        <v>2300050954</v>
      </c>
      <c r="AD70" s="0" t="n">
        <v>2408402</v>
      </c>
      <c r="AE70" s="0" t="s">
        <v>156</v>
      </c>
      <c r="AF70" s="0" t="n">
        <v>2408425</v>
      </c>
      <c r="AG70" s="0" t="s">
        <v>2783</v>
      </c>
      <c r="AH70" s="0" t="n">
        <v>1013001</v>
      </c>
      <c r="AI70" s="0" t="n">
        <v>1013001</v>
      </c>
      <c r="AJ70" s="0" t="s">
        <v>2784</v>
      </c>
      <c r="AK70" s="0" t="n">
        <v>0</v>
      </c>
      <c r="AL70" s="0" t="n">
        <v>31</v>
      </c>
      <c r="AM70" s="0" t="s">
        <v>225</v>
      </c>
      <c r="AP70" s="0" t="n">
        <v>45122600</v>
      </c>
      <c r="AQ70" s="145" t="n">
        <v>43704</v>
      </c>
      <c r="AR70" s="145" t="n">
        <v>43703</v>
      </c>
      <c r="AS70" s="146" t="n">
        <v>0.666712962962963</v>
      </c>
      <c r="AT70" s="0" t="n">
        <v>0</v>
      </c>
      <c r="AU70" s="105" t="n">
        <v>-101838.13</v>
      </c>
      <c r="AX70" s="0" t="n">
        <v>9</v>
      </c>
      <c r="AY70" s="105" t="n">
        <v>101838.13</v>
      </c>
      <c r="AZ70" s="105" t="n">
        <v>101838.13</v>
      </c>
      <c r="BA70" s="0" t="s">
        <v>2767</v>
      </c>
      <c r="BB70" s="0" t="s">
        <v>2768</v>
      </c>
      <c r="BC70" s="0" t="s">
        <v>2761</v>
      </c>
      <c r="BD70" s="0" t="s">
        <v>2762</v>
      </c>
      <c r="BE70" s="0" t="s">
        <v>2762</v>
      </c>
      <c r="BF70" s="0" t="n">
        <v>799949</v>
      </c>
      <c r="BG70" s="145" t="n">
        <v>43890.357037037</v>
      </c>
      <c r="BH70" s="0" t="s">
        <v>2769</v>
      </c>
      <c r="BI70" s="0" t="n">
        <v>341887</v>
      </c>
      <c r="BJ70" s="0" t="s">
        <v>2770</v>
      </c>
      <c r="BK70" s="0" t="n">
        <v>1</v>
      </c>
      <c r="BL70" s="0" t="s">
        <v>2781</v>
      </c>
      <c r="BM70" s="145" t="n">
        <v>43858.6422569445</v>
      </c>
    </row>
    <row r="71" customFormat="false" ht="14.4" hidden="false" customHeight="false" outlineLevel="0" collapsed="false">
      <c r="A71" s="0" t="n">
        <v>1000</v>
      </c>
      <c r="B71" s="0" t="s">
        <v>143</v>
      </c>
      <c r="C71" s="0" t="n">
        <v>51322504</v>
      </c>
      <c r="D71" s="0" t="s">
        <v>1791</v>
      </c>
      <c r="E71" s="0" t="s">
        <v>725</v>
      </c>
      <c r="F71" s="0" t="n">
        <v>7000</v>
      </c>
      <c r="G71" s="0" t="s">
        <v>2782</v>
      </c>
      <c r="H71" s="0" t="n">
        <v>2020</v>
      </c>
      <c r="I71" s="0" t="n">
        <v>5</v>
      </c>
      <c r="J71" s="145" t="n">
        <v>43598</v>
      </c>
      <c r="K71" s="145" t="n">
        <v>43703</v>
      </c>
      <c r="L71" s="105" t="n">
        <v>-120798.83</v>
      </c>
      <c r="M71" s="0" t="s">
        <v>149</v>
      </c>
      <c r="N71" s="105" t="n">
        <v>-120798.83</v>
      </c>
      <c r="O71" s="0" t="s">
        <v>149</v>
      </c>
      <c r="P71" s="105" t="n">
        <v>-120798.83</v>
      </c>
      <c r="Q71" s="0" t="n">
        <v>0</v>
      </c>
      <c r="R71" s="105" t="n">
        <v>-120798.83</v>
      </c>
      <c r="S71" s="0" t="n">
        <v>0</v>
      </c>
      <c r="T71" s="0" t="n">
        <v>0</v>
      </c>
      <c r="U71" s="0" t="s">
        <v>192</v>
      </c>
      <c r="V71" s="0" t="s">
        <v>151</v>
      </c>
      <c r="X71" s="0" t="s">
        <v>1212</v>
      </c>
      <c r="Y71" s="0" t="n">
        <v>2300050954</v>
      </c>
      <c r="Z71" s="0" t="n">
        <v>51322504</v>
      </c>
      <c r="AB71" s="0" t="n">
        <v>2300050954</v>
      </c>
      <c r="AD71" s="0" t="n">
        <v>2408402</v>
      </c>
      <c r="AE71" s="0" t="s">
        <v>156</v>
      </c>
      <c r="AF71" s="0" t="n">
        <v>2408425</v>
      </c>
      <c r="AG71" s="0" t="s">
        <v>2783</v>
      </c>
      <c r="AH71" s="0" t="n">
        <v>1013001</v>
      </c>
      <c r="AI71" s="0" t="n">
        <v>1013001</v>
      </c>
      <c r="AJ71" s="0" t="s">
        <v>2784</v>
      </c>
      <c r="AK71" s="0" t="n">
        <v>0</v>
      </c>
      <c r="AL71" s="0" t="n">
        <v>31</v>
      </c>
      <c r="AM71" s="0" t="s">
        <v>225</v>
      </c>
      <c r="AP71" s="0" t="n">
        <v>45167654</v>
      </c>
      <c r="AQ71" s="145" t="n">
        <v>43768</v>
      </c>
      <c r="AR71" s="145" t="n">
        <v>43703</v>
      </c>
      <c r="AS71" s="146" t="n">
        <v>0.532673611111111</v>
      </c>
      <c r="AT71" s="0" t="n">
        <v>0</v>
      </c>
      <c r="AU71" s="105" t="n">
        <v>-120798.83</v>
      </c>
      <c r="AX71" s="0" t="n">
        <v>11</v>
      </c>
      <c r="AY71" s="105" t="n">
        <v>120798.83</v>
      </c>
      <c r="AZ71" s="105" t="n">
        <v>120798.83</v>
      </c>
      <c r="BA71" s="0" t="s">
        <v>2767</v>
      </c>
      <c r="BB71" s="0" t="s">
        <v>2768</v>
      </c>
      <c r="BC71" s="0" t="s">
        <v>2761</v>
      </c>
      <c r="BD71" s="0" t="s">
        <v>2762</v>
      </c>
      <c r="BE71" s="0" t="s">
        <v>2762</v>
      </c>
      <c r="BF71" s="0" t="n">
        <v>799949</v>
      </c>
      <c r="BG71" s="145" t="n">
        <v>43890.357037037</v>
      </c>
      <c r="BH71" s="0" t="s">
        <v>2769</v>
      </c>
      <c r="BI71" s="0" t="n">
        <v>341943</v>
      </c>
      <c r="BJ71" s="0" t="s">
        <v>2770</v>
      </c>
      <c r="BK71" s="0" t="n">
        <v>1</v>
      </c>
      <c r="BL71" s="0" t="s">
        <v>2781</v>
      </c>
      <c r="BM71" s="145" t="n">
        <v>43858.6422569445</v>
      </c>
    </row>
    <row r="72" customFormat="false" ht="14.4" hidden="false" customHeight="false" outlineLevel="0" collapsed="false">
      <c r="A72" s="0" t="n">
        <v>1000</v>
      </c>
      <c r="B72" s="0" t="s">
        <v>143</v>
      </c>
      <c r="C72" s="0" t="n">
        <v>51322504</v>
      </c>
      <c r="D72" s="0" t="s">
        <v>1791</v>
      </c>
      <c r="E72" s="0" t="s">
        <v>725</v>
      </c>
      <c r="F72" s="0" t="n">
        <v>7000</v>
      </c>
      <c r="G72" s="0" t="s">
        <v>2782</v>
      </c>
      <c r="H72" s="0" t="n">
        <v>2020</v>
      </c>
      <c r="I72" s="0" t="n">
        <v>5</v>
      </c>
      <c r="J72" s="145" t="n">
        <v>43598</v>
      </c>
      <c r="K72" s="145" t="n">
        <v>43703</v>
      </c>
      <c r="L72" s="105" t="n">
        <v>-120798.82</v>
      </c>
      <c r="M72" s="0" t="s">
        <v>149</v>
      </c>
      <c r="N72" s="105" t="n">
        <v>-120798.82</v>
      </c>
      <c r="O72" s="0" t="s">
        <v>149</v>
      </c>
      <c r="P72" s="105" t="n">
        <v>-120798.82</v>
      </c>
      <c r="Q72" s="0" t="n">
        <v>0</v>
      </c>
      <c r="R72" s="105" t="n">
        <v>-120798.82</v>
      </c>
      <c r="S72" s="0" t="n">
        <v>0</v>
      </c>
      <c r="T72" s="0" t="n">
        <v>0</v>
      </c>
      <c r="U72" s="0" t="s">
        <v>192</v>
      </c>
      <c r="V72" s="0" t="s">
        <v>151</v>
      </c>
      <c r="X72" s="0" t="s">
        <v>1212</v>
      </c>
      <c r="Y72" s="0" t="n">
        <v>2300050954</v>
      </c>
      <c r="Z72" s="0" t="n">
        <v>51322504</v>
      </c>
      <c r="AB72" s="0" t="n">
        <v>2300050954</v>
      </c>
      <c r="AD72" s="0" t="n">
        <v>2408402</v>
      </c>
      <c r="AE72" s="0" t="s">
        <v>156</v>
      </c>
      <c r="AF72" s="0" t="n">
        <v>2408425</v>
      </c>
      <c r="AG72" s="0" t="s">
        <v>2783</v>
      </c>
      <c r="AH72" s="0" t="n">
        <v>1013001</v>
      </c>
      <c r="AI72" s="0" t="n">
        <v>1013001</v>
      </c>
      <c r="AJ72" s="0" t="s">
        <v>2784</v>
      </c>
      <c r="AK72" s="0" t="n">
        <v>0</v>
      </c>
      <c r="AL72" s="0" t="n">
        <v>31</v>
      </c>
      <c r="AM72" s="0" t="s">
        <v>225</v>
      </c>
      <c r="AP72" s="0" t="n">
        <v>45167654</v>
      </c>
      <c r="AQ72" s="145" t="n">
        <v>43768</v>
      </c>
      <c r="AR72" s="145" t="n">
        <v>43703</v>
      </c>
      <c r="AS72" s="146" t="n">
        <v>0.532673611111111</v>
      </c>
      <c r="AT72" s="0" t="n">
        <v>0</v>
      </c>
      <c r="AU72" s="105" t="n">
        <v>-120798.82</v>
      </c>
      <c r="AX72" s="0" t="n">
        <v>10</v>
      </c>
      <c r="AY72" s="105" t="n">
        <v>120798.82</v>
      </c>
      <c r="AZ72" s="105" t="n">
        <v>120798.82</v>
      </c>
      <c r="BA72" s="0" t="s">
        <v>2767</v>
      </c>
      <c r="BB72" s="0" t="s">
        <v>2768</v>
      </c>
      <c r="BC72" s="0" t="s">
        <v>2761</v>
      </c>
      <c r="BD72" s="0" t="s">
        <v>2762</v>
      </c>
      <c r="BE72" s="0" t="s">
        <v>2762</v>
      </c>
      <c r="BF72" s="0" t="n">
        <v>799949</v>
      </c>
      <c r="BG72" s="145" t="n">
        <v>43890.357037037</v>
      </c>
      <c r="BH72" s="0" t="s">
        <v>2769</v>
      </c>
      <c r="BI72" s="0" t="n">
        <v>341949</v>
      </c>
      <c r="BJ72" s="0" t="s">
        <v>2770</v>
      </c>
      <c r="BK72" s="0" t="n">
        <v>1</v>
      </c>
      <c r="BL72" s="0" t="s">
        <v>2781</v>
      </c>
      <c r="BM72" s="145" t="n">
        <v>43858.6422569445</v>
      </c>
    </row>
    <row r="73" customFormat="false" ht="14.4" hidden="false" customHeight="false" outlineLevel="0" collapsed="false">
      <c r="A73" s="0" t="n">
        <v>1000</v>
      </c>
      <c r="B73" s="0" t="s">
        <v>143</v>
      </c>
      <c r="C73" s="0" t="n">
        <v>51322577</v>
      </c>
      <c r="D73" s="0" t="s">
        <v>1696</v>
      </c>
      <c r="E73" s="0" t="s">
        <v>725</v>
      </c>
      <c r="F73" s="0" t="n">
        <v>7000</v>
      </c>
      <c r="G73" s="0" t="s">
        <v>2782</v>
      </c>
      <c r="H73" s="0" t="n">
        <v>2020</v>
      </c>
      <c r="I73" s="0" t="n">
        <v>5</v>
      </c>
      <c r="J73" s="145" t="n">
        <v>43620</v>
      </c>
      <c r="K73" s="145" t="n">
        <v>43703</v>
      </c>
      <c r="L73" s="105" t="n">
        <v>-1983507.86</v>
      </c>
      <c r="M73" s="0" t="s">
        <v>149</v>
      </c>
      <c r="N73" s="105" t="n">
        <v>-1983507.86</v>
      </c>
      <c r="O73" s="0" t="s">
        <v>149</v>
      </c>
      <c r="P73" s="105" t="n">
        <v>-1983507.86</v>
      </c>
      <c r="Q73" s="0" t="n">
        <v>0</v>
      </c>
      <c r="R73" s="105" t="n">
        <v>-1983507.86</v>
      </c>
      <c r="S73" s="0" t="n">
        <v>0</v>
      </c>
      <c r="T73" s="0" t="n">
        <v>0</v>
      </c>
      <c r="U73" s="0" t="s">
        <v>192</v>
      </c>
      <c r="V73" s="0" t="s">
        <v>151</v>
      </c>
      <c r="X73" s="0" t="s">
        <v>1212</v>
      </c>
      <c r="Y73" s="0" t="n">
        <v>2300050954</v>
      </c>
      <c r="Z73" s="0" t="n">
        <v>51322577</v>
      </c>
      <c r="AB73" s="0" t="n">
        <v>2300050954</v>
      </c>
      <c r="AD73" s="0" t="n">
        <v>2408402</v>
      </c>
      <c r="AE73" s="0" t="s">
        <v>156</v>
      </c>
      <c r="AF73" s="0" t="n">
        <v>2408425</v>
      </c>
      <c r="AG73" s="0" t="s">
        <v>2783</v>
      </c>
      <c r="AH73" s="0" t="n">
        <v>1013001</v>
      </c>
      <c r="AI73" s="0" t="n">
        <v>1013001</v>
      </c>
      <c r="AJ73" s="0" t="s">
        <v>2784</v>
      </c>
      <c r="AK73" s="0" t="n">
        <v>0</v>
      </c>
      <c r="AL73" s="0" t="n">
        <v>31</v>
      </c>
      <c r="AM73" s="0" t="s">
        <v>225</v>
      </c>
      <c r="AP73" s="0" t="n">
        <v>45122600</v>
      </c>
      <c r="AQ73" s="145" t="n">
        <v>43704</v>
      </c>
      <c r="AR73" s="145" t="n">
        <v>43703</v>
      </c>
      <c r="AS73" s="146" t="n">
        <v>0.542488425925926</v>
      </c>
      <c r="AT73" s="0" t="n">
        <v>0</v>
      </c>
      <c r="AU73" s="105" t="n">
        <v>-1983507.86</v>
      </c>
      <c r="AX73" s="0" t="n">
        <v>9</v>
      </c>
      <c r="AY73" s="105" t="n">
        <v>1983507.86</v>
      </c>
      <c r="AZ73" s="105" t="n">
        <v>1983507.86</v>
      </c>
      <c r="BA73" s="0" t="s">
        <v>2767</v>
      </c>
      <c r="BB73" s="0" t="s">
        <v>2768</v>
      </c>
      <c r="BC73" s="0" t="s">
        <v>2761</v>
      </c>
      <c r="BD73" s="0" t="s">
        <v>2762</v>
      </c>
      <c r="BE73" s="0" t="s">
        <v>2762</v>
      </c>
      <c r="BF73" s="0" t="n">
        <v>799949</v>
      </c>
      <c r="BG73" s="145" t="n">
        <v>43890.357037037</v>
      </c>
      <c r="BH73" s="0" t="s">
        <v>2769</v>
      </c>
      <c r="BI73" s="0" t="n">
        <v>341953</v>
      </c>
      <c r="BJ73" s="0" t="s">
        <v>2770</v>
      </c>
      <c r="BK73" s="0" t="n">
        <v>1</v>
      </c>
      <c r="BL73" s="0" t="s">
        <v>2781</v>
      </c>
      <c r="BM73" s="145" t="n">
        <v>43858.6422569445</v>
      </c>
    </row>
    <row r="74" customFormat="false" ht="14.4" hidden="false" customHeight="false" outlineLevel="0" collapsed="false">
      <c r="A74" s="0" t="n">
        <v>1000</v>
      </c>
      <c r="B74" s="0" t="s">
        <v>143</v>
      </c>
      <c r="C74" s="0" t="n">
        <v>51322690</v>
      </c>
      <c r="D74" s="0" t="s">
        <v>1623</v>
      </c>
      <c r="E74" s="0" t="s">
        <v>725</v>
      </c>
      <c r="F74" s="0" t="n">
        <v>7000</v>
      </c>
      <c r="G74" s="0" t="s">
        <v>2782</v>
      </c>
      <c r="H74" s="0" t="n">
        <v>2020</v>
      </c>
      <c r="I74" s="0" t="n">
        <v>5</v>
      </c>
      <c r="J74" s="145" t="n">
        <v>43623</v>
      </c>
      <c r="K74" s="145" t="n">
        <v>43703</v>
      </c>
      <c r="L74" s="105" t="n">
        <v>-948309.22</v>
      </c>
      <c r="M74" s="0" t="s">
        <v>149</v>
      </c>
      <c r="N74" s="105" t="n">
        <v>-948309.22</v>
      </c>
      <c r="O74" s="0" t="s">
        <v>149</v>
      </c>
      <c r="P74" s="105" t="n">
        <v>-948309.22</v>
      </c>
      <c r="Q74" s="0" t="n">
        <v>0</v>
      </c>
      <c r="R74" s="105" t="n">
        <v>-948309.22</v>
      </c>
      <c r="S74" s="0" t="n">
        <v>0</v>
      </c>
      <c r="T74" s="0" t="n">
        <v>0</v>
      </c>
      <c r="U74" s="0" t="s">
        <v>192</v>
      </c>
      <c r="V74" s="0" t="s">
        <v>151</v>
      </c>
      <c r="X74" s="0" t="s">
        <v>1212</v>
      </c>
      <c r="Y74" s="0" t="n">
        <v>2300050954</v>
      </c>
      <c r="Z74" s="0" t="n">
        <v>51322690</v>
      </c>
      <c r="AB74" s="0" t="n">
        <v>2300050954</v>
      </c>
      <c r="AD74" s="0" t="n">
        <v>2408402</v>
      </c>
      <c r="AE74" s="0" t="s">
        <v>156</v>
      </c>
      <c r="AF74" s="0" t="n">
        <v>2408425</v>
      </c>
      <c r="AG74" s="0" t="s">
        <v>2783</v>
      </c>
      <c r="AH74" s="0" t="n">
        <v>1013001</v>
      </c>
      <c r="AI74" s="0" t="n">
        <v>1013001</v>
      </c>
      <c r="AJ74" s="0" t="s">
        <v>2784</v>
      </c>
      <c r="AK74" s="0" t="n">
        <v>0</v>
      </c>
      <c r="AL74" s="0" t="n">
        <v>31</v>
      </c>
      <c r="AM74" s="0" t="s">
        <v>225</v>
      </c>
      <c r="AP74" s="0" t="n">
        <v>45122600</v>
      </c>
      <c r="AQ74" s="145" t="n">
        <v>43704</v>
      </c>
      <c r="AR74" s="145" t="n">
        <v>43703</v>
      </c>
      <c r="AS74" s="146" t="n">
        <v>0.579270833333333</v>
      </c>
      <c r="AT74" s="0" t="n">
        <v>0</v>
      </c>
      <c r="AU74" s="105" t="n">
        <v>-948309.22</v>
      </c>
      <c r="AX74" s="0" t="n">
        <v>9</v>
      </c>
      <c r="AY74" s="105" t="n">
        <v>948309.22</v>
      </c>
      <c r="AZ74" s="105" t="n">
        <v>948309.22</v>
      </c>
      <c r="BA74" s="0" t="s">
        <v>2767</v>
      </c>
      <c r="BB74" s="0" t="s">
        <v>2768</v>
      </c>
      <c r="BC74" s="0" t="s">
        <v>2761</v>
      </c>
      <c r="BD74" s="0" t="s">
        <v>2762</v>
      </c>
      <c r="BE74" s="0" t="s">
        <v>2762</v>
      </c>
      <c r="BF74" s="0" t="n">
        <v>799949</v>
      </c>
      <c r="BG74" s="145" t="n">
        <v>43890.357037037</v>
      </c>
      <c r="BH74" s="0" t="s">
        <v>2769</v>
      </c>
      <c r="BI74" s="0" t="n">
        <v>341956</v>
      </c>
      <c r="BJ74" s="0" t="s">
        <v>2770</v>
      </c>
      <c r="BK74" s="0" t="n">
        <v>1</v>
      </c>
      <c r="BL74" s="0" t="s">
        <v>2781</v>
      </c>
      <c r="BM74" s="145" t="n">
        <v>43858.6422569445</v>
      </c>
    </row>
    <row r="75" customFormat="false" ht="14.4" hidden="false" customHeight="false" outlineLevel="0" collapsed="false">
      <c r="A75" s="0" t="n">
        <v>1000</v>
      </c>
      <c r="B75" s="0" t="s">
        <v>143</v>
      </c>
      <c r="C75" s="0" t="n">
        <v>51322731</v>
      </c>
      <c r="D75" s="0" t="s">
        <v>1571</v>
      </c>
      <c r="E75" s="0" t="s">
        <v>725</v>
      </c>
      <c r="F75" s="0" t="n">
        <v>7000</v>
      </c>
      <c r="G75" s="0" t="s">
        <v>2782</v>
      </c>
      <c r="H75" s="0" t="n">
        <v>2020</v>
      </c>
      <c r="I75" s="0" t="n">
        <v>5</v>
      </c>
      <c r="J75" s="145" t="n">
        <v>43635</v>
      </c>
      <c r="K75" s="145" t="n">
        <v>43703</v>
      </c>
      <c r="L75" s="105" t="n">
        <v>-41108.97</v>
      </c>
      <c r="M75" s="0" t="s">
        <v>149</v>
      </c>
      <c r="N75" s="105" t="n">
        <v>-41108.97</v>
      </c>
      <c r="O75" s="0" t="s">
        <v>149</v>
      </c>
      <c r="P75" s="105" t="n">
        <v>-41108.97</v>
      </c>
      <c r="Q75" s="0" t="n">
        <v>0</v>
      </c>
      <c r="R75" s="105" t="n">
        <v>-41108.97</v>
      </c>
      <c r="S75" s="0" t="n">
        <v>0</v>
      </c>
      <c r="T75" s="0" t="n">
        <v>0</v>
      </c>
      <c r="U75" s="0" t="s">
        <v>192</v>
      </c>
      <c r="V75" s="0" t="s">
        <v>151</v>
      </c>
      <c r="X75" s="0" t="s">
        <v>1212</v>
      </c>
      <c r="Y75" s="0" t="n">
        <v>2300050954</v>
      </c>
      <c r="Z75" s="0" t="n">
        <v>51322731</v>
      </c>
      <c r="AB75" s="0" t="n">
        <v>2300050954</v>
      </c>
      <c r="AD75" s="0" t="n">
        <v>2408402</v>
      </c>
      <c r="AE75" s="0" t="s">
        <v>156</v>
      </c>
      <c r="AF75" s="0" t="n">
        <v>2408425</v>
      </c>
      <c r="AG75" s="0" t="s">
        <v>2783</v>
      </c>
      <c r="AH75" s="0" t="n">
        <v>1013001</v>
      </c>
      <c r="AI75" s="0" t="n">
        <v>1013001</v>
      </c>
      <c r="AJ75" s="0" t="s">
        <v>2784</v>
      </c>
      <c r="AK75" s="0" t="n">
        <v>0</v>
      </c>
      <c r="AL75" s="0" t="n">
        <v>31</v>
      </c>
      <c r="AM75" s="0" t="s">
        <v>225</v>
      </c>
      <c r="AP75" s="0" t="n">
        <v>45167654</v>
      </c>
      <c r="AQ75" s="145" t="n">
        <v>43768</v>
      </c>
      <c r="AR75" s="145" t="n">
        <v>43703</v>
      </c>
      <c r="AS75" s="146" t="n">
        <v>0.593368055555556</v>
      </c>
      <c r="AT75" s="0" t="n">
        <v>0</v>
      </c>
      <c r="AU75" s="105" t="n">
        <v>-41108.97</v>
      </c>
      <c r="AX75" s="0" t="n">
        <v>10</v>
      </c>
      <c r="AY75" s="105" t="n">
        <v>41108.97</v>
      </c>
      <c r="AZ75" s="105" t="n">
        <v>41108.97</v>
      </c>
      <c r="BA75" s="0" t="s">
        <v>2767</v>
      </c>
      <c r="BB75" s="0" t="s">
        <v>2768</v>
      </c>
      <c r="BC75" s="0" t="s">
        <v>2761</v>
      </c>
      <c r="BD75" s="0" t="s">
        <v>2762</v>
      </c>
      <c r="BE75" s="0" t="s">
        <v>2762</v>
      </c>
      <c r="BF75" s="0" t="n">
        <v>799949</v>
      </c>
      <c r="BG75" s="145" t="n">
        <v>43890.357037037</v>
      </c>
      <c r="BH75" s="0" t="s">
        <v>2769</v>
      </c>
      <c r="BI75" s="0" t="n">
        <v>341960</v>
      </c>
      <c r="BJ75" s="0" t="s">
        <v>2770</v>
      </c>
      <c r="BK75" s="0" t="n">
        <v>1</v>
      </c>
      <c r="BL75" s="0" t="s">
        <v>2781</v>
      </c>
      <c r="BM75" s="145" t="n">
        <v>43858.6422569445</v>
      </c>
    </row>
    <row r="76" customFormat="false" ht="14.4" hidden="false" customHeight="false" outlineLevel="0" collapsed="false">
      <c r="A76" s="0" t="n">
        <v>1000</v>
      </c>
      <c r="B76" s="0" t="s">
        <v>143</v>
      </c>
      <c r="C76" s="0" t="n">
        <v>51322731</v>
      </c>
      <c r="D76" s="0" t="s">
        <v>1571</v>
      </c>
      <c r="E76" s="0" t="s">
        <v>725</v>
      </c>
      <c r="F76" s="0" t="n">
        <v>7000</v>
      </c>
      <c r="G76" s="0" t="s">
        <v>2782</v>
      </c>
      <c r="H76" s="0" t="n">
        <v>2020</v>
      </c>
      <c r="I76" s="0" t="n">
        <v>5</v>
      </c>
      <c r="J76" s="145" t="n">
        <v>43635</v>
      </c>
      <c r="K76" s="145" t="n">
        <v>43703</v>
      </c>
      <c r="L76" s="105" t="n">
        <v>-41108.97</v>
      </c>
      <c r="M76" s="0" t="s">
        <v>149</v>
      </c>
      <c r="N76" s="105" t="n">
        <v>-41108.97</v>
      </c>
      <c r="O76" s="0" t="s">
        <v>149</v>
      </c>
      <c r="P76" s="105" t="n">
        <v>-41108.97</v>
      </c>
      <c r="Q76" s="0" t="n">
        <v>0</v>
      </c>
      <c r="R76" s="105" t="n">
        <v>-41108.97</v>
      </c>
      <c r="S76" s="0" t="n">
        <v>0</v>
      </c>
      <c r="T76" s="0" t="n">
        <v>0</v>
      </c>
      <c r="U76" s="0" t="s">
        <v>192</v>
      </c>
      <c r="V76" s="0" t="s">
        <v>151</v>
      </c>
      <c r="X76" s="0" t="s">
        <v>1212</v>
      </c>
      <c r="Y76" s="0" t="n">
        <v>2300050954</v>
      </c>
      <c r="Z76" s="0" t="n">
        <v>51322731</v>
      </c>
      <c r="AB76" s="0" t="n">
        <v>2300050954</v>
      </c>
      <c r="AD76" s="0" t="n">
        <v>2408402</v>
      </c>
      <c r="AE76" s="0" t="s">
        <v>156</v>
      </c>
      <c r="AF76" s="0" t="n">
        <v>2408425</v>
      </c>
      <c r="AG76" s="0" t="s">
        <v>2783</v>
      </c>
      <c r="AH76" s="0" t="n">
        <v>1013001</v>
      </c>
      <c r="AI76" s="0" t="n">
        <v>1013001</v>
      </c>
      <c r="AJ76" s="0" t="s">
        <v>2784</v>
      </c>
      <c r="AK76" s="0" t="n">
        <v>0</v>
      </c>
      <c r="AL76" s="0" t="n">
        <v>31</v>
      </c>
      <c r="AM76" s="0" t="s">
        <v>225</v>
      </c>
      <c r="AP76" s="0" t="n">
        <v>45167654</v>
      </c>
      <c r="AQ76" s="145" t="n">
        <v>43768</v>
      </c>
      <c r="AR76" s="145" t="n">
        <v>43703</v>
      </c>
      <c r="AS76" s="146" t="n">
        <v>0.593368055555556</v>
      </c>
      <c r="AT76" s="0" t="n">
        <v>0</v>
      </c>
      <c r="AU76" s="105" t="n">
        <v>-41108.97</v>
      </c>
      <c r="AX76" s="0" t="n">
        <v>11</v>
      </c>
      <c r="AY76" s="105" t="n">
        <v>41108.97</v>
      </c>
      <c r="AZ76" s="105" t="n">
        <v>41108.97</v>
      </c>
      <c r="BA76" s="0" t="s">
        <v>2767</v>
      </c>
      <c r="BB76" s="0" t="s">
        <v>2768</v>
      </c>
      <c r="BC76" s="0" t="s">
        <v>2761</v>
      </c>
      <c r="BD76" s="0" t="s">
        <v>2762</v>
      </c>
      <c r="BE76" s="0" t="s">
        <v>2762</v>
      </c>
      <c r="BF76" s="0" t="n">
        <v>799949</v>
      </c>
      <c r="BG76" s="145" t="n">
        <v>43890.357037037</v>
      </c>
      <c r="BH76" s="0" t="s">
        <v>2769</v>
      </c>
      <c r="BI76" s="0" t="n">
        <v>341964</v>
      </c>
      <c r="BJ76" s="0" t="s">
        <v>2770</v>
      </c>
      <c r="BK76" s="0" t="n">
        <v>1</v>
      </c>
      <c r="BL76" s="0" t="s">
        <v>2781</v>
      </c>
      <c r="BM76" s="145" t="n">
        <v>43858.6422569445</v>
      </c>
    </row>
    <row r="77" customFormat="false" ht="14.4" hidden="false" customHeight="false" outlineLevel="0" collapsed="false">
      <c r="L77" s="147" t="n">
        <f aca="false">SUM(L32:L76)</f>
        <v>-18643620.86</v>
      </c>
    </row>
    <row r="79" customFormat="false" ht="14.4" hidden="false" customHeight="false" outlineLevel="0" collapsed="false">
      <c r="L79" s="105" t="n">
        <f aca="false">L77+L29</f>
        <v>16694.0199999958</v>
      </c>
    </row>
    <row r="81" customFormat="false" ht="14.4" hidden="false" customHeight="false" outlineLevel="0" collapsed="false">
      <c r="A81" s="0" t="s">
        <v>92</v>
      </c>
      <c r="B81" s="0" t="s">
        <v>93</v>
      </c>
      <c r="C81" s="0" t="s">
        <v>94</v>
      </c>
      <c r="D81" s="0" t="s">
        <v>95</v>
      </c>
      <c r="E81" s="0" t="s">
        <v>96</v>
      </c>
      <c r="F81" s="0" t="s">
        <v>97</v>
      </c>
      <c r="G81" s="0" t="s">
        <v>2742</v>
      </c>
      <c r="H81" s="0" t="s">
        <v>98</v>
      </c>
      <c r="I81" s="0" t="s">
        <v>99</v>
      </c>
      <c r="J81" s="0" t="s">
        <v>1954</v>
      </c>
      <c r="K81" s="0" t="s">
        <v>101</v>
      </c>
      <c r="L81" s="0" t="s">
        <v>102</v>
      </c>
      <c r="M81" s="0" t="s">
        <v>104</v>
      </c>
      <c r="N81" s="0" t="s">
        <v>105</v>
      </c>
      <c r="O81" s="0" t="s">
        <v>106</v>
      </c>
      <c r="P81" s="0" t="s">
        <v>107</v>
      </c>
      <c r="Q81" s="0" t="s">
        <v>108</v>
      </c>
      <c r="R81" s="0" t="s">
        <v>109</v>
      </c>
      <c r="S81" s="0" t="s">
        <v>110</v>
      </c>
      <c r="T81" s="0" t="s">
        <v>111</v>
      </c>
      <c r="U81" s="0" t="s">
        <v>1955</v>
      </c>
      <c r="V81" s="0" t="s">
        <v>1956</v>
      </c>
      <c r="W81" s="0" t="s">
        <v>114</v>
      </c>
      <c r="X81" s="0" t="s">
        <v>2743</v>
      </c>
      <c r="Y81" s="0" t="s">
        <v>116</v>
      </c>
      <c r="Z81" s="0" t="s">
        <v>1959</v>
      </c>
      <c r="AA81" s="0" t="s">
        <v>118</v>
      </c>
      <c r="AB81" s="0" t="s">
        <v>119</v>
      </c>
      <c r="AC81" s="0" t="s">
        <v>120</v>
      </c>
      <c r="AD81" s="0" t="s">
        <v>121</v>
      </c>
      <c r="AE81" s="0" t="s">
        <v>122</v>
      </c>
      <c r="AF81" s="0" t="s">
        <v>123</v>
      </c>
      <c r="AG81" s="0" t="s">
        <v>124</v>
      </c>
      <c r="AH81" s="0" t="s">
        <v>125</v>
      </c>
      <c r="AI81" s="0" t="s">
        <v>126</v>
      </c>
      <c r="AJ81" s="0" t="s">
        <v>127</v>
      </c>
      <c r="AK81" s="0" t="s">
        <v>128</v>
      </c>
      <c r="AL81" s="0" t="s">
        <v>129</v>
      </c>
      <c r="AM81" s="0" t="s">
        <v>1960</v>
      </c>
      <c r="AN81" s="0" t="s">
        <v>1961</v>
      </c>
      <c r="AO81" s="0" t="s">
        <v>132</v>
      </c>
      <c r="AP81" s="0" t="s">
        <v>133</v>
      </c>
      <c r="AQ81" s="0" t="s">
        <v>134</v>
      </c>
      <c r="AR81" s="0" t="s">
        <v>135</v>
      </c>
      <c r="AS81" s="0" t="s">
        <v>136</v>
      </c>
      <c r="AT81" s="0" t="s">
        <v>137</v>
      </c>
      <c r="AU81" s="0" t="s">
        <v>138</v>
      </c>
      <c r="AV81" s="0" t="s">
        <v>139</v>
      </c>
      <c r="AW81" s="0" t="s">
        <v>140</v>
      </c>
      <c r="AX81" s="0" t="s">
        <v>141</v>
      </c>
      <c r="AY81" s="0" t="s">
        <v>2744</v>
      </c>
      <c r="AZ81" s="0" t="s">
        <v>2745</v>
      </c>
      <c r="BA81" s="0" t="s">
        <v>2746</v>
      </c>
      <c r="BB81" s="0" t="s">
        <v>2747</v>
      </c>
      <c r="BC81" s="0" t="s">
        <v>2748</v>
      </c>
      <c r="BD81" s="0" t="s">
        <v>2749</v>
      </c>
      <c r="BE81" s="0" t="s">
        <v>2750</v>
      </c>
      <c r="BF81" s="0" t="s">
        <v>2751</v>
      </c>
      <c r="BG81" s="0" t="s">
        <v>2752</v>
      </c>
      <c r="BH81" s="0" t="s">
        <v>2753</v>
      </c>
      <c r="BI81" s="0" t="s">
        <v>2754</v>
      </c>
      <c r="BJ81" s="0" t="s">
        <v>2755</v>
      </c>
      <c r="BK81" s="0" t="s">
        <v>2756</v>
      </c>
      <c r="BL81" s="0" t="s">
        <v>2757</v>
      </c>
      <c r="BM81" s="0" t="s">
        <v>2758</v>
      </c>
    </row>
    <row r="82" customFormat="false" ht="14.4" hidden="false" customHeight="false" outlineLevel="0" collapsed="false">
      <c r="A82" s="0" t="n">
        <v>1000</v>
      </c>
      <c r="B82" s="0" t="s">
        <v>1962</v>
      </c>
      <c r="C82" s="0" t="n">
        <v>104207</v>
      </c>
      <c r="D82" s="0" t="s">
        <v>2035</v>
      </c>
      <c r="E82" s="0" t="s">
        <v>1970</v>
      </c>
      <c r="F82" s="0" t="n">
        <v>1101</v>
      </c>
      <c r="H82" s="0" t="n">
        <v>2019</v>
      </c>
      <c r="I82" s="0" t="n">
        <v>4</v>
      </c>
      <c r="J82" s="145" t="n">
        <v>43650</v>
      </c>
      <c r="K82" s="145" t="n">
        <v>43650</v>
      </c>
      <c r="L82" s="105" t="n">
        <v>371198.09</v>
      </c>
      <c r="M82" s="0" t="s">
        <v>149</v>
      </c>
      <c r="N82" s="105" t="n">
        <v>371198.09</v>
      </c>
      <c r="O82" s="0" t="s">
        <v>149</v>
      </c>
      <c r="P82" s="0" t="n">
        <v>0</v>
      </c>
      <c r="Q82" s="105" t="n">
        <v>56623.44</v>
      </c>
      <c r="R82" s="105" t="n">
        <v>314574.65</v>
      </c>
      <c r="S82" s="0" t="n">
        <v>0</v>
      </c>
      <c r="T82" s="0" t="n">
        <v>0</v>
      </c>
      <c r="U82" s="0" t="n">
        <v>318999</v>
      </c>
      <c r="V82" s="0" t="s">
        <v>143</v>
      </c>
      <c r="Z82" s="0" t="n">
        <v>104207</v>
      </c>
      <c r="AD82" s="0" t="n">
        <v>110000</v>
      </c>
      <c r="AE82" s="0" t="s">
        <v>1966</v>
      </c>
      <c r="AF82" s="0" t="n">
        <v>501040</v>
      </c>
      <c r="AG82" s="0" t="s">
        <v>2036</v>
      </c>
      <c r="AI82" s="0" t="n">
        <v>501040</v>
      </c>
      <c r="AJ82" s="0" t="s">
        <v>2036</v>
      </c>
      <c r="AK82" s="0" t="n">
        <v>0</v>
      </c>
      <c r="AL82" s="0" t="n">
        <v>1</v>
      </c>
      <c r="AM82" s="0" t="s">
        <v>161</v>
      </c>
      <c r="AP82" s="0" t="n">
        <v>100057912</v>
      </c>
      <c r="AQ82" s="145" t="n">
        <v>43677</v>
      </c>
      <c r="AR82" s="145" t="n">
        <v>43650</v>
      </c>
      <c r="AS82" s="146" t="n">
        <v>0.531076388888889</v>
      </c>
      <c r="AT82" s="0" t="n">
        <v>0</v>
      </c>
      <c r="AU82" s="0" t="n">
        <v>0</v>
      </c>
      <c r="AX82" s="0" t="n">
        <v>1</v>
      </c>
      <c r="AY82" s="105" t="n">
        <v>-371198.09</v>
      </c>
      <c r="AZ82" s="105" t="n">
        <v>-371198.09</v>
      </c>
      <c r="BA82" s="0" t="s">
        <v>2759</v>
      </c>
      <c r="BB82" s="0" t="s">
        <v>2760</v>
      </c>
      <c r="BC82" s="0" t="s">
        <v>2761</v>
      </c>
      <c r="BD82" s="0" t="s">
        <v>2762</v>
      </c>
      <c r="BE82" s="0" t="s">
        <v>2762</v>
      </c>
      <c r="BF82" s="0" t="n">
        <v>799949</v>
      </c>
      <c r="BG82" s="145" t="n">
        <v>43890.357037037</v>
      </c>
      <c r="BH82" s="0" t="s">
        <v>2763</v>
      </c>
      <c r="BI82" s="0" t="n">
        <v>186999</v>
      </c>
      <c r="BJ82" s="0" t="s">
        <v>2764</v>
      </c>
      <c r="BK82" s="0" t="n">
        <v>1</v>
      </c>
      <c r="BL82" s="0" t="s">
        <v>2785</v>
      </c>
      <c r="BM82" s="145" t="n">
        <v>43826.8504398148</v>
      </c>
    </row>
    <row r="83" customFormat="false" ht="14.4" hidden="false" customHeight="false" outlineLevel="0" collapsed="false">
      <c r="A83" s="0" t="n">
        <v>1000</v>
      </c>
      <c r="B83" s="0" t="s">
        <v>1962</v>
      </c>
      <c r="C83" s="0" t="n">
        <v>104424</v>
      </c>
      <c r="D83" s="0" t="s">
        <v>2047</v>
      </c>
      <c r="E83" s="0" t="s">
        <v>1970</v>
      </c>
      <c r="F83" s="0" t="n">
        <v>1101</v>
      </c>
      <c r="H83" s="0" t="n">
        <v>2019</v>
      </c>
      <c r="I83" s="0" t="n">
        <v>4</v>
      </c>
      <c r="J83" s="145" t="n">
        <v>43657</v>
      </c>
      <c r="K83" s="145" t="n">
        <v>43657</v>
      </c>
      <c r="L83" s="105" t="n">
        <v>567641.19</v>
      </c>
      <c r="M83" s="0" t="s">
        <v>149</v>
      </c>
      <c r="N83" s="105" t="n">
        <v>567641.19</v>
      </c>
      <c r="O83" s="0" t="s">
        <v>149</v>
      </c>
      <c r="P83" s="0" t="n">
        <v>0</v>
      </c>
      <c r="Q83" s="105" t="n">
        <v>86589.36</v>
      </c>
      <c r="R83" s="105" t="n">
        <v>481051.83</v>
      </c>
      <c r="S83" s="0" t="n">
        <v>0</v>
      </c>
      <c r="T83" s="0" t="n">
        <v>0</v>
      </c>
      <c r="U83" s="0" t="n">
        <v>318999</v>
      </c>
      <c r="V83" s="0" t="s">
        <v>143</v>
      </c>
      <c r="Z83" s="0" t="n">
        <v>104424</v>
      </c>
      <c r="AD83" s="0" t="n">
        <v>110000</v>
      </c>
      <c r="AE83" s="0" t="s">
        <v>1966</v>
      </c>
      <c r="AF83" s="0" t="n">
        <v>501040</v>
      </c>
      <c r="AG83" s="0" t="s">
        <v>2036</v>
      </c>
      <c r="AI83" s="0" t="n">
        <v>501040</v>
      </c>
      <c r="AJ83" s="0" t="s">
        <v>2036</v>
      </c>
      <c r="AK83" s="0" t="n">
        <v>0</v>
      </c>
      <c r="AL83" s="0" t="n">
        <v>1</v>
      </c>
      <c r="AM83" s="0" t="s">
        <v>161</v>
      </c>
      <c r="AP83" s="0" t="n">
        <v>100057912</v>
      </c>
      <c r="AQ83" s="145" t="n">
        <v>43677</v>
      </c>
      <c r="AR83" s="145" t="n">
        <v>43657</v>
      </c>
      <c r="AS83" s="146" t="n">
        <v>0.506122685185185</v>
      </c>
      <c r="AT83" s="0" t="n">
        <v>0</v>
      </c>
      <c r="AU83" s="0" t="n">
        <v>0</v>
      </c>
      <c r="AX83" s="0" t="n">
        <v>1</v>
      </c>
      <c r="AY83" s="105" t="n">
        <v>-567641.19</v>
      </c>
      <c r="AZ83" s="105" t="n">
        <v>-567641.19</v>
      </c>
      <c r="BA83" s="0" t="s">
        <v>2759</v>
      </c>
      <c r="BB83" s="0" t="s">
        <v>2760</v>
      </c>
      <c r="BC83" s="0" t="s">
        <v>2761</v>
      </c>
      <c r="BD83" s="0" t="s">
        <v>2762</v>
      </c>
      <c r="BE83" s="0" t="s">
        <v>2762</v>
      </c>
      <c r="BF83" s="0" t="n">
        <v>799949</v>
      </c>
      <c r="BG83" s="145" t="n">
        <v>43890.357037037</v>
      </c>
      <c r="BH83" s="0" t="s">
        <v>2763</v>
      </c>
      <c r="BI83" s="0" t="n">
        <v>187017</v>
      </c>
      <c r="BJ83" s="0" t="s">
        <v>2764</v>
      </c>
      <c r="BK83" s="0" t="n">
        <v>1</v>
      </c>
      <c r="BL83" s="0" t="s">
        <v>2785</v>
      </c>
      <c r="BM83" s="145" t="n">
        <v>43826.8504398148</v>
      </c>
    </row>
    <row r="84" customFormat="false" ht="14.4" hidden="false" customHeight="false" outlineLevel="0" collapsed="false">
      <c r="A84" s="0" t="n">
        <v>1000</v>
      </c>
      <c r="B84" s="0" t="s">
        <v>1962</v>
      </c>
      <c r="C84" s="0" t="n">
        <v>104182</v>
      </c>
      <c r="D84" s="0" t="s">
        <v>2050</v>
      </c>
      <c r="E84" s="0" t="s">
        <v>1970</v>
      </c>
      <c r="F84" s="0" t="n">
        <v>1101</v>
      </c>
      <c r="H84" s="0" t="n">
        <v>2019</v>
      </c>
      <c r="I84" s="0" t="n">
        <v>4</v>
      </c>
      <c r="J84" s="145" t="n">
        <v>43649</v>
      </c>
      <c r="K84" s="145" t="n">
        <v>43649</v>
      </c>
      <c r="L84" s="105" t="n">
        <v>287552.85</v>
      </c>
      <c r="M84" s="0" t="s">
        <v>149</v>
      </c>
      <c r="N84" s="105" t="n">
        <v>287552.85</v>
      </c>
      <c r="O84" s="0" t="s">
        <v>149</v>
      </c>
      <c r="P84" s="0" t="n">
        <v>0</v>
      </c>
      <c r="Q84" s="105" t="n">
        <v>43863.98</v>
      </c>
      <c r="R84" s="105" t="n">
        <v>243688.87</v>
      </c>
      <c r="S84" s="0" t="n">
        <v>0</v>
      </c>
      <c r="T84" s="0" t="n">
        <v>0</v>
      </c>
      <c r="U84" s="0" t="n">
        <v>318999</v>
      </c>
      <c r="V84" s="0" t="s">
        <v>143</v>
      </c>
      <c r="Z84" s="0" t="n">
        <v>104182</v>
      </c>
      <c r="AD84" s="0" t="n">
        <v>110000</v>
      </c>
      <c r="AE84" s="0" t="s">
        <v>1966</v>
      </c>
      <c r="AF84" s="0" t="n">
        <v>501040</v>
      </c>
      <c r="AG84" s="0" t="s">
        <v>2036</v>
      </c>
      <c r="AI84" s="0" t="n">
        <v>501040</v>
      </c>
      <c r="AJ84" s="0" t="s">
        <v>2036</v>
      </c>
      <c r="AK84" s="0" t="n">
        <v>0</v>
      </c>
      <c r="AL84" s="0" t="n">
        <v>1</v>
      </c>
      <c r="AM84" s="0" t="s">
        <v>161</v>
      </c>
      <c r="AP84" s="0" t="n">
        <v>100057912</v>
      </c>
      <c r="AQ84" s="145" t="n">
        <v>43677</v>
      </c>
      <c r="AR84" s="145" t="n">
        <v>43649</v>
      </c>
      <c r="AS84" s="146" t="n">
        <v>0.617766203703704</v>
      </c>
      <c r="AT84" s="0" t="n">
        <v>0</v>
      </c>
      <c r="AU84" s="0" t="n">
        <v>0</v>
      </c>
      <c r="AX84" s="0" t="n">
        <v>1</v>
      </c>
      <c r="AY84" s="105" t="n">
        <v>-287552.85</v>
      </c>
      <c r="AZ84" s="105" t="n">
        <v>-287552.85</v>
      </c>
      <c r="BA84" s="0" t="s">
        <v>2759</v>
      </c>
      <c r="BB84" s="0" t="s">
        <v>2760</v>
      </c>
      <c r="BC84" s="0" t="s">
        <v>2761</v>
      </c>
      <c r="BD84" s="0" t="s">
        <v>2762</v>
      </c>
      <c r="BE84" s="0" t="s">
        <v>2762</v>
      </c>
      <c r="BH84" s="0" t="s">
        <v>2763</v>
      </c>
      <c r="BI84" s="0" t="n">
        <v>187020</v>
      </c>
      <c r="BJ84" s="0" t="s">
        <v>2764</v>
      </c>
      <c r="BK84" s="0" t="n">
        <v>1</v>
      </c>
      <c r="BL84" s="0" t="s">
        <v>2785</v>
      </c>
      <c r="BM84" s="145" t="n">
        <v>43826.8504398148</v>
      </c>
    </row>
    <row r="85" customFormat="false" ht="14.4" hidden="false" customHeight="false" outlineLevel="0" collapsed="false">
      <c r="A85" s="0" t="n">
        <v>1000</v>
      </c>
      <c r="B85" s="0" t="s">
        <v>1962</v>
      </c>
      <c r="C85" s="0" t="n">
        <v>104208</v>
      </c>
      <c r="D85" s="0" t="s">
        <v>2021</v>
      </c>
      <c r="E85" s="0" t="s">
        <v>1970</v>
      </c>
      <c r="F85" s="0" t="n">
        <v>1101</v>
      </c>
      <c r="H85" s="0" t="n">
        <v>2019</v>
      </c>
      <c r="I85" s="0" t="n">
        <v>4</v>
      </c>
      <c r="J85" s="145" t="n">
        <v>43650</v>
      </c>
      <c r="K85" s="145" t="n">
        <v>43650</v>
      </c>
      <c r="L85" s="105" t="n">
        <v>620375.19</v>
      </c>
      <c r="M85" s="0" t="s">
        <v>149</v>
      </c>
      <c r="N85" s="105" t="n">
        <v>620375.19</v>
      </c>
      <c r="O85" s="0" t="s">
        <v>149</v>
      </c>
      <c r="P85" s="0" t="n">
        <v>0</v>
      </c>
      <c r="Q85" s="105" t="n">
        <v>94633.48</v>
      </c>
      <c r="R85" s="105" t="n">
        <v>525741.71</v>
      </c>
      <c r="S85" s="0" t="n">
        <v>0</v>
      </c>
      <c r="T85" s="0" t="n">
        <v>0</v>
      </c>
      <c r="U85" s="0" t="n">
        <v>318999</v>
      </c>
      <c r="V85" s="0" t="s">
        <v>143</v>
      </c>
      <c r="Z85" s="0" t="n">
        <v>104208</v>
      </c>
      <c r="AD85" s="0" t="n">
        <v>110000</v>
      </c>
      <c r="AE85" s="0" t="s">
        <v>1966</v>
      </c>
      <c r="AF85" s="0" t="n">
        <v>501040</v>
      </c>
      <c r="AG85" s="0" t="s">
        <v>2036</v>
      </c>
      <c r="AI85" s="0" t="n">
        <v>501040</v>
      </c>
      <c r="AJ85" s="0" t="s">
        <v>2036</v>
      </c>
      <c r="AK85" s="0" t="n">
        <v>0</v>
      </c>
      <c r="AL85" s="0" t="n">
        <v>1</v>
      </c>
      <c r="AM85" s="0" t="s">
        <v>161</v>
      </c>
      <c r="AP85" s="0" t="n">
        <v>100057912</v>
      </c>
      <c r="AQ85" s="145" t="n">
        <v>43677</v>
      </c>
      <c r="AR85" s="145" t="n">
        <v>43650</v>
      </c>
      <c r="AS85" s="146" t="n">
        <v>0.567418981481482</v>
      </c>
      <c r="AT85" s="0" t="n">
        <v>0</v>
      </c>
      <c r="AU85" s="0" t="n">
        <v>0</v>
      </c>
      <c r="AX85" s="0" t="n">
        <v>1</v>
      </c>
      <c r="AY85" s="105" t="n">
        <v>-620375.19</v>
      </c>
      <c r="AZ85" s="105" t="n">
        <v>-620375.19</v>
      </c>
      <c r="BA85" s="0" t="s">
        <v>2759</v>
      </c>
      <c r="BB85" s="0" t="s">
        <v>2760</v>
      </c>
      <c r="BC85" s="0" t="s">
        <v>2761</v>
      </c>
      <c r="BD85" s="0" t="s">
        <v>2762</v>
      </c>
      <c r="BE85" s="0" t="s">
        <v>2762</v>
      </c>
      <c r="BF85" s="0" t="n">
        <v>799949</v>
      </c>
      <c r="BG85" s="145" t="n">
        <v>43890.357037037</v>
      </c>
      <c r="BH85" s="0" t="s">
        <v>2763</v>
      </c>
      <c r="BI85" s="0" t="n">
        <v>187039</v>
      </c>
      <c r="BJ85" s="0" t="s">
        <v>2764</v>
      </c>
      <c r="BK85" s="0" t="n">
        <v>1</v>
      </c>
      <c r="BL85" s="0" t="s">
        <v>2785</v>
      </c>
      <c r="BM85" s="145" t="n">
        <v>43826.8504398148</v>
      </c>
    </row>
    <row r="86" customFormat="false" ht="14.4" hidden="false" customHeight="false" outlineLevel="0" collapsed="false">
      <c r="A86" s="0" t="n">
        <v>1000</v>
      </c>
      <c r="B86" s="0" t="s">
        <v>1962</v>
      </c>
      <c r="C86" s="0" t="n">
        <v>104164</v>
      </c>
      <c r="D86" s="0" t="s">
        <v>2063</v>
      </c>
      <c r="E86" s="0" t="s">
        <v>1970</v>
      </c>
      <c r="F86" s="0" t="n">
        <v>1101</v>
      </c>
      <c r="H86" s="0" t="n">
        <v>2019</v>
      </c>
      <c r="I86" s="0" t="n">
        <v>4</v>
      </c>
      <c r="J86" s="145" t="n">
        <v>43648</v>
      </c>
      <c r="K86" s="145" t="n">
        <v>43648</v>
      </c>
      <c r="L86" s="105" t="n">
        <v>350053.68</v>
      </c>
      <c r="M86" s="0" t="s">
        <v>149</v>
      </c>
      <c r="N86" s="105" t="n">
        <v>350053.68</v>
      </c>
      <c r="O86" s="0" t="s">
        <v>149</v>
      </c>
      <c r="P86" s="0" t="n">
        <v>0</v>
      </c>
      <c r="Q86" s="105" t="n">
        <v>53398.02</v>
      </c>
      <c r="R86" s="105" t="n">
        <v>296655.66</v>
      </c>
      <c r="S86" s="0" t="n">
        <v>0</v>
      </c>
      <c r="T86" s="0" t="n">
        <v>0</v>
      </c>
      <c r="U86" s="0" t="n">
        <v>318999</v>
      </c>
      <c r="V86" s="0" t="s">
        <v>143</v>
      </c>
      <c r="Z86" s="0" t="n">
        <v>104164</v>
      </c>
      <c r="AD86" s="0" t="n">
        <v>110000</v>
      </c>
      <c r="AE86" s="0" t="s">
        <v>1966</v>
      </c>
      <c r="AF86" s="0" t="n">
        <v>501040</v>
      </c>
      <c r="AG86" s="0" t="s">
        <v>2036</v>
      </c>
      <c r="AI86" s="0" t="n">
        <v>501040</v>
      </c>
      <c r="AJ86" s="0" t="s">
        <v>2036</v>
      </c>
      <c r="AK86" s="0" t="n">
        <v>0</v>
      </c>
      <c r="AL86" s="0" t="n">
        <v>1</v>
      </c>
      <c r="AM86" s="0" t="s">
        <v>161</v>
      </c>
      <c r="AP86" s="0" t="n">
        <v>100057912</v>
      </c>
      <c r="AQ86" s="145" t="n">
        <v>43677</v>
      </c>
      <c r="AR86" s="145" t="n">
        <v>43648</v>
      </c>
      <c r="AS86" s="146" t="n">
        <v>0.77150462962963</v>
      </c>
      <c r="AT86" s="0" t="n">
        <v>0</v>
      </c>
      <c r="AU86" s="0" t="n">
        <v>0</v>
      </c>
      <c r="AX86" s="0" t="n">
        <v>1</v>
      </c>
      <c r="AY86" s="105" t="n">
        <v>-350053.68</v>
      </c>
      <c r="AZ86" s="105" t="n">
        <v>-350053.68</v>
      </c>
      <c r="BA86" s="0" t="s">
        <v>2759</v>
      </c>
      <c r="BB86" s="0" t="s">
        <v>2760</v>
      </c>
      <c r="BC86" s="0" t="s">
        <v>2761</v>
      </c>
      <c r="BD86" s="0" t="s">
        <v>2762</v>
      </c>
      <c r="BE86" s="0" t="s">
        <v>2762</v>
      </c>
      <c r="BF86" s="0" t="n">
        <v>799949</v>
      </c>
      <c r="BG86" s="145" t="n">
        <v>43890.357037037</v>
      </c>
      <c r="BH86" s="0" t="s">
        <v>2763</v>
      </c>
      <c r="BI86" s="0" t="n">
        <v>187040</v>
      </c>
      <c r="BJ86" s="0" t="s">
        <v>2764</v>
      </c>
      <c r="BK86" s="0" t="n">
        <v>1</v>
      </c>
      <c r="BL86" s="0" t="s">
        <v>2785</v>
      </c>
      <c r="BM86" s="145" t="n">
        <v>43826.8504398148</v>
      </c>
    </row>
    <row r="87" customFormat="false" ht="14.4" hidden="false" customHeight="false" outlineLevel="0" collapsed="false">
      <c r="A87" s="0" t="n">
        <v>1000</v>
      </c>
      <c r="B87" s="0" t="s">
        <v>1962</v>
      </c>
      <c r="C87" s="0" t="n">
        <v>107059</v>
      </c>
      <c r="D87" s="0" t="s">
        <v>2077</v>
      </c>
      <c r="E87" s="0" t="s">
        <v>1970</v>
      </c>
      <c r="F87" s="0" t="n">
        <v>1109</v>
      </c>
      <c r="G87" s="0" t="n">
        <v>90141117</v>
      </c>
      <c r="H87" s="0" t="n">
        <v>2019</v>
      </c>
      <c r="I87" s="0" t="n">
        <v>6</v>
      </c>
      <c r="J87" s="145" t="n">
        <v>43732</v>
      </c>
      <c r="K87" s="145" t="n">
        <v>43732</v>
      </c>
      <c r="L87" s="105" t="n">
        <v>394545.42</v>
      </c>
      <c r="M87" s="0" t="s">
        <v>149</v>
      </c>
      <c r="N87" s="105" t="n">
        <v>394545.42</v>
      </c>
      <c r="O87" s="0" t="s">
        <v>149</v>
      </c>
      <c r="P87" s="0" t="n">
        <v>0</v>
      </c>
      <c r="Q87" s="105" t="n">
        <v>60184.9</v>
      </c>
      <c r="R87" s="105" t="n">
        <v>334360.52</v>
      </c>
      <c r="S87" s="0" t="n">
        <v>0</v>
      </c>
      <c r="T87" s="0" t="n">
        <v>0</v>
      </c>
      <c r="U87" s="0" t="n">
        <v>315113</v>
      </c>
      <c r="V87" s="0" t="s">
        <v>143</v>
      </c>
      <c r="Z87" s="0" t="n">
        <v>60728</v>
      </c>
      <c r="AB87" s="0" t="s">
        <v>2078</v>
      </c>
      <c r="AD87" s="0" t="n">
        <v>110000</v>
      </c>
      <c r="AE87" s="0" t="s">
        <v>1966</v>
      </c>
      <c r="AF87" s="0" t="n">
        <v>501005</v>
      </c>
      <c r="AG87" s="0" t="s">
        <v>2033</v>
      </c>
      <c r="AI87" s="0" t="n">
        <v>501005</v>
      </c>
      <c r="AJ87" s="0" t="s">
        <v>2033</v>
      </c>
      <c r="AK87" s="0" t="n">
        <v>0</v>
      </c>
      <c r="AL87" s="0" t="n">
        <v>1</v>
      </c>
      <c r="AM87" s="0" t="s">
        <v>161</v>
      </c>
      <c r="AP87" s="0" t="n">
        <v>100123262</v>
      </c>
      <c r="AQ87" s="145" t="n">
        <v>43738</v>
      </c>
      <c r="AR87" s="145" t="n">
        <v>43732</v>
      </c>
      <c r="AS87" s="146" t="n">
        <v>0.737650462962963</v>
      </c>
      <c r="AT87" s="0" t="n">
        <v>0</v>
      </c>
      <c r="AU87" s="0" t="n">
        <v>0</v>
      </c>
      <c r="AX87" s="0" t="n">
        <v>1</v>
      </c>
      <c r="AY87" s="105" t="n">
        <v>-394545.42</v>
      </c>
      <c r="AZ87" s="105" t="n">
        <v>-394545.42</v>
      </c>
      <c r="BA87" s="0" t="s">
        <v>2759</v>
      </c>
      <c r="BB87" s="0" t="s">
        <v>2760</v>
      </c>
      <c r="BC87" s="0" t="s">
        <v>2761</v>
      </c>
      <c r="BD87" s="0" t="s">
        <v>2762</v>
      </c>
      <c r="BE87" s="0" t="s">
        <v>2762</v>
      </c>
      <c r="BF87" s="0" t="n">
        <v>799949</v>
      </c>
      <c r="BG87" s="145" t="n">
        <v>43890.357037037</v>
      </c>
      <c r="BH87" s="0" t="s">
        <v>2763</v>
      </c>
      <c r="BI87" s="0" t="n">
        <v>187079</v>
      </c>
      <c r="BJ87" s="0" t="s">
        <v>2764</v>
      </c>
      <c r="BK87" s="0" t="n">
        <v>1</v>
      </c>
      <c r="BL87" s="0" t="s">
        <v>2785</v>
      </c>
      <c r="BM87" s="145" t="n">
        <v>43826.8504398148</v>
      </c>
    </row>
    <row r="88" customFormat="false" ht="14.4" hidden="false" customHeight="false" outlineLevel="0" collapsed="false">
      <c r="A88" s="0" t="n">
        <v>1000</v>
      </c>
      <c r="B88" s="0" t="s">
        <v>1962</v>
      </c>
      <c r="C88" s="0" t="n">
        <v>104337</v>
      </c>
      <c r="D88" s="0" t="s">
        <v>2133</v>
      </c>
      <c r="E88" s="0" t="s">
        <v>1970</v>
      </c>
      <c r="F88" s="0" t="n">
        <v>1101</v>
      </c>
      <c r="H88" s="0" t="n">
        <v>2019</v>
      </c>
      <c r="I88" s="0" t="n">
        <v>4</v>
      </c>
      <c r="J88" s="145" t="n">
        <v>43655</v>
      </c>
      <c r="K88" s="145" t="n">
        <v>43655</v>
      </c>
      <c r="L88" s="105" t="n">
        <v>280295.71</v>
      </c>
      <c r="M88" s="0" t="s">
        <v>149</v>
      </c>
      <c r="N88" s="105" t="n">
        <v>280295.71</v>
      </c>
      <c r="O88" s="0" t="s">
        <v>149</v>
      </c>
      <c r="P88" s="0" t="n">
        <v>0</v>
      </c>
      <c r="Q88" s="105" t="n">
        <v>42757</v>
      </c>
      <c r="R88" s="105" t="n">
        <v>237538.71</v>
      </c>
      <c r="S88" s="0" t="n">
        <v>0</v>
      </c>
      <c r="T88" s="0" t="n">
        <v>0</v>
      </c>
      <c r="U88" s="0" t="n">
        <v>318999</v>
      </c>
      <c r="V88" s="0" t="s">
        <v>143</v>
      </c>
      <c r="Z88" s="0" t="n">
        <v>104337</v>
      </c>
      <c r="AD88" s="0" t="n">
        <v>110000</v>
      </c>
      <c r="AE88" s="0" t="s">
        <v>1966</v>
      </c>
      <c r="AF88" s="0" t="n">
        <v>501040</v>
      </c>
      <c r="AG88" s="0" t="s">
        <v>2036</v>
      </c>
      <c r="AI88" s="0" t="n">
        <v>501040</v>
      </c>
      <c r="AJ88" s="0" t="s">
        <v>2036</v>
      </c>
      <c r="AK88" s="0" t="n">
        <v>0</v>
      </c>
      <c r="AL88" s="0" t="n">
        <v>1</v>
      </c>
      <c r="AM88" s="0" t="s">
        <v>161</v>
      </c>
      <c r="AP88" s="0" t="n">
        <v>100057912</v>
      </c>
      <c r="AQ88" s="145" t="n">
        <v>43677</v>
      </c>
      <c r="AR88" s="145" t="n">
        <v>43655</v>
      </c>
      <c r="AS88" s="146" t="n">
        <v>0.701064814814815</v>
      </c>
      <c r="AT88" s="0" t="n">
        <v>0</v>
      </c>
      <c r="AU88" s="0" t="n">
        <v>0</v>
      </c>
      <c r="AX88" s="0" t="n">
        <v>1</v>
      </c>
      <c r="AY88" s="105" t="n">
        <v>-280295.71</v>
      </c>
      <c r="AZ88" s="105" t="n">
        <v>-280295.71</v>
      </c>
      <c r="BA88" s="0" t="s">
        <v>2759</v>
      </c>
      <c r="BB88" s="0" t="s">
        <v>2760</v>
      </c>
      <c r="BC88" s="0" t="s">
        <v>2761</v>
      </c>
      <c r="BD88" s="0" t="s">
        <v>2762</v>
      </c>
      <c r="BE88" s="0" t="s">
        <v>2762</v>
      </c>
      <c r="BF88" s="0" t="n">
        <v>799949</v>
      </c>
      <c r="BG88" s="145" t="n">
        <v>43890.357037037</v>
      </c>
      <c r="BH88" s="0" t="s">
        <v>2763</v>
      </c>
      <c r="BI88" s="0" t="n">
        <v>187152</v>
      </c>
      <c r="BJ88" s="0" t="s">
        <v>2764</v>
      </c>
      <c r="BK88" s="0" t="n">
        <v>1</v>
      </c>
      <c r="BL88" s="0" t="s">
        <v>2785</v>
      </c>
      <c r="BM88" s="145" t="n">
        <v>43826.8504398148</v>
      </c>
    </row>
    <row r="89" customFormat="false" ht="14.4" hidden="false" customHeight="false" outlineLevel="0" collapsed="false">
      <c r="A89" s="0" t="n">
        <v>1000</v>
      </c>
      <c r="B89" s="0" t="s">
        <v>1962</v>
      </c>
      <c r="C89" s="0" t="n">
        <v>103792</v>
      </c>
      <c r="D89" s="0" t="s">
        <v>2242</v>
      </c>
      <c r="E89" s="0" t="s">
        <v>1970</v>
      </c>
      <c r="F89" s="0" t="n">
        <v>1101</v>
      </c>
      <c r="H89" s="0" t="n">
        <v>2019</v>
      </c>
      <c r="I89" s="0" t="n">
        <v>3</v>
      </c>
      <c r="J89" s="145" t="n">
        <v>43642</v>
      </c>
      <c r="K89" s="145" t="n">
        <v>43642</v>
      </c>
      <c r="L89" s="105" t="n">
        <v>1842833.89</v>
      </c>
      <c r="M89" s="0" t="s">
        <v>149</v>
      </c>
      <c r="N89" s="105" t="n">
        <v>1842833.89</v>
      </c>
      <c r="O89" s="0" t="s">
        <v>149</v>
      </c>
      <c r="P89" s="0" t="n">
        <v>0</v>
      </c>
      <c r="Q89" s="105" t="n">
        <v>281110.24</v>
      </c>
      <c r="R89" s="105" t="n">
        <v>1561723.65</v>
      </c>
      <c r="S89" s="0" t="n">
        <v>0</v>
      </c>
      <c r="T89" s="0" t="n">
        <v>0</v>
      </c>
      <c r="U89" s="0" t="n">
        <v>318999</v>
      </c>
      <c r="V89" s="0" t="s">
        <v>143</v>
      </c>
      <c r="Z89" s="0" t="n">
        <v>103792</v>
      </c>
      <c r="AD89" s="0" t="n">
        <v>110000</v>
      </c>
      <c r="AE89" s="0" t="s">
        <v>1966</v>
      </c>
      <c r="AF89" s="0" t="n">
        <v>501040</v>
      </c>
      <c r="AG89" s="0" t="s">
        <v>2036</v>
      </c>
      <c r="AI89" s="0" t="n">
        <v>501040</v>
      </c>
      <c r="AJ89" s="0" t="s">
        <v>2036</v>
      </c>
      <c r="AK89" s="0" t="n">
        <v>0</v>
      </c>
      <c r="AL89" s="0" t="n">
        <v>1</v>
      </c>
      <c r="AM89" s="0" t="s">
        <v>161</v>
      </c>
      <c r="AP89" s="0" t="n">
        <v>100039983</v>
      </c>
      <c r="AQ89" s="145" t="n">
        <v>43645</v>
      </c>
      <c r="AR89" s="145" t="n">
        <v>43642</v>
      </c>
      <c r="AS89" s="146" t="n">
        <v>0.690578703703704</v>
      </c>
      <c r="AT89" s="0" t="n">
        <v>0</v>
      </c>
      <c r="AU89" s="0" t="n">
        <v>0</v>
      </c>
      <c r="AX89" s="0" t="n">
        <v>1</v>
      </c>
      <c r="AY89" s="105" t="n">
        <v>-1842833.89</v>
      </c>
      <c r="AZ89" s="105" t="n">
        <v>-1842833.89</v>
      </c>
      <c r="BA89" s="0" t="s">
        <v>2759</v>
      </c>
      <c r="BB89" s="0" t="s">
        <v>2760</v>
      </c>
      <c r="BC89" s="0" t="s">
        <v>2761</v>
      </c>
      <c r="BD89" s="0" t="s">
        <v>2762</v>
      </c>
      <c r="BE89" s="0" t="s">
        <v>2762</v>
      </c>
      <c r="BF89" s="0" t="n">
        <v>799949</v>
      </c>
      <c r="BG89" s="145" t="n">
        <v>43890.357037037</v>
      </c>
      <c r="BH89" s="0" t="s">
        <v>2763</v>
      </c>
      <c r="BI89" s="0" t="n">
        <v>187352</v>
      </c>
      <c r="BJ89" s="0" t="s">
        <v>2764</v>
      </c>
      <c r="BK89" s="0" t="n">
        <v>1</v>
      </c>
      <c r="BL89" s="0" t="s">
        <v>2778</v>
      </c>
      <c r="BM89" s="145" t="n">
        <v>43826.850462963</v>
      </c>
    </row>
    <row r="90" customFormat="false" ht="14.4" hidden="false" customHeight="false" outlineLevel="0" collapsed="false">
      <c r="A90" s="0" t="n">
        <v>1000</v>
      </c>
      <c r="B90" s="0" t="s">
        <v>1962</v>
      </c>
      <c r="C90" s="0" t="n">
        <v>104005</v>
      </c>
      <c r="D90" s="0" t="s">
        <v>2192</v>
      </c>
      <c r="E90" s="0" t="s">
        <v>1970</v>
      </c>
      <c r="F90" s="0" t="n">
        <v>1101</v>
      </c>
      <c r="H90" s="0" t="n">
        <v>2019</v>
      </c>
      <c r="I90" s="0" t="n">
        <v>3</v>
      </c>
      <c r="J90" s="145" t="n">
        <v>43645</v>
      </c>
      <c r="K90" s="145" t="n">
        <v>43645</v>
      </c>
      <c r="L90" s="105" t="n">
        <v>652491.73</v>
      </c>
      <c r="M90" s="0" t="s">
        <v>149</v>
      </c>
      <c r="N90" s="105" t="n">
        <v>652491.73</v>
      </c>
      <c r="O90" s="0" t="s">
        <v>149</v>
      </c>
      <c r="P90" s="0" t="n">
        <v>0</v>
      </c>
      <c r="Q90" s="105" t="n">
        <v>99532.66</v>
      </c>
      <c r="R90" s="105" t="n">
        <v>552959.07</v>
      </c>
      <c r="S90" s="0" t="n">
        <v>0</v>
      </c>
      <c r="T90" s="0" t="n">
        <v>0</v>
      </c>
      <c r="U90" s="0" t="n">
        <v>318999</v>
      </c>
      <c r="V90" s="0" t="s">
        <v>143</v>
      </c>
      <c r="Z90" s="0" t="n">
        <v>104005</v>
      </c>
      <c r="AD90" s="0" t="n">
        <v>110000</v>
      </c>
      <c r="AE90" s="0" t="s">
        <v>1966</v>
      </c>
      <c r="AF90" s="0" t="n">
        <v>501040</v>
      </c>
      <c r="AG90" s="0" t="s">
        <v>2036</v>
      </c>
      <c r="AI90" s="0" t="n">
        <v>501040</v>
      </c>
      <c r="AJ90" s="0" t="s">
        <v>2036</v>
      </c>
      <c r="AK90" s="0" t="n">
        <v>0</v>
      </c>
      <c r="AL90" s="0" t="n">
        <v>1</v>
      </c>
      <c r="AM90" s="0" t="s">
        <v>161</v>
      </c>
      <c r="AP90" s="0" t="n">
        <v>100039983</v>
      </c>
      <c r="AQ90" s="145" t="n">
        <v>43645</v>
      </c>
      <c r="AR90" s="145" t="n">
        <v>43645</v>
      </c>
      <c r="AS90" s="146" t="n">
        <v>0.498842592592593</v>
      </c>
      <c r="AT90" s="0" t="n">
        <v>0</v>
      </c>
      <c r="AU90" s="0" t="n">
        <v>0</v>
      </c>
      <c r="AX90" s="0" t="n">
        <v>1</v>
      </c>
      <c r="AY90" s="105" t="n">
        <v>-652491.73</v>
      </c>
      <c r="AZ90" s="105" t="n">
        <v>-652491.73</v>
      </c>
      <c r="BA90" s="0" t="s">
        <v>2759</v>
      </c>
      <c r="BB90" s="0" t="s">
        <v>2760</v>
      </c>
      <c r="BC90" s="0" t="s">
        <v>2761</v>
      </c>
      <c r="BD90" s="0" t="s">
        <v>2762</v>
      </c>
      <c r="BE90" s="0" t="s">
        <v>2762</v>
      </c>
      <c r="BF90" s="0" t="n">
        <v>799949</v>
      </c>
      <c r="BG90" s="145" t="n">
        <v>43890.357037037</v>
      </c>
      <c r="BH90" s="0" t="s">
        <v>2763</v>
      </c>
      <c r="BI90" s="0" t="n">
        <v>187564</v>
      </c>
      <c r="BJ90" s="0" t="s">
        <v>2764</v>
      </c>
      <c r="BK90" s="0" t="n">
        <v>1</v>
      </c>
      <c r="BL90" s="0" t="s">
        <v>2778</v>
      </c>
      <c r="BM90" s="145" t="n">
        <v>43826.850462963</v>
      </c>
    </row>
    <row r="91" customFormat="false" ht="14.4" hidden="false" customHeight="false" outlineLevel="0" collapsed="false">
      <c r="L91" s="147" t="n">
        <f aca="false">SUM(L82:L90)</f>
        <v>5366987.75</v>
      </c>
    </row>
    <row r="94" customFormat="false" ht="14.4" hidden="false" customHeight="false" outlineLevel="0" collapsed="false">
      <c r="A94" s="0" t="s">
        <v>92</v>
      </c>
      <c r="B94" s="0" t="s">
        <v>93</v>
      </c>
      <c r="C94" s="0" t="s">
        <v>94</v>
      </c>
      <c r="D94" s="0" t="s">
        <v>95</v>
      </c>
      <c r="E94" s="0" t="s">
        <v>96</v>
      </c>
      <c r="F94" s="0" t="s">
        <v>97</v>
      </c>
      <c r="G94" s="0" t="s">
        <v>2742</v>
      </c>
      <c r="H94" s="0" t="s">
        <v>98</v>
      </c>
      <c r="I94" s="0" t="s">
        <v>99</v>
      </c>
      <c r="J94" s="0" t="s">
        <v>1954</v>
      </c>
      <c r="K94" s="0" t="s">
        <v>101</v>
      </c>
      <c r="L94" s="0" t="s">
        <v>102</v>
      </c>
      <c r="M94" s="0" t="s">
        <v>104</v>
      </c>
      <c r="N94" s="0" t="s">
        <v>105</v>
      </c>
      <c r="O94" s="0" t="s">
        <v>106</v>
      </c>
      <c r="P94" s="0" t="s">
        <v>107</v>
      </c>
      <c r="Q94" s="0" t="s">
        <v>108</v>
      </c>
      <c r="R94" s="0" t="s">
        <v>109</v>
      </c>
      <c r="S94" s="0" t="s">
        <v>110</v>
      </c>
      <c r="T94" s="0" t="s">
        <v>111</v>
      </c>
      <c r="U94" s="0" t="s">
        <v>1955</v>
      </c>
      <c r="V94" s="0" t="s">
        <v>1956</v>
      </c>
      <c r="W94" s="0" t="s">
        <v>114</v>
      </c>
      <c r="X94" s="0" t="s">
        <v>2743</v>
      </c>
      <c r="Y94" s="0" t="s">
        <v>116</v>
      </c>
      <c r="Z94" s="0" t="s">
        <v>1959</v>
      </c>
      <c r="AA94" s="0" t="s">
        <v>118</v>
      </c>
      <c r="AB94" s="0" t="s">
        <v>119</v>
      </c>
      <c r="AC94" s="0" t="s">
        <v>120</v>
      </c>
      <c r="AD94" s="0" t="s">
        <v>121</v>
      </c>
      <c r="AE94" s="0" t="s">
        <v>122</v>
      </c>
      <c r="AF94" s="0" t="s">
        <v>123</v>
      </c>
      <c r="AG94" s="0" t="s">
        <v>124</v>
      </c>
      <c r="AH94" s="0" t="s">
        <v>125</v>
      </c>
      <c r="AI94" s="0" t="s">
        <v>126</v>
      </c>
      <c r="AJ94" s="0" t="s">
        <v>127</v>
      </c>
      <c r="AK94" s="0" t="s">
        <v>128</v>
      </c>
      <c r="AL94" s="0" t="s">
        <v>129</v>
      </c>
      <c r="AM94" s="0" t="s">
        <v>1960</v>
      </c>
      <c r="AN94" s="0" t="s">
        <v>1961</v>
      </c>
      <c r="AO94" s="0" t="s">
        <v>132</v>
      </c>
      <c r="AP94" s="0" t="s">
        <v>133</v>
      </c>
      <c r="AQ94" s="0" t="s">
        <v>134</v>
      </c>
      <c r="AR94" s="0" t="s">
        <v>135</v>
      </c>
      <c r="AS94" s="0" t="s">
        <v>136</v>
      </c>
      <c r="AT94" s="0" t="s">
        <v>137</v>
      </c>
      <c r="AU94" s="0" t="s">
        <v>138</v>
      </c>
      <c r="AV94" s="0" t="s">
        <v>139</v>
      </c>
      <c r="AW94" s="0" t="s">
        <v>140</v>
      </c>
      <c r="AX94" s="0" t="s">
        <v>141</v>
      </c>
      <c r="AY94" s="0" t="s">
        <v>2744</v>
      </c>
      <c r="AZ94" s="0" t="s">
        <v>2745</v>
      </c>
      <c r="BA94" s="0" t="s">
        <v>2746</v>
      </c>
      <c r="BB94" s="0" t="s">
        <v>2747</v>
      </c>
      <c r="BC94" s="0" t="s">
        <v>2748</v>
      </c>
      <c r="BD94" s="0" t="s">
        <v>2749</v>
      </c>
      <c r="BE94" s="0" t="s">
        <v>2750</v>
      </c>
      <c r="BF94" s="0" t="s">
        <v>2751</v>
      </c>
      <c r="BG94" s="0" t="s">
        <v>2752</v>
      </c>
      <c r="BH94" s="0" t="s">
        <v>2753</v>
      </c>
      <c r="BI94" s="0" t="s">
        <v>2754</v>
      </c>
      <c r="BJ94" s="0" t="s">
        <v>2755</v>
      </c>
      <c r="BK94" s="0" t="s">
        <v>2756</v>
      </c>
      <c r="BL94" s="0" t="s">
        <v>2757</v>
      </c>
      <c r="BM94" s="0" t="s">
        <v>2758</v>
      </c>
    </row>
    <row r="95" customFormat="false" ht="14.4" hidden="false" customHeight="false" outlineLevel="0" collapsed="false">
      <c r="A95" s="0" t="n">
        <v>1000</v>
      </c>
      <c r="B95" s="0" t="s">
        <v>143</v>
      </c>
      <c r="C95" s="0" t="n">
        <v>51573028</v>
      </c>
      <c r="D95" s="0" t="s">
        <v>1744</v>
      </c>
      <c r="E95" s="0" t="s">
        <v>725</v>
      </c>
      <c r="F95" s="0" t="n">
        <v>9000</v>
      </c>
      <c r="G95" s="0" t="s">
        <v>2786</v>
      </c>
      <c r="H95" s="0" t="n">
        <v>2020</v>
      </c>
      <c r="I95" s="0" t="n">
        <v>9</v>
      </c>
      <c r="J95" s="145" t="n">
        <v>43732</v>
      </c>
      <c r="K95" s="145" t="n">
        <v>43830</v>
      </c>
      <c r="L95" s="0" t="n">
        <v>-0.01</v>
      </c>
      <c r="M95" s="0" t="s">
        <v>149</v>
      </c>
      <c r="N95" s="0" t="n">
        <v>-0.01</v>
      </c>
      <c r="O95" s="0" t="s">
        <v>149</v>
      </c>
      <c r="P95" s="105" t="n">
        <v>-394075.12</v>
      </c>
      <c r="Q95" s="105" t="n">
        <v>-60113.16</v>
      </c>
      <c r="R95" s="105" t="n">
        <v>60113.15</v>
      </c>
      <c r="S95" s="0" t="n">
        <v>0</v>
      </c>
      <c r="T95" s="0" t="n">
        <v>0</v>
      </c>
      <c r="U95" s="0" t="s">
        <v>150</v>
      </c>
      <c r="V95" s="0" t="s">
        <v>151</v>
      </c>
      <c r="Y95" s="0" t="n">
        <v>3700796951</v>
      </c>
      <c r="Z95" s="0" t="n">
        <v>51573028</v>
      </c>
      <c r="AB95" s="0" t="n">
        <v>3700796951</v>
      </c>
      <c r="AC95" s="0" t="s">
        <v>2787</v>
      </c>
      <c r="AD95" s="0" t="n">
        <v>2408402</v>
      </c>
      <c r="AE95" s="0" t="s">
        <v>156</v>
      </c>
      <c r="AF95" s="0" t="n">
        <v>2408424</v>
      </c>
      <c r="AG95" s="0" t="s">
        <v>729</v>
      </c>
      <c r="AH95" s="0" t="n">
        <v>1013001</v>
      </c>
      <c r="AI95" s="0" t="n">
        <v>1013001</v>
      </c>
      <c r="AJ95" s="0" t="s">
        <v>2784</v>
      </c>
      <c r="AK95" s="0" t="s">
        <v>2788</v>
      </c>
      <c r="AL95" s="0" t="n">
        <v>31</v>
      </c>
      <c r="AM95" s="0" t="s">
        <v>225</v>
      </c>
      <c r="AR95" s="145" t="n">
        <v>43830</v>
      </c>
      <c r="AS95" s="146" t="n">
        <v>0.529224537037037</v>
      </c>
      <c r="AT95" s="0" t="n">
        <v>0</v>
      </c>
      <c r="AU95" s="0" t="n">
        <v>-0.01</v>
      </c>
      <c r="AW95" s="0" t="n">
        <v>10</v>
      </c>
      <c r="AX95" s="0" t="n">
        <v>1</v>
      </c>
      <c r="AY95" s="0" t="n">
        <v>0.01</v>
      </c>
      <c r="AZ95" s="0" t="n">
        <v>0.01</v>
      </c>
      <c r="BA95" s="0" t="s">
        <v>2767</v>
      </c>
      <c r="BB95" s="0" t="s">
        <v>2768</v>
      </c>
      <c r="BC95" s="0" t="s">
        <v>2761</v>
      </c>
      <c r="BD95" s="0" t="s">
        <v>2762</v>
      </c>
      <c r="BE95" s="0" t="s">
        <v>2762</v>
      </c>
      <c r="BF95" s="0" t="n">
        <v>799949</v>
      </c>
      <c r="BG95" s="145" t="n">
        <v>43890.357037037</v>
      </c>
      <c r="BH95" s="0" t="s">
        <v>2769</v>
      </c>
      <c r="BI95" s="0" t="n">
        <v>186651</v>
      </c>
      <c r="BJ95" s="0" t="s">
        <v>2770</v>
      </c>
      <c r="BK95" s="0" t="n">
        <v>1</v>
      </c>
      <c r="BL95" s="0" t="s">
        <v>2789</v>
      </c>
      <c r="BM95" s="145" t="n">
        <v>43831.0529513889</v>
      </c>
    </row>
    <row r="96" customFormat="false" ht="14.4" hidden="false" customHeight="false" outlineLevel="0" collapsed="false">
      <c r="A96" s="0" t="n">
        <v>1000</v>
      </c>
      <c r="B96" s="0" t="s">
        <v>143</v>
      </c>
      <c r="C96" s="0" t="n">
        <v>51573028</v>
      </c>
      <c r="D96" s="0" t="s">
        <v>1744</v>
      </c>
      <c r="E96" s="0" t="s">
        <v>725</v>
      </c>
      <c r="F96" s="0" t="n">
        <v>9000</v>
      </c>
      <c r="G96" s="0" t="s">
        <v>2786</v>
      </c>
      <c r="H96" s="0" t="n">
        <v>2020</v>
      </c>
      <c r="I96" s="0" t="n">
        <v>9</v>
      </c>
      <c r="J96" s="145" t="n">
        <v>43732</v>
      </c>
      <c r="K96" s="145" t="n">
        <v>43830</v>
      </c>
      <c r="L96" s="105" t="n">
        <v>-394075.11</v>
      </c>
      <c r="M96" s="0" t="s">
        <v>149</v>
      </c>
      <c r="N96" s="105" t="n">
        <v>-394075.11</v>
      </c>
      <c r="O96" s="0" t="s">
        <v>149</v>
      </c>
      <c r="P96" s="105" t="n">
        <v>-394075.12</v>
      </c>
      <c r="Q96" s="105" t="n">
        <v>-60113.16</v>
      </c>
      <c r="R96" s="105" t="n">
        <v>-333961.95</v>
      </c>
      <c r="S96" s="0" t="n">
        <v>0</v>
      </c>
      <c r="T96" s="0" t="n">
        <v>0</v>
      </c>
      <c r="U96" s="0" t="s">
        <v>150</v>
      </c>
      <c r="V96" s="0" t="s">
        <v>151</v>
      </c>
      <c r="Y96" s="0" t="n">
        <v>3700796951</v>
      </c>
      <c r="Z96" s="0" t="n">
        <v>51573028</v>
      </c>
      <c r="AB96" s="0" t="n">
        <v>3700796951</v>
      </c>
      <c r="AC96" s="0" t="s">
        <v>2787</v>
      </c>
      <c r="AD96" s="0" t="n">
        <v>2408402</v>
      </c>
      <c r="AE96" s="0" t="s">
        <v>156</v>
      </c>
      <c r="AF96" s="0" t="n">
        <v>2408424</v>
      </c>
      <c r="AG96" s="0" t="s">
        <v>729</v>
      </c>
      <c r="AH96" s="0" t="n">
        <v>1013001</v>
      </c>
      <c r="AI96" s="0" t="n">
        <v>1013001</v>
      </c>
      <c r="AJ96" s="0" t="s">
        <v>2784</v>
      </c>
      <c r="AK96" s="0" t="s">
        <v>2788</v>
      </c>
      <c r="AL96" s="0" t="n">
        <v>31</v>
      </c>
      <c r="AM96" s="0" t="s">
        <v>225</v>
      </c>
      <c r="AR96" s="145" t="n">
        <v>43830</v>
      </c>
      <c r="AS96" s="146" t="n">
        <v>0.529224537037037</v>
      </c>
      <c r="AT96" s="0" t="n">
        <v>0</v>
      </c>
      <c r="AU96" s="105" t="n">
        <v>-394075.11</v>
      </c>
      <c r="AW96" s="0" t="n">
        <v>10</v>
      </c>
      <c r="AX96" s="0" t="n">
        <v>1</v>
      </c>
      <c r="AY96" s="105" t="n">
        <v>394075.11</v>
      </c>
      <c r="AZ96" s="105" t="n">
        <v>394075.11</v>
      </c>
      <c r="BA96" s="0" t="s">
        <v>2767</v>
      </c>
      <c r="BB96" s="0" t="s">
        <v>2768</v>
      </c>
      <c r="BC96" s="0" t="s">
        <v>2761</v>
      </c>
      <c r="BD96" s="0" t="s">
        <v>2762</v>
      </c>
      <c r="BE96" s="0" t="s">
        <v>2762</v>
      </c>
      <c r="BF96" s="0" t="n">
        <v>799949</v>
      </c>
      <c r="BG96" s="145" t="n">
        <v>43890.357037037</v>
      </c>
      <c r="BH96" s="0" t="s">
        <v>2769</v>
      </c>
      <c r="BI96" s="0" t="n">
        <v>186752</v>
      </c>
      <c r="BJ96" s="0" t="s">
        <v>2770</v>
      </c>
      <c r="BK96" s="0" t="n">
        <v>1</v>
      </c>
      <c r="BL96" s="0" t="s">
        <v>2789</v>
      </c>
      <c r="BM96" s="145" t="n">
        <v>43831.0529513889</v>
      </c>
    </row>
    <row r="97" customFormat="false" ht="14.4" hidden="false" customHeight="false" outlineLevel="0" collapsed="false">
      <c r="A97" s="0" t="n">
        <v>1000</v>
      </c>
      <c r="B97" s="0" t="s">
        <v>143</v>
      </c>
      <c r="C97" s="0" t="n">
        <v>51323196</v>
      </c>
      <c r="D97" s="0" t="s">
        <v>1553</v>
      </c>
      <c r="E97" s="0" t="s">
        <v>725</v>
      </c>
      <c r="F97" s="0" t="n">
        <v>7000</v>
      </c>
      <c r="G97" s="0" t="s">
        <v>2782</v>
      </c>
      <c r="H97" s="0" t="n">
        <v>2020</v>
      </c>
      <c r="I97" s="0" t="n">
        <v>5</v>
      </c>
      <c r="J97" s="145" t="n">
        <v>43642</v>
      </c>
      <c r="K97" s="145" t="n">
        <v>43703</v>
      </c>
      <c r="L97" s="105" t="n">
        <v>-1617264.3</v>
      </c>
      <c r="M97" s="0" t="s">
        <v>149</v>
      </c>
      <c r="N97" s="105" t="n">
        <v>-1617264.3</v>
      </c>
      <c r="O97" s="0" t="s">
        <v>149</v>
      </c>
      <c r="P97" s="105" t="n">
        <v>-1617264.3</v>
      </c>
      <c r="Q97" s="0" t="n">
        <v>0</v>
      </c>
      <c r="R97" s="105" t="n">
        <v>-1617264.3</v>
      </c>
      <c r="S97" s="0" t="n">
        <v>0</v>
      </c>
      <c r="T97" s="0" t="n">
        <v>0</v>
      </c>
      <c r="U97" s="0" t="s">
        <v>192</v>
      </c>
      <c r="V97" s="0" t="s">
        <v>151</v>
      </c>
      <c r="X97" s="0" t="s">
        <v>1212</v>
      </c>
      <c r="Y97" s="0" t="n">
        <v>2300050954</v>
      </c>
      <c r="Z97" s="0" t="n">
        <v>51323196</v>
      </c>
      <c r="AB97" s="0" t="n">
        <v>2300050954</v>
      </c>
      <c r="AD97" s="0" t="n">
        <v>2408402</v>
      </c>
      <c r="AE97" s="0" t="s">
        <v>156</v>
      </c>
      <c r="AF97" s="0" t="n">
        <v>2408425</v>
      </c>
      <c r="AG97" s="0" t="s">
        <v>2783</v>
      </c>
      <c r="AH97" s="0" t="n">
        <v>1013001</v>
      </c>
      <c r="AI97" s="0" t="n">
        <v>1013001</v>
      </c>
      <c r="AJ97" s="0" t="s">
        <v>2784</v>
      </c>
      <c r="AK97" s="0" t="n">
        <v>0</v>
      </c>
      <c r="AL97" s="0" t="n">
        <v>31</v>
      </c>
      <c r="AM97" s="0" t="s">
        <v>225</v>
      </c>
      <c r="AP97" s="0" t="n">
        <v>45122600</v>
      </c>
      <c r="AQ97" s="145" t="n">
        <v>43704</v>
      </c>
      <c r="AR97" s="145" t="n">
        <v>43703</v>
      </c>
      <c r="AS97" s="146" t="n">
        <v>0.669085648148148</v>
      </c>
      <c r="AT97" s="0" t="n">
        <v>0</v>
      </c>
      <c r="AU97" s="105" t="n">
        <v>-1617264.3</v>
      </c>
      <c r="AX97" s="0" t="n">
        <v>9</v>
      </c>
      <c r="AY97" s="105" t="n">
        <v>1617264.3</v>
      </c>
      <c r="AZ97" s="105" t="n">
        <v>1617264.3</v>
      </c>
      <c r="BA97" s="0" t="s">
        <v>2767</v>
      </c>
      <c r="BB97" s="0" t="s">
        <v>2768</v>
      </c>
      <c r="BC97" s="0" t="s">
        <v>2761</v>
      </c>
      <c r="BD97" s="0" t="s">
        <v>2762</v>
      </c>
      <c r="BE97" s="0" t="s">
        <v>2762</v>
      </c>
      <c r="BF97" s="0" t="n">
        <v>799949</v>
      </c>
      <c r="BG97" s="145" t="n">
        <v>43890.357037037</v>
      </c>
      <c r="BH97" s="0" t="s">
        <v>2769</v>
      </c>
      <c r="BI97" s="0" t="n">
        <v>341613</v>
      </c>
      <c r="BJ97" s="0" t="s">
        <v>2770</v>
      </c>
      <c r="BK97" s="0" t="n">
        <v>1</v>
      </c>
      <c r="BL97" s="0" t="s">
        <v>2781</v>
      </c>
      <c r="BM97" s="145" t="n">
        <v>43858.6422569445</v>
      </c>
    </row>
    <row r="98" customFormat="false" ht="14.4" hidden="false" customHeight="false" outlineLevel="0" collapsed="false">
      <c r="A98" s="0" t="n">
        <v>1000</v>
      </c>
      <c r="B98" s="0" t="s">
        <v>143</v>
      </c>
      <c r="C98" s="0" t="n">
        <v>51323504</v>
      </c>
      <c r="D98" s="0" t="s">
        <v>1547</v>
      </c>
      <c r="E98" s="0" t="s">
        <v>725</v>
      </c>
      <c r="F98" s="0" t="n">
        <v>7000</v>
      </c>
      <c r="G98" s="0" t="s">
        <v>2782</v>
      </c>
      <c r="H98" s="0" t="n">
        <v>2020</v>
      </c>
      <c r="I98" s="0" t="n">
        <v>5</v>
      </c>
      <c r="J98" s="145" t="n">
        <v>43645</v>
      </c>
      <c r="K98" s="145" t="n">
        <v>43703</v>
      </c>
      <c r="L98" s="105" t="n">
        <v>-544693.87</v>
      </c>
      <c r="M98" s="0" t="s">
        <v>149</v>
      </c>
      <c r="N98" s="105" t="n">
        <v>-544693.87</v>
      </c>
      <c r="O98" s="0" t="s">
        <v>149</v>
      </c>
      <c r="P98" s="105" t="n">
        <v>-544693.87</v>
      </c>
      <c r="Q98" s="0" t="n">
        <v>0</v>
      </c>
      <c r="R98" s="105" t="n">
        <v>-544693.87</v>
      </c>
      <c r="S98" s="0" t="n">
        <v>0</v>
      </c>
      <c r="T98" s="0" t="n">
        <v>0</v>
      </c>
      <c r="U98" s="0" t="s">
        <v>192</v>
      </c>
      <c r="V98" s="0" t="s">
        <v>151</v>
      </c>
      <c r="X98" s="0" t="s">
        <v>1212</v>
      </c>
      <c r="Y98" s="0" t="n">
        <v>2300050954</v>
      </c>
      <c r="Z98" s="0" t="n">
        <v>51323504</v>
      </c>
      <c r="AB98" s="0" t="n">
        <v>2300050954</v>
      </c>
      <c r="AD98" s="0" t="n">
        <v>2408402</v>
      </c>
      <c r="AE98" s="0" t="s">
        <v>156</v>
      </c>
      <c r="AF98" s="0" t="n">
        <v>2408425</v>
      </c>
      <c r="AG98" s="0" t="s">
        <v>2783</v>
      </c>
      <c r="AH98" s="0" t="n">
        <v>1013001</v>
      </c>
      <c r="AI98" s="0" t="n">
        <v>1013001</v>
      </c>
      <c r="AJ98" s="0" t="s">
        <v>2784</v>
      </c>
      <c r="AK98" s="0" t="n">
        <v>0</v>
      </c>
      <c r="AL98" s="0" t="n">
        <v>31</v>
      </c>
      <c r="AM98" s="0" t="s">
        <v>225</v>
      </c>
      <c r="AP98" s="0" t="n">
        <v>45122600</v>
      </c>
      <c r="AQ98" s="145" t="n">
        <v>43704</v>
      </c>
      <c r="AR98" s="145" t="n">
        <v>43703</v>
      </c>
      <c r="AS98" s="146" t="n">
        <v>0.710509259259259</v>
      </c>
      <c r="AT98" s="0" t="n">
        <v>0</v>
      </c>
      <c r="AU98" s="105" t="n">
        <v>-544693.87</v>
      </c>
      <c r="AX98" s="0" t="n">
        <v>9</v>
      </c>
      <c r="AY98" s="105" t="n">
        <v>544693.87</v>
      </c>
      <c r="AZ98" s="105" t="n">
        <v>544693.87</v>
      </c>
      <c r="BA98" s="0" t="s">
        <v>2767</v>
      </c>
      <c r="BB98" s="0" t="s">
        <v>2768</v>
      </c>
      <c r="BC98" s="0" t="s">
        <v>2761</v>
      </c>
      <c r="BD98" s="0" t="s">
        <v>2762</v>
      </c>
      <c r="BE98" s="0" t="s">
        <v>2762</v>
      </c>
      <c r="BF98" s="0" t="n">
        <v>799949</v>
      </c>
      <c r="BG98" s="145" t="n">
        <v>43890.357037037</v>
      </c>
      <c r="BH98" s="0" t="s">
        <v>2769</v>
      </c>
      <c r="BI98" s="0" t="n">
        <v>341617</v>
      </c>
      <c r="BJ98" s="0" t="s">
        <v>2770</v>
      </c>
      <c r="BK98" s="0" t="n">
        <v>1</v>
      </c>
      <c r="BL98" s="0" t="s">
        <v>2781</v>
      </c>
      <c r="BM98" s="145" t="n">
        <v>43858.6422569445</v>
      </c>
    </row>
    <row r="99" customFormat="false" ht="14.4" hidden="false" customHeight="false" outlineLevel="0" collapsed="false">
      <c r="A99" s="0" t="n">
        <v>1000</v>
      </c>
      <c r="B99" s="0" t="s">
        <v>143</v>
      </c>
      <c r="C99" s="0" t="n">
        <v>51323529</v>
      </c>
      <c r="D99" s="0" t="s">
        <v>1544</v>
      </c>
      <c r="E99" s="0" t="s">
        <v>725</v>
      </c>
      <c r="F99" s="0" t="n">
        <v>7000</v>
      </c>
      <c r="G99" s="0" t="s">
        <v>2782</v>
      </c>
      <c r="H99" s="0" t="n">
        <v>2020</v>
      </c>
      <c r="I99" s="0" t="n">
        <v>5</v>
      </c>
      <c r="J99" s="145" t="n">
        <v>43648</v>
      </c>
      <c r="K99" s="145" t="n">
        <v>43703</v>
      </c>
      <c r="L99" s="105" t="n">
        <v>-284959.92</v>
      </c>
      <c r="M99" s="0" t="s">
        <v>149</v>
      </c>
      <c r="N99" s="105" t="n">
        <v>-284959.92</v>
      </c>
      <c r="O99" s="0" t="s">
        <v>149</v>
      </c>
      <c r="P99" s="105" t="n">
        <v>-284959.92</v>
      </c>
      <c r="Q99" s="0" t="n">
        <v>0</v>
      </c>
      <c r="R99" s="105" t="n">
        <v>-284959.92</v>
      </c>
      <c r="S99" s="0" t="n">
        <v>0</v>
      </c>
      <c r="T99" s="0" t="n">
        <v>0</v>
      </c>
      <c r="U99" s="0" t="s">
        <v>192</v>
      </c>
      <c r="V99" s="0" t="s">
        <v>151</v>
      </c>
      <c r="X99" s="0" t="s">
        <v>1212</v>
      </c>
      <c r="Y99" s="0" t="n">
        <v>2300050954</v>
      </c>
      <c r="Z99" s="0" t="n">
        <v>51323529</v>
      </c>
      <c r="AB99" s="0" t="n">
        <v>2300050954</v>
      </c>
      <c r="AD99" s="0" t="n">
        <v>2408402</v>
      </c>
      <c r="AE99" s="0" t="s">
        <v>156</v>
      </c>
      <c r="AF99" s="0" t="n">
        <v>2408425</v>
      </c>
      <c r="AG99" s="0" t="s">
        <v>2783</v>
      </c>
      <c r="AH99" s="0" t="n">
        <v>1013001</v>
      </c>
      <c r="AI99" s="0" t="n">
        <v>1013001</v>
      </c>
      <c r="AJ99" s="0" t="s">
        <v>2784</v>
      </c>
      <c r="AK99" s="0" t="n">
        <v>0</v>
      </c>
      <c r="AL99" s="0" t="n">
        <v>31</v>
      </c>
      <c r="AM99" s="0" t="s">
        <v>225</v>
      </c>
      <c r="AP99" s="0" t="n">
        <v>45122600</v>
      </c>
      <c r="AQ99" s="145" t="n">
        <v>43704</v>
      </c>
      <c r="AR99" s="145" t="n">
        <v>43703</v>
      </c>
      <c r="AS99" s="146" t="n">
        <v>0.712777777777778</v>
      </c>
      <c r="AT99" s="0" t="n">
        <v>0</v>
      </c>
      <c r="AU99" s="105" t="n">
        <v>-284959.92</v>
      </c>
      <c r="AX99" s="0" t="n">
        <v>9</v>
      </c>
      <c r="AY99" s="105" t="n">
        <v>284959.92</v>
      </c>
      <c r="AZ99" s="105" t="n">
        <v>284959.92</v>
      </c>
      <c r="BA99" s="0" t="s">
        <v>2767</v>
      </c>
      <c r="BB99" s="0" t="s">
        <v>2768</v>
      </c>
      <c r="BC99" s="0" t="s">
        <v>2761</v>
      </c>
      <c r="BD99" s="0" t="s">
        <v>2762</v>
      </c>
      <c r="BE99" s="0" t="s">
        <v>2762</v>
      </c>
      <c r="BF99" s="0" t="n">
        <v>799949</v>
      </c>
      <c r="BG99" s="145" t="n">
        <v>43890.357037037</v>
      </c>
      <c r="BH99" s="0" t="s">
        <v>2769</v>
      </c>
      <c r="BI99" s="0" t="n">
        <v>341619</v>
      </c>
      <c r="BJ99" s="0" t="s">
        <v>2770</v>
      </c>
      <c r="BK99" s="0" t="n">
        <v>1</v>
      </c>
      <c r="BL99" s="0" t="s">
        <v>2781</v>
      </c>
      <c r="BM99" s="145" t="n">
        <v>43858.6422569445</v>
      </c>
    </row>
    <row r="100" customFormat="false" ht="14.4" hidden="false" customHeight="false" outlineLevel="0" collapsed="false">
      <c r="A100" s="0" t="n">
        <v>1000</v>
      </c>
      <c r="B100" s="0" t="s">
        <v>143</v>
      </c>
      <c r="C100" s="0" t="n">
        <v>51323575</v>
      </c>
      <c r="D100" s="0" t="s">
        <v>1523</v>
      </c>
      <c r="E100" s="0" t="s">
        <v>725</v>
      </c>
      <c r="F100" s="0" t="n">
        <v>7000</v>
      </c>
      <c r="G100" s="0" t="s">
        <v>2782</v>
      </c>
      <c r="H100" s="0" t="n">
        <v>2020</v>
      </c>
      <c r="I100" s="0" t="n">
        <v>5</v>
      </c>
      <c r="J100" s="145" t="n">
        <v>43650</v>
      </c>
      <c r="K100" s="145" t="n">
        <v>43703</v>
      </c>
      <c r="L100" s="105" t="n">
        <v>-294302.86</v>
      </c>
      <c r="M100" s="0" t="s">
        <v>149</v>
      </c>
      <c r="N100" s="105" t="n">
        <v>-294302.86</v>
      </c>
      <c r="O100" s="0" t="s">
        <v>149</v>
      </c>
      <c r="P100" s="105" t="n">
        <v>-294302.86</v>
      </c>
      <c r="Q100" s="0" t="n">
        <v>0</v>
      </c>
      <c r="R100" s="105" t="n">
        <v>-294302.86</v>
      </c>
      <c r="S100" s="0" t="n">
        <v>0</v>
      </c>
      <c r="T100" s="0" t="n">
        <v>0</v>
      </c>
      <c r="U100" s="0" t="s">
        <v>192</v>
      </c>
      <c r="V100" s="0" t="s">
        <v>151</v>
      </c>
      <c r="X100" s="0" t="s">
        <v>1212</v>
      </c>
      <c r="Y100" s="0" t="n">
        <v>2300050954</v>
      </c>
      <c r="Z100" s="0" t="n">
        <v>51323575</v>
      </c>
      <c r="AB100" s="0" t="n">
        <v>2300050954</v>
      </c>
      <c r="AD100" s="0" t="n">
        <v>2408402</v>
      </c>
      <c r="AE100" s="0" t="s">
        <v>156</v>
      </c>
      <c r="AF100" s="0" t="n">
        <v>2408425</v>
      </c>
      <c r="AG100" s="0" t="s">
        <v>2783</v>
      </c>
      <c r="AH100" s="0" t="n">
        <v>1013001</v>
      </c>
      <c r="AI100" s="0" t="n">
        <v>1013001</v>
      </c>
      <c r="AJ100" s="0" t="s">
        <v>2784</v>
      </c>
      <c r="AK100" s="0" t="n">
        <v>0</v>
      </c>
      <c r="AL100" s="0" t="n">
        <v>31</v>
      </c>
      <c r="AM100" s="0" t="s">
        <v>225</v>
      </c>
      <c r="AP100" s="0" t="n">
        <v>45122600</v>
      </c>
      <c r="AQ100" s="145" t="n">
        <v>43704</v>
      </c>
      <c r="AR100" s="145" t="n">
        <v>43703</v>
      </c>
      <c r="AS100" s="146" t="n">
        <v>0.717511574074074</v>
      </c>
      <c r="AT100" s="0" t="n">
        <v>0</v>
      </c>
      <c r="AU100" s="105" t="n">
        <v>-294302.86</v>
      </c>
      <c r="AX100" s="0" t="n">
        <v>9</v>
      </c>
      <c r="AY100" s="105" t="n">
        <v>294302.86</v>
      </c>
      <c r="AZ100" s="105" t="n">
        <v>294302.86</v>
      </c>
      <c r="BA100" s="0" t="s">
        <v>2767</v>
      </c>
      <c r="BB100" s="0" t="s">
        <v>2768</v>
      </c>
      <c r="BC100" s="0" t="s">
        <v>2761</v>
      </c>
      <c r="BD100" s="0" t="s">
        <v>2762</v>
      </c>
      <c r="BE100" s="0" t="s">
        <v>2762</v>
      </c>
      <c r="BF100" s="0" t="n">
        <v>799949</v>
      </c>
      <c r="BG100" s="145" t="n">
        <v>43890.357037037</v>
      </c>
      <c r="BH100" s="0" t="s">
        <v>2769</v>
      </c>
      <c r="BI100" s="0" t="n">
        <v>341623</v>
      </c>
      <c r="BJ100" s="0" t="s">
        <v>2770</v>
      </c>
      <c r="BK100" s="0" t="n">
        <v>1</v>
      </c>
      <c r="BL100" s="0" t="s">
        <v>2781</v>
      </c>
      <c r="BM100" s="145" t="n">
        <v>43858.6422569445</v>
      </c>
    </row>
    <row r="101" customFormat="false" ht="14.4" hidden="false" customHeight="false" outlineLevel="0" collapsed="false">
      <c r="A101" s="0" t="n">
        <v>1000</v>
      </c>
      <c r="B101" s="0" t="s">
        <v>143</v>
      </c>
      <c r="C101" s="0" t="n">
        <v>51323590</v>
      </c>
      <c r="D101" s="0" t="s">
        <v>1526</v>
      </c>
      <c r="E101" s="0" t="s">
        <v>725</v>
      </c>
      <c r="F101" s="0" t="n">
        <v>7000</v>
      </c>
      <c r="G101" s="0" t="s">
        <v>2782</v>
      </c>
      <c r="H101" s="0" t="n">
        <v>2020</v>
      </c>
      <c r="I101" s="0" t="n">
        <v>5</v>
      </c>
      <c r="J101" s="145" t="n">
        <v>43650</v>
      </c>
      <c r="K101" s="145" t="n">
        <v>43703</v>
      </c>
      <c r="L101" s="105" t="n">
        <v>-30666.86</v>
      </c>
      <c r="M101" s="0" t="s">
        <v>149</v>
      </c>
      <c r="N101" s="105" t="n">
        <v>-30666.86</v>
      </c>
      <c r="O101" s="0" t="s">
        <v>149</v>
      </c>
      <c r="P101" s="105" t="n">
        <v>-30666.86</v>
      </c>
      <c r="Q101" s="0" t="n">
        <v>0</v>
      </c>
      <c r="R101" s="105" t="n">
        <v>-30666.86</v>
      </c>
      <c r="S101" s="0" t="n">
        <v>0</v>
      </c>
      <c r="T101" s="0" t="n">
        <v>0</v>
      </c>
      <c r="U101" s="0" t="s">
        <v>192</v>
      </c>
      <c r="V101" s="0" t="s">
        <v>151</v>
      </c>
      <c r="X101" s="0" t="s">
        <v>1212</v>
      </c>
      <c r="Y101" s="0" t="n">
        <v>2300050954</v>
      </c>
      <c r="Z101" s="0" t="n">
        <v>51323590</v>
      </c>
      <c r="AB101" s="0" t="n">
        <v>2300050954</v>
      </c>
      <c r="AD101" s="0" t="n">
        <v>2408402</v>
      </c>
      <c r="AE101" s="0" t="s">
        <v>156</v>
      </c>
      <c r="AF101" s="0" t="n">
        <v>2408425</v>
      </c>
      <c r="AG101" s="0" t="s">
        <v>2783</v>
      </c>
      <c r="AH101" s="0" t="n">
        <v>1013001</v>
      </c>
      <c r="AI101" s="0" t="n">
        <v>1013001</v>
      </c>
      <c r="AJ101" s="0" t="s">
        <v>2784</v>
      </c>
      <c r="AK101" s="0" t="n">
        <v>0</v>
      </c>
      <c r="AL101" s="0" t="n">
        <v>31</v>
      </c>
      <c r="AM101" s="0" t="s">
        <v>225</v>
      </c>
      <c r="AP101" s="0" t="n">
        <v>45167654</v>
      </c>
      <c r="AQ101" s="145" t="n">
        <v>43768</v>
      </c>
      <c r="AR101" s="145" t="n">
        <v>43703</v>
      </c>
      <c r="AS101" s="146" t="n">
        <v>0.719548611111111</v>
      </c>
      <c r="AT101" s="0" t="n">
        <v>0</v>
      </c>
      <c r="AU101" s="105" t="n">
        <v>-30666.86</v>
      </c>
      <c r="AX101" s="0" t="n">
        <v>12</v>
      </c>
      <c r="AY101" s="105" t="n">
        <v>30666.86</v>
      </c>
      <c r="AZ101" s="105" t="n">
        <v>30666.86</v>
      </c>
      <c r="BA101" s="0" t="s">
        <v>2767</v>
      </c>
      <c r="BB101" s="0" t="s">
        <v>2768</v>
      </c>
      <c r="BC101" s="0" t="s">
        <v>2761</v>
      </c>
      <c r="BD101" s="0" t="s">
        <v>2762</v>
      </c>
      <c r="BE101" s="0" t="s">
        <v>2762</v>
      </c>
      <c r="BF101" s="0" t="n">
        <v>799949</v>
      </c>
      <c r="BG101" s="145" t="n">
        <v>43890.357037037</v>
      </c>
      <c r="BH101" s="0" t="s">
        <v>2769</v>
      </c>
      <c r="BI101" s="0" t="n">
        <v>341628</v>
      </c>
      <c r="BJ101" s="0" t="s">
        <v>2770</v>
      </c>
      <c r="BK101" s="0" t="n">
        <v>1</v>
      </c>
      <c r="BL101" s="0" t="s">
        <v>2781</v>
      </c>
      <c r="BM101" s="145" t="n">
        <v>43858.6422569445</v>
      </c>
    </row>
    <row r="102" customFormat="false" ht="14.4" hidden="false" customHeight="false" outlineLevel="0" collapsed="false">
      <c r="A102" s="0" t="n">
        <v>1000</v>
      </c>
      <c r="B102" s="0" t="s">
        <v>143</v>
      </c>
      <c r="C102" s="0" t="n">
        <v>51323590</v>
      </c>
      <c r="D102" s="0" t="s">
        <v>1526</v>
      </c>
      <c r="E102" s="0" t="s">
        <v>725</v>
      </c>
      <c r="F102" s="0" t="n">
        <v>7000</v>
      </c>
      <c r="G102" s="0" t="s">
        <v>2782</v>
      </c>
      <c r="H102" s="0" t="n">
        <v>2020</v>
      </c>
      <c r="I102" s="0" t="n">
        <v>5</v>
      </c>
      <c r="J102" s="145" t="n">
        <v>43650</v>
      </c>
      <c r="K102" s="145" t="n">
        <v>43703</v>
      </c>
      <c r="L102" s="105" t="n">
        <v>-30666.85</v>
      </c>
      <c r="M102" s="0" t="s">
        <v>149</v>
      </c>
      <c r="N102" s="105" t="n">
        <v>-30666.85</v>
      </c>
      <c r="O102" s="0" t="s">
        <v>149</v>
      </c>
      <c r="P102" s="105" t="n">
        <v>-30666.85</v>
      </c>
      <c r="Q102" s="0" t="n">
        <v>0</v>
      </c>
      <c r="R102" s="105" t="n">
        <v>-30666.85</v>
      </c>
      <c r="S102" s="0" t="n">
        <v>0</v>
      </c>
      <c r="T102" s="0" t="n">
        <v>0</v>
      </c>
      <c r="U102" s="0" t="s">
        <v>192</v>
      </c>
      <c r="V102" s="0" t="s">
        <v>151</v>
      </c>
      <c r="X102" s="0" t="s">
        <v>1212</v>
      </c>
      <c r="Y102" s="0" t="n">
        <v>2300050954</v>
      </c>
      <c r="Z102" s="0" t="n">
        <v>51323590</v>
      </c>
      <c r="AB102" s="0" t="n">
        <v>2300050954</v>
      </c>
      <c r="AD102" s="0" t="n">
        <v>2408402</v>
      </c>
      <c r="AE102" s="0" t="s">
        <v>156</v>
      </c>
      <c r="AF102" s="0" t="n">
        <v>2408425</v>
      </c>
      <c r="AG102" s="0" t="s">
        <v>2783</v>
      </c>
      <c r="AH102" s="0" t="n">
        <v>1013001</v>
      </c>
      <c r="AI102" s="0" t="n">
        <v>1013001</v>
      </c>
      <c r="AJ102" s="0" t="s">
        <v>2784</v>
      </c>
      <c r="AK102" s="0" t="n">
        <v>0</v>
      </c>
      <c r="AL102" s="0" t="n">
        <v>31</v>
      </c>
      <c r="AM102" s="0" t="s">
        <v>225</v>
      </c>
      <c r="AP102" s="0" t="n">
        <v>45167654</v>
      </c>
      <c r="AQ102" s="145" t="n">
        <v>43768</v>
      </c>
      <c r="AR102" s="145" t="n">
        <v>43703</v>
      </c>
      <c r="AS102" s="146" t="n">
        <v>0.719548611111111</v>
      </c>
      <c r="AT102" s="0" t="n">
        <v>0</v>
      </c>
      <c r="AU102" s="105" t="n">
        <v>-30666.85</v>
      </c>
      <c r="AX102" s="0" t="n">
        <v>10</v>
      </c>
      <c r="AY102" s="105" t="n">
        <v>30666.85</v>
      </c>
      <c r="AZ102" s="105" t="n">
        <v>30666.85</v>
      </c>
      <c r="BA102" s="0" t="s">
        <v>2767</v>
      </c>
      <c r="BB102" s="0" t="s">
        <v>2768</v>
      </c>
      <c r="BC102" s="0" t="s">
        <v>2761</v>
      </c>
      <c r="BD102" s="0" t="s">
        <v>2762</v>
      </c>
      <c r="BE102" s="0" t="s">
        <v>2762</v>
      </c>
      <c r="BF102" s="0" t="n">
        <v>799949</v>
      </c>
      <c r="BG102" s="145" t="n">
        <v>43890.357037037</v>
      </c>
      <c r="BH102" s="0" t="s">
        <v>2769</v>
      </c>
      <c r="BI102" s="0" t="n">
        <v>341635</v>
      </c>
      <c r="BJ102" s="0" t="s">
        <v>2770</v>
      </c>
      <c r="BK102" s="0" t="n">
        <v>1</v>
      </c>
      <c r="BL102" s="0" t="s">
        <v>2781</v>
      </c>
      <c r="BM102" s="145" t="n">
        <v>43858.6422569445</v>
      </c>
    </row>
    <row r="103" customFormat="false" ht="14.4" hidden="false" customHeight="false" outlineLevel="0" collapsed="false">
      <c r="A103" s="0" t="n">
        <v>1000</v>
      </c>
      <c r="B103" s="0" t="s">
        <v>143</v>
      </c>
      <c r="C103" s="0" t="n">
        <v>51323590</v>
      </c>
      <c r="D103" s="0" t="s">
        <v>1526</v>
      </c>
      <c r="E103" s="0" t="s">
        <v>725</v>
      </c>
      <c r="F103" s="0" t="n">
        <v>7000</v>
      </c>
      <c r="G103" s="0" t="s">
        <v>2782</v>
      </c>
      <c r="H103" s="0" t="n">
        <v>2020</v>
      </c>
      <c r="I103" s="0" t="n">
        <v>5</v>
      </c>
      <c r="J103" s="145" t="n">
        <v>43650</v>
      </c>
      <c r="K103" s="145" t="n">
        <v>43703</v>
      </c>
      <c r="L103" s="105" t="n">
        <v>-30666.85</v>
      </c>
      <c r="M103" s="0" t="s">
        <v>149</v>
      </c>
      <c r="N103" s="105" t="n">
        <v>-30666.85</v>
      </c>
      <c r="O103" s="0" t="s">
        <v>149</v>
      </c>
      <c r="P103" s="105" t="n">
        <v>-30666.85</v>
      </c>
      <c r="Q103" s="0" t="n">
        <v>0</v>
      </c>
      <c r="R103" s="105" t="n">
        <v>-30666.85</v>
      </c>
      <c r="S103" s="0" t="n">
        <v>0</v>
      </c>
      <c r="T103" s="0" t="n">
        <v>0</v>
      </c>
      <c r="U103" s="0" t="s">
        <v>192</v>
      </c>
      <c r="V103" s="0" t="s">
        <v>151</v>
      </c>
      <c r="X103" s="0" t="s">
        <v>1212</v>
      </c>
      <c r="Y103" s="0" t="n">
        <v>2300050954</v>
      </c>
      <c r="Z103" s="0" t="n">
        <v>51323590</v>
      </c>
      <c r="AB103" s="0" t="n">
        <v>2300050954</v>
      </c>
      <c r="AD103" s="0" t="n">
        <v>2408402</v>
      </c>
      <c r="AE103" s="0" t="s">
        <v>156</v>
      </c>
      <c r="AF103" s="0" t="n">
        <v>2408425</v>
      </c>
      <c r="AG103" s="0" t="s">
        <v>2783</v>
      </c>
      <c r="AH103" s="0" t="n">
        <v>1013001</v>
      </c>
      <c r="AI103" s="0" t="n">
        <v>1013001</v>
      </c>
      <c r="AJ103" s="0" t="s">
        <v>2784</v>
      </c>
      <c r="AK103" s="0" t="n">
        <v>0</v>
      </c>
      <c r="AL103" s="0" t="n">
        <v>31</v>
      </c>
      <c r="AM103" s="0" t="s">
        <v>225</v>
      </c>
      <c r="AP103" s="0" t="n">
        <v>45167654</v>
      </c>
      <c r="AQ103" s="145" t="n">
        <v>43768</v>
      </c>
      <c r="AR103" s="145" t="n">
        <v>43703</v>
      </c>
      <c r="AS103" s="146" t="n">
        <v>0.719548611111111</v>
      </c>
      <c r="AT103" s="0" t="n">
        <v>0</v>
      </c>
      <c r="AU103" s="105" t="n">
        <v>-30666.85</v>
      </c>
      <c r="AX103" s="0" t="n">
        <v>11</v>
      </c>
      <c r="AY103" s="105" t="n">
        <v>30666.85</v>
      </c>
      <c r="AZ103" s="105" t="n">
        <v>30666.85</v>
      </c>
      <c r="BA103" s="0" t="s">
        <v>2767</v>
      </c>
      <c r="BB103" s="0" t="s">
        <v>2768</v>
      </c>
      <c r="BC103" s="0" t="s">
        <v>2761</v>
      </c>
      <c r="BD103" s="0" t="s">
        <v>2762</v>
      </c>
      <c r="BE103" s="0" t="s">
        <v>2762</v>
      </c>
      <c r="BF103" s="0" t="n">
        <v>799949</v>
      </c>
      <c r="BG103" s="145" t="n">
        <v>43890.357037037</v>
      </c>
      <c r="BH103" s="0" t="s">
        <v>2769</v>
      </c>
      <c r="BI103" s="0" t="n">
        <v>341639</v>
      </c>
      <c r="BJ103" s="0" t="s">
        <v>2770</v>
      </c>
      <c r="BK103" s="0" t="n">
        <v>1</v>
      </c>
      <c r="BL103" s="0" t="s">
        <v>2781</v>
      </c>
      <c r="BM103" s="145" t="n">
        <v>43858.6422569445</v>
      </c>
    </row>
    <row r="104" customFormat="false" ht="14.4" hidden="false" customHeight="false" outlineLevel="0" collapsed="false">
      <c r="A104" s="0" t="n">
        <v>1000</v>
      </c>
      <c r="B104" s="0" t="s">
        <v>143</v>
      </c>
      <c r="C104" s="0" t="n">
        <v>51323610</v>
      </c>
      <c r="D104" s="0" t="s">
        <v>1496</v>
      </c>
      <c r="E104" s="0" t="s">
        <v>725</v>
      </c>
      <c r="F104" s="0" t="n">
        <v>7000</v>
      </c>
      <c r="G104" s="0" t="s">
        <v>2782</v>
      </c>
      <c r="H104" s="0" t="n">
        <v>2020</v>
      </c>
      <c r="I104" s="0" t="n">
        <v>5</v>
      </c>
      <c r="J104" s="145" t="n">
        <v>43655</v>
      </c>
      <c r="K104" s="145" t="n">
        <v>43703</v>
      </c>
      <c r="L104" s="105" t="n">
        <v>-225165.05</v>
      </c>
      <c r="M104" s="0" t="s">
        <v>149</v>
      </c>
      <c r="N104" s="105" t="n">
        <v>-225165.05</v>
      </c>
      <c r="O104" s="0" t="s">
        <v>149</v>
      </c>
      <c r="P104" s="105" t="n">
        <v>-225165.05</v>
      </c>
      <c r="Q104" s="0" t="n">
        <v>0</v>
      </c>
      <c r="R104" s="105" t="n">
        <v>-225165.05</v>
      </c>
      <c r="S104" s="0" t="n">
        <v>0</v>
      </c>
      <c r="T104" s="0" t="n">
        <v>0</v>
      </c>
      <c r="U104" s="0" t="s">
        <v>192</v>
      </c>
      <c r="V104" s="0" t="s">
        <v>151</v>
      </c>
      <c r="X104" s="0" t="s">
        <v>1212</v>
      </c>
      <c r="Y104" s="0" t="n">
        <v>2300050954</v>
      </c>
      <c r="Z104" s="0" t="n">
        <v>51323610</v>
      </c>
      <c r="AB104" s="0" t="n">
        <v>2300050954</v>
      </c>
      <c r="AD104" s="0" t="n">
        <v>2408402</v>
      </c>
      <c r="AE104" s="0" t="s">
        <v>156</v>
      </c>
      <c r="AF104" s="0" t="n">
        <v>2408425</v>
      </c>
      <c r="AG104" s="0" t="s">
        <v>2783</v>
      </c>
      <c r="AH104" s="0" t="n">
        <v>1013001</v>
      </c>
      <c r="AI104" s="0" t="n">
        <v>1013001</v>
      </c>
      <c r="AJ104" s="0" t="s">
        <v>2784</v>
      </c>
      <c r="AK104" s="0" t="n">
        <v>0</v>
      </c>
      <c r="AL104" s="0" t="n">
        <v>31</v>
      </c>
      <c r="AM104" s="0" t="s">
        <v>225</v>
      </c>
      <c r="AP104" s="0" t="n">
        <v>45122600</v>
      </c>
      <c r="AQ104" s="145" t="n">
        <v>43704</v>
      </c>
      <c r="AR104" s="145" t="n">
        <v>43703</v>
      </c>
      <c r="AS104" s="146" t="n">
        <v>0.722847222222222</v>
      </c>
      <c r="AT104" s="0" t="n">
        <v>0</v>
      </c>
      <c r="AU104" s="105" t="n">
        <v>-225165.05</v>
      </c>
      <c r="AX104" s="0" t="n">
        <v>9</v>
      </c>
      <c r="AY104" s="105" t="n">
        <v>225165.05</v>
      </c>
      <c r="AZ104" s="105" t="n">
        <v>225165.05</v>
      </c>
      <c r="BA104" s="0" t="s">
        <v>2767</v>
      </c>
      <c r="BB104" s="0" t="s">
        <v>2768</v>
      </c>
      <c r="BC104" s="0" t="s">
        <v>2761</v>
      </c>
      <c r="BD104" s="0" t="s">
        <v>2762</v>
      </c>
      <c r="BE104" s="0" t="s">
        <v>2762</v>
      </c>
      <c r="BF104" s="0" t="n">
        <v>799949</v>
      </c>
      <c r="BG104" s="145" t="n">
        <v>43890.357037037</v>
      </c>
      <c r="BH104" s="0" t="s">
        <v>2769</v>
      </c>
      <c r="BI104" s="0" t="n">
        <v>341643</v>
      </c>
      <c r="BJ104" s="0" t="s">
        <v>2770</v>
      </c>
      <c r="BK104" s="0" t="n">
        <v>1</v>
      </c>
      <c r="BL104" s="0" t="s">
        <v>2781</v>
      </c>
      <c r="BM104" s="145" t="n">
        <v>43858.6422569445</v>
      </c>
    </row>
    <row r="105" customFormat="false" ht="14.4" hidden="false" customHeight="false" outlineLevel="0" collapsed="false">
      <c r="A105" s="0" t="n">
        <v>1000</v>
      </c>
      <c r="B105" s="0" t="s">
        <v>143</v>
      </c>
      <c r="C105" s="0" t="n">
        <v>51323196</v>
      </c>
      <c r="D105" s="0" t="s">
        <v>1553</v>
      </c>
      <c r="E105" s="0" t="s">
        <v>725</v>
      </c>
      <c r="F105" s="0" t="n">
        <v>7000</v>
      </c>
      <c r="G105" s="0" t="s">
        <v>2782</v>
      </c>
      <c r="H105" s="0" t="n">
        <v>2020</v>
      </c>
      <c r="I105" s="0" t="n">
        <v>5</v>
      </c>
      <c r="J105" s="145" t="n">
        <v>43642</v>
      </c>
      <c r="K105" s="145" t="n">
        <v>43703</v>
      </c>
      <c r="L105" s="105" t="n">
        <v>-95133.2</v>
      </c>
      <c r="M105" s="0" t="s">
        <v>149</v>
      </c>
      <c r="N105" s="105" t="n">
        <v>-95133.2</v>
      </c>
      <c r="O105" s="0" t="s">
        <v>149</v>
      </c>
      <c r="P105" s="105" t="n">
        <v>-95133.2</v>
      </c>
      <c r="Q105" s="0" t="n">
        <v>0</v>
      </c>
      <c r="R105" s="105" t="n">
        <v>-95133.2</v>
      </c>
      <c r="S105" s="0" t="n">
        <v>0</v>
      </c>
      <c r="T105" s="0" t="n">
        <v>0</v>
      </c>
      <c r="U105" s="0" t="s">
        <v>192</v>
      </c>
      <c r="V105" s="0" t="s">
        <v>151</v>
      </c>
      <c r="X105" s="0" t="s">
        <v>1212</v>
      </c>
      <c r="Y105" s="0" t="n">
        <v>2300050954</v>
      </c>
      <c r="Z105" s="0" t="n">
        <v>51323196</v>
      </c>
      <c r="AB105" s="0" t="n">
        <v>2300050954</v>
      </c>
      <c r="AD105" s="0" t="n">
        <v>2408402</v>
      </c>
      <c r="AE105" s="0" t="s">
        <v>156</v>
      </c>
      <c r="AF105" s="0" t="n">
        <v>2408425</v>
      </c>
      <c r="AG105" s="0" t="s">
        <v>2783</v>
      </c>
      <c r="AH105" s="0" t="n">
        <v>1013001</v>
      </c>
      <c r="AI105" s="0" t="n">
        <v>1013001</v>
      </c>
      <c r="AJ105" s="0" t="s">
        <v>2784</v>
      </c>
      <c r="AK105" s="0" t="n">
        <v>0</v>
      </c>
      <c r="AL105" s="0" t="n">
        <v>31</v>
      </c>
      <c r="AM105" s="0" t="s">
        <v>225</v>
      </c>
      <c r="AP105" s="0" t="n">
        <v>45167654</v>
      </c>
      <c r="AQ105" s="145" t="n">
        <v>43768</v>
      </c>
      <c r="AR105" s="145" t="n">
        <v>43703</v>
      </c>
      <c r="AS105" s="146" t="n">
        <v>0.669085648148148</v>
      </c>
      <c r="AT105" s="0" t="n">
        <v>0</v>
      </c>
      <c r="AU105" s="105" t="n">
        <v>-95133.2</v>
      </c>
      <c r="AX105" s="0" t="n">
        <v>12</v>
      </c>
      <c r="AY105" s="105" t="n">
        <v>95133.2</v>
      </c>
      <c r="AZ105" s="105" t="n">
        <v>95133.2</v>
      </c>
      <c r="BA105" s="0" t="s">
        <v>2767</v>
      </c>
      <c r="BB105" s="0" t="s">
        <v>2768</v>
      </c>
      <c r="BC105" s="0" t="s">
        <v>2761</v>
      </c>
      <c r="BD105" s="0" t="s">
        <v>2762</v>
      </c>
      <c r="BE105" s="0" t="s">
        <v>2762</v>
      </c>
      <c r="BF105" s="0" t="n">
        <v>799949</v>
      </c>
      <c r="BG105" s="145" t="n">
        <v>43890.357037037</v>
      </c>
      <c r="BH105" s="0" t="s">
        <v>2769</v>
      </c>
      <c r="BI105" s="0" t="n">
        <v>341709</v>
      </c>
      <c r="BJ105" s="0" t="s">
        <v>2770</v>
      </c>
      <c r="BK105" s="0" t="n">
        <v>1</v>
      </c>
      <c r="BL105" s="0" t="s">
        <v>2781</v>
      </c>
      <c r="BM105" s="145" t="n">
        <v>43858.6422569445</v>
      </c>
    </row>
    <row r="106" customFormat="false" ht="14.4" hidden="false" customHeight="false" outlineLevel="0" collapsed="false">
      <c r="A106" s="0" t="n">
        <v>1000</v>
      </c>
      <c r="B106" s="0" t="s">
        <v>143</v>
      </c>
      <c r="C106" s="0" t="n">
        <v>51323196</v>
      </c>
      <c r="D106" s="0" t="s">
        <v>1553</v>
      </c>
      <c r="E106" s="0" t="s">
        <v>725</v>
      </c>
      <c r="F106" s="0" t="n">
        <v>7000</v>
      </c>
      <c r="G106" s="0" t="s">
        <v>2782</v>
      </c>
      <c r="H106" s="0" t="n">
        <v>2020</v>
      </c>
      <c r="I106" s="0" t="n">
        <v>5</v>
      </c>
      <c r="J106" s="145" t="n">
        <v>43642</v>
      </c>
      <c r="K106" s="145" t="n">
        <v>43703</v>
      </c>
      <c r="L106" s="105" t="n">
        <v>-95133.19</v>
      </c>
      <c r="M106" s="0" t="s">
        <v>149</v>
      </c>
      <c r="N106" s="105" t="n">
        <v>-95133.19</v>
      </c>
      <c r="O106" s="0" t="s">
        <v>149</v>
      </c>
      <c r="P106" s="105" t="n">
        <v>-95133.19</v>
      </c>
      <c r="Q106" s="0" t="n">
        <v>0</v>
      </c>
      <c r="R106" s="105" t="n">
        <v>-95133.19</v>
      </c>
      <c r="S106" s="0" t="n">
        <v>0</v>
      </c>
      <c r="T106" s="0" t="n">
        <v>0</v>
      </c>
      <c r="U106" s="0" t="s">
        <v>192</v>
      </c>
      <c r="V106" s="0" t="s">
        <v>151</v>
      </c>
      <c r="X106" s="0" t="s">
        <v>1212</v>
      </c>
      <c r="Y106" s="0" t="n">
        <v>2300050954</v>
      </c>
      <c r="Z106" s="0" t="n">
        <v>51323196</v>
      </c>
      <c r="AB106" s="0" t="n">
        <v>2300050954</v>
      </c>
      <c r="AD106" s="0" t="n">
        <v>2408402</v>
      </c>
      <c r="AE106" s="0" t="s">
        <v>156</v>
      </c>
      <c r="AF106" s="0" t="n">
        <v>2408425</v>
      </c>
      <c r="AG106" s="0" t="s">
        <v>2783</v>
      </c>
      <c r="AH106" s="0" t="n">
        <v>1013001</v>
      </c>
      <c r="AI106" s="0" t="n">
        <v>1013001</v>
      </c>
      <c r="AJ106" s="0" t="s">
        <v>2784</v>
      </c>
      <c r="AK106" s="0" t="n">
        <v>0</v>
      </c>
      <c r="AL106" s="0" t="n">
        <v>31</v>
      </c>
      <c r="AM106" s="0" t="s">
        <v>225</v>
      </c>
      <c r="AP106" s="0" t="n">
        <v>45167654</v>
      </c>
      <c r="AQ106" s="145" t="n">
        <v>43768</v>
      </c>
      <c r="AR106" s="145" t="n">
        <v>43703</v>
      </c>
      <c r="AS106" s="146" t="n">
        <v>0.669085648148148</v>
      </c>
      <c r="AT106" s="0" t="n">
        <v>0</v>
      </c>
      <c r="AU106" s="105" t="n">
        <v>-95133.19</v>
      </c>
      <c r="AX106" s="0" t="n">
        <v>10</v>
      </c>
      <c r="AY106" s="105" t="n">
        <v>95133.19</v>
      </c>
      <c r="AZ106" s="105" t="n">
        <v>95133.19</v>
      </c>
      <c r="BA106" s="0" t="s">
        <v>2767</v>
      </c>
      <c r="BB106" s="0" t="s">
        <v>2768</v>
      </c>
      <c r="BC106" s="0" t="s">
        <v>2761</v>
      </c>
      <c r="BD106" s="0" t="s">
        <v>2762</v>
      </c>
      <c r="BE106" s="0" t="s">
        <v>2762</v>
      </c>
      <c r="BF106" s="0" t="n">
        <v>799949</v>
      </c>
      <c r="BG106" s="145" t="n">
        <v>43890.357037037</v>
      </c>
      <c r="BH106" s="0" t="s">
        <v>2769</v>
      </c>
      <c r="BI106" s="0" t="n">
        <v>341712</v>
      </c>
      <c r="BJ106" s="0" t="s">
        <v>2770</v>
      </c>
      <c r="BK106" s="0" t="n">
        <v>1</v>
      </c>
      <c r="BL106" s="0" t="s">
        <v>2781</v>
      </c>
      <c r="BM106" s="145" t="n">
        <v>43858.6422569445</v>
      </c>
    </row>
    <row r="107" customFormat="false" ht="14.4" hidden="false" customHeight="false" outlineLevel="0" collapsed="false">
      <c r="A107" s="0" t="n">
        <v>1000</v>
      </c>
      <c r="B107" s="0" t="s">
        <v>143</v>
      </c>
      <c r="C107" s="0" t="n">
        <v>51323196</v>
      </c>
      <c r="D107" s="0" t="s">
        <v>1553</v>
      </c>
      <c r="E107" s="0" t="s">
        <v>725</v>
      </c>
      <c r="F107" s="0" t="n">
        <v>7000</v>
      </c>
      <c r="G107" s="0" t="s">
        <v>2782</v>
      </c>
      <c r="H107" s="0" t="n">
        <v>2020</v>
      </c>
      <c r="I107" s="0" t="n">
        <v>5</v>
      </c>
      <c r="J107" s="145" t="n">
        <v>43642</v>
      </c>
      <c r="K107" s="145" t="n">
        <v>43703</v>
      </c>
      <c r="L107" s="105" t="n">
        <v>-95133.19</v>
      </c>
      <c r="M107" s="0" t="s">
        <v>149</v>
      </c>
      <c r="N107" s="105" t="n">
        <v>-95133.19</v>
      </c>
      <c r="O107" s="0" t="s">
        <v>149</v>
      </c>
      <c r="P107" s="105" t="n">
        <v>-95133.19</v>
      </c>
      <c r="Q107" s="0" t="n">
        <v>0</v>
      </c>
      <c r="R107" s="105" t="n">
        <v>-95133.19</v>
      </c>
      <c r="S107" s="0" t="n">
        <v>0</v>
      </c>
      <c r="T107" s="0" t="n">
        <v>0</v>
      </c>
      <c r="U107" s="0" t="s">
        <v>192</v>
      </c>
      <c r="V107" s="0" t="s">
        <v>151</v>
      </c>
      <c r="X107" s="0" t="s">
        <v>1212</v>
      </c>
      <c r="Y107" s="0" t="n">
        <v>2300050954</v>
      </c>
      <c r="Z107" s="0" t="n">
        <v>51323196</v>
      </c>
      <c r="AB107" s="0" t="n">
        <v>2300050954</v>
      </c>
      <c r="AD107" s="0" t="n">
        <v>2408402</v>
      </c>
      <c r="AE107" s="0" t="s">
        <v>156</v>
      </c>
      <c r="AF107" s="0" t="n">
        <v>2408425</v>
      </c>
      <c r="AG107" s="0" t="s">
        <v>2783</v>
      </c>
      <c r="AH107" s="0" t="n">
        <v>1013001</v>
      </c>
      <c r="AI107" s="0" t="n">
        <v>1013001</v>
      </c>
      <c r="AJ107" s="0" t="s">
        <v>2784</v>
      </c>
      <c r="AK107" s="0" t="n">
        <v>0</v>
      </c>
      <c r="AL107" s="0" t="n">
        <v>31</v>
      </c>
      <c r="AM107" s="0" t="s">
        <v>225</v>
      </c>
      <c r="AP107" s="0" t="n">
        <v>45167654</v>
      </c>
      <c r="AQ107" s="145" t="n">
        <v>43768</v>
      </c>
      <c r="AR107" s="145" t="n">
        <v>43703</v>
      </c>
      <c r="AS107" s="146" t="n">
        <v>0.669085648148148</v>
      </c>
      <c r="AT107" s="0" t="n">
        <v>0</v>
      </c>
      <c r="AU107" s="105" t="n">
        <v>-95133.19</v>
      </c>
      <c r="AX107" s="0" t="n">
        <v>11</v>
      </c>
      <c r="AY107" s="105" t="n">
        <v>95133.19</v>
      </c>
      <c r="AZ107" s="105" t="n">
        <v>95133.19</v>
      </c>
      <c r="BA107" s="0" t="s">
        <v>2767</v>
      </c>
      <c r="BB107" s="0" t="s">
        <v>2768</v>
      </c>
      <c r="BC107" s="0" t="s">
        <v>2761</v>
      </c>
      <c r="BD107" s="0" t="s">
        <v>2762</v>
      </c>
      <c r="BE107" s="0" t="s">
        <v>2762</v>
      </c>
      <c r="BF107" s="0" t="n">
        <v>799949</v>
      </c>
      <c r="BG107" s="145" t="n">
        <v>43890.357037037</v>
      </c>
      <c r="BH107" s="0" t="s">
        <v>2769</v>
      </c>
      <c r="BI107" s="0" t="n">
        <v>341716</v>
      </c>
      <c r="BJ107" s="0" t="s">
        <v>2770</v>
      </c>
      <c r="BK107" s="0" t="n">
        <v>1</v>
      </c>
      <c r="BL107" s="0" t="s">
        <v>2781</v>
      </c>
      <c r="BM107" s="145" t="n">
        <v>43858.6422569445</v>
      </c>
    </row>
    <row r="108" customFormat="false" ht="14.4" hidden="false" customHeight="false" outlineLevel="0" collapsed="false">
      <c r="A108" s="0" t="n">
        <v>1000</v>
      </c>
      <c r="B108" s="0" t="s">
        <v>143</v>
      </c>
      <c r="C108" s="0" t="n">
        <v>51323564</v>
      </c>
      <c r="D108" s="0" t="s">
        <v>1538</v>
      </c>
      <c r="E108" s="0" t="s">
        <v>725</v>
      </c>
      <c r="F108" s="0" t="n">
        <v>7000</v>
      </c>
      <c r="G108" s="0" t="s">
        <v>2782</v>
      </c>
      <c r="H108" s="0" t="n">
        <v>2020</v>
      </c>
      <c r="I108" s="0" t="n">
        <v>5</v>
      </c>
      <c r="J108" s="145" t="n">
        <v>43649</v>
      </c>
      <c r="K108" s="145" t="n">
        <v>43703</v>
      </c>
      <c r="L108" s="105" t="n">
        <v>-13684.67</v>
      </c>
      <c r="M108" s="0" t="s">
        <v>149</v>
      </c>
      <c r="N108" s="105" t="n">
        <v>-13684.67</v>
      </c>
      <c r="O108" s="0" t="s">
        <v>149</v>
      </c>
      <c r="P108" s="105" t="n">
        <v>-13684.67</v>
      </c>
      <c r="Q108" s="0" t="n">
        <v>0</v>
      </c>
      <c r="R108" s="105" t="n">
        <v>-13684.67</v>
      </c>
      <c r="S108" s="0" t="n">
        <v>0</v>
      </c>
      <c r="T108" s="0" t="n">
        <v>0</v>
      </c>
      <c r="U108" s="0" t="s">
        <v>192</v>
      </c>
      <c r="V108" s="0" t="s">
        <v>151</v>
      </c>
      <c r="X108" s="0" t="s">
        <v>1212</v>
      </c>
      <c r="Y108" s="0" t="n">
        <v>2300050954</v>
      </c>
      <c r="Z108" s="0" t="n">
        <v>51323564</v>
      </c>
      <c r="AB108" s="0" t="n">
        <v>2300050954</v>
      </c>
      <c r="AD108" s="0" t="n">
        <v>2408402</v>
      </c>
      <c r="AE108" s="0" t="s">
        <v>156</v>
      </c>
      <c r="AF108" s="0" t="n">
        <v>2408425</v>
      </c>
      <c r="AG108" s="0" t="s">
        <v>2783</v>
      </c>
      <c r="AH108" s="0" t="n">
        <v>1013001</v>
      </c>
      <c r="AI108" s="0" t="n">
        <v>1013001</v>
      </c>
      <c r="AJ108" s="0" t="s">
        <v>2784</v>
      </c>
      <c r="AK108" s="0" t="n">
        <v>0</v>
      </c>
      <c r="AL108" s="0" t="n">
        <v>31</v>
      </c>
      <c r="AM108" s="0" t="s">
        <v>225</v>
      </c>
      <c r="AP108" s="0" t="n">
        <v>45167654</v>
      </c>
      <c r="AQ108" s="145" t="n">
        <v>43768</v>
      </c>
      <c r="AR108" s="145" t="n">
        <v>43703</v>
      </c>
      <c r="AS108" s="146" t="n">
        <v>0.715752314814815</v>
      </c>
      <c r="AT108" s="0" t="n">
        <v>0</v>
      </c>
      <c r="AU108" s="105" t="n">
        <v>-13684.67</v>
      </c>
      <c r="AX108" s="0" t="n">
        <v>10</v>
      </c>
      <c r="AY108" s="105" t="n">
        <v>13684.67</v>
      </c>
      <c r="AZ108" s="105" t="n">
        <v>13684.67</v>
      </c>
      <c r="BA108" s="0" t="s">
        <v>2767</v>
      </c>
      <c r="BB108" s="0" t="s">
        <v>2768</v>
      </c>
      <c r="BC108" s="0" t="s">
        <v>2761</v>
      </c>
      <c r="BD108" s="0" t="s">
        <v>2762</v>
      </c>
      <c r="BE108" s="0" t="s">
        <v>2762</v>
      </c>
      <c r="BF108" s="0" t="n">
        <v>799949</v>
      </c>
      <c r="BG108" s="145" t="n">
        <v>43890.357037037</v>
      </c>
      <c r="BH108" s="0" t="s">
        <v>2769</v>
      </c>
      <c r="BI108" s="0" t="n">
        <v>341727</v>
      </c>
      <c r="BJ108" s="0" t="s">
        <v>2770</v>
      </c>
      <c r="BK108" s="0" t="n">
        <v>1</v>
      </c>
      <c r="BL108" s="0" t="s">
        <v>2781</v>
      </c>
      <c r="BM108" s="145" t="n">
        <v>43858.6422569445</v>
      </c>
    </row>
    <row r="109" customFormat="false" ht="14.4" hidden="false" customHeight="false" outlineLevel="0" collapsed="false">
      <c r="A109" s="0" t="n">
        <v>1000</v>
      </c>
      <c r="B109" s="0" t="s">
        <v>143</v>
      </c>
      <c r="C109" s="0" t="n">
        <v>51323564</v>
      </c>
      <c r="D109" s="0" t="s">
        <v>1538</v>
      </c>
      <c r="E109" s="0" t="s">
        <v>725</v>
      </c>
      <c r="F109" s="0" t="n">
        <v>7000</v>
      </c>
      <c r="G109" s="0" t="s">
        <v>2782</v>
      </c>
      <c r="H109" s="0" t="n">
        <v>2020</v>
      </c>
      <c r="I109" s="0" t="n">
        <v>5</v>
      </c>
      <c r="J109" s="145" t="n">
        <v>43649</v>
      </c>
      <c r="K109" s="145" t="n">
        <v>43703</v>
      </c>
      <c r="L109" s="105" t="n">
        <v>-13684.67</v>
      </c>
      <c r="M109" s="0" t="s">
        <v>149</v>
      </c>
      <c r="N109" s="105" t="n">
        <v>-13684.67</v>
      </c>
      <c r="O109" s="0" t="s">
        <v>149</v>
      </c>
      <c r="P109" s="105" t="n">
        <v>-13684.67</v>
      </c>
      <c r="Q109" s="0" t="n">
        <v>0</v>
      </c>
      <c r="R109" s="105" t="n">
        <v>-13684.67</v>
      </c>
      <c r="S109" s="0" t="n">
        <v>0</v>
      </c>
      <c r="T109" s="0" t="n">
        <v>0</v>
      </c>
      <c r="U109" s="0" t="s">
        <v>192</v>
      </c>
      <c r="V109" s="0" t="s">
        <v>151</v>
      </c>
      <c r="X109" s="0" t="s">
        <v>1212</v>
      </c>
      <c r="Y109" s="0" t="n">
        <v>2300050954</v>
      </c>
      <c r="Z109" s="0" t="n">
        <v>51323564</v>
      </c>
      <c r="AB109" s="0" t="n">
        <v>2300050954</v>
      </c>
      <c r="AD109" s="0" t="n">
        <v>2408402</v>
      </c>
      <c r="AE109" s="0" t="s">
        <v>156</v>
      </c>
      <c r="AF109" s="0" t="n">
        <v>2408425</v>
      </c>
      <c r="AG109" s="0" t="s">
        <v>2783</v>
      </c>
      <c r="AH109" s="0" t="n">
        <v>1013001</v>
      </c>
      <c r="AI109" s="0" t="n">
        <v>1013001</v>
      </c>
      <c r="AJ109" s="0" t="s">
        <v>2784</v>
      </c>
      <c r="AK109" s="0" t="n">
        <v>0</v>
      </c>
      <c r="AL109" s="0" t="n">
        <v>31</v>
      </c>
      <c r="AM109" s="0" t="s">
        <v>225</v>
      </c>
      <c r="AP109" s="0" t="n">
        <v>45167654</v>
      </c>
      <c r="AQ109" s="145" t="n">
        <v>43768</v>
      </c>
      <c r="AR109" s="145" t="n">
        <v>43703</v>
      </c>
      <c r="AS109" s="146" t="n">
        <v>0.715752314814815</v>
      </c>
      <c r="AT109" s="0" t="n">
        <v>0</v>
      </c>
      <c r="AU109" s="105" t="n">
        <v>-13684.67</v>
      </c>
      <c r="AX109" s="0" t="n">
        <v>11</v>
      </c>
      <c r="AY109" s="105" t="n">
        <v>13684.67</v>
      </c>
      <c r="AZ109" s="105" t="n">
        <v>13684.67</v>
      </c>
      <c r="BA109" s="0" t="s">
        <v>2767</v>
      </c>
      <c r="BB109" s="0" t="s">
        <v>2768</v>
      </c>
      <c r="BC109" s="0" t="s">
        <v>2761</v>
      </c>
      <c r="BD109" s="0" t="s">
        <v>2762</v>
      </c>
      <c r="BE109" s="0" t="s">
        <v>2762</v>
      </c>
      <c r="BF109" s="0" t="n">
        <v>799949</v>
      </c>
      <c r="BG109" s="145" t="n">
        <v>43890.357037037</v>
      </c>
      <c r="BH109" s="0" t="s">
        <v>2769</v>
      </c>
      <c r="BI109" s="0" t="n">
        <v>341731</v>
      </c>
      <c r="BJ109" s="0" t="s">
        <v>2770</v>
      </c>
      <c r="BK109" s="0" t="n">
        <v>1</v>
      </c>
      <c r="BL109" s="0" t="s">
        <v>2781</v>
      </c>
      <c r="BM109" s="145" t="n">
        <v>43858.6422569445</v>
      </c>
    </row>
    <row r="110" customFormat="false" ht="14.4" hidden="false" customHeight="false" outlineLevel="0" collapsed="false">
      <c r="A110" s="0" t="n">
        <v>1000</v>
      </c>
      <c r="B110" s="0" t="s">
        <v>143</v>
      </c>
      <c r="C110" s="0" t="n">
        <v>51323610</v>
      </c>
      <c r="D110" s="0" t="s">
        <v>1496</v>
      </c>
      <c r="E110" s="0" t="s">
        <v>725</v>
      </c>
      <c r="F110" s="0" t="n">
        <v>7000</v>
      </c>
      <c r="G110" s="0" t="s">
        <v>2782</v>
      </c>
      <c r="H110" s="0" t="n">
        <v>2020</v>
      </c>
      <c r="I110" s="0" t="n">
        <v>5</v>
      </c>
      <c r="J110" s="145" t="n">
        <v>43655</v>
      </c>
      <c r="K110" s="145" t="n">
        <v>43703</v>
      </c>
      <c r="L110" s="105" t="n">
        <v>-13245.01</v>
      </c>
      <c r="M110" s="0" t="s">
        <v>149</v>
      </c>
      <c r="N110" s="105" t="n">
        <v>-13245.01</v>
      </c>
      <c r="O110" s="0" t="s">
        <v>149</v>
      </c>
      <c r="P110" s="105" t="n">
        <v>-13245.01</v>
      </c>
      <c r="Q110" s="0" t="n">
        <v>0</v>
      </c>
      <c r="R110" s="105" t="n">
        <v>-13245.01</v>
      </c>
      <c r="S110" s="0" t="n">
        <v>0</v>
      </c>
      <c r="T110" s="0" t="n">
        <v>0</v>
      </c>
      <c r="U110" s="0" t="s">
        <v>192</v>
      </c>
      <c r="V110" s="0" t="s">
        <v>151</v>
      </c>
      <c r="X110" s="0" t="s">
        <v>1212</v>
      </c>
      <c r="Y110" s="0" t="n">
        <v>2300050954</v>
      </c>
      <c r="Z110" s="0" t="n">
        <v>51323610</v>
      </c>
      <c r="AB110" s="0" t="n">
        <v>2300050954</v>
      </c>
      <c r="AD110" s="0" t="n">
        <v>2408402</v>
      </c>
      <c r="AE110" s="0" t="s">
        <v>156</v>
      </c>
      <c r="AF110" s="0" t="n">
        <v>2408425</v>
      </c>
      <c r="AG110" s="0" t="s">
        <v>2783</v>
      </c>
      <c r="AH110" s="0" t="n">
        <v>1013001</v>
      </c>
      <c r="AI110" s="0" t="n">
        <v>1013001</v>
      </c>
      <c r="AJ110" s="0" t="s">
        <v>2784</v>
      </c>
      <c r="AK110" s="0" t="n">
        <v>0</v>
      </c>
      <c r="AL110" s="0" t="n">
        <v>31</v>
      </c>
      <c r="AM110" s="0" t="s">
        <v>225</v>
      </c>
      <c r="AP110" s="0" t="n">
        <v>45167654</v>
      </c>
      <c r="AQ110" s="145" t="n">
        <v>43768</v>
      </c>
      <c r="AR110" s="145" t="n">
        <v>43703</v>
      </c>
      <c r="AS110" s="146" t="n">
        <v>0.722847222222222</v>
      </c>
      <c r="AT110" s="0" t="n">
        <v>0</v>
      </c>
      <c r="AU110" s="105" t="n">
        <v>-13245.01</v>
      </c>
      <c r="AX110" s="0" t="n">
        <v>12</v>
      </c>
      <c r="AY110" s="105" t="n">
        <v>13245.01</v>
      </c>
      <c r="AZ110" s="105" t="n">
        <v>13245.01</v>
      </c>
      <c r="BA110" s="0" t="s">
        <v>2767</v>
      </c>
      <c r="BB110" s="0" t="s">
        <v>2768</v>
      </c>
      <c r="BC110" s="0" t="s">
        <v>2761</v>
      </c>
      <c r="BD110" s="0" t="s">
        <v>2762</v>
      </c>
      <c r="BE110" s="0" t="s">
        <v>2762</v>
      </c>
      <c r="BF110" s="0" t="n">
        <v>799949</v>
      </c>
      <c r="BG110" s="145" t="n">
        <v>43890.357037037</v>
      </c>
      <c r="BH110" s="0" t="s">
        <v>2769</v>
      </c>
      <c r="BI110" s="0" t="n">
        <v>341735</v>
      </c>
      <c r="BJ110" s="0" t="s">
        <v>2770</v>
      </c>
      <c r="BK110" s="0" t="n">
        <v>1</v>
      </c>
      <c r="BL110" s="0" t="s">
        <v>2781</v>
      </c>
      <c r="BM110" s="145" t="n">
        <v>43858.6422569445</v>
      </c>
    </row>
    <row r="111" customFormat="false" ht="14.4" hidden="false" customHeight="false" outlineLevel="0" collapsed="false">
      <c r="A111" s="0" t="n">
        <v>1000</v>
      </c>
      <c r="B111" s="0" t="s">
        <v>143</v>
      </c>
      <c r="C111" s="0" t="n">
        <v>51323610</v>
      </c>
      <c r="D111" s="0" t="s">
        <v>1496</v>
      </c>
      <c r="E111" s="0" t="s">
        <v>725</v>
      </c>
      <c r="F111" s="0" t="n">
        <v>7000</v>
      </c>
      <c r="G111" s="0" t="s">
        <v>2782</v>
      </c>
      <c r="H111" s="0" t="n">
        <v>2020</v>
      </c>
      <c r="I111" s="0" t="n">
        <v>5</v>
      </c>
      <c r="J111" s="145" t="n">
        <v>43655</v>
      </c>
      <c r="K111" s="145" t="n">
        <v>43703</v>
      </c>
      <c r="L111" s="105" t="n">
        <v>-13245</v>
      </c>
      <c r="M111" s="0" t="s">
        <v>149</v>
      </c>
      <c r="N111" s="105" t="n">
        <v>-13245</v>
      </c>
      <c r="O111" s="0" t="s">
        <v>149</v>
      </c>
      <c r="P111" s="105" t="n">
        <v>-13245</v>
      </c>
      <c r="Q111" s="0" t="n">
        <v>0</v>
      </c>
      <c r="R111" s="105" t="n">
        <v>-13245</v>
      </c>
      <c r="S111" s="0" t="n">
        <v>0</v>
      </c>
      <c r="T111" s="0" t="n">
        <v>0</v>
      </c>
      <c r="U111" s="0" t="s">
        <v>192</v>
      </c>
      <c r="V111" s="0" t="s">
        <v>151</v>
      </c>
      <c r="X111" s="0" t="s">
        <v>1212</v>
      </c>
      <c r="Y111" s="0" t="n">
        <v>2300050954</v>
      </c>
      <c r="Z111" s="0" t="n">
        <v>51323610</v>
      </c>
      <c r="AB111" s="0" t="n">
        <v>2300050954</v>
      </c>
      <c r="AD111" s="0" t="n">
        <v>2408402</v>
      </c>
      <c r="AE111" s="0" t="s">
        <v>156</v>
      </c>
      <c r="AF111" s="0" t="n">
        <v>2408425</v>
      </c>
      <c r="AG111" s="0" t="s">
        <v>2783</v>
      </c>
      <c r="AH111" s="0" t="n">
        <v>1013001</v>
      </c>
      <c r="AI111" s="0" t="n">
        <v>1013001</v>
      </c>
      <c r="AJ111" s="0" t="s">
        <v>2784</v>
      </c>
      <c r="AK111" s="0" t="n">
        <v>0</v>
      </c>
      <c r="AL111" s="0" t="n">
        <v>31</v>
      </c>
      <c r="AM111" s="0" t="s">
        <v>225</v>
      </c>
      <c r="AP111" s="0" t="n">
        <v>45167654</v>
      </c>
      <c r="AQ111" s="145" t="n">
        <v>43768</v>
      </c>
      <c r="AR111" s="145" t="n">
        <v>43703</v>
      </c>
      <c r="AS111" s="146" t="n">
        <v>0.722847222222222</v>
      </c>
      <c r="AT111" s="0" t="n">
        <v>0</v>
      </c>
      <c r="AU111" s="105" t="n">
        <v>-13245</v>
      </c>
      <c r="AX111" s="0" t="n">
        <v>10</v>
      </c>
      <c r="AY111" s="105" t="n">
        <v>13245</v>
      </c>
      <c r="AZ111" s="105" t="n">
        <v>13245</v>
      </c>
      <c r="BA111" s="0" t="s">
        <v>2767</v>
      </c>
      <c r="BB111" s="0" t="s">
        <v>2768</v>
      </c>
      <c r="BC111" s="0" t="s">
        <v>2761</v>
      </c>
      <c r="BD111" s="0" t="s">
        <v>2762</v>
      </c>
      <c r="BE111" s="0" t="s">
        <v>2762</v>
      </c>
      <c r="BF111" s="0" t="n">
        <v>799949</v>
      </c>
      <c r="BG111" s="145" t="n">
        <v>43890.357037037</v>
      </c>
      <c r="BH111" s="0" t="s">
        <v>2769</v>
      </c>
      <c r="BI111" s="0" t="n">
        <v>341739</v>
      </c>
      <c r="BJ111" s="0" t="s">
        <v>2770</v>
      </c>
      <c r="BK111" s="0" t="n">
        <v>1</v>
      </c>
      <c r="BL111" s="0" t="s">
        <v>2781</v>
      </c>
      <c r="BM111" s="145" t="n">
        <v>43858.6422569445</v>
      </c>
    </row>
    <row r="112" customFormat="false" ht="14.4" hidden="false" customHeight="false" outlineLevel="0" collapsed="false">
      <c r="A112" s="0" t="n">
        <v>1000</v>
      </c>
      <c r="B112" s="0" t="s">
        <v>143</v>
      </c>
      <c r="C112" s="0" t="n">
        <v>51323610</v>
      </c>
      <c r="D112" s="0" t="s">
        <v>1496</v>
      </c>
      <c r="E112" s="0" t="s">
        <v>725</v>
      </c>
      <c r="F112" s="0" t="n">
        <v>7000</v>
      </c>
      <c r="G112" s="0" t="s">
        <v>2782</v>
      </c>
      <c r="H112" s="0" t="n">
        <v>2020</v>
      </c>
      <c r="I112" s="0" t="n">
        <v>5</v>
      </c>
      <c r="J112" s="145" t="n">
        <v>43655</v>
      </c>
      <c r="K112" s="145" t="n">
        <v>43703</v>
      </c>
      <c r="L112" s="105" t="n">
        <v>-13245</v>
      </c>
      <c r="M112" s="0" t="s">
        <v>149</v>
      </c>
      <c r="N112" s="105" t="n">
        <v>-13245</v>
      </c>
      <c r="O112" s="0" t="s">
        <v>149</v>
      </c>
      <c r="P112" s="105" t="n">
        <v>-13245</v>
      </c>
      <c r="Q112" s="0" t="n">
        <v>0</v>
      </c>
      <c r="R112" s="105" t="n">
        <v>-13245</v>
      </c>
      <c r="S112" s="0" t="n">
        <v>0</v>
      </c>
      <c r="T112" s="0" t="n">
        <v>0</v>
      </c>
      <c r="U112" s="0" t="s">
        <v>192</v>
      </c>
      <c r="V112" s="0" t="s">
        <v>151</v>
      </c>
      <c r="X112" s="0" t="s">
        <v>1212</v>
      </c>
      <c r="Y112" s="0" t="n">
        <v>2300050954</v>
      </c>
      <c r="Z112" s="0" t="n">
        <v>51323610</v>
      </c>
      <c r="AB112" s="0" t="n">
        <v>2300050954</v>
      </c>
      <c r="AD112" s="0" t="n">
        <v>2408402</v>
      </c>
      <c r="AE112" s="0" t="s">
        <v>156</v>
      </c>
      <c r="AF112" s="0" t="n">
        <v>2408425</v>
      </c>
      <c r="AG112" s="0" t="s">
        <v>2783</v>
      </c>
      <c r="AH112" s="0" t="n">
        <v>1013001</v>
      </c>
      <c r="AI112" s="0" t="n">
        <v>1013001</v>
      </c>
      <c r="AJ112" s="0" t="s">
        <v>2784</v>
      </c>
      <c r="AK112" s="0" t="n">
        <v>0</v>
      </c>
      <c r="AL112" s="0" t="n">
        <v>31</v>
      </c>
      <c r="AM112" s="0" t="s">
        <v>225</v>
      </c>
      <c r="AP112" s="0" t="n">
        <v>45167654</v>
      </c>
      <c r="AQ112" s="145" t="n">
        <v>43768</v>
      </c>
      <c r="AR112" s="145" t="n">
        <v>43703</v>
      </c>
      <c r="AS112" s="146" t="n">
        <v>0.722847222222222</v>
      </c>
      <c r="AT112" s="0" t="n">
        <v>0</v>
      </c>
      <c r="AU112" s="105" t="n">
        <v>-13245</v>
      </c>
      <c r="AX112" s="0" t="n">
        <v>11</v>
      </c>
      <c r="AY112" s="105" t="n">
        <v>13245</v>
      </c>
      <c r="AZ112" s="105" t="n">
        <v>13245</v>
      </c>
      <c r="BA112" s="0" t="s">
        <v>2767</v>
      </c>
      <c r="BB112" s="0" t="s">
        <v>2768</v>
      </c>
      <c r="BC112" s="0" t="s">
        <v>2761</v>
      </c>
      <c r="BD112" s="0" t="s">
        <v>2762</v>
      </c>
      <c r="BE112" s="0" t="s">
        <v>2762</v>
      </c>
      <c r="BF112" s="0" t="n">
        <v>799949</v>
      </c>
      <c r="BG112" s="145" t="n">
        <v>43890.357037037</v>
      </c>
      <c r="BH112" s="0" t="s">
        <v>2769</v>
      </c>
      <c r="BI112" s="0" t="n">
        <v>341742</v>
      </c>
      <c r="BJ112" s="0" t="s">
        <v>2770</v>
      </c>
      <c r="BK112" s="0" t="n">
        <v>1</v>
      </c>
      <c r="BL112" s="0" t="s">
        <v>2781</v>
      </c>
      <c r="BM112" s="145" t="n">
        <v>43858.6422569445</v>
      </c>
    </row>
    <row r="113" customFormat="false" ht="14.4" hidden="false" customHeight="false" outlineLevel="0" collapsed="false">
      <c r="A113" s="0" t="n">
        <v>1000</v>
      </c>
      <c r="B113" s="0" t="s">
        <v>143</v>
      </c>
      <c r="C113" s="0" t="n">
        <v>51323633</v>
      </c>
      <c r="D113" s="0" t="s">
        <v>1477</v>
      </c>
      <c r="E113" s="0" t="s">
        <v>725</v>
      </c>
      <c r="F113" s="0" t="n">
        <v>7000</v>
      </c>
      <c r="G113" s="0" t="s">
        <v>2782</v>
      </c>
      <c r="H113" s="0" t="n">
        <v>2020</v>
      </c>
      <c r="I113" s="0" t="n">
        <v>5</v>
      </c>
      <c r="J113" s="145" t="n">
        <v>43657</v>
      </c>
      <c r="K113" s="145" t="n">
        <v>43703</v>
      </c>
      <c r="L113" s="105" t="n">
        <v>-26270.17</v>
      </c>
      <c r="M113" s="0" t="s">
        <v>149</v>
      </c>
      <c r="N113" s="105" t="n">
        <v>-26270.17</v>
      </c>
      <c r="O113" s="0" t="s">
        <v>149</v>
      </c>
      <c r="P113" s="105" t="n">
        <v>-26270.17</v>
      </c>
      <c r="Q113" s="0" t="n">
        <v>0</v>
      </c>
      <c r="R113" s="105" t="n">
        <v>-26270.17</v>
      </c>
      <c r="S113" s="0" t="n">
        <v>0</v>
      </c>
      <c r="T113" s="0" t="n">
        <v>0</v>
      </c>
      <c r="U113" s="0" t="s">
        <v>192</v>
      </c>
      <c r="V113" s="0" t="s">
        <v>151</v>
      </c>
      <c r="X113" s="0" t="s">
        <v>1212</v>
      </c>
      <c r="Y113" s="0" t="n">
        <v>2300050954</v>
      </c>
      <c r="Z113" s="0" t="n">
        <v>51323633</v>
      </c>
      <c r="AB113" s="0" t="n">
        <v>2300050954</v>
      </c>
      <c r="AD113" s="0" t="n">
        <v>2408402</v>
      </c>
      <c r="AE113" s="0" t="s">
        <v>156</v>
      </c>
      <c r="AF113" s="0" t="n">
        <v>2408425</v>
      </c>
      <c r="AG113" s="0" t="s">
        <v>2783</v>
      </c>
      <c r="AH113" s="0" t="n">
        <v>1013001</v>
      </c>
      <c r="AI113" s="0" t="n">
        <v>1013001</v>
      </c>
      <c r="AJ113" s="0" t="s">
        <v>2784</v>
      </c>
      <c r="AK113" s="0" t="n">
        <v>0</v>
      </c>
      <c r="AL113" s="0" t="n">
        <v>31</v>
      </c>
      <c r="AM113" s="0" t="s">
        <v>225</v>
      </c>
      <c r="AP113" s="0" t="n">
        <v>45167654</v>
      </c>
      <c r="AQ113" s="145" t="n">
        <v>43768</v>
      </c>
      <c r="AR113" s="145" t="n">
        <v>43703</v>
      </c>
      <c r="AS113" s="146" t="n">
        <v>0.726712962962963</v>
      </c>
      <c r="AT113" s="0" t="n">
        <v>0</v>
      </c>
      <c r="AU113" s="105" t="n">
        <v>-26270.17</v>
      </c>
      <c r="AX113" s="0" t="n">
        <v>9</v>
      </c>
      <c r="AY113" s="105" t="n">
        <v>26270.17</v>
      </c>
      <c r="AZ113" s="105" t="n">
        <v>26270.17</v>
      </c>
      <c r="BA113" s="0" t="s">
        <v>2767</v>
      </c>
      <c r="BB113" s="0" t="s">
        <v>2768</v>
      </c>
      <c r="BC113" s="0" t="s">
        <v>2761</v>
      </c>
      <c r="BD113" s="0" t="s">
        <v>2762</v>
      </c>
      <c r="BE113" s="0" t="s">
        <v>2762</v>
      </c>
      <c r="BF113" s="0" t="n">
        <v>799949</v>
      </c>
      <c r="BG113" s="145" t="n">
        <v>43890.357037037</v>
      </c>
      <c r="BH113" s="0" t="s">
        <v>2769</v>
      </c>
      <c r="BI113" s="0" t="n">
        <v>341750</v>
      </c>
      <c r="BJ113" s="0" t="s">
        <v>2770</v>
      </c>
      <c r="BK113" s="0" t="n">
        <v>1</v>
      </c>
      <c r="BL113" s="0" t="s">
        <v>2781</v>
      </c>
      <c r="BM113" s="145" t="n">
        <v>43858.6422569445</v>
      </c>
    </row>
    <row r="114" customFormat="false" ht="14.4" hidden="false" customHeight="false" outlineLevel="0" collapsed="false">
      <c r="A114" s="0" t="n">
        <v>1000</v>
      </c>
      <c r="B114" s="0" t="s">
        <v>143</v>
      </c>
      <c r="C114" s="0" t="n">
        <v>51323504</v>
      </c>
      <c r="D114" s="0" t="s">
        <v>1547</v>
      </c>
      <c r="E114" s="0" t="s">
        <v>725</v>
      </c>
      <c r="F114" s="0" t="n">
        <v>7000</v>
      </c>
      <c r="G114" s="0" t="s">
        <v>2782</v>
      </c>
      <c r="H114" s="0" t="n">
        <v>2020</v>
      </c>
      <c r="I114" s="0" t="n">
        <v>5</v>
      </c>
      <c r="J114" s="145" t="n">
        <v>43645</v>
      </c>
      <c r="K114" s="145" t="n">
        <v>43703</v>
      </c>
      <c r="L114" s="105" t="n">
        <v>-32040.81</v>
      </c>
      <c r="M114" s="0" t="s">
        <v>149</v>
      </c>
      <c r="N114" s="105" t="n">
        <v>-32040.81</v>
      </c>
      <c r="O114" s="0" t="s">
        <v>149</v>
      </c>
      <c r="P114" s="105" t="n">
        <v>-32040.81</v>
      </c>
      <c r="Q114" s="0" t="n">
        <v>0</v>
      </c>
      <c r="R114" s="105" t="n">
        <v>-32040.81</v>
      </c>
      <c r="S114" s="0" t="n">
        <v>0</v>
      </c>
      <c r="T114" s="0" t="n">
        <v>0</v>
      </c>
      <c r="U114" s="0" t="s">
        <v>192</v>
      </c>
      <c r="V114" s="0" t="s">
        <v>151</v>
      </c>
      <c r="X114" s="0" t="s">
        <v>1212</v>
      </c>
      <c r="Y114" s="0" t="n">
        <v>2300050954</v>
      </c>
      <c r="Z114" s="0" t="n">
        <v>51323504</v>
      </c>
      <c r="AB114" s="0" t="n">
        <v>2300050954</v>
      </c>
      <c r="AD114" s="0" t="n">
        <v>2408402</v>
      </c>
      <c r="AE114" s="0" t="s">
        <v>156</v>
      </c>
      <c r="AF114" s="0" t="n">
        <v>2408425</v>
      </c>
      <c r="AG114" s="0" t="s">
        <v>2783</v>
      </c>
      <c r="AH114" s="0" t="n">
        <v>1013001</v>
      </c>
      <c r="AI114" s="0" t="n">
        <v>1013001</v>
      </c>
      <c r="AJ114" s="0" t="s">
        <v>2784</v>
      </c>
      <c r="AK114" s="0" t="n">
        <v>0</v>
      </c>
      <c r="AL114" s="0" t="n">
        <v>31</v>
      </c>
      <c r="AM114" s="0" t="s">
        <v>225</v>
      </c>
      <c r="AP114" s="0" t="n">
        <v>45167654</v>
      </c>
      <c r="AQ114" s="145" t="n">
        <v>43768</v>
      </c>
      <c r="AR114" s="145" t="n">
        <v>43703</v>
      </c>
      <c r="AS114" s="146" t="n">
        <v>0.710509259259259</v>
      </c>
      <c r="AT114" s="0" t="n">
        <v>0</v>
      </c>
      <c r="AU114" s="105" t="n">
        <v>-32040.81</v>
      </c>
      <c r="AX114" s="0" t="n">
        <v>12</v>
      </c>
      <c r="AY114" s="105" t="n">
        <v>32040.81</v>
      </c>
      <c r="AZ114" s="105" t="n">
        <v>32040.81</v>
      </c>
      <c r="BA114" s="0" t="s">
        <v>2767</v>
      </c>
      <c r="BB114" s="0" t="s">
        <v>2768</v>
      </c>
      <c r="BC114" s="0" t="s">
        <v>2761</v>
      </c>
      <c r="BD114" s="0" t="s">
        <v>2762</v>
      </c>
      <c r="BE114" s="0" t="s">
        <v>2762</v>
      </c>
      <c r="BF114" s="0" t="n">
        <v>799949</v>
      </c>
      <c r="BG114" s="145" t="n">
        <v>43890.357037037</v>
      </c>
      <c r="BH114" s="0" t="s">
        <v>2769</v>
      </c>
      <c r="BI114" s="0" t="n">
        <v>341890</v>
      </c>
      <c r="BJ114" s="0" t="s">
        <v>2770</v>
      </c>
      <c r="BK114" s="0" t="n">
        <v>1</v>
      </c>
      <c r="BL114" s="0" t="s">
        <v>2781</v>
      </c>
      <c r="BM114" s="145" t="n">
        <v>43858.6422569445</v>
      </c>
    </row>
    <row r="115" customFormat="false" ht="14.4" hidden="false" customHeight="false" outlineLevel="0" collapsed="false">
      <c r="A115" s="0" t="n">
        <v>1000</v>
      </c>
      <c r="B115" s="0" t="s">
        <v>143</v>
      </c>
      <c r="C115" s="0" t="n">
        <v>51323529</v>
      </c>
      <c r="D115" s="0" t="s">
        <v>1544</v>
      </c>
      <c r="E115" s="0" t="s">
        <v>725</v>
      </c>
      <c r="F115" s="0" t="n">
        <v>7000</v>
      </c>
      <c r="G115" s="0" t="s">
        <v>2782</v>
      </c>
      <c r="H115" s="0" t="n">
        <v>2020</v>
      </c>
      <c r="I115" s="0" t="n">
        <v>5</v>
      </c>
      <c r="J115" s="145" t="n">
        <v>43648</v>
      </c>
      <c r="K115" s="145" t="n">
        <v>43703</v>
      </c>
      <c r="L115" s="105" t="n">
        <v>-16762.34</v>
      </c>
      <c r="M115" s="0" t="s">
        <v>149</v>
      </c>
      <c r="N115" s="105" t="n">
        <v>-16762.34</v>
      </c>
      <c r="O115" s="0" t="s">
        <v>149</v>
      </c>
      <c r="P115" s="105" t="n">
        <v>-16762.34</v>
      </c>
      <c r="Q115" s="0" t="n">
        <v>0</v>
      </c>
      <c r="R115" s="105" t="n">
        <v>-16762.34</v>
      </c>
      <c r="S115" s="0" t="n">
        <v>0</v>
      </c>
      <c r="T115" s="0" t="n">
        <v>0</v>
      </c>
      <c r="U115" s="0" t="s">
        <v>192</v>
      </c>
      <c r="V115" s="0" t="s">
        <v>151</v>
      </c>
      <c r="X115" s="0" t="s">
        <v>1212</v>
      </c>
      <c r="Y115" s="0" t="n">
        <v>2300050954</v>
      </c>
      <c r="Z115" s="0" t="n">
        <v>51323529</v>
      </c>
      <c r="AB115" s="0" t="n">
        <v>2300050954</v>
      </c>
      <c r="AD115" s="0" t="n">
        <v>2408402</v>
      </c>
      <c r="AE115" s="0" t="s">
        <v>156</v>
      </c>
      <c r="AF115" s="0" t="n">
        <v>2408425</v>
      </c>
      <c r="AG115" s="0" t="s">
        <v>2783</v>
      </c>
      <c r="AH115" s="0" t="n">
        <v>1013001</v>
      </c>
      <c r="AI115" s="0" t="n">
        <v>1013001</v>
      </c>
      <c r="AJ115" s="0" t="s">
        <v>2784</v>
      </c>
      <c r="AK115" s="0" t="n">
        <v>0</v>
      </c>
      <c r="AL115" s="0" t="n">
        <v>31</v>
      </c>
      <c r="AM115" s="0" t="s">
        <v>225</v>
      </c>
      <c r="AP115" s="0" t="n">
        <v>45167654</v>
      </c>
      <c r="AQ115" s="145" t="n">
        <v>43768</v>
      </c>
      <c r="AR115" s="145" t="n">
        <v>43703</v>
      </c>
      <c r="AS115" s="146" t="n">
        <v>0.712777777777778</v>
      </c>
      <c r="AT115" s="0" t="n">
        <v>0</v>
      </c>
      <c r="AU115" s="105" t="n">
        <v>-16762.34</v>
      </c>
      <c r="AX115" s="0" t="n">
        <v>12</v>
      </c>
      <c r="AY115" s="105" t="n">
        <v>16762.34</v>
      </c>
      <c r="AZ115" s="105" t="n">
        <v>16762.34</v>
      </c>
      <c r="BA115" s="0" t="s">
        <v>2767</v>
      </c>
      <c r="BB115" s="0" t="s">
        <v>2768</v>
      </c>
      <c r="BC115" s="0" t="s">
        <v>2761</v>
      </c>
      <c r="BD115" s="0" t="s">
        <v>2762</v>
      </c>
      <c r="BE115" s="0" t="s">
        <v>2762</v>
      </c>
      <c r="BF115" s="0" t="n">
        <v>799949</v>
      </c>
      <c r="BG115" s="145" t="n">
        <v>43890.357037037</v>
      </c>
      <c r="BH115" s="0" t="s">
        <v>2769</v>
      </c>
      <c r="BI115" s="0" t="n">
        <v>341894</v>
      </c>
      <c r="BJ115" s="0" t="s">
        <v>2770</v>
      </c>
      <c r="BK115" s="0" t="n">
        <v>1</v>
      </c>
      <c r="BL115" s="0" t="s">
        <v>2781</v>
      </c>
      <c r="BM115" s="145" t="n">
        <v>43858.6422569445</v>
      </c>
    </row>
    <row r="116" customFormat="false" ht="14.4" hidden="false" customHeight="false" outlineLevel="0" collapsed="false">
      <c r="A116" s="0" t="n">
        <v>1000</v>
      </c>
      <c r="B116" s="0" t="s">
        <v>143</v>
      </c>
      <c r="C116" s="0" t="n">
        <v>51323564</v>
      </c>
      <c r="D116" s="0" t="s">
        <v>1538</v>
      </c>
      <c r="E116" s="0" t="s">
        <v>725</v>
      </c>
      <c r="F116" s="0" t="n">
        <v>7000</v>
      </c>
      <c r="G116" s="0" t="s">
        <v>2782</v>
      </c>
      <c r="H116" s="0" t="n">
        <v>2020</v>
      </c>
      <c r="I116" s="0" t="n">
        <v>5</v>
      </c>
      <c r="J116" s="145" t="n">
        <v>43649</v>
      </c>
      <c r="K116" s="145" t="n">
        <v>43703</v>
      </c>
      <c r="L116" s="105" t="n">
        <v>-232639.41</v>
      </c>
      <c r="M116" s="0" t="s">
        <v>149</v>
      </c>
      <c r="N116" s="105" t="n">
        <v>-232639.41</v>
      </c>
      <c r="O116" s="0" t="s">
        <v>149</v>
      </c>
      <c r="P116" s="105" t="n">
        <v>-232639.41</v>
      </c>
      <c r="Q116" s="0" t="n">
        <v>0</v>
      </c>
      <c r="R116" s="105" t="n">
        <v>-232639.41</v>
      </c>
      <c r="S116" s="0" t="n">
        <v>0</v>
      </c>
      <c r="T116" s="0" t="n">
        <v>0</v>
      </c>
      <c r="U116" s="0" t="s">
        <v>192</v>
      </c>
      <c r="V116" s="0" t="s">
        <v>151</v>
      </c>
      <c r="X116" s="0" t="s">
        <v>1212</v>
      </c>
      <c r="Y116" s="0" t="n">
        <v>2300050954</v>
      </c>
      <c r="Z116" s="0" t="n">
        <v>51323564</v>
      </c>
      <c r="AB116" s="0" t="n">
        <v>2300050954</v>
      </c>
      <c r="AD116" s="0" t="n">
        <v>2408402</v>
      </c>
      <c r="AE116" s="0" t="s">
        <v>156</v>
      </c>
      <c r="AF116" s="0" t="n">
        <v>2408425</v>
      </c>
      <c r="AG116" s="0" t="s">
        <v>2783</v>
      </c>
      <c r="AH116" s="0" t="n">
        <v>1013001</v>
      </c>
      <c r="AI116" s="0" t="n">
        <v>1013001</v>
      </c>
      <c r="AJ116" s="0" t="s">
        <v>2784</v>
      </c>
      <c r="AK116" s="0" t="n">
        <v>0</v>
      </c>
      <c r="AL116" s="0" t="n">
        <v>31</v>
      </c>
      <c r="AM116" s="0" t="s">
        <v>225</v>
      </c>
      <c r="AP116" s="0" t="n">
        <v>45122600</v>
      </c>
      <c r="AQ116" s="145" t="n">
        <v>43704</v>
      </c>
      <c r="AR116" s="145" t="n">
        <v>43703</v>
      </c>
      <c r="AS116" s="146" t="n">
        <v>0.715752314814815</v>
      </c>
      <c r="AT116" s="0" t="n">
        <v>0</v>
      </c>
      <c r="AU116" s="105" t="n">
        <v>-232639.41</v>
      </c>
      <c r="AX116" s="0" t="n">
        <v>8</v>
      </c>
      <c r="AY116" s="105" t="n">
        <v>232639.41</v>
      </c>
      <c r="AZ116" s="105" t="n">
        <v>232639.41</v>
      </c>
      <c r="BA116" s="0" t="s">
        <v>2767</v>
      </c>
      <c r="BB116" s="0" t="s">
        <v>2768</v>
      </c>
      <c r="BC116" s="0" t="s">
        <v>2761</v>
      </c>
      <c r="BD116" s="0" t="s">
        <v>2762</v>
      </c>
      <c r="BE116" s="0" t="s">
        <v>2762</v>
      </c>
      <c r="BF116" s="0" t="n">
        <v>799949</v>
      </c>
      <c r="BG116" s="145" t="n">
        <v>43890.357037037</v>
      </c>
      <c r="BH116" s="0" t="s">
        <v>2769</v>
      </c>
      <c r="BI116" s="0" t="n">
        <v>341898</v>
      </c>
      <c r="BJ116" s="0" t="s">
        <v>2770</v>
      </c>
      <c r="BK116" s="0" t="n">
        <v>1</v>
      </c>
      <c r="BL116" s="0" t="s">
        <v>2781</v>
      </c>
      <c r="BM116" s="145" t="n">
        <v>43858.6422569445</v>
      </c>
    </row>
    <row r="117" customFormat="false" ht="14.4" hidden="false" customHeight="false" outlineLevel="0" collapsed="false">
      <c r="A117" s="0" t="n">
        <v>1000</v>
      </c>
      <c r="B117" s="0" t="s">
        <v>143</v>
      </c>
      <c r="C117" s="0" t="n">
        <v>51323564</v>
      </c>
      <c r="D117" s="0" t="s">
        <v>1538</v>
      </c>
      <c r="E117" s="0" t="s">
        <v>725</v>
      </c>
      <c r="F117" s="0" t="n">
        <v>7000</v>
      </c>
      <c r="G117" s="0" t="s">
        <v>2782</v>
      </c>
      <c r="H117" s="0" t="n">
        <v>2020</v>
      </c>
      <c r="I117" s="0" t="n">
        <v>5</v>
      </c>
      <c r="J117" s="145" t="n">
        <v>43649</v>
      </c>
      <c r="K117" s="145" t="n">
        <v>43703</v>
      </c>
      <c r="L117" s="105" t="n">
        <v>-13684.67</v>
      </c>
      <c r="M117" s="0" t="s">
        <v>149</v>
      </c>
      <c r="N117" s="105" t="n">
        <v>-13684.67</v>
      </c>
      <c r="O117" s="0" t="s">
        <v>149</v>
      </c>
      <c r="P117" s="105" t="n">
        <v>-13684.67</v>
      </c>
      <c r="Q117" s="0" t="n">
        <v>0</v>
      </c>
      <c r="R117" s="105" t="n">
        <v>-13684.67</v>
      </c>
      <c r="S117" s="0" t="n">
        <v>0</v>
      </c>
      <c r="T117" s="0" t="n">
        <v>0</v>
      </c>
      <c r="U117" s="0" t="s">
        <v>192</v>
      </c>
      <c r="V117" s="0" t="s">
        <v>151</v>
      </c>
      <c r="X117" s="0" t="s">
        <v>1212</v>
      </c>
      <c r="Y117" s="0" t="n">
        <v>2300050954</v>
      </c>
      <c r="Z117" s="0" t="n">
        <v>51323564</v>
      </c>
      <c r="AB117" s="0" t="n">
        <v>2300050954</v>
      </c>
      <c r="AD117" s="0" t="n">
        <v>2408402</v>
      </c>
      <c r="AE117" s="0" t="s">
        <v>156</v>
      </c>
      <c r="AF117" s="0" t="n">
        <v>2408425</v>
      </c>
      <c r="AG117" s="0" t="s">
        <v>2783</v>
      </c>
      <c r="AH117" s="0" t="n">
        <v>1013001</v>
      </c>
      <c r="AI117" s="0" t="n">
        <v>1013001</v>
      </c>
      <c r="AJ117" s="0" t="s">
        <v>2784</v>
      </c>
      <c r="AK117" s="0" t="n">
        <v>0</v>
      </c>
      <c r="AL117" s="0" t="n">
        <v>31</v>
      </c>
      <c r="AM117" s="0" t="s">
        <v>225</v>
      </c>
      <c r="AP117" s="0" t="n">
        <v>45167654</v>
      </c>
      <c r="AQ117" s="145" t="n">
        <v>43768</v>
      </c>
      <c r="AR117" s="145" t="n">
        <v>43703</v>
      </c>
      <c r="AS117" s="146" t="n">
        <v>0.715752314814815</v>
      </c>
      <c r="AT117" s="0" t="n">
        <v>0</v>
      </c>
      <c r="AU117" s="105" t="n">
        <v>-13684.67</v>
      </c>
      <c r="AX117" s="0" t="n">
        <v>9</v>
      </c>
      <c r="AY117" s="105" t="n">
        <v>13684.67</v>
      </c>
      <c r="AZ117" s="105" t="n">
        <v>13684.67</v>
      </c>
      <c r="BA117" s="0" t="s">
        <v>2767</v>
      </c>
      <c r="BB117" s="0" t="s">
        <v>2768</v>
      </c>
      <c r="BC117" s="0" t="s">
        <v>2761</v>
      </c>
      <c r="BD117" s="0" t="s">
        <v>2762</v>
      </c>
      <c r="BE117" s="0" t="s">
        <v>2762</v>
      </c>
      <c r="BF117" s="0" t="n">
        <v>799949</v>
      </c>
      <c r="BG117" s="145" t="n">
        <v>43890.357037037</v>
      </c>
      <c r="BH117" s="0" t="s">
        <v>2769</v>
      </c>
      <c r="BI117" s="0" t="n">
        <v>341902</v>
      </c>
      <c r="BJ117" s="0" t="s">
        <v>2770</v>
      </c>
      <c r="BK117" s="0" t="n">
        <v>1</v>
      </c>
      <c r="BL117" s="0" t="s">
        <v>2781</v>
      </c>
      <c r="BM117" s="145" t="n">
        <v>43858.6422569445</v>
      </c>
    </row>
    <row r="118" customFormat="false" ht="14.4" hidden="false" customHeight="false" outlineLevel="0" collapsed="false">
      <c r="A118" s="0" t="n">
        <v>1000</v>
      </c>
      <c r="B118" s="0" t="s">
        <v>143</v>
      </c>
      <c r="C118" s="0" t="n">
        <v>51323575</v>
      </c>
      <c r="D118" s="0" t="s">
        <v>1523</v>
      </c>
      <c r="E118" s="0" t="s">
        <v>725</v>
      </c>
      <c r="F118" s="0" t="n">
        <v>7000</v>
      </c>
      <c r="G118" s="0" t="s">
        <v>2782</v>
      </c>
      <c r="H118" s="0" t="n">
        <v>2020</v>
      </c>
      <c r="I118" s="0" t="n">
        <v>5</v>
      </c>
      <c r="J118" s="145" t="n">
        <v>43650</v>
      </c>
      <c r="K118" s="145" t="n">
        <v>43703</v>
      </c>
      <c r="L118" s="105" t="n">
        <v>-17311.93</v>
      </c>
      <c r="M118" s="0" t="s">
        <v>149</v>
      </c>
      <c r="N118" s="105" t="n">
        <v>-17311.93</v>
      </c>
      <c r="O118" s="0" t="s">
        <v>149</v>
      </c>
      <c r="P118" s="105" t="n">
        <v>-17311.93</v>
      </c>
      <c r="Q118" s="0" t="n">
        <v>0</v>
      </c>
      <c r="R118" s="105" t="n">
        <v>-17311.93</v>
      </c>
      <c r="S118" s="0" t="n">
        <v>0</v>
      </c>
      <c r="T118" s="0" t="n">
        <v>0</v>
      </c>
      <c r="U118" s="0" t="s">
        <v>192</v>
      </c>
      <c r="V118" s="0" t="s">
        <v>151</v>
      </c>
      <c r="X118" s="0" t="s">
        <v>1212</v>
      </c>
      <c r="Y118" s="0" t="n">
        <v>2300050954</v>
      </c>
      <c r="Z118" s="0" t="n">
        <v>51323575</v>
      </c>
      <c r="AB118" s="0" t="n">
        <v>2300050954</v>
      </c>
      <c r="AD118" s="0" t="n">
        <v>2408402</v>
      </c>
      <c r="AE118" s="0" t="s">
        <v>156</v>
      </c>
      <c r="AF118" s="0" t="n">
        <v>2408425</v>
      </c>
      <c r="AG118" s="0" t="s">
        <v>2783</v>
      </c>
      <c r="AH118" s="0" t="n">
        <v>1013001</v>
      </c>
      <c r="AI118" s="0" t="n">
        <v>1013001</v>
      </c>
      <c r="AJ118" s="0" t="s">
        <v>2784</v>
      </c>
      <c r="AK118" s="0" t="n">
        <v>0</v>
      </c>
      <c r="AL118" s="0" t="n">
        <v>31</v>
      </c>
      <c r="AM118" s="0" t="s">
        <v>225</v>
      </c>
      <c r="AP118" s="0" t="n">
        <v>45167654</v>
      </c>
      <c r="AQ118" s="145" t="n">
        <v>43768</v>
      </c>
      <c r="AR118" s="145" t="n">
        <v>43703</v>
      </c>
      <c r="AS118" s="146" t="n">
        <v>0.717511574074074</v>
      </c>
      <c r="AT118" s="0" t="n">
        <v>0</v>
      </c>
      <c r="AU118" s="105" t="n">
        <v>-17311.93</v>
      </c>
      <c r="AX118" s="0" t="n">
        <v>10</v>
      </c>
      <c r="AY118" s="105" t="n">
        <v>17311.93</v>
      </c>
      <c r="AZ118" s="105" t="n">
        <v>17311.93</v>
      </c>
      <c r="BA118" s="0" t="s">
        <v>2767</v>
      </c>
      <c r="BB118" s="0" t="s">
        <v>2768</v>
      </c>
      <c r="BC118" s="0" t="s">
        <v>2761</v>
      </c>
      <c r="BD118" s="0" t="s">
        <v>2762</v>
      </c>
      <c r="BE118" s="0" t="s">
        <v>2762</v>
      </c>
      <c r="BF118" s="0" t="n">
        <v>799949</v>
      </c>
      <c r="BG118" s="145" t="n">
        <v>43890.357037037</v>
      </c>
      <c r="BH118" s="0" t="s">
        <v>2769</v>
      </c>
      <c r="BI118" s="0" t="n">
        <v>341906</v>
      </c>
      <c r="BJ118" s="0" t="s">
        <v>2770</v>
      </c>
      <c r="BK118" s="0" t="n">
        <v>1</v>
      </c>
      <c r="BL118" s="0" t="s">
        <v>2781</v>
      </c>
      <c r="BM118" s="145" t="n">
        <v>43858.6422569445</v>
      </c>
    </row>
    <row r="119" customFormat="false" ht="14.4" hidden="false" customHeight="false" outlineLevel="0" collapsed="false">
      <c r="A119" s="0" t="n">
        <v>1000</v>
      </c>
      <c r="B119" s="0" t="s">
        <v>143</v>
      </c>
      <c r="C119" s="0" t="n">
        <v>51323590</v>
      </c>
      <c r="D119" s="0" t="s">
        <v>1526</v>
      </c>
      <c r="E119" s="0" t="s">
        <v>725</v>
      </c>
      <c r="F119" s="0" t="n">
        <v>7000</v>
      </c>
      <c r="G119" s="0" t="s">
        <v>2782</v>
      </c>
      <c r="H119" s="0" t="n">
        <v>2020</v>
      </c>
      <c r="I119" s="0" t="n">
        <v>5</v>
      </c>
      <c r="J119" s="145" t="n">
        <v>43650</v>
      </c>
      <c r="K119" s="145" t="n">
        <v>43703</v>
      </c>
      <c r="L119" s="105" t="n">
        <v>-521336.5</v>
      </c>
      <c r="M119" s="0" t="s">
        <v>149</v>
      </c>
      <c r="N119" s="105" t="n">
        <v>-521336.5</v>
      </c>
      <c r="O119" s="0" t="s">
        <v>149</v>
      </c>
      <c r="P119" s="105" t="n">
        <v>-521336.5</v>
      </c>
      <c r="Q119" s="0" t="n">
        <v>0</v>
      </c>
      <c r="R119" s="105" t="n">
        <v>-521336.5</v>
      </c>
      <c r="S119" s="0" t="n">
        <v>0</v>
      </c>
      <c r="T119" s="0" t="n">
        <v>0</v>
      </c>
      <c r="U119" s="0" t="s">
        <v>192</v>
      </c>
      <c r="V119" s="0" t="s">
        <v>151</v>
      </c>
      <c r="X119" s="0" t="s">
        <v>1212</v>
      </c>
      <c r="Y119" s="0" t="n">
        <v>2300050954</v>
      </c>
      <c r="Z119" s="0" t="n">
        <v>51323590</v>
      </c>
      <c r="AB119" s="0" t="n">
        <v>2300050954</v>
      </c>
      <c r="AD119" s="0" t="n">
        <v>2408402</v>
      </c>
      <c r="AE119" s="0" t="s">
        <v>156</v>
      </c>
      <c r="AF119" s="0" t="n">
        <v>2408425</v>
      </c>
      <c r="AG119" s="0" t="s">
        <v>2783</v>
      </c>
      <c r="AH119" s="0" t="n">
        <v>1013001</v>
      </c>
      <c r="AI119" s="0" t="n">
        <v>1013001</v>
      </c>
      <c r="AJ119" s="0" t="s">
        <v>2784</v>
      </c>
      <c r="AK119" s="0" t="n">
        <v>0</v>
      </c>
      <c r="AL119" s="0" t="n">
        <v>31</v>
      </c>
      <c r="AM119" s="0" t="s">
        <v>225</v>
      </c>
      <c r="AP119" s="0" t="n">
        <v>45122600</v>
      </c>
      <c r="AQ119" s="145" t="n">
        <v>43704</v>
      </c>
      <c r="AR119" s="145" t="n">
        <v>43703</v>
      </c>
      <c r="AS119" s="146" t="n">
        <v>0.719548611111111</v>
      </c>
      <c r="AT119" s="0" t="n">
        <v>0</v>
      </c>
      <c r="AU119" s="105" t="n">
        <v>-521336.5</v>
      </c>
      <c r="AX119" s="0" t="n">
        <v>9</v>
      </c>
      <c r="AY119" s="105" t="n">
        <v>521336.5</v>
      </c>
      <c r="AZ119" s="105" t="n">
        <v>521336.5</v>
      </c>
      <c r="BA119" s="0" t="s">
        <v>2767</v>
      </c>
      <c r="BB119" s="0" t="s">
        <v>2768</v>
      </c>
      <c r="BC119" s="0" t="s">
        <v>2761</v>
      </c>
      <c r="BD119" s="0" t="s">
        <v>2762</v>
      </c>
      <c r="BE119" s="0" t="s">
        <v>2762</v>
      </c>
      <c r="BF119" s="0" t="n">
        <v>799949</v>
      </c>
      <c r="BG119" s="145" t="n">
        <v>43890.357037037</v>
      </c>
      <c r="BH119" s="0" t="s">
        <v>2769</v>
      </c>
      <c r="BI119" s="0" t="n">
        <v>341910</v>
      </c>
      <c r="BJ119" s="0" t="s">
        <v>2770</v>
      </c>
      <c r="BK119" s="0" t="n">
        <v>1</v>
      </c>
      <c r="BL119" s="0" t="s">
        <v>2781</v>
      </c>
      <c r="BM119" s="145" t="n">
        <v>43858.6422569445</v>
      </c>
    </row>
    <row r="120" customFormat="false" ht="14.4" hidden="false" customHeight="false" outlineLevel="0" collapsed="false">
      <c r="A120" s="0" t="n">
        <v>1000</v>
      </c>
      <c r="B120" s="0" t="s">
        <v>143</v>
      </c>
      <c r="C120" s="0" t="n">
        <v>51323633</v>
      </c>
      <c r="D120" s="0" t="s">
        <v>1477</v>
      </c>
      <c r="E120" s="0" t="s">
        <v>725</v>
      </c>
      <c r="F120" s="0" t="n">
        <v>7000</v>
      </c>
      <c r="G120" s="0" t="s">
        <v>2782</v>
      </c>
      <c r="H120" s="0" t="n">
        <v>2020</v>
      </c>
      <c r="I120" s="0" t="n">
        <v>5</v>
      </c>
      <c r="J120" s="145" t="n">
        <v>43657</v>
      </c>
      <c r="K120" s="145" t="n">
        <v>43703</v>
      </c>
      <c r="L120" s="105" t="n">
        <v>-446592.92</v>
      </c>
      <c r="M120" s="0" t="s">
        <v>149</v>
      </c>
      <c r="N120" s="105" t="n">
        <v>-446592.92</v>
      </c>
      <c r="O120" s="0" t="s">
        <v>149</v>
      </c>
      <c r="P120" s="105" t="n">
        <v>-446592.92</v>
      </c>
      <c r="Q120" s="0" t="n">
        <v>0</v>
      </c>
      <c r="R120" s="105" t="n">
        <v>-446592.92</v>
      </c>
      <c r="S120" s="0" t="n">
        <v>0</v>
      </c>
      <c r="T120" s="0" t="n">
        <v>0</v>
      </c>
      <c r="U120" s="0" t="s">
        <v>192</v>
      </c>
      <c r="V120" s="0" t="s">
        <v>151</v>
      </c>
      <c r="X120" s="0" t="s">
        <v>1212</v>
      </c>
      <c r="Y120" s="0" t="n">
        <v>2300050954</v>
      </c>
      <c r="Z120" s="0" t="n">
        <v>51323633</v>
      </c>
      <c r="AB120" s="0" t="n">
        <v>2300050954</v>
      </c>
      <c r="AD120" s="0" t="n">
        <v>2408402</v>
      </c>
      <c r="AE120" s="0" t="s">
        <v>156</v>
      </c>
      <c r="AF120" s="0" t="n">
        <v>2408425</v>
      </c>
      <c r="AG120" s="0" t="s">
        <v>2783</v>
      </c>
      <c r="AH120" s="0" t="n">
        <v>1013001</v>
      </c>
      <c r="AI120" s="0" t="n">
        <v>1013001</v>
      </c>
      <c r="AJ120" s="0" t="s">
        <v>2784</v>
      </c>
      <c r="AK120" s="0" t="n">
        <v>0</v>
      </c>
      <c r="AL120" s="0" t="n">
        <v>31</v>
      </c>
      <c r="AM120" s="0" t="s">
        <v>225</v>
      </c>
      <c r="AP120" s="0" t="n">
        <v>45122600</v>
      </c>
      <c r="AQ120" s="145" t="n">
        <v>43704</v>
      </c>
      <c r="AR120" s="145" t="n">
        <v>43703</v>
      </c>
      <c r="AS120" s="146" t="n">
        <v>0.726712962962963</v>
      </c>
      <c r="AT120" s="0" t="n">
        <v>0</v>
      </c>
      <c r="AU120" s="105" t="n">
        <v>-446592.92</v>
      </c>
      <c r="AX120" s="0" t="n">
        <v>8</v>
      </c>
      <c r="AY120" s="105" t="n">
        <v>446592.92</v>
      </c>
      <c r="AZ120" s="105" t="n">
        <v>446592.92</v>
      </c>
      <c r="BA120" s="0" t="s">
        <v>2767</v>
      </c>
      <c r="BB120" s="0" t="s">
        <v>2768</v>
      </c>
      <c r="BC120" s="0" t="s">
        <v>2761</v>
      </c>
      <c r="BD120" s="0" t="s">
        <v>2762</v>
      </c>
      <c r="BE120" s="0" t="s">
        <v>2762</v>
      </c>
      <c r="BF120" s="0" t="n">
        <v>799949</v>
      </c>
      <c r="BG120" s="145" t="n">
        <v>43890.357037037</v>
      </c>
      <c r="BH120" s="0" t="s">
        <v>2769</v>
      </c>
      <c r="BI120" s="0" t="n">
        <v>341917</v>
      </c>
      <c r="BJ120" s="0" t="s">
        <v>2770</v>
      </c>
      <c r="BK120" s="0" t="n">
        <v>1</v>
      </c>
      <c r="BL120" s="0" t="s">
        <v>2781</v>
      </c>
      <c r="BM120" s="145" t="n">
        <v>43858.6422569445</v>
      </c>
    </row>
    <row r="121" customFormat="false" ht="14.4" hidden="false" customHeight="false" outlineLevel="0" collapsed="false">
      <c r="A121" s="0" t="n">
        <v>1000</v>
      </c>
      <c r="B121" s="0" t="s">
        <v>143</v>
      </c>
      <c r="C121" s="0" t="n">
        <v>51323633</v>
      </c>
      <c r="D121" s="0" t="s">
        <v>1477</v>
      </c>
      <c r="E121" s="0" t="s">
        <v>725</v>
      </c>
      <c r="F121" s="0" t="n">
        <v>7000</v>
      </c>
      <c r="G121" s="0" t="s">
        <v>2782</v>
      </c>
      <c r="H121" s="0" t="n">
        <v>2020</v>
      </c>
      <c r="I121" s="0" t="n">
        <v>5</v>
      </c>
      <c r="J121" s="145" t="n">
        <v>43657</v>
      </c>
      <c r="K121" s="145" t="n">
        <v>43703</v>
      </c>
      <c r="L121" s="105" t="n">
        <v>-26270.17</v>
      </c>
      <c r="M121" s="0" t="s">
        <v>149</v>
      </c>
      <c r="N121" s="105" t="n">
        <v>-26270.17</v>
      </c>
      <c r="O121" s="0" t="s">
        <v>149</v>
      </c>
      <c r="P121" s="105" t="n">
        <v>-26270.17</v>
      </c>
      <c r="Q121" s="0" t="n">
        <v>0</v>
      </c>
      <c r="R121" s="105" t="n">
        <v>-26270.17</v>
      </c>
      <c r="S121" s="0" t="n">
        <v>0</v>
      </c>
      <c r="T121" s="0" t="n">
        <v>0</v>
      </c>
      <c r="U121" s="0" t="s">
        <v>192</v>
      </c>
      <c r="V121" s="0" t="s">
        <v>151</v>
      </c>
      <c r="X121" s="0" t="s">
        <v>1212</v>
      </c>
      <c r="Y121" s="0" t="n">
        <v>2300050954</v>
      </c>
      <c r="Z121" s="0" t="n">
        <v>51323633</v>
      </c>
      <c r="AB121" s="0" t="n">
        <v>2300050954</v>
      </c>
      <c r="AD121" s="0" t="n">
        <v>2408402</v>
      </c>
      <c r="AE121" s="0" t="s">
        <v>156</v>
      </c>
      <c r="AF121" s="0" t="n">
        <v>2408425</v>
      </c>
      <c r="AG121" s="0" t="s">
        <v>2783</v>
      </c>
      <c r="AH121" s="0" t="n">
        <v>1013001</v>
      </c>
      <c r="AI121" s="0" t="n">
        <v>1013001</v>
      </c>
      <c r="AJ121" s="0" t="s">
        <v>2784</v>
      </c>
      <c r="AK121" s="0" t="n">
        <v>0</v>
      </c>
      <c r="AL121" s="0" t="n">
        <v>31</v>
      </c>
      <c r="AM121" s="0" t="s">
        <v>225</v>
      </c>
      <c r="AP121" s="0" t="n">
        <v>45167654</v>
      </c>
      <c r="AQ121" s="145" t="n">
        <v>43768</v>
      </c>
      <c r="AR121" s="145" t="n">
        <v>43703</v>
      </c>
      <c r="AS121" s="146" t="n">
        <v>0.726712962962963</v>
      </c>
      <c r="AT121" s="0" t="n">
        <v>0</v>
      </c>
      <c r="AU121" s="105" t="n">
        <v>-26270.17</v>
      </c>
      <c r="AX121" s="0" t="n">
        <v>10</v>
      </c>
      <c r="AY121" s="105" t="n">
        <v>26270.17</v>
      </c>
      <c r="AZ121" s="105" t="n">
        <v>26270.17</v>
      </c>
      <c r="BA121" s="0" t="s">
        <v>2767</v>
      </c>
      <c r="BB121" s="0" t="s">
        <v>2768</v>
      </c>
      <c r="BC121" s="0" t="s">
        <v>2761</v>
      </c>
      <c r="BD121" s="0" t="s">
        <v>2762</v>
      </c>
      <c r="BE121" s="0" t="s">
        <v>2762</v>
      </c>
      <c r="BF121" s="0" t="n">
        <v>799949</v>
      </c>
      <c r="BG121" s="145" t="n">
        <v>43890.357037037</v>
      </c>
      <c r="BH121" s="0" t="s">
        <v>2769</v>
      </c>
      <c r="BI121" s="0" t="n">
        <v>341920</v>
      </c>
      <c r="BJ121" s="0" t="s">
        <v>2770</v>
      </c>
      <c r="BK121" s="0" t="n">
        <v>1</v>
      </c>
      <c r="BL121" s="0" t="s">
        <v>2781</v>
      </c>
      <c r="BM121" s="145" t="n">
        <v>43858.6422569445</v>
      </c>
    </row>
    <row r="122" customFormat="false" ht="14.4" hidden="false" customHeight="false" outlineLevel="0" collapsed="false">
      <c r="A122" s="0" t="n">
        <v>1000</v>
      </c>
      <c r="B122" s="0" t="s">
        <v>143</v>
      </c>
      <c r="C122" s="0" t="n">
        <v>51323633</v>
      </c>
      <c r="D122" s="0" t="s">
        <v>1477</v>
      </c>
      <c r="E122" s="0" t="s">
        <v>725</v>
      </c>
      <c r="F122" s="0" t="n">
        <v>7000</v>
      </c>
      <c r="G122" s="0" t="s">
        <v>2782</v>
      </c>
      <c r="H122" s="0" t="n">
        <v>2020</v>
      </c>
      <c r="I122" s="0" t="n">
        <v>5</v>
      </c>
      <c r="J122" s="145" t="n">
        <v>43657</v>
      </c>
      <c r="K122" s="145" t="n">
        <v>43703</v>
      </c>
      <c r="L122" s="105" t="n">
        <v>-26270.17</v>
      </c>
      <c r="M122" s="0" t="s">
        <v>149</v>
      </c>
      <c r="N122" s="105" t="n">
        <v>-26270.17</v>
      </c>
      <c r="O122" s="0" t="s">
        <v>149</v>
      </c>
      <c r="P122" s="105" t="n">
        <v>-26270.17</v>
      </c>
      <c r="Q122" s="0" t="n">
        <v>0</v>
      </c>
      <c r="R122" s="105" t="n">
        <v>-26270.17</v>
      </c>
      <c r="S122" s="0" t="n">
        <v>0</v>
      </c>
      <c r="T122" s="0" t="n">
        <v>0</v>
      </c>
      <c r="U122" s="0" t="s">
        <v>192</v>
      </c>
      <c r="V122" s="0" t="s">
        <v>151</v>
      </c>
      <c r="X122" s="0" t="s">
        <v>1212</v>
      </c>
      <c r="Y122" s="0" t="n">
        <v>2300050954</v>
      </c>
      <c r="Z122" s="0" t="n">
        <v>51323633</v>
      </c>
      <c r="AB122" s="0" t="n">
        <v>2300050954</v>
      </c>
      <c r="AD122" s="0" t="n">
        <v>2408402</v>
      </c>
      <c r="AE122" s="0" t="s">
        <v>156</v>
      </c>
      <c r="AF122" s="0" t="n">
        <v>2408425</v>
      </c>
      <c r="AG122" s="0" t="s">
        <v>2783</v>
      </c>
      <c r="AH122" s="0" t="n">
        <v>1013001</v>
      </c>
      <c r="AI122" s="0" t="n">
        <v>1013001</v>
      </c>
      <c r="AJ122" s="0" t="s">
        <v>2784</v>
      </c>
      <c r="AK122" s="0" t="n">
        <v>0</v>
      </c>
      <c r="AL122" s="0" t="n">
        <v>31</v>
      </c>
      <c r="AM122" s="0" t="s">
        <v>225</v>
      </c>
      <c r="AP122" s="0" t="n">
        <v>45167654</v>
      </c>
      <c r="AQ122" s="145" t="n">
        <v>43768</v>
      </c>
      <c r="AR122" s="145" t="n">
        <v>43703</v>
      </c>
      <c r="AS122" s="146" t="n">
        <v>0.726712962962963</v>
      </c>
      <c r="AT122" s="0" t="n">
        <v>0</v>
      </c>
      <c r="AU122" s="105" t="n">
        <v>-26270.17</v>
      </c>
      <c r="AX122" s="0" t="n">
        <v>11</v>
      </c>
      <c r="AY122" s="105" t="n">
        <v>26270.17</v>
      </c>
      <c r="AZ122" s="105" t="n">
        <v>26270.17</v>
      </c>
      <c r="BA122" s="0" t="s">
        <v>2767</v>
      </c>
      <c r="BB122" s="0" t="s">
        <v>2768</v>
      </c>
      <c r="BC122" s="0" t="s">
        <v>2761</v>
      </c>
      <c r="BD122" s="0" t="s">
        <v>2762</v>
      </c>
      <c r="BE122" s="0" t="s">
        <v>2762</v>
      </c>
      <c r="BF122" s="0" t="n">
        <v>799949</v>
      </c>
      <c r="BG122" s="145" t="n">
        <v>43890.357037037</v>
      </c>
      <c r="BH122" s="0" t="s">
        <v>2769</v>
      </c>
      <c r="BI122" s="0" t="n">
        <v>341924</v>
      </c>
      <c r="BJ122" s="0" t="s">
        <v>2770</v>
      </c>
      <c r="BK122" s="0" t="n">
        <v>1</v>
      </c>
      <c r="BL122" s="0" t="s">
        <v>2781</v>
      </c>
      <c r="BM122" s="145" t="n">
        <v>43858.6422569445</v>
      </c>
    </row>
    <row r="123" customFormat="false" ht="14.4" hidden="false" customHeight="false" outlineLevel="0" collapsed="false">
      <c r="A123" s="0" t="n">
        <v>1000</v>
      </c>
      <c r="B123" s="0" t="s">
        <v>143</v>
      </c>
      <c r="C123" s="0" t="n">
        <v>51323504</v>
      </c>
      <c r="D123" s="0" t="s">
        <v>1547</v>
      </c>
      <c r="E123" s="0" t="s">
        <v>725</v>
      </c>
      <c r="F123" s="0" t="n">
        <v>7000</v>
      </c>
      <c r="G123" s="0" t="s">
        <v>2782</v>
      </c>
      <c r="H123" s="0" t="n">
        <v>2020</v>
      </c>
      <c r="I123" s="0" t="n">
        <v>5</v>
      </c>
      <c r="J123" s="145" t="n">
        <v>43645</v>
      </c>
      <c r="K123" s="145" t="n">
        <v>43703</v>
      </c>
      <c r="L123" s="105" t="n">
        <v>-32040.82</v>
      </c>
      <c r="M123" s="0" t="s">
        <v>149</v>
      </c>
      <c r="N123" s="105" t="n">
        <v>-32040.82</v>
      </c>
      <c r="O123" s="0" t="s">
        <v>149</v>
      </c>
      <c r="P123" s="105" t="n">
        <v>-32040.82</v>
      </c>
      <c r="Q123" s="0" t="n">
        <v>0</v>
      </c>
      <c r="R123" s="105" t="n">
        <v>-32040.82</v>
      </c>
      <c r="S123" s="0" t="n">
        <v>0</v>
      </c>
      <c r="T123" s="0" t="n">
        <v>0</v>
      </c>
      <c r="U123" s="0" t="s">
        <v>192</v>
      </c>
      <c r="V123" s="0" t="s">
        <v>151</v>
      </c>
      <c r="X123" s="0" t="s">
        <v>1212</v>
      </c>
      <c r="Y123" s="0" t="n">
        <v>2300050954</v>
      </c>
      <c r="Z123" s="0" t="n">
        <v>51323504</v>
      </c>
      <c r="AB123" s="0" t="n">
        <v>2300050954</v>
      </c>
      <c r="AD123" s="0" t="n">
        <v>2408402</v>
      </c>
      <c r="AE123" s="0" t="s">
        <v>156</v>
      </c>
      <c r="AF123" s="0" t="n">
        <v>2408425</v>
      </c>
      <c r="AG123" s="0" t="s">
        <v>2783</v>
      </c>
      <c r="AH123" s="0" t="n">
        <v>1013001</v>
      </c>
      <c r="AI123" s="0" t="n">
        <v>1013001</v>
      </c>
      <c r="AJ123" s="0" t="s">
        <v>2784</v>
      </c>
      <c r="AK123" s="0" t="n">
        <v>0</v>
      </c>
      <c r="AL123" s="0" t="n">
        <v>31</v>
      </c>
      <c r="AM123" s="0" t="s">
        <v>225</v>
      </c>
      <c r="AP123" s="0" t="n">
        <v>45167654</v>
      </c>
      <c r="AQ123" s="145" t="n">
        <v>43768</v>
      </c>
      <c r="AR123" s="145" t="n">
        <v>43703</v>
      </c>
      <c r="AS123" s="146" t="n">
        <v>0.710509259259259</v>
      </c>
      <c r="AT123" s="0" t="n">
        <v>0</v>
      </c>
      <c r="AU123" s="105" t="n">
        <v>-32040.82</v>
      </c>
      <c r="AX123" s="0" t="n">
        <v>10</v>
      </c>
      <c r="AY123" s="105" t="n">
        <v>32040.82</v>
      </c>
      <c r="AZ123" s="105" t="n">
        <v>32040.82</v>
      </c>
      <c r="BA123" s="0" t="s">
        <v>2767</v>
      </c>
      <c r="BB123" s="0" t="s">
        <v>2768</v>
      </c>
      <c r="BC123" s="0" t="s">
        <v>2761</v>
      </c>
      <c r="BD123" s="0" t="s">
        <v>2762</v>
      </c>
      <c r="BE123" s="0" t="s">
        <v>2762</v>
      </c>
      <c r="BF123" s="0" t="n">
        <v>799949</v>
      </c>
      <c r="BG123" s="145" t="n">
        <v>43890.357037037</v>
      </c>
      <c r="BH123" s="0" t="s">
        <v>2769</v>
      </c>
      <c r="BI123" s="0" t="n">
        <v>341991</v>
      </c>
      <c r="BJ123" s="0" t="s">
        <v>2770</v>
      </c>
      <c r="BK123" s="0" t="n">
        <v>1</v>
      </c>
      <c r="BL123" s="0" t="s">
        <v>2781</v>
      </c>
      <c r="BM123" s="145" t="n">
        <v>43858.6422569445</v>
      </c>
    </row>
    <row r="124" customFormat="false" ht="14.4" hidden="false" customHeight="false" outlineLevel="0" collapsed="false">
      <c r="A124" s="0" t="n">
        <v>1000</v>
      </c>
      <c r="B124" s="0" t="s">
        <v>143</v>
      </c>
      <c r="C124" s="0" t="n">
        <v>51323504</v>
      </c>
      <c r="D124" s="0" t="s">
        <v>1547</v>
      </c>
      <c r="E124" s="0" t="s">
        <v>725</v>
      </c>
      <c r="F124" s="0" t="n">
        <v>7000</v>
      </c>
      <c r="G124" s="0" t="s">
        <v>2782</v>
      </c>
      <c r="H124" s="0" t="n">
        <v>2020</v>
      </c>
      <c r="I124" s="0" t="n">
        <v>5</v>
      </c>
      <c r="J124" s="145" t="n">
        <v>43645</v>
      </c>
      <c r="K124" s="145" t="n">
        <v>43703</v>
      </c>
      <c r="L124" s="105" t="n">
        <v>-32040.82</v>
      </c>
      <c r="M124" s="0" t="s">
        <v>149</v>
      </c>
      <c r="N124" s="105" t="n">
        <v>-32040.82</v>
      </c>
      <c r="O124" s="0" t="s">
        <v>149</v>
      </c>
      <c r="P124" s="105" t="n">
        <v>-32040.82</v>
      </c>
      <c r="Q124" s="0" t="n">
        <v>0</v>
      </c>
      <c r="R124" s="105" t="n">
        <v>-32040.82</v>
      </c>
      <c r="S124" s="0" t="n">
        <v>0</v>
      </c>
      <c r="T124" s="0" t="n">
        <v>0</v>
      </c>
      <c r="U124" s="0" t="s">
        <v>192</v>
      </c>
      <c r="V124" s="0" t="s">
        <v>151</v>
      </c>
      <c r="X124" s="0" t="s">
        <v>1212</v>
      </c>
      <c r="Y124" s="0" t="n">
        <v>2300050954</v>
      </c>
      <c r="Z124" s="0" t="n">
        <v>51323504</v>
      </c>
      <c r="AB124" s="0" t="n">
        <v>2300050954</v>
      </c>
      <c r="AD124" s="0" t="n">
        <v>2408402</v>
      </c>
      <c r="AE124" s="0" t="s">
        <v>156</v>
      </c>
      <c r="AF124" s="0" t="n">
        <v>2408425</v>
      </c>
      <c r="AG124" s="0" t="s">
        <v>2783</v>
      </c>
      <c r="AH124" s="0" t="n">
        <v>1013001</v>
      </c>
      <c r="AI124" s="0" t="n">
        <v>1013001</v>
      </c>
      <c r="AJ124" s="0" t="s">
        <v>2784</v>
      </c>
      <c r="AK124" s="0" t="n">
        <v>0</v>
      </c>
      <c r="AL124" s="0" t="n">
        <v>31</v>
      </c>
      <c r="AM124" s="0" t="s">
        <v>225</v>
      </c>
      <c r="AP124" s="0" t="n">
        <v>45167654</v>
      </c>
      <c r="AQ124" s="145" t="n">
        <v>43768</v>
      </c>
      <c r="AR124" s="145" t="n">
        <v>43703</v>
      </c>
      <c r="AS124" s="146" t="n">
        <v>0.710509259259259</v>
      </c>
      <c r="AT124" s="0" t="n">
        <v>0</v>
      </c>
      <c r="AU124" s="105" t="n">
        <v>-32040.82</v>
      </c>
      <c r="AX124" s="0" t="n">
        <v>11</v>
      </c>
      <c r="AY124" s="105" t="n">
        <v>32040.82</v>
      </c>
      <c r="AZ124" s="105" t="n">
        <v>32040.82</v>
      </c>
      <c r="BA124" s="0" t="s">
        <v>2767</v>
      </c>
      <c r="BB124" s="0" t="s">
        <v>2768</v>
      </c>
      <c r="BC124" s="0" t="s">
        <v>2761</v>
      </c>
      <c r="BD124" s="0" t="s">
        <v>2762</v>
      </c>
      <c r="BE124" s="0" t="s">
        <v>2762</v>
      </c>
      <c r="BF124" s="0" t="n">
        <v>799949</v>
      </c>
      <c r="BG124" s="145" t="n">
        <v>43890.357037037</v>
      </c>
      <c r="BH124" s="0" t="s">
        <v>2769</v>
      </c>
      <c r="BI124" s="0" t="n">
        <v>341994</v>
      </c>
      <c r="BJ124" s="0" t="s">
        <v>2770</v>
      </c>
      <c r="BK124" s="0" t="n">
        <v>1</v>
      </c>
      <c r="BL124" s="0" t="s">
        <v>2781</v>
      </c>
      <c r="BM124" s="145" t="n">
        <v>43858.6422569445</v>
      </c>
    </row>
    <row r="125" customFormat="false" ht="14.4" hidden="false" customHeight="false" outlineLevel="0" collapsed="false">
      <c r="A125" s="0" t="n">
        <v>1000</v>
      </c>
      <c r="B125" s="0" t="s">
        <v>143</v>
      </c>
      <c r="C125" s="0" t="n">
        <v>51323529</v>
      </c>
      <c r="D125" s="0" t="s">
        <v>1544</v>
      </c>
      <c r="E125" s="0" t="s">
        <v>725</v>
      </c>
      <c r="F125" s="0" t="n">
        <v>7000</v>
      </c>
      <c r="G125" s="0" t="s">
        <v>2782</v>
      </c>
      <c r="H125" s="0" t="n">
        <v>2020</v>
      </c>
      <c r="I125" s="0" t="n">
        <v>5</v>
      </c>
      <c r="J125" s="145" t="n">
        <v>43648</v>
      </c>
      <c r="K125" s="145" t="n">
        <v>43703</v>
      </c>
      <c r="L125" s="105" t="n">
        <v>-16762.35</v>
      </c>
      <c r="M125" s="0" t="s">
        <v>149</v>
      </c>
      <c r="N125" s="105" t="n">
        <v>-16762.35</v>
      </c>
      <c r="O125" s="0" t="s">
        <v>149</v>
      </c>
      <c r="P125" s="105" t="n">
        <v>-16762.35</v>
      </c>
      <c r="Q125" s="0" t="n">
        <v>0</v>
      </c>
      <c r="R125" s="105" t="n">
        <v>-16762.35</v>
      </c>
      <c r="S125" s="0" t="n">
        <v>0</v>
      </c>
      <c r="T125" s="0" t="n">
        <v>0</v>
      </c>
      <c r="U125" s="0" t="s">
        <v>192</v>
      </c>
      <c r="V125" s="0" t="s">
        <v>151</v>
      </c>
      <c r="X125" s="0" t="s">
        <v>1212</v>
      </c>
      <c r="Y125" s="0" t="n">
        <v>2300050954</v>
      </c>
      <c r="Z125" s="0" t="n">
        <v>51323529</v>
      </c>
      <c r="AB125" s="0" t="n">
        <v>2300050954</v>
      </c>
      <c r="AD125" s="0" t="n">
        <v>2408402</v>
      </c>
      <c r="AE125" s="0" t="s">
        <v>156</v>
      </c>
      <c r="AF125" s="0" t="n">
        <v>2408425</v>
      </c>
      <c r="AG125" s="0" t="s">
        <v>2783</v>
      </c>
      <c r="AH125" s="0" t="n">
        <v>1013001</v>
      </c>
      <c r="AI125" s="0" t="n">
        <v>1013001</v>
      </c>
      <c r="AJ125" s="0" t="s">
        <v>2784</v>
      </c>
      <c r="AK125" s="0" t="n">
        <v>0</v>
      </c>
      <c r="AL125" s="0" t="n">
        <v>31</v>
      </c>
      <c r="AM125" s="0" t="s">
        <v>225</v>
      </c>
      <c r="AP125" s="0" t="n">
        <v>45167654</v>
      </c>
      <c r="AQ125" s="145" t="n">
        <v>43768</v>
      </c>
      <c r="AR125" s="145" t="n">
        <v>43703</v>
      </c>
      <c r="AS125" s="146" t="n">
        <v>0.712777777777778</v>
      </c>
      <c r="AT125" s="0" t="n">
        <v>0</v>
      </c>
      <c r="AU125" s="105" t="n">
        <v>-16762.35</v>
      </c>
      <c r="AX125" s="0" t="n">
        <v>10</v>
      </c>
      <c r="AY125" s="105" t="n">
        <v>16762.35</v>
      </c>
      <c r="AZ125" s="105" t="n">
        <v>16762.35</v>
      </c>
      <c r="BA125" s="0" t="s">
        <v>2767</v>
      </c>
      <c r="BB125" s="0" t="s">
        <v>2768</v>
      </c>
      <c r="BC125" s="0" t="s">
        <v>2761</v>
      </c>
      <c r="BD125" s="0" t="s">
        <v>2762</v>
      </c>
      <c r="BE125" s="0" t="s">
        <v>2762</v>
      </c>
      <c r="BF125" s="0" t="n">
        <v>799949</v>
      </c>
      <c r="BG125" s="145" t="n">
        <v>43890.357037037</v>
      </c>
      <c r="BH125" s="0" t="s">
        <v>2769</v>
      </c>
      <c r="BI125" s="0" t="n">
        <v>341998</v>
      </c>
      <c r="BJ125" s="0" t="s">
        <v>2770</v>
      </c>
      <c r="BK125" s="0" t="n">
        <v>1</v>
      </c>
      <c r="BL125" s="0" t="s">
        <v>2781</v>
      </c>
      <c r="BM125" s="145" t="n">
        <v>43858.6422569445</v>
      </c>
    </row>
    <row r="126" customFormat="false" ht="14.4" hidden="false" customHeight="false" outlineLevel="0" collapsed="false">
      <c r="A126" s="0" t="n">
        <v>1000</v>
      </c>
      <c r="B126" s="0" t="s">
        <v>143</v>
      </c>
      <c r="C126" s="0" t="n">
        <v>51323529</v>
      </c>
      <c r="D126" s="0" t="s">
        <v>1544</v>
      </c>
      <c r="E126" s="0" t="s">
        <v>725</v>
      </c>
      <c r="F126" s="0" t="n">
        <v>7000</v>
      </c>
      <c r="G126" s="0" t="s">
        <v>2782</v>
      </c>
      <c r="H126" s="0" t="n">
        <v>2020</v>
      </c>
      <c r="I126" s="0" t="n">
        <v>5</v>
      </c>
      <c r="J126" s="145" t="n">
        <v>43648</v>
      </c>
      <c r="K126" s="145" t="n">
        <v>43703</v>
      </c>
      <c r="L126" s="105" t="n">
        <v>-16762.35</v>
      </c>
      <c r="M126" s="0" t="s">
        <v>149</v>
      </c>
      <c r="N126" s="105" t="n">
        <v>-16762.35</v>
      </c>
      <c r="O126" s="0" t="s">
        <v>149</v>
      </c>
      <c r="P126" s="105" t="n">
        <v>-16762.35</v>
      </c>
      <c r="Q126" s="0" t="n">
        <v>0</v>
      </c>
      <c r="R126" s="105" t="n">
        <v>-16762.35</v>
      </c>
      <c r="S126" s="0" t="n">
        <v>0</v>
      </c>
      <c r="T126" s="0" t="n">
        <v>0</v>
      </c>
      <c r="U126" s="0" t="s">
        <v>192</v>
      </c>
      <c r="V126" s="0" t="s">
        <v>151</v>
      </c>
      <c r="X126" s="0" t="s">
        <v>1212</v>
      </c>
      <c r="Y126" s="0" t="n">
        <v>2300050954</v>
      </c>
      <c r="Z126" s="0" t="n">
        <v>51323529</v>
      </c>
      <c r="AB126" s="0" t="n">
        <v>2300050954</v>
      </c>
      <c r="AD126" s="0" t="n">
        <v>2408402</v>
      </c>
      <c r="AE126" s="0" t="s">
        <v>156</v>
      </c>
      <c r="AF126" s="0" t="n">
        <v>2408425</v>
      </c>
      <c r="AG126" s="0" t="s">
        <v>2783</v>
      </c>
      <c r="AH126" s="0" t="n">
        <v>1013001</v>
      </c>
      <c r="AI126" s="0" t="n">
        <v>1013001</v>
      </c>
      <c r="AJ126" s="0" t="s">
        <v>2784</v>
      </c>
      <c r="AK126" s="0" t="n">
        <v>0</v>
      </c>
      <c r="AL126" s="0" t="n">
        <v>31</v>
      </c>
      <c r="AM126" s="0" t="s">
        <v>225</v>
      </c>
      <c r="AP126" s="0" t="n">
        <v>45167654</v>
      </c>
      <c r="AQ126" s="145" t="n">
        <v>43768</v>
      </c>
      <c r="AR126" s="145" t="n">
        <v>43703</v>
      </c>
      <c r="AS126" s="146" t="n">
        <v>0.712777777777778</v>
      </c>
      <c r="AT126" s="0" t="n">
        <v>0</v>
      </c>
      <c r="AU126" s="105" t="n">
        <v>-16762.35</v>
      </c>
      <c r="AX126" s="0" t="n">
        <v>11</v>
      </c>
      <c r="AY126" s="105" t="n">
        <v>16762.35</v>
      </c>
      <c r="AZ126" s="105" t="n">
        <v>16762.35</v>
      </c>
      <c r="BA126" s="0" t="s">
        <v>2767</v>
      </c>
      <c r="BB126" s="0" t="s">
        <v>2768</v>
      </c>
      <c r="BC126" s="0" t="s">
        <v>2761</v>
      </c>
      <c r="BD126" s="0" t="s">
        <v>2762</v>
      </c>
      <c r="BE126" s="0" t="s">
        <v>2762</v>
      </c>
      <c r="BF126" s="0" t="n">
        <v>799949</v>
      </c>
      <c r="BG126" s="145" t="n">
        <v>43890.357037037</v>
      </c>
      <c r="BH126" s="0" t="s">
        <v>2769</v>
      </c>
      <c r="BI126" s="0" t="n">
        <v>342002</v>
      </c>
      <c r="BJ126" s="0" t="s">
        <v>2770</v>
      </c>
      <c r="BK126" s="0" t="n">
        <v>1</v>
      </c>
      <c r="BL126" s="0" t="s">
        <v>2781</v>
      </c>
      <c r="BM126" s="145" t="n">
        <v>43858.6422569445</v>
      </c>
    </row>
    <row r="127" customFormat="false" ht="14.4" hidden="false" customHeight="false" outlineLevel="0" collapsed="false">
      <c r="A127" s="0" t="n">
        <v>1000</v>
      </c>
      <c r="B127" s="0" t="s">
        <v>143</v>
      </c>
      <c r="C127" s="0" t="n">
        <v>51323575</v>
      </c>
      <c r="D127" s="0" t="s">
        <v>1523</v>
      </c>
      <c r="E127" s="0" t="s">
        <v>725</v>
      </c>
      <c r="F127" s="0" t="n">
        <v>7000</v>
      </c>
      <c r="G127" s="0" t="s">
        <v>2782</v>
      </c>
      <c r="H127" s="0" t="n">
        <v>2020</v>
      </c>
      <c r="I127" s="0" t="n">
        <v>5</v>
      </c>
      <c r="J127" s="145" t="n">
        <v>43650</v>
      </c>
      <c r="K127" s="145" t="n">
        <v>43703</v>
      </c>
      <c r="L127" s="105" t="n">
        <v>-17311.94</v>
      </c>
      <c r="M127" s="0" t="s">
        <v>149</v>
      </c>
      <c r="N127" s="105" t="n">
        <v>-17311.94</v>
      </c>
      <c r="O127" s="0" t="s">
        <v>149</v>
      </c>
      <c r="P127" s="105" t="n">
        <v>-17311.94</v>
      </c>
      <c r="Q127" s="0" t="n">
        <v>0</v>
      </c>
      <c r="R127" s="105" t="n">
        <v>-17311.94</v>
      </c>
      <c r="S127" s="0" t="n">
        <v>0</v>
      </c>
      <c r="T127" s="0" t="n">
        <v>0</v>
      </c>
      <c r="U127" s="0" t="s">
        <v>192</v>
      </c>
      <c r="V127" s="0" t="s">
        <v>151</v>
      </c>
      <c r="X127" s="0" t="s">
        <v>1212</v>
      </c>
      <c r="Y127" s="0" t="n">
        <v>2300050954</v>
      </c>
      <c r="Z127" s="0" t="n">
        <v>51323575</v>
      </c>
      <c r="AB127" s="0" t="n">
        <v>2300050954</v>
      </c>
      <c r="AD127" s="0" t="n">
        <v>2408402</v>
      </c>
      <c r="AE127" s="0" t="s">
        <v>156</v>
      </c>
      <c r="AF127" s="0" t="n">
        <v>2408425</v>
      </c>
      <c r="AG127" s="0" t="s">
        <v>2783</v>
      </c>
      <c r="AH127" s="0" t="n">
        <v>1013001</v>
      </c>
      <c r="AI127" s="0" t="n">
        <v>1013001</v>
      </c>
      <c r="AJ127" s="0" t="s">
        <v>2784</v>
      </c>
      <c r="AK127" s="0" t="n">
        <v>0</v>
      </c>
      <c r="AL127" s="0" t="n">
        <v>31</v>
      </c>
      <c r="AM127" s="0" t="s">
        <v>225</v>
      </c>
      <c r="AP127" s="0" t="n">
        <v>45167654</v>
      </c>
      <c r="AQ127" s="145" t="n">
        <v>43768</v>
      </c>
      <c r="AR127" s="145" t="n">
        <v>43703</v>
      </c>
      <c r="AS127" s="146" t="n">
        <v>0.717511574074074</v>
      </c>
      <c r="AT127" s="0" t="n">
        <v>0</v>
      </c>
      <c r="AU127" s="105" t="n">
        <v>-17311.94</v>
      </c>
      <c r="AX127" s="0" t="n">
        <v>12</v>
      </c>
      <c r="AY127" s="105" t="n">
        <v>17311.94</v>
      </c>
      <c r="AZ127" s="105" t="n">
        <v>17311.94</v>
      </c>
      <c r="BA127" s="0" t="s">
        <v>2767</v>
      </c>
      <c r="BB127" s="0" t="s">
        <v>2768</v>
      </c>
      <c r="BC127" s="0" t="s">
        <v>2761</v>
      </c>
      <c r="BD127" s="0" t="s">
        <v>2762</v>
      </c>
      <c r="BE127" s="0" t="s">
        <v>2762</v>
      </c>
      <c r="BF127" s="0" t="n">
        <v>799949</v>
      </c>
      <c r="BG127" s="145" t="n">
        <v>43890.357037037</v>
      </c>
      <c r="BH127" s="0" t="s">
        <v>2769</v>
      </c>
      <c r="BI127" s="0" t="n">
        <v>342006</v>
      </c>
      <c r="BJ127" s="0" t="s">
        <v>2770</v>
      </c>
      <c r="BK127" s="0" t="n">
        <v>1</v>
      </c>
      <c r="BL127" s="0" t="s">
        <v>2781</v>
      </c>
      <c r="BM127" s="145" t="n">
        <v>43858.6422569445</v>
      </c>
    </row>
    <row r="128" customFormat="false" ht="14.4" hidden="false" customHeight="false" outlineLevel="0" collapsed="false">
      <c r="A128" s="0" t="n">
        <v>1000</v>
      </c>
      <c r="B128" s="0" t="s">
        <v>143</v>
      </c>
      <c r="C128" s="0" t="n">
        <v>51323575</v>
      </c>
      <c r="D128" s="0" t="s">
        <v>1523</v>
      </c>
      <c r="E128" s="0" t="s">
        <v>725</v>
      </c>
      <c r="F128" s="0" t="n">
        <v>7000</v>
      </c>
      <c r="G128" s="0" t="s">
        <v>2782</v>
      </c>
      <c r="H128" s="0" t="n">
        <v>2020</v>
      </c>
      <c r="I128" s="0" t="n">
        <v>5</v>
      </c>
      <c r="J128" s="145" t="n">
        <v>43650</v>
      </c>
      <c r="K128" s="145" t="n">
        <v>43703</v>
      </c>
      <c r="L128" s="105" t="n">
        <v>-17311.93</v>
      </c>
      <c r="M128" s="0" t="s">
        <v>149</v>
      </c>
      <c r="N128" s="105" t="n">
        <v>-17311.93</v>
      </c>
      <c r="O128" s="0" t="s">
        <v>149</v>
      </c>
      <c r="P128" s="105" t="n">
        <v>-17311.93</v>
      </c>
      <c r="Q128" s="0" t="n">
        <v>0</v>
      </c>
      <c r="R128" s="105" t="n">
        <v>-17311.93</v>
      </c>
      <c r="S128" s="0" t="n">
        <v>0</v>
      </c>
      <c r="T128" s="0" t="n">
        <v>0</v>
      </c>
      <c r="U128" s="0" t="s">
        <v>192</v>
      </c>
      <c r="V128" s="0" t="s">
        <v>151</v>
      </c>
      <c r="X128" s="0" t="s">
        <v>1212</v>
      </c>
      <c r="Y128" s="0" t="n">
        <v>2300050954</v>
      </c>
      <c r="Z128" s="0" t="n">
        <v>51323575</v>
      </c>
      <c r="AB128" s="0" t="n">
        <v>2300050954</v>
      </c>
      <c r="AD128" s="0" t="n">
        <v>2408402</v>
      </c>
      <c r="AE128" s="0" t="s">
        <v>156</v>
      </c>
      <c r="AF128" s="0" t="n">
        <v>2408425</v>
      </c>
      <c r="AG128" s="0" t="s">
        <v>2783</v>
      </c>
      <c r="AH128" s="0" t="n">
        <v>1013001</v>
      </c>
      <c r="AI128" s="0" t="n">
        <v>1013001</v>
      </c>
      <c r="AJ128" s="0" t="s">
        <v>2784</v>
      </c>
      <c r="AK128" s="0" t="n">
        <v>0</v>
      </c>
      <c r="AL128" s="0" t="n">
        <v>31</v>
      </c>
      <c r="AM128" s="0" t="s">
        <v>225</v>
      </c>
      <c r="AP128" s="0" t="n">
        <v>45167654</v>
      </c>
      <c r="AQ128" s="145" t="n">
        <v>43768</v>
      </c>
      <c r="AR128" s="145" t="n">
        <v>43703</v>
      </c>
      <c r="AS128" s="146" t="n">
        <v>0.717511574074074</v>
      </c>
      <c r="AT128" s="0" t="n">
        <v>0</v>
      </c>
      <c r="AU128" s="105" t="n">
        <v>-17311.93</v>
      </c>
      <c r="AX128" s="0" t="n">
        <v>11</v>
      </c>
      <c r="AY128" s="105" t="n">
        <v>17311.93</v>
      </c>
      <c r="AZ128" s="105" t="n">
        <v>17311.93</v>
      </c>
      <c r="BA128" s="0" t="s">
        <v>2767</v>
      </c>
      <c r="BB128" s="0" t="s">
        <v>2768</v>
      </c>
      <c r="BC128" s="0" t="s">
        <v>2761</v>
      </c>
      <c r="BD128" s="0" t="s">
        <v>2762</v>
      </c>
      <c r="BE128" s="0" t="s">
        <v>2762</v>
      </c>
      <c r="BF128" s="0" t="n">
        <v>799949</v>
      </c>
      <c r="BG128" s="145" t="n">
        <v>43890.357037037</v>
      </c>
      <c r="BH128" s="0" t="s">
        <v>2769</v>
      </c>
      <c r="BI128" s="0" t="n">
        <v>342010</v>
      </c>
      <c r="BJ128" s="0" t="s">
        <v>2770</v>
      </c>
      <c r="BK128" s="0" t="n">
        <v>1</v>
      </c>
      <c r="BL128" s="0" t="s">
        <v>2781</v>
      </c>
      <c r="BM128" s="145" t="n">
        <v>43858.6422569445</v>
      </c>
    </row>
    <row r="129" customFormat="false" ht="14.4" hidden="false" customHeight="false" outlineLevel="0" collapsed="false">
      <c r="L129" s="0" t="n">
        <f aca="false">SUM(L95:L128)</f>
        <v>-5296374.91</v>
      </c>
    </row>
    <row r="131" customFormat="false" ht="14.4" hidden="false" customHeight="false" outlineLevel="0" collapsed="false">
      <c r="L131" s="147" t="n">
        <f aca="false">L129+L91</f>
        <v>70612.8399999999</v>
      </c>
    </row>
    <row r="133" customFormat="false" ht="14.4" hidden="false" customHeight="false" outlineLevel="0" collapsed="false">
      <c r="B133" s="0" t="s">
        <v>93</v>
      </c>
      <c r="C133" s="0" t="s">
        <v>94</v>
      </c>
      <c r="D133" s="0" t="s">
        <v>95</v>
      </c>
      <c r="E133" s="0" t="s">
        <v>96</v>
      </c>
      <c r="F133" s="0" t="s">
        <v>97</v>
      </c>
      <c r="G133" s="0" t="s">
        <v>2742</v>
      </c>
      <c r="H133" s="0" t="s">
        <v>98</v>
      </c>
      <c r="I133" s="0" t="s">
        <v>99</v>
      </c>
      <c r="J133" s="0" t="s">
        <v>1954</v>
      </c>
      <c r="K133" s="0" t="s">
        <v>101</v>
      </c>
      <c r="L133" s="0" t="s">
        <v>102</v>
      </c>
      <c r="M133" s="0" t="s">
        <v>104</v>
      </c>
      <c r="N133" s="0" t="s">
        <v>105</v>
      </c>
      <c r="O133" s="0" t="s">
        <v>106</v>
      </c>
      <c r="P133" s="0" t="s">
        <v>107</v>
      </c>
      <c r="Q133" s="0" t="s">
        <v>108</v>
      </c>
      <c r="R133" s="0" t="s">
        <v>109</v>
      </c>
      <c r="S133" s="0" t="s">
        <v>110</v>
      </c>
      <c r="T133" s="0" t="s">
        <v>111</v>
      </c>
      <c r="U133" s="0" t="s">
        <v>1955</v>
      </c>
      <c r="V133" s="0" t="s">
        <v>1956</v>
      </c>
      <c r="W133" s="0" t="s">
        <v>114</v>
      </c>
      <c r="X133" s="0" t="s">
        <v>2743</v>
      </c>
      <c r="Y133" s="0" t="s">
        <v>116</v>
      </c>
      <c r="Z133" s="0" t="s">
        <v>1959</v>
      </c>
      <c r="AA133" s="0" t="s">
        <v>118</v>
      </c>
      <c r="AB133" s="0" t="s">
        <v>119</v>
      </c>
      <c r="AC133" s="0" t="s">
        <v>120</v>
      </c>
      <c r="AD133" s="0" t="s">
        <v>121</v>
      </c>
      <c r="AE133" s="0" t="s">
        <v>122</v>
      </c>
      <c r="AF133" s="0" t="s">
        <v>123</v>
      </c>
      <c r="AG133" s="0" t="s">
        <v>124</v>
      </c>
      <c r="AH133" s="0" t="s">
        <v>125</v>
      </c>
      <c r="AI133" s="0" t="s">
        <v>126</v>
      </c>
      <c r="AJ133" s="0" t="s">
        <v>127</v>
      </c>
      <c r="AK133" s="0" t="s">
        <v>128</v>
      </c>
      <c r="AL133" s="0" t="s">
        <v>129</v>
      </c>
      <c r="AM133" s="0" t="s">
        <v>1960</v>
      </c>
      <c r="AN133" s="0" t="s">
        <v>1961</v>
      </c>
      <c r="AO133" s="0" t="s">
        <v>132</v>
      </c>
      <c r="AP133" s="0" t="s">
        <v>133</v>
      </c>
      <c r="AQ133" s="0" t="s">
        <v>134</v>
      </c>
      <c r="AR133" s="0" t="s">
        <v>135</v>
      </c>
      <c r="AS133" s="0" t="s">
        <v>136</v>
      </c>
      <c r="AT133" s="0" t="s">
        <v>137</v>
      </c>
      <c r="AU133" s="0" t="s">
        <v>138</v>
      </c>
      <c r="AV133" s="0" t="s">
        <v>139</v>
      </c>
      <c r="AW133" s="0" t="s">
        <v>140</v>
      </c>
      <c r="AX133" s="0" t="s">
        <v>141</v>
      </c>
      <c r="AY133" s="0" t="s">
        <v>2744</v>
      </c>
      <c r="AZ133" s="0" t="s">
        <v>2745</v>
      </c>
      <c r="BA133" s="0" t="s">
        <v>2746</v>
      </c>
      <c r="BB133" s="0" t="s">
        <v>2747</v>
      </c>
      <c r="BC133" s="0" t="s">
        <v>2748</v>
      </c>
      <c r="BD133" s="0" t="s">
        <v>2749</v>
      </c>
      <c r="BE133" s="0" t="s">
        <v>2750</v>
      </c>
      <c r="BF133" s="0" t="s">
        <v>2751</v>
      </c>
      <c r="BG133" s="0" t="s">
        <v>2752</v>
      </c>
      <c r="BH133" s="0" t="s">
        <v>2753</v>
      </c>
      <c r="BI133" s="0" t="s">
        <v>2754</v>
      </c>
      <c r="BJ133" s="0" t="s">
        <v>2755</v>
      </c>
      <c r="BK133" s="0" t="s">
        <v>2756</v>
      </c>
      <c r="BL133" s="0" t="s">
        <v>2757</v>
      </c>
      <c r="BM133" s="0" t="s">
        <v>2758</v>
      </c>
    </row>
    <row r="134" customFormat="false" ht="14.4" hidden="false" customHeight="false" outlineLevel="0" collapsed="false">
      <c r="B134" s="0" t="s">
        <v>1962</v>
      </c>
      <c r="C134" s="0" t="n">
        <v>110555</v>
      </c>
      <c r="D134" s="0" t="s">
        <v>1162</v>
      </c>
      <c r="E134" s="0" t="s">
        <v>1970</v>
      </c>
      <c r="F134" s="0" t="n">
        <v>1109</v>
      </c>
      <c r="G134" s="0" t="n">
        <v>90144538</v>
      </c>
      <c r="H134" s="0" t="n">
        <v>2019</v>
      </c>
      <c r="I134" s="0" t="n">
        <v>9</v>
      </c>
      <c r="J134" s="145" t="n">
        <v>43824</v>
      </c>
      <c r="K134" s="145" t="n">
        <v>43824</v>
      </c>
      <c r="L134" s="105" t="n">
        <v>3370991.8</v>
      </c>
      <c r="M134" s="0" t="s">
        <v>149</v>
      </c>
      <c r="N134" s="105" t="n">
        <v>3370991.8</v>
      </c>
      <c r="O134" s="0" t="s">
        <v>149</v>
      </c>
      <c r="P134" s="0" t="n">
        <v>0</v>
      </c>
      <c r="Q134" s="105" t="n">
        <v>514219.08</v>
      </c>
      <c r="R134" s="105" t="n">
        <v>2856772.72</v>
      </c>
      <c r="S134" s="0" t="n">
        <v>0</v>
      </c>
      <c r="T134" s="0" t="n">
        <v>0</v>
      </c>
      <c r="U134" s="0" t="n">
        <v>311155</v>
      </c>
      <c r="V134" s="0" t="s">
        <v>2022</v>
      </c>
      <c r="Z134" s="0" t="n">
        <v>62745</v>
      </c>
      <c r="AB134" s="0" t="s">
        <v>2423</v>
      </c>
      <c r="AD134" s="0" t="n">
        <v>110000</v>
      </c>
      <c r="AE134" s="0" t="s">
        <v>1966</v>
      </c>
      <c r="AF134" s="0" t="n">
        <v>501005</v>
      </c>
      <c r="AG134" s="0" t="s">
        <v>2033</v>
      </c>
      <c r="AI134" s="0" t="n">
        <v>501005</v>
      </c>
      <c r="AJ134" s="0" t="s">
        <v>2033</v>
      </c>
      <c r="AK134" s="0" t="n">
        <v>0</v>
      </c>
      <c r="AL134" s="0" t="n">
        <v>1</v>
      </c>
      <c r="AM134" s="0" t="s">
        <v>161</v>
      </c>
      <c r="AP134" s="0" t="n">
        <v>100197095</v>
      </c>
      <c r="AQ134" s="145" t="n">
        <v>43827</v>
      </c>
      <c r="AR134" s="145" t="n">
        <v>43824</v>
      </c>
      <c r="AS134" s="146" t="n">
        <v>0.583194444444444</v>
      </c>
      <c r="AT134" s="0" t="n">
        <v>0</v>
      </c>
      <c r="AU134" s="0" t="n">
        <v>0</v>
      </c>
      <c r="AX134" s="0" t="n">
        <v>1</v>
      </c>
      <c r="AY134" s="105" t="n">
        <v>-3370991.8</v>
      </c>
      <c r="AZ134" s="105" t="n">
        <v>-3370991.8</v>
      </c>
      <c r="BA134" s="0" t="s">
        <v>2759</v>
      </c>
      <c r="BB134" s="0" t="s">
        <v>2760</v>
      </c>
      <c r="BC134" s="0" t="s">
        <v>2761</v>
      </c>
      <c r="BD134" s="0" t="s">
        <v>2762</v>
      </c>
      <c r="BE134" s="0" t="s">
        <v>2762</v>
      </c>
      <c r="BF134" s="0" t="n">
        <v>845728</v>
      </c>
      <c r="BG134" s="145" t="n">
        <v>43897.0052893519</v>
      </c>
      <c r="BH134" s="0" t="s">
        <v>2763</v>
      </c>
      <c r="BI134" s="0" t="n">
        <v>438737</v>
      </c>
      <c r="BJ134" s="0" t="s">
        <v>2764</v>
      </c>
      <c r="BK134" s="0" t="n">
        <v>1</v>
      </c>
      <c r="BL134" s="0" t="s">
        <v>2765</v>
      </c>
      <c r="BM134" s="145" t="n">
        <v>43867.9434259259</v>
      </c>
    </row>
    <row r="135" customFormat="false" ht="14.4" hidden="false" customHeight="false" outlineLevel="0" collapsed="false">
      <c r="L135" s="147" t="n">
        <f aca="false">SUM(L134)</f>
        <v>3370991.8</v>
      </c>
    </row>
    <row r="136" customFormat="false" ht="14.4" hidden="false" customHeight="false" outlineLevel="0" collapsed="false">
      <c r="L136" s="105"/>
    </row>
    <row r="137" customFormat="false" ht="14.4" hidden="false" customHeight="false" outlineLevel="0" collapsed="false">
      <c r="B137" s="0" t="s">
        <v>93</v>
      </c>
      <c r="C137" s="0" t="s">
        <v>94</v>
      </c>
      <c r="D137" s="0" t="s">
        <v>95</v>
      </c>
      <c r="E137" s="0" t="s">
        <v>96</v>
      </c>
      <c r="F137" s="0" t="s">
        <v>97</v>
      </c>
      <c r="G137" s="0" t="s">
        <v>2742</v>
      </c>
      <c r="H137" s="0" t="s">
        <v>98</v>
      </c>
      <c r="I137" s="0" t="s">
        <v>99</v>
      </c>
      <c r="J137" s="0" t="s">
        <v>1954</v>
      </c>
      <c r="K137" s="0" t="s">
        <v>101</v>
      </c>
      <c r="L137" s="0" t="s">
        <v>102</v>
      </c>
      <c r="M137" s="0" t="s">
        <v>104</v>
      </c>
      <c r="N137" s="0" t="s">
        <v>105</v>
      </c>
      <c r="O137" s="0" t="s">
        <v>106</v>
      </c>
      <c r="P137" s="0" t="s">
        <v>107</v>
      </c>
      <c r="Q137" s="0" t="s">
        <v>108</v>
      </c>
      <c r="R137" s="0" t="s">
        <v>109</v>
      </c>
      <c r="S137" s="0" t="s">
        <v>110</v>
      </c>
      <c r="T137" s="0" t="s">
        <v>111</v>
      </c>
      <c r="U137" s="0" t="s">
        <v>1955</v>
      </c>
      <c r="V137" s="0" t="s">
        <v>1956</v>
      </c>
      <c r="W137" s="0" t="s">
        <v>114</v>
      </c>
      <c r="X137" s="0" t="s">
        <v>2743</v>
      </c>
      <c r="Y137" s="0" t="s">
        <v>116</v>
      </c>
      <c r="Z137" s="0" t="s">
        <v>1959</v>
      </c>
      <c r="AA137" s="0" t="s">
        <v>118</v>
      </c>
      <c r="AB137" s="0" t="s">
        <v>119</v>
      </c>
      <c r="AC137" s="0" t="s">
        <v>120</v>
      </c>
      <c r="AD137" s="0" t="s">
        <v>121</v>
      </c>
      <c r="AE137" s="0" t="s">
        <v>122</v>
      </c>
      <c r="AF137" s="0" t="s">
        <v>123</v>
      </c>
      <c r="AG137" s="0" t="s">
        <v>124</v>
      </c>
      <c r="AH137" s="0" t="s">
        <v>125</v>
      </c>
      <c r="AI137" s="0" t="s">
        <v>126</v>
      </c>
      <c r="AJ137" s="0" t="s">
        <v>127</v>
      </c>
      <c r="AK137" s="0" t="s">
        <v>128</v>
      </c>
      <c r="AL137" s="0" t="s">
        <v>129</v>
      </c>
      <c r="AM137" s="0" t="s">
        <v>1960</v>
      </c>
      <c r="AN137" s="0" t="s">
        <v>1961</v>
      </c>
      <c r="AO137" s="0" t="s">
        <v>132</v>
      </c>
      <c r="AP137" s="0" t="s">
        <v>133</v>
      </c>
      <c r="AQ137" s="0" t="s">
        <v>134</v>
      </c>
      <c r="AR137" s="0" t="s">
        <v>135</v>
      </c>
      <c r="AS137" s="0" t="s">
        <v>136</v>
      </c>
      <c r="AT137" s="0" t="s">
        <v>137</v>
      </c>
      <c r="AU137" s="0" t="s">
        <v>138</v>
      </c>
      <c r="AV137" s="0" t="s">
        <v>139</v>
      </c>
      <c r="AW137" s="0" t="s">
        <v>140</v>
      </c>
      <c r="AX137" s="0" t="s">
        <v>141</v>
      </c>
      <c r="AY137" s="0" t="s">
        <v>2744</v>
      </c>
      <c r="AZ137" s="0" t="s">
        <v>2745</v>
      </c>
      <c r="BA137" s="0" t="s">
        <v>2746</v>
      </c>
      <c r="BB137" s="0" t="s">
        <v>2747</v>
      </c>
      <c r="BC137" s="0" t="s">
        <v>2748</v>
      </c>
      <c r="BD137" s="0" t="s">
        <v>2749</v>
      </c>
      <c r="BE137" s="0" t="s">
        <v>2750</v>
      </c>
      <c r="BF137" s="0" t="s">
        <v>2751</v>
      </c>
      <c r="BG137" s="0" t="s">
        <v>2752</v>
      </c>
      <c r="BH137" s="0" t="s">
        <v>2753</v>
      </c>
      <c r="BI137" s="0" t="s">
        <v>2754</v>
      </c>
      <c r="BJ137" s="0" t="s">
        <v>2755</v>
      </c>
      <c r="BK137" s="0" t="s">
        <v>2756</v>
      </c>
      <c r="BL137" s="0" t="s">
        <v>2757</v>
      </c>
      <c r="BM137" s="0" t="s">
        <v>2758</v>
      </c>
    </row>
    <row r="138" customFormat="false" ht="14.4" hidden="false" customHeight="false" outlineLevel="0" collapsed="false">
      <c r="B138" s="0" t="s">
        <v>143</v>
      </c>
      <c r="C138" s="0" t="n">
        <v>51590710</v>
      </c>
      <c r="D138" s="0" t="s">
        <v>1162</v>
      </c>
      <c r="E138" s="0" t="s">
        <v>725</v>
      </c>
      <c r="F138" s="0" t="n">
        <v>9000</v>
      </c>
      <c r="G138" s="0" t="s">
        <v>2790</v>
      </c>
      <c r="H138" s="0" t="n">
        <v>2020</v>
      </c>
      <c r="I138" s="0" t="n">
        <v>10</v>
      </c>
      <c r="J138" s="145" t="n">
        <v>43824</v>
      </c>
      <c r="K138" s="145" t="n">
        <v>43838</v>
      </c>
      <c r="L138" s="105" t="n">
        <v>-3328862.6</v>
      </c>
      <c r="M138" s="0" t="s">
        <v>149</v>
      </c>
      <c r="N138" s="105" t="n">
        <v>-3328862.6</v>
      </c>
      <c r="O138" s="0" t="s">
        <v>149</v>
      </c>
      <c r="P138" s="105" t="n">
        <v>-3328862.6</v>
      </c>
      <c r="Q138" s="0" t="n">
        <v>0</v>
      </c>
      <c r="R138" s="105" t="n">
        <v>-3328862.6</v>
      </c>
      <c r="S138" s="0" t="n">
        <v>0</v>
      </c>
      <c r="T138" s="0" t="n">
        <v>0</v>
      </c>
      <c r="U138" s="0" t="s">
        <v>150</v>
      </c>
      <c r="V138" s="0" t="s">
        <v>151</v>
      </c>
      <c r="X138" s="0" t="s">
        <v>1163</v>
      </c>
      <c r="Y138" s="0" t="n">
        <v>4405362754</v>
      </c>
      <c r="Z138" s="0" t="n">
        <v>51590710</v>
      </c>
      <c r="AB138" s="0" t="n">
        <v>4405362754</v>
      </c>
      <c r="AD138" s="0" t="n">
        <v>2408402</v>
      </c>
      <c r="AE138" s="0" t="s">
        <v>156</v>
      </c>
      <c r="AF138" s="0" t="n">
        <v>2408409</v>
      </c>
      <c r="AG138" s="0" t="s">
        <v>738</v>
      </c>
      <c r="AH138" s="0" t="n">
        <v>1200006</v>
      </c>
      <c r="AI138" s="0" t="n">
        <v>1200006</v>
      </c>
      <c r="AJ138" s="0" t="s">
        <v>2780</v>
      </c>
      <c r="AK138" s="0" t="n">
        <v>0</v>
      </c>
      <c r="AL138" s="0" t="n">
        <v>31</v>
      </c>
      <c r="AM138" s="0" t="s">
        <v>225</v>
      </c>
      <c r="AP138" s="0" t="n">
        <v>45235322</v>
      </c>
      <c r="AQ138" s="145" t="n">
        <v>43867</v>
      </c>
      <c r="AR138" s="145" t="n">
        <v>43838</v>
      </c>
      <c r="AS138" s="146" t="n">
        <v>0.528136574074074</v>
      </c>
      <c r="AT138" s="0" t="n">
        <v>0</v>
      </c>
      <c r="AU138" s="105" t="n">
        <v>-3328862.6</v>
      </c>
      <c r="AX138" s="0" t="n">
        <v>1</v>
      </c>
      <c r="AY138" s="105" t="n">
        <v>3328862.6</v>
      </c>
      <c r="AZ138" s="105" t="n">
        <v>3328862.6</v>
      </c>
      <c r="BA138" s="0" t="s">
        <v>2767</v>
      </c>
      <c r="BB138" s="0" t="s">
        <v>2768</v>
      </c>
      <c r="BC138" s="0" t="s">
        <v>2761</v>
      </c>
      <c r="BD138" s="0" t="s">
        <v>2762</v>
      </c>
      <c r="BE138" s="0" t="s">
        <v>2762</v>
      </c>
      <c r="BF138" s="0" t="n">
        <v>845728</v>
      </c>
      <c r="BG138" s="145" t="n">
        <v>43897.0052893519</v>
      </c>
      <c r="BH138" s="0" t="s">
        <v>2769</v>
      </c>
      <c r="BI138" s="0" t="n">
        <v>448533</v>
      </c>
      <c r="BJ138" s="0" t="s">
        <v>2770</v>
      </c>
      <c r="BK138" s="0" t="n">
        <v>1</v>
      </c>
      <c r="BL138" s="0" t="s">
        <v>2791</v>
      </c>
      <c r="BM138" s="145" t="n">
        <v>43893.4301851852</v>
      </c>
    </row>
    <row r="139" customFormat="false" ht="14.4" hidden="false" customHeight="false" outlineLevel="0" collapsed="false">
      <c r="L139" s="147" t="n">
        <f aca="false">SUM(L138)</f>
        <v>-3328862.6</v>
      </c>
    </row>
    <row r="141" customFormat="false" ht="14.4" hidden="false" customHeight="false" outlineLevel="0" collapsed="false">
      <c r="L141" s="147" t="n">
        <f aca="false">L139+L135</f>
        <v>42129.1999999997</v>
      </c>
    </row>
    <row r="144" customFormat="false" ht="14.4" hidden="false" customHeight="false" outlineLevel="0" collapsed="false">
      <c r="A144" s="0" t="s">
        <v>92</v>
      </c>
      <c r="B144" s="0" t="s">
        <v>93</v>
      </c>
      <c r="C144" s="0" t="s">
        <v>94</v>
      </c>
      <c r="D144" s="0" t="s">
        <v>95</v>
      </c>
      <c r="E144" s="0" t="s">
        <v>96</v>
      </c>
      <c r="F144" s="0" t="s">
        <v>97</v>
      </c>
      <c r="G144" s="0" t="s">
        <v>2742</v>
      </c>
      <c r="H144" s="0" t="s">
        <v>98</v>
      </c>
      <c r="I144" s="0" t="s">
        <v>99</v>
      </c>
      <c r="J144" s="0" t="s">
        <v>1954</v>
      </c>
      <c r="K144" s="0" t="s">
        <v>101</v>
      </c>
      <c r="L144" s="0" t="s">
        <v>102</v>
      </c>
      <c r="M144" s="0" t="s">
        <v>104</v>
      </c>
      <c r="N144" s="0" t="s">
        <v>105</v>
      </c>
      <c r="O144" s="0" t="s">
        <v>106</v>
      </c>
      <c r="P144" s="0" t="s">
        <v>107</v>
      </c>
      <c r="Q144" s="0" t="s">
        <v>108</v>
      </c>
      <c r="R144" s="0" t="s">
        <v>109</v>
      </c>
      <c r="S144" s="0" t="s">
        <v>110</v>
      </c>
      <c r="T144" s="0" t="s">
        <v>111</v>
      </c>
      <c r="U144" s="0" t="s">
        <v>1955</v>
      </c>
      <c r="V144" s="0" t="s">
        <v>1956</v>
      </c>
      <c r="W144" s="0" t="s">
        <v>114</v>
      </c>
      <c r="X144" s="0" t="s">
        <v>2743</v>
      </c>
      <c r="Y144" s="0" t="s">
        <v>116</v>
      </c>
      <c r="Z144" s="0" t="s">
        <v>1959</v>
      </c>
      <c r="AA144" s="0" t="s">
        <v>118</v>
      </c>
      <c r="AB144" s="0" t="s">
        <v>119</v>
      </c>
      <c r="AC144" s="0" t="s">
        <v>120</v>
      </c>
      <c r="AD144" s="0" t="s">
        <v>121</v>
      </c>
      <c r="AE144" s="0" t="s">
        <v>122</v>
      </c>
      <c r="AF144" s="0" t="s">
        <v>123</v>
      </c>
      <c r="AG144" s="0" t="s">
        <v>124</v>
      </c>
      <c r="AH144" s="0" t="s">
        <v>125</v>
      </c>
      <c r="AI144" s="0" t="s">
        <v>126</v>
      </c>
      <c r="AJ144" s="0" t="s">
        <v>127</v>
      </c>
      <c r="AK144" s="0" t="s">
        <v>128</v>
      </c>
      <c r="AL144" s="0" t="s">
        <v>129</v>
      </c>
      <c r="AM144" s="0" t="s">
        <v>1960</v>
      </c>
      <c r="AN144" s="0" t="s">
        <v>1961</v>
      </c>
      <c r="AO144" s="0" t="s">
        <v>132</v>
      </c>
      <c r="AP144" s="0" t="s">
        <v>133</v>
      </c>
      <c r="AQ144" s="0" t="s">
        <v>134</v>
      </c>
      <c r="AR144" s="0" t="s">
        <v>135</v>
      </c>
      <c r="AS144" s="0" t="s">
        <v>136</v>
      </c>
      <c r="AT144" s="0" t="s">
        <v>137</v>
      </c>
      <c r="AU144" s="0" t="s">
        <v>138</v>
      </c>
      <c r="AV144" s="0" t="s">
        <v>139</v>
      </c>
      <c r="AW144" s="0" t="s">
        <v>140</v>
      </c>
      <c r="AX144" s="0" t="s">
        <v>141</v>
      </c>
      <c r="AY144" s="0" t="s">
        <v>2744</v>
      </c>
      <c r="AZ144" s="0" t="s">
        <v>2745</v>
      </c>
      <c r="BA144" s="0" t="s">
        <v>2746</v>
      </c>
      <c r="BB144" s="0" t="s">
        <v>2747</v>
      </c>
      <c r="BC144" s="0" t="s">
        <v>2748</v>
      </c>
      <c r="BD144" s="0" t="s">
        <v>2749</v>
      </c>
      <c r="BE144" s="0" t="s">
        <v>2750</v>
      </c>
      <c r="BF144" s="0" t="s">
        <v>2751</v>
      </c>
      <c r="BG144" s="0" t="s">
        <v>2752</v>
      </c>
      <c r="BH144" s="0" t="s">
        <v>2753</v>
      </c>
      <c r="BI144" s="0" t="s">
        <v>2754</v>
      </c>
      <c r="BJ144" s="0" t="s">
        <v>2755</v>
      </c>
      <c r="BK144" s="0" t="s">
        <v>2756</v>
      </c>
      <c r="BL144" s="0" t="s">
        <v>2757</v>
      </c>
      <c r="BM144" s="0" t="s">
        <v>2758</v>
      </c>
    </row>
    <row r="145" customFormat="false" ht="14.4" hidden="false" customHeight="false" outlineLevel="0" collapsed="false">
      <c r="A145" s="0" t="n">
        <v>1000</v>
      </c>
      <c r="B145" s="0" t="s">
        <v>1962</v>
      </c>
      <c r="C145" s="0" t="n">
        <v>110220</v>
      </c>
      <c r="D145" s="0" t="s">
        <v>1234</v>
      </c>
      <c r="E145" s="0" t="s">
        <v>1970</v>
      </c>
      <c r="F145" s="0" t="n">
        <v>1109</v>
      </c>
      <c r="G145" s="0" t="n">
        <v>90144199</v>
      </c>
      <c r="H145" s="0" t="n">
        <v>2019</v>
      </c>
      <c r="I145" s="0" t="n">
        <v>9</v>
      </c>
      <c r="J145" s="145" t="n">
        <v>43816</v>
      </c>
      <c r="K145" s="145" t="n">
        <v>43816</v>
      </c>
      <c r="L145" s="105" t="n">
        <v>1102632.68</v>
      </c>
      <c r="M145" s="0" t="s">
        <v>149</v>
      </c>
      <c r="N145" s="105" t="n">
        <v>1102632.68</v>
      </c>
      <c r="O145" s="0" t="s">
        <v>149</v>
      </c>
      <c r="P145" s="0" t="n">
        <v>0</v>
      </c>
      <c r="Q145" s="105" t="n">
        <v>168198.2</v>
      </c>
      <c r="R145" s="105" t="n">
        <v>934434.48</v>
      </c>
      <c r="S145" s="0" t="n">
        <v>0</v>
      </c>
      <c r="T145" s="0" t="n">
        <v>0</v>
      </c>
      <c r="U145" s="0" t="n">
        <v>311155</v>
      </c>
      <c r="V145" s="0" t="s">
        <v>2022</v>
      </c>
      <c r="Z145" s="0" t="n">
        <v>62562</v>
      </c>
      <c r="AB145" s="0" t="s">
        <v>2422</v>
      </c>
      <c r="AD145" s="0" t="n">
        <v>110000</v>
      </c>
      <c r="AE145" s="0" t="s">
        <v>1966</v>
      </c>
      <c r="AF145" s="0" t="n">
        <v>501005</v>
      </c>
      <c r="AG145" s="0" t="s">
        <v>2033</v>
      </c>
      <c r="AI145" s="0" t="n">
        <v>501005</v>
      </c>
      <c r="AJ145" s="0" t="s">
        <v>2033</v>
      </c>
      <c r="AK145" s="0" t="n">
        <v>0</v>
      </c>
      <c r="AL145" s="0" t="n">
        <v>1</v>
      </c>
      <c r="AM145" s="0" t="s">
        <v>161</v>
      </c>
      <c r="AP145" s="0" t="n">
        <v>100190616</v>
      </c>
      <c r="AQ145" s="145" t="n">
        <v>43819</v>
      </c>
      <c r="AR145" s="145" t="n">
        <v>43816</v>
      </c>
      <c r="AS145" s="146" t="n">
        <v>0.415729166666667</v>
      </c>
      <c r="AT145" s="0" t="n">
        <v>0</v>
      </c>
      <c r="AU145" s="0" t="n">
        <v>0</v>
      </c>
      <c r="AX145" s="0" t="n">
        <v>1</v>
      </c>
      <c r="AY145" s="105" t="n">
        <v>-1102632.68</v>
      </c>
      <c r="AZ145" s="105" t="n">
        <v>-1102632.68</v>
      </c>
      <c r="BA145" s="0" t="s">
        <v>2759</v>
      </c>
      <c r="BB145" s="0" t="s">
        <v>2760</v>
      </c>
      <c r="BC145" s="0" t="s">
        <v>2761</v>
      </c>
      <c r="BD145" s="0" t="s">
        <v>2762</v>
      </c>
      <c r="BE145" s="0" t="s">
        <v>2762</v>
      </c>
      <c r="BF145" s="0" t="n">
        <v>843549</v>
      </c>
      <c r="BG145" s="145" t="n">
        <v>43896.1359606482</v>
      </c>
      <c r="BH145" s="0" t="s">
        <v>2763</v>
      </c>
      <c r="BI145" s="0" t="n">
        <v>438762</v>
      </c>
      <c r="BJ145" s="0" t="s">
        <v>2764</v>
      </c>
      <c r="BK145" s="0" t="n">
        <v>1</v>
      </c>
      <c r="BL145" s="0" t="s">
        <v>2765</v>
      </c>
      <c r="BM145" s="145" t="n">
        <v>43867.9434259259</v>
      </c>
    </row>
    <row r="146" customFormat="false" ht="14.4" hidden="false" customHeight="false" outlineLevel="0" collapsed="false">
      <c r="A146" s="0" t="n">
        <v>1000</v>
      </c>
      <c r="B146" s="0" t="s">
        <v>1962</v>
      </c>
      <c r="C146" s="0" t="n">
        <v>111420</v>
      </c>
      <c r="D146" s="0" t="s">
        <v>1278</v>
      </c>
      <c r="E146" s="0" t="s">
        <v>1970</v>
      </c>
      <c r="F146" s="0" t="n">
        <v>1109</v>
      </c>
      <c r="G146" s="0" t="n">
        <v>90145361</v>
      </c>
      <c r="H146" s="0" t="n">
        <v>2019</v>
      </c>
      <c r="I146" s="0" t="n">
        <v>10</v>
      </c>
      <c r="J146" s="145" t="n">
        <v>43844</v>
      </c>
      <c r="K146" s="145" t="n">
        <v>43844</v>
      </c>
      <c r="L146" s="105" t="n">
        <v>2925134.33</v>
      </c>
      <c r="M146" s="0" t="s">
        <v>149</v>
      </c>
      <c r="N146" s="105" t="n">
        <v>2925134.33</v>
      </c>
      <c r="O146" s="0" t="s">
        <v>149</v>
      </c>
      <c r="P146" s="0" t="n">
        <v>0</v>
      </c>
      <c r="Q146" s="105" t="n">
        <v>446206.94</v>
      </c>
      <c r="R146" s="105" t="n">
        <v>2478927.39</v>
      </c>
      <c r="S146" s="0" t="n">
        <v>0</v>
      </c>
      <c r="T146" s="0" t="n">
        <v>0</v>
      </c>
      <c r="U146" s="0" t="n">
        <v>311155</v>
      </c>
      <c r="V146" s="0" t="s">
        <v>2022</v>
      </c>
      <c r="Z146" s="0" t="n">
        <v>63060</v>
      </c>
      <c r="AB146" s="0" t="s">
        <v>2431</v>
      </c>
      <c r="AD146" s="0" t="n">
        <v>110000</v>
      </c>
      <c r="AE146" s="0" t="s">
        <v>1966</v>
      </c>
      <c r="AF146" s="0" t="n">
        <v>501005</v>
      </c>
      <c r="AG146" s="0" t="s">
        <v>2033</v>
      </c>
      <c r="AI146" s="0" t="n">
        <v>501005</v>
      </c>
      <c r="AJ146" s="0" t="s">
        <v>2033</v>
      </c>
      <c r="AK146" s="0" t="n">
        <v>0</v>
      </c>
      <c r="AL146" s="0" t="n">
        <v>1</v>
      </c>
      <c r="AM146" s="0" t="s">
        <v>161</v>
      </c>
      <c r="AP146" s="0" t="n">
        <v>100229130</v>
      </c>
      <c r="AQ146" s="145" t="n">
        <v>43856</v>
      </c>
      <c r="AR146" s="145" t="n">
        <v>43844</v>
      </c>
      <c r="AS146" s="146" t="n">
        <v>0.751111111111111</v>
      </c>
      <c r="AT146" s="0" t="n">
        <v>0</v>
      </c>
      <c r="AU146" s="0" t="n">
        <v>0</v>
      </c>
      <c r="AX146" s="0" t="n">
        <v>1</v>
      </c>
      <c r="AY146" s="105" t="n">
        <v>-2925134.33</v>
      </c>
      <c r="AZ146" s="105" t="n">
        <v>-2925134.33</v>
      </c>
      <c r="BA146" s="0" t="s">
        <v>2759</v>
      </c>
      <c r="BB146" s="0" t="s">
        <v>2760</v>
      </c>
      <c r="BC146" s="0" t="s">
        <v>2761</v>
      </c>
      <c r="BD146" s="0" t="s">
        <v>2762</v>
      </c>
      <c r="BE146" s="0" t="s">
        <v>2762</v>
      </c>
      <c r="BF146" s="0" t="n">
        <v>843515</v>
      </c>
      <c r="BG146" s="145" t="n">
        <v>43895.9171296296</v>
      </c>
      <c r="BH146" s="0" t="s">
        <v>2763</v>
      </c>
      <c r="BI146" s="0" t="n">
        <v>468696</v>
      </c>
      <c r="BJ146" s="0" t="s">
        <v>2764</v>
      </c>
      <c r="BK146" s="0" t="n">
        <v>1</v>
      </c>
      <c r="BL146" s="0" t="s">
        <v>2792</v>
      </c>
      <c r="BM146" s="145" t="n">
        <v>43890.0736458333</v>
      </c>
    </row>
    <row r="147" customFormat="false" ht="14.4" hidden="false" customHeight="false" outlineLevel="0" collapsed="false">
      <c r="L147" s="147" t="n">
        <f aca="false">SUM(L145:L146)</f>
        <v>4027767.01</v>
      </c>
    </row>
    <row r="150" customFormat="false" ht="14.4" hidden="false" customHeight="false" outlineLevel="0" collapsed="false">
      <c r="A150" s="0" t="s">
        <v>92</v>
      </c>
      <c r="B150" s="0" t="s">
        <v>93</v>
      </c>
      <c r="C150" s="0" t="s">
        <v>94</v>
      </c>
      <c r="D150" s="0" t="s">
        <v>95</v>
      </c>
      <c r="E150" s="0" t="s">
        <v>96</v>
      </c>
      <c r="F150" s="0" t="s">
        <v>97</v>
      </c>
      <c r="G150" s="0" t="s">
        <v>2742</v>
      </c>
      <c r="H150" s="0" t="s">
        <v>98</v>
      </c>
      <c r="I150" s="0" t="s">
        <v>99</v>
      </c>
      <c r="J150" s="0" t="s">
        <v>1954</v>
      </c>
      <c r="K150" s="0" t="s">
        <v>101</v>
      </c>
      <c r="L150" s="0" t="s">
        <v>102</v>
      </c>
      <c r="M150" s="0" t="s">
        <v>104</v>
      </c>
      <c r="N150" s="0" t="s">
        <v>105</v>
      </c>
      <c r="O150" s="0" t="s">
        <v>106</v>
      </c>
      <c r="P150" s="0" t="s">
        <v>107</v>
      </c>
      <c r="Q150" s="0" t="s">
        <v>108</v>
      </c>
      <c r="R150" s="0" t="s">
        <v>109</v>
      </c>
      <c r="S150" s="0" t="s">
        <v>110</v>
      </c>
      <c r="T150" s="0" t="s">
        <v>111</v>
      </c>
      <c r="U150" s="0" t="s">
        <v>1955</v>
      </c>
      <c r="V150" s="0" t="s">
        <v>1956</v>
      </c>
      <c r="W150" s="0" t="s">
        <v>114</v>
      </c>
      <c r="X150" s="0" t="s">
        <v>2743</v>
      </c>
      <c r="Y150" s="0" t="s">
        <v>116</v>
      </c>
      <c r="Z150" s="0" t="s">
        <v>1959</v>
      </c>
      <c r="AA150" s="0" t="s">
        <v>118</v>
      </c>
      <c r="AB150" s="0" t="s">
        <v>119</v>
      </c>
      <c r="AC150" s="0" t="s">
        <v>120</v>
      </c>
      <c r="AD150" s="0" t="s">
        <v>121</v>
      </c>
      <c r="AE150" s="0" t="s">
        <v>122</v>
      </c>
      <c r="AF150" s="0" t="s">
        <v>123</v>
      </c>
      <c r="AG150" s="0" t="s">
        <v>124</v>
      </c>
      <c r="AH150" s="0" t="s">
        <v>125</v>
      </c>
      <c r="AI150" s="0" t="s">
        <v>126</v>
      </c>
      <c r="AJ150" s="0" t="s">
        <v>127</v>
      </c>
      <c r="AK150" s="0" t="s">
        <v>128</v>
      </c>
      <c r="AL150" s="0" t="s">
        <v>129</v>
      </c>
      <c r="AM150" s="0" t="s">
        <v>1960</v>
      </c>
      <c r="AN150" s="0" t="s">
        <v>1961</v>
      </c>
      <c r="AO150" s="0" t="s">
        <v>132</v>
      </c>
      <c r="AP150" s="0" t="s">
        <v>133</v>
      </c>
      <c r="AQ150" s="0" t="s">
        <v>134</v>
      </c>
      <c r="AR150" s="0" t="s">
        <v>135</v>
      </c>
      <c r="AS150" s="0" t="s">
        <v>136</v>
      </c>
      <c r="AT150" s="0" t="s">
        <v>137</v>
      </c>
      <c r="AU150" s="0" t="s">
        <v>138</v>
      </c>
      <c r="AV150" s="0" t="s">
        <v>139</v>
      </c>
      <c r="AW150" s="0" t="s">
        <v>140</v>
      </c>
      <c r="AX150" s="0" t="s">
        <v>141</v>
      </c>
      <c r="AY150" s="0" t="s">
        <v>2744</v>
      </c>
      <c r="AZ150" s="0" t="s">
        <v>2745</v>
      </c>
      <c r="BA150" s="0" t="s">
        <v>2746</v>
      </c>
      <c r="BB150" s="0" t="s">
        <v>2747</v>
      </c>
      <c r="BC150" s="0" t="s">
        <v>2748</v>
      </c>
      <c r="BD150" s="0" t="s">
        <v>2749</v>
      </c>
      <c r="BE150" s="0" t="s">
        <v>2750</v>
      </c>
      <c r="BF150" s="0" t="s">
        <v>2751</v>
      </c>
      <c r="BG150" s="0" t="s">
        <v>2752</v>
      </c>
      <c r="BH150" s="0" t="s">
        <v>2753</v>
      </c>
      <c r="BI150" s="0" t="s">
        <v>2754</v>
      </c>
      <c r="BJ150" s="0" t="s">
        <v>2755</v>
      </c>
      <c r="BK150" s="0" t="s">
        <v>2756</v>
      </c>
      <c r="BL150" s="0" t="s">
        <v>2757</v>
      </c>
      <c r="BM150" s="0" t="s">
        <v>2758</v>
      </c>
    </row>
    <row r="151" customFormat="false" ht="14.4" hidden="false" customHeight="false" outlineLevel="0" collapsed="false">
      <c r="A151" s="0" t="n">
        <v>1000</v>
      </c>
      <c r="B151" s="0" t="s">
        <v>143</v>
      </c>
      <c r="C151" s="0" t="n">
        <v>51583793</v>
      </c>
      <c r="D151" s="0" t="s">
        <v>1234</v>
      </c>
      <c r="E151" s="0" t="s">
        <v>725</v>
      </c>
      <c r="F151" s="0" t="n">
        <v>9000</v>
      </c>
      <c r="G151" s="0" t="s">
        <v>2790</v>
      </c>
      <c r="H151" s="0" t="n">
        <v>2020</v>
      </c>
      <c r="I151" s="0" t="n">
        <v>10</v>
      </c>
      <c r="J151" s="145" t="n">
        <v>43816</v>
      </c>
      <c r="K151" s="145" t="n">
        <v>43834</v>
      </c>
      <c r="L151" s="105" t="n">
        <v>-550877.69</v>
      </c>
      <c r="M151" s="0" t="s">
        <v>149</v>
      </c>
      <c r="N151" s="105" t="n">
        <v>-550877.69</v>
      </c>
      <c r="O151" s="0" t="s">
        <v>149</v>
      </c>
      <c r="P151" s="105" t="n">
        <v>-1102196.7</v>
      </c>
      <c r="Q151" s="0" t="n">
        <v>0</v>
      </c>
      <c r="R151" s="105" t="n">
        <v>-550877.69</v>
      </c>
      <c r="S151" s="0" t="n">
        <v>0</v>
      </c>
      <c r="T151" s="0" t="n">
        <v>0</v>
      </c>
      <c r="U151" s="0" t="s">
        <v>150</v>
      </c>
      <c r="V151" s="0" t="s">
        <v>151</v>
      </c>
      <c r="X151" s="0" t="s">
        <v>1235</v>
      </c>
      <c r="Y151" s="0" t="n">
        <v>4405156168</v>
      </c>
      <c r="Z151" s="0" t="n">
        <v>51583793</v>
      </c>
      <c r="AB151" s="0" t="n">
        <v>4405156168</v>
      </c>
      <c r="AD151" s="0" t="n">
        <v>2408402</v>
      </c>
      <c r="AE151" s="0" t="s">
        <v>156</v>
      </c>
      <c r="AF151" s="0" t="n">
        <v>2408409</v>
      </c>
      <c r="AG151" s="0" t="s">
        <v>738</v>
      </c>
      <c r="AH151" s="0" t="n">
        <v>1200006</v>
      </c>
      <c r="AI151" s="0" t="n">
        <v>1200006</v>
      </c>
      <c r="AJ151" s="0" t="s">
        <v>2780</v>
      </c>
      <c r="AK151" s="0" t="n">
        <v>0</v>
      </c>
      <c r="AL151" s="0" t="n">
        <v>31</v>
      </c>
      <c r="AM151" s="0" t="s">
        <v>225</v>
      </c>
      <c r="AP151" s="0" t="n">
        <v>45235322</v>
      </c>
      <c r="AQ151" s="145" t="n">
        <v>43867</v>
      </c>
      <c r="AR151" s="145" t="n">
        <v>43834</v>
      </c>
      <c r="AS151" s="146" t="n">
        <v>0.443078703703704</v>
      </c>
      <c r="AT151" s="0" t="n">
        <v>0</v>
      </c>
      <c r="AU151" s="105" t="n">
        <v>-550877.69</v>
      </c>
      <c r="AX151" s="0" t="n">
        <v>2</v>
      </c>
      <c r="AY151" s="105" t="n">
        <v>550877.69</v>
      </c>
      <c r="AZ151" s="105" t="n">
        <v>550877.69</v>
      </c>
      <c r="BA151" s="0" t="s">
        <v>2767</v>
      </c>
      <c r="BB151" s="0" t="s">
        <v>2768</v>
      </c>
      <c r="BC151" s="0" t="s">
        <v>2761</v>
      </c>
      <c r="BD151" s="0" t="s">
        <v>2762</v>
      </c>
      <c r="BE151" s="0" t="s">
        <v>2762</v>
      </c>
      <c r="BF151" s="0" t="n">
        <v>843549</v>
      </c>
      <c r="BG151" s="145" t="n">
        <v>43896.1359606482</v>
      </c>
      <c r="BH151" s="0" t="s">
        <v>2769</v>
      </c>
      <c r="BI151" s="0" t="n">
        <v>447703</v>
      </c>
      <c r="BJ151" s="0" t="s">
        <v>2770</v>
      </c>
      <c r="BK151" s="0" t="n">
        <v>1</v>
      </c>
      <c r="BL151" s="0" t="s">
        <v>2791</v>
      </c>
      <c r="BM151" s="145" t="n">
        <v>43893.4301851852</v>
      </c>
    </row>
    <row r="152" customFormat="false" ht="14.4" hidden="false" customHeight="false" outlineLevel="0" collapsed="false">
      <c r="A152" s="0" t="n">
        <v>1000</v>
      </c>
      <c r="B152" s="0" t="s">
        <v>143</v>
      </c>
      <c r="C152" s="0" t="n">
        <v>51583793</v>
      </c>
      <c r="D152" s="0" t="s">
        <v>1234</v>
      </c>
      <c r="E152" s="0" t="s">
        <v>725</v>
      </c>
      <c r="F152" s="0" t="n">
        <v>9000</v>
      </c>
      <c r="G152" s="0" t="s">
        <v>2790</v>
      </c>
      <c r="H152" s="0" t="n">
        <v>2020</v>
      </c>
      <c r="I152" s="0" t="n">
        <v>10</v>
      </c>
      <c r="J152" s="145" t="n">
        <v>43816</v>
      </c>
      <c r="K152" s="145" t="n">
        <v>43834</v>
      </c>
      <c r="L152" s="105" t="n">
        <v>-551319.01</v>
      </c>
      <c r="M152" s="0" t="s">
        <v>149</v>
      </c>
      <c r="N152" s="105" t="n">
        <v>-551319.01</v>
      </c>
      <c r="O152" s="0" t="s">
        <v>149</v>
      </c>
      <c r="P152" s="105" t="n">
        <v>-1102196.7</v>
      </c>
      <c r="Q152" s="0" t="n">
        <v>0</v>
      </c>
      <c r="R152" s="105" t="n">
        <v>-551319.01</v>
      </c>
      <c r="S152" s="0" t="n">
        <v>0</v>
      </c>
      <c r="T152" s="0" t="n">
        <v>0</v>
      </c>
      <c r="U152" s="0" t="s">
        <v>150</v>
      </c>
      <c r="V152" s="0" t="s">
        <v>151</v>
      </c>
      <c r="X152" s="0" t="s">
        <v>1235</v>
      </c>
      <c r="Y152" s="0" t="n">
        <v>4405156168</v>
      </c>
      <c r="Z152" s="0" t="n">
        <v>51583793</v>
      </c>
      <c r="AB152" s="0" t="n">
        <v>4405156168</v>
      </c>
      <c r="AD152" s="0" t="n">
        <v>2408402</v>
      </c>
      <c r="AE152" s="0" t="s">
        <v>156</v>
      </c>
      <c r="AF152" s="0" t="n">
        <v>2408409</v>
      </c>
      <c r="AG152" s="0" t="s">
        <v>738</v>
      </c>
      <c r="AH152" s="0" t="n">
        <v>1200006</v>
      </c>
      <c r="AI152" s="0" t="n">
        <v>1200006</v>
      </c>
      <c r="AJ152" s="0" t="s">
        <v>2780</v>
      </c>
      <c r="AK152" s="0" t="n">
        <v>0</v>
      </c>
      <c r="AL152" s="0" t="n">
        <v>31</v>
      </c>
      <c r="AM152" s="0" t="s">
        <v>225</v>
      </c>
      <c r="AP152" s="0" t="n">
        <v>45235322</v>
      </c>
      <c r="AQ152" s="145" t="n">
        <v>43867</v>
      </c>
      <c r="AR152" s="145" t="n">
        <v>43834</v>
      </c>
      <c r="AS152" s="146" t="n">
        <v>0.443078703703704</v>
      </c>
      <c r="AT152" s="0" t="n">
        <v>0</v>
      </c>
      <c r="AU152" s="105" t="n">
        <v>-551319.01</v>
      </c>
      <c r="AX152" s="0" t="n">
        <v>1</v>
      </c>
      <c r="AY152" s="105" t="n">
        <v>551319.01</v>
      </c>
      <c r="AZ152" s="105" t="n">
        <v>551319.01</v>
      </c>
      <c r="BA152" s="0" t="s">
        <v>2767</v>
      </c>
      <c r="BB152" s="0" t="s">
        <v>2768</v>
      </c>
      <c r="BC152" s="0" t="s">
        <v>2761</v>
      </c>
      <c r="BD152" s="0" t="s">
        <v>2762</v>
      </c>
      <c r="BE152" s="0" t="s">
        <v>2762</v>
      </c>
      <c r="BF152" s="0" t="n">
        <v>843549</v>
      </c>
      <c r="BG152" s="145" t="n">
        <v>43896.1359606482</v>
      </c>
      <c r="BH152" s="0" t="s">
        <v>2769</v>
      </c>
      <c r="BI152" s="0" t="n">
        <v>448077</v>
      </c>
      <c r="BJ152" s="0" t="s">
        <v>2770</v>
      </c>
      <c r="BK152" s="0" t="n">
        <v>1</v>
      </c>
      <c r="BL152" s="0" t="s">
        <v>2791</v>
      </c>
      <c r="BM152" s="145" t="n">
        <v>43893.4301851852</v>
      </c>
    </row>
    <row r="153" customFormat="false" ht="14.4" hidden="false" customHeight="false" outlineLevel="0" collapsed="false">
      <c r="A153" s="0" t="n">
        <v>1000</v>
      </c>
      <c r="B153" s="0" t="s">
        <v>143</v>
      </c>
      <c r="C153" s="0" t="n">
        <v>51648942</v>
      </c>
      <c r="D153" s="0" t="s">
        <v>1278</v>
      </c>
      <c r="E153" s="0" t="s">
        <v>725</v>
      </c>
      <c r="F153" s="0" t="n">
        <v>9000</v>
      </c>
      <c r="G153" s="0" t="s">
        <v>2790</v>
      </c>
      <c r="H153" s="0" t="n">
        <v>2020</v>
      </c>
      <c r="I153" s="0" t="n">
        <v>11</v>
      </c>
      <c r="J153" s="145" t="n">
        <v>43844</v>
      </c>
      <c r="K153" s="145" t="n">
        <v>43865</v>
      </c>
      <c r="L153" s="105" t="n">
        <v>-1237110.82</v>
      </c>
      <c r="M153" s="0" t="s">
        <v>149</v>
      </c>
      <c r="N153" s="105" t="n">
        <v>-1237110.82</v>
      </c>
      <c r="O153" s="0" t="s">
        <v>149</v>
      </c>
      <c r="P153" s="105" t="n">
        <v>-2876975.7</v>
      </c>
      <c r="Q153" s="0" t="n">
        <v>0</v>
      </c>
      <c r="R153" s="105" t="n">
        <v>-1237110.82</v>
      </c>
      <c r="S153" s="0" t="n">
        <v>0</v>
      </c>
      <c r="T153" s="0" t="n">
        <v>0</v>
      </c>
      <c r="U153" s="0" t="s">
        <v>150</v>
      </c>
      <c r="V153" s="0" t="s">
        <v>151</v>
      </c>
      <c r="X153" s="0" t="s">
        <v>1279</v>
      </c>
      <c r="Y153" s="0" t="n">
        <v>4405426744</v>
      </c>
      <c r="Z153" s="0" t="n">
        <v>51648942</v>
      </c>
      <c r="AB153" s="0" t="n">
        <v>4405426744</v>
      </c>
      <c r="AD153" s="0" t="n">
        <v>2408402</v>
      </c>
      <c r="AE153" s="0" t="s">
        <v>156</v>
      </c>
      <c r="AF153" s="0" t="n">
        <v>2408409</v>
      </c>
      <c r="AG153" s="0" t="s">
        <v>738</v>
      </c>
      <c r="AH153" s="0" t="n">
        <v>1200006</v>
      </c>
      <c r="AI153" s="0" t="n">
        <v>1200006</v>
      </c>
      <c r="AJ153" s="0" t="s">
        <v>2780</v>
      </c>
      <c r="AK153" s="0" t="n">
        <v>0</v>
      </c>
      <c r="AL153" s="0" t="n">
        <v>31</v>
      </c>
      <c r="AM153" s="0" t="s">
        <v>225</v>
      </c>
      <c r="AP153" s="0" t="n">
        <v>93117008</v>
      </c>
      <c r="AQ153" s="145" t="n">
        <v>43880</v>
      </c>
      <c r="AR153" s="145" t="n">
        <v>43865</v>
      </c>
      <c r="AS153" s="146" t="n">
        <v>0.693553240740741</v>
      </c>
      <c r="AT153" s="0" t="n">
        <v>0</v>
      </c>
      <c r="AU153" s="105" t="n">
        <v>-1237110.82</v>
      </c>
      <c r="AX153" s="0" t="n">
        <v>1</v>
      </c>
      <c r="AY153" s="105" t="n">
        <v>1237110.82</v>
      </c>
      <c r="AZ153" s="105" t="n">
        <v>1237110.82</v>
      </c>
      <c r="BA153" s="0" t="s">
        <v>2767</v>
      </c>
      <c r="BB153" s="0" t="s">
        <v>2768</v>
      </c>
      <c r="BC153" s="0" t="s">
        <v>2761</v>
      </c>
      <c r="BD153" s="0" t="s">
        <v>2762</v>
      </c>
      <c r="BE153" s="0" t="s">
        <v>2762</v>
      </c>
      <c r="BF153" s="0" t="n">
        <v>843515</v>
      </c>
      <c r="BG153" s="145" t="n">
        <v>43895.9171296296</v>
      </c>
      <c r="BH153" s="0" t="s">
        <v>2769</v>
      </c>
      <c r="BI153" s="0" t="n">
        <v>450229</v>
      </c>
      <c r="BJ153" s="0" t="s">
        <v>2770</v>
      </c>
      <c r="BK153" s="0" t="n">
        <v>1</v>
      </c>
      <c r="BL153" s="0" t="s">
        <v>2791</v>
      </c>
      <c r="BM153" s="145" t="n">
        <v>43893.4301851852</v>
      </c>
    </row>
    <row r="154" customFormat="false" ht="14.4" hidden="false" customHeight="false" outlineLevel="0" collapsed="false">
      <c r="A154" s="0" t="n">
        <v>1000</v>
      </c>
      <c r="B154" s="0" t="s">
        <v>143</v>
      </c>
      <c r="C154" s="0" t="n">
        <v>51648942</v>
      </c>
      <c r="D154" s="0" t="s">
        <v>1278</v>
      </c>
      <c r="E154" s="0" t="s">
        <v>725</v>
      </c>
      <c r="F154" s="0" t="n">
        <v>9000</v>
      </c>
      <c r="G154" s="0" t="s">
        <v>2790</v>
      </c>
      <c r="H154" s="0" t="n">
        <v>2020</v>
      </c>
      <c r="I154" s="0" t="n">
        <v>11</v>
      </c>
      <c r="J154" s="145" t="n">
        <v>43844</v>
      </c>
      <c r="K154" s="145" t="n">
        <v>43865</v>
      </c>
      <c r="L154" s="105" t="n">
        <v>-1639864.88</v>
      </c>
      <c r="M154" s="0" t="s">
        <v>149</v>
      </c>
      <c r="N154" s="105" t="n">
        <v>-1639864.88</v>
      </c>
      <c r="O154" s="0" t="s">
        <v>149</v>
      </c>
      <c r="P154" s="105" t="n">
        <v>-2876975.7</v>
      </c>
      <c r="Q154" s="0" t="n">
        <v>0</v>
      </c>
      <c r="R154" s="105" t="n">
        <v>-1639864.88</v>
      </c>
      <c r="S154" s="0" t="n">
        <v>0</v>
      </c>
      <c r="T154" s="0" t="n">
        <v>0</v>
      </c>
      <c r="U154" s="0" t="s">
        <v>150</v>
      </c>
      <c r="V154" s="0" t="s">
        <v>151</v>
      </c>
      <c r="X154" s="0" t="s">
        <v>1279</v>
      </c>
      <c r="Y154" s="0" t="n">
        <v>4405426744</v>
      </c>
      <c r="Z154" s="0" t="n">
        <v>51648942</v>
      </c>
      <c r="AB154" s="0" t="n">
        <v>4405426744</v>
      </c>
      <c r="AD154" s="0" t="n">
        <v>2408402</v>
      </c>
      <c r="AE154" s="0" t="s">
        <v>156</v>
      </c>
      <c r="AF154" s="0" t="n">
        <v>2408409</v>
      </c>
      <c r="AG154" s="0" t="s">
        <v>738</v>
      </c>
      <c r="AH154" s="0" t="n">
        <v>1200006</v>
      </c>
      <c r="AI154" s="0" t="n">
        <v>1200006</v>
      </c>
      <c r="AJ154" s="0" t="s">
        <v>2780</v>
      </c>
      <c r="AK154" s="0" t="n">
        <v>0</v>
      </c>
      <c r="AL154" s="0" t="n">
        <v>31</v>
      </c>
      <c r="AM154" s="0" t="s">
        <v>225</v>
      </c>
      <c r="AP154" s="0" t="n">
        <v>93117008</v>
      </c>
      <c r="AQ154" s="145" t="n">
        <v>43880</v>
      </c>
      <c r="AR154" s="145" t="n">
        <v>43865</v>
      </c>
      <c r="AS154" s="146" t="n">
        <v>0.693553240740741</v>
      </c>
      <c r="AT154" s="0" t="n">
        <v>0</v>
      </c>
      <c r="AU154" s="105" t="n">
        <v>-1639864.88</v>
      </c>
      <c r="AX154" s="0" t="n">
        <v>2</v>
      </c>
      <c r="AY154" s="105" t="n">
        <v>1639864.88</v>
      </c>
      <c r="AZ154" s="105" t="n">
        <v>1639864.88</v>
      </c>
      <c r="BA154" s="0" t="s">
        <v>2767</v>
      </c>
      <c r="BB154" s="0" t="s">
        <v>2768</v>
      </c>
      <c r="BC154" s="0" t="s">
        <v>2761</v>
      </c>
      <c r="BD154" s="0" t="s">
        <v>2762</v>
      </c>
      <c r="BE154" s="0" t="s">
        <v>2762</v>
      </c>
      <c r="BF154" s="0" t="n">
        <v>843515</v>
      </c>
      <c r="BG154" s="145" t="n">
        <v>43895.9171296296</v>
      </c>
      <c r="BH154" s="0" t="s">
        <v>2769</v>
      </c>
      <c r="BI154" s="0" t="n">
        <v>451689</v>
      </c>
      <c r="BJ154" s="0" t="s">
        <v>2770</v>
      </c>
      <c r="BK154" s="0" t="n">
        <v>1</v>
      </c>
      <c r="BL154" s="0" t="s">
        <v>2791</v>
      </c>
      <c r="BM154" s="145" t="n">
        <v>43893.4301851852</v>
      </c>
    </row>
    <row r="155" customFormat="false" ht="14.4" hidden="false" customHeight="false" outlineLevel="0" collapsed="false">
      <c r="L155" s="105" t="n">
        <f aca="false">SUM(L151:L154)</f>
        <v>-3979172.4</v>
      </c>
    </row>
    <row r="157" customFormat="false" ht="14.4" hidden="false" customHeight="false" outlineLevel="0" collapsed="false">
      <c r="L157" s="147" t="n">
        <f aca="false">L147+L155</f>
        <v>48594.6099999999</v>
      </c>
    </row>
    <row r="159" customFormat="false" ht="14.4" hidden="false" customHeight="false" outlineLevel="0" collapsed="false">
      <c r="L159" s="147" t="n">
        <f aca="false">L157+L141+L131+L79+L13</f>
        <v>188485.179999995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24"/>
  <sheetViews>
    <sheetView showFormulas="false" showGridLines="true" showRowColHeaders="true" showZeros="true" rightToLeft="false" tabSelected="false" showOutlineSymbols="true" defaultGridColor="true" view="normal" topLeftCell="AX1" colorId="64" zoomScale="85" zoomScaleNormal="85" zoomScalePageLayoutView="100" workbookViewId="0">
      <selection pane="topLeft" activeCell="AZ1" activeCellId="0" sqref="AZ1"/>
    </sheetView>
  </sheetViews>
  <sheetFormatPr defaultRowHeight="14.4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.33"/>
    <col collapsed="false" customWidth="true" hidden="false" outlineLevel="0" max="4" min="4" style="0" width="12.66"/>
    <col collapsed="false" customWidth="true" hidden="false" outlineLevel="0" max="5" min="5" style="0" width="15.55"/>
    <col collapsed="false" customWidth="true" hidden="false" outlineLevel="0" max="6" min="6" style="0" width="14"/>
    <col collapsed="false" customWidth="false" hidden="false" outlineLevel="0" max="7" min="7" style="0" width="11.44"/>
    <col collapsed="false" customWidth="true" hidden="false" outlineLevel="0" max="8" min="8" style="0" width="10.66"/>
    <col collapsed="false" customWidth="true" hidden="false" outlineLevel="0" max="9" min="9" style="0" width="18"/>
    <col collapsed="false" customWidth="true" hidden="false" outlineLevel="0" max="11" min="10" style="0" width="14.89"/>
    <col collapsed="false" customWidth="true" hidden="false" outlineLevel="0" max="12" min="12" style="0" width="25.66"/>
    <col collapsed="false" customWidth="true" hidden="false" outlineLevel="0" max="13" min="13" style="0" width="14.44"/>
    <col collapsed="false" customWidth="true" hidden="false" outlineLevel="0" max="14" min="14" style="0" width="30.56"/>
    <col collapsed="false" customWidth="true" hidden="false" outlineLevel="0" max="15" min="15" style="0" width="19.33"/>
    <col collapsed="false" customWidth="true" hidden="false" outlineLevel="0" max="16" min="16" style="0" width="22.44"/>
    <col collapsed="false" customWidth="true" hidden="false" outlineLevel="0" max="18" min="17" style="0" width="12.44"/>
    <col collapsed="false" customWidth="true" hidden="false" outlineLevel="0" max="19" min="19" style="0" width="30"/>
    <col collapsed="false" customWidth="true" hidden="false" outlineLevel="0" max="20" min="20" style="0" width="24.55"/>
    <col collapsed="false" customWidth="true" hidden="false" outlineLevel="0" max="21" min="21" style="0" width="16.33"/>
    <col collapsed="false" customWidth="true" hidden="false" outlineLevel="0" max="22" min="22" style="0" width="35.55"/>
    <col collapsed="false" customWidth="true" hidden="false" outlineLevel="0" max="23" min="23" style="0" width="15.33"/>
    <col collapsed="false" customWidth="true" hidden="false" outlineLevel="0" max="24" min="24" style="0" width="43.33"/>
    <col collapsed="false" customWidth="true" hidden="false" outlineLevel="0" max="25" min="25" style="0" width="9.55"/>
    <col collapsed="false" customWidth="true" hidden="false" outlineLevel="0" max="26" min="26" style="0" width="16.44"/>
    <col collapsed="false" customWidth="true" hidden="false" outlineLevel="0" max="27" min="27" style="0" width="5.55"/>
    <col collapsed="false" customWidth="true" hidden="false" outlineLevel="0" max="28" min="28" style="0" width="21"/>
    <col collapsed="false" customWidth="true" hidden="false" outlineLevel="0" max="29" min="29" style="0" width="14"/>
    <col collapsed="false" customWidth="true" hidden="false" outlineLevel="0" max="30" min="30" style="0" width="8.11"/>
    <col collapsed="false" customWidth="true" hidden="false" outlineLevel="0" max="31" min="31" style="0" width="38.11"/>
    <col collapsed="false" customWidth="true" hidden="false" outlineLevel="0" max="32" min="32" style="0" width="18.44"/>
    <col collapsed="false" customWidth="true" hidden="false" outlineLevel="0" max="33" min="33" style="0" width="27"/>
    <col collapsed="false" customWidth="true" hidden="false" outlineLevel="0" max="34" min="34" style="0" width="23.67"/>
    <col collapsed="false" customWidth="true" hidden="false" outlineLevel="0" max="35" min="35" style="0" width="23.89"/>
    <col collapsed="false" customWidth="true" hidden="false" outlineLevel="0" max="36" min="36" style="0" width="27"/>
    <col collapsed="false" customWidth="true" hidden="false" outlineLevel="0" max="37" min="37" style="0" width="13.55"/>
    <col collapsed="false" customWidth="true" hidden="false" outlineLevel="0" max="38" min="38" style="0" width="11.89"/>
    <col collapsed="false" customWidth="true" hidden="false" outlineLevel="0" max="39" min="39" style="0" width="11.33"/>
    <col collapsed="false" customWidth="true" hidden="false" outlineLevel="0" max="40" min="40" style="0" width="14.44"/>
    <col collapsed="false" customWidth="true" hidden="false" outlineLevel="0" max="41" min="41" style="0" width="17.67"/>
    <col collapsed="false" customWidth="true" hidden="false" outlineLevel="0" max="42" min="42" style="0" width="12.55"/>
    <col collapsed="false" customWidth="true" hidden="false" outlineLevel="0" max="44" min="43" style="0" width="14.89"/>
    <col collapsed="false" customWidth="true" hidden="false" outlineLevel="0" max="45" min="45" style="0" width="11"/>
    <col collapsed="false" customWidth="true" hidden="false" outlineLevel="0" max="46" min="46" style="0" width="13.11"/>
    <col collapsed="false" customWidth="true" hidden="false" outlineLevel="0" max="47" min="47" style="0" width="31.66"/>
    <col collapsed="false" customWidth="true" hidden="false" outlineLevel="0" max="48" min="48" style="0" width="12.11"/>
    <col collapsed="false" customWidth="true" hidden="false" outlineLevel="0" max="49" min="49" style="0" width="10.33"/>
    <col collapsed="false" customWidth="true" hidden="false" outlineLevel="0" max="50" min="50" style="0" width="34.44"/>
    <col collapsed="false" customWidth="true" hidden="false" outlineLevel="0" max="52" min="51" style="0" width="39.34"/>
    <col collapsed="false" customWidth="true" hidden="false" outlineLevel="0" max="53" min="53" style="0" width="16.55"/>
    <col collapsed="false" customWidth="true" hidden="false" outlineLevel="0" max="54" min="54" style="0" width="17"/>
    <col collapsed="false" customWidth="true" hidden="false" outlineLevel="0" max="57" min="55" style="0" width="20.67"/>
    <col collapsed="false" customWidth="true" hidden="false" outlineLevel="0" max="59" min="58" style="0" width="15.89"/>
    <col collapsed="false" customWidth="true" hidden="false" outlineLevel="0" max="60" min="60" style="0" width="14.11"/>
    <col collapsed="false" customWidth="true" hidden="false" outlineLevel="0" max="61" min="61" style="0" width="17.55"/>
    <col collapsed="false" customWidth="true" hidden="false" outlineLevel="0" max="62" min="62" style="0" width="27.89"/>
    <col collapsed="false" customWidth="true" hidden="false" outlineLevel="0" max="63" min="63" style="0" width="34"/>
    <col collapsed="false" customWidth="true" hidden="false" outlineLevel="0" max="64" min="64" style="0" width="36.55"/>
    <col collapsed="false" customWidth="true" hidden="false" outlineLevel="0" max="65" min="65" style="0" width="31.66"/>
    <col collapsed="false" customWidth="true" hidden="false" outlineLevel="0" max="1025" min="66" style="0" width="8.53"/>
  </cols>
  <sheetData>
    <row r="1" customFormat="false" ht="14.4" hidden="false" customHeight="false" outlineLevel="0" collapsed="false">
      <c r="A1" s="0" t="s">
        <v>92</v>
      </c>
      <c r="B1" s="0" t="s">
        <v>93</v>
      </c>
      <c r="C1" s="0" t="s">
        <v>94</v>
      </c>
      <c r="D1" s="0" t="s">
        <v>95</v>
      </c>
      <c r="E1" s="0" t="s">
        <v>96</v>
      </c>
      <c r="F1" s="0" t="s">
        <v>97</v>
      </c>
      <c r="G1" s="0" t="s">
        <v>2742</v>
      </c>
      <c r="H1" s="0" t="s">
        <v>98</v>
      </c>
      <c r="I1" s="0" t="s">
        <v>99</v>
      </c>
      <c r="J1" s="0" t="s">
        <v>1954</v>
      </c>
      <c r="K1" s="0" t="s">
        <v>101</v>
      </c>
      <c r="L1" s="0" t="s">
        <v>102</v>
      </c>
      <c r="M1" s="0" t="s">
        <v>104</v>
      </c>
      <c r="N1" s="0" t="s">
        <v>105</v>
      </c>
      <c r="O1" s="0" t="s">
        <v>106</v>
      </c>
      <c r="P1" s="0" t="s">
        <v>107</v>
      </c>
      <c r="Q1" s="0" t="s">
        <v>108</v>
      </c>
      <c r="R1" s="0" t="s">
        <v>109</v>
      </c>
      <c r="S1" s="0" t="s">
        <v>110</v>
      </c>
      <c r="T1" s="0" t="s">
        <v>111</v>
      </c>
      <c r="U1" s="0" t="s">
        <v>1955</v>
      </c>
      <c r="V1" s="0" t="s">
        <v>1956</v>
      </c>
      <c r="W1" s="0" t="s">
        <v>114</v>
      </c>
      <c r="X1" s="0" t="s">
        <v>2743</v>
      </c>
      <c r="Y1" s="0" t="s">
        <v>116</v>
      </c>
      <c r="Z1" s="0" t="s">
        <v>1959</v>
      </c>
      <c r="AA1" s="0" t="s">
        <v>118</v>
      </c>
      <c r="AB1" s="0" t="s">
        <v>119</v>
      </c>
      <c r="AC1" s="0" t="s">
        <v>120</v>
      </c>
      <c r="AD1" s="0" t="s">
        <v>121</v>
      </c>
      <c r="AE1" s="0" t="s">
        <v>122</v>
      </c>
      <c r="AF1" s="0" t="s">
        <v>123</v>
      </c>
      <c r="AG1" s="0" t="s">
        <v>124</v>
      </c>
      <c r="AH1" s="0" t="s">
        <v>125</v>
      </c>
      <c r="AI1" s="0" t="s">
        <v>126</v>
      </c>
      <c r="AJ1" s="0" t="s">
        <v>127</v>
      </c>
      <c r="AK1" s="0" t="s">
        <v>128</v>
      </c>
      <c r="AL1" s="0" t="s">
        <v>129</v>
      </c>
      <c r="AM1" s="0" t="s">
        <v>1960</v>
      </c>
      <c r="AN1" s="0" t="s">
        <v>1961</v>
      </c>
      <c r="AO1" s="0" t="s">
        <v>132</v>
      </c>
      <c r="AP1" s="0" t="s">
        <v>133</v>
      </c>
      <c r="AQ1" s="0" t="s">
        <v>134</v>
      </c>
      <c r="AR1" s="0" t="s">
        <v>135</v>
      </c>
      <c r="AS1" s="0" t="s">
        <v>136</v>
      </c>
      <c r="AT1" s="0" t="s">
        <v>137</v>
      </c>
      <c r="AU1" s="0" t="s">
        <v>139</v>
      </c>
      <c r="AV1" s="0" t="s">
        <v>140</v>
      </c>
      <c r="AW1" s="0" t="s">
        <v>141</v>
      </c>
      <c r="AX1" s="0" t="s">
        <v>2744</v>
      </c>
      <c r="AY1" s="0" t="s">
        <v>2745</v>
      </c>
      <c r="AZ1" s="0" t="s">
        <v>2746</v>
      </c>
      <c r="BA1" s="0" t="s">
        <v>2747</v>
      </c>
      <c r="BB1" s="0" t="s">
        <v>2748</v>
      </c>
      <c r="BC1" s="0" t="s">
        <v>2749</v>
      </c>
      <c r="BD1" s="0" t="s">
        <v>2750</v>
      </c>
      <c r="BE1" s="0" t="s">
        <v>2751</v>
      </c>
      <c r="BF1" s="0" t="s">
        <v>2752</v>
      </c>
      <c r="BG1" s="0" t="s">
        <v>2753</v>
      </c>
      <c r="BH1" s="0" t="s">
        <v>2754</v>
      </c>
      <c r="BI1" s="0" t="s">
        <v>2755</v>
      </c>
      <c r="BJ1" s="0" t="s">
        <v>2756</v>
      </c>
      <c r="BK1" s="0" t="s">
        <v>2757</v>
      </c>
      <c r="BL1" s="0" t="s">
        <v>2758</v>
      </c>
      <c r="BM1" s="0" t="s">
        <v>138</v>
      </c>
    </row>
    <row r="2" customFormat="false" ht="14.4" hidden="false" customHeight="false" outlineLevel="0" collapsed="false">
      <c r="A2" s="0" t="n">
        <v>1000</v>
      </c>
      <c r="B2" s="0" t="s">
        <v>143</v>
      </c>
      <c r="C2" s="0" t="n">
        <v>913146151</v>
      </c>
      <c r="D2" s="0" t="s">
        <v>2541</v>
      </c>
      <c r="E2" s="0" t="s">
        <v>2793</v>
      </c>
      <c r="F2" s="0" t="n">
        <v>9600</v>
      </c>
      <c r="G2" s="148" t="n">
        <v>370080000000000</v>
      </c>
      <c r="H2" s="0" t="n">
        <v>2020</v>
      </c>
      <c r="I2" s="0" t="n">
        <v>9</v>
      </c>
      <c r="J2" s="145" t="n">
        <v>43813</v>
      </c>
      <c r="K2" s="145" t="n">
        <v>43825</v>
      </c>
      <c r="L2" s="105" t="n">
        <v>-41001.92</v>
      </c>
      <c r="M2" s="0" t="s">
        <v>149</v>
      </c>
      <c r="N2" s="105" t="n">
        <v>-41001.92</v>
      </c>
      <c r="O2" s="0" t="s">
        <v>149</v>
      </c>
      <c r="P2" s="0" t="n">
        <v>0</v>
      </c>
      <c r="Q2" s="0" t="n">
        <v>0</v>
      </c>
      <c r="R2" s="105" t="n">
        <v>-41001.92</v>
      </c>
      <c r="S2" s="0" t="n">
        <v>0</v>
      </c>
      <c r="T2" s="0" t="n">
        <v>0</v>
      </c>
      <c r="U2" s="0" t="s">
        <v>150</v>
      </c>
      <c r="V2" s="0" t="s">
        <v>151</v>
      </c>
      <c r="X2" s="0" t="s">
        <v>2794</v>
      </c>
      <c r="Y2" s="0" t="s">
        <v>2795</v>
      </c>
      <c r="Z2" s="0" t="n">
        <v>913146151</v>
      </c>
      <c r="AA2" s="0" t="n">
        <v>86</v>
      </c>
      <c r="AB2" s="0" t="n">
        <v>3700800558</v>
      </c>
      <c r="AD2" s="0" t="n">
        <v>2408424</v>
      </c>
      <c r="AE2" s="0" t="s">
        <v>729</v>
      </c>
      <c r="AF2" s="0" t="n">
        <v>1013001</v>
      </c>
      <c r="AG2" s="0" t="s">
        <v>2784</v>
      </c>
      <c r="AH2" s="0" t="n">
        <v>1013001</v>
      </c>
      <c r="AI2" s="0" t="n">
        <v>1013001</v>
      </c>
      <c r="AJ2" s="0" t="s">
        <v>2784</v>
      </c>
      <c r="AK2" s="0" t="n">
        <v>27798</v>
      </c>
      <c r="AL2" s="0" t="n">
        <v>96</v>
      </c>
      <c r="AM2" s="0" t="s">
        <v>225</v>
      </c>
      <c r="AR2" s="145" t="n">
        <v>43825</v>
      </c>
      <c r="AS2" s="146" t="n">
        <v>0.899849537037037</v>
      </c>
      <c r="AT2" s="105" t="n">
        <v>-7380.35</v>
      </c>
      <c r="AV2" s="0" t="n">
        <v>10</v>
      </c>
      <c r="AW2" s="0" t="n">
        <v>2</v>
      </c>
      <c r="AX2" s="105" t="n">
        <v>41001.92</v>
      </c>
      <c r="AY2" s="105" t="n">
        <v>41001.92</v>
      </c>
      <c r="AZ2" s="0" t="s">
        <v>2767</v>
      </c>
      <c r="BA2" s="0" t="s">
        <v>2796</v>
      </c>
      <c r="BB2" s="0" t="s">
        <v>2761</v>
      </c>
      <c r="BC2" s="0" t="s">
        <v>2762</v>
      </c>
      <c r="BD2" s="0" t="s">
        <v>2762</v>
      </c>
      <c r="BE2" s="0" t="n">
        <v>843542</v>
      </c>
      <c r="BF2" s="145" t="n">
        <v>43896.1097222222</v>
      </c>
      <c r="BG2" s="0" t="s">
        <v>2769</v>
      </c>
      <c r="BH2" s="0" t="n">
        <v>1387522</v>
      </c>
      <c r="BI2" s="0" t="s">
        <v>2797</v>
      </c>
      <c r="BJ2" s="0" t="n">
        <v>1</v>
      </c>
      <c r="BK2" s="0" t="s">
        <v>2798</v>
      </c>
      <c r="BL2" s="145" t="n">
        <v>43878.4236111111</v>
      </c>
      <c r="BM2" s="105" t="n">
        <v>-48382.27</v>
      </c>
    </row>
    <row r="3" customFormat="false" ht="14.4" hidden="false" customHeight="false" outlineLevel="0" collapsed="false">
      <c r="A3" s="0" t="n">
        <v>1000</v>
      </c>
      <c r="B3" s="0" t="s">
        <v>143</v>
      </c>
      <c r="C3" s="0" t="n">
        <v>913146151</v>
      </c>
      <c r="D3" s="0" t="s">
        <v>2541</v>
      </c>
      <c r="E3" s="0" t="s">
        <v>2793</v>
      </c>
      <c r="F3" s="0" t="n">
        <v>9600</v>
      </c>
      <c r="G3" s="148" t="n">
        <v>370080000000000</v>
      </c>
      <c r="H3" s="0" t="n">
        <v>2020</v>
      </c>
      <c r="I3" s="0" t="n">
        <v>9</v>
      </c>
      <c r="J3" s="145" t="n">
        <v>43813</v>
      </c>
      <c r="K3" s="145" t="n">
        <v>43825</v>
      </c>
      <c r="L3" s="105" t="n">
        <v>-135886.91</v>
      </c>
      <c r="M3" s="0" t="s">
        <v>149</v>
      </c>
      <c r="N3" s="105" t="n">
        <v>-135886.91</v>
      </c>
      <c r="O3" s="0" t="s">
        <v>149</v>
      </c>
      <c r="P3" s="0" t="n">
        <v>0</v>
      </c>
      <c r="Q3" s="0" t="n">
        <v>0</v>
      </c>
      <c r="R3" s="105" t="n">
        <v>-135886.91</v>
      </c>
      <c r="S3" s="0" t="n">
        <v>0</v>
      </c>
      <c r="T3" s="0" t="n">
        <v>0</v>
      </c>
      <c r="U3" s="0" t="s">
        <v>150</v>
      </c>
      <c r="V3" s="0" t="s">
        <v>151</v>
      </c>
      <c r="X3" s="0" t="s">
        <v>2794</v>
      </c>
      <c r="Y3" s="0" t="s">
        <v>2795</v>
      </c>
      <c r="Z3" s="0" t="n">
        <v>913146151</v>
      </c>
      <c r="AA3" s="0" t="n">
        <v>86</v>
      </c>
      <c r="AB3" s="0" t="n">
        <v>3700800558</v>
      </c>
      <c r="AD3" s="0" t="n">
        <v>2408424</v>
      </c>
      <c r="AE3" s="0" t="s">
        <v>729</v>
      </c>
      <c r="AF3" s="0" t="n">
        <v>1013001</v>
      </c>
      <c r="AG3" s="0" t="s">
        <v>2784</v>
      </c>
      <c r="AH3" s="0" t="n">
        <v>1013001</v>
      </c>
      <c r="AI3" s="0" t="n">
        <v>1013001</v>
      </c>
      <c r="AJ3" s="0" t="s">
        <v>2784</v>
      </c>
      <c r="AK3" s="0" t="n">
        <v>27798</v>
      </c>
      <c r="AL3" s="0" t="n">
        <v>96</v>
      </c>
      <c r="AM3" s="0" t="s">
        <v>225</v>
      </c>
      <c r="AR3" s="145" t="n">
        <v>43825</v>
      </c>
      <c r="AS3" s="146" t="n">
        <v>0.899849537037037</v>
      </c>
      <c r="AT3" s="105" t="n">
        <v>-24459.64</v>
      </c>
      <c r="AV3" s="0" t="n">
        <v>20</v>
      </c>
      <c r="AW3" s="0" t="n">
        <v>6</v>
      </c>
      <c r="AX3" s="105" t="n">
        <v>135886.91</v>
      </c>
      <c r="AY3" s="105" t="n">
        <v>135886.91</v>
      </c>
      <c r="AZ3" s="0" t="s">
        <v>2767</v>
      </c>
      <c r="BA3" s="0" t="s">
        <v>2796</v>
      </c>
      <c r="BB3" s="0" t="s">
        <v>2761</v>
      </c>
      <c r="BC3" s="0" t="s">
        <v>2762</v>
      </c>
      <c r="BD3" s="0" t="s">
        <v>2762</v>
      </c>
      <c r="BE3" s="0" t="n">
        <v>843542</v>
      </c>
      <c r="BF3" s="145" t="n">
        <v>43896.1097222222</v>
      </c>
      <c r="BG3" s="0" t="s">
        <v>2769</v>
      </c>
      <c r="BH3" s="0" t="n">
        <v>1389383</v>
      </c>
      <c r="BI3" s="0" t="s">
        <v>2797</v>
      </c>
      <c r="BJ3" s="0" t="n">
        <v>1</v>
      </c>
      <c r="BK3" s="0" t="s">
        <v>2798</v>
      </c>
      <c r="BL3" s="145" t="n">
        <v>43878.4236111111</v>
      </c>
      <c r="BM3" s="105" t="n">
        <v>-160346.55</v>
      </c>
    </row>
    <row r="4" customFormat="false" ht="14.4" hidden="false" customHeight="false" outlineLevel="0" collapsed="false">
      <c r="L4" s="105" t="n">
        <v>-176888.83</v>
      </c>
    </row>
    <row r="6" customFormat="false" ht="14.4" hidden="false" customHeight="false" outlineLevel="0" collapsed="false">
      <c r="A6" s="0" t="s">
        <v>92</v>
      </c>
      <c r="B6" s="0" t="s">
        <v>93</v>
      </c>
      <c r="C6" s="0" t="s">
        <v>94</v>
      </c>
      <c r="D6" s="0" t="s">
        <v>95</v>
      </c>
      <c r="E6" s="0" t="s">
        <v>96</v>
      </c>
      <c r="F6" s="0" t="s">
        <v>97</v>
      </c>
      <c r="G6" s="0" t="s">
        <v>2742</v>
      </c>
      <c r="H6" s="0" t="s">
        <v>98</v>
      </c>
      <c r="I6" s="0" t="s">
        <v>99</v>
      </c>
      <c r="J6" s="0" t="s">
        <v>1954</v>
      </c>
      <c r="K6" s="0" t="s">
        <v>101</v>
      </c>
      <c r="L6" s="0" t="s">
        <v>102</v>
      </c>
      <c r="M6" s="0" t="s">
        <v>104</v>
      </c>
      <c r="N6" s="0" t="s">
        <v>105</v>
      </c>
      <c r="O6" s="0" t="s">
        <v>106</v>
      </c>
      <c r="P6" s="0" t="s">
        <v>107</v>
      </c>
      <c r="Q6" s="0" t="s">
        <v>108</v>
      </c>
      <c r="R6" s="0" t="s">
        <v>109</v>
      </c>
      <c r="S6" s="0" t="s">
        <v>110</v>
      </c>
      <c r="T6" s="0" t="s">
        <v>111</v>
      </c>
      <c r="U6" s="0" t="s">
        <v>1955</v>
      </c>
      <c r="V6" s="0" t="s">
        <v>1956</v>
      </c>
      <c r="W6" s="0" t="s">
        <v>114</v>
      </c>
      <c r="X6" s="0" t="s">
        <v>2743</v>
      </c>
      <c r="Y6" s="0" t="s">
        <v>116</v>
      </c>
      <c r="Z6" s="0" t="s">
        <v>1959</v>
      </c>
      <c r="AA6" s="0" t="s">
        <v>118</v>
      </c>
      <c r="AB6" s="0" t="s">
        <v>119</v>
      </c>
      <c r="AC6" s="0" t="s">
        <v>120</v>
      </c>
      <c r="AD6" s="0" t="s">
        <v>121</v>
      </c>
      <c r="AE6" s="0" t="s">
        <v>122</v>
      </c>
      <c r="AF6" s="0" t="s">
        <v>123</v>
      </c>
      <c r="AG6" s="0" t="s">
        <v>124</v>
      </c>
      <c r="AH6" s="0" t="s">
        <v>125</v>
      </c>
      <c r="AI6" s="0" t="s">
        <v>126</v>
      </c>
      <c r="AJ6" s="0" t="s">
        <v>127</v>
      </c>
      <c r="AK6" s="0" t="s">
        <v>128</v>
      </c>
      <c r="AL6" s="0" t="s">
        <v>129</v>
      </c>
      <c r="AM6" s="0" t="s">
        <v>1960</v>
      </c>
      <c r="AN6" s="0" t="s">
        <v>1961</v>
      </c>
      <c r="AO6" s="0" t="s">
        <v>132</v>
      </c>
      <c r="AP6" s="0" t="s">
        <v>133</v>
      </c>
      <c r="AQ6" s="0" t="s">
        <v>134</v>
      </c>
      <c r="AR6" s="0" t="s">
        <v>135</v>
      </c>
      <c r="AS6" s="0" t="s">
        <v>136</v>
      </c>
      <c r="AT6" s="0" t="s">
        <v>137</v>
      </c>
      <c r="AU6" s="0" t="s">
        <v>138</v>
      </c>
      <c r="AV6" s="0" t="s">
        <v>139</v>
      </c>
      <c r="AW6" s="0" t="s">
        <v>140</v>
      </c>
      <c r="AX6" s="0" t="s">
        <v>141</v>
      </c>
      <c r="AY6" s="0" t="s">
        <v>2744</v>
      </c>
      <c r="AZ6" s="0" t="s">
        <v>2745</v>
      </c>
      <c r="BA6" s="0" t="s">
        <v>2746</v>
      </c>
      <c r="BB6" s="0" t="s">
        <v>2747</v>
      </c>
      <c r="BC6" s="0" t="s">
        <v>2748</v>
      </c>
      <c r="BD6" s="0" t="s">
        <v>2749</v>
      </c>
      <c r="BE6" s="0" t="s">
        <v>2750</v>
      </c>
      <c r="BF6" s="0" t="s">
        <v>2751</v>
      </c>
      <c r="BG6" s="0" t="s">
        <v>2752</v>
      </c>
      <c r="BH6" s="0" t="s">
        <v>2753</v>
      </c>
      <c r="BI6" s="0" t="s">
        <v>2754</v>
      </c>
      <c r="BJ6" s="0" t="s">
        <v>2755</v>
      </c>
      <c r="BK6" s="0" t="s">
        <v>2756</v>
      </c>
      <c r="BL6" s="0" t="s">
        <v>2757</v>
      </c>
      <c r="BM6" s="0" t="s">
        <v>2758</v>
      </c>
    </row>
    <row r="7" customFormat="false" ht="14.4" hidden="false" customHeight="false" outlineLevel="0" collapsed="false">
      <c r="A7" s="0" t="n">
        <v>1000</v>
      </c>
      <c r="B7" s="0" t="s">
        <v>1962</v>
      </c>
      <c r="C7" s="0" t="n">
        <v>110180</v>
      </c>
      <c r="D7" s="0" t="s">
        <v>2541</v>
      </c>
      <c r="E7" s="0" t="s">
        <v>1970</v>
      </c>
      <c r="F7" s="0" t="n">
        <v>1112</v>
      </c>
      <c r="G7" s="0" t="n">
        <v>90144163</v>
      </c>
      <c r="H7" s="0" t="n">
        <v>2019</v>
      </c>
      <c r="I7" s="0" t="n">
        <v>9</v>
      </c>
      <c r="J7" s="145" t="n">
        <v>43813</v>
      </c>
      <c r="K7" s="145" t="n">
        <v>43813</v>
      </c>
      <c r="L7" s="105" t="n">
        <v>184269.18</v>
      </c>
      <c r="M7" s="0" t="s">
        <v>149</v>
      </c>
      <c r="N7" s="105" t="n">
        <v>184269.18</v>
      </c>
      <c r="O7" s="0" t="s">
        <v>149</v>
      </c>
      <c r="P7" s="0" t="n">
        <v>0</v>
      </c>
      <c r="Q7" s="105" t="n">
        <v>28108.86</v>
      </c>
      <c r="R7" s="105" t="n">
        <v>156160.32</v>
      </c>
      <c r="S7" s="0" t="n">
        <v>0</v>
      </c>
      <c r="T7" s="0" t="n">
        <v>0</v>
      </c>
      <c r="U7" s="0" t="n">
        <v>312193</v>
      </c>
      <c r="V7" s="0" t="s">
        <v>1963</v>
      </c>
      <c r="Z7" s="0" t="n">
        <v>62187</v>
      </c>
      <c r="AB7" s="0" t="s">
        <v>2350</v>
      </c>
      <c r="AD7" s="0" t="n">
        <v>110000</v>
      </c>
      <c r="AE7" s="0" t="s">
        <v>1966</v>
      </c>
      <c r="AF7" s="0" t="n">
        <v>501005</v>
      </c>
      <c r="AG7" s="0" t="s">
        <v>2033</v>
      </c>
      <c r="AI7" s="0" t="n">
        <v>501005</v>
      </c>
      <c r="AJ7" s="0" t="s">
        <v>2033</v>
      </c>
      <c r="AK7" s="0" t="n">
        <v>0</v>
      </c>
      <c r="AL7" s="0" t="n">
        <v>1</v>
      </c>
      <c r="AM7" s="0" t="s">
        <v>161</v>
      </c>
      <c r="AP7" s="0" t="n">
        <v>100194025</v>
      </c>
      <c r="AQ7" s="145" t="n">
        <v>43824</v>
      </c>
      <c r="AR7" s="145" t="n">
        <v>43813</v>
      </c>
      <c r="AS7" s="146" t="n">
        <v>0.7484375</v>
      </c>
      <c r="AT7" s="0" t="n">
        <v>0</v>
      </c>
      <c r="AU7" s="0" t="n">
        <v>0</v>
      </c>
      <c r="AX7" s="0" t="n">
        <v>1</v>
      </c>
      <c r="AY7" s="105" t="n">
        <v>-184269.18</v>
      </c>
      <c r="AZ7" s="105" t="n">
        <v>-184269.18</v>
      </c>
      <c r="BA7" s="0" t="s">
        <v>2759</v>
      </c>
      <c r="BB7" s="0" t="s">
        <v>2760</v>
      </c>
      <c r="BC7" s="0" t="s">
        <v>2761</v>
      </c>
      <c r="BD7" s="0" t="s">
        <v>2762</v>
      </c>
      <c r="BE7" s="0" t="s">
        <v>2762</v>
      </c>
      <c r="BF7" s="0" t="n">
        <v>843542</v>
      </c>
      <c r="BG7" s="145" t="n">
        <v>43896.1097222222</v>
      </c>
      <c r="BH7" s="0" t="s">
        <v>2763</v>
      </c>
      <c r="BI7" s="0" t="n">
        <v>438880</v>
      </c>
      <c r="BJ7" s="0" t="s">
        <v>2764</v>
      </c>
      <c r="BK7" s="0" t="n">
        <v>1</v>
      </c>
      <c r="BL7" s="0" t="s">
        <v>2765</v>
      </c>
      <c r="BM7" s="145" t="n">
        <v>43867.9430555556</v>
      </c>
    </row>
    <row r="8" customFormat="false" ht="14.4" hidden="false" customHeight="false" outlineLevel="0" collapsed="false">
      <c r="L8" s="105" t="n">
        <v>184269.18</v>
      </c>
    </row>
    <row r="10" customFormat="false" ht="14.4" hidden="false" customHeight="false" outlineLevel="0" collapsed="false">
      <c r="K10" s="0" t="s">
        <v>2799</v>
      </c>
      <c r="L10" s="105" t="n">
        <v>7380.35</v>
      </c>
    </row>
    <row r="12" customFormat="false" ht="14.4" hidden="false" customHeight="false" outlineLevel="0" collapsed="false">
      <c r="A12" s="0" t="s">
        <v>92</v>
      </c>
      <c r="B12" s="0" t="s">
        <v>93</v>
      </c>
      <c r="C12" s="0" t="s">
        <v>94</v>
      </c>
      <c r="D12" s="0" t="s">
        <v>95</v>
      </c>
      <c r="E12" s="0" t="s">
        <v>96</v>
      </c>
      <c r="F12" s="0" t="s">
        <v>97</v>
      </c>
      <c r="G12" s="0" t="s">
        <v>2742</v>
      </c>
      <c r="H12" s="0" t="s">
        <v>98</v>
      </c>
      <c r="I12" s="0" t="s">
        <v>99</v>
      </c>
      <c r="J12" s="0" t="s">
        <v>1954</v>
      </c>
      <c r="K12" s="0" t="s">
        <v>101</v>
      </c>
      <c r="L12" s="0" t="s">
        <v>102</v>
      </c>
      <c r="M12" s="0" t="s">
        <v>104</v>
      </c>
      <c r="N12" s="0" t="s">
        <v>105</v>
      </c>
      <c r="O12" s="0" t="s">
        <v>106</v>
      </c>
      <c r="P12" s="0" t="s">
        <v>107</v>
      </c>
      <c r="Q12" s="0" t="s">
        <v>108</v>
      </c>
      <c r="R12" s="0" t="s">
        <v>109</v>
      </c>
      <c r="S12" s="0" t="s">
        <v>110</v>
      </c>
      <c r="T12" s="0" t="s">
        <v>111</v>
      </c>
      <c r="U12" s="0" t="s">
        <v>1955</v>
      </c>
      <c r="V12" s="0" t="s">
        <v>1956</v>
      </c>
      <c r="W12" s="0" t="s">
        <v>114</v>
      </c>
      <c r="X12" s="0" t="s">
        <v>2743</v>
      </c>
      <c r="Y12" s="0" t="s">
        <v>116</v>
      </c>
      <c r="Z12" s="0" t="s">
        <v>1959</v>
      </c>
      <c r="AA12" s="0" t="s">
        <v>118</v>
      </c>
      <c r="AB12" s="0" t="s">
        <v>119</v>
      </c>
      <c r="AC12" s="0" t="s">
        <v>120</v>
      </c>
      <c r="AD12" s="0" t="s">
        <v>121</v>
      </c>
      <c r="AE12" s="0" t="s">
        <v>122</v>
      </c>
      <c r="AF12" s="0" t="s">
        <v>123</v>
      </c>
      <c r="AG12" s="0" t="s">
        <v>124</v>
      </c>
      <c r="AH12" s="0" t="s">
        <v>125</v>
      </c>
      <c r="AI12" s="0" t="s">
        <v>126</v>
      </c>
      <c r="AJ12" s="0" t="s">
        <v>127</v>
      </c>
      <c r="AK12" s="0" t="s">
        <v>128</v>
      </c>
      <c r="AL12" s="0" t="s">
        <v>129</v>
      </c>
      <c r="AM12" s="0" t="s">
        <v>1960</v>
      </c>
      <c r="AN12" s="0" t="s">
        <v>1961</v>
      </c>
      <c r="AO12" s="0" t="s">
        <v>132</v>
      </c>
      <c r="AP12" s="0" t="s">
        <v>133</v>
      </c>
      <c r="AQ12" s="0" t="s">
        <v>134</v>
      </c>
      <c r="AR12" s="0" t="s">
        <v>135</v>
      </c>
      <c r="AS12" s="0" t="s">
        <v>136</v>
      </c>
      <c r="AT12" s="0" t="s">
        <v>137</v>
      </c>
      <c r="AU12" s="0" t="s">
        <v>139</v>
      </c>
      <c r="AV12" s="0" t="s">
        <v>140</v>
      </c>
      <c r="AW12" s="0" t="s">
        <v>141</v>
      </c>
      <c r="AX12" s="0" t="s">
        <v>2744</v>
      </c>
      <c r="AY12" s="0" t="s">
        <v>2745</v>
      </c>
      <c r="AZ12" s="0" t="s">
        <v>2746</v>
      </c>
      <c r="BA12" s="0" t="s">
        <v>2747</v>
      </c>
      <c r="BB12" s="0" t="s">
        <v>2748</v>
      </c>
      <c r="BC12" s="0" t="s">
        <v>2749</v>
      </c>
      <c r="BD12" s="0" t="s">
        <v>2750</v>
      </c>
      <c r="BE12" s="0" t="s">
        <v>2751</v>
      </c>
      <c r="BF12" s="0" t="s">
        <v>2752</v>
      </c>
      <c r="BG12" s="0" t="s">
        <v>2753</v>
      </c>
      <c r="BH12" s="0" t="s">
        <v>2754</v>
      </c>
      <c r="BI12" s="0" t="s">
        <v>2755</v>
      </c>
      <c r="BJ12" s="0" t="s">
        <v>2756</v>
      </c>
      <c r="BK12" s="0" t="s">
        <v>2757</v>
      </c>
      <c r="BL12" s="0" t="s">
        <v>2758</v>
      </c>
      <c r="BM12" s="0" t="s">
        <v>138</v>
      </c>
    </row>
    <row r="13" customFormat="false" ht="14.4" hidden="false" customHeight="false" outlineLevel="0" collapsed="false">
      <c r="A13" s="0" t="n">
        <v>1000</v>
      </c>
      <c r="B13" s="0" t="s">
        <v>143</v>
      </c>
      <c r="C13" s="0" t="n">
        <v>913146201</v>
      </c>
      <c r="D13" s="0" t="s">
        <v>2420</v>
      </c>
      <c r="E13" s="0" t="s">
        <v>2793</v>
      </c>
      <c r="F13" s="0" t="n">
        <v>9600</v>
      </c>
      <c r="G13" s="148" t="n">
        <v>370080000000000</v>
      </c>
      <c r="H13" s="0" t="n">
        <v>2020</v>
      </c>
      <c r="I13" s="0" t="n">
        <v>9</v>
      </c>
      <c r="J13" s="145" t="n">
        <v>43813</v>
      </c>
      <c r="K13" s="145" t="n">
        <v>43825</v>
      </c>
      <c r="L13" s="105" t="n">
        <v>-43218.24</v>
      </c>
      <c r="M13" s="0" t="s">
        <v>149</v>
      </c>
      <c r="N13" s="105" t="n">
        <v>-43218.24</v>
      </c>
      <c r="O13" s="0" t="s">
        <v>149</v>
      </c>
      <c r="P13" s="0" t="n">
        <v>0</v>
      </c>
      <c r="Q13" s="0" t="n">
        <v>0</v>
      </c>
      <c r="R13" s="105" t="n">
        <v>-43218.24</v>
      </c>
      <c r="S13" s="0" t="n">
        <v>0</v>
      </c>
      <c r="T13" s="0" t="n">
        <v>0</v>
      </c>
      <c r="U13" s="0" t="s">
        <v>150</v>
      </c>
      <c r="V13" s="0" t="s">
        <v>151</v>
      </c>
      <c r="X13" s="0" t="s">
        <v>2794</v>
      </c>
      <c r="Y13" s="0" t="s">
        <v>2800</v>
      </c>
      <c r="Z13" s="0" t="n">
        <v>913146201</v>
      </c>
      <c r="AA13" s="0" t="n">
        <v>86</v>
      </c>
      <c r="AB13" s="0" t="n">
        <v>3700800558</v>
      </c>
      <c r="AD13" s="0" t="n">
        <v>2408424</v>
      </c>
      <c r="AE13" s="0" t="s">
        <v>729</v>
      </c>
      <c r="AF13" s="0" t="n">
        <v>1013001</v>
      </c>
      <c r="AG13" s="0" t="s">
        <v>2784</v>
      </c>
      <c r="AH13" s="0" t="n">
        <v>1013001</v>
      </c>
      <c r="AI13" s="0" t="n">
        <v>1013001</v>
      </c>
      <c r="AJ13" s="0" t="s">
        <v>2784</v>
      </c>
      <c r="AK13" s="0" t="n">
        <v>27798</v>
      </c>
      <c r="AL13" s="0" t="n">
        <v>96</v>
      </c>
      <c r="AM13" s="0" t="s">
        <v>225</v>
      </c>
      <c r="AR13" s="145" t="n">
        <v>43825</v>
      </c>
      <c r="AS13" s="146" t="n">
        <v>0.904479166666667</v>
      </c>
      <c r="AT13" s="105" t="n">
        <v>-7779.28</v>
      </c>
      <c r="AV13" s="0" t="n">
        <v>10</v>
      </c>
      <c r="AW13" s="0" t="n">
        <v>2</v>
      </c>
      <c r="AX13" s="105" t="n">
        <v>43218.24</v>
      </c>
      <c r="AY13" s="105" t="n">
        <v>43218.24</v>
      </c>
      <c r="AZ13" s="0" t="s">
        <v>2767</v>
      </c>
      <c r="BA13" s="0" t="s">
        <v>2796</v>
      </c>
      <c r="BB13" s="0" t="s">
        <v>2761</v>
      </c>
      <c r="BC13" s="0" t="s">
        <v>2762</v>
      </c>
      <c r="BD13" s="0" t="s">
        <v>2762</v>
      </c>
      <c r="BE13" s="0" t="n">
        <v>843543</v>
      </c>
      <c r="BF13" s="145" t="n">
        <v>43896.1118055556</v>
      </c>
      <c r="BG13" s="0" t="s">
        <v>2769</v>
      </c>
      <c r="BH13" s="0" t="n">
        <v>1387532</v>
      </c>
      <c r="BI13" s="0" t="s">
        <v>2797</v>
      </c>
      <c r="BJ13" s="0" t="n">
        <v>1</v>
      </c>
      <c r="BK13" s="0" t="s">
        <v>2798</v>
      </c>
      <c r="BL13" s="145" t="n">
        <v>43878.4236111111</v>
      </c>
      <c r="BM13" s="105" t="n">
        <v>-50997.52</v>
      </c>
    </row>
    <row r="14" customFormat="false" ht="14.4" hidden="false" customHeight="false" outlineLevel="0" collapsed="false">
      <c r="A14" s="0" t="n">
        <v>1000</v>
      </c>
      <c r="B14" s="0" t="s">
        <v>143</v>
      </c>
      <c r="C14" s="0" t="n">
        <v>913146201</v>
      </c>
      <c r="D14" s="0" t="s">
        <v>2420</v>
      </c>
      <c r="E14" s="0" t="s">
        <v>2793</v>
      </c>
      <c r="F14" s="0" t="n">
        <v>9600</v>
      </c>
      <c r="G14" s="148" t="n">
        <v>370080000000000</v>
      </c>
      <c r="H14" s="0" t="n">
        <v>2020</v>
      </c>
      <c r="I14" s="0" t="n">
        <v>9</v>
      </c>
      <c r="J14" s="145" t="n">
        <v>43813</v>
      </c>
      <c r="K14" s="145" t="n">
        <v>43825</v>
      </c>
      <c r="L14" s="105" t="n">
        <v>-139526.74</v>
      </c>
      <c r="M14" s="0" t="s">
        <v>149</v>
      </c>
      <c r="N14" s="105" t="n">
        <v>-139526.74</v>
      </c>
      <c r="O14" s="0" t="s">
        <v>149</v>
      </c>
      <c r="P14" s="0" t="n">
        <v>0</v>
      </c>
      <c r="Q14" s="0" t="n">
        <v>0</v>
      </c>
      <c r="R14" s="105" t="n">
        <v>-139526.74</v>
      </c>
      <c r="S14" s="0" t="n">
        <v>0</v>
      </c>
      <c r="T14" s="0" t="n">
        <v>0</v>
      </c>
      <c r="U14" s="0" t="s">
        <v>150</v>
      </c>
      <c r="V14" s="0" t="s">
        <v>151</v>
      </c>
      <c r="X14" s="0" t="s">
        <v>2794</v>
      </c>
      <c r="Y14" s="0" t="s">
        <v>2800</v>
      </c>
      <c r="Z14" s="0" t="n">
        <v>913146201</v>
      </c>
      <c r="AA14" s="0" t="n">
        <v>86</v>
      </c>
      <c r="AB14" s="0" t="n">
        <v>3700800558</v>
      </c>
      <c r="AD14" s="0" t="n">
        <v>2408424</v>
      </c>
      <c r="AE14" s="0" t="s">
        <v>729</v>
      </c>
      <c r="AF14" s="0" t="n">
        <v>1013001</v>
      </c>
      <c r="AG14" s="0" t="s">
        <v>2784</v>
      </c>
      <c r="AH14" s="0" t="n">
        <v>1013001</v>
      </c>
      <c r="AI14" s="0" t="n">
        <v>1013001</v>
      </c>
      <c r="AJ14" s="0" t="s">
        <v>2784</v>
      </c>
      <c r="AK14" s="0" t="n">
        <v>27798</v>
      </c>
      <c r="AL14" s="0" t="n">
        <v>96</v>
      </c>
      <c r="AM14" s="0" t="s">
        <v>225</v>
      </c>
      <c r="AR14" s="145" t="n">
        <v>43825</v>
      </c>
      <c r="AS14" s="146" t="n">
        <v>0.904479166666667</v>
      </c>
      <c r="AT14" s="105" t="n">
        <v>-25114.81</v>
      </c>
      <c r="AV14" s="0" t="n">
        <v>20</v>
      </c>
      <c r="AW14" s="0" t="n">
        <v>6</v>
      </c>
      <c r="AX14" s="105" t="n">
        <v>139526.74</v>
      </c>
      <c r="AY14" s="105" t="n">
        <v>139526.74</v>
      </c>
      <c r="AZ14" s="0" t="s">
        <v>2767</v>
      </c>
      <c r="BA14" s="0" t="s">
        <v>2796</v>
      </c>
      <c r="BB14" s="0" t="s">
        <v>2761</v>
      </c>
      <c r="BC14" s="0" t="s">
        <v>2762</v>
      </c>
      <c r="BD14" s="0" t="s">
        <v>2762</v>
      </c>
      <c r="BE14" s="0" t="n">
        <v>843543</v>
      </c>
      <c r="BF14" s="145" t="n">
        <v>43896.1118055556</v>
      </c>
      <c r="BG14" s="0" t="s">
        <v>2769</v>
      </c>
      <c r="BH14" s="0" t="n">
        <v>1389551</v>
      </c>
      <c r="BI14" s="0" t="s">
        <v>2797</v>
      </c>
      <c r="BJ14" s="0" t="n">
        <v>1</v>
      </c>
      <c r="BK14" s="0" t="s">
        <v>2798</v>
      </c>
      <c r="BL14" s="145" t="n">
        <v>43878.4236111111</v>
      </c>
      <c r="BM14" s="105" t="n">
        <v>-164641.55</v>
      </c>
    </row>
    <row r="15" customFormat="false" ht="14.4" hidden="false" customHeight="false" outlineLevel="0" collapsed="false">
      <c r="L15" s="105" t="n">
        <v>-182744.98</v>
      </c>
    </row>
    <row r="17" customFormat="false" ht="14.4" hidden="false" customHeight="false" outlineLevel="0" collapsed="false">
      <c r="A17" s="0" t="s">
        <v>92</v>
      </c>
      <c r="B17" s="0" t="s">
        <v>93</v>
      </c>
      <c r="C17" s="0" t="s">
        <v>94</v>
      </c>
      <c r="D17" s="0" t="s">
        <v>95</v>
      </c>
      <c r="E17" s="0" t="s">
        <v>96</v>
      </c>
      <c r="F17" s="0" t="s">
        <v>97</v>
      </c>
      <c r="G17" s="0" t="s">
        <v>2742</v>
      </c>
      <c r="H17" s="0" t="s">
        <v>98</v>
      </c>
      <c r="I17" s="0" t="s">
        <v>99</v>
      </c>
      <c r="J17" s="0" t="s">
        <v>1954</v>
      </c>
      <c r="K17" s="0" t="s">
        <v>101</v>
      </c>
      <c r="L17" s="0" t="s">
        <v>102</v>
      </c>
      <c r="M17" s="0" t="s">
        <v>104</v>
      </c>
      <c r="N17" s="0" t="s">
        <v>105</v>
      </c>
      <c r="O17" s="0" t="s">
        <v>106</v>
      </c>
      <c r="P17" s="0" t="s">
        <v>107</v>
      </c>
      <c r="Q17" s="0" t="s">
        <v>108</v>
      </c>
      <c r="R17" s="0" t="s">
        <v>109</v>
      </c>
      <c r="S17" s="0" t="s">
        <v>110</v>
      </c>
      <c r="T17" s="0" t="s">
        <v>111</v>
      </c>
      <c r="U17" s="0" t="s">
        <v>1955</v>
      </c>
      <c r="V17" s="0" t="s">
        <v>1956</v>
      </c>
      <c r="W17" s="0" t="s">
        <v>114</v>
      </c>
      <c r="X17" s="0" t="s">
        <v>2743</v>
      </c>
      <c r="Y17" s="0" t="s">
        <v>116</v>
      </c>
      <c r="Z17" s="0" t="s">
        <v>1959</v>
      </c>
      <c r="AA17" s="0" t="s">
        <v>118</v>
      </c>
      <c r="AB17" s="0" t="s">
        <v>119</v>
      </c>
      <c r="AC17" s="0" t="s">
        <v>120</v>
      </c>
      <c r="AD17" s="0" t="s">
        <v>121</v>
      </c>
      <c r="AE17" s="0" t="s">
        <v>122</v>
      </c>
      <c r="AF17" s="0" t="s">
        <v>123</v>
      </c>
      <c r="AG17" s="0" t="s">
        <v>124</v>
      </c>
      <c r="AH17" s="0" t="s">
        <v>125</v>
      </c>
      <c r="AI17" s="0" t="s">
        <v>126</v>
      </c>
      <c r="AJ17" s="0" t="s">
        <v>127</v>
      </c>
      <c r="AK17" s="0" t="s">
        <v>128</v>
      </c>
      <c r="AL17" s="0" t="s">
        <v>129</v>
      </c>
      <c r="AM17" s="0" t="s">
        <v>1960</v>
      </c>
      <c r="AN17" s="0" t="s">
        <v>1961</v>
      </c>
      <c r="AO17" s="0" t="s">
        <v>132</v>
      </c>
      <c r="AP17" s="0" t="s">
        <v>133</v>
      </c>
      <c r="AQ17" s="0" t="s">
        <v>134</v>
      </c>
      <c r="AR17" s="0" t="s">
        <v>135</v>
      </c>
      <c r="AS17" s="0" t="s">
        <v>136</v>
      </c>
      <c r="AT17" s="0" t="s">
        <v>137</v>
      </c>
      <c r="AU17" s="0" t="s">
        <v>138</v>
      </c>
      <c r="AV17" s="0" t="s">
        <v>139</v>
      </c>
      <c r="AW17" s="0" t="s">
        <v>140</v>
      </c>
      <c r="AX17" s="0" t="s">
        <v>141</v>
      </c>
      <c r="AY17" s="0" t="s">
        <v>2744</v>
      </c>
      <c r="AZ17" s="0" t="s">
        <v>2745</v>
      </c>
      <c r="BA17" s="0" t="s">
        <v>2746</v>
      </c>
      <c r="BB17" s="0" t="s">
        <v>2747</v>
      </c>
      <c r="BC17" s="0" t="s">
        <v>2748</v>
      </c>
      <c r="BD17" s="0" t="s">
        <v>2749</v>
      </c>
      <c r="BE17" s="0" t="s">
        <v>2750</v>
      </c>
      <c r="BF17" s="0" t="s">
        <v>2751</v>
      </c>
      <c r="BG17" s="0" t="s">
        <v>2752</v>
      </c>
      <c r="BH17" s="0" t="s">
        <v>2753</v>
      </c>
      <c r="BI17" s="0" t="s">
        <v>2754</v>
      </c>
      <c r="BJ17" s="0" t="s">
        <v>2755</v>
      </c>
      <c r="BK17" s="0" t="s">
        <v>2756</v>
      </c>
      <c r="BL17" s="0" t="s">
        <v>2757</v>
      </c>
      <c r="BM17" s="0" t="s">
        <v>2758</v>
      </c>
    </row>
    <row r="18" customFormat="false" ht="14.4" hidden="false" customHeight="false" outlineLevel="0" collapsed="false">
      <c r="A18" s="0" t="n">
        <v>1000</v>
      </c>
      <c r="B18" s="0" t="s">
        <v>1962</v>
      </c>
      <c r="C18" s="0" t="n">
        <v>110183</v>
      </c>
      <c r="D18" s="0" t="s">
        <v>2420</v>
      </c>
      <c r="E18" s="0" t="s">
        <v>1970</v>
      </c>
      <c r="F18" s="0" t="n">
        <v>1112</v>
      </c>
      <c r="G18" s="0" t="n">
        <v>90144166</v>
      </c>
      <c r="H18" s="0" t="n">
        <v>2019</v>
      </c>
      <c r="I18" s="0" t="n">
        <v>9</v>
      </c>
      <c r="J18" s="145" t="n">
        <v>43813</v>
      </c>
      <c r="K18" s="145" t="n">
        <v>43813</v>
      </c>
      <c r="L18" s="105" t="n">
        <v>190524.26</v>
      </c>
      <c r="M18" s="0" t="s">
        <v>149</v>
      </c>
      <c r="N18" s="105" t="n">
        <v>190524.26</v>
      </c>
      <c r="O18" s="0" t="s">
        <v>149</v>
      </c>
      <c r="P18" s="0" t="n">
        <v>0</v>
      </c>
      <c r="Q18" s="105" t="n">
        <v>29063.02</v>
      </c>
      <c r="R18" s="105" t="n">
        <v>161461.24</v>
      </c>
      <c r="S18" s="0" t="n">
        <v>0</v>
      </c>
      <c r="T18" s="0" t="n">
        <v>0</v>
      </c>
      <c r="U18" s="0" t="n">
        <v>312193</v>
      </c>
      <c r="V18" s="0" t="s">
        <v>1963</v>
      </c>
      <c r="Z18" s="0" t="n">
        <v>62147</v>
      </c>
      <c r="AB18" s="0" t="s">
        <v>2350</v>
      </c>
      <c r="AD18" s="0" t="n">
        <v>110000</v>
      </c>
      <c r="AE18" s="0" t="s">
        <v>1966</v>
      </c>
      <c r="AF18" s="0" t="n">
        <v>501005</v>
      </c>
      <c r="AG18" s="0" t="s">
        <v>2033</v>
      </c>
      <c r="AI18" s="0" t="n">
        <v>501005</v>
      </c>
      <c r="AJ18" s="0" t="s">
        <v>2033</v>
      </c>
      <c r="AK18" s="0" t="n">
        <v>0</v>
      </c>
      <c r="AL18" s="0" t="n">
        <v>1</v>
      </c>
      <c r="AM18" s="0" t="s">
        <v>161</v>
      </c>
      <c r="AP18" s="0" t="n">
        <v>100194025</v>
      </c>
      <c r="AQ18" s="145" t="n">
        <v>43824</v>
      </c>
      <c r="AR18" s="145" t="n">
        <v>43813</v>
      </c>
      <c r="AS18" s="146" t="n">
        <v>0.770162037037037</v>
      </c>
      <c r="AT18" s="0" t="n">
        <v>0</v>
      </c>
      <c r="AU18" s="0" t="n">
        <v>0</v>
      </c>
      <c r="AX18" s="0" t="n">
        <v>1</v>
      </c>
      <c r="AY18" s="105" t="n">
        <v>-190524.26</v>
      </c>
      <c r="AZ18" s="105" t="n">
        <v>-190524.26</v>
      </c>
      <c r="BA18" s="0" t="s">
        <v>2759</v>
      </c>
      <c r="BB18" s="0" t="s">
        <v>2760</v>
      </c>
      <c r="BC18" s="0" t="s">
        <v>2761</v>
      </c>
      <c r="BD18" s="0" t="s">
        <v>2762</v>
      </c>
      <c r="BE18" s="0" t="s">
        <v>2762</v>
      </c>
      <c r="BF18" s="0" t="n">
        <v>843543</v>
      </c>
      <c r="BG18" s="145" t="n">
        <v>43896.1118055556</v>
      </c>
      <c r="BH18" s="0" t="s">
        <v>2763</v>
      </c>
      <c r="BI18" s="0" t="n">
        <v>438517</v>
      </c>
      <c r="BJ18" s="0" t="s">
        <v>2764</v>
      </c>
      <c r="BK18" s="0" t="n">
        <v>1</v>
      </c>
      <c r="BL18" s="0" t="s">
        <v>2765</v>
      </c>
      <c r="BM18" s="145" t="n">
        <v>43867.9430555556</v>
      </c>
    </row>
    <row r="19" customFormat="false" ht="14.4" hidden="false" customHeight="false" outlineLevel="0" collapsed="false">
      <c r="L19" s="105" t="n">
        <v>190524.26</v>
      </c>
    </row>
    <row r="21" customFormat="false" ht="14.4" hidden="false" customHeight="false" outlineLevel="0" collapsed="false">
      <c r="L21" s="105" t="n">
        <v>7779.28</v>
      </c>
    </row>
    <row r="24" customFormat="false" ht="14.4" hidden="false" customHeight="false" outlineLevel="0" collapsed="false">
      <c r="I24" s="0" t="s">
        <v>2801</v>
      </c>
      <c r="L24" s="147" t="n">
        <f aca="false">L21+L10</f>
        <v>15159.63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C12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D10" activeCellId="0" sqref="D10"/>
    </sheetView>
  </sheetViews>
  <sheetFormatPr defaultRowHeight="13.8" zeroHeight="false" outlineLevelRow="0" outlineLevelCol="0"/>
  <cols>
    <col collapsed="false" customWidth="true" hidden="false" outlineLevel="0" max="1" min="1" style="71" width="27"/>
    <col collapsed="false" customWidth="true" hidden="false" outlineLevel="0" max="2" min="2" style="71" width="17.44"/>
    <col collapsed="false" customWidth="true" hidden="false" outlineLevel="0" max="3" min="3" style="71" width="14.33"/>
    <col collapsed="false" customWidth="true" hidden="false" outlineLevel="0" max="1025" min="4" style="71" width="9.11"/>
  </cols>
  <sheetData>
    <row r="3" customFormat="false" ht="13.8" hidden="false" customHeight="false" outlineLevel="0" collapsed="false">
      <c r="A3" s="149" t="s">
        <v>2802</v>
      </c>
      <c r="B3" s="150" t="s">
        <v>2803</v>
      </c>
      <c r="C3" s="151" t="s">
        <v>2804</v>
      </c>
    </row>
    <row r="4" customFormat="false" ht="13.8" hidden="false" customHeight="false" outlineLevel="0" collapsed="false">
      <c r="A4" s="152" t="s">
        <v>1962</v>
      </c>
      <c r="B4" s="153"/>
      <c r="C4" s="154" t="n">
        <v>76167603.28</v>
      </c>
    </row>
    <row r="5" customFormat="false" ht="13.8" hidden="false" customHeight="false" outlineLevel="0" collapsed="false">
      <c r="A5" s="155"/>
      <c r="B5" s="156" t="s">
        <v>2805</v>
      </c>
      <c r="C5" s="157" t="n">
        <v>-220301.86</v>
      </c>
    </row>
    <row r="6" customFormat="false" ht="13.8" hidden="false" customHeight="false" outlineLevel="0" collapsed="false">
      <c r="A6" s="158"/>
      <c r="B6" s="159" t="s">
        <v>2760</v>
      </c>
      <c r="C6" s="160" t="n">
        <v>76387905.14</v>
      </c>
    </row>
    <row r="7" customFormat="false" ht="13.8" hidden="false" customHeight="false" outlineLevel="0" collapsed="false">
      <c r="A7" s="152" t="s">
        <v>143</v>
      </c>
      <c r="B7" s="153"/>
      <c r="C7" s="154" t="n">
        <v>-60765052.99</v>
      </c>
    </row>
    <row r="8" customFormat="false" ht="13.8" hidden="false" customHeight="false" outlineLevel="0" collapsed="false">
      <c r="A8" s="155"/>
      <c r="B8" s="156" t="s">
        <v>2806</v>
      </c>
      <c r="C8" s="157" t="n">
        <v>-5923719.69</v>
      </c>
    </row>
    <row r="9" customFormat="false" ht="13.8" hidden="false" customHeight="false" outlineLevel="0" collapsed="false">
      <c r="A9" s="155"/>
      <c r="B9" s="156" t="s">
        <v>2807</v>
      </c>
      <c r="C9" s="157" t="n">
        <v>0</v>
      </c>
    </row>
    <row r="10" customFormat="false" ht="13.8" hidden="false" customHeight="false" outlineLevel="0" collapsed="false">
      <c r="A10" s="155"/>
      <c r="B10" s="156" t="s">
        <v>2796</v>
      </c>
      <c r="C10" s="157" t="n">
        <v>-40165626.49</v>
      </c>
    </row>
    <row r="11" customFormat="false" ht="13.8" hidden="false" customHeight="false" outlineLevel="0" collapsed="false">
      <c r="A11" s="158"/>
      <c r="B11" s="159" t="s">
        <v>2768</v>
      </c>
      <c r="C11" s="160" t="n">
        <v>-14675706.81</v>
      </c>
    </row>
    <row r="12" customFormat="false" ht="13.8" hidden="false" customHeight="false" outlineLevel="0" collapsed="false">
      <c r="A12" s="161" t="s">
        <v>2808</v>
      </c>
      <c r="B12" s="162"/>
      <c r="C12" s="163" t="n">
        <v>15402550.29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9.14"/>
  </cols>
  <sheetData>
    <row r="1" customFormat="false" ht="12.8" hidden="false" customHeight="false" outlineLevel="0" collapsed="false">
      <c r="A1" s="0" t="s">
        <v>2802</v>
      </c>
      <c r="B1" s="0" t="s">
        <v>121</v>
      </c>
      <c r="C1" s="0" t="s">
        <v>2803</v>
      </c>
      <c r="D1" s="0" t="s">
        <v>2809</v>
      </c>
    </row>
    <row r="2" customFormat="false" ht="12.8" hidden="false" customHeight="false" outlineLevel="0" collapsed="false">
      <c r="A2" s="0" t="s">
        <v>1962</v>
      </c>
      <c r="B2" s="0" t="n">
        <v>304431</v>
      </c>
      <c r="C2" s="0" t="s">
        <v>2805</v>
      </c>
      <c r="D2" s="0" t="n">
        <v>-9550.06</v>
      </c>
    </row>
    <row r="3" customFormat="false" ht="12.8" hidden="false" customHeight="false" outlineLevel="0" collapsed="false">
      <c r="A3" s="0" t="s">
        <v>1962</v>
      </c>
      <c r="B3" s="0" t="n">
        <v>304431</v>
      </c>
      <c r="C3" s="0" t="s">
        <v>2760</v>
      </c>
      <c r="D3" s="0" t="n">
        <v>1066516.14</v>
      </c>
    </row>
    <row r="4" customFormat="false" ht="12.8" hidden="false" customHeight="false" outlineLevel="0" collapsed="false">
      <c r="A4" s="0" t="s">
        <v>1962</v>
      </c>
      <c r="B4" s="0" t="n">
        <v>305576</v>
      </c>
      <c r="C4" s="0" t="s">
        <v>2805</v>
      </c>
      <c r="D4" s="0" t="n">
        <v>-23823.52</v>
      </c>
    </row>
    <row r="5" customFormat="false" ht="12.8" hidden="false" customHeight="false" outlineLevel="0" collapsed="false">
      <c r="A5" s="0" t="s">
        <v>1962</v>
      </c>
      <c r="B5" s="0" t="n">
        <v>305576</v>
      </c>
      <c r="C5" s="0" t="s">
        <v>2760</v>
      </c>
      <c r="D5" s="0" t="n">
        <v>6366355.9</v>
      </c>
    </row>
    <row r="6" customFormat="false" ht="12.8" hidden="false" customHeight="false" outlineLevel="0" collapsed="false">
      <c r="A6" s="0" t="s">
        <v>1962</v>
      </c>
      <c r="B6" s="0" t="n">
        <v>306263</v>
      </c>
      <c r="C6" s="0" t="s">
        <v>2805</v>
      </c>
      <c r="D6" s="0" t="n">
        <v>0</v>
      </c>
    </row>
    <row r="7" customFormat="false" ht="12.8" hidden="false" customHeight="false" outlineLevel="0" collapsed="false">
      <c r="A7" s="0" t="s">
        <v>1962</v>
      </c>
      <c r="B7" s="0" t="n">
        <v>306263</v>
      </c>
      <c r="C7" s="0" t="s">
        <v>2760</v>
      </c>
      <c r="D7" s="0" t="n">
        <v>2107461.72</v>
      </c>
    </row>
    <row r="8" customFormat="false" ht="12.8" hidden="false" customHeight="false" outlineLevel="0" collapsed="false">
      <c r="A8" s="0" t="s">
        <v>1962</v>
      </c>
      <c r="B8" s="0" t="n">
        <v>306546</v>
      </c>
      <c r="C8" s="0" t="s">
        <v>2805</v>
      </c>
      <c r="D8" s="0" t="n">
        <v>0</v>
      </c>
    </row>
    <row r="9" customFormat="false" ht="12.8" hidden="false" customHeight="false" outlineLevel="0" collapsed="false">
      <c r="A9" s="0" t="s">
        <v>1962</v>
      </c>
      <c r="B9" s="0" t="n">
        <v>306546</v>
      </c>
      <c r="C9" s="0" t="s">
        <v>2760</v>
      </c>
      <c r="D9" s="0" t="n">
        <v>0</v>
      </c>
    </row>
    <row r="10" customFormat="false" ht="12.8" hidden="false" customHeight="false" outlineLevel="0" collapsed="false">
      <c r="A10" s="0" t="s">
        <v>1962</v>
      </c>
      <c r="B10" s="0" t="n">
        <v>307259</v>
      </c>
      <c r="C10" s="0" t="s">
        <v>2805</v>
      </c>
      <c r="D10" s="0" t="n">
        <v>0</v>
      </c>
    </row>
    <row r="11" customFormat="false" ht="12.8" hidden="false" customHeight="false" outlineLevel="0" collapsed="false">
      <c r="A11" s="0" t="s">
        <v>1962</v>
      </c>
      <c r="B11" s="0" t="n">
        <v>307259</v>
      </c>
      <c r="C11" s="0" t="s">
        <v>2760</v>
      </c>
      <c r="D11" s="0" t="n">
        <v>0</v>
      </c>
    </row>
    <row r="12" customFormat="false" ht="12.8" hidden="false" customHeight="false" outlineLevel="0" collapsed="false">
      <c r="A12" s="0" t="s">
        <v>1962</v>
      </c>
      <c r="B12" s="0" t="n">
        <v>309085</v>
      </c>
      <c r="C12" s="0" t="s">
        <v>2805</v>
      </c>
      <c r="D12" s="0" t="n">
        <v>-112395.64</v>
      </c>
    </row>
    <row r="13" customFormat="false" ht="12.8" hidden="false" customHeight="false" outlineLevel="0" collapsed="false">
      <c r="A13" s="0" t="s">
        <v>1962</v>
      </c>
      <c r="B13" s="0" t="n">
        <v>309085</v>
      </c>
      <c r="C13" s="0" t="s">
        <v>2760</v>
      </c>
      <c r="D13" s="0" t="n">
        <v>0</v>
      </c>
    </row>
    <row r="14" customFormat="false" ht="12.8" hidden="false" customHeight="false" outlineLevel="0" collapsed="false">
      <c r="A14" s="0" t="s">
        <v>1962</v>
      </c>
      <c r="B14" s="0" t="n">
        <v>309556</v>
      </c>
      <c r="C14" s="0" t="s">
        <v>2805</v>
      </c>
      <c r="D14" s="0" t="n">
        <v>-8761.83</v>
      </c>
    </row>
    <row r="15" customFormat="false" ht="12.8" hidden="false" customHeight="false" outlineLevel="0" collapsed="false">
      <c r="A15" s="0" t="s">
        <v>1962</v>
      </c>
      <c r="B15" s="0" t="n">
        <v>309728</v>
      </c>
      <c r="C15" s="0" t="s">
        <v>2805</v>
      </c>
      <c r="D15" s="0" t="n">
        <v>0</v>
      </c>
    </row>
    <row r="16" customFormat="false" ht="12.8" hidden="false" customHeight="false" outlineLevel="0" collapsed="false">
      <c r="A16" s="0" t="s">
        <v>1962</v>
      </c>
      <c r="B16" s="0" t="n">
        <v>309728</v>
      </c>
      <c r="C16" s="0" t="s">
        <v>2760</v>
      </c>
      <c r="D16" s="0" t="n">
        <v>5949626.68</v>
      </c>
    </row>
    <row r="17" customFormat="false" ht="12.8" hidden="false" customHeight="false" outlineLevel="0" collapsed="false">
      <c r="A17" s="0" t="s">
        <v>1962</v>
      </c>
      <c r="B17" s="0" t="n">
        <v>309990</v>
      </c>
      <c r="C17" s="0" t="s">
        <v>2760</v>
      </c>
      <c r="D17" s="0" t="n">
        <v>981760</v>
      </c>
    </row>
    <row r="18" customFormat="false" ht="12.8" hidden="false" customHeight="false" outlineLevel="0" collapsed="false">
      <c r="A18" s="0" t="s">
        <v>1962</v>
      </c>
      <c r="B18" s="0" t="n">
        <v>310187</v>
      </c>
      <c r="C18" s="0" t="s">
        <v>2805</v>
      </c>
      <c r="D18" s="0" t="n">
        <v>-22722.34</v>
      </c>
    </row>
    <row r="19" customFormat="false" ht="12.8" hidden="false" customHeight="false" outlineLevel="0" collapsed="false">
      <c r="A19" s="0" t="s">
        <v>1962</v>
      </c>
      <c r="B19" s="0" t="n">
        <v>310187</v>
      </c>
      <c r="C19" s="0" t="s">
        <v>2760</v>
      </c>
      <c r="D19" s="0" t="n">
        <v>0</v>
      </c>
    </row>
    <row r="20" customFormat="false" ht="12.8" hidden="false" customHeight="false" outlineLevel="0" collapsed="false">
      <c r="A20" s="0" t="s">
        <v>1962</v>
      </c>
      <c r="B20" s="0" t="n">
        <v>310521</v>
      </c>
      <c r="C20" s="0" t="s">
        <v>2760</v>
      </c>
      <c r="D20" s="0" t="n">
        <v>1809.48</v>
      </c>
    </row>
    <row r="21" customFormat="false" ht="12.8" hidden="false" customHeight="false" outlineLevel="0" collapsed="false">
      <c r="A21" s="0" t="s">
        <v>1962</v>
      </c>
      <c r="B21" s="0" t="n">
        <v>310653</v>
      </c>
      <c r="C21" s="0" t="s">
        <v>2760</v>
      </c>
      <c r="D21" s="0" t="n">
        <v>439071.65</v>
      </c>
    </row>
    <row r="22" customFormat="false" ht="12.8" hidden="false" customHeight="false" outlineLevel="0" collapsed="false">
      <c r="A22" s="0" t="s">
        <v>1962</v>
      </c>
      <c r="B22" s="0" t="n">
        <v>311155</v>
      </c>
      <c r="C22" s="0" t="s">
        <v>2805</v>
      </c>
      <c r="D22" s="0" t="n">
        <v>0</v>
      </c>
    </row>
    <row r="23" customFormat="false" ht="12.8" hidden="false" customHeight="false" outlineLevel="0" collapsed="false">
      <c r="A23" s="0" t="s">
        <v>1962</v>
      </c>
      <c r="B23" s="0" t="n">
        <v>311155</v>
      </c>
      <c r="C23" s="0" t="s">
        <v>2760</v>
      </c>
      <c r="D23" s="0" t="n">
        <v>0</v>
      </c>
    </row>
    <row r="24" customFormat="false" ht="12.8" hidden="false" customHeight="false" outlineLevel="0" collapsed="false">
      <c r="A24" s="0" t="s">
        <v>1962</v>
      </c>
      <c r="B24" s="0" t="n">
        <v>311959</v>
      </c>
      <c r="C24" s="0" t="s">
        <v>2760</v>
      </c>
      <c r="D24" s="0" t="n">
        <v>2067.06</v>
      </c>
    </row>
    <row r="25" customFormat="false" ht="12.8" hidden="false" customHeight="false" outlineLevel="0" collapsed="false">
      <c r="A25" s="0" t="s">
        <v>1962</v>
      </c>
      <c r="B25" s="0" t="n">
        <v>312193</v>
      </c>
      <c r="C25" s="0" t="s">
        <v>2805</v>
      </c>
      <c r="D25" s="0" t="n">
        <v>-34258.47</v>
      </c>
    </row>
    <row r="26" customFormat="false" ht="12.8" hidden="false" customHeight="false" outlineLevel="0" collapsed="false">
      <c r="A26" s="0" t="s">
        <v>1962</v>
      </c>
      <c r="B26" s="0" t="n">
        <v>312193</v>
      </c>
      <c r="C26" s="0" t="s">
        <v>2760</v>
      </c>
      <c r="D26" s="0" t="n">
        <v>56105404.65</v>
      </c>
    </row>
    <row r="27" customFormat="false" ht="12.8" hidden="false" customHeight="false" outlineLevel="0" collapsed="false">
      <c r="A27" s="0" t="s">
        <v>1962</v>
      </c>
      <c r="B27" s="0" t="n">
        <v>312351</v>
      </c>
      <c r="C27" s="0" t="s">
        <v>2805</v>
      </c>
      <c r="D27" s="0" t="n">
        <v>0</v>
      </c>
    </row>
    <row r="28" customFormat="false" ht="12.8" hidden="false" customHeight="false" outlineLevel="0" collapsed="false">
      <c r="A28" s="0" t="s">
        <v>1962</v>
      </c>
      <c r="B28" s="0" t="n">
        <v>312351</v>
      </c>
      <c r="C28" s="0" t="s">
        <v>2760</v>
      </c>
      <c r="D28" s="0" t="n">
        <v>207163.47</v>
      </c>
    </row>
    <row r="29" customFormat="false" ht="12.8" hidden="false" customHeight="false" outlineLevel="0" collapsed="false">
      <c r="A29" s="0" t="s">
        <v>1962</v>
      </c>
      <c r="B29" s="0" t="n">
        <v>312948</v>
      </c>
      <c r="C29" s="0" t="s">
        <v>2805</v>
      </c>
      <c r="D29" s="0" t="n">
        <v>0</v>
      </c>
    </row>
    <row r="30" customFormat="false" ht="12.8" hidden="false" customHeight="false" outlineLevel="0" collapsed="false">
      <c r="A30" s="0" t="s">
        <v>1962</v>
      </c>
      <c r="B30" s="0" t="n">
        <v>312948</v>
      </c>
      <c r="C30" s="0" t="s">
        <v>2760</v>
      </c>
      <c r="D30" s="0" t="n">
        <v>1504141.46</v>
      </c>
    </row>
    <row r="31" customFormat="false" ht="12.8" hidden="false" customHeight="false" outlineLevel="0" collapsed="false">
      <c r="A31" s="0" t="s">
        <v>1962</v>
      </c>
      <c r="B31" s="0" t="n">
        <v>313029</v>
      </c>
      <c r="C31" s="0" t="s">
        <v>2805</v>
      </c>
      <c r="D31" s="0" t="n">
        <v>0</v>
      </c>
    </row>
    <row r="32" customFormat="false" ht="12.8" hidden="false" customHeight="false" outlineLevel="0" collapsed="false">
      <c r="A32" s="0" t="s">
        <v>1962</v>
      </c>
      <c r="B32" s="0" t="n">
        <v>313029</v>
      </c>
      <c r="C32" s="0" t="s">
        <v>2760</v>
      </c>
      <c r="D32" s="0" t="n">
        <v>1205290.54</v>
      </c>
    </row>
    <row r="33" customFormat="false" ht="12.8" hidden="false" customHeight="false" outlineLevel="0" collapsed="false">
      <c r="A33" s="0" t="s">
        <v>1962</v>
      </c>
      <c r="B33" s="0" t="n">
        <v>314258</v>
      </c>
      <c r="C33" s="0" t="s">
        <v>2805</v>
      </c>
      <c r="D33" s="0" t="n">
        <v>0</v>
      </c>
    </row>
    <row r="34" customFormat="false" ht="12.8" hidden="false" customHeight="false" outlineLevel="0" collapsed="false">
      <c r="A34" s="0" t="s">
        <v>1962</v>
      </c>
      <c r="B34" s="0" t="n">
        <v>314258</v>
      </c>
      <c r="C34" s="0" t="s">
        <v>2760</v>
      </c>
      <c r="D34" s="0" t="n">
        <v>141056.84</v>
      </c>
    </row>
    <row r="35" customFormat="false" ht="12.8" hidden="false" customHeight="false" outlineLevel="0" collapsed="false">
      <c r="A35" s="0" t="s">
        <v>1962</v>
      </c>
      <c r="B35" s="0" t="n">
        <v>315113</v>
      </c>
      <c r="C35" s="0" t="s">
        <v>2805</v>
      </c>
      <c r="D35" s="0" t="n">
        <v>0</v>
      </c>
    </row>
    <row r="36" customFormat="false" ht="12.8" hidden="false" customHeight="false" outlineLevel="0" collapsed="false">
      <c r="A36" s="0" t="s">
        <v>1962</v>
      </c>
      <c r="B36" s="0" t="n">
        <v>315113</v>
      </c>
      <c r="C36" s="0" t="s">
        <v>2760</v>
      </c>
      <c r="D36" s="0" t="n">
        <v>16374.87</v>
      </c>
    </row>
    <row r="37" customFormat="false" ht="12.8" hidden="false" customHeight="false" outlineLevel="0" collapsed="false">
      <c r="A37" s="0" t="s">
        <v>1962</v>
      </c>
      <c r="B37" s="0" t="n">
        <v>316840</v>
      </c>
      <c r="C37" s="0" t="s">
        <v>2805</v>
      </c>
      <c r="D37" s="0" t="n">
        <v>0</v>
      </c>
    </row>
    <row r="38" customFormat="false" ht="12.8" hidden="false" customHeight="false" outlineLevel="0" collapsed="false">
      <c r="A38" s="0" t="s">
        <v>1962</v>
      </c>
      <c r="B38" s="0" t="n">
        <v>316840</v>
      </c>
      <c r="C38" s="0" t="s">
        <v>2760</v>
      </c>
      <c r="D38" s="0" t="n">
        <v>0</v>
      </c>
    </row>
    <row r="39" customFormat="false" ht="12.8" hidden="false" customHeight="false" outlineLevel="0" collapsed="false">
      <c r="A39" s="0" t="s">
        <v>1962</v>
      </c>
      <c r="B39" s="0" t="n">
        <v>318064</v>
      </c>
      <c r="C39" s="0" t="s">
        <v>2805</v>
      </c>
      <c r="D39" s="0" t="n">
        <v>0</v>
      </c>
    </row>
    <row r="40" customFormat="false" ht="12.8" hidden="false" customHeight="false" outlineLevel="0" collapsed="false">
      <c r="A40" s="0" t="s">
        <v>1962</v>
      </c>
      <c r="B40" s="0" t="n">
        <v>318064</v>
      </c>
      <c r="C40" s="0" t="s">
        <v>2760</v>
      </c>
      <c r="D40" s="0" t="n">
        <v>0</v>
      </c>
    </row>
    <row r="41" customFormat="false" ht="12.8" hidden="false" customHeight="false" outlineLevel="0" collapsed="false">
      <c r="A41" s="0" t="s">
        <v>1962</v>
      </c>
      <c r="B41" s="0" t="n">
        <v>318072</v>
      </c>
      <c r="C41" s="0" t="s">
        <v>2805</v>
      </c>
      <c r="D41" s="0" t="n">
        <v>0</v>
      </c>
    </row>
    <row r="42" customFormat="false" ht="12.8" hidden="false" customHeight="false" outlineLevel="0" collapsed="false">
      <c r="A42" s="0" t="s">
        <v>1962</v>
      </c>
      <c r="B42" s="0" t="n">
        <v>318072</v>
      </c>
      <c r="C42" s="0" t="s">
        <v>2760</v>
      </c>
      <c r="D42" s="0" t="n">
        <v>0</v>
      </c>
    </row>
    <row r="43" customFormat="false" ht="12.8" hidden="false" customHeight="false" outlineLevel="0" collapsed="false">
      <c r="A43" s="0" t="s">
        <v>1962</v>
      </c>
      <c r="B43" s="0" t="n">
        <v>318169</v>
      </c>
      <c r="C43" s="0" t="s">
        <v>2805</v>
      </c>
      <c r="D43" s="0" t="n">
        <v>0</v>
      </c>
    </row>
    <row r="44" customFormat="false" ht="12.8" hidden="false" customHeight="false" outlineLevel="0" collapsed="false">
      <c r="A44" s="0" t="s">
        <v>1962</v>
      </c>
      <c r="B44" s="0" t="n">
        <v>318169</v>
      </c>
      <c r="C44" s="0" t="s">
        <v>2760</v>
      </c>
      <c r="D44" s="0" t="n">
        <v>65790.11</v>
      </c>
    </row>
    <row r="45" customFormat="false" ht="12.8" hidden="false" customHeight="false" outlineLevel="0" collapsed="false">
      <c r="A45" s="0" t="s">
        <v>1962</v>
      </c>
      <c r="B45" s="0" t="n">
        <v>318179</v>
      </c>
      <c r="C45" s="0" t="s">
        <v>2805</v>
      </c>
      <c r="D45" s="0" t="n">
        <v>0</v>
      </c>
    </row>
    <row r="46" customFormat="false" ht="12.8" hidden="false" customHeight="false" outlineLevel="0" collapsed="false">
      <c r="A46" s="0" t="s">
        <v>1962</v>
      </c>
      <c r="B46" s="0" t="n">
        <v>318179</v>
      </c>
      <c r="C46" s="0" t="s">
        <v>2760</v>
      </c>
      <c r="D46" s="0" t="n">
        <v>0</v>
      </c>
    </row>
    <row r="47" customFormat="false" ht="12.8" hidden="false" customHeight="false" outlineLevel="0" collapsed="false">
      <c r="A47" s="0" t="s">
        <v>1962</v>
      </c>
      <c r="B47" s="0" t="n">
        <v>318420</v>
      </c>
      <c r="C47" s="0" t="s">
        <v>2805</v>
      </c>
      <c r="D47" s="0" t="n">
        <v>-159</v>
      </c>
    </row>
    <row r="48" customFormat="false" ht="12.8" hidden="false" customHeight="false" outlineLevel="0" collapsed="false">
      <c r="A48" s="0" t="s">
        <v>1962</v>
      </c>
      <c r="B48" s="0" t="n">
        <v>318420</v>
      </c>
      <c r="C48" s="0" t="s">
        <v>2760</v>
      </c>
      <c r="D48" s="0" t="n">
        <v>9353.26</v>
      </c>
    </row>
    <row r="49" customFormat="false" ht="12.8" hidden="false" customHeight="false" outlineLevel="0" collapsed="false">
      <c r="A49" s="0" t="s">
        <v>1962</v>
      </c>
      <c r="B49" s="0" t="n">
        <v>318999</v>
      </c>
      <c r="C49" s="0" t="s">
        <v>2805</v>
      </c>
      <c r="D49" s="0" t="n">
        <v>-8631</v>
      </c>
    </row>
    <row r="50" customFormat="false" ht="12.8" hidden="false" customHeight="false" outlineLevel="0" collapsed="false">
      <c r="A50" s="0" t="s">
        <v>1962</v>
      </c>
      <c r="B50" s="0" t="n">
        <v>318999</v>
      </c>
      <c r="C50" s="0" t="s">
        <v>2760</v>
      </c>
      <c r="D50" s="0" t="n">
        <v>218661.31</v>
      </c>
    </row>
    <row r="51" customFormat="false" ht="12.8" hidden="false" customHeight="false" outlineLevel="0" collapsed="false">
      <c r="A51" s="0" t="s">
        <v>143</v>
      </c>
      <c r="B51" s="0" t="s">
        <v>2810</v>
      </c>
      <c r="C51" s="0" t="s">
        <v>2806</v>
      </c>
      <c r="D51" s="0" t="n">
        <v>-5923719.69</v>
      </c>
    </row>
    <row r="52" customFormat="false" ht="12.8" hidden="false" customHeight="false" outlineLevel="0" collapsed="false">
      <c r="A52" s="0" t="s">
        <v>143</v>
      </c>
      <c r="B52" s="0" t="s">
        <v>192</v>
      </c>
      <c r="C52" s="0" t="s">
        <v>2807</v>
      </c>
      <c r="D52" s="0" t="n">
        <v>0</v>
      </c>
    </row>
    <row r="53" customFormat="false" ht="12.8" hidden="false" customHeight="false" outlineLevel="0" collapsed="false">
      <c r="A53" s="0" t="s">
        <v>143</v>
      </c>
      <c r="B53" s="0" t="s">
        <v>192</v>
      </c>
      <c r="C53" s="0" t="s">
        <v>2796</v>
      </c>
      <c r="D53" s="0" t="n">
        <v>-12850732.03</v>
      </c>
    </row>
    <row r="54" customFormat="false" ht="12.8" hidden="false" customHeight="false" outlineLevel="0" collapsed="false">
      <c r="A54" s="0" t="s">
        <v>143</v>
      </c>
      <c r="B54" s="0" t="s">
        <v>192</v>
      </c>
      <c r="C54" s="0" t="s">
        <v>2768</v>
      </c>
      <c r="D54" s="0" t="n">
        <v>-6852972.32</v>
      </c>
    </row>
    <row r="55" customFormat="false" ht="12.8" hidden="false" customHeight="false" outlineLevel="0" collapsed="false">
      <c r="A55" s="0" t="s">
        <v>143</v>
      </c>
      <c r="B55" s="0" t="s">
        <v>150</v>
      </c>
      <c r="C55" s="0" t="s">
        <v>2796</v>
      </c>
      <c r="D55" s="0" t="n">
        <v>-27314894.46</v>
      </c>
    </row>
    <row r="56" customFormat="false" ht="12.8" hidden="false" customHeight="false" outlineLevel="0" collapsed="false">
      <c r="A56" s="0" t="s">
        <v>143</v>
      </c>
      <c r="B56" s="0" t="s">
        <v>150</v>
      </c>
      <c r="C56" s="0" t="s">
        <v>2768</v>
      </c>
      <c r="D56" s="0" t="n">
        <v>-7822734.49</v>
      </c>
    </row>
    <row r="57" customFormat="false" ht="12.8" hidden="false" customHeight="false" outlineLevel="0" collapsed="false">
      <c r="A57" s="0" t="s">
        <v>143</v>
      </c>
      <c r="B57" s="0" t="s">
        <v>1937</v>
      </c>
      <c r="C57" s="0" t="s">
        <v>2768</v>
      </c>
      <c r="D5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3318</TotalTime>
  <Application>LibreOffice/6.0.7.3$Linux_X86_64 LibreOffice_project/00m0$Build-3</Application>
  <Company>TATASTEEL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2019-12-06T12:44:46Z</dcterms:created>
  <dc:creator>Asmita  Ghosh</dc:creator>
  <dc:description/>
  <dc:language>en-IN</dc:language>
  <cp:lastModifiedBy/>
  <cp:lastPrinted>2020-04-20T09:52:58Z</cp:lastPrinted>
  <dcterms:modified xsi:type="dcterms:W3CDTF">2021-02-17T09:50:44Z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TATASTEEL</vt:lpwstr>
  </property>
  <property fmtid="{D5CDD505-2E9C-101B-9397-08002B2CF9AE}" pid="4" name="ContentTypeId">
    <vt:lpwstr>0x010100AAF9D25DB9878842AFDF7AC2F5B1678E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MSIP_Label_7fc33b77-d4bc-4b15-a2e9-6ac282c648ad_Application">
    <vt:lpwstr>Microsoft Azure Information Protection</vt:lpwstr>
  </property>
  <property fmtid="{D5CDD505-2E9C-101B-9397-08002B2CF9AE}" pid="9" name="MSIP_Label_7fc33b77-d4bc-4b15-a2e9-6ac282c648ad_Enabled">
    <vt:lpwstr>True</vt:lpwstr>
  </property>
  <property fmtid="{D5CDD505-2E9C-101B-9397-08002B2CF9AE}" pid="10" name="MSIP_Label_7fc33b77-d4bc-4b15-a2e9-6ac282c648ad_Extended_MSFT_Method">
    <vt:lpwstr>Automatic</vt:lpwstr>
  </property>
  <property fmtid="{D5CDD505-2E9C-101B-9397-08002B2CF9AE}" pid="11" name="MSIP_Label_7fc33b77-d4bc-4b15-a2e9-6ac282c648ad_Name">
    <vt:lpwstr>Public</vt:lpwstr>
  </property>
  <property fmtid="{D5CDD505-2E9C-101B-9397-08002B2CF9AE}" pid="12" name="MSIP_Label_7fc33b77-d4bc-4b15-a2e9-6ac282c648ad_Owner">
    <vt:lpwstr>161732@tatasteel.com</vt:lpwstr>
  </property>
  <property fmtid="{D5CDD505-2E9C-101B-9397-08002B2CF9AE}" pid="13" name="MSIP_Label_7fc33b77-d4bc-4b15-a2e9-6ac282c648ad_SetDate">
    <vt:lpwstr>2020-04-16T16:46:39.2593547Z</vt:lpwstr>
  </property>
  <property fmtid="{D5CDD505-2E9C-101B-9397-08002B2CF9AE}" pid="14" name="MSIP_Label_7fc33b77-d4bc-4b15-a2e9-6ac282c648ad_SiteId">
    <vt:lpwstr>f35425af-4755-4e0c-b1bb-b3cb9f1c6afd</vt:lpwstr>
  </property>
  <property fmtid="{D5CDD505-2E9C-101B-9397-08002B2CF9AE}" pid="15" name="ScaleCrop">
    <vt:bool>0</vt:bool>
  </property>
  <property fmtid="{D5CDD505-2E9C-101B-9397-08002B2CF9AE}" pid="16" name="Sensitivity">
    <vt:lpwstr>Public</vt:lpwstr>
  </property>
  <property fmtid="{D5CDD505-2E9C-101B-9397-08002B2CF9AE}" pid="17" name="ShareDoc">
    <vt:bool>0</vt:bool>
  </property>
</Properties>
</file>