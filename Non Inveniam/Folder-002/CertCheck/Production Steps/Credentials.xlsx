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 53" sheetId="1" r:id="rId5"/>
    <sheet state="visible" name="Service Accounts" sheetId="2" r:id="rId6"/>
    <sheet state="visible" name="Email Ids" sheetId="3" r:id="rId7"/>
    <sheet state="visible" name="Budget" sheetId="4" r:id="rId8"/>
  </sheets>
  <definedNames/>
  <calcPr/>
</workbook>
</file>

<file path=xl/sharedStrings.xml><?xml version="1.0" encoding="utf-8"?>
<sst xmlns="http://schemas.openxmlformats.org/spreadsheetml/2006/main" count="120" uniqueCount="92">
  <si>
    <t>Sl No</t>
  </si>
  <si>
    <t>Name</t>
  </si>
  <si>
    <t>Record Type</t>
  </si>
  <si>
    <t>TTL</t>
  </si>
  <si>
    <t>Existing Value</t>
  </si>
  <si>
    <t>New Value</t>
  </si>
  <si>
    <t>@</t>
  </si>
  <si>
    <t>A</t>
  </si>
  <si>
    <t>185.230.63.107</t>
  </si>
  <si>
    <t>172.25.15.128</t>
  </si>
  <si>
    <t>CNAME</t>
  </si>
  <si>
    <t>blockchain-818489015.ap-south-1.elb.amazonaws.com</t>
  </si>
  <si>
    <t>www</t>
  </si>
  <si>
    <t>Provider</t>
  </si>
  <si>
    <t>Website</t>
  </si>
  <si>
    <t>Method</t>
  </si>
  <si>
    <t>Username</t>
  </si>
  <si>
    <t>Password</t>
  </si>
  <si>
    <t>MFA Method</t>
  </si>
  <si>
    <t>MFA Authenticator</t>
  </si>
  <si>
    <t>Razorpay</t>
  </si>
  <si>
    <t>https://accounts.razorpay.com/auth/?redirecturl=https%3A%2F%2Fdashboard.razorpay.com&amp;auth_intent=login</t>
  </si>
  <si>
    <t>Basic</t>
  </si>
  <si>
    <r>
      <rPr>
        <color rgb="FF1155CC"/>
        <u/>
      </rPr>
      <t>info@certcheck.in</t>
    </r>
  </si>
  <si>
    <t>CertCheck4321$</t>
  </si>
  <si>
    <t xml:space="preserve">Phone: Jamil: 700XX2199 </t>
  </si>
  <si>
    <t>SMTP</t>
  </si>
  <si>
    <t>https://www.brevo.com/</t>
  </si>
  <si>
    <t>Google Login</t>
  </si>
  <si>
    <t>admin@certcheck.in</t>
  </si>
  <si>
    <t>Mobile, Phone Number</t>
  </si>
  <si>
    <t>SMS</t>
  </si>
  <si>
    <t>https://control.textlocal.in/</t>
  </si>
  <si>
    <t>info@certcheck.in</t>
  </si>
  <si>
    <t>DQ!mc6P*.fGGPKR</t>
  </si>
  <si>
    <t>SMS DLT Account</t>
  </si>
  <si>
    <t>https://trueconnect.jio.com/#/home/common-login</t>
  </si>
  <si>
    <t>CertCheck432</t>
  </si>
  <si>
    <t>Abcd@1234</t>
  </si>
  <si>
    <t>https://www.fast2sms.com/</t>
  </si>
  <si>
    <t>info+fast2sms@certcheck.in</t>
  </si>
  <si>
    <t>Email Id</t>
  </si>
  <si>
    <t>New Password</t>
  </si>
  <si>
    <t>Google Workspace</t>
  </si>
  <si>
    <t>certcheck@123</t>
  </si>
  <si>
    <t>certcheck@20250101</t>
  </si>
  <si>
    <t>support@certcheck.in</t>
  </si>
  <si>
    <t>Resource</t>
  </si>
  <si>
    <t>Type</t>
  </si>
  <si>
    <t>Purpose</t>
  </si>
  <si>
    <t>Estimated Consumptions</t>
  </si>
  <si>
    <t>Cost per unit</t>
  </si>
  <si>
    <t>Cost per week</t>
  </si>
  <si>
    <t>Cost per month</t>
  </si>
  <si>
    <t>AWS EC2</t>
  </si>
  <si>
    <t>r6g.large (2vCPU, 16GB Ram)</t>
  </si>
  <si>
    <t>Application Server</t>
  </si>
  <si>
    <t>720h</t>
  </si>
  <si>
    <t>0.065/h</t>
  </si>
  <si>
    <t>HLF Server</t>
  </si>
  <si>
    <t>AWS RDS</t>
  </si>
  <si>
    <t>db.t4g.small (2vCPU, 2GB Ram)</t>
  </si>
  <si>
    <t>managed postgres database</t>
  </si>
  <si>
    <t>720h at 100%</t>
  </si>
  <si>
    <t>https://calculator.aws/#/estimate?id=638f7b9ab55e0bae4361bd34f7c6f94fcc53475a</t>
  </si>
  <si>
    <t>AWS ELB</t>
  </si>
  <si>
    <t>Application LB</t>
  </si>
  <si>
    <t>AWS Elastic IP</t>
  </si>
  <si>
    <t xml:space="preserve"> </t>
  </si>
  <si>
    <t>3 ip addresses for 3 instances</t>
  </si>
  <si>
    <t>AWS S3</t>
  </si>
  <si>
    <t>AWS Elastic Container Registry</t>
  </si>
  <si>
    <t>ECR</t>
  </si>
  <si>
    <t>TO publish docker images</t>
  </si>
  <si>
    <t>20 GB</t>
  </si>
  <si>
    <t>0.1 per GB</t>
  </si>
  <si>
    <t>Other Services</t>
  </si>
  <si>
    <t>Total</t>
  </si>
  <si>
    <t>SMS Gateway</t>
  </si>
  <si>
    <t>https://textlocal.com/</t>
  </si>
  <si>
    <t>DLT Account</t>
  </si>
  <si>
    <t>JioTrueConnect</t>
  </si>
  <si>
    <t>SMTP Provider</t>
  </si>
  <si>
    <t>Min</t>
  </si>
  <si>
    <t>1vCPU</t>
  </si>
  <si>
    <t>2 GB RAM</t>
  </si>
  <si>
    <t>30 GB</t>
  </si>
  <si>
    <t>Ubuntu LTS 22.04</t>
  </si>
  <si>
    <t>Recommended</t>
  </si>
  <si>
    <t>2vCPU</t>
  </si>
  <si>
    <t>4 GB RAM</t>
  </si>
  <si>
    <t xml:space="preserve">50 GB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</si>
</sst>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F141A"/>
      <name val="&quot;Amazon Ember&quot;"/>
    </font>
    <font>
      <u/>
      <sz val="11.0"/>
      <color rgb="FF0F141A"/>
      <name val="&quot;Amazon Ember&quot;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color rgb="FF222222"/>
      <name val="Arial"/>
    </font>
    <font>
      <u/>
      <sz val="11.0"/>
      <color rgb="FF000000"/>
      <name val="&quot;Times New Roman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 shrinkToFit="0" wrapText="0"/>
    </xf>
    <xf borderId="0" fillId="2" fontId="3" numFmtId="0" xfId="0" applyAlignment="1" applyFont="1">
      <alignment readingOrder="0" shrinkToFit="0" wrapText="0"/>
    </xf>
    <xf borderId="1" fillId="2" fontId="4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1" fillId="3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0" fillId="0" fontId="10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ockchain-818489015.ap-south-1.elb.amazonaws.com" TargetMode="External"/><Relationship Id="rId2" Type="http://schemas.openxmlformats.org/officeDocument/2006/relationships/hyperlink" Target="http://blockchain-818489015.ap-south-1.elb.amazonaws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s.razorpay.com/auth/?redirecturl=https%3A%2F%2Fdashboard.razorpay.com&amp;auth_intent=login" TargetMode="External"/><Relationship Id="rId2" Type="http://schemas.openxmlformats.org/officeDocument/2006/relationships/hyperlink" Target="mailto:info@certcheck.in" TargetMode="External"/><Relationship Id="rId3" Type="http://schemas.openxmlformats.org/officeDocument/2006/relationships/hyperlink" Target="https://www.brevo.com/" TargetMode="External"/><Relationship Id="rId4" Type="http://schemas.openxmlformats.org/officeDocument/2006/relationships/hyperlink" Target="https://control.textlocal.in/" TargetMode="External"/><Relationship Id="rId5" Type="http://schemas.openxmlformats.org/officeDocument/2006/relationships/hyperlink" Target="https://trueconnect.jio.com/" TargetMode="External"/><Relationship Id="rId6" Type="http://schemas.openxmlformats.org/officeDocument/2006/relationships/hyperlink" Target="https://www.fast2sms.com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lculator.aws/" TargetMode="External"/><Relationship Id="rId2" Type="http://schemas.openxmlformats.org/officeDocument/2006/relationships/hyperlink" Target="https://textlocal.com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5" max="5" width="13.75"/>
    <col customWidth="1" min="6" max="6" width="45.88"/>
    <col customWidth="1" min="7" max="7" width="27.0"/>
    <col customWidth="1" min="10" max="10" width="3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4"/>
      <c r="C2" s="4"/>
      <c r="D2" s="4"/>
      <c r="E2" s="4"/>
      <c r="F2" s="4"/>
    </row>
    <row r="3">
      <c r="A3" s="1">
        <v>1.0</v>
      </c>
      <c r="B3" s="5" t="s">
        <v>6</v>
      </c>
      <c r="C3" s="5" t="s">
        <v>7</v>
      </c>
      <c r="D3" s="5">
        <v>300.0</v>
      </c>
      <c r="E3" s="6" t="s">
        <v>8</v>
      </c>
      <c r="F3" s="7" t="s">
        <v>9</v>
      </c>
    </row>
    <row r="4">
      <c r="A4" s="1">
        <v>2.0</v>
      </c>
      <c r="B4" s="5" t="s">
        <v>6</v>
      </c>
      <c r="C4" s="5" t="s">
        <v>10</v>
      </c>
      <c r="D4" s="5">
        <v>300.0</v>
      </c>
      <c r="E4" s="4"/>
      <c r="F4" s="8" t="s">
        <v>11</v>
      </c>
    </row>
    <row r="5">
      <c r="A5" s="1">
        <v>3.0</v>
      </c>
      <c r="B5" s="5" t="s">
        <v>12</v>
      </c>
      <c r="C5" s="5" t="s">
        <v>10</v>
      </c>
      <c r="D5" s="5">
        <v>300.0</v>
      </c>
      <c r="E5" s="4"/>
      <c r="F5" s="8" t="s">
        <v>11</v>
      </c>
    </row>
    <row r="6">
      <c r="A6" s="9"/>
    </row>
    <row r="7">
      <c r="A7" s="9"/>
    </row>
    <row r="8">
      <c r="A8" s="9"/>
    </row>
    <row r="9">
      <c r="A9" s="9"/>
    </row>
    <row r="10">
      <c r="A10" s="9"/>
      <c r="G10" s="10"/>
      <c r="H10" s="10"/>
      <c r="I10" s="10"/>
      <c r="J10" s="10"/>
    </row>
    <row r="11">
      <c r="A11" s="9"/>
      <c r="G11" s="11"/>
      <c r="H11" s="11"/>
      <c r="I11" s="12"/>
      <c r="J11" s="11"/>
    </row>
    <row r="12">
      <c r="A12" s="9"/>
      <c r="G12" s="11"/>
      <c r="H12" s="11"/>
      <c r="I12" s="12"/>
      <c r="J12" s="11"/>
    </row>
    <row r="13">
      <c r="A13" s="9"/>
      <c r="G13" s="11"/>
      <c r="H13" s="11"/>
      <c r="I13" s="11"/>
      <c r="J13" s="11"/>
    </row>
    <row r="14">
      <c r="A14" s="9"/>
      <c r="G14" s="11"/>
      <c r="H14" s="11"/>
      <c r="I14" s="11"/>
      <c r="J14" s="12"/>
    </row>
    <row r="15">
      <c r="A15" s="9"/>
      <c r="G15" s="11"/>
      <c r="H15" s="11"/>
      <c r="I15" s="11"/>
      <c r="J15" s="11"/>
    </row>
    <row r="16">
      <c r="A16" s="9"/>
      <c r="G16" s="11"/>
      <c r="H16" s="11"/>
      <c r="I16" s="11"/>
      <c r="J16" s="11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hyperlinks>
    <hyperlink r:id="rId1" ref="F4"/>
    <hyperlink r:id="rId2" ref="F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7.38"/>
    <col customWidth="1" min="4" max="4" width="16.13"/>
    <col customWidth="1" min="5" max="5" width="23.5"/>
    <col customWidth="1" min="6" max="6" width="24.75"/>
  </cols>
  <sheetData>
    <row r="1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</row>
    <row r="2">
      <c r="A2" s="14" t="s">
        <v>20</v>
      </c>
      <c r="B2" s="15" t="s">
        <v>21</v>
      </c>
      <c r="C2" s="14" t="s">
        <v>22</v>
      </c>
      <c r="D2" s="16" t="s">
        <v>23</v>
      </c>
      <c r="E2" s="17" t="s">
        <v>24</v>
      </c>
      <c r="F2" s="14" t="s">
        <v>25</v>
      </c>
    </row>
    <row r="3">
      <c r="A3" s="14" t="s">
        <v>26</v>
      </c>
      <c r="B3" s="16" t="s">
        <v>27</v>
      </c>
      <c r="C3" s="14" t="s">
        <v>28</v>
      </c>
      <c r="D3" s="14" t="s">
        <v>29</v>
      </c>
      <c r="F3" s="14" t="s">
        <v>30</v>
      </c>
    </row>
    <row r="4">
      <c r="A4" s="14" t="s">
        <v>31</v>
      </c>
      <c r="B4" s="16" t="s">
        <v>32</v>
      </c>
      <c r="C4" s="14" t="s">
        <v>22</v>
      </c>
      <c r="D4" s="14" t="s">
        <v>33</v>
      </c>
      <c r="E4" s="14" t="s">
        <v>34</v>
      </c>
    </row>
    <row r="5">
      <c r="A5" s="14" t="s">
        <v>35</v>
      </c>
      <c r="B5" s="16" t="s">
        <v>36</v>
      </c>
      <c r="C5" s="14" t="s">
        <v>22</v>
      </c>
      <c r="D5" s="14" t="s">
        <v>33</v>
      </c>
      <c r="E5" s="17" t="s">
        <v>37</v>
      </c>
      <c r="G5" s="14" t="s">
        <v>38</v>
      </c>
    </row>
    <row r="6">
      <c r="A6" s="14" t="s">
        <v>31</v>
      </c>
      <c r="B6" s="16" t="s">
        <v>39</v>
      </c>
      <c r="D6" s="14" t="s">
        <v>40</v>
      </c>
    </row>
  </sheetData>
  <hyperlinks>
    <hyperlink r:id="rId1" ref="B2"/>
    <hyperlink r:id="rId2" ref="D2"/>
    <hyperlink r:id="rId3" ref="B3"/>
    <hyperlink r:id="rId4" ref="B4"/>
    <hyperlink r:id="rId5" location="/home/common-login" ref="B5"/>
    <hyperlink r:id="rId6" ref="B6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5.13"/>
    <col customWidth="1" min="5" max="5" width="17.25"/>
  </cols>
  <sheetData>
    <row r="1">
      <c r="B1" s="14" t="s">
        <v>41</v>
      </c>
      <c r="C1" s="14" t="s">
        <v>13</v>
      </c>
      <c r="D1" s="14" t="s">
        <v>17</v>
      </c>
      <c r="E1" s="14" t="s">
        <v>42</v>
      </c>
    </row>
    <row r="2">
      <c r="B2" s="14" t="s">
        <v>29</v>
      </c>
      <c r="C2" s="14" t="s">
        <v>43</v>
      </c>
      <c r="D2" s="14" t="s">
        <v>44</v>
      </c>
      <c r="E2" s="14" t="s">
        <v>45</v>
      </c>
    </row>
    <row r="3">
      <c r="B3" s="14" t="s">
        <v>33</v>
      </c>
      <c r="C3" s="14" t="s">
        <v>43</v>
      </c>
      <c r="D3" s="14" t="s">
        <v>44</v>
      </c>
      <c r="E3" s="14" t="s">
        <v>45</v>
      </c>
    </row>
    <row r="4">
      <c r="B4" s="14" t="s">
        <v>46</v>
      </c>
      <c r="C4" s="14" t="s">
        <v>43</v>
      </c>
      <c r="D4" s="14" t="s">
        <v>44</v>
      </c>
      <c r="E4" s="14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7.0"/>
    <col customWidth="1" min="3" max="3" width="25.13"/>
    <col customWidth="1" min="4" max="4" width="25.5"/>
    <col customWidth="1" min="6" max="6" width="14.38"/>
    <col customWidth="1" min="8" max="8" width="13.25"/>
  </cols>
  <sheetData>
    <row r="1">
      <c r="A1" s="18" t="s">
        <v>0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52</v>
      </c>
      <c r="H1" s="19" t="s">
        <v>53</v>
      </c>
    </row>
    <row r="2">
      <c r="A2" s="20">
        <v>1.0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4"/>
      <c r="H2" s="5">
        <v>46.8</v>
      </c>
      <c r="I2" s="14">
        <v>50.0</v>
      </c>
    </row>
    <row r="3">
      <c r="A3" s="20">
        <v>2.0</v>
      </c>
      <c r="B3" s="5" t="s">
        <v>54</v>
      </c>
      <c r="C3" s="5" t="s">
        <v>55</v>
      </c>
      <c r="D3" s="5" t="s">
        <v>59</v>
      </c>
      <c r="E3" s="5" t="s">
        <v>57</v>
      </c>
      <c r="F3" s="5" t="s">
        <v>58</v>
      </c>
      <c r="G3" s="4"/>
      <c r="H3" s="5">
        <v>46.8</v>
      </c>
      <c r="I3" s="14">
        <v>100.0</v>
      </c>
    </row>
    <row r="4">
      <c r="A4" s="20">
        <v>3.0</v>
      </c>
      <c r="B4" s="5" t="s">
        <v>54</v>
      </c>
      <c r="C4" s="5" t="s">
        <v>55</v>
      </c>
      <c r="D4" s="5" t="s">
        <v>59</v>
      </c>
      <c r="E4" s="5" t="s">
        <v>57</v>
      </c>
      <c r="F4" s="5" t="s">
        <v>58</v>
      </c>
      <c r="G4" s="4"/>
      <c r="H4" s="5">
        <v>46.8</v>
      </c>
      <c r="I4" s="14">
        <v>100.0</v>
      </c>
    </row>
    <row r="5">
      <c r="A5" s="20">
        <v>4.0</v>
      </c>
      <c r="B5" s="5" t="s">
        <v>60</v>
      </c>
      <c r="C5" s="5" t="s">
        <v>61</v>
      </c>
      <c r="D5" s="5" t="s">
        <v>62</v>
      </c>
      <c r="E5" s="5" t="s">
        <v>63</v>
      </c>
      <c r="F5" s="4"/>
      <c r="G5" s="4"/>
      <c r="H5" s="5">
        <v>122.84</v>
      </c>
      <c r="I5" s="21" t="s">
        <v>64</v>
      </c>
    </row>
    <row r="6">
      <c r="A6" s="20">
        <v>5.0</v>
      </c>
      <c r="B6" s="5" t="s">
        <v>65</v>
      </c>
      <c r="C6" s="5" t="s">
        <v>66</v>
      </c>
      <c r="D6" s="4"/>
      <c r="E6" s="4"/>
      <c r="F6" s="4"/>
      <c r="G6" s="4"/>
      <c r="H6" s="4"/>
    </row>
    <row r="7">
      <c r="A7" s="20">
        <v>6.0</v>
      </c>
      <c r="B7" s="5" t="s">
        <v>67</v>
      </c>
      <c r="C7" s="5" t="s">
        <v>68</v>
      </c>
      <c r="D7" s="5" t="s">
        <v>69</v>
      </c>
      <c r="E7" s="5">
        <v>3.0</v>
      </c>
      <c r="F7" s="5">
        <v>4.0</v>
      </c>
      <c r="G7" s="4"/>
      <c r="H7" s="5">
        <v>12.0</v>
      </c>
    </row>
    <row r="8">
      <c r="A8" s="20">
        <v>7.0</v>
      </c>
      <c r="B8" s="5" t="s">
        <v>70</v>
      </c>
      <c r="C8" s="4"/>
      <c r="D8" s="4"/>
      <c r="E8" s="5">
        <v>1.0</v>
      </c>
      <c r="F8" s="4"/>
      <c r="G8" s="4"/>
      <c r="H8" s="4"/>
    </row>
    <row r="9">
      <c r="A9" s="20">
        <v>8.0</v>
      </c>
      <c r="B9" s="5" t="s">
        <v>71</v>
      </c>
      <c r="C9" s="5" t="s">
        <v>72</v>
      </c>
      <c r="D9" s="5" t="s">
        <v>73</v>
      </c>
      <c r="E9" s="5" t="s">
        <v>74</v>
      </c>
      <c r="F9" s="5" t="s">
        <v>75</v>
      </c>
      <c r="G9" s="4"/>
      <c r="H9" s="5">
        <v>2.0</v>
      </c>
    </row>
    <row r="10">
      <c r="A10" s="20">
        <v>9.0</v>
      </c>
      <c r="B10" s="5" t="s">
        <v>76</v>
      </c>
      <c r="C10" s="4"/>
      <c r="D10" s="4"/>
      <c r="E10" s="4"/>
      <c r="F10" s="4"/>
      <c r="G10" s="4"/>
      <c r="H10" s="5">
        <v>50.0</v>
      </c>
    </row>
    <row r="11">
      <c r="A11" s="22">
        <v>10.0</v>
      </c>
      <c r="G11" s="4"/>
      <c r="H11" s="4"/>
    </row>
    <row r="12">
      <c r="A12" s="22">
        <v>11.0</v>
      </c>
      <c r="G12" s="23" t="s">
        <v>77</v>
      </c>
      <c r="H12" s="24">
        <f>SUM(H2:H11)</f>
        <v>327.24</v>
      </c>
    </row>
    <row r="13">
      <c r="A13" s="22">
        <v>12.0</v>
      </c>
    </row>
    <row r="14">
      <c r="A14" s="22">
        <v>13.0</v>
      </c>
      <c r="B14" s="14" t="s">
        <v>78</v>
      </c>
      <c r="C14" s="25" t="s">
        <v>79</v>
      </c>
    </row>
    <row r="15">
      <c r="A15" s="22">
        <v>14.0</v>
      </c>
      <c r="B15" s="14" t="s">
        <v>80</v>
      </c>
      <c r="C15" s="14" t="s">
        <v>81</v>
      </c>
    </row>
    <row r="16">
      <c r="A16" s="22">
        <v>15.0</v>
      </c>
      <c r="B16" s="14" t="s">
        <v>82</v>
      </c>
    </row>
    <row r="17">
      <c r="A17" s="22">
        <v>16.0</v>
      </c>
    </row>
    <row r="18">
      <c r="A18" s="22">
        <v>17.0</v>
      </c>
    </row>
    <row r="19">
      <c r="A19" s="26"/>
    </row>
    <row r="20">
      <c r="A20" s="26"/>
    </row>
    <row r="21">
      <c r="A21" s="26"/>
      <c r="B21" s="14" t="s">
        <v>83</v>
      </c>
      <c r="C21" s="14" t="s">
        <v>84</v>
      </c>
      <c r="D21" s="14" t="s">
        <v>85</v>
      </c>
      <c r="E21" s="14" t="s">
        <v>86</v>
      </c>
      <c r="F21" s="14" t="s">
        <v>87</v>
      </c>
    </row>
    <row r="22">
      <c r="A22" s="26"/>
      <c r="B22" s="14" t="s">
        <v>88</v>
      </c>
      <c r="C22" s="14" t="s">
        <v>89</v>
      </c>
      <c r="D22" s="14" t="s">
        <v>90</v>
      </c>
      <c r="E22" s="14" t="s">
        <v>91</v>
      </c>
      <c r="F22" s="14" t="s">
        <v>87</v>
      </c>
    </row>
    <row r="23">
      <c r="A23" s="26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hyperlinks>
    <hyperlink r:id="rId1" location="/estimate?id=638f7b9ab55e0bae4361bd34f7c6f94fcc53475a" ref="I5"/>
    <hyperlink r:id="rId2" ref="C14"/>
  </hyperlinks>
  <drawing r:id="rId3"/>
</worksheet>
</file>