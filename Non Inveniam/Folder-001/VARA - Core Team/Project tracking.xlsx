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C Project" sheetId="1" r:id="rId4"/>
    <sheet state="visible" name="ICR" sheetId="2" r:id="rId5"/>
  </sheets>
  <definedNames/>
  <calcPr/>
</workbook>
</file>

<file path=xl/sharedStrings.xml><?xml version="1.0" encoding="utf-8"?>
<sst xmlns="http://schemas.openxmlformats.org/spreadsheetml/2006/main" count="110" uniqueCount="53">
  <si>
    <t>PROJECT TRACKING TEMPLATE</t>
  </si>
  <si>
    <t>Smartsheet Tip ➜</t>
  </si>
  <si>
    <t>Customize the list of possible statuses and priorities to the right so that the Status and Priority columns can use standardized values.</t>
  </si>
  <si>
    <t>STATUS KEY</t>
  </si>
  <si>
    <t>PRIORITY KEY</t>
  </si>
  <si>
    <t>On Hold</t>
  </si>
  <si>
    <t>Low</t>
  </si>
  <si>
    <t>PROJECT TITLE</t>
  </si>
  <si>
    <t>[Project's title]</t>
  </si>
  <si>
    <t>COMPANY NAME</t>
  </si>
  <si>
    <t>[Company's name]</t>
  </si>
  <si>
    <t>Not Yet Started</t>
  </si>
  <si>
    <t>Medium</t>
  </si>
  <si>
    <t>PROJECT MANAGER</t>
  </si>
  <si>
    <t>[Project Manager's name]</t>
  </si>
  <si>
    <t>DATE</t>
  </si>
  <si>
    <t>In Progress</t>
  </si>
  <si>
    <t>High</t>
  </si>
  <si>
    <t>Complete</t>
  </si>
  <si>
    <t>PROJECT DETAILS</t>
  </si>
  <si>
    <t>DELIVERABLES</t>
  </si>
  <si>
    <t>STATUS</t>
  </si>
  <si>
    <t>PRIORITY</t>
  </si>
  <si>
    <t>START DATE</t>
  </si>
  <si>
    <t>END DATE</t>
  </si>
  <si>
    <t>DURATION</t>
  </si>
  <si>
    <t>ASSIGNED TO</t>
  </si>
  <si>
    <t>TASK NAME</t>
  </si>
  <si>
    <t>DESCRIPTION</t>
  </si>
  <si>
    <t>DELIVERABLE</t>
  </si>
  <si>
    <t>% DONE</t>
  </si>
  <si>
    <t>ESTIMATED HOURS</t>
  </si>
  <si>
    <t>ACTUAL HOURS</t>
  </si>
  <si>
    <t>QBC Scanner</t>
  </si>
  <si>
    <t>Sthitadhi Roy</t>
  </si>
  <si>
    <t>Basic Requirement</t>
  </si>
  <si>
    <t>Please refer to the project document</t>
  </si>
  <si>
    <t>Plan of execution</t>
  </si>
  <si>
    <t>Need to breakdown the task into smaller steps and submit to Blockchain CoE.</t>
  </si>
  <si>
    <t>Intercompany Reconciliation</t>
  </si>
  <si>
    <t>Jamil</t>
  </si>
  <si>
    <t>Chaincode Folder Structure</t>
  </si>
  <si>
    <t>DataLake [ chaincode ]</t>
  </si>
  <si>
    <t>Soumya</t>
  </si>
  <si>
    <t>Master tables [ chaincode ]</t>
  </si>
  <si>
    <t>Create REST EndPoints</t>
  </si>
  <si>
    <t>End points for
1. Organization
2. Company
3. Company account</t>
  </si>
  <si>
    <t>Review master [ chaincode ]</t>
  </si>
  <si>
    <t>Adjust according to the need of data pushing into the system.</t>
  </si>
  <si>
    <t>Scripts to push data</t>
  </si>
  <si>
    <t>Jamil / Soumya</t>
  </si>
  <si>
    <t>Test the implementation</t>
  </si>
  <si>
    <t>Master data creation. Data pushing into the system. LineItem bifurcation.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</si>
</sst>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4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666666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sz val="11.0"/>
      <color rgb="FF434343"/>
      <name val="Roboto"/>
    </font>
    <font>
      <sz val="10.0"/>
      <color rgb="FF0B5394"/>
      <name val="Roboto"/>
    </font>
    <font>
      <sz val="10.0"/>
      <color rgb="FF45818E"/>
      <name val="Roboto"/>
    </font>
    <font>
      <sz val="10.0"/>
      <color rgb="FFB85B22"/>
      <name val="Roboto"/>
    </font>
    <font>
      <b/>
      <sz val="11.0"/>
      <color rgb="FF434343"/>
      <name val="Roboto"/>
    </font>
    <font>
      <b/>
      <sz val="11.0"/>
      <color rgb="FF0B5394"/>
      <name val="Roboto"/>
    </font>
    <font>
      <sz val="11.0"/>
      <color rgb="FF0B539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</fills>
  <borders count="5">
    <border/>
    <border>
      <bottom style="thick">
        <color rgb="FF0B5394"/>
      </bottom>
    </border>
    <border>
      <bottom style="hair">
        <color rgb="FF999999"/>
      </bottom>
    </border>
    <border>
      <bottom style="thin">
        <color rgb="FFD9D9D9"/>
      </bottom>
    </border>
    <border>
      <bottom style="medium">
        <color rgb="FF43434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left"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3" fontId="17" numFmtId="0" xfId="0" applyAlignment="1" applyFont="1">
      <alignment horizontal="center" readingOrder="0" shrinkToFit="0" vertical="center" wrapText="0"/>
    </xf>
    <xf borderId="2" fillId="3" fontId="17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3" fillId="2" fontId="19" numFmtId="0" xfId="0" applyAlignment="1" applyBorder="1" applyFont="1">
      <alignment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horizontal="left" readingOrder="0" vertical="center"/>
    </xf>
    <xf borderId="0" fillId="0" fontId="18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3" fillId="0" fontId="19" numFmtId="164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vertical="center"/>
    </xf>
    <xf borderId="0" fillId="2" fontId="21" numFmtId="0" xfId="0" applyAlignment="1" applyFont="1">
      <alignment horizontal="left" shrinkToFit="0" vertical="center" wrapText="0"/>
    </xf>
    <xf borderId="0" fillId="2" fontId="21" numFmtId="0" xfId="0" applyAlignment="1" applyFont="1">
      <alignment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3" fontId="22" numFmtId="0" xfId="0" applyAlignment="1" applyFont="1">
      <alignment horizontal="center"/>
    </xf>
    <xf borderId="0" fillId="0" fontId="23" numFmtId="0" xfId="0" applyAlignment="1" applyFont="1">
      <alignment shrinkToFit="0" vertical="center" wrapText="0"/>
    </xf>
    <xf borderId="0" fillId="4" fontId="24" numFmtId="0" xfId="0" applyAlignment="1" applyFill="1" applyFont="1">
      <alignment horizontal="center" shrinkToFit="0" vertical="center" wrapText="1"/>
    </xf>
    <xf borderId="0" fillId="5" fontId="24" numFmtId="0" xfId="0" applyAlignment="1" applyFill="1" applyFont="1">
      <alignment horizontal="center" shrinkToFit="0" vertical="center" wrapText="1"/>
    </xf>
    <xf borderId="0" fillId="6" fontId="24" numFmtId="0" xfId="0" applyAlignment="1" applyFill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0"/>
    </xf>
    <xf borderId="0" fillId="3" fontId="22" numFmtId="0" xfId="0" applyFont="1"/>
    <xf borderId="0" fillId="0" fontId="25" numFmtId="0" xfId="0" applyAlignment="1" applyFont="1">
      <alignment vertical="center"/>
    </xf>
    <xf borderId="0" fillId="3" fontId="26" numFmtId="0" xfId="0" applyAlignment="1" applyFont="1">
      <alignment horizontal="center" shrinkToFit="0" vertical="center" wrapText="1"/>
    </xf>
    <xf borderId="0" fillId="3" fontId="26" numFmtId="0" xfId="0" applyAlignment="1" applyFont="1">
      <alignment horizontal="center" readingOrder="0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2" fontId="30" numFmtId="0" xfId="0" applyAlignment="1" applyFont="1">
      <alignment vertical="bottom"/>
    </xf>
    <xf borderId="4" fillId="2" fontId="31" numFmtId="0" xfId="0" applyAlignment="1" applyBorder="1" applyFont="1">
      <alignment horizontal="left" readingOrder="0" shrinkToFit="0" vertical="bottom" wrapText="0"/>
    </xf>
    <xf borderId="4" fillId="0" fontId="8" numFmtId="0" xfId="0" applyBorder="1" applyFont="1"/>
    <xf borderId="4" fillId="2" fontId="32" numFmtId="9" xfId="0" applyAlignment="1" applyBorder="1" applyFont="1" applyNumberFormat="1">
      <alignment horizontal="center" shrinkToFit="0" vertical="bottom" wrapText="1"/>
    </xf>
    <xf borderId="4" fillId="2" fontId="33" numFmtId="3" xfId="0" applyAlignment="1" applyBorder="1" applyFont="1" applyNumberFormat="1">
      <alignment horizontal="center" shrinkToFit="0" vertical="bottom" wrapText="1"/>
    </xf>
    <xf borderId="0" fillId="2" fontId="30" numFmtId="0" xfId="0" applyAlignment="1" applyFont="1">
      <alignment horizontal="center" shrinkToFit="0" vertical="bottom" wrapText="0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35" numFmtId="165" xfId="0" applyAlignment="1" applyFont="1" applyNumberFormat="1">
      <alignment horizontal="left" readingOrder="0" shrinkToFit="0" vertical="center" wrapText="1"/>
    </xf>
    <xf borderId="0" fillId="0" fontId="35" numFmtId="3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vertical="center"/>
    </xf>
    <xf borderId="0" fillId="0" fontId="36" numFmtId="9" xfId="0" applyAlignment="1" applyFont="1" applyNumberForma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0"/>
    </xf>
    <xf borderId="0" fillId="0" fontId="35" numFmtId="0" xfId="0" applyAlignment="1" applyFont="1">
      <alignment horizontal="center" readingOrder="0" vertical="center"/>
    </xf>
    <xf borderId="0" fillId="0" fontId="38" numFmtId="0" xfId="0" applyAlignment="1" applyFont="1">
      <alignment horizontal="center" shrinkToFit="0" vertical="center" wrapText="0"/>
    </xf>
    <xf borderId="0" fillId="3" fontId="39" numFmtId="0" xfId="0" applyAlignment="1" applyFont="1">
      <alignment horizontal="center" shrinkToFit="0" vertical="center" wrapText="0"/>
    </xf>
    <xf borderId="0" fillId="3" fontId="4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7" width="13.25"/>
    <col customWidth="1" min="8" max="8" width="19.75"/>
    <col customWidth="1" min="9" max="9" width="26.38"/>
    <col customWidth="1" min="10" max="13" width="13.25"/>
    <col customWidth="1" min="14" max="14" width="9.13"/>
    <col customWidth="1" min="15" max="15" width="2.88"/>
    <col customWidth="1" min="16" max="16" width="15.0"/>
    <col customWidth="1" min="17" max="17" width="2.88"/>
    <col customWidth="1" min="18" max="18" width="15.0"/>
    <col customWidth="1" min="19" max="19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8"/>
      <c r="M1" s="9"/>
      <c r="N1" s="1"/>
      <c r="O1" s="10"/>
      <c r="P1" s="10"/>
      <c r="Q1" s="10"/>
      <c r="R1" s="10"/>
      <c r="S1" s="10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5" t="s">
        <v>2</v>
      </c>
      <c r="K2" s="12"/>
      <c r="L2" s="12"/>
      <c r="M2" s="12"/>
      <c r="O2" s="16"/>
      <c r="P2" s="17" t="s">
        <v>3</v>
      </c>
      <c r="Q2" s="17"/>
      <c r="R2" s="17" t="s">
        <v>4</v>
      </c>
      <c r="S2" s="16"/>
    </row>
    <row r="3" ht="21.0" customHeight="1">
      <c r="A3" s="1"/>
      <c r="B3" s="18"/>
      <c r="C3" s="18"/>
      <c r="D3" s="19"/>
      <c r="E3" s="19"/>
      <c r="F3" s="20"/>
      <c r="G3" s="21"/>
      <c r="H3" s="21"/>
      <c r="I3" s="22"/>
      <c r="J3" s="23"/>
      <c r="K3" s="23"/>
      <c r="L3" s="24"/>
      <c r="M3" s="24"/>
      <c r="N3" s="24"/>
      <c r="O3" s="25"/>
      <c r="P3" s="26" t="s">
        <v>5</v>
      </c>
      <c r="Q3" s="27"/>
      <c r="R3" s="26" t="s">
        <v>6</v>
      </c>
      <c r="S3" s="25"/>
    </row>
    <row r="4" ht="21.0" customHeight="1">
      <c r="A4" s="1"/>
      <c r="B4" s="28" t="s">
        <v>7</v>
      </c>
      <c r="C4" s="29"/>
      <c r="D4" s="30" t="s">
        <v>8</v>
      </c>
      <c r="E4" s="29"/>
      <c r="F4" s="29"/>
      <c r="G4" s="29"/>
      <c r="H4" s="31"/>
      <c r="I4" s="28" t="s">
        <v>9</v>
      </c>
      <c r="J4" s="32" t="s">
        <v>10</v>
      </c>
      <c r="K4" s="28"/>
      <c r="L4" s="28"/>
      <c r="M4" s="28"/>
      <c r="N4" s="33"/>
      <c r="O4" s="25"/>
      <c r="P4" s="26" t="s">
        <v>11</v>
      </c>
      <c r="Q4" s="27"/>
      <c r="R4" s="26" t="s">
        <v>12</v>
      </c>
      <c r="S4" s="25"/>
    </row>
    <row r="5" ht="21.0" customHeight="1">
      <c r="A5" s="1"/>
      <c r="B5" s="28" t="s">
        <v>13</v>
      </c>
      <c r="C5" s="29"/>
      <c r="D5" s="34" t="s">
        <v>14</v>
      </c>
      <c r="E5" s="29"/>
      <c r="F5" s="29"/>
      <c r="G5" s="29"/>
      <c r="H5" s="35"/>
      <c r="I5" s="28" t="s">
        <v>15</v>
      </c>
      <c r="J5" s="36">
        <v>43171.0</v>
      </c>
      <c r="K5" s="28"/>
      <c r="L5" s="28"/>
      <c r="M5" s="28"/>
      <c r="N5" s="33"/>
      <c r="O5" s="25"/>
      <c r="P5" s="26" t="s">
        <v>16</v>
      </c>
      <c r="Q5" s="27"/>
      <c r="R5" s="26" t="s">
        <v>17</v>
      </c>
      <c r="S5" s="25"/>
    </row>
    <row r="6" ht="21.0" customHeight="1">
      <c r="A6" s="37"/>
      <c r="B6" s="38"/>
      <c r="C6" s="38"/>
      <c r="D6" s="39"/>
      <c r="E6" s="39"/>
      <c r="F6" s="40"/>
      <c r="G6" s="38"/>
      <c r="H6" s="38"/>
      <c r="I6" s="38"/>
      <c r="J6" s="39"/>
      <c r="K6" s="39"/>
      <c r="L6" s="37"/>
      <c r="M6" s="37"/>
      <c r="N6" s="37"/>
      <c r="O6" s="25"/>
      <c r="P6" s="26" t="s">
        <v>18</v>
      </c>
      <c r="Q6" s="27"/>
      <c r="R6" s="26"/>
      <c r="S6" s="25"/>
    </row>
    <row r="7" ht="21.0" customHeight="1">
      <c r="A7" s="37"/>
      <c r="B7" s="38"/>
      <c r="C7" s="38"/>
      <c r="D7" s="39"/>
      <c r="E7" s="39"/>
      <c r="F7" s="40"/>
      <c r="G7" s="38"/>
      <c r="H7" s="38"/>
      <c r="I7" s="38"/>
      <c r="J7" s="39"/>
      <c r="K7" s="39"/>
      <c r="L7" s="37"/>
      <c r="M7" s="37"/>
      <c r="N7" s="37"/>
      <c r="O7" s="41"/>
      <c r="P7" s="41"/>
      <c r="Q7" s="41"/>
      <c r="R7" s="41"/>
      <c r="S7" s="41"/>
    </row>
    <row r="8" ht="21.0" customHeight="1">
      <c r="A8" s="42"/>
      <c r="B8" s="43" t="s">
        <v>19</v>
      </c>
      <c r="J8" s="44" t="s">
        <v>20</v>
      </c>
      <c r="L8" s="45"/>
      <c r="N8" s="46"/>
      <c r="O8" s="47"/>
      <c r="P8" s="47"/>
      <c r="Q8" s="47"/>
      <c r="R8" s="47"/>
      <c r="S8" s="47"/>
    </row>
    <row r="9" ht="21.0" customHeight="1">
      <c r="A9" s="48"/>
      <c r="B9" s="49" t="s">
        <v>21</v>
      </c>
      <c r="C9" s="49" t="s">
        <v>22</v>
      </c>
      <c r="D9" s="49" t="s">
        <v>23</v>
      </c>
      <c r="E9" s="49" t="s">
        <v>24</v>
      </c>
      <c r="F9" s="49" t="s">
        <v>25</v>
      </c>
      <c r="G9" s="50" t="s">
        <v>26</v>
      </c>
      <c r="H9" s="50" t="s">
        <v>27</v>
      </c>
      <c r="I9" s="49" t="s">
        <v>28</v>
      </c>
      <c r="J9" s="51" t="s">
        <v>29</v>
      </c>
      <c r="K9" s="51" t="s">
        <v>30</v>
      </c>
      <c r="L9" s="52" t="s">
        <v>31</v>
      </c>
      <c r="M9" s="52" t="s">
        <v>32</v>
      </c>
      <c r="N9" s="53"/>
      <c r="O9" s="47"/>
      <c r="P9" s="47"/>
      <c r="Q9" s="47"/>
      <c r="R9" s="47"/>
      <c r="S9" s="47"/>
    </row>
    <row r="10" ht="49.5" customHeight="1">
      <c r="A10" s="54"/>
      <c r="B10" s="55" t="s">
        <v>33</v>
      </c>
      <c r="C10" s="56"/>
      <c r="D10" s="56"/>
      <c r="E10" s="56"/>
      <c r="F10" s="56"/>
      <c r="G10" s="56"/>
      <c r="H10" s="55"/>
      <c r="I10" s="55"/>
      <c r="J10" s="56"/>
      <c r="K10" s="57">
        <f>AVERAGE(K11:K12)</f>
        <v>0</v>
      </c>
      <c r="L10" s="58">
        <f t="shared" ref="L10:M10" si="1">SUM(L11:L12)</f>
        <v>0</v>
      </c>
      <c r="M10" s="58">
        <f t="shared" si="1"/>
        <v>0</v>
      </c>
      <c r="N10" s="59"/>
      <c r="O10" s="47"/>
      <c r="P10" s="47"/>
      <c r="Q10" s="47"/>
      <c r="R10" s="47"/>
      <c r="S10" s="47"/>
    </row>
    <row r="11" ht="21.0" customHeight="1">
      <c r="A11" s="60"/>
      <c r="B11" s="61" t="s">
        <v>16</v>
      </c>
      <c r="C11" s="62" t="s">
        <v>17</v>
      </c>
      <c r="D11" s="63">
        <v>44459.0</v>
      </c>
      <c r="E11" s="63">
        <v>44462.0</v>
      </c>
      <c r="F11" s="64">
        <f t="shared" ref="F11:F12" si="2">DAYS360(D11,E11) + 1</f>
        <v>4</v>
      </c>
      <c r="G11" s="65" t="s">
        <v>34</v>
      </c>
      <c r="H11" s="65" t="s">
        <v>35</v>
      </c>
      <c r="I11" s="61" t="s">
        <v>36</v>
      </c>
      <c r="J11" s="66"/>
      <c r="K11" s="67">
        <v>0.0</v>
      </c>
      <c r="L11" s="68">
        <v>0.0</v>
      </c>
      <c r="M11" s="68">
        <v>0.0</v>
      </c>
      <c r="N11" s="69"/>
      <c r="O11" s="47"/>
      <c r="P11" s="47"/>
      <c r="Q11" s="47"/>
      <c r="R11" s="47"/>
      <c r="S11" s="47"/>
    </row>
    <row r="12" ht="21.0" customHeight="1">
      <c r="A12" s="60"/>
      <c r="B12" s="62" t="s">
        <v>11</v>
      </c>
      <c r="C12" s="61" t="s">
        <v>17</v>
      </c>
      <c r="D12" s="63">
        <v>44463.0</v>
      </c>
      <c r="E12" s="63">
        <v>44464.0</v>
      </c>
      <c r="F12" s="64">
        <f t="shared" si="2"/>
        <v>2</v>
      </c>
      <c r="G12" s="65" t="s">
        <v>34</v>
      </c>
      <c r="H12" s="70" t="s">
        <v>37</v>
      </c>
      <c r="I12" s="61" t="s">
        <v>38</v>
      </c>
      <c r="J12" s="66"/>
      <c r="K12" s="67">
        <v>0.0</v>
      </c>
      <c r="L12" s="68">
        <v>0.0</v>
      </c>
      <c r="M12" s="68">
        <v>0.0</v>
      </c>
      <c r="N12" s="69"/>
      <c r="O12" s="47"/>
      <c r="P12" s="47"/>
      <c r="Q12" s="47"/>
      <c r="R12" s="47"/>
      <c r="S12" s="47"/>
    </row>
    <row r="13" ht="21.0" customHeight="1">
      <c r="A13" s="60"/>
      <c r="B13" s="62"/>
      <c r="C13" s="61"/>
      <c r="D13" s="63"/>
      <c r="E13" s="63"/>
      <c r="F13" s="64"/>
      <c r="G13" s="65"/>
      <c r="H13" s="70"/>
      <c r="I13" s="61"/>
      <c r="J13" s="66"/>
      <c r="K13" s="67"/>
      <c r="L13" s="68"/>
      <c r="M13" s="68"/>
      <c r="N13" s="71"/>
      <c r="O13" s="72"/>
      <c r="P13" s="72"/>
      <c r="Q13" s="72"/>
      <c r="R13" s="72"/>
      <c r="S13" s="72"/>
    </row>
    <row r="14" ht="21.0" customHeight="1">
      <c r="A14" s="60"/>
      <c r="B14" s="62"/>
      <c r="C14" s="61"/>
      <c r="D14" s="63"/>
      <c r="E14" s="63"/>
      <c r="F14" s="64"/>
      <c r="G14" s="65"/>
      <c r="H14" s="70"/>
      <c r="I14" s="61"/>
      <c r="J14" s="66"/>
      <c r="K14" s="67"/>
      <c r="L14" s="68"/>
      <c r="M14" s="68"/>
      <c r="N14" s="71"/>
      <c r="O14" s="72"/>
      <c r="P14" s="72"/>
      <c r="Q14" s="72"/>
      <c r="R14" s="72"/>
      <c r="S14" s="72"/>
    </row>
    <row r="15" ht="21.0" customHeight="1">
      <c r="A15" s="60"/>
      <c r="B15" s="62"/>
      <c r="C15" s="61"/>
      <c r="D15" s="63"/>
      <c r="E15" s="63"/>
      <c r="F15" s="64"/>
      <c r="G15" s="65"/>
      <c r="H15" s="70"/>
      <c r="I15" s="61"/>
      <c r="J15" s="66"/>
      <c r="K15" s="67"/>
      <c r="L15" s="68"/>
      <c r="M15" s="68"/>
      <c r="N15" s="71"/>
      <c r="O15" s="72"/>
      <c r="P15" s="72"/>
      <c r="Q15" s="72"/>
      <c r="R15" s="72"/>
      <c r="S15" s="72"/>
    </row>
    <row r="16" ht="21.0" customHeight="1">
      <c r="A16" s="60"/>
      <c r="B16" s="62"/>
      <c r="C16" s="61"/>
      <c r="D16" s="63"/>
      <c r="E16" s="63"/>
      <c r="F16" s="64"/>
      <c r="G16" s="65"/>
      <c r="H16" s="70"/>
      <c r="I16" s="61"/>
      <c r="J16" s="66"/>
      <c r="K16" s="67"/>
      <c r="L16" s="68"/>
      <c r="M16" s="68"/>
      <c r="N16" s="71"/>
      <c r="O16" s="72"/>
      <c r="P16" s="72"/>
      <c r="Q16" s="72"/>
      <c r="R16" s="72"/>
      <c r="S16" s="72"/>
    </row>
    <row r="17" ht="21.0" customHeight="1">
      <c r="A17" s="60"/>
      <c r="B17" s="62"/>
      <c r="C17" s="61"/>
      <c r="D17" s="63"/>
      <c r="E17" s="63"/>
      <c r="F17" s="64"/>
      <c r="G17" s="65"/>
      <c r="H17" s="70"/>
      <c r="I17" s="61"/>
      <c r="J17" s="66"/>
      <c r="K17" s="67"/>
      <c r="L17" s="68"/>
      <c r="M17" s="68"/>
      <c r="N17" s="71"/>
      <c r="O17" s="72"/>
      <c r="P17" s="72"/>
      <c r="Q17" s="72"/>
      <c r="R17" s="72"/>
      <c r="S17" s="72"/>
    </row>
    <row r="18" ht="21.0" customHeight="1">
      <c r="A18" s="60"/>
      <c r="B18" s="62"/>
      <c r="C18" s="61"/>
      <c r="D18" s="63"/>
      <c r="E18" s="63"/>
      <c r="F18" s="64"/>
      <c r="G18" s="65"/>
      <c r="H18" s="70"/>
      <c r="I18" s="61"/>
      <c r="J18" s="66"/>
      <c r="K18" s="67"/>
      <c r="L18" s="68"/>
      <c r="M18" s="68"/>
      <c r="N18" s="71"/>
      <c r="O18" s="72"/>
      <c r="P18" s="72"/>
      <c r="Q18" s="72"/>
      <c r="R18" s="72"/>
      <c r="S18" s="72"/>
    </row>
    <row r="19" ht="21.0" customHeight="1">
      <c r="A19" s="60"/>
      <c r="B19" s="62"/>
      <c r="C19" s="61"/>
      <c r="D19" s="63"/>
      <c r="E19" s="63"/>
      <c r="F19" s="64"/>
      <c r="G19" s="65"/>
      <c r="H19" s="70"/>
      <c r="I19" s="61"/>
      <c r="J19" s="66"/>
      <c r="K19" s="67"/>
      <c r="L19" s="68"/>
      <c r="M19" s="68"/>
      <c r="N19" s="71"/>
      <c r="O19" s="72"/>
      <c r="P19" s="72"/>
      <c r="Q19" s="72"/>
      <c r="R19" s="72"/>
      <c r="S19" s="72"/>
    </row>
    <row r="20" ht="21.0" customHeight="1">
      <c r="A20" s="60"/>
      <c r="B20" s="62"/>
      <c r="C20" s="61"/>
      <c r="D20" s="63"/>
      <c r="E20" s="63"/>
      <c r="F20" s="64"/>
      <c r="G20" s="65"/>
      <c r="H20" s="70"/>
      <c r="I20" s="61"/>
      <c r="J20" s="66"/>
      <c r="K20" s="67"/>
      <c r="L20" s="68"/>
      <c r="M20" s="68"/>
      <c r="N20" s="71"/>
      <c r="O20" s="72"/>
      <c r="P20" s="72"/>
      <c r="Q20" s="72"/>
      <c r="R20" s="72"/>
      <c r="S20" s="72"/>
    </row>
    <row r="21" ht="21.0" customHeight="1">
      <c r="A21" s="60"/>
      <c r="B21" s="62"/>
      <c r="C21" s="61"/>
      <c r="D21" s="63"/>
      <c r="E21" s="63"/>
      <c r="F21" s="64"/>
      <c r="G21" s="65"/>
      <c r="H21" s="70"/>
      <c r="I21" s="61"/>
      <c r="J21" s="66"/>
      <c r="K21" s="67"/>
      <c r="L21" s="68"/>
      <c r="M21" s="68"/>
      <c r="N21" s="71"/>
      <c r="O21" s="72"/>
      <c r="P21" s="72"/>
      <c r="Q21" s="72"/>
      <c r="R21" s="72"/>
      <c r="S21" s="72"/>
    </row>
    <row r="22" ht="21.0" customHeight="1">
      <c r="A22" s="60"/>
      <c r="B22" s="62"/>
      <c r="C22" s="61"/>
      <c r="D22" s="63"/>
      <c r="E22" s="63"/>
      <c r="F22" s="64"/>
      <c r="G22" s="65"/>
      <c r="H22" s="70"/>
      <c r="I22" s="61"/>
      <c r="J22" s="66"/>
      <c r="K22" s="67"/>
      <c r="L22" s="68"/>
      <c r="M22" s="68"/>
      <c r="N22" s="71"/>
      <c r="O22" s="72"/>
      <c r="P22" s="72"/>
      <c r="Q22" s="72"/>
      <c r="R22" s="72"/>
      <c r="S22" s="72"/>
    </row>
    <row r="23" ht="21.0" customHeight="1">
      <c r="A23" s="60"/>
      <c r="B23" s="62"/>
      <c r="C23" s="61"/>
      <c r="D23" s="63"/>
      <c r="E23" s="63"/>
      <c r="F23" s="64"/>
      <c r="G23" s="65"/>
      <c r="H23" s="70"/>
      <c r="I23" s="61"/>
      <c r="J23" s="66"/>
      <c r="K23" s="67"/>
      <c r="L23" s="68"/>
      <c r="M23" s="68"/>
      <c r="N23" s="71"/>
      <c r="O23" s="72"/>
      <c r="P23" s="72"/>
      <c r="Q23" s="72"/>
      <c r="R23" s="72"/>
      <c r="S23" s="72"/>
    </row>
    <row r="24" ht="21.0" customHeight="1">
      <c r="A24" s="60"/>
      <c r="B24" s="62"/>
      <c r="C24" s="61"/>
      <c r="D24" s="63"/>
      <c r="E24" s="63"/>
      <c r="F24" s="64"/>
      <c r="G24" s="65"/>
      <c r="H24" s="70"/>
      <c r="I24" s="61"/>
      <c r="J24" s="66"/>
      <c r="K24" s="67"/>
      <c r="L24" s="68"/>
      <c r="M24" s="68"/>
      <c r="N24" s="71"/>
      <c r="O24" s="72"/>
      <c r="P24" s="72"/>
      <c r="Q24" s="72"/>
      <c r="R24" s="72"/>
      <c r="S24" s="72"/>
    </row>
    <row r="25" ht="21.0" customHeight="1">
      <c r="A25" s="60"/>
      <c r="B25" s="62"/>
      <c r="C25" s="61"/>
      <c r="D25" s="63"/>
      <c r="E25" s="63"/>
      <c r="F25" s="64"/>
      <c r="G25" s="65"/>
      <c r="H25" s="70"/>
      <c r="I25" s="61"/>
      <c r="J25" s="66"/>
      <c r="K25" s="67"/>
      <c r="L25" s="68"/>
      <c r="M25" s="68"/>
      <c r="N25" s="71"/>
      <c r="O25" s="72"/>
      <c r="P25" s="72"/>
      <c r="Q25" s="72"/>
      <c r="R25" s="72"/>
      <c r="S25" s="72"/>
    </row>
    <row r="26" ht="21.0" customHeight="1">
      <c r="A26" s="60"/>
      <c r="B26" s="62"/>
      <c r="C26" s="61"/>
      <c r="D26" s="63"/>
      <c r="E26" s="63"/>
      <c r="F26" s="64"/>
      <c r="G26" s="65"/>
      <c r="H26" s="70"/>
      <c r="I26" s="61"/>
      <c r="J26" s="66"/>
      <c r="K26" s="67"/>
      <c r="L26" s="68"/>
      <c r="M26" s="68"/>
      <c r="N26" s="71"/>
      <c r="O26" s="72"/>
      <c r="P26" s="72"/>
      <c r="Q26" s="72"/>
      <c r="R26" s="72"/>
      <c r="S26" s="72"/>
    </row>
    <row r="27" ht="21.0" customHeight="1">
      <c r="A27" s="60"/>
      <c r="B27" s="62"/>
      <c r="C27" s="61"/>
      <c r="D27" s="63"/>
      <c r="E27" s="63"/>
      <c r="F27" s="64"/>
      <c r="G27" s="65"/>
      <c r="H27" s="70"/>
      <c r="I27" s="61"/>
      <c r="J27" s="66"/>
      <c r="K27" s="67"/>
      <c r="L27" s="68"/>
      <c r="M27" s="68"/>
      <c r="N27" s="60"/>
      <c r="O27" s="73"/>
      <c r="P27" s="73"/>
      <c r="Q27" s="73"/>
      <c r="R27" s="73"/>
      <c r="S27" s="73"/>
    </row>
    <row r="28" ht="21.0" customHeight="1">
      <c r="A28" s="60"/>
      <c r="B28" s="62"/>
      <c r="C28" s="61"/>
      <c r="D28" s="63"/>
      <c r="E28" s="63"/>
      <c r="F28" s="64"/>
      <c r="G28" s="65"/>
      <c r="H28" s="70"/>
      <c r="I28" s="61"/>
      <c r="J28" s="66"/>
      <c r="K28" s="67"/>
      <c r="L28" s="68"/>
      <c r="M28" s="68"/>
      <c r="N28" s="60"/>
      <c r="O28" s="73"/>
      <c r="P28" s="73"/>
      <c r="Q28" s="73"/>
      <c r="R28" s="73"/>
      <c r="S28" s="73"/>
    </row>
    <row r="29" ht="21.0" customHeight="1">
      <c r="A29" s="60"/>
      <c r="B29" s="62"/>
      <c r="C29" s="61"/>
      <c r="D29" s="63"/>
      <c r="E29" s="63"/>
      <c r="F29" s="64"/>
      <c r="G29" s="65"/>
      <c r="H29" s="70"/>
      <c r="I29" s="61"/>
      <c r="J29" s="66"/>
      <c r="K29" s="67"/>
      <c r="L29" s="68"/>
      <c r="M29" s="68"/>
      <c r="N29" s="60"/>
      <c r="O29" s="73"/>
      <c r="P29" s="73"/>
      <c r="Q29" s="73"/>
      <c r="R29" s="73"/>
      <c r="S29" s="73"/>
    </row>
  </sheetData>
  <mergeCells count="11">
    <mergeCell ref="J8:K8"/>
    <mergeCell ref="L8:M8"/>
    <mergeCell ref="B10:G10"/>
    <mergeCell ref="I10:J10"/>
    <mergeCell ref="B2:G2"/>
    <mergeCell ref="J2:M2"/>
    <mergeCell ref="B4:C4"/>
    <mergeCell ref="D4:G4"/>
    <mergeCell ref="B5:C5"/>
    <mergeCell ref="D5:G5"/>
    <mergeCell ref="B8:I8"/>
  </mergeCells>
  <dataValidations>
    <dataValidation type="list" allowBlank="1" sqref="B11:B29">
      <formula1>'QBC Project'!$P$3:$P$6</formula1>
    </dataValidation>
    <dataValidation type="list" allowBlank="1" sqref="C11:C29">
      <formula1>'QBC Project'!$R$3:$R$6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7" width="13.25"/>
    <col customWidth="1" min="8" max="8" width="19.75"/>
    <col customWidth="1" min="9" max="9" width="26.38"/>
    <col customWidth="1" min="10" max="13" width="13.25"/>
    <col customWidth="1" min="14" max="14" width="9.13"/>
    <col customWidth="1" min="15" max="15" width="2.88"/>
    <col customWidth="1" min="16" max="16" width="15.0"/>
    <col customWidth="1" min="17" max="17" width="2.88"/>
    <col customWidth="1" min="18" max="18" width="15.0"/>
    <col customWidth="1" min="19" max="19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8"/>
      <c r="M1" s="9"/>
      <c r="N1" s="1"/>
      <c r="O1" s="10"/>
      <c r="P1" s="10"/>
      <c r="Q1" s="10"/>
      <c r="R1" s="10"/>
      <c r="S1" s="10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5" t="s">
        <v>2</v>
      </c>
      <c r="K2" s="12"/>
      <c r="L2" s="12"/>
      <c r="M2" s="12"/>
      <c r="O2" s="16"/>
      <c r="P2" s="17" t="s">
        <v>3</v>
      </c>
      <c r="Q2" s="17"/>
      <c r="R2" s="17" t="s">
        <v>4</v>
      </c>
      <c r="S2" s="16"/>
    </row>
    <row r="3" ht="21.0" customHeight="1">
      <c r="A3" s="1"/>
      <c r="B3" s="18"/>
      <c r="C3" s="18"/>
      <c r="D3" s="19"/>
      <c r="E3" s="19"/>
      <c r="F3" s="20"/>
      <c r="G3" s="21"/>
      <c r="H3" s="21"/>
      <c r="I3" s="22"/>
      <c r="J3" s="23"/>
      <c r="K3" s="23"/>
      <c r="L3" s="24"/>
      <c r="M3" s="24"/>
      <c r="N3" s="24"/>
      <c r="O3" s="25"/>
      <c r="P3" s="26" t="s">
        <v>5</v>
      </c>
      <c r="Q3" s="27"/>
      <c r="R3" s="26" t="s">
        <v>6</v>
      </c>
      <c r="S3" s="25"/>
    </row>
    <row r="4" ht="21.0" customHeight="1">
      <c r="A4" s="1"/>
      <c r="B4" s="28" t="s">
        <v>7</v>
      </c>
      <c r="C4" s="29"/>
      <c r="D4" s="30" t="s">
        <v>8</v>
      </c>
      <c r="E4" s="29"/>
      <c r="F4" s="29"/>
      <c r="G4" s="29"/>
      <c r="H4" s="31"/>
      <c r="I4" s="28" t="s">
        <v>9</v>
      </c>
      <c r="J4" s="32" t="s">
        <v>10</v>
      </c>
      <c r="K4" s="28"/>
      <c r="L4" s="28"/>
      <c r="M4" s="28"/>
      <c r="N4" s="33"/>
      <c r="O4" s="25"/>
      <c r="P4" s="26" t="s">
        <v>11</v>
      </c>
      <c r="Q4" s="27"/>
      <c r="R4" s="26" t="s">
        <v>12</v>
      </c>
      <c r="S4" s="25"/>
    </row>
    <row r="5" ht="21.0" customHeight="1">
      <c r="A5" s="1"/>
      <c r="B5" s="28" t="s">
        <v>13</v>
      </c>
      <c r="C5" s="29"/>
      <c r="D5" s="34" t="s">
        <v>14</v>
      </c>
      <c r="E5" s="29"/>
      <c r="F5" s="29"/>
      <c r="G5" s="29"/>
      <c r="H5" s="35"/>
      <c r="I5" s="28" t="s">
        <v>15</v>
      </c>
      <c r="J5" s="63">
        <v>44456.0</v>
      </c>
      <c r="K5" s="28"/>
      <c r="L5" s="28"/>
      <c r="M5" s="28"/>
      <c r="N5" s="33"/>
      <c r="O5" s="25"/>
      <c r="P5" s="26" t="s">
        <v>16</v>
      </c>
      <c r="Q5" s="27"/>
      <c r="R5" s="26" t="s">
        <v>17</v>
      </c>
      <c r="S5" s="25"/>
    </row>
    <row r="6" ht="21.0" customHeight="1">
      <c r="A6" s="37"/>
      <c r="B6" s="38"/>
      <c r="C6" s="38"/>
      <c r="D6" s="39"/>
      <c r="E6" s="39"/>
      <c r="F6" s="40"/>
      <c r="G6" s="38"/>
      <c r="H6" s="38"/>
      <c r="I6" s="38"/>
      <c r="J6" s="39"/>
      <c r="K6" s="39"/>
      <c r="L6" s="37"/>
      <c r="M6" s="37"/>
      <c r="N6" s="37"/>
      <c r="O6" s="25"/>
      <c r="P6" s="26" t="s">
        <v>18</v>
      </c>
      <c r="Q6" s="27"/>
      <c r="R6" s="26"/>
      <c r="S6" s="25"/>
    </row>
    <row r="7" ht="21.0" customHeight="1">
      <c r="A7" s="37"/>
      <c r="B7" s="38"/>
      <c r="C7" s="38"/>
      <c r="D7" s="39"/>
      <c r="E7" s="39"/>
      <c r="F7" s="40"/>
      <c r="G7" s="38"/>
      <c r="H7" s="38"/>
      <c r="I7" s="38"/>
      <c r="J7" s="39"/>
      <c r="K7" s="39"/>
      <c r="L7" s="37"/>
      <c r="M7" s="37"/>
      <c r="N7" s="37"/>
      <c r="O7" s="41"/>
      <c r="P7" s="41"/>
      <c r="Q7" s="41"/>
      <c r="R7" s="41"/>
      <c r="S7" s="41"/>
    </row>
    <row r="8" ht="21.0" customHeight="1">
      <c r="A8" s="42"/>
      <c r="B8" s="43" t="s">
        <v>19</v>
      </c>
      <c r="J8" s="44" t="s">
        <v>20</v>
      </c>
      <c r="L8" s="45"/>
      <c r="N8" s="46"/>
      <c r="O8" s="47"/>
      <c r="P8" s="47"/>
      <c r="Q8" s="47"/>
      <c r="R8" s="47"/>
      <c r="S8" s="47"/>
    </row>
    <row r="9" ht="21.0" customHeight="1">
      <c r="A9" s="48"/>
      <c r="B9" s="49" t="s">
        <v>21</v>
      </c>
      <c r="C9" s="49" t="s">
        <v>22</v>
      </c>
      <c r="D9" s="49" t="s">
        <v>23</v>
      </c>
      <c r="E9" s="49" t="s">
        <v>24</v>
      </c>
      <c r="F9" s="49" t="s">
        <v>25</v>
      </c>
      <c r="G9" s="50" t="s">
        <v>26</v>
      </c>
      <c r="H9" s="50" t="s">
        <v>27</v>
      </c>
      <c r="I9" s="49" t="s">
        <v>28</v>
      </c>
      <c r="J9" s="51" t="s">
        <v>29</v>
      </c>
      <c r="K9" s="51" t="s">
        <v>30</v>
      </c>
      <c r="L9" s="52" t="s">
        <v>31</v>
      </c>
      <c r="M9" s="52" t="s">
        <v>32</v>
      </c>
      <c r="N9" s="53"/>
      <c r="O9" s="47"/>
      <c r="P9" s="47"/>
      <c r="Q9" s="47"/>
      <c r="R9" s="47"/>
      <c r="S9" s="47"/>
    </row>
    <row r="10" ht="49.5" customHeight="1">
      <c r="A10" s="54"/>
      <c r="B10" s="55" t="s">
        <v>39</v>
      </c>
      <c r="C10" s="56"/>
      <c r="D10" s="56"/>
      <c r="E10" s="56"/>
      <c r="F10" s="56"/>
      <c r="G10" s="56"/>
      <c r="H10" s="55"/>
      <c r="I10" s="55"/>
      <c r="J10" s="56"/>
      <c r="K10" s="57">
        <f>AVERAGE(K11:K30)</f>
        <v>0.8</v>
      </c>
      <c r="L10" s="58">
        <f t="shared" ref="L10:M10" si="1">SUM(L11:L12)</f>
        <v>0</v>
      </c>
      <c r="M10" s="58">
        <f t="shared" si="1"/>
        <v>0</v>
      </c>
      <c r="N10" s="59"/>
      <c r="O10" s="47"/>
      <c r="P10" s="47"/>
      <c r="Q10" s="47"/>
      <c r="R10" s="47"/>
      <c r="S10" s="47"/>
    </row>
    <row r="11" ht="21.0" customHeight="1">
      <c r="A11" s="60"/>
      <c r="B11" s="61" t="s">
        <v>16</v>
      </c>
      <c r="C11" s="62" t="s">
        <v>17</v>
      </c>
      <c r="D11" s="63">
        <v>44456.0</v>
      </c>
      <c r="E11" s="63">
        <v>44456.0</v>
      </c>
      <c r="F11" s="64">
        <f t="shared" ref="F11:F17" si="2">DAYS360(D11,E11) + 1</f>
        <v>1</v>
      </c>
      <c r="G11" s="65" t="s">
        <v>40</v>
      </c>
      <c r="H11" s="65" t="s">
        <v>41</v>
      </c>
      <c r="I11" s="61"/>
      <c r="J11" s="66"/>
      <c r="K11" s="67">
        <v>1.0</v>
      </c>
      <c r="L11" s="68">
        <v>0.0</v>
      </c>
      <c r="M11" s="68">
        <v>0.0</v>
      </c>
      <c r="N11" s="69"/>
      <c r="O11" s="47"/>
      <c r="P11" s="47"/>
      <c r="Q11" s="47"/>
      <c r="R11" s="47"/>
      <c r="S11" s="47"/>
    </row>
    <row r="12" ht="21.0" customHeight="1">
      <c r="A12" s="60"/>
      <c r="B12" s="61" t="s">
        <v>16</v>
      </c>
      <c r="C12" s="61" t="s">
        <v>17</v>
      </c>
      <c r="D12" s="63">
        <v>44456.0</v>
      </c>
      <c r="E12" s="63">
        <v>44460.0</v>
      </c>
      <c r="F12" s="64">
        <f t="shared" si="2"/>
        <v>5</v>
      </c>
      <c r="G12" s="65" t="s">
        <v>40</v>
      </c>
      <c r="H12" s="70" t="s">
        <v>42</v>
      </c>
      <c r="I12" s="61" t="s">
        <v>38</v>
      </c>
      <c r="J12" s="66"/>
      <c r="K12" s="67">
        <v>0.8</v>
      </c>
      <c r="L12" s="68">
        <v>0.0</v>
      </c>
      <c r="M12" s="68">
        <v>0.0</v>
      </c>
      <c r="N12" s="69"/>
      <c r="O12" s="47"/>
      <c r="P12" s="47"/>
      <c r="Q12" s="47"/>
      <c r="R12" s="47"/>
      <c r="S12" s="47"/>
    </row>
    <row r="13" ht="21.0" customHeight="1">
      <c r="A13" s="60"/>
      <c r="B13" s="61" t="s">
        <v>16</v>
      </c>
      <c r="C13" s="61" t="s">
        <v>17</v>
      </c>
      <c r="D13" s="63">
        <v>44456.0</v>
      </c>
      <c r="E13" s="63">
        <v>44460.0</v>
      </c>
      <c r="F13" s="64">
        <f t="shared" si="2"/>
        <v>5</v>
      </c>
      <c r="G13" s="65" t="s">
        <v>43</v>
      </c>
      <c r="H13" s="70" t="s">
        <v>44</v>
      </c>
      <c r="I13" s="61"/>
      <c r="J13" s="66"/>
      <c r="K13" s="67">
        <v>0.5</v>
      </c>
      <c r="L13" s="68">
        <v>0.0</v>
      </c>
      <c r="M13" s="68">
        <v>0.0</v>
      </c>
      <c r="N13" s="71"/>
      <c r="O13" s="72"/>
      <c r="P13" s="72"/>
      <c r="Q13" s="72"/>
      <c r="R13" s="72"/>
      <c r="S13" s="72"/>
    </row>
    <row r="14" ht="21.0" customHeight="1">
      <c r="A14" s="60"/>
      <c r="B14" s="61" t="s">
        <v>18</v>
      </c>
      <c r="C14" s="61" t="s">
        <v>12</v>
      </c>
      <c r="D14" s="63">
        <v>44456.0</v>
      </c>
      <c r="E14" s="63">
        <v>44456.0</v>
      </c>
      <c r="F14" s="64">
        <f t="shared" si="2"/>
        <v>1</v>
      </c>
      <c r="G14" s="65" t="s">
        <v>43</v>
      </c>
      <c r="H14" s="70" t="s">
        <v>45</v>
      </c>
      <c r="I14" s="61" t="s">
        <v>46</v>
      </c>
      <c r="J14" s="66"/>
      <c r="K14" s="67">
        <v>1.0</v>
      </c>
      <c r="L14" s="68"/>
      <c r="M14" s="68"/>
      <c r="N14" s="71"/>
      <c r="O14" s="72"/>
      <c r="P14" s="72"/>
      <c r="Q14" s="72"/>
      <c r="R14" s="72"/>
      <c r="S14" s="72"/>
    </row>
    <row r="15" ht="21.0" customHeight="1">
      <c r="A15" s="60"/>
      <c r="B15" s="61" t="s">
        <v>16</v>
      </c>
      <c r="C15" s="61" t="s">
        <v>17</v>
      </c>
      <c r="D15" s="63">
        <v>44456.0</v>
      </c>
      <c r="E15" s="63">
        <v>44460.0</v>
      </c>
      <c r="F15" s="64">
        <f t="shared" si="2"/>
        <v>5</v>
      </c>
      <c r="G15" s="65" t="s">
        <v>40</v>
      </c>
      <c r="H15" s="70" t="s">
        <v>47</v>
      </c>
      <c r="I15" s="61" t="s">
        <v>48</v>
      </c>
      <c r="J15" s="66"/>
      <c r="K15" s="67">
        <v>0.5</v>
      </c>
      <c r="L15" s="68">
        <v>0.0</v>
      </c>
      <c r="M15" s="68">
        <v>0.0</v>
      </c>
      <c r="N15" s="71"/>
      <c r="O15" s="72"/>
      <c r="P15" s="72"/>
      <c r="Q15" s="72"/>
      <c r="R15" s="72"/>
      <c r="S15" s="72"/>
    </row>
    <row r="16" ht="21.0" customHeight="1">
      <c r="A16" s="60"/>
      <c r="B16" s="61" t="s">
        <v>18</v>
      </c>
      <c r="C16" s="61" t="s">
        <v>6</v>
      </c>
      <c r="D16" s="63">
        <v>44456.0</v>
      </c>
      <c r="E16" s="63">
        <v>44457.0</v>
      </c>
      <c r="F16" s="64">
        <f t="shared" si="2"/>
        <v>2</v>
      </c>
      <c r="G16" s="65" t="s">
        <v>40</v>
      </c>
      <c r="H16" s="70" t="s">
        <v>49</v>
      </c>
      <c r="I16" s="61"/>
      <c r="J16" s="66"/>
      <c r="K16" s="67">
        <v>1.0</v>
      </c>
      <c r="L16" s="68">
        <v>0.0</v>
      </c>
      <c r="M16" s="68">
        <v>0.0</v>
      </c>
      <c r="N16" s="71"/>
      <c r="O16" s="72"/>
      <c r="P16" s="72"/>
      <c r="Q16" s="72"/>
      <c r="R16" s="72"/>
      <c r="S16" s="72"/>
    </row>
    <row r="17" ht="21.0" customHeight="1">
      <c r="A17" s="60"/>
      <c r="B17" s="61" t="s">
        <v>16</v>
      </c>
      <c r="C17" s="61" t="s">
        <v>17</v>
      </c>
      <c r="D17" s="63">
        <v>44456.0</v>
      </c>
      <c r="E17" s="63">
        <v>44460.0</v>
      </c>
      <c r="F17" s="64">
        <f t="shared" si="2"/>
        <v>5</v>
      </c>
      <c r="G17" s="65" t="s">
        <v>50</v>
      </c>
      <c r="H17" s="70" t="s">
        <v>51</v>
      </c>
      <c r="I17" s="61" t="s">
        <v>52</v>
      </c>
      <c r="J17" s="66"/>
      <c r="K17" s="67">
        <v>0.8</v>
      </c>
      <c r="L17" s="68">
        <v>0.0</v>
      </c>
      <c r="M17" s="68">
        <v>0.0</v>
      </c>
      <c r="N17" s="71"/>
      <c r="O17" s="72"/>
      <c r="P17" s="72"/>
      <c r="Q17" s="72"/>
      <c r="R17" s="72"/>
      <c r="S17" s="72"/>
    </row>
    <row r="18" ht="21.0" customHeight="1">
      <c r="A18" s="60"/>
      <c r="B18" s="62"/>
      <c r="C18" s="61"/>
      <c r="D18" s="63"/>
      <c r="E18" s="63"/>
      <c r="F18" s="64"/>
      <c r="G18" s="65"/>
      <c r="H18" s="70"/>
      <c r="I18" s="61"/>
      <c r="J18" s="66"/>
      <c r="K18" s="67"/>
      <c r="L18" s="68"/>
      <c r="M18" s="68"/>
      <c r="N18" s="71"/>
      <c r="O18" s="72"/>
      <c r="P18" s="72"/>
      <c r="Q18" s="72"/>
      <c r="R18" s="72"/>
      <c r="S18" s="72"/>
    </row>
    <row r="19" ht="21.0" customHeight="1">
      <c r="A19" s="60"/>
      <c r="B19" s="62"/>
      <c r="C19" s="61"/>
      <c r="D19" s="63"/>
      <c r="E19" s="63"/>
      <c r="F19" s="64"/>
      <c r="G19" s="65"/>
      <c r="H19" s="70"/>
      <c r="I19" s="61"/>
      <c r="J19" s="66"/>
      <c r="K19" s="67"/>
      <c r="L19" s="68"/>
      <c r="M19" s="68"/>
      <c r="N19" s="71"/>
      <c r="O19" s="72"/>
      <c r="P19" s="72"/>
      <c r="Q19" s="72"/>
      <c r="R19" s="72"/>
      <c r="S19" s="72"/>
    </row>
    <row r="20" ht="21.0" customHeight="1">
      <c r="A20" s="60"/>
      <c r="B20" s="62"/>
      <c r="C20" s="61"/>
      <c r="D20" s="63"/>
      <c r="E20" s="63"/>
      <c r="F20" s="64"/>
      <c r="G20" s="65"/>
      <c r="H20" s="70"/>
      <c r="I20" s="61"/>
      <c r="J20" s="66"/>
      <c r="K20" s="67"/>
      <c r="L20" s="68"/>
      <c r="M20" s="68"/>
      <c r="N20" s="71"/>
      <c r="O20" s="72"/>
      <c r="P20" s="72"/>
      <c r="Q20" s="72"/>
      <c r="R20" s="72"/>
      <c r="S20" s="72"/>
    </row>
    <row r="21" ht="21.0" customHeight="1">
      <c r="A21" s="60"/>
      <c r="B21" s="62"/>
      <c r="C21" s="61"/>
      <c r="D21" s="63"/>
      <c r="E21" s="63"/>
      <c r="F21" s="64"/>
      <c r="G21" s="65"/>
      <c r="H21" s="70"/>
      <c r="I21" s="61"/>
      <c r="J21" s="66"/>
      <c r="K21" s="67"/>
      <c r="L21" s="68"/>
      <c r="M21" s="68"/>
      <c r="N21" s="71"/>
      <c r="O21" s="72"/>
      <c r="P21" s="72"/>
      <c r="Q21" s="72"/>
      <c r="R21" s="72"/>
      <c r="S21" s="72"/>
    </row>
    <row r="22" ht="21.0" customHeight="1">
      <c r="A22" s="60"/>
      <c r="B22" s="62"/>
      <c r="C22" s="61"/>
      <c r="D22" s="63"/>
      <c r="E22" s="63"/>
      <c r="F22" s="64"/>
      <c r="G22" s="65"/>
      <c r="H22" s="70"/>
      <c r="I22" s="61"/>
      <c r="J22" s="66"/>
      <c r="K22" s="67"/>
      <c r="L22" s="68"/>
      <c r="M22" s="68"/>
      <c r="N22" s="71"/>
      <c r="O22" s="72"/>
      <c r="P22" s="72"/>
      <c r="Q22" s="72"/>
      <c r="R22" s="72"/>
      <c r="S22" s="72"/>
    </row>
    <row r="23" ht="21.0" customHeight="1">
      <c r="A23" s="60"/>
      <c r="B23" s="62"/>
      <c r="C23" s="61"/>
      <c r="D23" s="63"/>
      <c r="E23" s="63"/>
      <c r="F23" s="64"/>
      <c r="G23" s="65"/>
      <c r="H23" s="70"/>
      <c r="I23" s="61"/>
      <c r="J23" s="66"/>
      <c r="K23" s="67"/>
      <c r="L23" s="68"/>
      <c r="M23" s="68"/>
      <c r="N23" s="71"/>
      <c r="O23" s="72"/>
      <c r="P23" s="72"/>
      <c r="Q23" s="72"/>
      <c r="R23" s="72"/>
      <c r="S23" s="72"/>
    </row>
    <row r="24" ht="21.0" customHeight="1">
      <c r="A24" s="60"/>
      <c r="B24" s="62"/>
      <c r="C24" s="61"/>
      <c r="D24" s="63"/>
      <c r="E24" s="63"/>
      <c r="F24" s="64"/>
      <c r="G24" s="65"/>
      <c r="H24" s="70"/>
      <c r="I24" s="61"/>
      <c r="J24" s="66"/>
      <c r="K24" s="67"/>
      <c r="L24" s="68"/>
      <c r="M24" s="68"/>
      <c r="N24" s="71"/>
      <c r="O24" s="72"/>
      <c r="P24" s="72"/>
      <c r="Q24" s="72"/>
      <c r="R24" s="72"/>
      <c r="S24" s="72"/>
    </row>
    <row r="25" ht="21.0" customHeight="1">
      <c r="A25" s="60"/>
      <c r="B25" s="62"/>
      <c r="C25" s="61"/>
      <c r="D25" s="63"/>
      <c r="E25" s="63"/>
      <c r="F25" s="64"/>
      <c r="G25" s="65"/>
      <c r="H25" s="70"/>
      <c r="I25" s="61"/>
      <c r="J25" s="66"/>
      <c r="K25" s="67"/>
      <c r="L25" s="68"/>
      <c r="M25" s="68"/>
      <c r="N25" s="71"/>
      <c r="O25" s="72"/>
      <c r="P25" s="72"/>
      <c r="Q25" s="72"/>
      <c r="R25" s="72"/>
      <c r="S25" s="72"/>
    </row>
    <row r="26" ht="21.0" customHeight="1">
      <c r="A26" s="60"/>
      <c r="B26" s="62"/>
      <c r="C26" s="61"/>
      <c r="D26" s="63"/>
      <c r="E26" s="63"/>
      <c r="F26" s="64"/>
      <c r="G26" s="65"/>
      <c r="H26" s="70"/>
      <c r="I26" s="61"/>
      <c r="J26" s="66"/>
      <c r="K26" s="67"/>
      <c r="L26" s="68"/>
      <c r="M26" s="68"/>
      <c r="N26" s="71"/>
      <c r="O26" s="72"/>
      <c r="P26" s="72"/>
      <c r="Q26" s="72"/>
      <c r="R26" s="72"/>
      <c r="S26" s="72"/>
    </row>
    <row r="27" ht="21.0" customHeight="1">
      <c r="A27" s="60"/>
      <c r="B27" s="62"/>
      <c r="C27" s="61"/>
      <c r="D27" s="63"/>
      <c r="E27" s="63"/>
      <c r="F27" s="64"/>
      <c r="G27" s="65"/>
      <c r="H27" s="70"/>
      <c r="I27" s="61"/>
      <c r="J27" s="66"/>
      <c r="K27" s="67"/>
      <c r="L27" s="68"/>
      <c r="M27" s="68"/>
      <c r="N27" s="71"/>
      <c r="O27" s="72"/>
      <c r="P27" s="72"/>
      <c r="Q27" s="72"/>
      <c r="R27" s="72"/>
      <c r="S27" s="72"/>
    </row>
    <row r="28" ht="21.0" customHeight="1">
      <c r="A28" s="60"/>
      <c r="B28" s="62"/>
      <c r="C28" s="61"/>
      <c r="D28" s="63"/>
      <c r="E28" s="63"/>
      <c r="F28" s="64"/>
      <c r="G28" s="65"/>
      <c r="H28" s="70"/>
      <c r="I28" s="61"/>
      <c r="J28" s="66"/>
      <c r="K28" s="67"/>
      <c r="L28" s="68"/>
      <c r="M28" s="68"/>
      <c r="N28" s="60"/>
      <c r="O28" s="73"/>
      <c r="P28" s="73"/>
      <c r="Q28" s="73"/>
      <c r="R28" s="73"/>
      <c r="S28" s="73"/>
    </row>
    <row r="29" ht="21.0" customHeight="1">
      <c r="A29" s="60"/>
      <c r="B29" s="62"/>
      <c r="C29" s="61"/>
      <c r="D29" s="63"/>
      <c r="E29" s="63"/>
      <c r="F29" s="64"/>
      <c r="G29" s="65"/>
      <c r="H29" s="70"/>
      <c r="I29" s="61"/>
      <c r="J29" s="66"/>
      <c r="K29" s="67"/>
      <c r="L29" s="68"/>
      <c r="M29" s="68"/>
      <c r="N29" s="60"/>
      <c r="O29" s="73"/>
      <c r="P29" s="73"/>
      <c r="Q29" s="73"/>
      <c r="R29" s="73"/>
      <c r="S29" s="73"/>
    </row>
    <row r="30" ht="21.0" customHeight="1">
      <c r="A30" s="60"/>
      <c r="B30" s="62"/>
      <c r="C30" s="61"/>
      <c r="D30" s="63"/>
      <c r="E30" s="63"/>
      <c r="F30" s="64"/>
      <c r="G30" s="65"/>
      <c r="H30" s="70"/>
      <c r="I30" s="61"/>
      <c r="J30" s="66"/>
      <c r="K30" s="67"/>
      <c r="L30" s="68"/>
      <c r="M30" s="68"/>
      <c r="N30" s="60"/>
      <c r="O30" s="73"/>
      <c r="P30" s="73"/>
      <c r="Q30" s="73"/>
      <c r="R30" s="73"/>
      <c r="S30" s="73"/>
    </row>
  </sheetData>
  <mergeCells count="11">
    <mergeCell ref="J8:K8"/>
    <mergeCell ref="L8:M8"/>
    <mergeCell ref="B10:G10"/>
    <mergeCell ref="I10:J10"/>
    <mergeCell ref="B2:G2"/>
    <mergeCell ref="J2:M2"/>
    <mergeCell ref="B4:C4"/>
    <mergeCell ref="D4:G4"/>
    <mergeCell ref="B5:C5"/>
    <mergeCell ref="D5:G5"/>
    <mergeCell ref="B8:I8"/>
  </mergeCells>
  <dataValidations>
    <dataValidation type="list" allowBlank="1" sqref="B11:B30">
      <formula1>ICR!$P$3:$P$6</formula1>
    </dataValidation>
    <dataValidation type="list" allowBlank="1" sqref="C11:C30">
      <formula1>ICR!$R$3:$R$6</formula1>
    </dataValidation>
  </dataValidations>
  <drawing r:id="rId1"/>
</worksheet>
</file>