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620" activeTab="1"/>
  </bookViews>
  <sheets>
    <sheet name="Summary" sheetId="1" r:id="rId1"/>
    <sheet name="Eligibility" sheetId="8" r:id="rId2"/>
    <sheet name="Technical_Evaluation" sheetId="17" r:id="rId3"/>
    <sheet name="Brief_Scope" sheetId="16" r:id="rId4"/>
    <sheet name="Time_schedule" sheetId="14" r:id="rId5"/>
    <sheet name="Payment Terms" sheetId="10" r:id="rId6"/>
    <sheet name="LD_Penalty_SLA" sheetId="18" r:id="rId7"/>
  </sheets>
  <definedNames>
    <definedName name="_xlnm.Print_Area" localSheetId="0">Summary!$A$1:$D$53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Vara_User</author>
  </authors>
  <commentList>
    <comment ref="D10" authorId="0">
      <text>
        <r>
          <rPr>
            <b/>
            <sz val="9"/>
            <rFont val="Times New Roman"/>
            <charset val="0"/>
          </rPr>
          <t>Vara_User:</t>
        </r>
        <r>
          <rPr>
            <sz val="9"/>
            <rFont val="Times New Roman"/>
            <charset val="0"/>
          </rPr>
          <t xml:space="preserve">
Invenium</t>
        </r>
      </text>
    </comment>
    <comment ref="E10" authorId="0">
      <text>
        <r>
          <rPr>
            <b/>
            <sz val="9"/>
            <rFont val="Times New Roman"/>
            <charset val="0"/>
          </rPr>
          <t>Vara_User:</t>
        </r>
        <r>
          <rPr>
            <sz val="9"/>
            <rFont val="Times New Roman"/>
            <charset val="0"/>
          </rPr>
          <t xml:space="preserve">
Tata Steel</t>
        </r>
      </text>
    </comment>
  </commentList>
</comments>
</file>

<file path=xl/sharedStrings.xml><?xml version="1.0" encoding="utf-8"?>
<sst xmlns="http://schemas.openxmlformats.org/spreadsheetml/2006/main" count="437" uniqueCount="381">
  <si>
    <t>SUMMARY</t>
  </si>
  <si>
    <t>Sr. No.</t>
  </si>
  <si>
    <t>Details</t>
  </si>
  <si>
    <t>Description</t>
  </si>
  <si>
    <t>Comment/Remarks</t>
  </si>
  <si>
    <t>BID DETAILS</t>
  </si>
  <si>
    <t>Bid Type</t>
  </si>
  <si>
    <t>Open</t>
  </si>
  <si>
    <t>Bid Reverse Auction</t>
  </si>
  <si>
    <t>Yes
H1-Highest Priced Bid Elimination</t>
  </si>
  <si>
    <t>Biding Portal</t>
  </si>
  <si>
    <t>gem.gov.in</t>
  </si>
  <si>
    <t>Customer Name</t>
  </si>
  <si>
    <t>Grid Controller of India Limited
GRID INDIA, Grid Controller of India Limited, Grid Controller of India Limited, Ministry of Power</t>
  </si>
  <si>
    <t>Project Name</t>
  </si>
  <si>
    <t>Hiring of GIS Implementation Agency for Survey, Software Development and Master Planning related activities</t>
  </si>
  <si>
    <t>Brief Project</t>
  </si>
  <si>
    <t>Development of web portal for implementation of REC mechanism based on block chain for Grid Controller of India Limited</t>
  </si>
  <si>
    <t>Bid Ref. No.</t>
  </si>
  <si>
    <t>GEM/2024/B/5557298</t>
  </si>
  <si>
    <t>Bid ID</t>
  </si>
  <si>
    <t>Bid Validity</t>
  </si>
  <si>
    <t>180 days</t>
  </si>
  <si>
    <t>Estimated Bid Value</t>
  </si>
  <si>
    <t>JV/Consortium</t>
  </si>
  <si>
    <t>Consortium/JV are not allowed. However, the bidder shall propose the agency details of OEM of the solution</t>
  </si>
  <si>
    <t>Warranty Period</t>
  </si>
  <si>
    <t>The application shall be in one-year warranty/Defect Liability Period</t>
  </si>
  <si>
    <t>CAMC/AMC Period</t>
  </si>
  <si>
    <t>6-Year Comprehensive AMC, with a provision for extension of Comprehensive AMC for a further period of two years as per the rates finalized in the LOA.</t>
  </si>
  <si>
    <t>Contract Period</t>
  </si>
  <si>
    <t>7 Year(s) 9 Month(s) 5 Day(s)</t>
  </si>
  <si>
    <t>Demo/POC/Site Visit</t>
  </si>
  <si>
    <t>NA</t>
  </si>
  <si>
    <t>Evaluation Method</t>
  </si>
  <si>
    <t>QCBS</t>
  </si>
  <si>
    <t>Bid Splitting</t>
  </si>
  <si>
    <t>Work Completion period</t>
  </si>
  <si>
    <t>9 Months</t>
  </si>
  <si>
    <t>BID DATE SHEET</t>
  </si>
  <si>
    <t>Date of publication of Bid</t>
  </si>
  <si>
    <t>Pre-bid Meeting Date, Time &amp; Venue</t>
  </si>
  <si>
    <t>17-12-2024 11:00 AM
9th Floor IFCI Tower Nehru Place New Delhi 110019</t>
  </si>
  <si>
    <t>Last Date &amp; Time for Sending the Queries</t>
  </si>
  <si>
    <t>Bid Due Date  &amp; Time (Online Submission)</t>
  </si>
  <si>
    <t>till 26/12/2024 5:00 PM</t>
  </si>
  <si>
    <t>Bid Due Date &amp; TIme (Physical Submision)</t>
  </si>
  <si>
    <t>Technical Bid Opening Date &amp; Time (Online)</t>
  </si>
  <si>
    <t>at 26/12/2024 5:30 PM</t>
  </si>
  <si>
    <t>Technical Bid Opening Date &amp; Time (Physical)</t>
  </si>
  <si>
    <t>Commercial Bid Opening Date &amp; Time (Online)</t>
  </si>
  <si>
    <t>To be intimated separately to responsive bidders</t>
  </si>
  <si>
    <t>Commercial Bid Opening Date &amp; Time (Physical)</t>
  </si>
  <si>
    <t>BID FINANCIAL REQUIREMENT</t>
  </si>
  <si>
    <t>Bid Processing Fee</t>
  </si>
  <si>
    <t>NIL</t>
  </si>
  <si>
    <t>Bid/Tender Paper Cost</t>
  </si>
  <si>
    <t>Bid Security Fee/EMD</t>
  </si>
  <si>
    <t>INR 35,28,000/-</t>
  </si>
  <si>
    <t>Security Deposit</t>
  </si>
  <si>
    <t>Performance Security</t>
  </si>
  <si>
    <t>BID APPLICABLE POLICIES</t>
  </si>
  <si>
    <t>MSME</t>
  </si>
  <si>
    <t>MSE Purchase Only</t>
  </si>
  <si>
    <t>MSE EMD Exemption</t>
  </si>
  <si>
    <t>Yes</t>
  </si>
  <si>
    <t>For Registered MSE in required category as per the Scope of Tender, As per GeM GTC</t>
  </si>
  <si>
    <t>MSE Exemption for Years Of Experience</t>
  </si>
  <si>
    <t>MSE Exemption for Years Of Turnover</t>
  </si>
  <si>
    <t>MSE Purchase Preference</t>
  </si>
  <si>
    <t>MII</t>
  </si>
  <si>
    <t>MII Purchase Only</t>
  </si>
  <si>
    <t>MII Purchase Preference</t>
  </si>
  <si>
    <t>MII Applicability</t>
  </si>
  <si>
    <t>Startup</t>
  </si>
  <si>
    <t>Startup Exemption for Years Of Experience</t>
  </si>
  <si>
    <t>No</t>
  </si>
  <si>
    <t>Startup Exemption for Years Of Turnover</t>
  </si>
  <si>
    <t>Land Border Sharing</t>
  </si>
  <si>
    <t>As per GeM GTC</t>
  </si>
  <si>
    <t>Eligibility-As per GeM NIT</t>
  </si>
  <si>
    <t>Vara Remarks</t>
  </si>
  <si>
    <t>A</t>
  </si>
  <si>
    <t>Turnover</t>
  </si>
  <si>
    <t>Minimum Average Annual Turnover of the bidder (For 3 Years): 2646 Lakh (s)</t>
  </si>
  <si>
    <t>26 Cr.
Ok for Infrovate
Not Ok for Technology</t>
  </si>
  <si>
    <t>The minimum average annual financial turnover of the bidder during the last three years, ending on 31st March of the previous financial year, should be as indicated above in the bid document. Documentary evidence in the form of certified Audited Balance Sheets of relevant periods or a certificate from the Chartered Accountant / Cost Accountant indicating the turnover details for the relevant period shall be uploaded with the bid. In case the date of constitution / incorporation of the bidder is less than 3-year-old, the average turnover in respect of the completed financial years after the date of constitution shall be taken into account for this criteria.</t>
  </si>
  <si>
    <t>Qualifying Requirements (QR)</t>
  </si>
  <si>
    <t>Part A: Pre-qualification Criteria</t>
  </si>
  <si>
    <t>i)</t>
  </si>
  <si>
    <t>Company Registration:</t>
  </si>
  <si>
    <t>The bidder should be a company registered under the Companies Act 1956 and/or 2013, or a partnership firm registered under LLP Act 2008, or a Government Organisation. The bidder must be in existence for at least the last 3 years from the original bid opening date.</t>
  </si>
  <si>
    <t>OK for infrovate and Technology</t>
  </si>
  <si>
    <t>The bidder shall be registered for GST and Income Tax in India.</t>
  </si>
  <si>
    <t>ii)</t>
  </si>
  <si>
    <t>Office Location:</t>
  </si>
  <si>
    <t>Preferably bidder shall have Head or Branch office in Delhi / NCR with a strength of minimum 10 employee to provide the services envisaged under the contract from local resources i.e. Delhi &amp; NCR.</t>
  </si>
  <si>
    <t>OK</t>
  </si>
  <si>
    <t>However, in case bidder is not having Head or Branch office in Delhi/NCR, an undertaking shall be submitted along with bid stating that upon signing the LOA, they will establish site office (within one month) in Delhi/NCR with a minimum strength of 10 employees for smooth execution and maintenance of project.</t>
  </si>
  <si>
    <t>iii)</t>
  </si>
  <si>
    <t>Employee Strength:</t>
  </si>
  <si>
    <t>The bidder should have at least 100 technically skilled and qualified permanent employees or engineers directly on its payroll working in India. These employees should have at least one year of professional experience as of the date of the original bid opening. These employees should have qualifications such as B.E./ B.Tech./BCA/ MCA/ MBA/ BSc/ MSc or higher.</t>
  </si>
  <si>
    <t>Not ok,
Challenging</t>
  </si>
  <si>
    <t>iv)</t>
  </si>
  <si>
    <t>Certified Professionals:</t>
  </si>
  <si>
    <t>The bidder must have the following certified professionals on their payroll:</t>
  </si>
  <si>
    <t>a)</t>
  </si>
  <si>
    <t>One Power Domain Expert with experience in a minimum of two projects in the power sector.</t>
  </si>
  <si>
    <t>b)</t>
  </si>
  <si>
    <t>One Certified DevOps Engineer with experience in at least two projects.</t>
  </si>
  <si>
    <t>c)</t>
  </si>
  <si>
    <t>One Certified Database Administrator (DBA) certified from OEM or OEM Approved Provider for the proposed Database.</t>
  </si>
  <si>
    <t>d)</t>
  </si>
  <si>
    <t>One Certified Solution Architect with experience in at least two projects.</t>
  </si>
  <si>
    <t>e)</t>
  </si>
  <si>
    <t>One Certified Security Architect with experience in at least two projects.</t>
  </si>
  <si>
    <t>f)</t>
  </si>
  <si>
    <t>One Certified Quality Assurance Engineer with a certificate related to Quality Management for Project Development Life Cycle and experience in at least two projects.</t>
  </si>
  <si>
    <t>Note:</t>
  </si>
  <si>
    <t>Project mentioned at S.No. iv above means any software development/maintenance work.</t>
  </si>
  <si>
    <t>Proof of professional qualification may be submitted in the form of CVs along with valid certification as on the date of original bid opening.</t>
  </si>
  <si>
    <t>Proof of employee being on the payroll (S. No. ii, iii &amp; iv above) of the bidder shall be submitted in form of certificate from employer. The bidder will submit an undertaking stating that the above-mentioned manpower ( S. No. ii, iii &amp; iv above) are on its payroll.</t>
  </si>
  <si>
    <t>If the manpower mentioned at S.No. iv above is not on the payroll of the bidder at the time of submission of bid, the bidder will give an undertaking stating that the manpower mentioned at S.No. iv above shall be employed by the bidder on its payroll before signing of the contract agreement.</t>
  </si>
  <si>
    <t>v)</t>
  </si>
  <si>
    <t>Financial Criteria:</t>
  </si>
  <si>
    <r>
      <rPr>
        <b/>
        <sz val="11"/>
        <color theme="1"/>
        <rFont val="Calibri"/>
        <charset val="134"/>
        <scheme val="minor"/>
      </rPr>
      <t>MAAT Requirement:</t>
    </r>
    <r>
      <rPr>
        <sz val="11"/>
        <color theme="1"/>
        <rFont val="Calibri"/>
        <charset val="134"/>
        <scheme val="minor"/>
      </rPr>
      <t xml:space="preserve"> The Minimum Average Annual Turnover (MAAT) of the bidder for the best three financial years out of the last five financial years (i.e. 2019-20, 2020-21,2021-22,2022-23, 2023-24) shall be at least </t>
    </r>
    <r>
      <rPr>
        <b/>
        <sz val="11"/>
        <color theme="1"/>
        <rFont val="Calibri"/>
        <charset val="134"/>
        <scheme val="minor"/>
      </rPr>
      <t>INR 26.45 Crores.</t>
    </r>
    <r>
      <rPr>
        <sz val="11"/>
        <color theme="1"/>
        <rFont val="Calibri"/>
        <charset val="134"/>
        <scheme val="minor"/>
      </rPr>
      <t xml:space="preserve"> Relaxation in Annual Turnover by 20% shall be considered for MSME &amp; Start_x0002_Up bidders as per GoI guidelines, provided they submit the MSME registration/Start-up certificate. 
</t>
    </r>
    <r>
      <rPr>
        <i/>
        <sz val="11"/>
        <color theme="1"/>
        <rFont val="Calibri"/>
        <charset val="134"/>
        <scheme val="minor"/>
      </rPr>
      <t>[In case the date of constitution/incorporation of the bidder is less than 3-year old, the average turnover in respect of the completed financial years after the date of constitution shall be taken into account for this criteria.]</t>
    </r>
  </si>
  <si>
    <t>26 Cr.
Ok for Infrovate
Not Ok for Technology, even as MSME</t>
  </si>
  <si>
    <r>
      <rPr>
        <b/>
        <sz val="11"/>
        <color theme="1"/>
        <rFont val="Calibri"/>
        <charset val="134"/>
        <scheme val="minor"/>
      </rPr>
      <t>Net Worth:</t>
    </r>
    <r>
      <rPr>
        <sz val="11"/>
        <color theme="1"/>
        <rFont val="Calibri"/>
        <charset val="134"/>
        <scheme val="minor"/>
      </rPr>
      <t xml:space="preserve"> The Bidder should have positive net worth and should be profitable during each of the last three financial years. 
</t>
    </r>
    <r>
      <rPr>
        <i/>
        <sz val="11"/>
        <color theme="1"/>
        <rFont val="Calibri"/>
        <charset val="134"/>
        <scheme val="minor"/>
      </rPr>
      <t>[In case the date of constitution/incorporation of the bidder is less than 3 year old, the Net worth in respect of the completed financial years after the date of constitution shall be taken into account for this criteria.]</t>
    </r>
  </si>
  <si>
    <t>Liquid Asset Requirement: The Liquid asset requirement of the firm would be INR 4.40 Crores, as on the date of original bid opening</t>
  </si>
  <si>
    <t>vi)</t>
  </si>
  <si>
    <t>Project Experience:</t>
  </si>
  <si>
    <t>The bidder must have experience in at least two projects for software development and maintenance operating on a 24x7 basis in any Government Department/PSU/Public Listed Company within India in the last five years. Such software should be in operation for at least one year.</t>
  </si>
  <si>
    <t>Not ok, Suggestion required</t>
  </si>
  <si>
    <r>
      <rPr>
        <sz val="11"/>
        <color theme="1"/>
        <rFont val="Calibri"/>
        <charset val="134"/>
        <scheme val="minor"/>
      </rPr>
      <t xml:space="preserve">The bidder should have experience in software development work in any Government/PSU/Public Listed Company during the last five years, with the following criteria: 
1. One order executed for the similar item where executed value is not less than the amount equal to 80% of the estimated cost (i.e. INR 14.104 Cr) OR 
2. Two orders each executed for the similar item where executed value is not less than the amount equal to 60% of the estimated cost (i.e. INR 10.578 Cr). OR 
3. Three orders each executed for the similar item where executed value is not less than the amount equal to 40% of the estimated cost (i.e. INR 7.052 Cr). 
Bidder should submit copies of respective contracts, along with documentary evidence in respect of satisfactory execution of each of those contracts/satisfactory completion of relevant services, in the form of copies of any of the documents (indicating respective contract number and type of services), such as - </t>
    </r>
    <r>
      <rPr>
        <b/>
        <sz val="11"/>
        <color theme="1"/>
        <rFont val="Calibri"/>
        <charset val="134"/>
        <scheme val="minor"/>
      </rPr>
      <t>(i) Satisfactory completion / performance report (OR) (ii) proof of release of Performance Security after completion of the contract (OR) (iii) proof of settlement / release of final payment against the contract (OR) (iv) any other documentary evidence that can substantiate the satisfactory execution of each of the contracts/experiences cited above</t>
    </r>
    <r>
      <rPr>
        <sz val="11"/>
        <color theme="1"/>
        <rFont val="Calibri"/>
        <charset val="134"/>
        <scheme val="minor"/>
      </rPr>
      <t xml:space="preserve"> 
</t>
    </r>
    <r>
      <rPr>
        <b/>
        <sz val="11"/>
        <color theme="1"/>
        <rFont val="Calibri"/>
        <charset val="134"/>
        <scheme val="minor"/>
      </rPr>
      <t>Note: Software Development and Maintenance means any works/projects, in any field which includes Development and integration with database alongwith Maintenance.</t>
    </r>
  </si>
  <si>
    <t>vii)</t>
  </si>
  <si>
    <t>Certifications:</t>
  </si>
  <si>
    <t>The bidder should have Valid ISO 27001 at the time of submission of the bid.</t>
  </si>
  <si>
    <t>viii)</t>
  </si>
  <si>
    <t>Non-debarment:</t>
  </si>
  <si>
    <t>The bidder or any of its associates/subsidiaries/parent entity shall not have been debarred or blacklisted by the Central Government/State Government/PSU/Govt. Undertaking in India anytime during the last three years from the date of the original bid opening.</t>
  </si>
  <si>
    <t>Need further suggestions on it.</t>
  </si>
  <si>
    <t>Technical Evaluation Criteria</t>
  </si>
  <si>
    <t>PART B: Technical Evaluation Criteria</t>
  </si>
  <si>
    <t>Technical Criteria</t>
  </si>
  <si>
    <t>Maximum Marks</t>
  </si>
  <si>
    <t>Vara Marks</t>
  </si>
  <si>
    <t>Remarks</t>
  </si>
  <si>
    <t>Infrovate</t>
  </si>
  <si>
    <t>Technology</t>
  </si>
  <si>
    <t>The Minimum Annual Average Turnover (MAAT) of the company computed for best three (03) financial years out of last five (05) financial years (i.e. 2019-20, 2020-21,2021-22,2022-23, 2023-24)). 
&gt;= INR 100 Crores : (10 marks) 
&gt;= INR 50 Crores and &lt; INR 100 Crores : (6 marks) 
&gt;= INR 26.45 Crores and &lt; INR 50 Crores : (4 marks) 
Relaxation in Minimum Annual Average Turnover (MAAT) by 20 % shall be considered for MSME bidders/start-ups as per GoI guidelines. In that case bidder has to submit the MSME registration/start-up certificate.</t>
  </si>
  <si>
    <t>The Bidder’s having full time technically qualified personal on its own pay-rolls having minimum qualification of B.E./ B.Tech./BCA / MCA /MBA/ BSc/ MSc or higher having at least One (1) year of professional experience as on the date of original bid opening. 
&gt;= 200 Employees : (10 marks) 
&gt;=150 and = 100 and&lt;200 Employees :(6 marks) 
&gt;= 100 and &lt;150 Employees : (4 marks)</t>
  </si>
  <si>
    <t>The bidder having following valid Certification in addition to ISO 27001. (2.5 marks for each certificate) 
1) ISO 20000-1 (Information Technology Service Management) 
2) ISO 9001 - Quality Management System</t>
  </si>
  <si>
    <r>
      <rPr>
        <sz val="11"/>
        <color theme="1"/>
        <rFont val="Calibri"/>
        <charset val="134"/>
        <scheme val="minor"/>
      </rPr>
      <t xml:space="preserve">Bidder having experience in the following fields in any Government/PSU/DISCOM/Public Listed Company/Private Power Company in India in the last 7 years from the original date of bid opening: 
</t>
    </r>
    <r>
      <rPr>
        <b/>
        <sz val="11"/>
        <color theme="1"/>
        <rFont val="Calibri"/>
        <charset val="134"/>
        <scheme val="minor"/>
      </rPr>
      <t xml:space="preserve">Field 1 - </t>
    </r>
    <r>
      <rPr>
        <sz val="11"/>
        <color theme="1"/>
        <rFont val="Calibri"/>
        <charset val="134"/>
        <scheme val="minor"/>
      </rPr>
      <t xml:space="preserve">Renewable Energy Certification/Renewable Purchase Obligation/ Forecasting of Renewable Power/Power Load Forecasting/ Renewable Energy Scheduling 
</t>
    </r>
    <r>
      <rPr>
        <b/>
        <sz val="11"/>
        <color theme="1"/>
        <rFont val="Calibri"/>
        <charset val="134"/>
        <scheme val="minor"/>
      </rPr>
      <t>Field 2 -</t>
    </r>
    <r>
      <rPr>
        <sz val="11"/>
        <color theme="1"/>
        <rFont val="Calibri"/>
        <charset val="134"/>
        <scheme val="minor"/>
      </rPr>
      <t xml:space="preserve"> Scheduling and Dispatch of Power/Open Access in Electricity/ Power Market Energy Scheduling /Power (Electricity) Banking/Power Trading Platform/Utility Billing Applications 
</t>
    </r>
    <r>
      <rPr>
        <b/>
        <sz val="11"/>
        <color theme="1"/>
        <rFont val="Calibri"/>
        <charset val="134"/>
        <scheme val="minor"/>
      </rPr>
      <t>Field 3 -</t>
    </r>
    <r>
      <rPr>
        <sz val="11"/>
        <color theme="1"/>
        <rFont val="Calibri"/>
        <charset val="134"/>
        <scheme val="minor"/>
      </rPr>
      <t xml:space="preserve"> Sharing of Inter-State Transmission Charges and Losses / Point of Connection Tariff/Energy Accounting / Deviation Settlement Mechanism / Power Transmission or distribution Losses 
</t>
    </r>
    <r>
      <rPr>
        <b/>
        <sz val="11"/>
        <color theme="1"/>
        <rFont val="Calibri"/>
        <charset val="134"/>
        <scheme val="minor"/>
      </rPr>
      <t>Field 4 -</t>
    </r>
    <r>
      <rPr>
        <sz val="11"/>
        <color theme="1"/>
        <rFont val="Calibri"/>
        <charset val="134"/>
        <scheme val="minor"/>
      </rPr>
      <t xml:space="preserve"> Power System Planning/ Power System studies/ Optimization studies in power system/ Smart Grid Applications/Demand Side Management/ Grid modernization projects/ Renewable Integration Studies 
</t>
    </r>
    <r>
      <rPr>
        <b/>
        <sz val="11"/>
        <color theme="1"/>
        <rFont val="Calibri"/>
        <charset val="134"/>
        <scheme val="minor"/>
      </rPr>
      <t>Note:</t>
    </r>
    <r>
      <rPr>
        <sz val="11"/>
        <color theme="1"/>
        <rFont val="Calibri"/>
        <charset val="134"/>
        <scheme val="minor"/>
      </rPr>
      <t xml:space="preserve"> </t>
    </r>
    <r>
      <rPr>
        <b/>
        <sz val="11"/>
        <color theme="1"/>
        <rFont val="Calibri"/>
        <charset val="134"/>
        <scheme val="minor"/>
      </rPr>
      <t xml:space="preserve">Experience in field means: 
</t>
    </r>
    <r>
      <rPr>
        <sz val="11"/>
        <color theme="1"/>
        <rFont val="Calibri"/>
        <charset val="134"/>
        <scheme val="minor"/>
      </rPr>
      <t>(i) Consultancy with/without development of software; OR 
(ii) Development of software with/without Maintenance/ AMC of the software; OR 
(iii) Maintenance/ AMC of the software 
5 Marks each per qualifying project subject to maximum of 10 marks from each field and a total of 20 Marks from all four fields</t>
    </r>
  </si>
  <si>
    <t>At least 10 marks must be required in this to qualify</t>
  </si>
  <si>
    <r>
      <rPr>
        <sz val="11"/>
        <color theme="1"/>
        <rFont val="Calibri"/>
        <charset val="134"/>
        <scheme val="minor"/>
      </rPr>
      <t xml:space="preserve">Bidder’s experience in blockchain technology Following marks will be awarded to the bidder based on the bidder's experience in implementing blockchain technology projects, as per the following criteria: 
For a project with a value exceeding INR 7.05 crore. – 10 marks 
For each project with a value exceeding INR 5.64 crore but less than INR 7.05 crore – 5 marks 
For each project with a value exceeding INR 3.52 crore but less than INR 5.64 crore – 3 marks 
</t>
    </r>
    <r>
      <rPr>
        <b/>
        <sz val="11"/>
        <color theme="1"/>
        <rFont val="Calibri"/>
        <charset val="134"/>
        <scheme val="minor"/>
      </rPr>
      <t>Note:  1:</t>
    </r>
    <r>
      <rPr>
        <sz val="11"/>
        <color theme="1"/>
        <rFont val="Calibri"/>
        <charset val="134"/>
        <scheme val="minor"/>
      </rPr>
      <t xml:space="preserve"> The bidder’s experience in implementing blockchain technology projects must be supported by relevant documentation. </t>
    </r>
    <r>
      <rPr>
        <b/>
        <sz val="11"/>
        <color theme="1"/>
        <rFont val="Calibri"/>
        <charset val="134"/>
        <scheme val="minor"/>
      </rPr>
      <t>This includes Purchase Order (PO) AND evidence clearly establishing the project’s Go-live status and client acceptance. Acceptable documentary evidence may include project completion certificates or client attestations, explicitly confirming the successful implementation of the project.</t>
    </r>
    <r>
      <rPr>
        <sz val="11"/>
        <color theme="1"/>
        <rFont val="Calibri"/>
        <charset val="134"/>
        <scheme val="minor"/>
      </rPr>
      <t xml:space="preserve"> All projects submitted for evaluation must pertain directly to blockchain technology implementation. 
</t>
    </r>
    <r>
      <rPr>
        <b/>
        <sz val="11"/>
        <color theme="1"/>
        <rFont val="Calibri"/>
        <charset val="134"/>
        <scheme val="minor"/>
      </rPr>
      <t>Note2:</t>
    </r>
    <r>
      <rPr>
        <sz val="11"/>
        <color theme="1"/>
        <rFont val="Calibri"/>
        <charset val="134"/>
        <scheme val="minor"/>
      </rPr>
      <t xml:space="preserve"> The total score for this criterion is capped at a maximum of 10 marks.</t>
    </r>
  </si>
  <si>
    <r>
      <rPr>
        <sz val="11"/>
        <color theme="1"/>
        <rFont val="Calibri"/>
        <charset val="134"/>
        <scheme val="minor"/>
      </rPr>
      <t xml:space="preserve">Bidder’s experience in terms of development and/or maintenance of Software involving DevOps, Microservices in last 5 years from the original date of bid opening. 
</t>
    </r>
    <r>
      <rPr>
        <b/>
        <sz val="11"/>
        <color theme="1"/>
        <rFont val="Calibri"/>
        <charset val="134"/>
        <scheme val="minor"/>
      </rPr>
      <t>3 Marks each per qualifying project subject to maximum of 15 marks.</t>
    </r>
  </si>
  <si>
    <r>
      <rPr>
        <sz val="11"/>
        <color theme="1"/>
        <rFont val="Calibri"/>
        <charset val="134"/>
        <scheme val="minor"/>
      </rPr>
      <t xml:space="preserve">The bidder having number of certified personnel, having experience of at least two projects* in last 05 years, with the following certifications on its own payrolls as on the date of original bid opening: 
</t>
    </r>
    <r>
      <rPr>
        <b/>
        <sz val="11"/>
        <color theme="1"/>
        <rFont val="Calibri"/>
        <charset val="134"/>
        <scheme val="minor"/>
      </rPr>
      <t>i. Certified Data Base Administrator (DBA)</t>
    </r>
    <r>
      <rPr>
        <sz val="11"/>
        <color theme="1"/>
        <rFont val="Calibri"/>
        <charset val="134"/>
        <scheme val="minor"/>
      </rPr>
      <t xml:space="preserve">, certified from OEM or OEM Authorized Provider of the database to be provided in this project. 
</t>
    </r>
    <r>
      <rPr>
        <b/>
        <sz val="11"/>
        <color theme="1"/>
        <rFont val="Calibri"/>
        <charset val="134"/>
        <scheme val="minor"/>
      </rPr>
      <t xml:space="preserve">ii. Certified DevOps/Block chain Developer/Engineer </t>
    </r>
    <r>
      <rPr>
        <sz val="11"/>
        <color theme="1"/>
        <rFont val="Calibri"/>
        <charset val="134"/>
        <scheme val="minor"/>
      </rPr>
      <t xml:space="preserve">
</t>
    </r>
    <r>
      <rPr>
        <b/>
        <sz val="11"/>
        <color theme="1"/>
        <rFont val="Calibri"/>
        <charset val="134"/>
        <scheme val="minor"/>
      </rPr>
      <t>iii. Certified Cyber Security Architect Engineer/Manager</t>
    </r>
    <r>
      <rPr>
        <sz val="11"/>
        <color theme="1"/>
        <rFont val="Calibri"/>
        <charset val="134"/>
        <scheme val="minor"/>
      </rPr>
      <t xml:space="preserve"> (which include all aspects of Cyber Security, Web Security and Database Security) 
</t>
    </r>
    <r>
      <rPr>
        <b/>
        <sz val="11"/>
        <color theme="1"/>
        <rFont val="Calibri"/>
        <charset val="134"/>
        <scheme val="minor"/>
      </rPr>
      <t>iv. Certified Software Quality Assurance Engineer/Manager</t>
    </r>
    <r>
      <rPr>
        <sz val="11"/>
        <color theme="1"/>
        <rFont val="Calibri"/>
        <charset val="134"/>
        <scheme val="minor"/>
      </rPr>
      <t xml:space="preserve"> with Certificate related to Quality Management for Project development life cycle. 
</t>
    </r>
    <r>
      <rPr>
        <b/>
        <sz val="11"/>
        <color theme="1"/>
        <rFont val="Calibri"/>
        <charset val="134"/>
        <scheme val="minor"/>
      </rPr>
      <t xml:space="preserve">Note: </t>
    </r>
    <r>
      <rPr>
        <sz val="11"/>
        <color theme="1"/>
        <rFont val="Calibri"/>
        <charset val="134"/>
        <scheme val="minor"/>
      </rPr>
      <t xml:space="preserve">
 02 Marks each per Resource for S. No. i &amp; ii and 01 Marks each per resource for S. No. iii &amp; iv, subject to maximum of 04 marks from any one certification type and total 10 marks from all four certifications type. 
 *Project means any software development/maintenance work executed in any Government/PSU/DISCOM/Public Listed Company/Private Company in India</t>
    </r>
  </si>
  <si>
    <r>
      <rPr>
        <b/>
        <sz val="11"/>
        <color theme="1"/>
        <rFont val="Calibri"/>
        <charset val="134"/>
        <scheme val="minor"/>
      </rPr>
      <t>Technical Proposal:</t>
    </r>
    <r>
      <rPr>
        <sz val="11"/>
        <color theme="1"/>
        <rFont val="Calibri"/>
        <charset val="134"/>
        <scheme val="minor"/>
      </rPr>
      <t xml:space="preserve"> 
Bidders should submit a comprehensive technical proposal as part of their bid, addressing all points mentioned in Clause 9.0 of the technical specification. 
The technical proposal should be clear, detailed, and provide sound technical justification for the choices made. It is desired that the proposal includes relevant references to the blockchain platform’s official literature to substantiate the information provided. The service level agreement (SLA) proposed in the technical proposal will be incorporated into the final SLA agreement to be signed by the bidder, in addition to the proposed SLA in the bid document. 
Grid-India reserves the right to assess this proposal and allocate marks as per the following criteria. 
</t>
    </r>
    <r>
      <rPr>
        <b/>
        <sz val="11"/>
        <color theme="1"/>
        <rFont val="Calibri"/>
        <charset val="134"/>
        <scheme val="minor"/>
      </rPr>
      <t>1. Platform Selection (4 marks)</t>
    </r>
    <r>
      <rPr>
        <sz val="11"/>
        <color theme="1"/>
        <rFont val="Calibri"/>
        <charset val="134"/>
        <scheme val="minor"/>
      </rPr>
      <t xml:space="preserve"> 
</t>
    </r>
    <r>
      <rPr>
        <b/>
        <sz val="11"/>
        <color theme="1"/>
        <rFont val="Calibri"/>
        <charset val="134"/>
        <scheme val="minor"/>
      </rPr>
      <t> Name and Version of the Platform (1 mark):</t>
    </r>
    <r>
      <rPr>
        <sz val="11"/>
        <color theme="1"/>
        <rFont val="Calibri"/>
        <charset val="134"/>
        <scheme val="minor"/>
      </rPr>
      <t xml:space="preserve"> Is the blockchain platform's name and version clearly mentioned? How well is it justified in terms of compatibility with project needs like support for smart contracts, privacy features, and consortium management? 
</t>
    </r>
    <r>
      <rPr>
        <b/>
        <sz val="11"/>
        <color theme="1"/>
        <rFont val="Calibri"/>
        <charset val="134"/>
        <scheme val="minor"/>
      </rPr>
      <t xml:space="preserve"> Rationale for Selection (3 marks): </t>
    </r>
    <r>
      <rPr>
        <sz val="11"/>
        <color theme="1"/>
        <rFont val="Calibri"/>
        <charset val="134"/>
        <scheme val="minor"/>
      </rPr>
      <t xml:space="preserve">How well is the rationale for choosing the platform explained? Does it cover security, scalability, and performance in relation to the project's objectives? 
</t>
    </r>
    <r>
      <rPr>
        <b/>
        <sz val="11"/>
        <color theme="1"/>
        <rFont val="Calibri"/>
        <charset val="134"/>
        <scheme val="minor"/>
      </rPr>
      <t>2. Distributed Node Architecture (4 marks)</t>
    </r>
    <r>
      <rPr>
        <sz val="11"/>
        <color theme="1"/>
        <rFont val="Calibri"/>
        <charset val="134"/>
        <scheme val="minor"/>
      </rPr>
      <t xml:space="preserve"> 
</t>
    </r>
    <r>
      <rPr>
        <b/>
        <sz val="11"/>
        <color theme="1"/>
        <rFont val="Calibri"/>
        <charset val="134"/>
        <scheme val="minor"/>
      </rPr>
      <t> Stakeholder Node Deployment (1 mark):</t>
    </r>
    <r>
      <rPr>
        <sz val="11"/>
        <color theme="1"/>
        <rFont val="Calibri"/>
        <charset val="134"/>
        <scheme val="minor"/>
      </rPr>
      <t xml:space="preserve"> Does the proposal outline a clear strategy for node deployment across different locations? 
</t>
    </r>
    <r>
      <rPr>
        <b/>
        <sz val="11"/>
        <color theme="1"/>
        <rFont val="Calibri"/>
        <charset val="134"/>
        <scheme val="minor"/>
      </rPr>
      <t> Node Access and Permissions (1 mark):</t>
    </r>
    <r>
      <rPr>
        <sz val="11"/>
        <color theme="1"/>
        <rFont val="Calibri"/>
        <charset val="134"/>
        <scheme val="minor"/>
      </rPr>
      <t xml:space="preserve"> How well is access control for different stakeholders defined? 
</t>
    </r>
    <r>
      <rPr>
        <b/>
        <sz val="11"/>
        <color theme="1"/>
        <rFont val="Calibri"/>
        <charset val="134"/>
        <scheme val="minor"/>
      </rPr>
      <t> Network Security and Integrity (1 mark):</t>
    </r>
    <r>
      <rPr>
        <sz val="11"/>
        <color theme="1"/>
        <rFont val="Calibri"/>
        <charset val="134"/>
        <scheme val="minor"/>
      </rPr>
      <t xml:space="preserve"> Does the proposal include sufficient security measures for the node network? 
</t>
    </r>
    <r>
      <rPr>
        <b/>
        <sz val="11"/>
        <color theme="1"/>
        <rFont val="Calibri"/>
        <charset val="134"/>
        <scheme val="minor"/>
      </rPr>
      <t> Scalability and Interoperability (1 mark):</t>
    </r>
    <r>
      <rPr>
        <sz val="11"/>
        <color theme="1"/>
        <rFont val="Calibri"/>
        <charset val="134"/>
        <scheme val="minor"/>
      </rPr>
      <t xml:space="preserve"> How comprehensive are the scalability and interoperability plans for node growth and future integration? 
</t>
    </r>
    <r>
      <rPr>
        <b/>
        <sz val="11"/>
        <color theme="1"/>
        <rFont val="Calibri"/>
        <charset val="134"/>
        <scheme val="minor"/>
      </rPr>
      <t>3. Smart Contract Support (3 marks)
  Programming Languages, Tools, and Frameworks (1 mark):</t>
    </r>
    <r>
      <rPr>
        <sz val="11"/>
        <color theme="1"/>
        <rFont val="Calibri"/>
        <charset val="134"/>
        <scheme val="minor"/>
      </rPr>
      <t xml:space="preserve"> Are the programming languages and tools compatible and efficient for the blockchain platform? 
</t>
    </r>
    <r>
      <rPr>
        <b/>
        <sz val="11"/>
        <color theme="1"/>
        <rFont val="Calibri"/>
        <charset val="134"/>
        <scheme val="minor"/>
      </rPr>
      <t> Lifecycle Management and Upgradability (1 mark):</t>
    </r>
    <r>
      <rPr>
        <sz val="11"/>
        <color theme="1"/>
        <rFont val="Calibri"/>
        <charset val="134"/>
        <scheme val="minor"/>
      </rPr>
      <t xml:space="preserve"> Does the proposal include clear strategies for versioning, upgrading, and maintaining smart contracts?
 </t>
    </r>
    <r>
      <rPr>
        <b/>
        <sz val="11"/>
        <color theme="1"/>
        <rFont val="Calibri"/>
        <charset val="134"/>
        <scheme val="minor"/>
      </rPr>
      <t> Deployment and Maintenance (1 mark):</t>
    </r>
    <r>
      <rPr>
        <sz val="11"/>
        <color theme="1"/>
        <rFont val="Calibri"/>
        <charset val="134"/>
        <scheme val="minor"/>
      </rPr>
      <t xml:space="preserve"> How well are smart contract deployment and long-term maintenance strategies explained? 
</t>
    </r>
    <r>
      <rPr>
        <b/>
        <sz val="11"/>
        <color theme="1"/>
        <rFont val="Calibri"/>
        <charset val="134"/>
        <scheme val="minor"/>
      </rPr>
      <t>4. Privacy and Security (2 marks)</t>
    </r>
    <r>
      <rPr>
        <sz val="11"/>
        <color theme="1"/>
        <rFont val="Calibri"/>
        <charset val="134"/>
        <scheme val="minor"/>
      </rPr>
      <t xml:space="preserve"> 
</t>
    </r>
    <r>
      <rPr>
        <b/>
        <sz val="11"/>
        <color theme="1"/>
        <rFont val="Calibri"/>
        <charset val="134"/>
        <scheme val="minor"/>
      </rPr>
      <t> Privacy Mechanisms (1 mark):</t>
    </r>
    <r>
      <rPr>
        <sz val="11"/>
        <color theme="1"/>
        <rFont val="Calibri"/>
        <charset val="134"/>
        <scheme val="minor"/>
      </rPr>
      <t xml:space="preserve"> Are the privacy mechanisms robust and aligned with stakeholder needs? 
</t>
    </r>
    <r>
      <rPr>
        <b/>
        <sz val="11"/>
        <color theme="1"/>
        <rFont val="Calibri"/>
        <charset val="134"/>
        <scheme val="minor"/>
      </rPr>
      <t> Security Protocols (1 mark):</t>
    </r>
    <r>
      <rPr>
        <sz val="11"/>
        <color theme="1"/>
        <rFont val="Calibri"/>
        <charset val="134"/>
        <scheme val="minor"/>
      </rPr>
      <t xml:space="preserve"> Are the proposed security protocols comprehensive and aligned with the platform's security needs?
</t>
    </r>
    <r>
      <rPr>
        <b/>
        <sz val="11"/>
        <color theme="1"/>
        <rFont val="Calibri"/>
        <charset val="134"/>
        <scheme val="minor"/>
      </rPr>
      <t>5. API Management and Security (3 marks)</t>
    </r>
    <r>
      <rPr>
        <sz val="11"/>
        <color theme="1"/>
        <rFont val="Calibri"/>
        <charset val="134"/>
        <scheme val="minor"/>
      </rPr>
      <t xml:space="preserve">
</t>
    </r>
    <r>
      <rPr>
        <b/>
        <sz val="11"/>
        <color theme="1"/>
        <rFont val="Calibri"/>
        <charset val="134"/>
        <scheme val="minor"/>
      </rPr>
      <t> API Gateway Implementation (1 mark):</t>
    </r>
    <r>
      <rPr>
        <sz val="11"/>
        <color theme="1"/>
        <rFont val="Calibri"/>
        <charset val="134"/>
        <scheme val="minor"/>
      </rPr>
      <t xml:space="preserve"> Is the approach to API management well-articulated and robust?
</t>
    </r>
    <r>
      <rPr>
        <b/>
        <sz val="11"/>
        <color theme="1"/>
        <rFont val="Calibri"/>
        <charset val="134"/>
        <scheme val="minor"/>
      </rPr>
      <t> Security Measures and Rate Limiting (1 mark):</t>
    </r>
    <r>
      <rPr>
        <sz val="11"/>
        <color theme="1"/>
        <rFont val="Calibri"/>
        <charset val="134"/>
        <scheme val="minor"/>
      </rPr>
      <t xml:space="preserve"> Are the API security measures, including rate limiting and throttling, clearly defined?
</t>
    </r>
    <r>
      <rPr>
        <b/>
        <sz val="11"/>
        <color theme="1"/>
        <rFont val="Calibri"/>
        <charset val="134"/>
        <scheme val="minor"/>
      </rPr>
      <t> Monitoring and Logging (1 mark):</t>
    </r>
    <r>
      <rPr>
        <sz val="11"/>
        <color theme="1"/>
        <rFont val="Calibri"/>
        <charset val="134"/>
        <scheme val="minor"/>
      </rPr>
      <t xml:space="preserve"> Does the proposal include an effective plan for real-time monitoring and logging?
6. Disaster Recovery and Business Continuity (2 marks)
</t>
    </r>
    <r>
      <rPr>
        <b/>
        <sz val="11"/>
        <color theme="1"/>
        <rFont val="Calibri"/>
        <charset val="134"/>
        <scheme val="minor"/>
      </rPr>
      <t> DR and BCP Strategy (1 mark):</t>
    </r>
    <r>
      <rPr>
        <sz val="11"/>
        <color theme="1"/>
        <rFont val="Calibri"/>
        <charset val="134"/>
        <scheme val="minor"/>
      </rPr>
      <t xml:space="preserve"> Is there a clear and detailed disaster recovery and business continuity plan?
 Automatic Failover Mechanisms and Regular DR Drills (1 mark): Are there plans for failover mechanisms and regular disaster recovery drills?
7. Performance and Scalability Benchmarks (2 marks)
</t>
    </r>
    <r>
      <rPr>
        <b/>
        <sz val="11"/>
        <color theme="1"/>
        <rFont val="Calibri"/>
        <charset val="134"/>
        <scheme val="minor"/>
      </rPr>
      <t> Performance Benchmarks and Load Testing (1 mark):</t>
    </r>
    <r>
      <rPr>
        <sz val="11"/>
        <color theme="1"/>
        <rFont val="Calibri"/>
        <charset val="134"/>
        <scheme val="minor"/>
      </rPr>
      <t xml:space="preserve"> Are realistic performance benchmarks and load testing plans provided?
</t>
    </r>
    <r>
      <rPr>
        <b/>
        <sz val="11"/>
        <color theme="1"/>
        <rFont val="Calibri"/>
        <charset val="134"/>
        <scheme val="minor"/>
      </rPr>
      <t> Monitoring and Optimization (1 mark):</t>
    </r>
    <r>
      <rPr>
        <sz val="11"/>
        <color theme="1"/>
        <rFont val="Calibri"/>
        <charset val="134"/>
        <scheme val="minor"/>
      </rPr>
      <t xml:space="preserve"> How well does the proposal address ongoing monitoring and optimization for  performance issues?</t>
    </r>
  </si>
  <si>
    <t>TOTAL MARKS</t>
  </si>
  <si>
    <t>Minimum 75 Marks required to qualify</t>
  </si>
  <si>
    <t>Note:In support of abovementioned technical criteria the following documents are required to  be submitted as proofs:</t>
  </si>
  <si>
    <t>Point no 2 : Proof of employee being on the payroll of the bidder shall be submitted in form of certificate from employer. The bidder will submit an undertaking in this regard.</t>
  </si>
  <si>
    <t>Point no 3: Submit copy of relevant ISO certificates for which bidder is certified.</t>
  </si>
  <si>
    <t>Point no 4, 5 &amp; 6: Bidder should submit copies of respective contracts, along with documentary evidence in respect of satisfactory execution of each of those contracts/satisfactory completion of relevant services, in the form of copies of any of the documents (indicating respective contract number and type of services), such as - (i) Satisfactory completion / performance report (OR) (ii) proof of release of Performance Security after completion of the contract (OR) (iii) proof of settlement / release of final payment against the contract (OR) (iv) any other documentary evidence that can substantiate the satisfactory execution of each of the contracts/experiences cited above.</t>
  </si>
  <si>
    <t>Point no 5: Additionally, the bidder’s experience in implementing blockchain technology projects must be supported by relevant documentation. All projects submitted for evaluation must pertain directly to blockchain technology implementation.</t>
  </si>
  <si>
    <t>Point no 7: Submit CVs clearly stating the project experience of the resource and the copy of the certificates as required in the technical criteria.</t>
  </si>
  <si>
    <t>Bid Evaluation:</t>
  </si>
  <si>
    <t>Only those bids which have scored 75 and above (Out of total Score of 100) in the technical evaluation and have scored minimum of 10 (out of Score of 30) in Technical Criteria Sl. No. 4 (Out of Score of 20) and Technical Criteria Sl. No. 5 (Out of Score of 10) will be considered qualified and financial bids of those bidders shall be opened.</t>
  </si>
  <si>
    <t>However, if less than 3 bidders achieve score of 75 in technical evaluation, top 3 ranked bidders will be considered for qualification and financial bids of such bidders shall be opened, provided they have achieved a score of 65 or more in technical evaluation</t>
  </si>
  <si>
    <t>Part C: General</t>
  </si>
  <si>
    <t>a</t>
  </si>
  <si>
    <t>In case, bidder/OEM is a holding company, the technical and financial experience referred herein above shall be that of holding company only (i.e. excluding its subsidiary/group companies). In case bidder/OEM is a subsidiary of a holding company, the experiences shall be of that subsidiary company only (i.e., excluding its holding company).</t>
  </si>
  <si>
    <t>b</t>
  </si>
  <si>
    <t>Indian suppliers of this item are not allowed to participate and/ or compete in procurement by some foreign governments. Bidders / products from such countries are not eligible / not allowed to participate in this bid in terms of clause 10 (d) of Public Procurement (Preference to Make in India) Order, 2017.</t>
  </si>
  <si>
    <t>c</t>
  </si>
  <si>
    <t>Tender specific OEM authorisation letter.</t>
  </si>
  <si>
    <t>d</t>
  </si>
  <si>
    <t>OEM or Authorised Seller of OEM should have a registered office in India to provide after sale service support in India. The certificate to this effect should be submitted.</t>
  </si>
  <si>
    <t>e</t>
  </si>
  <si>
    <t>Malicious Code Certificate: The seller should upload following certificate in the bid: i.This is to certify that the Hardware and the Software being offered, as part of the contract, does not contain Embedded Malicious code that would activate procedures to: (i) Inhibit the desires and designed function of the equipment. (ii) Cause physical damage to the user or equipment during the exploitation. (iii) Tap information resident or transient in the equipment/network. ii.The bidder will be considered to be in breach of the procurement contract, in case physical damage, loss of information or infringements related to copyright and Intellectual Property Right (IPRs) are caused due to activation of any such malicious code in embedded software.</t>
  </si>
  <si>
    <t>f</t>
  </si>
  <si>
    <t>Undertaking from OEM stating that the product(s) offered will have support for next 7 years from the date of Go-Live/ToC including spares, patches, updates/upgrades etc for the offered products/softwares. In case for any product where such undertaking are provided for a lesser time by the OEM, the Bidder shall give an undertaking that in case the product is declared end-of_x0002_life OR end-of-support within 7 years from the date of Go-Live/ToC the Bidder will replace the existing product with the new equivalent (as declared by the OEM as replacement of the original product) product at no extra cost.”</t>
  </si>
  <si>
    <t>g</t>
  </si>
  <si>
    <t>Following documents shall be submitted by the bidder: i) Copy of PAN Card/ GST Registration. ii) Copy of Partnership Deed/ Affidavit for Proprietorship/ Company MoA &amp; AoA or Certificate of Incorporation, as applicable. iii) Undertaking on the letter-head of the company pertaining to ‘No dues’ towards any Government Company/PSU/ Govt. Undertaking towards. iv) Undertaking on the letter-head of the company stating that company is not debarred or blacklisted from any Government Company/PSU/Govt. Undertaking</t>
  </si>
  <si>
    <t>h</t>
  </si>
  <si>
    <t>GRID-INDIA, reserves the right to relax/waive-off minor deviations with respect to QR as stipulated above, the decision of GRID-INDIA in this regard shall be final &amp; binding on bidders.</t>
  </si>
  <si>
    <t>i</t>
  </si>
  <si>
    <t>Cut-off date for all the requirements shall be considered as original date of bid opening</t>
  </si>
  <si>
    <t>j</t>
  </si>
  <si>
    <t>Employer may assess the capacity and capability of the bidder, to successfully execute the scope of work covered under the package within stipulated completion period. The assessment shall inter-alia include: i) Document verification ii) Bidders work/manufacturing facilities visit iii) Details of work executed, works in hand, anticipated in future &amp; the balance capacity available for the present scope of work iv) Details of Technical Expertise and Technical Manpower and Financial resources v) Details of quality systems in place vi) Past experience and performance vii) Customer feedback viii) Banker’s feedback etc.</t>
  </si>
  <si>
    <t>Scope of the project 
The development of the portal will primarily cover two broad goals:</t>
  </si>
  <si>
    <t>Establish a Blockchain-integrated IT based system accessible to all stakeholders including eligible entities (RE Generators, DISCOMS, Open Access consumers), Power Exchanges, Electricity Traders, State Agencies (SA), SLDCs, RLDCs, Central Agency and Central/State/Joint regulatory commissions or any other agency as directed by CERC/Central Govt. for all REC related activities. The introduction of private blockchain technology ensures enhanced security, immutability, and transparency in managing REC related activities. It also enables real-time tracking and validation of transactions and records, fostering trust among participants. The blockchain's permissioned nature ensures that only authorized entities, as directed by the Central Electricity Regulatory Commission (CERC) or the Central Government, can access and interact with the platform</t>
  </si>
  <si>
    <t>ii</t>
  </si>
  <si>
    <t>The platform will maintain a secure and immutable repository of transactions related to RECs. Utilizing blockchain's distributed ledger technology, the system will effectively maintain a Registry of REC for all eligible entities. This approach ensures the integrity and verifiability of records, crucial for Energy Accounting, Accreditation, Registration, Issuance, and Exchange of REC. The blockchain's inherent characteristics facilitate accurate and tamper-proof record-keeping, thus enhancing the efficiency and reliability of reporting mechanisms.</t>
  </si>
  <si>
    <t>Functional Requirements</t>
  </si>
  <si>
    <t>The REC portal shall be developed in the bidder environment during the development phase. Necessary licenses, domain, security certificates, as required, may be procured during this phase.  Creation of DevSecOps environment for application development, necessary testing, and UAT shall be done in the bidder environment. The development should follow DevSecOps framework and periodic security testing of the package in different stages of development may be done and recorded. Standard DevSecOps tool like Codacy/Checkmarx/SonarQube/CyberRes Fortify Or similar may be used for this purpose. The tools should be tailored to support blockchain codebases and smart contracts, ensuring thorough and periodic security testing at different stages of development.  After successful UAT (User Acceptance Test) at bidder environment, the application shall be migrated on the production environment on Cloud procured by the bidder (in the name of GRID-INDIA).</t>
  </si>
  <si>
    <t>After the UAT is completed, the SAT (Site Acceptance Test) shall be conducted on the Cloud server procured by the bidder (in the name of GRID-INDIA). Vulnerability assessment of the application along with the hosting environment will be conducted by CERT-In empanelled auditing agency having blockchain expertise, appointed by GRIDINDIA. This assessment will also include scrutiny of blockchain-specific vulnerabilities and risks. The bidder will address and resolve all findings and recommendations from the audit ensuring full compliance. After successful SAT and closure of all the vulnerabilities reported during VA Test, the application will Go-Live after Clearance certificate from the Engineer-In-charge. The application shall be developed on enterprise level, with support in India. The platform, developed at an enterprise level, will ensure robust support within India, focusing on the scalability and security features intrinsic to private blockchain networks.</t>
  </si>
  <si>
    <t>iii</t>
  </si>
  <si>
    <t>The Renewable Energy Certificate (REC) Blockchain Platform will be designed to enable a seamless flow of information among various stakeholders, serving as a highly secure and reliable data repository unit. The key functionalities of this blockchain-integrated REC platform will include:</t>
  </si>
  <si>
    <t>iv</t>
  </si>
  <si>
    <t>Provide single point electronic interface for all the stakeholders, including eligible entities (RE Generators, Distribution Licensee, Open Access Consumers), State Agencies (SA), SLDCs, RLDCs, Central Agency (NLDC), Power Exchanges, Electricity Traders and Central/State/Joint regulatory commissions or any other agency as directed by CERC/Central Govt.</t>
  </si>
  <si>
    <t>v</t>
  </si>
  <si>
    <t>High-Level Architecture: The REC Portal will serve as a centralized platform accessible to all stakeholders involved in REC-related activities. By leveraging private blockchain technology, the platform will facilitate secure and transparent transactions, maintain an immutable record of REC transactions, and streamline processes such as Accreditation, Registration, Issuance, and Exchange of RECs.</t>
  </si>
  <si>
    <t>vi</t>
  </si>
  <si>
    <t>Off-Chain Data Architecture: Off-chain data refers to information stored outside the blockchain network, including sensitive business information, user profiles, transaction records, and compliance records. The following components will be involved:</t>
  </si>
  <si>
    <t>Web Application: User interface for stakeholders to interact with the REC system.</t>
  </si>
  <si>
    <t>Application Server: Hosts business logic and processes transactions.</t>
  </si>
  <si>
    <t>Database Server: Stores off-chain data such as user profiles and transaction history.</t>
  </si>
  <si>
    <t>File Storage: Manages documents and certificates associated with REC transactions.</t>
  </si>
  <si>
    <t>API Gateway: Provides a unified interface for accessing off-chain data and functionalities.</t>
  </si>
  <si>
    <t>External Systems: Integrates with third-party applications, services, or databases.</t>
  </si>
  <si>
    <t>On-Chain Data Architecture: On-chain data includes information stored directly on the blockchain network, leveraging its immutability and transparency. The following components will be involved:</t>
  </si>
  <si>
    <t>Blockchain Network: Manages on-chain data.</t>
  </si>
  <si>
    <t>Smart Contracts: Automate REC-related processes and enforce rules.</t>
  </si>
  <si>
    <t>Consensus Mechanism: Achieves agreement on transaction validity.</t>
  </si>
  <si>
    <t>Peer Nodes: Validate transactions and maintain the blockchain ledger.</t>
  </si>
  <si>
    <t>Ordering Service: Orders and packages transactions into blocks.</t>
  </si>
  <si>
    <t>Channel: Allows multiple parties to transact privately.</t>
  </si>
  <si>
    <t>Certificate Authority (CA): Manages identity verification and issues digital certificates.</t>
  </si>
  <si>
    <t>Client Applications: Interact with the blockchain network for transactions and data queries.</t>
  </si>
  <si>
    <t>The frontend application shall have modular architecture and should be implemented in the progressive web app (PWA) using platform like React JS / Angular / Any Stateof-the-art technology.</t>
  </si>
  <si>
    <t>The backend technology should be either Node js, Django or any other State of Art technology integrated with a private blockchain network.</t>
  </si>
  <si>
    <t>The Operating system for the application shall be either Window or Linux with regular patch updates, till the duration of the contract.</t>
  </si>
  <si>
    <t>The database shall be SQL database with enterprise support, with blockchain technology enhancing data security and integrity.</t>
  </si>
  <si>
    <t>The database should be configured in active passive cluster mode in DC and DR.</t>
  </si>
  <si>
    <t>Infrastructure/Server Provisioning and Management</t>
  </si>
  <si>
    <t>All costs associated with hosting the cloud Data Center (DC) and Disaster Recovery (DR) environment, including servers for the private blockchain nodes, maintenance, future enhancements, and potential migration, will fall under the scope of the bidder. The cloud server and storage procured for this project shall be registered in the name of GRID-INDIA for the entire duration of the contract. The bidder is also responsible for all integration and coordination related to the portal's main and backup servers, which will be hosted on a MeitY empanelled virtual public server, ensuring comprehensive attention to all cybersecurity issues. The production cloud and backup cloud shall be located in two different seismic zones. The production environment for</t>
  </si>
  <si>
    <t>both the main and backup applications shall be provided on a MeitY empanelled cloud environment throughout the contract period, with all necessary cybersecurity controls implemented, monitored, and recorded according to the guidelines of CEA, CERT-In, and MeitY. These security controls must be enhanced as usage increases and in response to compliance requirements from various VA-PT findings and statutory requirements issued by governing bodies or GRID-INDIA during the contract period, at no extra cost. In case of the expiration of the MeitY empanelment, the bidder shall be responsible for the migration and transfer of the application and database to a new empanelled cloud without any additional cost to the owner, for the entire duration of the contract.</t>
  </si>
  <si>
    <t>REC portal is proposed to collect data from eligible entities in pdf/excel/csv etc. which requires huge data storage. The vendor shall design the server configuration (duly approved by GRID-INDIA official) required for the website keeping in view that the overall load time of the website is low. It is expected that more than 2,500 users may use the portal. Concurrent users may be considered as 500 for designing of servers. The server should have provision for further expansion.</t>
  </si>
  <si>
    <t>The vendor/bidder shall provide support and coordination required for a smoothly functioning server and resolve any issues related to the component of the cloud server.</t>
  </si>
  <si>
    <t>Sizing and Resource Allocation: The bidder is responsible for sizing the infrastructure according to the application needs to meet the functional requirements and defined SLA.</t>
  </si>
  <si>
    <t>Virtual Server Management: Provision and manage virtual servers with customizable CPU, memory, storage, and networking configurations to ensure optimal performance and cost efficiency.</t>
  </si>
  <si>
    <t>Operating System Support: Linux and Windows OS.</t>
  </si>
  <si>
    <t>Instance Types: Provide options for different instance types optimized for compute, memory, storage, or GPU needs, allowing for tailored resource allocation based on specific workloads.</t>
  </si>
  <si>
    <t>Auto-scaling: Automatically adjust the number of running instances based on predefined policies and demand, ensuring scalability and availability.</t>
  </si>
  <si>
    <t>Container Orchestration: Provide managed container orchestration services to facilitate efficient deployment and management of containerized applications.</t>
  </si>
  <si>
    <t>The configuration of server (computing) will be as follow:</t>
  </si>
  <si>
    <t>Components</t>
  </si>
  <si>
    <t>DC  (Node 1)</t>
  </si>
  <si>
    <t>DR  (Node 2)</t>
  </si>
  <si>
    <t xml:space="preserve">Node 3 </t>
  </si>
  <si>
    <t>Node 4</t>
  </si>
  <si>
    <t>Node 5</t>
  </si>
  <si>
    <t>Node 6</t>
  </si>
  <si>
    <t>Application server – Production</t>
  </si>
  <si>
    <t>Database server – Production</t>
  </si>
  <si>
    <t>Block Chain server – Prod Node</t>
  </si>
  <si>
    <t>yes</t>
  </si>
  <si>
    <t>Block Chain server – Test/Dev Node</t>
  </si>
  <si>
    <t>Application server - Test/Dev</t>
  </si>
  <si>
    <t>Database server - Test/Dev</t>
  </si>
  <si>
    <t>Storage (High-Speed Storage)</t>
  </si>
  <si>
    <t>Sizing and Allocation: The bidder is responsible for sizing the storage infrastructure according to application needs to ensure it meets the performance and capacity requirements.</t>
  </si>
  <si>
    <t>Key Features of Storage:</t>
  </si>
  <si>
    <t> Scalability: The storage solution must be highly scalable to accommodate growing data volumes and varying workloads without compromising performance.</t>
  </si>
  <si>
    <t>Durability and Redundancy: Data should be replicated across geographically dispersed data centres to ensure high durability and availability. This setup will protect against data loss and maintain availability in the event of outages or disasters.</t>
  </si>
  <si>
    <t>Security components feature for Cloud Service provider:</t>
  </si>
  <si>
    <t>Robust security components to ensure comprehensive protection of the hosted application and data is to be ensured. The following minimum-security features should be considered within the scope of cloud service:</t>
  </si>
  <si>
    <t>8.1.5.1</t>
  </si>
  <si>
    <t>Network layer Security:</t>
  </si>
  <si>
    <t>The network security provisioning should include Next Generation firewall capable of Deep Packet Inspection (DPI) with adequate throughput (both at layer 3 and layer 7) to handle maximum traffic envisaged in peak. DoS &amp; D-DoS protection should be available for Internet Services.</t>
  </si>
  <si>
    <t>The security feature should include Intrusion Prevention Mechanism along with features like Role based access control, content level filtering and remote management.</t>
  </si>
  <si>
    <t>The network security must be designed on high-availability and should be capable of logging and transferring the log to multiple destinations for all activities and network traffic.</t>
  </si>
  <si>
    <t>8.1.5.2 Application layer Security:</t>
  </si>
  <si>
    <t>The Application Layer Security shall be capable of providing security for HTTP / HTTPS traffic to detect and prevent threats.</t>
  </si>
  <si>
    <t>Should support custom rules, bot mitigation, geographic fencing, and rate limiting.</t>
  </si>
  <si>
    <t>8.1.5.3 The security features should include posture checking and policy enforcement for network access, antivirus/antimalware solutions, and customised threat preventions.</t>
  </si>
  <si>
    <t>8.1.5.4 Cryptographic key should be managed using separate vaults outside the hosted environment. Life-cycle management of the security keys to be ensured.</t>
  </si>
  <si>
    <t>8.1.5.5 The solution should provide facility to manage security incidences suing standard SIEM solution for centralized security event management, threat handling &amp; monitoring with facilities like automated response and AI based threat detection. Compliance to CERT-In direction for log retention and forensic to be ensured. Federated integration of the SIEM alerts / logs with GRID-INDIA SOC should be possible at no extra cost/ intermediate arrangement</t>
  </si>
  <si>
    <t>8.1.5.6 Backup solutions should be highly scalable with data replication and customizable backup frequencies. Data will be encrypted both at rest and in transit to ensure security and compliance.</t>
  </si>
  <si>
    <t>Bidder shall prepare the SRS (Software requirement specification) and DFD (Data flow diagram) incorporating blockchain elements to outline the system's architecture and data flow and the same needs to be approved by GRID-INDIA official, ensuring that the blockchain integration aligns with the overall system requirements and stakeholder needs.</t>
  </si>
  <si>
    <t>The bidder shall provide the real time blockchain, application performance monitoring tools with visualization layer for real-time auditing of transactions and activities on the portal. It shall also have log monitoring tools providing an audit trail of the data input by the eligible entities, any changes made by the SA/RLDC/SLDC/CA/Power Exchange/Electricity Trader, etc. The retention time of APM logs will be 6 months. The scope of APM is as follows:</t>
  </si>
  <si>
    <t>8.1.7.1 Real-time Monitoring: Continuously track the performance of the application, identifying issues and bottlenecks as they occur in real time.</t>
  </si>
  <si>
    <t>8.1.7.2 Performance Metrics: Collect and analyse a variety of performance metrics, such as response times of front-end and backend, error rates, and throughput, to evaluate the overall health and efficiency of the application.</t>
  </si>
  <si>
    <t>8.1.7.3 Visualization Layer: Present the collected data in a user-friendly and visually appealing manner, enabling stakeholders to quickly assess the applications performance and identify potential areas for improvement.</t>
  </si>
  <si>
    <t>8.1.7.4 Alerting and Notifications: Set up customizable thresholds and triggers to send alerts and notifications when performance issues are detected, facilitating rapid identification and resolution of problems.</t>
  </si>
  <si>
    <t>8.1.7.5 Root Cause Analysis: Assist in identifying the root causes of performance issues by providing detailed diagnostic information and insights into the applications behaviour and dependencies.</t>
  </si>
  <si>
    <t>8.1.7.6 Trend Analysis: Monitor historical data to identify trends and patterns in application performance, helping to inform proactive optimization efforts and capacity planning.</t>
  </si>
  <si>
    <t>The application shall be IPv4 and IPv6 compliant.</t>
  </si>
  <si>
    <t>Provide a dashboard facility for different users summarizing at any point of time data pertaining to the respective users. For example, an eligible entity user dashboard summarizes the details of the Accreditation, Registration, Energy Accounting, REC Issuance, approval/audit/rejection status of its input by the SA/ RLDC/ SLDC/ CA etc. For SA user the dashboard contains the summary of accreditation application by eligible entities. For SLDC user the dashboard contains the summary of EIR application by eligible entities. For RLDC user the dashboard contains the summary of accreditation application by eligible entities and the summary of EIR application by eligible entities. For CA user the dashboard contains the summary of accredited eligible entities, Registered entities, issuance application status, trading and redemption summary etc. There should be a provision to customise the dashboard for individual user.</t>
  </si>
  <si>
    <t>Integration with NSWS: The bidder shall integrate the REC portal with the National Single Window System (NSWS) to streamline the accreditation and registration of renewable energy projects. This integration will utilize advanced API protocols to facilitate seamless data exchange between the REC portal and NSWS.</t>
  </si>
  <si>
    <t>Development of any software required for ease of data transfer and integration between with NOAR portal, any other portal as directed by CERC/Central Govt.</t>
  </si>
  <si>
    <t>Use of data analytics to present the summary of data in different useful forms and prepare periodic MIS reports of REC status of eligible entities to State Agencies (SA), national/regional/state LDCs, and Central/State/Joint Electricity regulatory commissions.</t>
  </si>
  <si>
    <t>Support and coordination with the agency related to cloud servers for system software and hardware related issue for maintaining a secure repository of all the data</t>
  </si>
  <si>
    <t>The applications, workload and its services shall be flexible, robust, versatile and compatible to easily host on the servers, with both the Full and incremental backup.</t>
  </si>
  <si>
    <t>Enhancements to the system via a well-defined “Change management process”, which will be the part of the overall governance model.</t>
  </si>
  <si>
    <t>The bidder shall extend support in providing training organized by GRID-INDIA for various stakeholders, including Eligible Entities, State Agencies, SLDC/RLDC, SERC/JERC, and MNRE. The bidder will include the cost of 20 man-days of training in their bid. Each day of training, regardless of duration (even if less than 8 hours), will be considered as one man-day. For training sessions conducted outside the Delhi-NCR region, the costs for travel and hotel accommodation, will be reimbursed based on actual expenses, subject to the prevailing TA/DA rates for E-6 level employees in GRID-INDIA. However, no daily allowance or expenses on local transportation will be reimbursed. Any training beyond the initial 20 man-days will be billed at the rates quoted in the bid.</t>
  </si>
  <si>
    <t>The application shall be developed within nine months from the date of award of the contract.</t>
  </si>
  <si>
    <t>Schedule for Development &amp; Implementation</t>
  </si>
  <si>
    <t>Time is an essence of the project and timely completion of the project is utmost requirement. Bidder shall allocate appropriate resources/services for the timely completion of each phase within defined timelines. Total schedule of the project is 9 Months from the date of issuance of Letter of Award. Entire project has been divided in five phases as tabulated below. Bidder has to allocate appropriate resources/services for the timely completion of each phase within defined timelines.</t>
  </si>
  <si>
    <t>Indicative Project Plan</t>
  </si>
  <si>
    <t>Pahse</t>
  </si>
  <si>
    <t>Activity/Task/Milestone</t>
  </si>
  <si>
    <t>Tme to completion (in Months)</t>
  </si>
  <si>
    <t>Issuance of Letter of Award/Signing of Contract Agreement</t>
  </si>
  <si>
    <t>T</t>
  </si>
  <si>
    <t>Phase-I</t>
  </si>
  <si>
    <t>After successful preparation of SRS and DFD by the bidder and the approval of the same by Engineer_x0002_In charge. Submission of Inception report by the bidder</t>
  </si>
  <si>
    <t>T+1</t>
  </si>
  <si>
    <t>Phase-II</t>
  </si>
  <si>
    <t>Showcasing of functional Module
1.Accreditation
2.Registration
3.Issuance (RE Generator, DISCOM, OA consumer)
4.Trading (Exchanges and Trader)
5.Energy Injection Module Deployment of Blockchain</t>
  </si>
  <si>
    <t>T+6</t>
  </si>
  <si>
    <t>Phase-III</t>
  </si>
  <si>
    <t>After successful completion of UAT (User Acceptance Test) &amp; SAT (Site Acceptance Test) deployment of software at desired Grid-India locations.</t>
  </si>
  <si>
    <t>T+7</t>
  </si>
  <si>
    <t>Phase-IV</t>
  </si>
  <si>
    <t>Grid-India shall issue an acceptance /completion certificate after successful completion of SAT at Grid-India environment which shall include admin/user level training, user level documentation, help manual, sharing of database architecture, sharing of source code of the portal, VAPT and migration of year-old data to system database. The portal shall be declared “Go-Live” after this stage.</t>
  </si>
  <si>
    <t>T+8</t>
  </si>
  <si>
    <t>Phase-V</t>
  </si>
  <si>
    <t>Go-Live as per the approval of Engineer In charge</t>
  </si>
  <si>
    <t>T+9</t>
  </si>
  <si>
    <t>The turnkey works for design, system engineering, supply, installation, testing, commissioning and integration of equipment shall be completed within this period. The installation, commissioning &amp; integration shall be done in parallel for multiple sites so as to complete the project within the stipulated period. The bidder will be responsible for delivering the end-to-end solution and will be the single point of contact for the Owner.</t>
  </si>
  <si>
    <t>The implementation agency needs to submit a detailed project plan on the commencement of the project.</t>
  </si>
  <si>
    <t>Payment Terms</t>
  </si>
  <si>
    <t>1. Progressive Payment for Application Development and Licenses/Subscription Cost for 7 Years shall be released in a phased manner as detailed below:</t>
  </si>
  <si>
    <t>Phase</t>
  </si>
  <si>
    <t>Milestone</t>
  </si>
  <si>
    <t>Payment</t>
  </si>
  <si>
    <t>PhaseI</t>
  </si>
  <si>
    <t>After successful preparation of SRS and DFD by the bidder and the approval of the same by Engineer-In charge. Submission of Inception report by the bidder</t>
  </si>
  <si>
    <t>10% of the total Application Development and Licenses/ Subscription Cost for 7 Years. As per Sl no 1.01, 1.02, 1.03  of Annexure-A. Bidder to submit weekly schedule/plan after achieving this milestone.</t>
  </si>
  <si>
    <t>PhaseII</t>
  </si>
  <si>
    <t>Showcasing of functional Module 1. Accreditation 2. Registration 3. Issuance (RE Generator, DISCOM, OA consumer) 4. Trading (Exchanges and Trader) 5. Energy Injection Module</t>
  </si>
  <si>
    <t>10% of the total Application Development and Licenses/ Subscription Cost for 7 Years. As per Sl no 1.01, 1.02, 1.03  of Annexure-A.</t>
  </si>
  <si>
    <t>PhaseIII</t>
  </si>
  <si>
    <t>After successful completion of UAT (User Acceptance Test) &amp; SAT (Site Acceptance Test) deployment of software at Grid-India.</t>
  </si>
  <si>
    <t>35% of the total Application Development and Licenses/ Subscription Cost for 7 Years. As per Sl no 1.01, 1.02, 1.03  of Annexure-A.</t>
  </si>
  <si>
    <t>PhaseIV</t>
  </si>
  <si>
    <t>Grid-India shall issue an acceptance /completion certificate after successful completion of SAT at Grid-India environment which shall include admin/user level training, user level documentation, help manual, sharing of database architecture, sharing of source code of the portal, VAPT and migration of 3-year-old data to system database. The portal shall be declared “Go-Live” after this stage.</t>
  </si>
  <si>
    <t>40% of the total Application Development and Licenses/ Subscription Cost for 7 Years As per Sl no 1.01, 1.02, 1.03  of Annexure-A.</t>
  </si>
  <si>
    <t>PhaseV</t>
  </si>
  <si>
    <t>Completion of warranty period.</t>
  </si>
  <si>
    <t>Balance 5% payment of the total Application Development and Licenses/ Subscription Cost for 5 Years As per Sl no 1.01, 1.02, 1.03  of Annexure-A shall be retained till the warranty period is over. The same shall be released post completion of warranty period.</t>
  </si>
  <si>
    <t>For Warranty, IT Engineer, 2 Technical Executive,  Finance Executive &amp; C-AMC: The Payment for Warranty, Resident Engineer , 2 Technical Executives,  Finance Executive &amp; C-AMC activities shall be released on quarterly basis after the completion of every quarter and upon verification by Engineer-in-charge or his authorised representative and on submission of following documents:</t>
  </si>
  <si>
    <t>Vendor's detailed invoice in triplicate.</t>
  </si>
  <si>
    <t>B</t>
  </si>
  <si>
    <t>Certificate regarding PF and other statutory requirement in relation to labour laws by Vendor.</t>
  </si>
  <si>
    <t>C</t>
  </si>
  <si>
    <t>Certificate from the vendor for the payment to the deputed IT Engineer, 2 Technical Executive,  Finance Executive as per the prevailing Government minimum wages norms. During pendency of contract if Government increases the wages, vendor has to absorb the same ensuring payment to the residence engineer as per Government norms.</t>
  </si>
  <si>
    <t>D</t>
  </si>
  <si>
    <t>Tax shall be deducted at source as per the statutory laws.</t>
  </si>
  <si>
    <t>For Training Charges: The Payment for Total Training, if any, shall be released after the completion of every training and after verification by Engineer-in-charge or his authorised representative. The payment shall be processed on the Quarterly basis based on the no of training sessions taken.</t>
  </si>
  <si>
    <t>The Trainer is to make the necessary arrangements towards flight movements, boarding/lodging, local conveyance and other incidental expenditure for the workshop/training at various locations. For training sessions conducted outside the Delhi-NCR region, the costs for travel and hotel accommodation, will be reimbursed based on actual expenses, subject to the prevailing TA/DA rates for E-6 level employees in GRID-INDIA. However, no daily allowance or expenses on local transportation will be reimbursed. Any training beyond the initial 20 man-days will be billed at the rates quoted in the bid. Bidder shall submit claim for reimbursement to GRID-INDIA along with necessary and relevant original bills/invoices of - air travel (with security stamped boarding pass if practiced at concerned airport), local conveyance/accommodation at outstation location.</t>
  </si>
  <si>
    <t>Mode of Payment: All payments shall be made through electronic payment mechanism (e-payment) for which necessary details shall be tied up during execution of the contract.</t>
  </si>
  <si>
    <t>Taxes &amp; Duties: Taxes &amp; duties shall be paid as per applicable GoI directives. GST, Income Tax etc. shall be deducted at source. In addition to this, TDS on GST shall also be deducted as per GST act.</t>
  </si>
  <si>
    <t>Liquidated Damage</t>
  </si>
  <si>
    <t>A sum equivalent to 0.5% (zero point five percent) of the Contract Price per week subject to the limit of five percent (5%) of Contract Price (supply and services excluding AMC/Maintenance)</t>
  </si>
  <si>
    <t>Service level Agreement (SLA)</t>
  </si>
  <si>
    <t>A reasonable set of practical SLAs shall be demonstrated by the bidder during SAT. The bidder shall be fully responsible for the specified SLA for the complete duration of the contract, including warranty and AMC period. The following are the requirement the bidder needs to comply with, the service level agreement parameters shall be signed at the time of signing of contract:</t>
  </si>
  <si>
    <t>S No</t>
  </si>
  <si>
    <t>Required</t>
  </si>
  <si>
    <t>SLA 
Time / Percentage</t>
  </si>
  <si>
    <t xml:space="preserve">Website Availability </t>
  </si>
  <si>
    <t>Availability Per Quarter/ Yearly</t>
  </si>
  <si>
    <t>Website response time for the User.</t>
  </si>
  <si>
    <t>Page load time (any date)</t>
  </si>
  <si>
    <t>2 sec</t>
  </si>
  <si>
    <t>Data upload time   for files upto 5mb</t>
  </si>
  <si>
    <t>Upload time</t>
  </si>
  <si>
    <t>5 Sec</t>
  </si>
  <si>
    <t>Visualization of Real-Time Interactive Dashboard</t>
  </si>
  <si>
    <t>Viewing</t>
  </si>
  <si>
    <t>Viewing report (Both current and archive</t>
  </si>
  <si>
    <t>All concurrent API data exchange, API load time, summary (push and pull)</t>
  </si>
  <si>
    <t>Both Internal and external</t>
  </si>
  <si>
    <t>15 Sec</t>
  </si>
  <si>
    <t>Website Availability Calculation: The bidder shall submit a report through the application performance monitoring system for the verification of Availability.</t>
  </si>
  <si>
    <t>Availability shall be calculated as per the following formula</t>
  </si>
  <si>
    <t>(Total Time – Down Time) X 100 / Total Time</t>
  </si>
  <si>
    <t>Deduction in payments, for each downtime, shall be made from the quarterly bills raised by the bidder. Accumulated downtime shall be calculated quarterly and penalty for downtime shall be applicable as follows:</t>
  </si>
  <si>
    <t>S. No</t>
  </si>
  <si>
    <t>Availability</t>
  </si>
  <si>
    <t>Penalty for down time (in % on Quarterly bill)</t>
  </si>
  <si>
    <t>&gt;=99.95%</t>
  </si>
  <si>
    <t>&gt;=99.85 to &lt; 99.95</t>
  </si>
  <si>
    <t>&gt;=99.75 to &lt; 99.85</t>
  </si>
  <si>
    <t>&gt;=99.65 to &lt; 99.75</t>
  </si>
  <si>
    <t>&gt;=99.45 to &lt; 99.65</t>
  </si>
  <si>
    <t>&gt;=98.00 to &lt; 99.45</t>
  </si>
  <si>
    <t>&lt;98.00%</t>
  </si>
  <si>
    <t>Availability calculation shall not include any service outage or interruption resulting from maintenance actions requested by or attributed to GRID-INDIA. Bidder shall be required to notify Engineer-in-Charge at least two (02) days in advance of a scheduled maintenance period. Bidder shall make reasonable efforts to schedule maintenance at a time agreeable to Engineer-in-Charge. Service Outage shall also not include any service outage or interruption resulting from emergency or general maintenance that lasts for fifteen (15) minutes or less. Bidder shall put his best efforts to limit such occurrences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</si>
</sst>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0_ "/>
    <numFmt numFmtId="182" formatCode="dd/mm/yyyy"/>
    <numFmt numFmtId="183" formatCode="dd/mm/yyyy\ hh:mm"/>
  </numFmts>
  <fonts count="40">
    <font>
      <sz val="11"/>
      <color theme="1"/>
      <name val="Calibri"/>
      <charset val="134"/>
      <scheme val="minor"/>
    </font>
    <font>
      <sz val="16"/>
      <color theme="1"/>
      <name val="Calibri"/>
      <charset val="134"/>
      <scheme val="minor"/>
    </font>
    <font>
      <b/>
      <sz val="16"/>
      <color theme="1"/>
      <name val="Calibri"/>
      <charset val="134"/>
      <scheme val="minor"/>
    </font>
    <font>
      <b/>
      <sz val="11"/>
      <color theme="1"/>
      <name val="Calibri"/>
      <charset val="134"/>
      <scheme val="minor"/>
    </font>
    <font>
      <b/>
      <sz val="14"/>
      <color theme="1"/>
      <name val="Calibri"/>
      <charset val="134"/>
      <scheme val="minor"/>
    </font>
    <font>
      <i/>
      <sz val="11"/>
      <color theme="1"/>
      <name val="Calibri"/>
      <charset val="134"/>
      <scheme val="minor"/>
    </font>
    <font>
      <sz val="11"/>
      <color theme="1"/>
      <name val="Book Antiqua"/>
      <charset val="134"/>
    </font>
    <font>
      <sz val="11"/>
      <color theme="1"/>
      <name val="Calibri"/>
      <charset val="134"/>
    </font>
    <font>
      <b/>
      <sz val="14"/>
      <color theme="1"/>
      <name val="Calibri"/>
      <charset val="134"/>
    </font>
    <font>
      <sz val="16"/>
      <color theme="1"/>
      <name val="Calibri"/>
      <charset val="134"/>
    </font>
    <font>
      <b/>
      <sz val="20"/>
      <color theme="1"/>
      <name val="Calibri"/>
      <charset val="134"/>
      <scheme val="minor"/>
    </font>
    <font>
      <b/>
      <sz val="20"/>
      <color theme="1"/>
      <name val="Calibri"/>
      <charset val="134"/>
    </font>
    <font>
      <b/>
      <sz val="16"/>
      <color theme="1"/>
      <name val="Calibri"/>
      <charset val="134"/>
    </font>
    <font>
      <sz val="10"/>
      <color theme="1"/>
      <name val="Calibri"/>
      <charset val="134"/>
      <scheme val="minor"/>
    </font>
    <font>
      <b/>
      <sz val="9"/>
      <color theme="1"/>
      <name val="Calibri"/>
      <charset val="134"/>
      <scheme val="minor"/>
    </font>
    <font>
      <sz val="14"/>
      <color theme="1"/>
      <name val="Calibri"/>
      <charset val="134"/>
    </font>
    <font>
      <b/>
      <sz val="10"/>
      <color theme="1"/>
      <name val="Calibri"/>
      <charset val="134"/>
    </font>
    <font>
      <sz val="10"/>
      <color theme="1"/>
      <name val="Calibri"/>
      <charset val="134"/>
    </font>
    <font>
      <u/>
      <sz val="11"/>
      <color rgb="FF0000FF"/>
      <name val="Calibri"/>
      <charset val="0"/>
      <scheme val="minor"/>
    </font>
    <font>
      <b/>
      <sz val="10"/>
      <color theme="1"/>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s>
  <fills count="40">
    <fill>
      <patternFill patternType="none"/>
    </fill>
    <fill>
      <patternFill patternType="gray125"/>
    </fill>
    <fill>
      <patternFill patternType="solid">
        <fgColor theme="4" tint="0.6"/>
        <bgColor indexed="64"/>
      </patternFill>
    </fill>
    <fill>
      <patternFill patternType="solid">
        <fgColor theme="4" tint="0.4"/>
        <bgColor indexed="64"/>
      </patternFill>
    </fill>
    <fill>
      <patternFill patternType="solid">
        <fgColor theme="5" tint="0.6"/>
        <bgColor indexed="64"/>
      </patternFill>
    </fill>
    <fill>
      <patternFill patternType="solid">
        <fgColor theme="4" tint="0.399975585192419"/>
        <bgColor indexed="64"/>
      </patternFill>
    </fill>
    <fill>
      <patternFill patternType="solid">
        <fgColor rgb="FFFFFF00"/>
        <bgColor indexed="64"/>
      </patternFill>
    </fill>
    <fill>
      <patternFill patternType="solid">
        <fgColor theme="0" tint="-0.25"/>
        <bgColor indexed="64"/>
      </patternFill>
    </fill>
    <fill>
      <patternFill patternType="solid">
        <fgColor theme="9" tint="0.6"/>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0" fillId="10" borderId="7"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8" applyNumberFormat="0" applyFill="0" applyAlignment="0" applyProtection="0">
      <alignment vertical="center"/>
    </xf>
    <xf numFmtId="0" fontId="25" fillId="0" borderId="8" applyNumberFormat="0" applyFill="0" applyAlignment="0" applyProtection="0">
      <alignment vertical="center"/>
    </xf>
    <xf numFmtId="0" fontId="26" fillId="0" borderId="9" applyNumberFormat="0" applyFill="0" applyAlignment="0" applyProtection="0">
      <alignment vertical="center"/>
    </xf>
    <xf numFmtId="0" fontId="26" fillId="0" borderId="0" applyNumberFormat="0" applyFill="0" applyBorder="0" applyAlignment="0" applyProtection="0">
      <alignment vertical="center"/>
    </xf>
    <xf numFmtId="0" fontId="27" fillId="11" borderId="10" applyNumberFormat="0" applyAlignment="0" applyProtection="0">
      <alignment vertical="center"/>
    </xf>
    <xf numFmtId="0" fontId="28" fillId="12" borderId="11" applyNumberFormat="0" applyAlignment="0" applyProtection="0">
      <alignment vertical="center"/>
    </xf>
    <xf numFmtId="0" fontId="29" fillId="12" borderId="10" applyNumberFormat="0" applyAlignment="0" applyProtection="0">
      <alignment vertical="center"/>
    </xf>
    <xf numFmtId="0" fontId="30" fillId="13" borderId="12" applyNumberFormat="0" applyAlignment="0" applyProtection="0">
      <alignment vertical="center"/>
    </xf>
    <xf numFmtId="0" fontId="31" fillId="0" borderId="13" applyNumberFormat="0" applyFill="0" applyAlignment="0" applyProtection="0">
      <alignment vertical="center"/>
    </xf>
    <xf numFmtId="0" fontId="32" fillId="0" borderId="14" applyNumberFormat="0" applyFill="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5" borderId="0" applyNumberFormat="0" applyBorder="0" applyAlignment="0" applyProtection="0">
      <alignment vertical="center"/>
    </xf>
    <xf numFmtId="0" fontId="36"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6" fillId="23" borderId="0" applyNumberFormat="0" applyBorder="0" applyAlignment="0" applyProtection="0">
      <alignment vertical="center"/>
    </xf>
    <xf numFmtId="0" fontId="36"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6" fillId="39" borderId="0" applyNumberFormat="0" applyBorder="0" applyAlignment="0" applyProtection="0">
      <alignment vertical="center"/>
    </xf>
  </cellStyleXfs>
  <cellXfs count="125">
    <xf numFmtId="0" fontId="0" fillId="0" borderId="0" xfId="0"/>
    <xf numFmtId="0" fontId="1"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wrapText="1"/>
    </xf>
    <xf numFmtId="0" fontId="2" fillId="2" borderId="1" xfId="0" applyFont="1" applyFill="1" applyBorder="1" applyAlignment="1">
      <alignment horizontal="center" vertical="top" wrapText="1"/>
    </xf>
    <xf numFmtId="0" fontId="2" fillId="2" borderId="2" xfId="0" applyFont="1" applyFill="1" applyBorder="1" applyAlignment="1">
      <alignment horizontal="center" vertical="top" wrapText="1"/>
    </xf>
    <xf numFmtId="0" fontId="2" fillId="2" borderId="3" xfId="0" applyFont="1" applyFill="1" applyBorder="1" applyAlignment="1">
      <alignment horizontal="center" vertical="top" wrapText="1"/>
    </xf>
    <xf numFmtId="0" fontId="0" fillId="0" borderId="4" xfId="0" applyBorder="1" applyAlignment="1">
      <alignment horizontal="center" vertical="top" wrapText="1"/>
    </xf>
    <xf numFmtId="0" fontId="0" fillId="0" borderId="4" xfId="0" applyBorder="1" applyAlignment="1">
      <alignment horizontal="justify" vertical="top" wrapText="1"/>
    </xf>
    <xf numFmtId="0" fontId="0" fillId="0" borderId="1" xfId="0" applyFont="1" applyBorder="1" applyAlignment="1">
      <alignment horizontal="justify" vertical="top" wrapText="1"/>
    </xf>
    <xf numFmtId="0" fontId="0" fillId="0" borderId="2" xfId="0" applyFont="1" applyBorder="1" applyAlignment="1">
      <alignment horizontal="center" vertical="top" wrapText="1"/>
    </xf>
    <xf numFmtId="0" fontId="0" fillId="0" borderId="3" xfId="0" applyFont="1" applyBorder="1" applyAlignment="1">
      <alignment horizontal="center" vertical="top" wrapText="1"/>
    </xf>
    <xf numFmtId="0" fontId="3" fillId="0" borderId="4" xfId="0" applyFont="1" applyBorder="1" applyAlignment="1">
      <alignment horizontal="center" vertical="top" wrapText="1"/>
    </xf>
    <xf numFmtId="0" fontId="3" fillId="0" borderId="4" xfId="0" applyFont="1" applyBorder="1" applyAlignment="1">
      <alignment horizontal="left" vertical="top" wrapText="1"/>
    </xf>
    <xf numFmtId="0" fontId="0" fillId="0" borderId="4" xfId="0" applyFont="1" applyBorder="1" applyAlignment="1">
      <alignment vertical="top" wrapText="1"/>
    </xf>
    <xf numFmtId="0" fontId="0" fillId="0" borderId="4" xfId="0" applyFont="1" applyBorder="1" applyAlignment="1">
      <alignment horizontal="center" vertical="top" wrapText="1"/>
    </xf>
    <xf numFmtId="10" fontId="0" fillId="0" borderId="4" xfId="0" applyNumberFormat="1" applyBorder="1" applyAlignment="1">
      <alignment horizontal="center" vertical="top" wrapText="1"/>
    </xf>
    <xf numFmtId="0" fontId="0" fillId="0" borderId="4" xfId="0" applyBorder="1" applyAlignment="1">
      <alignment vertical="top" wrapText="1"/>
    </xf>
    <xf numFmtId="0" fontId="0" fillId="0" borderId="4" xfId="0" applyFont="1" applyBorder="1" applyAlignment="1">
      <alignment horizontal="left" vertical="top" wrapText="1"/>
    </xf>
    <xf numFmtId="0" fontId="0" fillId="0" borderId="4" xfId="0" applyFont="1" applyBorder="1" applyAlignment="1">
      <alignment horizontal="justify" vertical="top" wrapText="1"/>
    </xf>
    <xf numFmtId="0" fontId="0" fillId="0" borderId="0" xfId="0" applyAlignment="1">
      <alignment horizontal="justify" vertical="top" wrapText="1"/>
    </xf>
    <xf numFmtId="0" fontId="4" fillId="2" borderId="1" xfId="0" applyFont="1" applyFill="1" applyBorder="1" applyAlignment="1">
      <alignment horizontal="center" vertical="top" wrapText="1"/>
    </xf>
    <xf numFmtId="0" fontId="4" fillId="2" borderId="2" xfId="0" applyFont="1" applyFill="1" applyBorder="1" applyAlignment="1">
      <alignment horizontal="justify" vertical="top" wrapText="1"/>
    </xf>
    <xf numFmtId="0" fontId="4" fillId="2" borderId="3" xfId="0" applyFont="1" applyFill="1" applyBorder="1" applyAlignment="1">
      <alignment horizontal="justify" vertical="top" wrapText="1"/>
    </xf>
    <xf numFmtId="0" fontId="0" fillId="0" borderId="3" xfId="0" applyBorder="1" applyAlignment="1">
      <alignment horizontal="justify" vertical="top" wrapText="1"/>
    </xf>
    <xf numFmtId="0" fontId="4" fillId="3" borderId="4" xfId="0" applyFont="1" applyFill="1" applyBorder="1" applyAlignment="1">
      <alignment horizontal="center" vertical="top" wrapText="1"/>
    </xf>
    <xf numFmtId="0" fontId="0" fillId="0" borderId="4" xfId="0" applyFont="1" applyFill="1" applyBorder="1" applyAlignment="1">
      <alignment horizontal="justify" vertical="top" wrapText="1"/>
    </xf>
    <xf numFmtId="0" fontId="3" fillId="0" borderId="4" xfId="0" applyFont="1" applyBorder="1" applyAlignment="1">
      <alignment horizontal="justify"/>
    </xf>
    <xf numFmtId="0" fontId="0" fillId="0" borderId="4" xfId="0" applyBorder="1" applyAlignment="1">
      <alignment vertical="top"/>
    </xf>
    <xf numFmtId="0" fontId="5" fillId="0" borderId="4" xfId="0" applyFont="1" applyBorder="1" applyAlignment="1">
      <alignment vertical="top"/>
    </xf>
    <xf numFmtId="0" fontId="6" fillId="0" borderId="4" xfId="0" applyFont="1" applyBorder="1" applyAlignment="1">
      <alignment horizontal="justify" vertical="top" wrapText="1"/>
    </xf>
    <xf numFmtId="0" fontId="0" fillId="0" borderId="0" xfId="0" applyAlignment="1">
      <alignment horizontal="center"/>
    </xf>
    <xf numFmtId="0" fontId="0" fillId="0" borderId="0" xfId="0" applyAlignment="1">
      <alignment horizontal="justify"/>
    </xf>
    <xf numFmtId="0" fontId="0" fillId="0" borderId="4" xfId="0" applyBorder="1" applyAlignment="1">
      <alignment horizontal="center"/>
    </xf>
    <xf numFmtId="0" fontId="3" fillId="0" borderId="4" xfId="0" applyFont="1" applyBorder="1" applyAlignment="1">
      <alignment horizontal="justify" wrapText="1"/>
    </xf>
    <xf numFmtId="0" fontId="0" fillId="0" borderId="4" xfId="0" applyFont="1" applyBorder="1" applyAlignment="1">
      <alignment horizontal="center" vertical="top"/>
    </xf>
    <xf numFmtId="0" fontId="0" fillId="0" borderId="4" xfId="0" applyFont="1" applyBorder="1" applyAlignment="1">
      <alignment horizontal="center"/>
    </xf>
    <xf numFmtId="0" fontId="0" fillId="0" borderId="4" xfId="0" applyFont="1" applyBorder="1" applyAlignment="1">
      <alignment horizontal="justify" wrapText="1"/>
    </xf>
    <xf numFmtId="0" fontId="0" fillId="0" borderId="4" xfId="0" applyFont="1" applyBorder="1" applyAlignment="1">
      <alignment horizontal="justify"/>
    </xf>
    <xf numFmtId="0" fontId="3" fillId="0" borderId="3" xfId="0" applyFont="1" applyBorder="1"/>
    <xf numFmtId="0" fontId="3" fillId="0" borderId="4" xfId="0" applyFont="1" applyBorder="1"/>
    <xf numFmtId="0" fontId="0" fillId="0" borderId="3" xfId="0" applyFont="1" applyBorder="1"/>
    <xf numFmtId="0" fontId="0" fillId="0" borderId="4" xfId="0" applyFont="1" applyBorder="1"/>
    <xf numFmtId="0" fontId="0" fillId="0" borderId="4" xfId="0" applyBorder="1"/>
    <xf numFmtId="0" fontId="0" fillId="0" borderId="3" xfId="0" applyBorder="1"/>
    <xf numFmtId="0" fontId="0" fillId="0" borderId="4" xfId="0" applyBorder="1" applyAlignment="1">
      <alignment horizontal="justify"/>
    </xf>
    <xf numFmtId="0" fontId="7" fillId="0" borderId="0" xfId="0" applyFont="1" applyAlignment="1">
      <alignment vertical="top" wrapText="1"/>
    </xf>
    <xf numFmtId="0" fontId="8" fillId="0" borderId="0" xfId="0" applyFont="1" applyAlignment="1">
      <alignment vertical="top" wrapText="1"/>
    </xf>
    <xf numFmtId="0" fontId="4" fillId="0" borderId="0" xfId="0" applyFont="1" applyAlignment="1">
      <alignment horizontal="center" vertical="top" wrapText="1"/>
    </xf>
    <xf numFmtId="0" fontId="9" fillId="0" borderId="0" xfId="0" applyFont="1" applyFill="1" applyAlignment="1">
      <alignment vertical="top" wrapText="1"/>
    </xf>
    <xf numFmtId="0" fontId="9" fillId="4" borderId="0" xfId="0" applyFont="1" applyFill="1" applyAlignment="1">
      <alignment vertical="top" wrapText="1"/>
    </xf>
    <xf numFmtId="0" fontId="10" fillId="0" borderId="0" xfId="0" applyFont="1" applyAlignment="1">
      <alignment horizontal="center" vertical="top" wrapText="1"/>
    </xf>
    <xf numFmtId="180" fontId="11" fillId="5" borderId="4" xfId="0" applyNumberFormat="1" applyFont="1" applyFill="1" applyBorder="1" applyAlignment="1">
      <alignment horizontal="center" vertical="top" wrapText="1"/>
    </xf>
    <xf numFmtId="0" fontId="11" fillId="5" borderId="4" xfId="0" applyFont="1" applyFill="1" applyBorder="1" applyAlignment="1">
      <alignment horizontal="justify" vertical="top" wrapText="1"/>
    </xf>
    <xf numFmtId="0" fontId="11" fillId="5" borderId="4" xfId="0" applyFont="1" applyFill="1" applyBorder="1" applyAlignment="1">
      <alignment horizontal="center" vertical="top" wrapText="1"/>
    </xf>
    <xf numFmtId="0" fontId="4" fillId="0" borderId="4" xfId="0" applyFont="1" applyBorder="1" applyAlignment="1">
      <alignment horizontal="center" vertical="top" wrapText="1"/>
    </xf>
    <xf numFmtId="0" fontId="4" fillId="0" borderId="4" xfId="0" applyFont="1" applyBorder="1" applyAlignment="1">
      <alignment horizontal="justify" vertical="top" wrapText="1"/>
    </xf>
    <xf numFmtId="0" fontId="8" fillId="0" borderId="4" xfId="0" applyFont="1" applyBorder="1" applyAlignment="1">
      <alignment vertical="top" wrapText="1"/>
    </xf>
    <xf numFmtId="0" fontId="2" fillId="0" borderId="4" xfId="0" applyFont="1" applyBorder="1" applyAlignment="1">
      <alignment horizontal="center" vertical="top" wrapText="1"/>
    </xf>
    <xf numFmtId="0" fontId="3" fillId="0" borderId="4" xfId="0" applyFont="1" applyFill="1" applyBorder="1" applyAlignment="1">
      <alignment horizontal="center" vertical="top" wrapText="1"/>
    </xf>
    <xf numFmtId="0" fontId="0" fillId="0" borderId="4" xfId="0" applyFill="1" applyBorder="1" applyAlignment="1">
      <alignment horizontal="center" vertical="top" wrapText="1"/>
    </xf>
    <xf numFmtId="0" fontId="9" fillId="0" borderId="4" xfId="0" applyFont="1" applyFill="1" applyBorder="1" applyAlignment="1">
      <alignment vertical="top" wrapText="1"/>
    </xf>
    <xf numFmtId="0" fontId="3" fillId="6" borderId="4" xfId="0" applyFont="1" applyFill="1" applyBorder="1" applyAlignment="1">
      <alignment horizontal="center" vertical="top" wrapText="1"/>
    </xf>
    <xf numFmtId="0" fontId="0" fillId="6" borderId="4" xfId="0" applyFont="1" applyFill="1" applyBorder="1" applyAlignment="1">
      <alignment horizontal="justify" vertical="top" wrapText="1"/>
    </xf>
    <xf numFmtId="0" fontId="0" fillId="6" borderId="4" xfId="0" applyFill="1" applyBorder="1" applyAlignment="1">
      <alignment horizontal="center" vertical="top" wrapText="1"/>
    </xf>
    <xf numFmtId="0" fontId="2" fillId="6" borderId="4" xfId="0" applyFont="1" applyFill="1" applyBorder="1" applyAlignment="1">
      <alignment horizontal="center" vertical="top" wrapText="1"/>
    </xf>
    <xf numFmtId="0" fontId="7" fillId="0" borderId="5" xfId="0" applyFont="1" applyFill="1" applyBorder="1" applyAlignment="1">
      <alignment horizontal="justify" vertical="top" wrapText="1"/>
    </xf>
    <xf numFmtId="0" fontId="7" fillId="0" borderId="6" xfId="0" applyFont="1" applyFill="1" applyBorder="1" applyAlignment="1">
      <alignment horizontal="justify" vertical="top" wrapText="1"/>
    </xf>
    <xf numFmtId="0" fontId="3" fillId="7" borderId="4" xfId="0" applyFont="1" applyFill="1" applyBorder="1" applyAlignment="1">
      <alignment horizontal="center" vertical="top" wrapText="1"/>
    </xf>
    <xf numFmtId="0" fontId="0" fillId="7" borderId="4" xfId="0" applyFont="1" applyFill="1" applyBorder="1" applyAlignment="1">
      <alignment horizontal="justify" vertical="top" wrapText="1"/>
    </xf>
    <xf numFmtId="0" fontId="0" fillId="7" borderId="4" xfId="0" applyFill="1" applyBorder="1" applyAlignment="1">
      <alignment horizontal="center" vertical="top" wrapText="1"/>
    </xf>
    <xf numFmtId="0" fontId="2" fillId="7" borderId="4" xfId="0" applyFont="1" applyFill="1" applyBorder="1" applyAlignment="1">
      <alignment horizontal="center" vertical="top" wrapText="1"/>
    </xf>
    <xf numFmtId="0" fontId="3" fillId="0" borderId="4" xfId="0" applyFont="1" applyBorder="1" applyAlignment="1">
      <alignment horizontal="justify" vertical="top" wrapText="1"/>
    </xf>
    <xf numFmtId="0" fontId="2" fillId="4" borderId="4" xfId="0" applyFont="1" applyFill="1" applyBorder="1" applyAlignment="1">
      <alignment horizontal="center" vertical="top" wrapText="1"/>
    </xf>
    <xf numFmtId="0" fontId="2" fillId="4" borderId="4" xfId="0" applyFont="1" applyFill="1" applyBorder="1" applyAlignment="1">
      <alignment horizontal="justify" vertical="top" wrapText="1"/>
    </xf>
    <xf numFmtId="0" fontId="2" fillId="4" borderId="4" xfId="0" applyNumberFormat="1" applyFont="1" applyFill="1" applyBorder="1" applyAlignment="1">
      <alignment horizontal="center" vertical="top" wrapText="1"/>
    </xf>
    <xf numFmtId="0" fontId="12" fillId="4" borderId="4" xfId="0" applyFont="1" applyFill="1" applyBorder="1" applyAlignment="1">
      <alignment horizontal="justify" vertical="top" wrapText="1"/>
    </xf>
    <xf numFmtId="0" fontId="3" fillId="0" borderId="4" xfId="0" applyFont="1" applyFill="1" applyBorder="1" applyAlignment="1">
      <alignment horizontal="justify" vertical="top"/>
    </xf>
    <xf numFmtId="0" fontId="7" fillId="0" borderId="4" xfId="0" applyFont="1" applyBorder="1" applyAlignment="1">
      <alignment vertical="top" wrapText="1"/>
    </xf>
    <xf numFmtId="0" fontId="3" fillId="0" borderId="4" xfId="0" applyFont="1" applyFill="1" applyBorder="1" applyAlignment="1">
      <alignment horizontal="justify" vertical="top" wrapText="1"/>
    </xf>
    <xf numFmtId="0" fontId="0" fillId="0" borderId="0" xfId="0" applyFont="1" applyAlignment="1">
      <alignment vertical="top" wrapText="1"/>
    </xf>
    <xf numFmtId="181" fontId="11" fillId="5" borderId="4" xfId="0" applyNumberFormat="1" applyFont="1" applyFill="1" applyBorder="1" applyAlignment="1">
      <alignment horizontal="center" vertical="top" wrapText="1"/>
    </xf>
    <xf numFmtId="0" fontId="11" fillId="5" borderId="4" xfId="0" applyFont="1" applyFill="1" applyBorder="1" applyAlignment="1">
      <alignment vertical="top" wrapText="1"/>
    </xf>
    <xf numFmtId="0" fontId="4" fillId="0" borderId="4" xfId="0" applyFont="1" applyBorder="1" applyAlignment="1">
      <alignment vertical="top" wrapText="1"/>
    </xf>
    <xf numFmtId="0" fontId="0" fillId="6" borderId="4" xfId="0" applyFill="1" applyBorder="1" applyAlignment="1">
      <alignment horizontal="justify" vertical="top" wrapText="1"/>
    </xf>
    <xf numFmtId="0" fontId="13" fillId="0" borderId="4" xfId="0" applyFont="1" applyBorder="1" applyAlignment="1">
      <alignment vertical="top" wrapText="1"/>
    </xf>
    <xf numFmtId="0" fontId="14" fillId="0" borderId="4" xfId="0" applyFont="1" applyBorder="1" applyAlignment="1">
      <alignment horizontal="justify" vertical="top" wrapText="1"/>
    </xf>
    <xf numFmtId="0" fontId="4" fillId="6" borderId="4" xfId="0" applyFont="1" applyFill="1" applyBorder="1" applyAlignment="1">
      <alignment horizontal="center" vertical="top" wrapText="1"/>
    </xf>
    <xf numFmtId="0" fontId="4" fillId="6" borderId="4" xfId="0" applyFont="1" applyFill="1" applyBorder="1" applyAlignment="1">
      <alignment horizontal="justify" vertical="top" wrapText="1"/>
    </xf>
    <xf numFmtId="0" fontId="4" fillId="6" borderId="4" xfId="0" applyFont="1" applyFill="1" applyBorder="1" applyAlignment="1">
      <alignment vertical="top" wrapText="1"/>
    </xf>
    <xf numFmtId="0" fontId="0" fillId="6" borderId="4" xfId="0" applyFont="1" applyFill="1" applyBorder="1" applyAlignment="1">
      <alignment horizontal="center" vertical="top" wrapText="1"/>
    </xf>
    <xf numFmtId="0" fontId="15" fillId="0" borderId="0" xfId="0" applyFont="1" applyAlignment="1">
      <alignment horizontal="center" vertical="center"/>
    </xf>
    <xf numFmtId="0" fontId="7" fillId="0" borderId="0" xfId="0" applyFont="1" applyFill="1" applyAlignment="1">
      <alignment vertical="top"/>
    </xf>
    <xf numFmtId="0" fontId="15" fillId="8" borderId="0" xfId="0" applyFont="1" applyFill="1" applyAlignment="1">
      <alignment vertical="top"/>
    </xf>
    <xf numFmtId="0" fontId="7" fillId="0" borderId="0" xfId="0" applyFont="1" applyAlignment="1">
      <alignment horizontal="center" vertical="top"/>
    </xf>
    <xf numFmtId="0" fontId="7" fillId="0" borderId="0" xfId="0" applyFont="1" applyAlignment="1">
      <alignment vertical="top"/>
    </xf>
    <xf numFmtId="0" fontId="7" fillId="0" borderId="0" xfId="0" applyFont="1" applyAlignment="1">
      <alignment horizontal="justify" vertical="top"/>
    </xf>
    <xf numFmtId="0" fontId="8" fillId="9" borderId="4" xfId="0" applyFont="1" applyFill="1" applyBorder="1" applyAlignment="1">
      <alignment horizontal="center" vertical="top" wrapText="1"/>
    </xf>
    <xf numFmtId="0" fontId="8" fillId="9" borderId="4" xfId="0" applyFont="1" applyFill="1" applyBorder="1" applyAlignment="1">
      <alignment horizontal="justify" vertical="top" wrapText="1"/>
    </xf>
    <xf numFmtId="0" fontId="8" fillId="0" borderId="4" xfId="0" applyFont="1" applyBorder="1" applyAlignment="1">
      <alignment horizontal="center" vertical="center" wrapText="1"/>
    </xf>
    <xf numFmtId="0" fontId="8" fillId="2" borderId="4" xfId="0" applyFont="1" applyFill="1" applyBorder="1" applyAlignment="1">
      <alignment horizontal="left" vertical="top"/>
    </xf>
    <xf numFmtId="0" fontId="16" fillId="2" borderId="4" xfId="0" applyFont="1" applyFill="1" applyBorder="1" applyAlignment="1">
      <alignment horizontal="left" vertical="top" wrapText="1"/>
    </xf>
    <xf numFmtId="0" fontId="16" fillId="2" borderId="4" xfId="0" applyFont="1" applyFill="1" applyBorder="1" applyAlignment="1">
      <alignment horizontal="justify" vertical="top" wrapText="1"/>
    </xf>
    <xf numFmtId="0" fontId="16" fillId="2" borderId="4" xfId="0" applyFont="1" applyFill="1" applyBorder="1" applyAlignment="1">
      <alignment horizontal="center" vertical="top" wrapText="1"/>
    </xf>
    <xf numFmtId="0" fontId="17" fillId="0" borderId="4" xfId="0" applyFont="1" applyBorder="1" applyAlignment="1">
      <alignment horizontal="center" vertical="top" wrapText="1"/>
    </xf>
    <xf numFmtId="0" fontId="16" fillId="0" borderId="4" xfId="0" applyFont="1" applyBorder="1" applyAlignment="1">
      <alignment horizontal="justify" vertical="top" wrapText="1"/>
    </xf>
    <xf numFmtId="0" fontId="16" fillId="0" borderId="4" xfId="0" applyFont="1" applyBorder="1" applyAlignment="1">
      <alignment horizontal="center" vertical="top" wrapText="1"/>
    </xf>
    <xf numFmtId="0" fontId="18" fillId="0" borderId="4" xfId="6" applyBorder="1" applyAlignment="1">
      <alignment horizontal="justify" vertical="top" wrapText="1"/>
    </xf>
    <xf numFmtId="0" fontId="17" fillId="0" borderId="4" xfId="0" applyFont="1" applyBorder="1" applyAlignment="1">
      <alignment vertical="top" wrapText="1"/>
    </xf>
    <xf numFmtId="0" fontId="16" fillId="0" borderId="4" xfId="0" applyFont="1" applyFill="1" applyBorder="1" applyAlignment="1">
      <alignment horizontal="justify" vertical="top" wrapText="1"/>
    </xf>
    <xf numFmtId="176" fontId="16" fillId="0" borderId="4" xfId="1" applyFont="1" applyFill="1" applyBorder="1" applyAlignment="1">
      <alignment horizontal="left" vertical="top" wrapText="1"/>
    </xf>
    <xf numFmtId="0" fontId="16" fillId="0" borderId="4" xfId="0" applyFont="1" applyFill="1" applyBorder="1" applyAlignment="1">
      <alignment vertical="top" wrapText="1"/>
    </xf>
    <xf numFmtId="0" fontId="17" fillId="6" borderId="4" xfId="0" applyFont="1" applyFill="1" applyBorder="1" applyAlignment="1">
      <alignment horizontal="center" vertical="top" wrapText="1"/>
    </xf>
    <xf numFmtId="0" fontId="16" fillId="6" borderId="4" xfId="0" applyFont="1" applyFill="1" applyBorder="1" applyAlignment="1">
      <alignment horizontal="justify" vertical="top" wrapText="1"/>
    </xf>
    <xf numFmtId="0" fontId="17" fillId="6" borderId="4" xfId="0" applyFont="1" applyFill="1" applyBorder="1" applyAlignment="1">
      <alignment horizontal="justify" vertical="top" wrapText="1"/>
    </xf>
    <xf numFmtId="0" fontId="17" fillId="0" borderId="4" xfId="0" applyFont="1" applyFill="1" applyBorder="1" applyAlignment="1">
      <alignment vertical="top" wrapText="1"/>
    </xf>
    <xf numFmtId="0" fontId="17" fillId="0" borderId="4" xfId="0" applyFont="1" applyFill="1" applyBorder="1" applyAlignment="1">
      <alignment horizontal="justify" vertical="top" wrapText="1"/>
    </xf>
    <xf numFmtId="182" fontId="16" fillId="0" borderId="4" xfId="0" applyNumberFormat="1" applyFont="1" applyBorder="1" applyAlignment="1">
      <alignment horizontal="justify" vertical="top" wrapText="1"/>
    </xf>
    <xf numFmtId="183" fontId="16" fillId="0" borderId="4" xfId="0" applyNumberFormat="1" applyFont="1" applyBorder="1" applyAlignment="1">
      <alignment horizontal="justify" vertical="top" wrapText="1"/>
    </xf>
    <xf numFmtId="183" fontId="16" fillId="0" borderId="4" xfId="0" applyNumberFormat="1" applyFont="1" applyFill="1" applyBorder="1" applyAlignment="1">
      <alignment horizontal="justify" vertical="top" wrapText="1"/>
    </xf>
    <xf numFmtId="0" fontId="17" fillId="0" borderId="4" xfId="0" applyFont="1" applyFill="1" applyBorder="1" applyAlignment="1">
      <alignment horizontal="center" vertical="top" wrapText="1"/>
    </xf>
    <xf numFmtId="9" fontId="19" fillId="0" borderId="4" xfId="0" applyNumberFormat="1" applyFont="1" applyFill="1" applyBorder="1" applyAlignment="1">
      <alignment horizontal="justify" vertical="top" wrapText="1"/>
    </xf>
    <xf numFmtId="0" fontId="8" fillId="8" borderId="4" xfId="0" applyFont="1" applyFill="1" applyBorder="1" applyAlignment="1">
      <alignment horizontal="center" vertical="top" wrapText="1"/>
    </xf>
    <xf numFmtId="0" fontId="8" fillId="8" borderId="4" xfId="0" applyFont="1" applyFill="1" applyBorder="1" applyAlignment="1">
      <alignment horizontal="justify" vertical="top" wrapText="1"/>
    </xf>
    <xf numFmtId="0" fontId="15" fillId="8" borderId="4" xfId="0" applyFont="1" applyFill="1" applyBorder="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sheetPr>
  <dimension ref="A1:AD53"/>
  <sheetViews>
    <sheetView view="pageBreakPreview" zoomScaleNormal="100" workbookViewId="0">
      <pane ySplit="2" topLeftCell="A10" activePane="bottomLeft" state="frozen"/>
      <selection/>
      <selection pane="bottomLeft" activeCell="A14" sqref="A14:D14"/>
    </sheetView>
  </sheetViews>
  <sheetFormatPr defaultColWidth="9.14285714285714" defaultRowHeight="15"/>
  <cols>
    <col min="1" max="1" width="9.14285714285714" style="94" customWidth="1"/>
    <col min="2" max="2" width="37.5714285714286" style="95" customWidth="1"/>
    <col min="3" max="3" width="68" style="96" customWidth="1"/>
    <col min="4" max="4" width="23.8571428571429" style="95" customWidth="1"/>
    <col min="5" max="30" width="9" style="95"/>
    <col min="31" max="16384" width="9.14285714285714" style="95"/>
  </cols>
  <sheetData>
    <row r="1" ht="18.75" spans="1:4">
      <c r="A1" s="97" t="s">
        <v>0</v>
      </c>
      <c r="B1" s="97"/>
      <c r="C1" s="98"/>
      <c r="D1" s="97"/>
    </row>
    <row r="2" s="91" customFormat="1" ht="18.75" spans="1:4">
      <c r="A2" s="99" t="s">
        <v>1</v>
      </c>
      <c r="B2" s="99" t="s">
        <v>2</v>
      </c>
      <c r="C2" s="99" t="s">
        <v>3</v>
      </c>
      <c r="D2" s="99" t="s">
        <v>4</v>
      </c>
    </row>
    <row r="3" ht="18.75" spans="1:4">
      <c r="A3" s="100" t="s">
        <v>5</v>
      </c>
      <c r="B3" s="101"/>
      <c r="C3" s="102"/>
      <c r="D3" s="103"/>
    </row>
    <row r="4" spans="1:4">
      <c r="A4" s="104">
        <v>1</v>
      </c>
      <c r="B4" s="105" t="s">
        <v>6</v>
      </c>
      <c r="C4" s="105" t="s">
        <v>7</v>
      </c>
      <c r="D4" s="106"/>
    </row>
    <row r="5" ht="25.5" spans="1:4">
      <c r="A5" s="104">
        <v>2</v>
      </c>
      <c r="B5" s="105" t="s">
        <v>8</v>
      </c>
      <c r="C5" s="105" t="s">
        <v>9</v>
      </c>
      <c r="D5" s="106"/>
    </row>
    <row r="6" spans="1:4">
      <c r="A6" s="104">
        <v>3</v>
      </c>
      <c r="B6" s="105" t="s">
        <v>10</v>
      </c>
      <c r="C6" s="107" t="s">
        <v>11</v>
      </c>
      <c r="D6" s="106"/>
    </row>
    <row r="7" ht="38.25" spans="1:4">
      <c r="A7" s="104">
        <v>4</v>
      </c>
      <c r="B7" s="105" t="s">
        <v>12</v>
      </c>
      <c r="C7" s="105" t="s">
        <v>13</v>
      </c>
      <c r="D7" s="108"/>
    </row>
    <row r="8" ht="25.5" spans="1:4">
      <c r="A8" s="104">
        <v>5</v>
      </c>
      <c r="B8" s="105" t="s">
        <v>14</v>
      </c>
      <c r="C8" s="105" t="s">
        <v>15</v>
      </c>
      <c r="D8" s="108"/>
    </row>
    <row r="9" ht="25.5" spans="1:4">
      <c r="A9" s="104">
        <v>6</v>
      </c>
      <c r="B9" s="105" t="s">
        <v>16</v>
      </c>
      <c r="C9" s="105" t="s">
        <v>17</v>
      </c>
      <c r="D9" s="108"/>
    </row>
    <row r="10" spans="1:4">
      <c r="A10" s="104">
        <v>7</v>
      </c>
      <c r="B10" s="105" t="s">
        <v>18</v>
      </c>
      <c r="C10" s="105" t="s">
        <v>19</v>
      </c>
      <c r="D10" s="108"/>
    </row>
    <row r="11" spans="1:4">
      <c r="A11" s="104">
        <v>8</v>
      </c>
      <c r="B11" s="105" t="s">
        <v>20</v>
      </c>
      <c r="C11" s="105" t="s">
        <v>19</v>
      </c>
      <c r="D11" s="108"/>
    </row>
    <row r="12" spans="1:4">
      <c r="A12" s="104">
        <v>9</v>
      </c>
      <c r="B12" s="105" t="s">
        <v>21</v>
      </c>
      <c r="C12" s="105" t="s">
        <v>22</v>
      </c>
      <c r="D12" s="108"/>
    </row>
    <row r="13" customFormat="1" spans="1:30">
      <c r="A13" s="104">
        <v>10</v>
      </c>
      <c r="B13" s="109" t="s">
        <v>23</v>
      </c>
      <c r="C13" s="110">
        <v>176379436</v>
      </c>
      <c r="D13" s="111"/>
      <c r="E13" s="95"/>
      <c r="F13" s="95"/>
      <c r="G13" s="95"/>
      <c r="H13" s="95"/>
      <c r="I13" s="95"/>
      <c r="J13" s="95"/>
      <c r="K13" s="95"/>
      <c r="L13" s="95"/>
      <c r="M13" s="95"/>
      <c r="N13" s="95"/>
      <c r="O13" s="95"/>
      <c r="P13" s="95"/>
      <c r="Q13" s="95"/>
      <c r="R13" s="95"/>
      <c r="S13" s="95"/>
      <c r="T13" s="95"/>
      <c r="U13" s="95"/>
      <c r="V13" s="95"/>
      <c r="W13" s="95"/>
      <c r="X13" s="95"/>
      <c r="Y13" s="95"/>
      <c r="Z13" s="95"/>
      <c r="AA13" s="95"/>
      <c r="AB13" s="95"/>
      <c r="AC13" s="95"/>
      <c r="AD13" s="95"/>
    </row>
    <row r="14" s="92" customFormat="1" ht="25.5" spans="1:30">
      <c r="A14" s="112">
        <v>11</v>
      </c>
      <c r="B14" s="113" t="s">
        <v>24</v>
      </c>
      <c r="C14" s="113" t="s">
        <v>25</v>
      </c>
      <c r="D14" s="114"/>
      <c r="E14" s="95"/>
      <c r="F14" s="95"/>
      <c r="G14" s="95"/>
      <c r="H14" s="95"/>
      <c r="I14" s="95"/>
      <c r="J14" s="95"/>
      <c r="K14" s="95"/>
      <c r="L14" s="95"/>
      <c r="M14" s="95"/>
      <c r="N14" s="95"/>
      <c r="O14" s="95"/>
      <c r="P14" s="95"/>
      <c r="Q14" s="95"/>
      <c r="R14" s="95"/>
      <c r="S14" s="95"/>
      <c r="T14" s="95"/>
      <c r="U14" s="95"/>
      <c r="V14" s="95"/>
      <c r="W14" s="95"/>
      <c r="X14" s="95"/>
      <c r="Y14" s="95"/>
      <c r="Z14" s="95"/>
      <c r="AA14" s="95"/>
      <c r="AB14" s="95"/>
      <c r="AC14" s="95"/>
      <c r="AD14" s="95"/>
    </row>
    <row r="15" s="92" customFormat="1" spans="1:30">
      <c r="A15" s="104">
        <v>12</v>
      </c>
      <c r="B15" s="109" t="s">
        <v>26</v>
      </c>
      <c r="C15" s="109" t="s">
        <v>27</v>
      </c>
      <c r="D15" s="115"/>
      <c r="E15" s="95"/>
      <c r="F15" s="95"/>
      <c r="G15" s="95"/>
      <c r="H15" s="95"/>
      <c r="I15" s="95"/>
      <c r="J15" s="95"/>
      <c r="K15" s="95"/>
      <c r="L15" s="95"/>
      <c r="M15" s="95"/>
      <c r="N15" s="95"/>
      <c r="O15" s="95"/>
      <c r="P15" s="95"/>
      <c r="Q15" s="95"/>
      <c r="R15" s="95"/>
      <c r="S15" s="95"/>
      <c r="T15" s="95"/>
      <c r="U15" s="95"/>
      <c r="V15" s="95"/>
      <c r="W15" s="95"/>
      <c r="X15" s="95"/>
      <c r="Y15" s="95"/>
      <c r="Z15" s="95"/>
      <c r="AA15" s="95"/>
      <c r="AB15" s="95"/>
      <c r="AC15" s="95"/>
      <c r="AD15" s="95"/>
    </row>
    <row r="16" s="92" customFormat="1" ht="25.5" spans="1:30">
      <c r="A16" s="104">
        <v>13</v>
      </c>
      <c r="B16" s="109" t="s">
        <v>28</v>
      </c>
      <c r="C16" s="109" t="s">
        <v>29</v>
      </c>
      <c r="D16" s="115"/>
      <c r="E16" s="95"/>
      <c r="F16" s="95"/>
      <c r="G16" s="95"/>
      <c r="H16" s="95"/>
      <c r="I16" s="95"/>
      <c r="J16" s="95"/>
      <c r="K16" s="95"/>
      <c r="L16" s="95"/>
      <c r="M16" s="95"/>
      <c r="N16" s="95"/>
      <c r="O16" s="95"/>
      <c r="P16" s="95"/>
      <c r="Q16" s="95"/>
      <c r="R16" s="95"/>
      <c r="S16" s="95"/>
      <c r="T16" s="95"/>
      <c r="U16" s="95"/>
      <c r="V16" s="95"/>
      <c r="W16" s="95"/>
      <c r="X16" s="95"/>
      <c r="Y16" s="95"/>
      <c r="Z16" s="95"/>
      <c r="AA16" s="95"/>
      <c r="AB16" s="95"/>
      <c r="AC16" s="95"/>
      <c r="AD16" s="95"/>
    </row>
    <row r="17" s="92" customFormat="1" spans="1:30">
      <c r="A17" s="104">
        <v>14</v>
      </c>
      <c r="B17" s="109" t="s">
        <v>30</v>
      </c>
      <c r="C17" s="109" t="s">
        <v>31</v>
      </c>
      <c r="D17" s="115"/>
      <c r="E17" s="95"/>
      <c r="F17" s="95"/>
      <c r="G17" s="95"/>
      <c r="H17" s="95"/>
      <c r="I17" s="95"/>
      <c r="J17" s="95"/>
      <c r="K17" s="95"/>
      <c r="L17" s="95"/>
      <c r="M17" s="95"/>
      <c r="N17" s="95"/>
      <c r="O17" s="95"/>
      <c r="P17" s="95"/>
      <c r="Q17" s="95"/>
      <c r="R17" s="95"/>
      <c r="S17" s="95"/>
      <c r="T17" s="95"/>
      <c r="U17" s="95"/>
      <c r="V17" s="95"/>
      <c r="W17" s="95"/>
      <c r="X17" s="95"/>
      <c r="Y17" s="95"/>
      <c r="Z17" s="95"/>
      <c r="AA17" s="95"/>
      <c r="AB17" s="95"/>
      <c r="AC17" s="95"/>
      <c r="AD17" s="95"/>
    </row>
    <row r="18" s="92" customFormat="1" spans="1:30">
      <c r="A18" s="104">
        <v>15</v>
      </c>
      <c r="B18" s="109" t="s">
        <v>32</v>
      </c>
      <c r="C18" s="109" t="s">
        <v>33</v>
      </c>
      <c r="D18" s="115"/>
      <c r="E18" s="95"/>
      <c r="F18" s="95"/>
      <c r="G18" s="95"/>
      <c r="H18" s="95"/>
      <c r="I18" s="95"/>
      <c r="J18" s="95"/>
      <c r="K18" s="95"/>
      <c r="L18" s="95"/>
      <c r="M18" s="95"/>
      <c r="N18" s="95"/>
      <c r="O18" s="95"/>
      <c r="P18" s="95"/>
      <c r="Q18" s="95"/>
      <c r="R18" s="95"/>
      <c r="S18" s="95"/>
      <c r="T18" s="95"/>
      <c r="U18" s="95"/>
      <c r="V18" s="95"/>
      <c r="W18" s="95"/>
      <c r="X18" s="95"/>
      <c r="Y18" s="95"/>
      <c r="Z18" s="95"/>
      <c r="AA18" s="95"/>
      <c r="AB18" s="95"/>
      <c r="AC18" s="95"/>
      <c r="AD18" s="95"/>
    </row>
    <row r="19" s="92" customFormat="1" spans="1:30">
      <c r="A19" s="104">
        <v>16</v>
      </c>
      <c r="B19" s="109" t="s">
        <v>34</v>
      </c>
      <c r="C19" s="109" t="s">
        <v>35</v>
      </c>
      <c r="D19" s="115"/>
      <c r="E19" s="95"/>
      <c r="F19" s="95"/>
      <c r="G19" s="95"/>
      <c r="H19" s="95"/>
      <c r="I19" s="95"/>
      <c r="J19" s="95"/>
      <c r="K19" s="95"/>
      <c r="L19" s="95"/>
      <c r="M19" s="95"/>
      <c r="N19" s="95"/>
      <c r="O19" s="95"/>
      <c r="P19" s="95"/>
      <c r="Q19" s="95"/>
      <c r="R19" s="95"/>
      <c r="S19" s="95"/>
      <c r="T19" s="95"/>
      <c r="U19" s="95"/>
      <c r="V19" s="95"/>
      <c r="W19" s="95"/>
      <c r="X19" s="95"/>
      <c r="Y19" s="95"/>
      <c r="Z19" s="95"/>
      <c r="AA19" s="95"/>
      <c r="AB19" s="95"/>
      <c r="AC19" s="95"/>
      <c r="AD19" s="95"/>
    </row>
    <row r="20" s="92" customFormat="1" spans="1:30">
      <c r="A20" s="104">
        <v>17</v>
      </c>
      <c r="B20" s="109" t="s">
        <v>36</v>
      </c>
      <c r="C20" s="109" t="s">
        <v>33</v>
      </c>
      <c r="D20" s="115"/>
      <c r="E20" s="95"/>
      <c r="F20" s="95"/>
      <c r="G20" s="95"/>
      <c r="H20" s="95"/>
      <c r="I20" s="95"/>
      <c r="J20" s="95"/>
      <c r="K20" s="95"/>
      <c r="L20" s="95"/>
      <c r="M20" s="95"/>
      <c r="N20" s="95"/>
      <c r="O20" s="95"/>
      <c r="P20" s="95"/>
      <c r="Q20" s="95"/>
      <c r="R20" s="95"/>
      <c r="S20" s="95"/>
      <c r="T20" s="95"/>
      <c r="U20" s="95"/>
      <c r="V20" s="95"/>
      <c r="W20" s="95"/>
      <c r="X20" s="95"/>
      <c r="Y20" s="95"/>
      <c r="Z20" s="95"/>
      <c r="AA20" s="95"/>
      <c r="AB20" s="95"/>
      <c r="AC20" s="95"/>
      <c r="AD20" s="95"/>
    </row>
    <row r="21" s="92" customFormat="1" spans="1:30">
      <c r="A21" s="104">
        <v>18</v>
      </c>
      <c r="B21" s="109" t="s">
        <v>37</v>
      </c>
      <c r="C21" s="109" t="s">
        <v>38</v>
      </c>
      <c r="D21" s="116"/>
      <c r="E21" s="95"/>
      <c r="F21" s="95"/>
      <c r="G21" s="95"/>
      <c r="H21" s="95"/>
      <c r="I21" s="95"/>
      <c r="J21" s="95"/>
      <c r="K21" s="95"/>
      <c r="L21" s="95"/>
      <c r="M21" s="95"/>
      <c r="N21" s="95"/>
      <c r="O21" s="95"/>
      <c r="P21" s="95"/>
      <c r="Q21" s="95"/>
      <c r="R21" s="95"/>
      <c r="S21" s="95"/>
      <c r="T21" s="95"/>
      <c r="U21" s="95"/>
      <c r="V21" s="95"/>
      <c r="W21" s="95"/>
      <c r="X21" s="95"/>
      <c r="Y21" s="95"/>
      <c r="Z21" s="95"/>
      <c r="AA21" s="95"/>
      <c r="AB21" s="95"/>
      <c r="AC21" s="95"/>
      <c r="AD21" s="95"/>
    </row>
    <row r="22" ht="18.75" spans="1:4">
      <c r="A22" s="100" t="s">
        <v>39</v>
      </c>
      <c r="B22" s="101"/>
      <c r="C22" s="102"/>
      <c r="D22" s="103"/>
    </row>
    <row r="23" spans="1:4">
      <c r="A23" s="104">
        <v>1</v>
      </c>
      <c r="B23" s="105" t="s">
        <v>40</v>
      </c>
      <c r="C23" s="117">
        <v>45622</v>
      </c>
      <c r="D23" s="108"/>
    </row>
    <row r="24" s="92" customFormat="1" ht="25.5" spans="1:4">
      <c r="A24" s="104">
        <v>2</v>
      </c>
      <c r="B24" s="109" t="s">
        <v>41</v>
      </c>
      <c r="C24" s="118" t="s">
        <v>42</v>
      </c>
      <c r="D24" s="109"/>
    </row>
    <row r="25" spans="1:4">
      <c r="A25" s="104">
        <v>3</v>
      </c>
      <c r="B25" s="105" t="s">
        <v>43</v>
      </c>
      <c r="C25" s="119" t="s">
        <v>33</v>
      </c>
      <c r="D25" s="108"/>
    </row>
    <row r="26" spans="1:4">
      <c r="A26" s="104">
        <v>4</v>
      </c>
      <c r="B26" s="105" t="s">
        <v>44</v>
      </c>
      <c r="C26" s="119" t="s">
        <v>45</v>
      </c>
      <c r="D26" s="108"/>
    </row>
    <row r="27" spans="1:4">
      <c r="A27" s="104">
        <v>5</v>
      </c>
      <c r="B27" s="109" t="s">
        <v>46</v>
      </c>
      <c r="C27" s="119" t="s">
        <v>33</v>
      </c>
      <c r="D27" s="119"/>
    </row>
    <row r="28" spans="1:4">
      <c r="A28" s="104">
        <v>6</v>
      </c>
      <c r="B28" s="109" t="s">
        <v>47</v>
      </c>
      <c r="C28" s="119" t="s">
        <v>48</v>
      </c>
      <c r="D28" s="119"/>
    </row>
    <row r="29" spans="1:4">
      <c r="A29" s="104">
        <v>7</v>
      </c>
      <c r="B29" s="109" t="s">
        <v>49</v>
      </c>
      <c r="C29" s="119" t="s">
        <v>33</v>
      </c>
      <c r="D29" s="119"/>
    </row>
    <row r="30" spans="1:4">
      <c r="A30" s="104">
        <v>8</v>
      </c>
      <c r="B30" s="109" t="s">
        <v>50</v>
      </c>
      <c r="C30" s="119" t="s">
        <v>51</v>
      </c>
      <c r="D30" s="119"/>
    </row>
    <row r="31" spans="1:4">
      <c r="A31" s="104">
        <v>9</v>
      </c>
      <c r="B31" s="109" t="s">
        <v>52</v>
      </c>
      <c r="C31" s="119" t="s">
        <v>33</v>
      </c>
      <c r="D31" s="119"/>
    </row>
    <row r="32" ht="18.75" spans="1:4">
      <c r="A32" s="100" t="s">
        <v>53</v>
      </c>
      <c r="B32" s="101"/>
      <c r="C32" s="102"/>
      <c r="D32" s="103"/>
    </row>
    <row r="33" spans="1:4">
      <c r="A33" s="120">
        <v>1</v>
      </c>
      <c r="B33" s="109" t="s">
        <v>54</v>
      </c>
      <c r="C33" s="109" t="s">
        <v>55</v>
      </c>
      <c r="D33" s="115"/>
    </row>
    <row r="34" spans="1:4">
      <c r="A34" s="104">
        <v>2</v>
      </c>
      <c r="B34" s="105" t="s">
        <v>56</v>
      </c>
      <c r="C34" s="105" t="s">
        <v>55</v>
      </c>
      <c r="D34" s="108"/>
    </row>
    <row r="35" spans="1:4">
      <c r="A35" s="120">
        <v>3</v>
      </c>
      <c r="B35" s="105" t="s">
        <v>57</v>
      </c>
      <c r="C35" s="119" t="s">
        <v>58</v>
      </c>
      <c r="D35" s="108"/>
    </row>
    <row r="36" spans="1:4">
      <c r="A36" s="104">
        <v>4</v>
      </c>
      <c r="B36" s="105" t="s">
        <v>59</v>
      </c>
      <c r="C36" s="118" t="s">
        <v>33</v>
      </c>
      <c r="D36" s="108"/>
    </row>
    <row r="37" spans="1:4">
      <c r="A37" s="120">
        <v>5</v>
      </c>
      <c r="B37" s="109" t="s">
        <v>60</v>
      </c>
      <c r="C37" s="121">
        <v>0.05</v>
      </c>
      <c r="D37" s="116"/>
    </row>
    <row r="38" customFormat="1" ht="18.75" spans="1:30">
      <c r="A38" s="100" t="s">
        <v>61</v>
      </c>
      <c r="B38" s="101"/>
      <c r="C38" s="102"/>
      <c r="D38" s="103"/>
      <c r="E38" s="95"/>
      <c r="F38" s="95"/>
      <c r="G38" s="95"/>
      <c r="H38" s="95"/>
      <c r="I38" s="95"/>
      <c r="J38" s="95"/>
      <c r="K38" s="95"/>
      <c r="L38" s="95"/>
      <c r="M38" s="95"/>
      <c r="N38" s="95"/>
      <c r="O38" s="95"/>
      <c r="P38" s="95"/>
      <c r="Q38" s="95"/>
      <c r="R38" s="95"/>
      <c r="S38" s="95"/>
      <c r="T38" s="95"/>
      <c r="U38" s="95"/>
      <c r="V38" s="95"/>
      <c r="W38" s="95"/>
      <c r="X38" s="95"/>
      <c r="Y38" s="95"/>
      <c r="Z38" s="95"/>
      <c r="AA38" s="95"/>
      <c r="AB38" s="95"/>
      <c r="AC38" s="95"/>
      <c r="AD38" s="95"/>
    </row>
    <row r="39" s="93" customFormat="1" ht="18.75" spans="1:4">
      <c r="A39" s="122">
        <v>1</v>
      </c>
      <c r="B39" s="123" t="s">
        <v>62</v>
      </c>
      <c r="C39" s="123"/>
      <c r="D39" s="124"/>
    </row>
    <row r="40" s="93" customFormat="1" customHeight="1" spans="1:30">
      <c r="A40" s="104">
        <v>1.1</v>
      </c>
      <c r="B40" s="109" t="s">
        <v>63</v>
      </c>
      <c r="C40" s="109" t="s">
        <v>33</v>
      </c>
      <c r="D40" s="115"/>
      <c r="E40" s="95"/>
      <c r="F40" s="95"/>
      <c r="G40" s="95"/>
      <c r="H40" s="95"/>
      <c r="I40" s="95"/>
      <c r="J40" s="95"/>
      <c r="K40" s="95"/>
      <c r="L40" s="95"/>
      <c r="M40" s="95"/>
      <c r="N40" s="95"/>
      <c r="O40" s="95"/>
      <c r="P40" s="95"/>
      <c r="Q40" s="95"/>
      <c r="R40" s="95"/>
      <c r="S40" s="95"/>
      <c r="T40" s="95"/>
      <c r="U40" s="95"/>
      <c r="V40" s="95"/>
      <c r="W40" s="95"/>
      <c r="X40" s="95"/>
      <c r="Y40" s="95"/>
      <c r="Z40" s="95"/>
      <c r="AA40" s="95"/>
      <c r="AB40" s="95"/>
      <c r="AC40" s="95"/>
      <c r="AD40" s="95"/>
    </row>
    <row r="41" ht="51" spans="1:4">
      <c r="A41" s="104">
        <v>1.2</v>
      </c>
      <c r="B41" s="109" t="s">
        <v>64</v>
      </c>
      <c r="C41" s="109" t="s">
        <v>65</v>
      </c>
      <c r="D41" s="116" t="s">
        <v>66</v>
      </c>
    </row>
    <row r="42" spans="1:4">
      <c r="A42" s="104">
        <v>1.3</v>
      </c>
      <c r="B42" s="109" t="s">
        <v>67</v>
      </c>
      <c r="C42" s="109" t="s">
        <v>33</v>
      </c>
      <c r="D42" s="115"/>
    </row>
    <row r="43" spans="1:4">
      <c r="A43" s="104">
        <v>1.4</v>
      </c>
      <c r="B43" s="109" t="s">
        <v>68</v>
      </c>
      <c r="C43" s="109" t="s">
        <v>65</v>
      </c>
      <c r="D43" s="115"/>
    </row>
    <row r="44" spans="1:4">
      <c r="A44" s="104">
        <v>1.5</v>
      </c>
      <c r="B44" s="109" t="s">
        <v>69</v>
      </c>
      <c r="C44" s="109" t="s">
        <v>65</v>
      </c>
      <c r="D44" s="115"/>
    </row>
    <row r="45" s="93" customFormat="1" ht="18.75" spans="1:4">
      <c r="A45" s="122">
        <v>2</v>
      </c>
      <c r="B45" s="123" t="s">
        <v>70</v>
      </c>
      <c r="C45" s="123"/>
      <c r="D45" s="124"/>
    </row>
    <row r="46" spans="1:4">
      <c r="A46" s="104">
        <v>2.1</v>
      </c>
      <c r="B46" s="109" t="s">
        <v>71</v>
      </c>
      <c r="C46" s="109" t="s">
        <v>33</v>
      </c>
      <c r="D46" s="115"/>
    </row>
    <row r="47" spans="1:4">
      <c r="A47" s="104">
        <v>2.2</v>
      </c>
      <c r="B47" s="109" t="s">
        <v>72</v>
      </c>
      <c r="C47" s="109" t="s">
        <v>65</v>
      </c>
      <c r="D47" s="115"/>
    </row>
    <row r="48" s="93" customFormat="1" ht="18.75" spans="1:30">
      <c r="A48" s="104">
        <v>2.3</v>
      </c>
      <c r="B48" s="109" t="s">
        <v>73</v>
      </c>
      <c r="C48" s="109" t="s">
        <v>65</v>
      </c>
      <c r="D48" s="115"/>
      <c r="E48" s="95"/>
      <c r="F48" s="95"/>
      <c r="G48" s="95"/>
      <c r="H48" s="95"/>
      <c r="I48" s="95"/>
      <c r="J48" s="95"/>
      <c r="K48" s="95"/>
      <c r="L48" s="95"/>
      <c r="M48" s="95"/>
      <c r="N48" s="95"/>
      <c r="O48" s="95"/>
      <c r="P48" s="95"/>
      <c r="Q48" s="95"/>
      <c r="R48" s="95"/>
      <c r="S48" s="95"/>
      <c r="T48" s="95"/>
      <c r="U48" s="95"/>
      <c r="V48" s="95"/>
      <c r="W48" s="95"/>
      <c r="X48" s="95"/>
      <c r="Y48" s="95"/>
      <c r="Z48" s="95"/>
      <c r="AA48" s="95"/>
      <c r="AB48" s="95"/>
      <c r="AC48" s="95"/>
      <c r="AD48" s="95"/>
    </row>
    <row r="49" s="93" customFormat="1" ht="18.75" spans="1:4">
      <c r="A49" s="122">
        <v>3</v>
      </c>
      <c r="B49" s="123" t="s">
        <v>74</v>
      </c>
      <c r="C49" s="123"/>
      <c r="D49" s="124"/>
    </row>
    <row r="50" spans="1:4">
      <c r="A50" s="104">
        <v>3.1</v>
      </c>
      <c r="B50" s="109" t="s">
        <v>75</v>
      </c>
      <c r="C50" s="109" t="s">
        <v>76</v>
      </c>
      <c r="D50" s="115"/>
    </row>
    <row r="51" spans="1:3">
      <c r="A51" s="94">
        <v>3.2</v>
      </c>
      <c r="B51" s="109" t="s">
        <v>77</v>
      </c>
      <c r="C51" s="109" t="s">
        <v>76</v>
      </c>
    </row>
    <row r="52" s="93" customFormat="1" ht="18.75" spans="1:4">
      <c r="A52" s="122">
        <v>4</v>
      </c>
      <c r="B52" s="123" t="s">
        <v>78</v>
      </c>
      <c r="C52" s="123"/>
      <c r="D52" s="124"/>
    </row>
    <row r="53" spans="1:4">
      <c r="A53" s="94">
        <v>4.1</v>
      </c>
      <c r="B53" s="109" t="s">
        <v>78</v>
      </c>
      <c r="C53" s="109" t="s">
        <v>65</v>
      </c>
      <c r="D53" s="116" t="s">
        <v>79</v>
      </c>
    </row>
  </sheetData>
  <mergeCells count="1">
    <mergeCell ref="A1:D1"/>
  </mergeCells>
  <pageMargins left="0.7" right="0.7" top="0.75" bottom="0.75" header="0.3" footer="0.3"/>
  <pageSetup paperSize="9" scale="39" orientation="portrait"/>
  <headerFooter/>
  <colBreaks count="1" manualBreakCount="1">
    <brk id="4" max="52"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8"/>
  <sheetViews>
    <sheetView tabSelected="1" topLeftCell="A34" workbookViewId="0">
      <selection activeCell="C38" sqref="C38"/>
    </sheetView>
  </sheetViews>
  <sheetFormatPr defaultColWidth="9.14285714285714" defaultRowHeight="15" outlineLevelCol="2"/>
  <cols>
    <col min="1" max="1" width="10" style="2" customWidth="1"/>
    <col min="2" max="2" width="107.504761904762" style="3" customWidth="1"/>
    <col min="3" max="3" width="27.7142857142857" style="3" customWidth="1"/>
    <col min="4" max="16384" width="9.14285714285714" style="3"/>
  </cols>
  <sheetData>
    <row r="1" s="46" customFormat="1" ht="26.25" spans="1:3">
      <c r="A1" s="81"/>
      <c r="B1" s="82" t="s">
        <v>80</v>
      </c>
      <c r="C1" s="82" t="s">
        <v>81</v>
      </c>
    </row>
    <row r="2" s="47" customFormat="1" ht="18.75" spans="1:3">
      <c r="A2" s="55" t="s">
        <v>82</v>
      </c>
      <c r="B2" s="56" t="s">
        <v>83</v>
      </c>
      <c r="C2" s="83"/>
    </row>
    <row r="3" s="3" customFormat="1" ht="45" spans="1:3">
      <c r="A3" s="7"/>
      <c r="B3" s="8" t="s">
        <v>84</v>
      </c>
      <c r="C3" s="17" t="s">
        <v>85</v>
      </c>
    </row>
    <row r="4" s="3" customFormat="1" ht="90" spans="1:3">
      <c r="A4" s="7"/>
      <c r="B4" s="8" t="s">
        <v>86</v>
      </c>
      <c r="C4" s="17"/>
    </row>
    <row r="5" s="46" customFormat="1" ht="26.25" spans="1:3">
      <c r="A5" s="81"/>
      <c r="B5" s="82" t="s">
        <v>87</v>
      </c>
      <c r="C5" s="82"/>
    </row>
    <row r="6" s="47" customFormat="1" ht="18.75" spans="1:3">
      <c r="A6" s="55"/>
      <c r="B6" s="56" t="s">
        <v>88</v>
      </c>
      <c r="C6" s="83"/>
    </row>
    <row r="7" s="47" customFormat="1" ht="18.75" spans="1:3">
      <c r="A7" s="55" t="s">
        <v>89</v>
      </c>
      <c r="B7" s="56" t="s">
        <v>90</v>
      </c>
      <c r="C7" s="83"/>
    </row>
    <row r="8" s="3" customFormat="1" ht="45" spans="1:3">
      <c r="A8" s="7"/>
      <c r="B8" s="19" t="s">
        <v>91</v>
      </c>
      <c r="C8" s="8" t="s">
        <v>92</v>
      </c>
    </row>
    <row r="9" s="3" customFormat="1" ht="30" spans="1:3">
      <c r="A9" s="7"/>
      <c r="B9" s="19" t="s">
        <v>93</v>
      </c>
      <c r="C9" s="8" t="s">
        <v>92</v>
      </c>
    </row>
    <row r="10" s="47" customFormat="1" ht="18.75" spans="1:3">
      <c r="A10" s="55" t="s">
        <v>94</v>
      </c>
      <c r="B10" s="56" t="s">
        <v>95</v>
      </c>
      <c r="C10" s="83"/>
    </row>
    <row r="11" s="3" customFormat="1" ht="30" spans="1:3">
      <c r="A11" s="7"/>
      <c r="B11" s="19" t="s">
        <v>96</v>
      </c>
      <c r="C11" s="8" t="s">
        <v>97</v>
      </c>
    </row>
    <row r="12" s="3" customFormat="1" ht="45" spans="1:3">
      <c r="A12" s="7"/>
      <c r="B12" s="19" t="s">
        <v>98</v>
      </c>
      <c r="C12" s="8" t="s">
        <v>97</v>
      </c>
    </row>
    <row r="13" s="47" customFormat="1" ht="18.75" spans="1:3">
      <c r="A13" s="55" t="s">
        <v>99</v>
      </c>
      <c r="B13" s="56" t="s">
        <v>100</v>
      </c>
      <c r="C13" s="83"/>
    </row>
    <row r="14" s="3" customFormat="1" ht="60" spans="1:3">
      <c r="A14" s="64"/>
      <c r="B14" s="63" t="s">
        <v>101</v>
      </c>
      <c r="C14" s="84" t="s">
        <v>102</v>
      </c>
    </row>
    <row r="15" s="47" customFormat="1" ht="18.75" spans="1:3">
      <c r="A15" s="55" t="s">
        <v>103</v>
      </c>
      <c r="B15" s="56" t="s">
        <v>104</v>
      </c>
      <c r="C15" s="85" t="s">
        <v>97</v>
      </c>
    </row>
    <row r="16" s="3" customFormat="1" spans="1:3">
      <c r="A16" s="7"/>
      <c r="B16" s="19" t="s">
        <v>105</v>
      </c>
      <c r="C16" s="8"/>
    </row>
    <row r="17" s="3" customFormat="1" spans="1:3">
      <c r="A17" s="59" t="s">
        <v>106</v>
      </c>
      <c r="B17" s="79" t="s">
        <v>107</v>
      </c>
      <c r="C17" s="79"/>
    </row>
    <row r="18" s="3" customFormat="1" spans="1:3">
      <c r="A18" s="59" t="s">
        <v>108</v>
      </c>
      <c r="B18" s="79" t="s">
        <v>109</v>
      </c>
      <c r="C18" s="79"/>
    </row>
    <row r="19" s="3" customFormat="1" spans="1:3">
      <c r="A19" s="59" t="s">
        <v>110</v>
      </c>
      <c r="B19" s="79" t="s">
        <v>111</v>
      </c>
      <c r="C19" s="79"/>
    </row>
    <row r="20" s="3" customFormat="1" spans="1:3">
      <c r="A20" s="59" t="s">
        <v>112</v>
      </c>
      <c r="B20" s="79" t="s">
        <v>113</v>
      </c>
      <c r="C20" s="79"/>
    </row>
    <row r="21" s="3" customFormat="1" spans="1:3">
      <c r="A21" s="59" t="s">
        <v>114</v>
      </c>
      <c r="B21" s="79" t="s">
        <v>115</v>
      </c>
      <c r="C21" s="79"/>
    </row>
    <row r="22" s="3" customFormat="1" ht="30" spans="1:3">
      <c r="A22" s="59" t="s">
        <v>116</v>
      </c>
      <c r="B22" s="79" t="s">
        <v>117</v>
      </c>
      <c r="C22" s="79"/>
    </row>
    <row r="23" s="3" customFormat="1" spans="1:3">
      <c r="A23" s="7"/>
      <c r="B23" s="72" t="s">
        <v>118</v>
      </c>
      <c r="C23" s="8"/>
    </row>
    <row r="24" s="3" customFormat="1" spans="1:3">
      <c r="A24" s="7">
        <v>1</v>
      </c>
      <c r="B24" s="19" t="s">
        <v>119</v>
      </c>
      <c r="C24" s="8"/>
    </row>
    <row r="25" s="3" customFormat="1" ht="30" spans="1:3">
      <c r="A25" s="7">
        <v>2</v>
      </c>
      <c r="B25" s="19" t="s">
        <v>120</v>
      </c>
      <c r="C25" s="8"/>
    </row>
    <row r="26" s="3" customFormat="1" ht="45" spans="1:3">
      <c r="A26" s="7">
        <v>3</v>
      </c>
      <c r="B26" s="19" t="s">
        <v>121</v>
      </c>
      <c r="C26" s="8"/>
    </row>
    <row r="27" s="3" customFormat="1" ht="45" spans="1:3">
      <c r="A27" s="12">
        <v>4</v>
      </c>
      <c r="B27" s="72" t="s">
        <v>122</v>
      </c>
      <c r="C27" s="86" t="s">
        <v>97</v>
      </c>
    </row>
    <row r="28" s="47" customFormat="1" ht="18.75" spans="1:3">
      <c r="A28" s="55" t="s">
        <v>123</v>
      </c>
      <c r="B28" s="56" t="s">
        <v>124</v>
      </c>
      <c r="C28" s="83"/>
    </row>
    <row r="29" s="3" customFormat="1" ht="105" spans="1:3">
      <c r="A29" s="7" t="s">
        <v>106</v>
      </c>
      <c r="B29" s="72" t="s">
        <v>125</v>
      </c>
      <c r="C29" s="8" t="s">
        <v>126</v>
      </c>
    </row>
    <row r="30" s="3" customFormat="1" ht="75" spans="1:3">
      <c r="A30" s="7" t="s">
        <v>108</v>
      </c>
      <c r="B30" s="72" t="s">
        <v>127</v>
      </c>
      <c r="C30" s="8" t="s">
        <v>97</v>
      </c>
    </row>
    <row r="31" s="3" customFormat="1" ht="30" spans="1:3">
      <c r="A31" s="12" t="s">
        <v>110</v>
      </c>
      <c r="B31" s="72" t="s">
        <v>128</v>
      </c>
      <c r="C31" s="72"/>
    </row>
    <row r="32" s="47" customFormat="1" ht="18.75" spans="1:3">
      <c r="A32" s="55" t="s">
        <v>129</v>
      </c>
      <c r="B32" s="56" t="s">
        <v>130</v>
      </c>
      <c r="C32" s="83"/>
    </row>
    <row r="33" s="3" customFormat="1" ht="45" spans="1:3">
      <c r="A33" s="64" t="s">
        <v>106</v>
      </c>
      <c r="B33" s="63" t="s">
        <v>131</v>
      </c>
      <c r="C33" s="84" t="s">
        <v>132</v>
      </c>
    </row>
    <row r="34" s="3" customFormat="1" ht="270" spans="1:3">
      <c r="A34" s="64" t="s">
        <v>108</v>
      </c>
      <c r="B34" s="63" t="s">
        <v>133</v>
      </c>
      <c r="C34" s="84" t="s">
        <v>132</v>
      </c>
    </row>
    <row r="35" s="47" customFormat="1" ht="18.75" spans="1:3">
      <c r="A35" s="55" t="s">
        <v>134</v>
      </c>
      <c r="B35" s="56" t="s">
        <v>135</v>
      </c>
      <c r="C35" s="83"/>
    </row>
    <row r="36" s="80" customFormat="1" spans="1:3">
      <c r="A36" s="15"/>
      <c r="B36" s="19" t="s">
        <v>136</v>
      </c>
      <c r="C36" s="19" t="s">
        <v>97</v>
      </c>
    </row>
    <row r="37" s="47" customFormat="1" ht="18.75" spans="1:3">
      <c r="A37" s="87" t="s">
        <v>137</v>
      </c>
      <c r="B37" s="88" t="s">
        <v>138</v>
      </c>
      <c r="C37" s="89"/>
    </row>
    <row r="38" s="80" customFormat="1" ht="45" spans="1:3">
      <c r="A38" s="90"/>
      <c r="B38" s="63" t="s">
        <v>139</v>
      </c>
      <c r="C38" s="63" t="s">
        <v>140</v>
      </c>
    </row>
  </sheetData>
  <pageMargins left="0.75" right="0.75" top="1" bottom="1" header="0.5" footer="0.5"/>
  <pageSetup paperSize="1"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zoomScale="70" zoomScaleNormal="70" workbookViewId="0">
      <pane ySplit="3" topLeftCell="A13" activePane="bottomLeft" state="frozen"/>
      <selection/>
      <selection pane="bottomLeft" activeCell="F13" sqref="F13"/>
    </sheetView>
  </sheetViews>
  <sheetFormatPr defaultColWidth="9.14285714285714" defaultRowHeight="26.25" outlineLevelCol="5"/>
  <cols>
    <col min="1" max="1" width="10" style="2" customWidth="1"/>
    <col min="2" max="2" width="177.504761904762" style="3" customWidth="1"/>
    <col min="3" max="3" width="20.5333333333333" style="2" customWidth="1"/>
    <col min="4" max="4" width="19.7142857142857" style="51" customWidth="1"/>
    <col min="5" max="5" width="19.3809523809524" style="3" customWidth="1"/>
    <col min="6" max="6" width="23.4666666666667" style="3" customWidth="1"/>
    <col min="7" max="16384" width="9.14285714285714" style="3"/>
  </cols>
  <sheetData>
    <row r="1" s="46" customFormat="1" spans="1:6">
      <c r="A1" s="52"/>
      <c r="B1" s="53" t="s">
        <v>141</v>
      </c>
      <c r="C1" s="54"/>
      <c r="D1" s="54"/>
      <c r="E1" s="54"/>
      <c r="F1" s="54"/>
    </row>
    <row r="2" s="47" customFormat="1" ht="18.75" spans="1:5">
      <c r="A2" s="55"/>
      <c r="B2" s="56" t="s">
        <v>142</v>
      </c>
      <c r="C2" s="55"/>
      <c r="D2" s="57"/>
      <c r="E2" s="57"/>
    </row>
    <row r="3" s="48" customFormat="1" ht="18.75" spans="1:6">
      <c r="A3" s="55" t="s">
        <v>1</v>
      </c>
      <c r="B3" s="55" t="s">
        <v>143</v>
      </c>
      <c r="C3" s="55" t="s">
        <v>144</v>
      </c>
      <c r="D3" s="55" t="s">
        <v>145</v>
      </c>
      <c r="E3" s="55"/>
      <c r="F3" s="55" t="s">
        <v>146</v>
      </c>
    </row>
    <row r="4" s="48" customFormat="1" ht="18.75" spans="1:6">
      <c r="A4" s="55"/>
      <c r="B4" s="55"/>
      <c r="C4" s="55"/>
      <c r="D4" s="55" t="s">
        <v>147</v>
      </c>
      <c r="E4" s="55" t="s">
        <v>148</v>
      </c>
      <c r="F4" s="55"/>
    </row>
    <row r="5" s="2" customFormat="1" ht="120" customHeight="1" spans="1:6">
      <c r="A5" s="12">
        <v>1</v>
      </c>
      <c r="B5" s="8" t="s">
        <v>149</v>
      </c>
      <c r="C5" s="7">
        <v>10</v>
      </c>
      <c r="D5" s="58">
        <v>4</v>
      </c>
      <c r="E5" s="58">
        <v>0</v>
      </c>
      <c r="F5" s="7"/>
    </row>
    <row r="6" s="3" customFormat="1" ht="75" spans="1:6">
      <c r="A6" s="59">
        <v>2</v>
      </c>
      <c r="B6" s="8" t="s">
        <v>150</v>
      </c>
      <c r="C6" s="60">
        <v>10</v>
      </c>
      <c r="D6" s="58">
        <v>0</v>
      </c>
      <c r="E6" s="58">
        <v>0</v>
      </c>
      <c r="F6" s="17"/>
    </row>
    <row r="7" s="49" customFormat="1" ht="45" spans="1:6">
      <c r="A7" s="12">
        <v>3</v>
      </c>
      <c r="B7" s="8" t="s">
        <v>151</v>
      </c>
      <c r="C7" s="60">
        <v>5</v>
      </c>
      <c r="D7" s="58">
        <v>5</v>
      </c>
      <c r="E7" s="58">
        <v>5</v>
      </c>
      <c r="F7" s="61"/>
    </row>
    <row r="8" s="49" customFormat="1" ht="191" customHeight="1" spans="1:6">
      <c r="A8" s="62">
        <v>4</v>
      </c>
      <c r="B8" s="63" t="s">
        <v>152</v>
      </c>
      <c r="C8" s="64">
        <v>20</v>
      </c>
      <c r="D8" s="65">
        <v>0</v>
      </c>
      <c r="E8" s="65">
        <v>0</v>
      </c>
      <c r="F8" s="66" t="s">
        <v>153</v>
      </c>
    </row>
    <row r="9" s="49" customFormat="1" ht="150" spans="1:6">
      <c r="A9" s="12">
        <v>5</v>
      </c>
      <c r="B9" s="19" t="s">
        <v>154</v>
      </c>
      <c r="C9" s="60">
        <v>10</v>
      </c>
      <c r="D9" s="58">
        <v>10</v>
      </c>
      <c r="E9" s="58">
        <v>0</v>
      </c>
      <c r="F9" s="67"/>
    </row>
    <row r="10" s="3" customFormat="1" ht="45" spans="1:6">
      <c r="A10" s="68">
        <v>6</v>
      </c>
      <c r="B10" s="69" t="s">
        <v>155</v>
      </c>
      <c r="C10" s="70">
        <v>15</v>
      </c>
      <c r="D10" s="71">
        <v>3</v>
      </c>
      <c r="E10" s="71">
        <v>9</v>
      </c>
      <c r="F10" s="17"/>
    </row>
    <row r="11" s="49" customFormat="1" ht="167" customHeight="1" spans="1:6">
      <c r="A11" s="68">
        <v>7</v>
      </c>
      <c r="B11" s="69" t="s">
        <v>156</v>
      </c>
      <c r="C11" s="70">
        <v>10</v>
      </c>
      <c r="D11" s="71">
        <v>0</v>
      </c>
      <c r="E11" s="71">
        <v>2</v>
      </c>
      <c r="F11" s="61"/>
    </row>
    <row r="12" s="49" customFormat="1" ht="409.5" spans="1:6">
      <c r="A12" s="59">
        <v>8</v>
      </c>
      <c r="B12" s="72" t="s">
        <v>157</v>
      </c>
      <c r="C12" s="60">
        <v>20</v>
      </c>
      <c r="D12" s="58">
        <v>20</v>
      </c>
      <c r="E12" s="58">
        <v>20</v>
      </c>
      <c r="F12" s="61"/>
    </row>
    <row r="13" s="50" customFormat="1" ht="63" spans="1:6">
      <c r="A13" s="73"/>
      <c r="B13" s="74" t="s">
        <v>158</v>
      </c>
      <c r="C13" s="75">
        <f>SUM(C5:C12)</f>
        <v>100</v>
      </c>
      <c r="D13" s="75">
        <f>SUM(D5:D12)</f>
        <v>42</v>
      </c>
      <c r="E13" s="75">
        <f>SUM(E5:E12)</f>
        <v>36</v>
      </c>
      <c r="F13" s="76" t="s">
        <v>159</v>
      </c>
    </row>
    <row r="14" s="49" customFormat="1" ht="21" spans="1:6">
      <c r="A14" s="60"/>
      <c r="B14" s="77" t="s">
        <v>160</v>
      </c>
      <c r="C14" s="60"/>
      <c r="D14" s="58"/>
      <c r="E14" s="58"/>
      <c r="F14" s="61"/>
    </row>
    <row r="15" s="49" customFormat="1" ht="21" spans="1:6">
      <c r="A15" s="60"/>
      <c r="B15" s="77" t="s">
        <v>161</v>
      </c>
      <c r="C15" s="60"/>
      <c r="D15" s="58"/>
      <c r="E15" s="58"/>
      <c r="F15" s="61"/>
    </row>
    <row r="16" s="49" customFormat="1" ht="21" spans="1:6">
      <c r="A16" s="60"/>
      <c r="B16" s="77" t="s">
        <v>162</v>
      </c>
      <c r="C16" s="60"/>
      <c r="D16" s="58"/>
      <c r="E16" s="58"/>
      <c r="F16" s="61"/>
    </row>
    <row r="17" s="49" customFormat="1" ht="60" spans="1:6">
      <c r="A17" s="60"/>
      <c r="B17" s="77" t="s">
        <v>163</v>
      </c>
      <c r="C17" s="60"/>
      <c r="D17" s="58"/>
      <c r="E17" s="58"/>
      <c r="F17" s="61"/>
    </row>
    <row r="18" s="49" customFormat="1" ht="30" spans="1:6">
      <c r="A18" s="60"/>
      <c r="B18" s="77" t="s">
        <v>164</v>
      </c>
      <c r="C18" s="60"/>
      <c r="D18" s="58"/>
      <c r="E18" s="58"/>
      <c r="F18" s="61"/>
    </row>
    <row r="19" s="49" customFormat="1" ht="21" spans="1:6">
      <c r="A19" s="60"/>
      <c r="B19" s="77" t="s">
        <v>165</v>
      </c>
      <c r="C19" s="60"/>
      <c r="D19" s="58"/>
      <c r="E19" s="58"/>
      <c r="F19" s="61"/>
    </row>
    <row r="20" s="46" customFormat="1" spans="1:6">
      <c r="A20" s="52"/>
      <c r="B20" s="53" t="s">
        <v>166</v>
      </c>
      <c r="C20" s="54"/>
      <c r="D20" s="58"/>
      <c r="E20" s="58"/>
      <c r="F20" s="78"/>
    </row>
    <row r="21" s="49" customFormat="1" ht="30" spans="1:6">
      <c r="A21" s="60"/>
      <c r="B21" s="79" t="s">
        <v>167</v>
      </c>
      <c r="C21" s="60"/>
      <c r="D21" s="58"/>
      <c r="E21" s="58"/>
      <c r="F21" s="61"/>
    </row>
    <row r="22" s="49" customFormat="1" ht="30" spans="1:6">
      <c r="A22" s="60"/>
      <c r="B22" s="79" t="s">
        <v>168</v>
      </c>
      <c r="C22" s="60"/>
      <c r="D22" s="58"/>
      <c r="E22" s="58"/>
      <c r="F22" s="61"/>
    </row>
    <row r="23" s="46" customFormat="1" spans="1:6">
      <c r="A23" s="52"/>
      <c r="B23" s="53" t="s">
        <v>169</v>
      </c>
      <c r="C23" s="54"/>
      <c r="D23" s="58"/>
      <c r="E23" s="58"/>
      <c r="F23" s="78"/>
    </row>
    <row r="24" s="49" customFormat="1" ht="30" spans="1:6">
      <c r="A24" s="60" t="s">
        <v>170</v>
      </c>
      <c r="B24" s="79" t="s">
        <v>171</v>
      </c>
      <c r="C24" s="60"/>
      <c r="D24" s="58"/>
      <c r="E24" s="58"/>
      <c r="F24" s="61"/>
    </row>
    <row r="25" s="49" customFormat="1" ht="30" spans="1:6">
      <c r="A25" s="60" t="s">
        <v>172</v>
      </c>
      <c r="B25" s="79" t="s">
        <v>173</v>
      </c>
      <c r="C25" s="60"/>
      <c r="D25" s="58"/>
      <c r="E25" s="58"/>
      <c r="F25" s="61"/>
    </row>
    <row r="26" s="49" customFormat="1" ht="21" spans="1:6">
      <c r="A26" s="60" t="s">
        <v>174</v>
      </c>
      <c r="B26" s="79" t="s">
        <v>175</v>
      </c>
      <c r="C26" s="60"/>
      <c r="D26" s="58"/>
      <c r="E26" s="58"/>
      <c r="F26" s="61"/>
    </row>
    <row r="27" s="49" customFormat="1" ht="21" spans="1:6">
      <c r="A27" s="60" t="s">
        <v>176</v>
      </c>
      <c r="B27" s="79" t="s">
        <v>177</v>
      </c>
      <c r="C27" s="60"/>
      <c r="D27" s="58"/>
      <c r="E27" s="58"/>
      <c r="F27" s="61"/>
    </row>
    <row r="28" s="49" customFormat="1" ht="60" spans="1:6">
      <c r="A28" s="60" t="s">
        <v>178</v>
      </c>
      <c r="B28" s="79" t="s">
        <v>179</v>
      </c>
      <c r="C28" s="60"/>
      <c r="D28" s="58"/>
      <c r="E28" s="58"/>
      <c r="F28" s="61"/>
    </row>
    <row r="29" s="49" customFormat="1" ht="60" spans="1:6">
      <c r="A29" s="60" t="s">
        <v>180</v>
      </c>
      <c r="B29" s="79" t="s">
        <v>181</v>
      </c>
      <c r="C29" s="60"/>
      <c r="D29" s="58"/>
      <c r="E29" s="58"/>
      <c r="F29" s="61"/>
    </row>
    <row r="30" s="49" customFormat="1" ht="45" spans="1:6">
      <c r="A30" s="60" t="s">
        <v>182</v>
      </c>
      <c r="B30" s="79" t="s">
        <v>183</v>
      </c>
      <c r="C30" s="60"/>
      <c r="D30" s="58"/>
      <c r="E30" s="58"/>
      <c r="F30" s="61"/>
    </row>
    <row r="31" s="49" customFormat="1" ht="21" spans="1:6">
      <c r="A31" s="60" t="s">
        <v>184</v>
      </c>
      <c r="B31" s="79" t="s">
        <v>185</v>
      </c>
      <c r="C31" s="60"/>
      <c r="D31" s="58"/>
      <c r="E31" s="58"/>
      <c r="F31" s="61"/>
    </row>
    <row r="32" s="49" customFormat="1" ht="21" spans="1:6">
      <c r="A32" s="60" t="s">
        <v>186</v>
      </c>
      <c r="B32" s="79" t="s">
        <v>187</v>
      </c>
      <c r="C32" s="60"/>
      <c r="D32" s="58"/>
      <c r="E32" s="58"/>
      <c r="F32" s="61"/>
    </row>
    <row r="33" s="49" customFormat="1" ht="60" spans="1:6">
      <c r="A33" s="60" t="s">
        <v>188</v>
      </c>
      <c r="B33" s="79" t="s">
        <v>189</v>
      </c>
      <c r="C33" s="60"/>
      <c r="D33" s="58"/>
      <c r="E33" s="58"/>
      <c r="F33" s="61"/>
    </row>
  </sheetData>
  <mergeCells count="2">
    <mergeCell ref="D3:E3"/>
    <mergeCell ref="F8:F9"/>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7"/>
  <sheetViews>
    <sheetView workbookViewId="0">
      <selection activeCell="A1" sqref="$A1:$XFD1"/>
    </sheetView>
  </sheetViews>
  <sheetFormatPr defaultColWidth="9" defaultRowHeight="15" outlineLevelCol="7"/>
  <cols>
    <col min="1" max="1" width="9" style="31"/>
    <col min="2" max="2" width="80.7142857142857" style="32" customWidth="1"/>
    <col min="3" max="3" width="13.4285714285714" customWidth="1"/>
    <col min="4" max="4" width="13.5714285714286" customWidth="1"/>
    <col min="5" max="5" width="12.5714285714286" customWidth="1"/>
    <col min="6" max="6" width="12.4285714285714" customWidth="1"/>
  </cols>
  <sheetData>
    <row r="1" customFormat="1" ht="30" spans="1:2">
      <c r="A1" s="33"/>
      <c r="B1" s="34" t="s">
        <v>190</v>
      </c>
    </row>
    <row r="2" customFormat="1" ht="150" spans="1:2">
      <c r="A2" s="35" t="s">
        <v>186</v>
      </c>
      <c r="B2" s="19" t="s">
        <v>191</v>
      </c>
    </row>
    <row r="3" customFormat="1" ht="105" spans="1:2">
      <c r="A3" s="35" t="s">
        <v>192</v>
      </c>
      <c r="B3" s="19" t="s">
        <v>193</v>
      </c>
    </row>
    <row r="4" customFormat="1" spans="1:2">
      <c r="A4" s="33"/>
      <c r="B4" s="27" t="s">
        <v>194</v>
      </c>
    </row>
    <row r="5" customFormat="1" ht="180" spans="1:2">
      <c r="A5" s="36" t="s">
        <v>186</v>
      </c>
      <c r="B5" s="19" t="s">
        <v>195</v>
      </c>
    </row>
    <row r="6" customFormat="1" ht="180" spans="1:2">
      <c r="A6" s="36" t="s">
        <v>192</v>
      </c>
      <c r="B6" s="19" t="s">
        <v>196</v>
      </c>
    </row>
    <row r="7" customFormat="1" ht="60" spans="1:2">
      <c r="A7" s="36" t="s">
        <v>197</v>
      </c>
      <c r="B7" s="19" t="s">
        <v>198</v>
      </c>
    </row>
    <row r="8" customFormat="1" ht="75" spans="1:2">
      <c r="A8" s="36" t="s">
        <v>199</v>
      </c>
      <c r="B8" s="19" t="s">
        <v>200</v>
      </c>
    </row>
    <row r="9" customFormat="1" ht="75" spans="1:2">
      <c r="A9" s="36" t="s">
        <v>201</v>
      </c>
      <c r="B9" s="19" t="s">
        <v>202</v>
      </c>
    </row>
    <row r="10" customFormat="1" ht="45" spans="1:2">
      <c r="A10" s="36" t="s">
        <v>203</v>
      </c>
      <c r="B10" s="19" t="s">
        <v>204</v>
      </c>
    </row>
    <row r="11" customFormat="1" spans="1:2">
      <c r="A11" s="33"/>
      <c r="B11" s="37" t="s">
        <v>205</v>
      </c>
    </row>
    <row r="12" customFormat="1" spans="1:2">
      <c r="A12" s="33"/>
      <c r="B12" s="37" t="s">
        <v>206</v>
      </c>
    </row>
    <row r="13" customFormat="1" spans="1:2">
      <c r="A13" s="33"/>
      <c r="B13" s="37" t="s">
        <v>207</v>
      </c>
    </row>
    <row r="14" customFormat="1" spans="1:2">
      <c r="A14" s="33"/>
      <c r="B14" s="37" t="s">
        <v>208</v>
      </c>
    </row>
    <row r="15" customFormat="1" spans="1:2">
      <c r="A15" s="33"/>
      <c r="B15" s="37" t="s">
        <v>209</v>
      </c>
    </row>
    <row r="16" customFormat="1" spans="1:2">
      <c r="A16" s="33"/>
      <c r="B16" s="37" t="s">
        <v>210</v>
      </c>
    </row>
    <row r="17" customFormat="1" ht="45" spans="1:2">
      <c r="A17" s="33"/>
      <c r="B17" s="19" t="s">
        <v>211</v>
      </c>
    </row>
    <row r="18" customFormat="1" spans="1:2">
      <c r="A18" s="33"/>
      <c r="B18" s="38" t="s">
        <v>212</v>
      </c>
    </row>
    <row r="19" customFormat="1" spans="1:2">
      <c r="A19" s="33"/>
      <c r="B19" s="38" t="s">
        <v>213</v>
      </c>
    </row>
    <row r="20" customFormat="1" spans="1:2">
      <c r="A20" s="33"/>
      <c r="B20" s="38" t="s">
        <v>214</v>
      </c>
    </row>
    <row r="21" customFormat="1" spans="1:2">
      <c r="A21" s="33"/>
      <c r="B21" s="38" t="s">
        <v>215</v>
      </c>
    </row>
    <row r="22" customFormat="1" spans="1:2">
      <c r="A22" s="33"/>
      <c r="B22" s="38" t="s">
        <v>216</v>
      </c>
    </row>
    <row r="23" customFormat="1" spans="1:2">
      <c r="A23" s="33"/>
      <c r="B23" s="38" t="s">
        <v>217</v>
      </c>
    </row>
    <row r="24" customFormat="1" spans="1:2">
      <c r="A24" s="33"/>
      <c r="B24" s="19" t="s">
        <v>218</v>
      </c>
    </row>
    <row r="25" customFormat="1" spans="1:2">
      <c r="A25" s="33"/>
      <c r="B25" s="19" t="s">
        <v>219</v>
      </c>
    </row>
    <row r="26" customFormat="1" ht="45" spans="1:2">
      <c r="A26" s="33"/>
      <c r="B26" s="37" t="s">
        <v>220</v>
      </c>
    </row>
    <row r="27" customFormat="1" ht="30" spans="1:2">
      <c r="A27" s="33"/>
      <c r="B27" s="37" t="s">
        <v>221</v>
      </c>
    </row>
    <row r="28" customFormat="1" ht="30" spans="1:2">
      <c r="A28" s="33"/>
      <c r="B28" s="37" t="s">
        <v>222</v>
      </c>
    </row>
    <row r="29" customFormat="1" ht="30" spans="1:2">
      <c r="A29" s="33"/>
      <c r="B29" s="37" t="s">
        <v>223</v>
      </c>
    </row>
    <row r="30" customFormat="1" spans="1:2">
      <c r="A30" s="33"/>
      <c r="B30" s="38" t="s">
        <v>224</v>
      </c>
    </row>
    <row r="31" customFormat="1" spans="1:2">
      <c r="A31" s="33"/>
      <c r="B31" s="38" t="s">
        <v>225</v>
      </c>
    </row>
    <row r="32" customFormat="1" ht="135" spans="1:2">
      <c r="A32" s="33"/>
      <c r="B32" s="19" t="s">
        <v>226</v>
      </c>
    </row>
    <row r="33" customFormat="1" ht="135" spans="1:2">
      <c r="A33" s="33"/>
      <c r="B33" s="37" t="s">
        <v>227</v>
      </c>
    </row>
    <row r="34" customFormat="1" ht="90" spans="1:2">
      <c r="A34" s="33"/>
      <c r="B34" s="19" t="s">
        <v>228</v>
      </c>
    </row>
    <row r="35" customFormat="1" ht="30" spans="1:2">
      <c r="A35" s="33"/>
      <c r="B35" s="19" t="s">
        <v>229</v>
      </c>
    </row>
    <row r="36" customFormat="1" ht="30" spans="1:2">
      <c r="A36" s="33"/>
      <c r="B36" s="19" t="s">
        <v>230</v>
      </c>
    </row>
    <row r="37" customFormat="1" ht="45" spans="1:2">
      <c r="A37" s="33"/>
      <c r="B37" s="37" t="s">
        <v>231</v>
      </c>
    </row>
    <row r="38" customFormat="1" spans="1:2">
      <c r="A38" s="33"/>
      <c r="B38" s="38" t="s">
        <v>232</v>
      </c>
    </row>
    <row r="39" customFormat="1" ht="45" spans="1:2">
      <c r="A39" s="33"/>
      <c r="B39" s="37" t="s">
        <v>233</v>
      </c>
    </row>
    <row r="40" customFormat="1" ht="30" spans="1:2">
      <c r="A40" s="33"/>
      <c r="B40" s="37" t="s">
        <v>234</v>
      </c>
    </row>
    <row r="41" customFormat="1" ht="30" spans="1:2">
      <c r="A41" s="33"/>
      <c r="B41" s="19" t="s">
        <v>235</v>
      </c>
    </row>
    <row r="42" customFormat="1" spans="1:2">
      <c r="A42" s="33"/>
      <c r="B42" s="38" t="s">
        <v>236</v>
      </c>
    </row>
    <row r="43" customFormat="1" spans="1:8">
      <c r="A43" s="33"/>
      <c r="B43" s="27" t="s">
        <v>237</v>
      </c>
      <c r="C43" s="39" t="s">
        <v>238</v>
      </c>
      <c r="D43" s="40" t="s">
        <v>239</v>
      </c>
      <c r="E43" s="40" t="s">
        <v>240</v>
      </c>
      <c r="F43" s="40" t="s">
        <v>241</v>
      </c>
      <c r="G43" s="40" t="s">
        <v>242</v>
      </c>
      <c r="H43" s="40" t="s">
        <v>243</v>
      </c>
    </row>
    <row r="44" customFormat="1" spans="1:8">
      <c r="A44" s="33"/>
      <c r="B44" s="38" t="s">
        <v>244</v>
      </c>
      <c r="C44" s="41" t="s">
        <v>65</v>
      </c>
      <c r="D44" s="42" t="s">
        <v>65</v>
      </c>
      <c r="E44" s="43"/>
      <c r="F44" s="43"/>
      <c r="G44" s="43"/>
      <c r="H44" s="43"/>
    </row>
    <row r="45" customFormat="1" spans="1:8">
      <c r="A45" s="33"/>
      <c r="B45" s="38" t="s">
        <v>245</v>
      </c>
      <c r="C45" s="41" t="s">
        <v>65</v>
      </c>
      <c r="D45" s="42" t="s">
        <v>65</v>
      </c>
      <c r="E45" s="43"/>
      <c r="F45" s="43"/>
      <c r="G45" s="43"/>
      <c r="H45" s="43"/>
    </row>
    <row r="46" customFormat="1" spans="1:8">
      <c r="A46" s="33"/>
      <c r="B46" s="38" t="s">
        <v>246</v>
      </c>
      <c r="C46" s="41" t="s">
        <v>65</v>
      </c>
      <c r="D46" s="42" t="s">
        <v>65</v>
      </c>
      <c r="E46" s="42" t="s">
        <v>247</v>
      </c>
      <c r="F46" s="42" t="s">
        <v>247</v>
      </c>
      <c r="G46" s="42" t="s">
        <v>247</v>
      </c>
      <c r="H46" s="42" t="s">
        <v>247</v>
      </c>
    </row>
    <row r="47" customFormat="1" spans="1:8">
      <c r="A47" s="33"/>
      <c r="B47" s="38" t="s">
        <v>248</v>
      </c>
      <c r="C47" s="41" t="s">
        <v>65</v>
      </c>
      <c r="D47" s="42" t="s">
        <v>65</v>
      </c>
      <c r="E47" s="42" t="s">
        <v>247</v>
      </c>
      <c r="F47" s="43"/>
      <c r="G47" s="43"/>
      <c r="H47" s="43"/>
    </row>
    <row r="48" customFormat="1" spans="1:8">
      <c r="A48" s="33"/>
      <c r="B48" s="38" t="s">
        <v>249</v>
      </c>
      <c r="C48" s="41" t="s">
        <v>65</v>
      </c>
      <c r="D48" s="43"/>
      <c r="E48" s="43"/>
      <c r="F48" s="43"/>
      <c r="G48" s="43"/>
      <c r="H48" s="43"/>
    </row>
    <row r="49" customFormat="1" spans="1:8">
      <c r="A49" s="33"/>
      <c r="B49" s="38" t="s">
        <v>250</v>
      </c>
      <c r="C49" s="41" t="s">
        <v>65</v>
      </c>
      <c r="D49" s="43"/>
      <c r="E49" s="43"/>
      <c r="F49" s="43"/>
      <c r="G49" s="43"/>
      <c r="H49" s="43"/>
    </row>
    <row r="50" customFormat="1" spans="1:8">
      <c r="A50" s="33"/>
      <c r="B50" s="38" t="s">
        <v>251</v>
      </c>
      <c r="C50" s="44"/>
      <c r="D50" s="43"/>
      <c r="E50" s="43"/>
      <c r="F50" s="43"/>
      <c r="G50" s="43"/>
      <c r="H50" s="43"/>
    </row>
    <row r="51" customFormat="1" spans="1:8">
      <c r="A51" s="33"/>
      <c r="B51" s="45"/>
      <c r="C51" s="44"/>
      <c r="D51" s="43"/>
      <c r="E51" s="43"/>
      <c r="F51" s="43"/>
      <c r="G51" s="43"/>
      <c r="H51" s="43"/>
    </row>
    <row r="52" customFormat="1" spans="1:8">
      <c r="A52" s="33"/>
      <c r="B52" s="45"/>
      <c r="C52" s="44"/>
      <c r="D52" s="43"/>
      <c r="E52" s="43"/>
      <c r="F52" s="43"/>
      <c r="G52" s="43"/>
      <c r="H52" s="43"/>
    </row>
    <row r="53" customFormat="1" ht="45" spans="1:8">
      <c r="A53" s="36" t="s">
        <v>186</v>
      </c>
      <c r="B53" s="37" t="s">
        <v>252</v>
      </c>
      <c r="C53" s="44"/>
      <c r="D53" s="43"/>
      <c r="E53" s="43"/>
      <c r="F53" s="43"/>
      <c r="G53" s="43"/>
      <c r="H53" s="43"/>
    </row>
    <row r="54" customFormat="1" spans="1:8">
      <c r="A54" s="36" t="s">
        <v>192</v>
      </c>
      <c r="B54" s="45" t="s">
        <v>253</v>
      </c>
      <c r="C54" s="44"/>
      <c r="D54" s="43"/>
      <c r="E54" s="43"/>
      <c r="F54" s="43"/>
      <c r="G54" s="43"/>
      <c r="H54" s="43"/>
    </row>
    <row r="55" customFormat="1" ht="30" spans="1:8">
      <c r="A55" s="33"/>
      <c r="B55" s="37" t="s">
        <v>254</v>
      </c>
      <c r="C55" s="44"/>
      <c r="D55" s="43"/>
      <c r="E55" s="43"/>
      <c r="F55" s="43"/>
      <c r="G55" s="43"/>
      <c r="H55" s="43"/>
    </row>
    <row r="56" customFormat="1" ht="45" spans="1:8">
      <c r="A56" s="33"/>
      <c r="B56" s="37" t="s">
        <v>255</v>
      </c>
      <c r="C56" s="44"/>
      <c r="D56" s="43"/>
      <c r="E56" s="43"/>
      <c r="F56" s="43"/>
      <c r="G56" s="43"/>
      <c r="H56" s="43"/>
    </row>
    <row r="57" customFormat="1" spans="1:8">
      <c r="A57" s="33"/>
      <c r="B57" s="38" t="s">
        <v>256</v>
      </c>
      <c r="C57" s="44"/>
      <c r="D57" s="43"/>
      <c r="E57" s="43"/>
      <c r="F57" s="43"/>
      <c r="G57" s="43"/>
      <c r="H57" s="43"/>
    </row>
    <row r="58" customFormat="1" ht="45" spans="1:8">
      <c r="A58" s="33"/>
      <c r="B58" s="37" t="s">
        <v>257</v>
      </c>
      <c r="C58" s="44"/>
      <c r="D58" s="43"/>
      <c r="E58" s="43"/>
      <c r="F58" s="43"/>
      <c r="G58" s="43"/>
      <c r="H58" s="43"/>
    </row>
    <row r="59" customFormat="1" spans="1:2">
      <c r="A59" s="36" t="s">
        <v>258</v>
      </c>
      <c r="B59" s="38" t="s">
        <v>259</v>
      </c>
    </row>
    <row r="60" customFormat="1" ht="60" spans="1:2">
      <c r="A60" s="33"/>
      <c r="B60" s="37" t="s">
        <v>260</v>
      </c>
    </row>
    <row r="61" customFormat="1" ht="30" spans="1:2">
      <c r="A61" s="33"/>
      <c r="B61" s="37" t="s">
        <v>261</v>
      </c>
    </row>
    <row r="62" customFormat="1" ht="45" spans="1:2">
      <c r="A62" s="33"/>
      <c r="B62" s="37" t="s">
        <v>262</v>
      </c>
    </row>
    <row r="63" customFormat="1" spans="1:2">
      <c r="A63" s="33"/>
      <c r="B63" s="38" t="s">
        <v>263</v>
      </c>
    </row>
    <row r="64" customFormat="1" ht="30" spans="1:2">
      <c r="A64" s="33"/>
      <c r="B64" s="37" t="s">
        <v>264</v>
      </c>
    </row>
    <row r="65" customFormat="1" spans="1:2">
      <c r="A65" s="33"/>
      <c r="B65" s="37" t="s">
        <v>265</v>
      </c>
    </row>
    <row r="66" customFormat="1" ht="30" spans="1:2">
      <c r="A66" s="33"/>
      <c r="B66" s="37" t="s">
        <v>266</v>
      </c>
    </row>
    <row r="67" customFormat="1" ht="30" spans="1:2">
      <c r="A67" s="33"/>
      <c r="B67" s="37" t="s">
        <v>267</v>
      </c>
    </row>
    <row r="68" customFormat="1" ht="90" spans="1:2">
      <c r="A68" s="33"/>
      <c r="B68" s="37" t="s">
        <v>268</v>
      </c>
    </row>
    <row r="69" customFormat="1" ht="45" spans="1:2">
      <c r="A69" s="33"/>
      <c r="B69" s="37" t="s">
        <v>269</v>
      </c>
    </row>
    <row r="70" customFormat="1" ht="75" spans="1:2">
      <c r="A70" s="33"/>
      <c r="B70" s="37" t="s">
        <v>270</v>
      </c>
    </row>
    <row r="71" customFormat="1" ht="90" spans="1:2">
      <c r="A71" s="33"/>
      <c r="B71" s="19" t="s">
        <v>271</v>
      </c>
    </row>
    <row r="72" customFormat="1" ht="30" spans="1:2">
      <c r="A72" s="33"/>
      <c r="B72" s="19" t="s">
        <v>272</v>
      </c>
    </row>
    <row r="73" customFormat="1" ht="45" spans="1:2">
      <c r="A73" s="33"/>
      <c r="B73" s="38" t="s">
        <v>273</v>
      </c>
    </row>
    <row r="74" customFormat="1" ht="45" spans="1:2">
      <c r="A74" s="33"/>
      <c r="B74" s="38" t="s">
        <v>274</v>
      </c>
    </row>
    <row r="75" customFormat="1" ht="45" spans="1:2">
      <c r="A75" s="33"/>
      <c r="B75" s="19" t="s">
        <v>275</v>
      </c>
    </row>
    <row r="76" customFormat="1" ht="45" spans="1:2">
      <c r="A76" s="33"/>
      <c r="B76" s="19" t="s">
        <v>276</v>
      </c>
    </row>
    <row r="77" customFormat="1" ht="30" spans="1:2">
      <c r="A77" s="33"/>
      <c r="B77" s="19" t="s">
        <v>277</v>
      </c>
    </row>
    <row r="78" customFormat="1" spans="1:2">
      <c r="A78" s="33"/>
      <c r="B78" s="38" t="s">
        <v>278</v>
      </c>
    </row>
    <row r="79" customFormat="1" ht="165" spans="1:2">
      <c r="A79" s="33"/>
      <c r="B79" s="19" t="s">
        <v>279</v>
      </c>
    </row>
    <row r="80" customFormat="1" ht="60" spans="1:2">
      <c r="A80" s="33"/>
      <c r="B80" s="19" t="s">
        <v>280</v>
      </c>
    </row>
    <row r="81" customFormat="1" ht="30" spans="1:2">
      <c r="A81" s="33"/>
      <c r="B81" s="19" t="s">
        <v>281</v>
      </c>
    </row>
    <row r="82" customFormat="1" ht="45" spans="1:2">
      <c r="A82" s="33"/>
      <c r="B82" s="19" t="s">
        <v>282</v>
      </c>
    </row>
    <row r="83" customFormat="1" ht="30" spans="1:2">
      <c r="A83" s="33"/>
      <c r="B83" s="19" t="s">
        <v>283</v>
      </c>
    </row>
    <row r="84" customFormat="1" ht="30" spans="1:2">
      <c r="A84" s="33"/>
      <c r="B84" s="19" t="s">
        <v>284</v>
      </c>
    </row>
    <row r="85" customFormat="1" ht="30" spans="1:2">
      <c r="A85" s="33"/>
      <c r="B85" s="19" t="s">
        <v>285</v>
      </c>
    </row>
    <row r="86" customFormat="1" ht="135" spans="1:2">
      <c r="A86" s="33"/>
      <c r="B86" s="19" t="s">
        <v>286</v>
      </c>
    </row>
    <row r="87" customFormat="1" ht="30" spans="1:2">
      <c r="A87" s="33"/>
      <c r="B87" s="19" t="s">
        <v>287</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A2" sqref="A2:D2"/>
    </sheetView>
  </sheetViews>
  <sheetFormatPr defaultColWidth="9.14285714285714" defaultRowHeight="15" outlineLevelCol="3"/>
  <cols>
    <col min="1" max="1" width="6.85714285714286" style="2" customWidth="1"/>
    <col min="2" max="2" width="19.1428571428571" style="20" customWidth="1"/>
    <col min="3" max="3" width="54.1428571428571" style="2" customWidth="1"/>
    <col min="4" max="4" width="41.2857142857143" style="2" customWidth="1"/>
    <col min="5" max="16384" width="9.14285714285714" style="2"/>
  </cols>
  <sheetData>
    <row r="1" ht="18.75" spans="1:4">
      <c r="A1" s="25" t="s">
        <v>288</v>
      </c>
      <c r="B1" s="25"/>
      <c r="C1" s="25"/>
      <c r="D1" s="25"/>
    </row>
    <row r="2" ht="59" customHeight="1" spans="1:4">
      <c r="A2" s="26" t="s">
        <v>289</v>
      </c>
      <c r="B2" s="26"/>
      <c r="C2" s="26"/>
      <c r="D2" s="26"/>
    </row>
    <row r="3" spans="1:4">
      <c r="A3" s="27" t="s">
        <v>290</v>
      </c>
      <c r="B3" s="27"/>
      <c r="C3" s="27"/>
      <c r="D3" s="27"/>
    </row>
    <row r="4" spans="1:4">
      <c r="A4" s="12" t="s">
        <v>1</v>
      </c>
      <c r="B4" s="12" t="s">
        <v>291</v>
      </c>
      <c r="C4" s="12" t="s">
        <v>292</v>
      </c>
      <c r="D4" s="12" t="s">
        <v>293</v>
      </c>
    </row>
    <row r="5" spans="1:4">
      <c r="A5" s="8"/>
      <c r="B5" s="8"/>
      <c r="C5" s="8" t="s">
        <v>294</v>
      </c>
      <c r="D5" s="7" t="s">
        <v>295</v>
      </c>
    </row>
    <row r="6" ht="45" spans="1:4">
      <c r="A6" s="28"/>
      <c r="B6" s="28" t="s">
        <v>296</v>
      </c>
      <c r="C6" s="8" t="s">
        <v>297</v>
      </c>
      <c r="D6" s="7" t="s">
        <v>298</v>
      </c>
    </row>
    <row r="7" ht="90" spans="1:4">
      <c r="A7" s="28"/>
      <c r="B7" s="28" t="s">
        <v>299</v>
      </c>
      <c r="C7" s="8" t="s">
        <v>300</v>
      </c>
      <c r="D7" s="7" t="s">
        <v>301</v>
      </c>
    </row>
    <row r="8" ht="45" spans="1:4">
      <c r="A8" s="28"/>
      <c r="B8" s="28" t="s">
        <v>302</v>
      </c>
      <c r="C8" s="8" t="s">
        <v>303</v>
      </c>
      <c r="D8" s="7" t="s">
        <v>304</v>
      </c>
    </row>
    <row r="9" ht="105" spans="1:4">
      <c r="A9" s="29"/>
      <c r="B9" s="8" t="s">
        <v>305</v>
      </c>
      <c r="C9" s="8" t="s">
        <v>306</v>
      </c>
      <c r="D9" s="7" t="s">
        <v>307</v>
      </c>
    </row>
    <row r="10" spans="1:4">
      <c r="A10" s="29"/>
      <c r="B10" s="8" t="s">
        <v>308</v>
      </c>
      <c r="C10" s="8" t="s">
        <v>309</v>
      </c>
      <c r="D10" s="7" t="s">
        <v>310</v>
      </c>
    </row>
    <row r="11" ht="58" customHeight="1" spans="1:4">
      <c r="A11" s="7"/>
      <c r="B11" s="30" t="s">
        <v>311</v>
      </c>
      <c r="C11" s="30"/>
      <c r="D11" s="30"/>
    </row>
    <row r="12" spans="1:4">
      <c r="A12" s="7"/>
      <c r="B12" s="30" t="s">
        <v>312</v>
      </c>
      <c r="C12" s="30"/>
      <c r="D12" s="30"/>
    </row>
  </sheetData>
  <mergeCells count="5">
    <mergeCell ref="A1:D1"/>
    <mergeCell ref="A2:D2"/>
    <mergeCell ref="A3:D3"/>
    <mergeCell ref="B11:D11"/>
    <mergeCell ref="B12:D12"/>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4"/>
  <sheetViews>
    <sheetView workbookViewId="0">
      <selection activeCell="B3" sqref="B3"/>
    </sheetView>
  </sheetViews>
  <sheetFormatPr defaultColWidth="9" defaultRowHeight="15" outlineLevelCol="2"/>
  <cols>
    <col min="1" max="1" width="9" style="3"/>
    <col min="2" max="2" width="69.8571428571429" style="20" customWidth="1"/>
    <col min="3" max="3" width="63.5714285714286" style="20" customWidth="1"/>
    <col min="4" max="16384" width="9" style="3"/>
  </cols>
  <sheetData>
    <row r="1" s="3" customFormat="1" ht="18.75" spans="1:3">
      <c r="A1" s="21" t="s">
        <v>313</v>
      </c>
      <c r="B1" s="22"/>
      <c r="C1" s="23"/>
    </row>
    <row r="2" s="3" customFormat="1" spans="1:3">
      <c r="A2" s="7" t="s">
        <v>314</v>
      </c>
      <c r="B2" s="8"/>
      <c r="C2" s="8"/>
    </row>
    <row r="3" s="2" customFormat="1" spans="1:3">
      <c r="A3" s="12" t="s">
        <v>315</v>
      </c>
      <c r="B3" s="12" t="s">
        <v>316</v>
      </c>
      <c r="C3" s="12" t="s">
        <v>317</v>
      </c>
    </row>
    <row r="4" s="3" customFormat="1" ht="45" spans="1:3">
      <c r="A4" s="7" t="s">
        <v>318</v>
      </c>
      <c r="B4" s="8" t="s">
        <v>319</v>
      </c>
      <c r="C4" s="8" t="s">
        <v>320</v>
      </c>
    </row>
    <row r="5" s="3" customFormat="1" ht="45" spans="1:3">
      <c r="A5" s="7" t="s">
        <v>321</v>
      </c>
      <c r="B5" s="8" t="s">
        <v>322</v>
      </c>
      <c r="C5" s="8" t="s">
        <v>323</v>
      </c>
    </row>
    <row r="6" s="3" customFormat="1" ht="30" spans="1:3">
      <c r="A6" s="7" t="s">
        <v>324</v>
      </c>
      <c r="B6" s="8" t="s">
        <v>325</v>
      </c>
      <c r="C6" s="8" t="s">
        <v>326</v>
      </c>
    </row>
    <row r="7" s="3" customFormat="1" ht="90" spans="1:3">
      <c r="A7" s="7" t="s">
        <v>327</v>
      </c>
      <c r="B7" s="8" t="s">
        <v>328</v>
      </c>
      <c r="C7" s="8" t="s">
        <v>329</v>
      </c>
    </row>
    <row r="8" s="3" customFormat="1" ht="60" spans="1:3">
      <c r="A8" s="15" t="s">
        <v>330</v>
      </c>
      <c r="B8" s="19" t="s">
        <v>331</v>
      </c>
      <c r="C8" s="19" t="s">
        <v>332</v>
      </c>
    </row>
    <row r="9" s="3" customFormat="1" ht="47" customHeight="1" spans="1:3">
      <c r="A9" s="7"/>
      <c r="B9" s="9" t="s">
        <v>333</v>
      </c>
      <c r="C9" s="24"/>
    </row>
    <row r="10" s="3" customFormat="1" spans="1:3">
      <c r="A10" s="15" t="s">
        <v>82</v>
      </c>
      <c r="B10" s="19" t="s">
        <v>334</v>
      </c>
      <c r="C10" s="8"/>
    </row>
    <row r="11" s="3" customFormat="1" ht="30" spans="1:3">
      <c r="A11" s="15" t="s">
        <v>335</v>
      </c>
      <c r="B11" s="19" t="s">
        <v>336</v>
      </c>
      <c r="C11" s="8"/>
    </row>
    <row r="12" s="3" customFormat="1" ht="75" spans="1:3">
      <c r="A12" s="15" t="s">
        <v>337</v>
      </c>
      <c r="B12" s="19" t="s">
        <v>338</v>
      </c>
      <c r="C12" s="8"/>
    </row>
    <row r="13" s="3" customFormat="1" spans="1:3">
      <c r="A13" s="15" t="s">
        <v>339</v>
      </c>
      <c r="B13" s="19" t="s">
        <v>340</v>
      </c>
      <c r="C13" s="8"/>
    </row>
    <row r="14" s="3" customFormat="1" ht="60" spans="1:3">
      <c r="A14" s="7"/>
      <c r="B14" s="19" t="s">
        <v>341</v>
      </c>
      <c r="C14" s="8"/>
    </row>
    <row r="15" s="3" customFormat="1" ht="180" spans="1:3">
      <c r="A15" s="7"/>
      <c r="B15" s="19" t="s">
        <v>342</v>
      </c>
      <c r="C15" s="8"/>
    </row>
    <row r="16" s="3" customFormat="1" ht="45" spans="1:3">
      <c r="A16" s="7"/>
      <c r="B16" s="19" t="s">
        <v>343</v>
      </c>
      <c r="C16" s="8"/>
    </row>
    <row r="17" s="3" customFormat="1" ht="45" spans="1:3">
      <c r="A17" s="7"/>
      <c r="B17" s="19" t="s">
        <v>344</v>
      </c>
      <c r="C17" s="8"/>
    </row>
    <row r="18" s="3" customFormat="1" spans="1:3">
      <c r="A18" s="7"/>
      <c r="B18" s="8"/>
      <c r="C18" s="8"/>
    </row>
    <row r="19" s="3" customFormat="1" spans="1:3">
      <c r="A19" s="7"/>
      <c r="B19" s="8"/>
      <c r="C19" s="8"/>
    </row>
    <row r="20" s="3" customFormat="1" spans="1:3">
      <c r="A20" s="7"/>
      <c r="B20" s="8"/>
      <c r="C20" s="8"/>
    </row>
    <row r="21" s="3" customFormat="1" spans="1:3">
      <c r="A21" s="7"/>
      <c r="B21" s="8"/>
      <c r="C21" s="8"/>
    </row>
    <row r="22" s="3" customFormat="1" spans="1:3">
      <c r="A22" s="7"/>
      <c r="B22" s="8"/>
      <c r="C22" s="8"/>
    </row>
    <row r="23" s="3" customFormat="1" spans="1:3">
      <c r="A23" s="7"/>
      <c r="B23" s="8"/>
      <c r="C23" s="8"/>
    </row>
    <row r="24" s="3" customFormat="1" spans="1:3">
      <c r="A24" s="7"/>
      <c r="B24" s="8"/>
      <c r="C24" s="8"/>
    </row>
    <row r="25" s="3" customFormat="1" spans="1:3">
      <c r="A25" s="7"/>
      <c r="B25" s="8"/>
      <c r="C25" s="8"/>
    </row>
    <row r="26" s="3" customFormat="1" spans="1:3">
      <c r="A26" s="7"/>
      <c r="B26" s="8"/>
      <c r="C26" s="8"/>
    </row>
    <row r="27" s="3" customFormat="1" spans="1:3">
      <c r="A27" s="7"/>
      <c r="B27" s="8"/>
      <c r="C27" s="8"/>
    </row>
    <row r="28" s="3" customFormat="1" spans="1:3">
      <c r="A28" s="17"/>
      <c r="B28" s="8"/>
      <c r="C28" s="8"/>
    </row>
    <row r="29" s="3" customFormat="1" spans="1:3">
      <c r="A29" s="17"/>
      <c r="B29" s="8"/>
      <c r="C29" s="8"/>
    </row>
    <row r="30" s="3" customFormat="1" spans="1:3">
      <c r="A30" s="17"/>
      <c r="B30" s="8"/>
      <c r="C30" s="8"/>
    </row>
    <row r="31" s="3" customFormat="1" spans="1:3">
      <c r="A31" s="17"/>
      <c r="B31" s="8"/>
      <c r="C31" s="8"/>
    </row>
    <row r="32" s="3" customFormat="1" spans="1:3">
      <c r="A32" s="17"/>
      <c r="B32" s="8"/>
      <c r="C32" s="8"/>
    </row>
    <row r="33" s="3" customFormat="1" spans="1:3">
      <c r="A33" s="17"/>
      <c r="B33" s="8"/>
      <c r="C33" s="8"/>
    </row>
    <row r="34" s="3" customFormat="1" spans="1:3">
      <c r="A34" s="17"/>
      <c r="B34" s="8"/>
      <c r="C34" s="8"/>
    </row>
  </sheetData>
  <mergeCells count="3">
    <mergeCell ref="A1:C1"/>
    <mergeCell ref="A2:C2"/>
    <mergeCell ref="B9:C9"/>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7"/>
  <sheetViews>
    <sheetView workbookViewId="0">
      <selection activeCell="G5" sqref="G5"/>
    </sheetView>
  </sheetViews>
  <sheetFormatPr defaultColWidth="9" defaultRowHeight="15" outlineLevelCol="3"/>
  <cols>
    <col min="1" max="1" width="9" style="2"/>
    <col min="2" max="2" width="58.1428571428571" style="3" customWidth="1"/>
    <col min="3" max="3" width="23.7142857142857" style="2" customWidth="1"/>
    <col min="4" max="4" width="20.4285714285714" style="2" customWidth="1"/>
    <col min="5" max="16384" width="9" style="3"/>
  </cols>
  <sheetData>
    <row r="1" s="1" customFormat="1" ht="21" spans="1:4">
      <c r="A1" s="4" t="s">
        <v>345</v>
      </c>
      <c r="B1" s="5"/>
      <c r="C1" s="5"/>
      <c r="D1" s="6"/>
    </row>
    <row r="2" ht="35" customHeight="1" spans="1:4">
      <c r="A2" s="7"/>
      <c r="B2" s="8" t="s">
        <v>346</v>
      </c>
      <c r="C2" s="8"/>
      <c r="D2" s="8"/>
    </row>
    <row r="3" s="1" customFormat="1" ht="21" spans="1:4">
      <c r="A3" s="4" t="s">
        <v>347</v>
      </c>
      <c r="B3" s="5"/>
      <c r="C3" s="5"/>
      <c r="D3" s="6"/>
    </row>
    <row r="4" ht="69" customHeight="1" spans="1:4">
      <c r="A4" s="7"/>
      <c r="B4" s="9" t="s">
        <v>348</v>
      </c>
      <c r="C4" s="10"/>
      <c r="D4" s="11"/>
    </row>
    <row r="5" ht="44.25" customHeight="1" spans="1:4">
      <c r="A5" s="12" t="s">
        <v>349</v>
      </c>
      <c r="B5" s="13" t="s">
        <v>3</v>
      </c>
      <c r="C5" s="12" t="s">
        <v>350</v>
      </c>
      <c r="D5" s="12" t="s">
        <v>351</v>
      </c>
    </row>
    <row r="6" ht="30" spans="1:4">
      <c r="A6" s="7">
        <v>1</v>
      </c>
      <c r="B6" s="14" t="s">
        <v>352</v>
      </c>
      <c r="C6" s="15" t="s">
        <v>353</v>
      </c>
      <c r="D6" s="16">
        <v>0.9995</v>
      </c>
    </row>
    <row r="7" spans="1:4">
      <c r="A7" s="7">
        <v>2</v>
      </c>
      <c r="B7" s="14" t="s">
        <v>354</v>
      </c>
      <c r="C7" s="15" t="s">
        <v>355</v>
      </c>
      <c r="D7" s="15" t="s">
        <v>356</v>
      </c>
    </row>
    <row r="8" spans="1:4">
      <c r="A8" s="7">
        <v>3</v>
      </c>
      <c r="B8" s="14" t="s">
        <v>357</v>
      </c>
      <c r="C8" s="15" t="s">
        <v>358</v>
      </c>
      <c r="D8" s="15" t="s">
        <v>359</v>
      </c>
    </row>
    <row r="9" spans="1:4">
      <c r="A9" s="7">
        <v>4</v>
      </c>
      <c r="B9" s="14" t="s">
        <v>360</v>
      </c>
      <c r="C9" s="15" t="s">
        <v>361</v>
      </c>
      <c r="D9" s="15" t="s">
        <v>359</v>
      </c>
    </row>
    <row r="10" ht="30" spans="1:4">
      <c r="A10" s="7">
        <v>5</v>
      </c>
      <c r="B10" s="14" t="s">
        <v>360</v>
      </c>
      <c r="C10" s="15" t="s">
        <v>362</v>
      </c>
      <c r="D10" s="15" t="s">
        <v>359</v>
      </c>
    </row>
    <row r="11" ht="30" spans="1:4">
      <c r="A11" s="7">
        <v>6</v>
      </c>
      <c r="B11" s="14" t="s">
        <v>363</v>
      </c>
      <c r="C11" s="15" t="s">
        <v>364</v>
      </c>
      <c r="D11" s="15" t="s">
        <v>365</v>
      </c>
    </row>
    <row r="12" spans="1:4">
      <c r="A12" s="7"/>
      <c r="B12" s="17"/>
      <c r="C12" s="7"/>
      <c r="D12" s="7"/>
    </row>
    <row r="13" spans="1:4">
      <c r="A13" s="7"/>
      <c r="B13" s="17"/>
      <c r="C13" s="7"/>
      <c r="D13" s="7"/>
    </row>
    <row r="14" ht="45" spans="1:4">
      <c r="A14" s="7"/>
      <c r="B14" s="18" t="s">
        <v>366</v>
      </c>
      <c r="C14" s="7"/>
      <c r="D14" s="7"/>
    </row>
    <row r="15" spans="1:4">
      <c r="A15" s="7"/>
      <c r="B15" s="14" t="s">
        <v>367</v>
      </c>
      <c r="C15" s="7"/>
      <c r="D15" s="7"/>
    </row>
    <row r="16" spans="1:4">
      <c r="A16" s="7"/>
      <c r="B16" s="14" t="s">
        <v>368</v>
      </c>
      <c r="C16" s="7"/>
      <c r="D16" s="7"/>
    </row>
    <row r="17" ht="60" spans="1:4">
      <c r="A17" s="7"/>
      <c r="B17" s="14" t="s">
        <v>369</v>
      </c>
      <c r="C17" s="7"/>
      <c r="D17" s="7"/>
    </row>
    <row r="18" s="2" customFormat="1" ht="30" spans="1:4">
      <c r="A18" s="12" t="s">
        <v>370</v>
      </c>
      <c r="B18" s="12" t="s">
        <v>371</v>
      </c>
      <c r="C18" s="12" t="s">
        <v>372</v>
      </c>
      <c r="D18" s="7"/>
    </row>
    <row r="19" spans="1:4">
      <c r="A19" s="15">
        <v>1</v>
      </c>
      <c r="B19" s="14" t="s">
        <v>373</v>
      </c>
      <c r="C19" s="7">
        <v>0</v>
      </c>
      <c r="D19" s="7"/>
    </row>
    <row r="20" spans="1:4">
      <c r="A20" s="7">
        <v>2</v>
      </c>
      <c r="B20" s="14" t="s">
        <v>374</v>
      </c>
      <c r="C20" s="7">
        <v>5</v>
      </c>
      <c r="D20" s="7"/>
    </row>
    <row r="21" spans="1:4">
      <c r="A21" s="7">
        <v>3</v>
      </c>
      <c r="B21" s="14" t="s">
        <v>375</v>
      </c>
      <c r="C21" s="7">
        <v>10</v>
      </c>
      <c r="D21" s="7"/>
    </row>
    <row r="22" spans="1:4">
      <c r="A22" s="7">
        <v>4</v>
      </c>
      <c r="B22" s="14" t="s">
        <v>376</v>
      </c>
      <c r="C22" s="7">
        <v>15</v>
      </c>
      <c r="D22" s="7"/>
    </row>
    <row r="23" spans="1:4">
      <c r="A23" s="7">
        <v>5</v>
      </c>
      <c r="B23" s="14" t="s">
        <v>377</v>
      </c>
      <c r="C23" s="7">
        <v>25</v>
      </c>
      <c r="D23" s="7"/>
    </row>
    <row r="24" spans="1:4">
      <c r="A24" s="7">
        <v>6</v>
      </c>
      <c r="B24" s="14" t="s">
        <v>378</v>
      </c>
      <c r="C24" s="7">
        <v>50</v>
      </c>
      <c r="D24" s="7"/>
    </row>
    <row r="25" spans="1:4">
      <c r="A25" s="7">
        <v>7</v>
      </c>
      <c r="B25" s="14" t="s">
        <v>379</v>
      </c>
      <c r="C25" s="7">
        <v>100</v>
      </c>
      <c r="D25" s="7"/>
    </row>
    <row r="26" spans="1:4">
      <c r="A26" s="7"/>
      <c r="B26" s="17"/>
      <c r="C26" s="7"/>
      <c r="D26" s="7"/>
    </row>
    <row r="27" ht="150" spans="1:4">
      <c r="A27" s="7"/>
      <c r="B27" s="19" t="s">
        <v>380</v>
      </c>
      <c r="C27" s="8"/>
      <c r="D27" s="8"/>
    </row>
  </sheetData>
  <mergeCells count="4">
    <mergeCell ref="A1:D1"/>
    <mergeCell ref="B2:D2"/>
    <mergeCell ref="A3:D3"/>
    <mergeCell ref="B4:D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Summary</vt:lpstr>
      <vt:lpstr>Eligibility</vt:lpstr>
      <vt:lpstr>Technical_Evaluation</vt:lpstr>
      <vt:lpstr>Brief_Scope</vt:lpstr>
      <vt:lpstr>Time_schedule</vt:lpstr>
      <vt:lpstr>Payment Terms</vt:lpstr>
      <vt:lpstr>LD_Penalty_SLA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 singh</dc:creator>
  <cp:lastModifiedBy>Vara_User</cp:lastModifiedBy>
  <dcterms:created xsi:type="dcterms:W3CDTF">2022-11-28T05:07:00Z</dcterms:created>
  <dcterms:modified xsi:type="dcterms:W3CDTF">2024-12-05T06:31:57Z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CD95E2E4C59344B7B68D6ED9E543A411</vt:lpwstr>
  </property>
  <property fmtid="{D5CDD505-2E9C-101B-9397-08002B2CF9AE}" pid="3" name="KSOProductBuildVer">
    <vt:lpwstr>2057-12.2.0.18639</vt:lpwstr>
  </property>
</Properties>
</file>