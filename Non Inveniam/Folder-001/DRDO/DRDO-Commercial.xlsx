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Other Costs" sheetId="2" r:id="rId5"/>
    <sheet state="visible" name="Customer Quote Price" sheetId="3" r:id="rId6"/>
    <sheet state="visible" name="Costing" sheetId="4" r:id="rId7"/>
    <sheet state="visible" name="Elapse sheet_Development" sheetId="5" r:id="rId8"/>
    <sheet state="visible" name="Copy of Elapse sheet_Developmen" sheetId="6" r:id="rId9"/>
    <sheet state="visible" name="Support" sheetId="7" r:id="rId10"/>
    <sheet state="visible" name="As per HR" sheetId="8" r:id="rId11"/>
    <sheet state="visible" name="Server and Tools" sheetId="9" r:id="rId12"/>
    <sheet state="hidden" name="P&amp;L" sheetId="10" r:id="rId13"/>
    <sheet state="hidden" name="Cash Flow" sheetId="11" r:id="rId14"/>
    <sheet state="visible" name="Delivery Sch &amp; SLA Penal" sheetId="12" r:id="rId15"/>
    <sheet state="visible" name="Person Day cost" sheetId="13" r:id="rId16"/>
    <sheet state="hidden" name="Comparative" sheetId="14" r:id="rId17"/>
    <sheet state="hidden" name="Effort Cost Sheet" sheetId="15" r:id="rId18"/>
  </sheets>
  <externalReferences>
    <externalReference r:id="rId19"/>
    <externalReference r:id="rId20"/>
  </externalReferences>
  <definedNames/>
  <calcPr/>
  <extLst>
    <ext uri="GoogleSheetsCustomDataVersion2">
      <go:sheetsCustomData xmlns:go="http://customooxmlschemas.google.com/" r:id="rId21" roundtripDataChecksum="M6lczOcQdoBJdLhYv6u6s1zZvH1CY+DvWtDOcyG2osI="/>
    </ext>
  </extLst>
</workbook>
</file>

<file path=xl/sharedStrings.xml><?xml version="1.0" encoding="utf-8"?>
<sst xmlns="http://schemas.openxmlformats.org/spreadsheetml/2006/main" count="716" uniqueCount="338">
  <si>
    <t>INR / in Lacs</t>
  </si>
  <si>
    <t>Particulars</t>
  </si>
  <si>
    <t>Sale Price</t>
  </si>
  <si>
    <t>Costs</t>
  </si>
  <si>
    <t>Margin</t>
  </si>
  <si>
    <t>On Sales</t>
  </si>
  <si>
    <t>Per Person Day in INR</t>
  </si>
  <si>
    <t>Per Person Day in USD</t>
  </si>
  <si>
    <t>Per Person Month in INR</t>
  </si>
  <si>
    <t>BOQ</t>
  </si>
  <si>
    <t>Travel</t>
  </si>
  <si>
    <t>Installation Charges</t>
  </si>
  <si>
    <t>PBG Charges</t>
  </si>
  <si>
    <t>Currently client has not requested for this.. If eqnuired then the margin will be: 17.33% ( calc: =-(((C24*1.18)*0.1)*0.07)*2)</t>
  </si>
  <si>
    <t>Contingency/Penalties</t>
  </si>
  <si>
    <t>Project Management Costs</t>
  </si>
  <si>
    <t>Misc Costs (Out of pocket)</t>
  </si>
  <si>
    <t>SG&amp;A</t>
  </si>
  <si>
    <t>Total</t>
  </si>
  <si>
    <t>Finance Charges</t>
  </si>
  <si>
    <t>PBT</t>
  </si>
  <si>
    <t>Taxes</t>
  </si>
  <si>
    <t>PAT</t>
  </si>
  <si>
    <t>Total Without GST</t>
  </si>
  <si>
    <t>Total With GST</t>
  </si>
  <si>
    <t>Total Revenue (without GST)</t>
  </si>
  <si>
    <t>Total Revenue (with GST)</t>
  </si>
  <si>
    <t>Installation Costs</t>
  </si>
  <si>
    <t>Transport/Travel</t>
  </si>
  <si>
    <t>PBG Calculation</t>
  </si>
  <si>
    <t>PBG Value</t>
  </si>
  <si>
    <t xml:space="preserve">PBG charges 8% </t>
  </si>
  <si>
    <t>Penalties</t>
  </si>
  <si>
    <t>Other Project Costs</t>
  </si>
  <si>
    <t>Gem Charges</t>
  </si>
  <si>
    <t>Project Management Cost</t>
  </si>
  <si>
    <t>Buying Rate of USD</t>
  </si>
  <si>
    <t>Out of Pocket</t>
  </si>
  <si>
    <t>Misc.Exp</t>
  </si>
  <si>
    <t>SGNA</t>
  </si>
  <si>
    <t>Customer Quote Price</t>
  </si>
  <si>
    <t>Amount (Rs.)</t>
  </si>
  <si>
    <t>Sl.No</t>
  </si>
  <si>
    <t>Description</t>
  </si>
  <si>
    <t>PD</t>
  </si>
  <si>
    <t>Total PD Cost</t>
  </si>
  <si>
    <t>Total Price without GST</t>
  </si>
  <si>
    <t>GST %</t>
  </si>
  <si>
    <t>Total Price with GST</t>
  </si>
  <si>
    <t>Support</t>
  </si>
  <si>
    <t>Development</t>
  </si>
  <si>
    <t>TATA</t>
  </si>
  <si>
    <t>GRID INDIA</t>
  </si>
  <si>
    <t>Inveniam</t>
  </si>
  <si>
    <t>Phase</t>
  </si>
  <si>
    <t>Role</t>
  </si>
  <si>
    <t>Grade</t>
  </si>
  <si>
    <t>PW</t>
  </si>
  <si>
    <t>Rate</t>
  </si>
  <si>
    <t>Loaded Rate</t>
  </si>
  <si>
    <t>Loaded Cost</t>
  </si>
  <si>
    <t>Price</t>
  </si>
  <si>
    <t>cost</t>
  </si>
  <si>
    <t>Cost</t>
  </si>
  <si>
    <t>BRS</t>
  </si>
  <si>
    <t>PM</t>
  </si>
  <si>
    <t>BA</t>
  </si>
  <si>
    <t>TL</t>
  </si>
  <si>
    <t>SIT</t>
  </si>
  <si>
    <t>G6</t>
  </si>
  <si>
    <t>Go lIve(Integration )</t>
  </si>
  <si>
    <t>Post Go-live Support</t>
  </si>
  <si>
    <t xml:space="preserve">Development </t>
  </si>
  <si>
    <t>BCE</t>
  </si>
  <si>
    <t>Support cost/Annum</t>
  </si>
  <si>
    <t>of Price per year</t>
  </si>
  <si>
    <t>Resources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</si>
  <si>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</si>
  <si>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</si>
  <si>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</si>
  <si>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</si>
  <si>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</si>
  <si>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</si>
  <si>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</si>
  <si>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</si>
  <si>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</si>
  <si>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</si>
  <si>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</si>
  <si>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</si>
  <si>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</si>
  <si>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</si>
  <si>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</si>
  <si>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</si>
  <si>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</si>
  <si>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</si>
  <si>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</si>
  <si>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</si>
  <si>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</si>
  <si>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</si>
  <si>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</si>
  <si>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</si>
  <si>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</si>
  <si>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</si>
  <si>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</si>
  <si>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</si>
  <si>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FE-J</t>
  </si>
  <si>
    <t>FE-S</t>
  </si>
  <si>
    <t>BE-J</t>
  </si>
  <si>
    <t>BE-S</t>
  </si>
  <si>
    <t>BC-J</t>
  </si>
  <si>
    <t>BC-S</t>
  </si>
  <si>
    <t>QA</t>
  </si>
  <si>
    <t>UI/UX</t>
  </si>
  <si>
    <t>UAT+Bug Fixing</t>
  </si>
  <si>
    <t>DevOps</t>
  </si>
  <si>
    <t>Post GoLive(Hypercare)</t>
  </si>
  <si>
    <t>BCE -J3</t>
  </si>
  <si>
    <t>BCE - J2</t>
  </si>
  <si>
    <t>TOTAL</t>
  </si>
  <si>
    <t>TL/Architect</t>
  </si>
  <si>
    <t>3 years support post Go-live and 1 month warranty</t>
  </si>
  <si>
    <t>Y1</t>
  </si>
  <si>
    <t>Y2</t>
  </si>
  <si>
    <t>Y3</t>
  </si>
  <si>
    <t>Q1</t>
  </si>
  <si>
    <t>Q2</t>
  </si>
  <si>
    <t>Q3</t>
  </si>
  <si>
    <t>Q4</t>
  </si>
  <si>
    <t>Pricing of Manpower Requirement for Tata Steel Blockchain Project</t>
  </si>
  <si>
    <t>S/No.</t>
  </si>
  <si>
    <t>Level</t>
  </si>
  <si>
    <t>Experience in years</t>
  </si>
  <si>
    <t>Location</t>
  </si>
  <si>
    <t>Current Annual CTC</t>
  </si>
  <si>
    <t>Minimum 35% Increase expected. Hence Candidate Cost</t>
  </si>
  <si>
    <t>Monthly Cost</t>
  </si>
  <si>
    <t>Manday Cost (A)</t>
  </si>
  <si>
    <t>Project Manager (1) - PM</t>
  </si>
  <si>
    <t>Senior</t>
  </si>
  <si>
    <t>10 Years</t>
  </si>
  <si>
    <t>Hybrid &amp; Remote</t>
  </si>
  <si>
    <t>Used in Model</t>
  </si>
  <si>
    <t>Business Analyst (2) - BA</t>
  </si>
  <si>
    <t>5 Years</t>
  </si>
  <si>
    <t>Blockchain Developer-BCE -J3</t>
  </si>
  <si>
    <t>BCE - J3</t>
  </si>
  <si>
    <t>Middle</t>
  </si>
  <si>
    <t>Blockchain Developer-BCE -S</t>
  </si>
  <si>
    <t>BCE - S</t>
  </si>
  <si>
    <t>8 Years</t>
  </si>
  <si>
    <t>DevOps Cloud (1) - DevOps</t>
  </si>
  <si>
    <t>Quality Assurance (Manual &amp; Automation) (2) - QA</t>
  </si>
  <si>
    <t>Mddle</t>
  </si>
  <si>
    <t>Backend Engineer(2)-BE-S</t>
  </si>
  <si>
    <t>Backend Engineer(1)-BE-J</t>
  </si>
  <si>
    <t>Junior</t>
  </si>
  <si>
    <t>2-3 yrs</t>
  </si>
  <si>
    <t>Frontend Engineer(2)-FE-J</t>
  </si>
  <si>
    <t>2-3yrs</t>
  </si>
  <si>
    <t>Frontend Engineer(1)- FE-S</t>
  </si>
  <si>
    <t>5 yrs</t>
  </si>
  <si>
    <t>Blockchain Developer-BCE - J2</t>
  </si>
  <si>
    <t>BCE-J2</t>
  </si>
  <si>
    <t>4 yrs</t>
  </si>
  <si>
    <t>Blockchain Developer-BCE - J1</t>
  </si>
  <si>
    <t>BCE-J1</t>
  </si>
  <si>
    <t>Technical/Team Lead/Tech Architect- TL</t>
  </si>
  <si>
    <t>7-8 yrs</t>
  </si>
  <si>
    <t>Project Manager (1)</t>
  </si>
  <si>
    <t>Business Analyst (2)</t>
  </si>
  <si>
    <t>Blockchain Developer (2)</t>
  </si>
  <si>
    <t>Blockchain Developer (1)</t>
  </si>
  <si>
    <t>DevOps Cloud (1)</t>
  </si>
  <si>
    <t>Quality Assurance (Manual &amp; Automation) (2)</t>
  </si>
  <si>
    <t>Env</t>
  </si>
  <si>
    <t>Resource Type</t>
  </si>
  <si>
    <t>Resource Description</t>
  </si>
  <si>
    <t>Remarks</t>
  </si>
  <si>
    <t>Dev</t>
  </si>
  <si>
    <t>VM - Web Server</t>
  </si>
  <si>
    <t>2 vCPU, 8 GB RAM, 100 GB SSD</t>
  </si>
  <si>
    <t>Memory Optimized</t>
  </si>
  <si>
    <t>VM - Blockchain</t>
  </si>
  <si>
    <t>General Purpose or Memory Optimized</t>
  </si>
  <si>
    <t>UAT</t>
  </si>
  <si>
    <t>Prod</t>
  </si>
  <si>
    <t>4 vCPU, 16 GB RAM, 100 GB SSD</t>
  </si>
  <si>
    <t>All</t>
  </si>
  <si>
    <t>SMTP</t>
  </si>
  <si>
    <t>SMS Gateway</t>
  </si>
  <si>
    <t>Project Management</t>
  </si>
  <si>
    <t>Cost/user /month(USD)</t>
  </si>
  <si>
    <t>Cost/month(USD)</t>
  </si>
  <si>
    <t>Total(USD)</t>
  </si>
  <si>
    <t>PMO</t>
  </si>
  <si>
    <t>Jira</t>
  </si>
  <si>
    <t>10 Liscencs</t>
  </si>
  <si>
    <t>Repository</t>
  </si>
  <si>
    <t>Github</t>
  </si>
  <si>
    <t>Profit &amp; Loss Statement</t>
  </si>
  <si>
    <t>INR/in lakhs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</si>
  <si>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</si>
  <si>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</si>
  <si>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</si>
  <si>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</si>
  <si>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</si>
  <si>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</si>
  <si>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</si>
  <si>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</si>
  <si>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</si>
  <si>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</si>
  <si>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</si>
  <si>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</si>
  <si>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</si>
  <si>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Income</t>
  </si>
  <si>
    <t>Manpower</t>
  </si>
  <si>
    <t>Expenses</t>
  </si>
  <si>
    <t>EBIDTA</t>
  </si>
  <si>
    <t>EBIDTA %</t>
  </si>
  <si>
    <t>PBT %</t>
  </si>
  <si>
    <t>PAT %</t>
  </si>
  <si>
    <t>Cash Flow Statement</t>
  </si>
  <si>
    <t>Receipts</t>
  </si>
  <si>
    <t>Software</t>
  </si>
  <si>
    <t>Hardware</t>
  </si>
  <si>
    <t>License</t>
  </si>
  <si>
    <t>Implementation</t>
  </si>
  <si>
    <t>AMC</t>
  </si>
  <si>
    <t>ATS</t>
  </si>
  <si>
    <t>Onsite Support / Manpower</t>
  </si>
  <si>
    <t>Payments</t>
  </si>
  <si>
    <t>Misc-Out of Pocket</t>
  </si>
  <si>
    <t>PBG Charges (to Bank)</t>
  </si>
  <si>
    <t>GST</t>
  </si>
  <si>
    <t>Cash outflow</t>
  </si>
  <si>
    <t>FD for PBG</t>
  </si>
  <si>
    <t>Loan</t>
  </si>
  <si>
    <t>Disbursement</t>
  </si>
  <si>
    <t>Repayment</t>
  </si>
  <si>
    <t>Balance</t>
  </si>
  <si>
    <t>Net Cash (PBT)</t>
  </si>
  <si>
    <t>Cumm. Cash</t>
  </si>
  <si>
    <t>GST Working</t>
  </si>
  <si>
    <t>GST Outflow</t>
  </si>
  <si>
    <t>GST Inflow</t>
  </si>
  <si>
    <t>GST Liability</t>
  </si>
  <si>
    <t>GST Credit</t>
  </si>
  <si>
    <t>Net GST</t>
  </si>
  <si>
    <t>IV: Project Completion Schedule</t>
  </si>
  <si>
    <t>This project is of utmost importance to AEML. The delivery and implementation timeline would be a key yardstick in the selection criteria of a suitable partner / bidder.</t>
  </si>
  <si>
    <t>I. All Schedules will be calculated from the Zero Date i.e. Date of issue of Purchase Order or LOI whichever is issued earlier.</t>
  </si>
  <si>
    <t>II. Project shall be completed within timelines as defined in Section – 6.1 from the date of PO or LOI whichever is issued earlier. Complete / part delivery and deployment stages of the requisite use cases/deliverables shall be as per mutual agreement between AEML and Bidder.</t>
  </si>
  <si>
    <t>III. Delivery as per the purchase order must be made before submitting the invoice for payment.</t>
  </si>
  <si>
    <t>Vendor to provide complete bill of materials with part / Component details which will be required to identify proper delivery.</t>
  </si>
  <si>
    <t>Project Delivery Schedule</t>
  </si>
  <si>
    <t>The delivery and implementation timeline for the entire project would be a key yardstick in the selection criteria of a suitable partner / vendor.</t>
  </si>
  <si>
    <t>S.N.</t>
  </si>
  <si>
    <t>Project Milestone</t>
  </si>
  <si>
    <t>Time Duration for completion (from start of the project)</t>
  </si>
  <si>
    <t>A</t>
  </si>
  <si>
    <t xml:space="preserve"> Green Energy Certificate Solution</t>
  </si>
  <si>
    <t>Overall Project Implementation</t>
  </si>
  <si>
    <t>6 months</t>
  </si>
  <si>
    <t> Requirements Analysis, BRD Approval, Architecture Sign-off</t>
  </si>
  <si>
    <t>1 month</t>
  </si>
  <si>
    <t> Blockchain Solution Development (Web App and Mobile App)</t>
  </si>
  <si>
    <t>3 months</t>
  </si>
  <si>
    <t> Integration with AEML systems and Third-Party System</t>
  </si>
  <si>
    <t>4 months</t>
  </si>
  <si>
    <t> UAT</t>
  </si>
  <si>
    <t>5 months</t>
  </si>
  <si>
    <t> Security Testing and VAPT Clouser</t>
  </si>
  <si>
    <t> User Training &amp; Documentation</t>
  </si>
  <si>
    <t> Go-Live</t>
  </si>
  <si>
    <t> Post Go-Live Hypercare Support Period</t>
  </si>
  <si>
    <t>+1 Month</t>
  </si>
  <si>
    <t xml:space="preserve">5 Section </t>
  </si>
  <si>
    <t xml:space="preserve"> V: Service level Agreement</t>
  </si>
  <si>
    <t>Penalties for the SLA Breach</t>
  </si>
  <si>
    <t>Software Service/Solution Uptime &amp; Penalty:</t>
  </si>
  <si>
    <t>Sr. No.</t>
  </si>
  <si>
    <t>Monthly Uptime Penalty</t>
  </si>
  <si>
    <t>Penalty</t>
  </si>
  <si>
    <t>99.5% to 99.9%</t>
  </si>
  <si>
    <t>99% to 99.5%</t>
  </si>
  <si>
    <t>&lt;99%</t>
  </si>
  <si>
    <t>5.2.3</t>
  </si>
  <si>
    <t>The abovementioned penalty will be a percentage of yearly AMC amount.</t>
  </si>
  <si>
    <t>5.2.5</t>
  </si>
  <si>
    <t>Resolution Time &amp; Penalty:</t>
  </si>
  <si>
    <t>Service Level Target</t>
  </si>
  <si>
    <t>Criticality</t>
  </si>
  <si>
    <t>Performance/ Accuracy</t>
  </si>
  <si>
    <t>Resolution of technical issues (Solution/API/Data)</t>
  </si>
  <si>
    <t>High</t>
  </si>
  <si>
    <t>4-8 hours</t>
  </si>
  <si>
    <t>Medium</t>
  </si>
  <si>
    <t>8-24 hours</t>
  </si>
  <si>
    <t>Low</t>
  </si>
  <si>
    <t>&gt;24 hours</t>
  </si>
  <si>
    <t>Initial response for all types of issues reported (Attending the issues)</t>
  </si>
  <si>
    <t>&gt; 1 hour</t>
  </si>
  <si>
    <t>5.2.6</t>
  </si>
  <si>
    <t>AMC Payable for every quarter &amp; same shall be debited from the quarterly AMC payment.</t>
  </si>
  <si>
    <t>5.2.7</t>
  </si>
  <si>
    <t>Penalty applicable to be capped at 5%</t>
  </si>
  <si>
    <t>5.2.10</t>
  </si>
  <si>
    <t xml:space="preserve"> Penalty Capping and Recovery</t>
  </si>
  <si>
    <t>Total penalty in any quarter shall be capped at 5% of the total Quarterly AMC.</t>
  </si>
  <si>
    <t>Penalties will be applied as deductions from the quarterly AMC invoice raised by the vendor</t>
  </si>
  <si>
    <t>Executive Grade</t>
  </si>
  <si>
    <t>Executive Deployed</t>
  </si>
  <si>
    <t>Annual Cost</t>
  </si>
  <si>
    <t>Replacemen cost + Overheads if any</t>
  </si>
  <si>
    <t>G7</t>
  </si>
  <si>
    <t>G5</t>
  </si>
  <si>
    <t>G4</t>
  </si>
  <si>
    <t>G3</t>
  </si>
  <si>
    <t>G2</t>
  </si>
  <si>
    <t>G1</t>
  </si>
  <si>
    <t>**</t>
  </si>
  <si>
    <t>22 days a Month</t>
  </si>
  <si>
    <t>GRID INDIA Rate @ 60% Margins</t>
  </si>
  <si>
    <t>Tata Steel Rate</t>
  </si>
  <si>
    <t>Inveniam Price</t>
  </si>
  <si>
    <t>Phases Of Development</t>
  </si>
  <si>
    <t xml:space="preserve">Manday Cost </t>
  </si>
  <si>
    <t>Manday Utilised</t>
  </si>
  <si>
    <t>Total Manday Cost</t>
  </si>
  <si>
    <t xml:space="preserve">Phase 1: </t>
  </si>
  <si>
    <t>SRS: Software Requirement Specification Signoff</t>
  </si>
  <si>
    <t>Phase 2:</t>
  </si>
  <si>
    <t>Platform Development &amp; Intergration</t>
  </si>
  <si>
    <t>Phase 3:</t>
  </si>
  <si>
    <t>Testing &amp; Quality Assurance &amp; UAT</t>
  </si>
  <si>
    <t xml:space="preserve">Phase 4: </t>
  </si>
  <si>
    <t>Deployment and Go-live</t>
  </si>
  <si>
    <t>Phase 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</si>
</sst>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_(* #,##0.00_);_(* \(#,##0.00\);_(* &quot;-&quot;??_);_(@_)"/>
    <numFmt numFmtId="165" formatCode="_(* #,##0_);_(* \(#,##0\);_(* &quot;-&quot;??_);_(@_)"/>
    <numFmt numFmtId="166" formatCode="_ * #,##0.00_ ;_ * \-#,##0.00_ ;_ * \-??_ ;_ @_ "/>
    <numFmt numFmtId="167" formatCode="_ * #,##0.00_ ;_ * \-#,##0.00_ ;_ * &quot;-&quot;??_ ;_ @_ "/>
    <numFmt numFmtId="168" formatCode="_-* #,##0.00_-;\-* #,##0.00_-;_-* &quot;-&quot;??_-;_-@"/>
    <numFmt numFmtId="169" formatCode="_ * #,##0_ ;_ * \-#,##0_ ;_ * &quot;-&quot;??_ ;_ @_ "/>
    <numFmt numFmtId="170" formatCode="[$-409]mmm/yy"/>
    <numFmt numFmtId="171" formatCode="_-* #,##0_-;\-* #,##0_-;_-* &quot;-&quot;??_-;_-@"/>
    <numFmt numFmtId="172" formatCode="#,##0_ ;[Red]\-#,##0\ "/>
  </numFmts>
  <fonts count="35">
    <font>
      <sz val="11.0"/>
      <color theme="1"/>
      <name val="Calibri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sz val="11.0"/>
      <color theme="1"/>
      <name val="Calibri"/>
    </font>
    <font>
      <sz val="11.0"/>
      <color rgb="FFFFFFFF"/>
      <name val="Calibri"/>
    </font>
    <font>
      <b/>
      <sz val="11.0"/>
      <color theme="1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sz val="11.0"/>
      <color rgb="FF8EAADB"/>
      <name val="Calibri"/>
    </font>
    <font>
      <b/>
      <u/>
      <sz val="11.0"/>
      <color theme="1"/>
      <name val="Calibri"/>
    </font>
    <font>
      <sz val="10.0"/>
      <color theme="1"/>
      <name val="Calibri"/>
    </font>
    <font>
      <b/>
      <sz val="11.0"/>
      <color theme="0"/>
      <name val="Calibri"/>
    </font>
    <font>
      <b/>
      <sz val="8.0"/>
      <color theme="0"/>
      <name val="Calibri"/>
    </font>
    <font/>
    <font>
      <color theme="1"/>
      <name val="Arial"/>
    </font>
    <font>
      <sz val="9.0"/>
      <color theme="1"/>
      <name val="Arial"/>
    </font>
    <font>
      <sz val="9.0"/>
      <color theme="1"/>
      <name val="Aptos Narrow"/>
    </font>
    <font>
      <sz val="11.0"/>
      <color theme="1"/>
      <name val="Arial"/>
    </font>
    <font>
      <sz val="10.0"/>
      <color theme="1"/>
      <name val="Arial"/>
    </font>
    <font>
      <b/>
      <u/>
      <sz val="11.0"/>
      <color theme="1"/>
      <name val="Calibri"/>
    </font>
    <font>
      <b/>
      <sz val="10.0"/>
      <color theme="1"/>
      <name val="Calibri"/>
    </font>
    <font>
      <sz val="9.0"/>
      <color theme="1"/>
      <name val="Calibri"/>
    </font>
    <font>
      <sz val="11.0"/>
      <color rgb="FF2E75B5"/>
      <name val="Calibri"/>
    </font>
    <font>
      <b/>
      <i/>
      <sz val="10.0"/>
      <color theme="1"/>
      <name val="Calibri"/>
    </font>
    <font>
      <b/>
      <i/>
      <sz val="11.0"/>
      <color theme="1"/>
      <name val="Calibri"/>
    </font>
    <font>
      <color theme="1"/>
      <name val="Calibri"/>
    </font>
    <font>
      <b/>
      <sz val="12.0"/>
      <color rgb="FFFFFFFF"/>
      <name val="Arial"/>
    </font>
    <font>
      <b/>
      <sz val="11.0"/>
      <color theme="1"/>
      <name val="Arial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i/>
      <sz val="11.0"/>
      <color theme="0"/>
      <name val="Calibri"/>
    </font>
    <font>
      <sz val="11.0"/>
      <color rgb="FF203864"/>
      <name val="Calibri"/>
    </font>
    <font>
      <b/>
      <sz val="11.0"/>
      <color rgb="FF203864"/>
      <name val="Calibri"/>
    </font>
    <font>
      <u/>
      <sz val="11.0"/>
      <color theme="10"/>
      <name val="Calibri"/>
    </font>
  </fonts>
  <fills count="19">
    <fill>
      <patternFill patternType="none"/>
    </fill>
    <fill>
      <patternFill patternType="lightGray"/>
    </fill>
    <fill>
      <patternFill patternType="solid">
        <fgColor rgb="FFAEABAB"/>
        <bgColor rgb="FFAEABAB"/>
      </patternFill>
    </fill>
    <fill>
      <patternFill patternType="solid">
        <fgColor rgb="FFD0CECE"/>
        <bgColor rgb="FFD0CECE"/>
      </patternFill>
    </fill>
    <fill>
      <patternFill patternType="solid">
        <fgColor rgb="FFA5A5A5"/>
        <bgColor rgb="FFA5A5A5"/>
      </patternFill>
    </fill>
    <fill>
      <patternFill patternType="solid">
        <fgColor rgb="FFFFFFFF"/>
        <bgColor rgb="FFFFFFFF"/>
      </patternFill>
    </fill>
    <fill>
      <patternFill patternType="solid">
        <fgColor rgb="FFC8C8C8"/>
        <bgColor rgb="FFC8C8C8"/>
      </patternFill>
    </fill>
    <fill>
      <patternFill patternType="solid">
        <fgColor rgb="FFE6B8AF"/>
        <bgColor rgb="FFE6B8AF"/>
      </patternFill>
    </fill>
    <fill>
      <patternFill patternType="solid">
        <fgColor rgb="FFFCE5CD"/>
        <bgColor rgb="FFFCE5CD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3D85C6"/>
        <bgColor rgb="FF3D85C6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FFE598"/>
        <bgColor rgb="FFFFE598"/>
      </patternFill>
    </fill>
    <fill>
      <patternFill patternType="solid">
        <fgColor rgb="FFB4C6E7"/>
        <bgColor rgb="FFB4C6E7"/>
      </patternFill>
    </fill>
  </fills>
  <borders count="6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/>
      <bottom/>
    </border>
    <border>
      <left/>
      <right/>
      <bottom/>
    </border>
    <border>
      <left style="thin">
        <color rgb="FF000000"/>
      </left>
      <right/>
      <top/>
    </border>
    <border>
      <left/>
      <right/>
      <top/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right"/>
    </xf>
    <xf borderId="0" fillId="0" fontId="1" numFmtId="0" xfId="0" applyAlignment="1" applyFont="1">
      <alignment horizontal="left"/>
    </xf>
    <xf borderId="1" fillId="0" fontId="2" numFmtId="0" xfId="0" applyBorder="1" applyFont="1"/>
    <xf borderId="1" fillId="2" fontId="3" numFmtId="0" xfId="0" applyAlignment="1" applyBorder="1" applyFill="1" applyFont="1">
      <alignment horizontal="center"/>
    </xf>
    <xf borderId="1" fillId="0" fontId="4" numFmtId="0" xfId="0" applyAlignment="1" applyBorder="1" applyFont="1">
      <alignment shrinkToFit="0" vertical="top" wrapText="1"/>
    </xf>
    <xf borderId="1" fillId="0" fontId="1" numFmtId="164" xfId="0" applyAlignment="1" applyBorder="1" applyFont="1" applyNumberFormat="1">
      <alignment vertical="center"/>
    </xf>
    <xf borderId="1" fillId="0" fontId="1" numFmtId="9" xfId="0" applyAlignment="1" applyBorder="1" applyFont="1" applyNumberFormat="1">
      <alignment horizontal="center" vertical="center"/>
    </xf>
    <xf borderId="1" fillId="0" fontId="1" numFmtId="165" xfId="0" applyBorder="1" applyFont="1" applyNumberFormat="1"/>
    <xf borderId="0" fillId="0" fontId="1" numFmtId="10" xfId="0" applyFont="1" applyNumberFormat="1"/>
    <xf borderId="1" fillId="0" fontId="1" numFmtId="0" xfId="0" applyBorder="1" applyFont="1"/>
    <xf borderId="1" fillId="0" fontId="1" numFmtId="166" xfId="0" applyBorder="1" applyFont="1" applyNumberFormat="1"/>
    <xf borderId="1" fillId="0" fontId="1" numFmtId="164" xfId="0" applyBorder="1" applyFont="1" applyNumberFormat="1"/>
    <xf borderId="1" fillId="0" fontId="1" numFmtId="9" xfId="0" applyBorder="1" applyFont="1" applyNumberFormat="1"/>
    <xf borderId="0" fillId="0" fontId="2" numFmtId="0" xfId="0" applyFont="1"/>
    <xf borderId="0" fillId="0" fontId="5" numFmtId="0" xfId="0" applyAlignment="1" applyFont="1">
      <alignment shrinkToFit="0" wrapText="1"/>
    </xf>
    <xf borderId="0" fillId="0" fontId="1" numFmtId="164" xfId="0" applyFont="1" applyNumberFormat="1"/>
    <xf borderId="0" fillId="0" fontId="1" numFmtId="9" xfId="0" applyFont="1" applyNumberFormat="1"/>
    <xf borderId="1" fillId="3" fontId="2" numFmtId="0" xfId="0" applyAlignment="1" applyBorder="1" applyFill="1" applyFont="1">
      <alignment horizontal="center"/>
    </xf>
    <xf borderId="1" fillId="3" fontId="2" numFmtId="164" xfId="0" applyBorder="1" applyFont="1" applyNumberFormat="1"/>
    <xf borderId="1" fillId="3" fontId="2" numFmtId="9" xfId="0" applyAlignment="1" applyBorder="1" applyFont="1" applyNumberFormat="1">
      <alignment horizontal="center"/>
    </xf>
    <xf borderId="0" fillId="0" fontId="1" numFmtId="167" xfId="0" applyFont="1" applyNumberFormat="1"/>
    <xf borderId="0" fillId="0" fontId="1" numFmtId="166" xfId="0" applyFont="1" applyNumberFormat="1"/>
    <xf borderId="0" fillId="0" fontId="1" numFmtId="2" xfId="0" applyFont="1" applyNumberFormat="1"/>
    <xf borderId="0" fillId="0" fontId="1" numFmtId="168" xfId="0" applyFont="1" applyNumberFormat="1"/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wrapText="1"/>
    </xf>
    <xf borderId="1" fillId="0" fontId="6" numFmtId="164" xfId="0" applyBorder="1" applyFont="1" applyNumberFormat="1"/>
    <xf borderId="1" fillId="0" fontId="4" numFmtId="0" xfId="0" applyAlignment="1" applyBorder="1" applyFont="1">
      <alignment shrinkToFit="0" wrapText="1"/>
    </xf>
    <xf borderId="1" fillId="0" fontId="4" numFmtId="164" xfId="0" applyBorder="1" applyFont="1" applyNumberFormat="1"/>
    <xf borderId="1" fillId="3" fontId="7" numFmtId="0" xfId="0" applyAlignment="1" applyBorder="1" applyFont="1">
      <alignment shrinkToFit="0" wrapText="1"/>
    </xf>
    <xf borderId="0" fillId="0" fontId="4" numFmtId="165" xfId="0" applyAlignment="1" applyFont="1" applyNumberFormat="1">
      <alignment shrinkToFit="0" wrapText="1"/>
    </xf>
    <xf borderId="1" fillId="2" fontId="8" numFmtId="0" xfId="0" applyAlignment="1" applyBorder="1" applyFont="1">
      <alignment shrinkToFit="0" wrapText="1"/>
    </xf>
    <xf borderId="0" fillId="0" fontId="4" numFmtId="0" xfId="0" applyFont="1"/>
    <xf borderId="0" fillId="0" fontId="9" numFmtId="9" xfId="0" applyFont="1" applyNumberFormat="1"/>
    <xf borderId="0" fillId="0" fontId="6" numFmtId="0" xfId="0" applyFont="1"/>
    <xf borderId="0" fillId="0" fontId="4" numFmtId="165" xfId="0" applyFont="1" applyNumberFormat="1"/>
    <xf borderId="1" fillId="0" fontId="4" numFmtId="0" xfId="0" applyAlignment="1" applyBorder="1" applyFont="1">
      <alignment shrinkToFit="0" vertical="center" wrapText="1"/>
    </xf>
    <xf borderId="1" fillId="0" fontId="4" numFmtId="164" xfId="0" applyAlignment="1" applyBorder="1" applyFont="1" applyNumberFormat="1">
      <alignment vertical="center"/>
    </xf>
    <xf borderId="1" fillId="2" fontId="6" numFmtId="0" xfId="0" applyAlignment="1" applyBorder="1" applyFont="1">
      <alignment shrinkToFit="0" wrapText="1"/>
    </xf>
    <xf borderId="0" fillId="0" fontId="4" numFmtId="164" xfId="0" applyFont="1" applyNumberFormat="1"/>
    <xf borderId="0" fillId="0" fontId="6" numFmtId="10" xfId="0" applyFont="1" applyNumberFormat="1"/>
    <xf borderId="2" fillId="2" fontId="6" numFmtId="0" xfId="0" applyAlignment="1" applyBorder="1" applyFont="1">
      <alignment shrinkToFit="0" wrapText="1"/>
    </xf>
    <xf borderId="3" fillId="0" fontId="6" numFmtId="164" xfId="0" applyBorder="1" applyFont="1" applyNumberFormat="1"/>
    <xf borderId="0" fillId="0" fontId="10" numFmtId="0" xfId="0" applyAlignment="1" applyFont="1">
      <alignment horizontal="left"/>
    </xf>
    <xf borderId="0" fillId="0" fontId="4" numFmtId="0" xfId="0" applyAlignment="1" applyFont="1">
      <alignment horizontal="center"/>
    </xf>
    <xf borderId="4" fillId="4" fontId="6" numFmtId="0" xfId="0" applyAlignment="1" applyBorder="1" applyFill="1" applyFont="1">
      <alignment horizontal="center" shrinkToFit="0" vertical="center" wrapText="1"/>
    </xf>
    <xf borderId="5" fillId="4" fontId="6" numFmtId="0" xfId="0" applyAlignment="1" applyBorder="1" applyFont="1">
      <alignment horizontal="center" shrinkToFit="0" vertical="center" wrapText="1"/>
    </xf>
    <xf borderId="6" fillId="4" fontId="6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9" xfId="0" applyAlignment="1" applyBorder="1" applyFont="1" applyNumberFormat="1">
      <alignment horizontal="center" shrinkToFit="0" vertical="center" wrapText="1"/>
    </xf>
    <xf borderId="8" fillId="0" fontId="6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left" shrinkToFit="0" vertical="center" wrapText="1"/>
    </xf>
    <xf borderId="1" fillId="0" fontId="4" numFmtId="1" xfId="0" applyAlignment="1" applyBorder="1" applyFont="1" applyNumberFormat="1">
      <alignment horizontal="center" shrinkToFit="0" vertical="center" wrapText="1"/>
    </xf>
    <xf borderId="1" fillId="0" fontId="4" numFmtId="165" xfId="0" applyAlignment="1" applyBorder="1" applyFont="1" applyNumberFormat="1">
      <alignment horizontal="center" shrinkToFit="0" vertical="center" wrapText="1"/>
    </xf>
    <xf borderId="8" fillId="0" fontId="4" numFmtId="165" xfId="0" applyAlignment="1" applyBorder="1" applyFont="1" applyNumberFormat="1">
      <alignment horizontal="center" shrinkToFit="0" vertical="center" wrapText="1"/>
    </xf>
    <xf borderId="9" fillId="4" fontId="6" numFmtId="0" xfId="0" applyAlignment="1" applyBorder="1" applyFont="1">
      <alignment horizontal="center" vertical="center"/>
    </xf>
    <xf borderId="10" fillId="4" fontId="6" numFmtId="0" xfId="0" applyAlignment="1" applyBorder="1" applyFont="1">
      <alignment shrinkToFit="0" vertical="top" wrapText="1"/>
    </xf>
    <xf borderId="10" fillId="4" fontId="2" numFmtId="1" xfId="0" applyAlignment="1" applyBorder="1" applyFont="1" applyNumberFormat="1">
      <alignment horizontal="center" shrinkToFit="1" vertical="center" wrapText="0"/>
    </xf>
    <xf borderId="10" fillId="4" fontId="2" numFmtId="165" xfId="0" applyAlignment="1" applyBorder="1" applyFont="1" applyNumberFormat="1">
      <alignment horizontal="center" shrinkToFit="1" vertical="center" wrapText="0"/>
    </xf>
    <xf borderId="11" fillId="4" fontId="2" numFmtId="165" xfId="0" applyAlignment="1" applyBorder="1" applyFont="1" applyNumberFormat="1">
      <alignment horizontal="center" shrinkToFit="1" vertical="center" wrapText="0"/>
    </xf>
    <xf borderId="0" fillId="0" fontId="6" numFmtId="0" xfId="0" applyAlignment="1" applyFont="1">
      <alignment horizontal="left" shrinkToFit="0" vertical="top" wrapText="1"/>
    </xf>
    <xf borderId="0" fillId="0" fontId="11" numFmtId="0" xfId="0" applyAlignment="1" applyFont="1">
      <alignment horizontal="left" vertical="center"/>
    </xf>
    <xf borderId="0" fillId="0" fontId="4" numFmtId="169" xfId="0" applyFont="1" applyNumberForma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shrinkToFit="0" vertical="top" wrapText="1"/>
    </xf>
    <xf borderId="0" fillId="0" fontId="4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left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shrinkToFit="0" wrapText="1"/>
    </xf>
    <xf borderId="0" fillId="0" fontId="4" numFmtId="9" xfId="0" applyFont="1" applyNumberFormat="1"/>
    <xf borderId="12" fillId="5" fontId="4" numFmtId="0" xfId="0" applyBorder="1" applyFill="1" applyFont="1"/>
    <xf borderId="0" fillId="0" fontId="4" numFmtId="9" xfId="0" applyAlignment="1" applyFont="1" applyNumberFormat="1">
      <alignment horizontal="right"/>
    </xf>
    <xf borderId="0" fillId="0" fontId="6" numFmtId="0" xfId="0" applyAlignment="1" applyFont="1">
      <alignment horizontal="center"/>
    </xf>
    <xf borderId="13" fillId="2" fontId="12" numFmtId="0" xfId="0" applyAlignment="1" applyBorder="1" applyFont="1">
      <alignment shrinkToFit="0" wrapText="1"/>
    </xf>
    <xf borderId="14" fillId="2" fontId="12" numFmtId="0" xfId="0" applyAlignment="1" applyBorder="1" applyFont="1">
      <alignment shrinkToFit="0" wrapText="1"/>
    </xf>
    <xf borderId="15" fillId="2" fontId="13" numFmtId="0" xfId="0" applyAlignment="1" applyBorder="1" applyFont="1">
      <alignment horizontal="right" vertical="top"/>
    </xf>
    <xf borderId="12" fillId="5" fontId="6" numFmtId="0" xfId="0" applyBorder="1" applyFont="1"/>
    <xf borderId="12" fillId="5" fontId="6" numFmtId="0" xfId="0" applyAlignment="1" applyBorder="1" applyFont="1">
      <alignment horizontal="center"/>
    </xf>
    <xf borderId="16" fillId="0" fontId="4" numFmtId="0" xfId="0" applyAlignment="1" applyBorder="1" applyFont="1">
      <alignment horizontal="center" vertical="center"/>
    </xf>
    <xf borderId="17" fillId="0" fontId="4" numFmtId="0" xfId="0" applyBorder="1" applyFont="1"/>
    <xf borderId="17" fillId="0" fontId="4" numFmtId="0" xfId="0" applyAlignment="1" applyBorder="1" applyFont="1">
      <alignment shrinkToFit="0" wrapText="1"/>
    </xf>
    <xf borderId="17" fillId="0" fontId="4" numFmtId="1" xfId="0" applyBorder="1" applyFont="1" applyNumberFormat="1"/>
    <xf borderId="17" fillId="0" fontId="4" numFmtId="165" xfId="0" applyAlignment="1" applyBorder="1" applyFont="1" applyNumberFormat="1">
      <alignment horizontal="right"/>
    </xf>
    <xf borderId="18" fillId="0" fontId="4" numFmtId="165" xfId="0" applyBorder="1" applyFont="1" applyNumberFormat="1"/>
    <xf borderId="0" fillId="0" fontId="4" numFmtId="1" xfId="0" applyFont="1" applyNumberFormat="1"/>
    <xf borderId="19" fillId="0" fontId="14" numFmtId="0" xfId="0" applyBorder="1" applyFont="1"/>
    <xf borderId="0" fillId="0" fontId="4" numFmtId="165" xfId="0" applyAlignment="1" applyFont="1" applyNumberFormat="1">
      <alignment horizontal="right"/>
    </xf>
    <xf borderId="20" fillId="0" fontId="4" numFmtId="165" xfId="0" applyBorder="1" applyFont="1" applyNumberFormat="1"/>
    <xf borderId="21" fillId="0" fontId="14" numFmtId="0" xfId="0" applyBorder="1" applyFont="1"/>
    <xf borderId="22" fillId="0" fontId="4" numFmtId="0" xfId="0" applyBorder="1" applyFont="1"/>
    <xf borderId="22" fillId="0" fontId="4" numFmtId="165" xfId="0" applyBorder="1" applyFont="1" applyNumberFormat="1"/>
    <xf borderId="22" fillId="0" fontId="4" numFmtId="165" xfId="0" applyAlignment="1" applyBorder="1" applyFont="1" applyNumberFormat="1">
      <alignment horizontal="right"/>
    </xf>
    <xf borderId="23" fillId="0" fontId="4" numFmtId="165" xfId="0" applyAlignment="1" applyBorder="1" applyFont="1" applyNumberFormat="1">
      <alignment horizontal="right"/>
    </xf>
    <xf borderId="20" fillId="0" fontId="4" numFmtId="165" xfId="0" applyAlignment="1" applyBorder="1" applyFont="1" applyNumberFormat="1">
      <alignment horizontal="right"/>
    </xf>
    <xf borderId="0" fillId="0" fontId="4" numFmtId="0" xfId="0" applyAlignment="1" applyFont="1">
      <alignment readingOrder="0"/>
    </xf>
    <xf borderId="19" fillId="0" fontId="4" numFmtId="0" xfId="0" applyAlignment="1" applyBorder="1" applyFont="1">
      <alignment horizontal="center" vertical="center"/>
    </xf>
    <xf borderId="16" fillId="0" fontId="4" numFmtId="0" xfId="0" applyAlignment="1" applyBorder="1" applyFont="1">
      <alignment horizontal="center" shrinkToFit="0" vertical="center" wrapText="1"/>
    </xf>
    <xf borderId="18" fillId="0" fontId="4" numFmtId="165" xfId="0" applyAlignment="1" applyBorder="1" applyFont="1" applyNumberFormat="1">
      <alignment horizontal="right"/>
    </xf>
    <xf borderId="22" fillId="0" fontId="4" numFmtId="1" xfId="0" applyBorder="1" applyFont="1" applyNumberFormat="1"/>
    <xf borderId="24" fillId="6" fontId="6" numFmtId="0" xfId="0" applyAlignment="1" applyBorder="1" applyFill="1" applyFont="1">
      <alignment horizontal="left"/>
    </xf>
    <xf borderId="25" fillId="6" fontId="6" numFmtId="0" xfId="0" applyAlignment="1" applyBorder="1" applyFont="1">
      <alignment horizontal="right"/>
    </xf>
    <xf borderId="25" fillId="6" fontId="6" numFmtId="1" xfId="0" applyAlignment="1" applyBorder="1" applyFont="1" applyNumberFormat="1">
      <alignment horizontal="right"/>
    </xf>
    <xf borderId="25" fillId="6" fontId="4" numFmtId="165" xfId="0" applyAlignment="1" applyBorder="1" applyFont="1" applyNumberFormat="1">
      <alignment horizontal="right"/>
    </xf>
    <xf borderId="25" fillId="6" fontId="6" numFmtId="165" xfId="0" applyAlignment="1" applyBorder="1" applyFont="1" applyNumberFormat="1">
      <alignment horizontal="right"/>
    </xf>
    <xf borderId="26" fillId="6" fontId="6" numFmtId="165" xfId="0" applyAlignment="1" applyBorder="1" applyFont="1" applyNumberFormat="1">
      <alignment horizontal="right"/>
    </xf>
    <xf borderId="16" fillId="0" fontId="4" numFmtId="0" xfId="0" applyAlignment="1" applyBorder="1" applyFont="1">
      <alignment horizontal="left"/>
    </xf>
    <xf borderId="17" fillId="0" fontId="6" numFmtId="0" xfId="0" applyAlignment="1" applyBorder="1" applyFont="1">
      <alignment horizontal="right"/>
    </xf>
    <xf borderId="17" fillId="0" fontId="4" numFmtId="165" xfId="0" applyBorder="1" applyFont="1" applyNumberFormat="1"/>
    <xf borderId="18" fillId="0" fontId="4" numFmtId="0" xfId="0" applyBorder="1" applyFont="1"/>
    <xf borderId="27" fillId="6" fontId="6" numFmtId="0" xfId="0" applyAlignment="1" applyBorder="1" applyFont="1">
      <alignment horizontal="left"/>
    </xf>
    <xf borderId="28" fillId="0" fontId="4" numFmtId="0" xfId="0" applyBorder="1" applyFont="1"/>
    <xf borderId="28" fillId="0" fontId="4" numFmtId="165" xfId="0" applyAlignment="1" applyBorder="1" applyFont="1" applyNumberFormat="1">
      <alignment horizontal="right"/>
    </xf>
    <xf borderId="29" fillId="6" fontId="6" numFmtId="165" xfId="0" applyAlignment="1" applyBorder="1" applyFont="1" applyNumberFormat="1">
      <alignment horizontal="right"/>
    </xf>
    <xf borderId="30" fillId="6" fontId="6" numFmtId="165" xfId="0" applyAlignment="1" applyBorder="1" applyFont="1" applyNumberFormat="1">
      <alignment horizontal="right"/>
    </xf>
    <xf borderId="0" fillId="0" fontId="4" numFmtId="167" xfId="0" applyFont="1" applyNumberFormat="1"/>
    <xf borderId="31" fillId="2" fontId="6" numFmtId="0" xfId="0" applyBorder="1" applyFont="1"/>
    <xf borderId="32" fillId="2" fontId="6" numFmtId="0" xfId="0" applyBorder="1" applyFont="1"/>
    <xf borderId="32" fillId="2" fontId="6" numFmtId="0" xfId="0" applyAlignment="1" applyBorder="1" applyFont="1">
      <alignment horizontal="center"/>
    </xf>
    <xf borderId="33" fillId="2" fontId="6" numFmtId="0" xfId="0" applyBorder="1" applyFont="1"/>
    <xf borderId="34" fillId="7" fontId="6" numFmtId="0" xfId="0" applyBorder="1" applyFill="1" applyFont="1"/>
    <xf borderId="35" fillId="8" fontId="4" numFmtId="0" xfId="0" applyBorder="1" applyFill="1" applyFont="1"/>
    <xf borderId="1" fillId="9" fontId="15" numFmtId="0" xfId="0" applyAlignment="1" applyBorder="1" applyFill="1" applyFont="1">
      <alignment horizontal="right" vertical="bottom"/>
    </xf>
    <xf borderId="1" fillId="9" fontId="15" numFmtId="0" xfId="0" applyAlignment="1" applyBorder="1" applyFont="1">
      <alignment horizontal="right" readingOrder="0" vertical="bottom"/>
    </xf>
    <xf borderId="17" fillId="0" fontId="4" numFmtId="0" xfId="0" applyAlignment="1" applyBorder="1" applyFont="1">
      <alignment horizontal="right"/>
    </xf>
    <xf borderId="35" fillId="5" fontId="4" numFmtId="0" xfId="0" applyAlignment="1" applyBorder="1" applyFont="1">
      <alignment horizontal="right"/>
    </xf>
    <xf borderId="35" fillId="10" fontId="4" numFmtId="1" xfId="0" applyBorder="1" applyFill="1" applyFont="1" applyNumberFormat="1"/>
    <xf borderId="36" fillId="0" fontId="4" numFmtId="0" xfId="0" applyBorder="1" applyFont="1"/>
    <xf borderId="12" fillId="8" fontId="4" numFmtId="0" xfId="0" applyBorder="1" applyFont="1"/>
    <xf borderId="12" fillId="0" fontId="4" numFmtId="0" xfId="0" applyAlignment="1" applyBorder="1" applyFont="1">
      <alignment horizontal="right"/>
    </xf>
    <xf borderId="0" fillId="0" fontId="4" numFmtId="0" xfId="0" applyAlignment="1" applyFont="1">
      <alignment horizontal="right"/>
    </xf>
    <xf borderId="37" fillId="7" fontId="4" numFmtId="0" xfId="0" applyBorder="1" applyFont="1"/>
    <xf borderId="25" fillId="8" fontId="4" numFmtId="0" xfId="0" applyAlignment="1" applyBorder="1" applyFont="1">
      <alignment readingOrder="0"/>
    </xf>
    <xf borderId="25" fillId="5" fontId="4" numFmtId="0" xfId="0" applyBorder="1" applyFont="1"/>
    <xf borderId="38" fillId="7" fontId="6" numFmtId="0" xfId="0" applyBorder="1" applyFont="1"/>
    <xf borderId="0" fillId="0" fontId="16" numFmtId="0" xfId="0" applyAlignment="1" applyFont="1">
      <alignment horizontal="right" readingOrder="0" vertical="bottom"/>
    </xf>
    <xf borderId="0" fillId="9" fontId="17" numFmtId="0" xfId="0" applyAlignment="1" applyFont="1">
      <alignment horizontal="right" vertical="bottom"/>
    </xf>
    <xf borderId="0" fillId="9" fontId="16" numFmtId="0" xfId="0" applyAlignment="1" applyFont="1">
      <alignment horizontal="right" vertical="bottom"/>
    </xf>
    <xf borderId="17" fillId="5" fontId="4" numFmtId="0" xfId="0" applyBorder="1" applyFont="1"/>
    <xf borderId="39" fillId="7" fontId="4" numFmtId="0" xfId="0" applyBorder="1" applyFont="1"/>
    <xf borderId="40" fillId="8" fontId="4" numFmtId="0" xfId="0" applyAlignment="1" applyBorder="1" applyFont="1">
      <alignment readingOrder="0"/>
    </xf>
    <xf borderId="0" fillId="5" fontId="4" numFmtId="0" xfId="0" applyFont="1"/>
    <xf borderId="0" fillId="0" fontId="4" numFmtId="0" xfId="0" applyAlignment="1" applyFont="1">
      <alignment vertical="bottom"/>
    </xf>
    <xf borderId="1" fillId="5" fontId="15" numFmtId="0" xfId="0" applyAlignment="1" applyBorder="1" applyFont="1">
      <alignment horizontal="right" vertical="bottom"/>
    </xf>
    <xf borderId="1" fillId="0" fontId="15" numFmtId="0" xfId="0" applyAlignment="1" applyBorder="1" applyFont="1">
      <alignment horizontal="right" vertical="bottom"/>
    </xf>
    <xf borderId="34" fillId="7" fontId="4" numFmtId="0" xfId="0" applyBorder="1" applyFont="1"/>
    <xf borderId="12" fillId="8" fontId="4" numFmtId="0" xfId="0" applyAlignment="1" applyBorder="1" applyFont="1">
      <alignment readingOrder="0"/>
    </xf>
    <xf borderId="12" fillId="5" fontId="18" numFmtId="0" xfId="0" applyAlignment="1" applyBorder="1" applyFont="1">
      <alignment horizontal="right"/>
    </xf>
    <xf borderId="12" fillId="5" fontId="16" numFmtId="0" xfId="0" applyAlignment="1" applyBorder="1" applyFont="1">
      <alignment horizontal="right"/>
    </xf>
    <xf borderId="12" fillId="9" fontId="18" numFmtId="0" xfId="0" applyAlignment="1" applyBorder="1" applyFont="1">
      <alignment horizontal="right" readingOrder="0"/>
    </xf>
    <xf borderId="12" fillId="5" fontId="18" numFmtId="0" xfId="0" applyAlignment="1" applyBorder="1" applyFont="1">
      <alignment horizontal="right" readingOrder="0"/>
    </xf>
    <xf borderId="25" fillId="8" fontId="4" numFmtId="0" xfId="0" applyBorder="1" applyFont="1"/>
    <xf borderId="1" fillId="0" fontId="15" numFmtId="0" xfId="0" applyAlignment="1" applyBorder="1" applyFont="1">
      <alignment vertical="bottom"/>
    </xf>
    <xf borderId="0" fillId="0" fontId="15" numFmtId="0" xfId="0" applyAlignment="1" applyFont="1">
      <alignment vertical="bottom"/>
    </xf>
    <xf borderId="22" fillId="5" fontId="4" numFmtId="0" xfId="0" applyBorder="1" applyFont="1"/>
    <xf borderId="0" fillId="0" fontId="16" numFmtId="0" xfId="0" applyAlignment="1" applyFont="1">
      <alignment horizontal="right" vertical="bottom"/>
    </xf>
    <xf borderId="0" fillId="0" fontId="17" numFmtId="0" xfId="0" applyAlignment="1" applyFont="1">
      <alignment horizontal="right" vertical="bottom"/>
    </xf>
    <xf borderId="0" fillId="9" fontId="4" numFmtId="0" xfId="0" applyAlignment="1" applyFont="1">
      <alignment horizontal="right" readingOrder="0"/>
    </xf>
    <xf borderId="40" fillId="8" fontId="4" numFmtId="0" xfId="0" applyBorder="1" applyFont="1"/>
    <xf borderId="40" fillId="5" fontId="19" numFmtId="0" xfId="0" applyBorder="1" applyFont="1"/>
    <xf borderId="12" fillId="5" fontId="19" numFmtId="0" xfId="0" applyBorder="1" applyFont="1"/>
    <xf borderId="41" fillId="7" fontId="4" numFmtId="0" xfId="0" applyBorder="1" applyFont="1"/>
    <xf borderId="42" fillId="8" fontId="4" numFmtId="0" xfId="0" applyAlignment="1" applyBorder="1" applyFont="1">
      <alignment readingOrder="0"/>
    </xf>
    <xf borderId="22" fillId="0" fontId="4" numFmtId="0" xfId="0" applyAlignment="1" applyBorder="1" applyFont="1">
      <alignment horizontal="right"/>
    </xf>
    <xf borderId="22" fillId="9" fontId="4" numFmtId="0" xfId="0" applyAlignment="1" applyBorder="1" applyFont="1">
      <alignment horizontal="right" readingOrder="0"/>
    </xf>
    <xf borderId="17" fillId="0" fontId="6" numFmtId="0" xfId="0" applyBorder="1" applyFont="1"/>
    <xf borderId="35" fillId="5" fontId="4" numFmtId="0" xfId="0" applyBorder="1" applyFont="1"/>
    <xf borderId="17" fillId="9" fontId="4" numFmtId="0" xfId="0" applyAlignment="1" applyBorder="1" applyFont="1">
      <alignment horizontal="right" readingOrder="0"/>
    </xf>
    <xf borderId="0" fillId="0" fontId="19" numFmtId="2" xfId="0" applyFont="1" applyNumberFormat="1"/>
    <xf borderId="31" fillId="7" fontId="6" numFmtId="0" xfId="0" applyBorder="1" applyFont="1"/>
    <xf borderId="32" fillId="8" fontId="6" numFmtId="0" xfId="0" applyBorder="1" applyFont="1"/>
    <xf borderId="43" fillId="0" fontId="6" numFmtId="0" xfId="0" applyAlignment="1" applyBorder="1" applyFont="1">
      <alignment horizontal="right"/>
    </xf>
    <xf borderId="32" fillId="10" fontId="6" numFmtId="2" xfId="0" applyBorder="1" applyFont="1" applyNumberFormat="1"/>
    <xf borderId="44" fillId="0" fontId="6" numFmtId="0" xfId="0" applyBorder="1" applyFont="1"/>
    <xf borderId="0" fillId="0" fontId="4" numFmtId="1" xfId="0" applyAlignment="1" applyFont="1" applyNumberFormat="1">
      <alignment readingOrder="0"/>
    </xf>
    <xf borderId="0" fillId="0" fontId="20" numFmtId="0" xfId="0" applyFont="1"/>
    <xf borderId="3" fillId="7" fontId="21" numFmtId="0" xfId="0" applyAlignment="1" applyBorder="1" applyFont="1">
      <alignment horizontal="center"/>
    </xf>
    <xf borderId="3" fillId="8" fontId="21" numFmtId="0" xfId="0" applyAlignment="1" applyBorder="1" applyFont="1">
      <alignment horizontal="center"/>
    </xf>
    <xf borderId="45" fillId="0" fontId="6" numFmtId="0" xfId="0" applyAlignment="1" applyBorder="1" applyFont="1">
      <alignment horizontal="center"/>
    </xf>
    <xf borderId="43" fillId="0" fontId="14" numFmtId="0" xfId="0" applyBorder="1" applyFont="1"/>
    <xf borderId="44" fillId="0" fontId="14" numFmtId="0" xfId="0" applyBorder="1" applyFont="1"/>
    <xf borderId="1" fillId="0" fontId="4" numFmtId="0" xfId="0" applyBorder="1" applyFont="1"/>
    <xf borderId="46" fillId="0" fontId="14" numFmtId="0" xfId="0" applyBorder="1" applyFont="1"/>
    <xf borderId="1" fillId="0" fontId="21" numFmtId="0" xfId="0" applyAlignment="1" applyBorder="1" applyFont="1">
      <alignment horizontal="center"/>
    </xf>
    <xf borderId="1" fillId="0" fontId="21" numFmtId="0" xfId="0" applyBorder="1" applyFont="1"/>
    <xf borderId="0" fillId="0" fontId="21" numFmtId="0" xfId="0" applyFont="1"/>
    <xf borderId="3" fillId="7" fontId="21" numFmtId="0" xfId="0" applyAlignment="1" applyBorder="1" applyFont="1">
      <alignment horizontal="left" vertical="center"/>
    </xf>
    <xf borderId="1" fillId="8" fontId="11" numFmtId="0" xfId="0" applyBorder="1" applyFont="1"/>
    <xf borderId="1" fillId="0" fontId="11" numFmtId="0" xfId="0" applyAlignment="1" applyBorder="1" applyFont="1">
      <alignment horizontal="right"/>
    </xf>
    <xf borderId="1" fillId="10" fontId="11" numFmtId="0" xfId="0" applyBorder="1" applyFont="1"/>
    <xf borderId="1" fillId="0" fontId="11" numFmtId="0" xfId="0" applyBorder="1" applyFont="1"/>
    <xf borderId="47" fillId="0" fontId="14" numFmtId="0" xfId="0" applyBorder="1" applyFont="1"/>
    <xf borderId="1" fillId="0" fontId="22" numFmtId="0" xfId="0" applyAlignment="1" applyBorder="1" applyFont="1">
      <alignment horizontal="right"/>
    </xf>
    <xf borderId="1" fillId="0" fontId="23" numFmtId="0" xfId="0" applyBorder="1" applyFont="1"/>
    <xf borderId="1" fillId="7" fontId="21" numFmtId="0" xfId="0" applyBorder="1" applyFont="1"/>
    <xf borderId="1" fillId="0" fontId="24" numFmtId="0" xfId="0" applyBorder="1" applyFont="1"/>
    <xf borderId="1" fillId="0" fontId="25" numFmtId="0" xfId="0" applyBorder="1" applyFont="1"/>
    <xf borderId="48" fillId="0" fontId="6" numFmtId="0" xfId="0" applyAlignment="1" applyBorder="1" applyFont="1">
      <alignment horizontal="center" shrinkToFit="0" wrapText="1"/>
    </xf>
    <xf borderId="49" fillId="0" fontId="14" numFmtId="0" xfId="0" applyBorder="1" applyFont="1"/>
    <xf borderId="50" fillId="0" fontId="14" numFmtId="0" xfId="0" applyBorder="1" applyFont="1"/>
    <xf borderId="7" fillId="0" fontId="6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horizontal="left" shrinkToFit="0" wrapText="1"/>
    </xf>
    <xf borderId="1" fillId="0" fontId="4" numFmtId="0" xfId="0" applyAlignment="1" applyBorder="1" applyFont="1">
      <alignment horizontal="center" shrinkToFit="0" wrapText="1"/>
    </xf>
    <xf borderId="1" fillId="0" fontId="4" numFmtId="9" xfId="0" applyAlignment="1" applyBorder="1" applyFont="1" applyNumberFormat="1">
      <alignment horizontal="center" shrinkToFit="0" wrapText="1"/>
    </xf>
    <xf borderId="8" fillId="0" fontId="4" numFmtId="0" xfId="0" applyAlignment="1" applyBorder="1" applyFont="1">
      <alignment shrinkToFit="0" wrapText="1"/>
    </xf>
    <xf borderId="1" fillId="2" fontId="6" numFmtId="0" xfId="0" applyAlignment="1" applyBorder="1" applyFont="1">
      <alignment horizontal="center" shrinkToFit="0" wrapText="1"/>
    </xf>
    <xf borderId="1" fillId="2" fontId="6" numFmtId="0" xfId="0" applyAlignment="1" applyBorder="1" applyFont="1">
      <alignment horizontal="left" shrinkToFit="0" wrapText="1"/>
    </xf>
    <xf borderId="8" fillId="2" fontId="6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169" xfId="0" applyAlignment="1" applyBorder="1" applyFont="1" applyNumberFormat="1">
      <alignment horizontal="center" shrinkToFit="0" vertical="center" wrapText="1"/>
    </xf>
    <xf borderId="1" fillId="0" fontId="4" numFmtId="165" xfId="0" applyAlignment="1" applyBorder="1" applyFont="1" applyNumberFormat="1">
      <alignment shrinkToFit="0" wrapText="1"/>
    </xf>
    <xf borderId="8" fillId="0" fontId="4" numFmtId="169" xfId="0" applyAlignment="1" applyBorder="1" applyFont="1" applyNumberFormat="1">
      <alignment shrinkToFit="0" wrapText="1"/>
    </xf>
    <xf borderId="3" fillId="0" fontId="4" numFmtId="169" xfId="0" applyAlignment="1" applyBorder="1" applyFont="1" applyNumberFormat="1">
      <alignment horizontal="center" shrinkToFit="0" vertical="center" wrapText="1"/>
    </xf>
    <xf borderId="3" fillId="0" fontId="4" numFmtId="165" xfId="0" applyAlignment="1" applyBorder="1" applyFont="1" applyNumberFormat="1">
      <alignment shrinkToFit="0" wrapText="1"/>
    </xf>
    <xf borderId="12" fillId="11" fontId="4" numFmtId="0" xfId="0" applyAlignment="1" applyBorder="1" applyFill="1" applyFont="1">
      <alignment shrinkToFit="0" wrapText="1"/>
    </xf>
    <xf borderId="51" fillId="0" fontId="4" numFmtId="169" xfId="0" applyAlignment="1" applyBorder="1" applyFont="1" applyNumberFormat="1">
      <alignment shrinkToFit="0" wrapText="1"/>
    </xf>
    <xf borderId="12" fillId="11" fontId="4" numFmtId="1" xfId="0" applyAlignment="1" applyBorder="1" applyFont="1" applyNumberFormat="1">
      <alignment shrinkToFit="0" wrapText="1"/>
    </xf>
    <xf borderId="1" fillId="0" fontId="4" numFmtId="0" xfId="0" applyAlignment="1" applyBorder="1" applyFont="1">
      <alignment horizontal="center"/>
    </xf>
    <xf borderId="1" fillId="0" fontId="4" numFmtId="0" xfId="0" applyAlignment="1" applyBorder="1" applyFont="1">
      <alignment horizontal="left"/>
    </xf>
    <xf borderId="12" fillId="11" fontId="4" numFmtId="0" xfId="0" applyBorder="1" applyFont="1"/>
    <xf borderId="0" fillId="0" fontId="26" numFmtId="0" xfId="0" applyFont="1"/>
    <xf borderId="46" fillId="0" fontId="4" numFmtId="9" xfId="0" applyAlignment="1" applyBorder="1" applyFont="1" applyNumberFormat="1">
      <alignment horizontal="center" shrinkToFit="0" wrapText="1"/>
    </xf>
    <xf borderId="46" fillId="0" fontId="4" numFmtId="0" xfId="0" applyAlignment="1" applyBorder="1" applyFont="1">
      <alignment shrinkToFit="0" wrapText="1"/>
    </xf>
    <xf borderId="7" fillId="2" fontId="6" numFmtId="0" xfId="0" applyAlignment="1" applyBorder="1" applyFont="1">
      <alignment horizontal="center" shrinkToFit="0" wrapText="1"/>
    </xf>
    <xf borderId="7" fillId="0" fontId="4" numFmtId="0" xfId="0" applyAlignment="1" applyBorder="1" applyFont="1">
      <alignment horizontal="center" shrinkToFit="0" vertical="center" wrapText="1"/>
    </xf>
    <xf borderId="8" fillId="0" fontId="4" numFmtId="165" xfId="0" applyAlignment="1" applyBorder="1" applyFont="1" applyNumberFormat="1">
      <alignment shrinkToFit="0" wrapText="1"/>
    </xf>
    <xf borderId="9" fillId="0" fontId="4" numFmtId="0" xfId="0" applyAlignment="1" applyBorder="1" applyFont="1">
      <alignment horizontal="center" shrinkToFit="0" vertical="center" wrapText="1"/>
    </xf>
    <xf borderId="10" fillId="0" fontId="4" numFmtId="0" xfId="0" applyAlignment="1" applyBorder="1" applyFont="1">
      <alignment horizontal="left" shrinkToFit="0" vertical="center" wrapText="1"/>
    </xf>
    <xf borderId="10" fillId="0" fontId="4" numFmtId="0" xfId="0" applyAlignment="1" applyBorder="1" applyFont="1">
      <alignment horizontal="center" shrinkToFit="0" vertical="center" wrapText="1"/>
    </xf>
    <xf borderId="10" fillId="0" fontId="4" numFmtId="169" xfId="0" applyAlignment="1" applyBorder="1" applyFont="1" applyNumberFormat="1">
      <alignment horizontal="center" shrinkToFit="0" vertical="center" wrapText="1"/>
    </xf>
    <xf borderId="10" fillId="0" fontId="4" numFmtId="165" xfId="0" applyAlignment="1" applyBorder="1" applyFont="1" applyNumberFormat="1">
      <alignment shrinkToFit="0" wrapText="1"/>
    </xf>
    <xf borderId="11" fillId="0" fontId="4" numFmtId="165" xfId="0" applyAlignment="1" applyBorder="1" applyFont="1" applyNumberFormat="1">
      <alignment shrinkToFit="0" wrapText="1"/>
    </xf>
    <xf borderId="1" fillId="12" fontId="27" numFmtId="0" xfId="0" applyBorder="1" applyFill="1" applyFont="1"/>
    <xf borderId="1" fillId="12" fontId="18" numFmtId="0" xfId="0" applyBorder="1" applyFont="1"/>
    <xf borderId="1" fillId="10" fontId="18" numFmtId="0" xfId="0" applyBorder="1" applyFont="1"/>
    <xf borderId="1" fillId="0" fontId="18" numFmtId="0" xfId="0" applyBorder="1" applyFont="1"/>
    <xf borderId="0" fillId="0" fontId="18" numFmtId="0" xfId="0" applyFont="1"/>
    <xf borderId="12" fillId="12" fontId="27" numFmtId="0" xfId="0" applyBorder="1" applyFont="1"/>
    <xf borderId="0" fillId="0" fontId="18" numFmtId="0" xfId="0" applyAlignment="1" applyFont="1">
      <alignment horizontal="right"/>
    </xf>
    <xf borderId="0" fillId="0" fontId="28" numFmtId="0" xfId="0" applyFont="1"/>
    <xf borderId="0" fillId="0" fontId="28" numFmtId="0" xfId="0" applyAlignment="1" applyFont="1">
      <alignment horizontal="right"/>
    </xf>
    <xf borderId="0" fillId="0" fontId="6" numFmtId="0" xfId="0" applyAlignment="1" applyFont="1">
      <alignment horizontal="right"/>
    </xf>
    <xf borderId="1" fillId="2" fontId="12" numFmtId="0" xfId="0" applyBorder="1" applyFont="1"/>
    <xf borderId="1" fillId="2" fontId="12" numFmtId="0" xfId="0" applyAlignment="1" applyBorder="1" applyFont="1">
      <alignment horizontal="center"/>
    </xf>
    <xf borderId="1" fillId="13" fontId="4" numFmtId="0" xfId="0" applyBorder="1" applyFill="1" applyFont="1"/>
    <xf borderId="1" fillId="13" fontId="4" numFmtId="164" xfId="0" applyBorder="1" applyFont="1" applyNumberFormat="1"/>
    <xf borderId="1" fillId="0" fontId="6" numFmtId="0" xfId="0" applyBorder="1" applyFont="1"/>
    <xf borderId="1" fillId="13" fontId="6" numFmtId="0" xfId="0" applyBorder="1" applyFont="1"/>
    <xf borderId="1" fillId="13" fontId="6" numFmtId="164" xfId="0" applyBorder="1" applyFont="1" applyNumberFormat="1"/>
    <xf borderId="1" fillId="13" fontId="4" numFmtId="9" xfId="0" applyBorder="1" applyFont="1" applyNumberFormat="1"/>
    <xf borderId="1" fillId="0" fontId="6" numFmtId="9" xfId="0" applyBorder="1" applyFont="1" applyNumberFormat="1"/>
    <xf borderId="1" fillId="0" fontId="4" numFmtId="9" xfId="0" applyBorder="1" applyFont="1" applyNumberFormat="1"/>
    <xf borderId="0" fillId="0" fontId="4" numFmtId="168" xfId="0" applyFont="1" applyNumberFormat="1"/>
    <xf borderId="0" fillId="0" fontId="29" numFmtId="0" xfId="0" applyAlignment="1" applyFont="1">
      <alignment shrinkToFit="0" wrapText="1"/>
    </xf>
    <xf borderId="0" fillId="0" fontId="6" numFmtId="170" xfId="0" applyAlignment="1" applyFont="1" applyNumberFormat="1">
      <alignment horizontal="center" shrinkToFit="0" wrapText="1"/>
    </xf>
    <xf borderId="1" fillId="0" fontId="6" numFmtId="0" xfId="0" applyAlignment="1" applyBorder="1" applyFont="1">
      <alignment horizontal="center" shrinkToFit="0" wrapText="1"/>
    </xf>
    <xf borderId="1" fillId="0" fontId="4" numFmtId="168" xfId="0" applyAlignment="1" applyBorder="1" applyFont="1" applyNumberFormat="1">
      <alignment shrinkToFit="0" wrapText="1"/>
    </xf>
    <xf borderId="1" fillId="0" fontId="4" numFmtId="171" xfId="0" applyAlignment="1" applyBorder="1" applyFont="1" applyNumberFormat="1">
      <alignment shrinkToFit="0" wrapText="1"/>
    </xf>
    <xf borderId="1" fillId="13" fontId="6" numFmtId="0" xfId="0" applyAlignment="1" applyBorder="1" applyFont="1">
      <alignment shrinkToFit="0" wrapText="1"/>
    </xf>
    <xf borderId="1" fillId="13" fontId="6" numFmtId="168" xfId="0" applyAlignment="1" applyBorder="1" applyFont="1" applyNumberFormat="1">
      <alignment shrinkToFit="0" wrapText="1"/>
    </xf>
    <xf borderId="1" fillId="0" fontId="6" numFmtId="168" xfId="0" applyAlignment="1" applyBorder="1" applyFont="1" applyNumberFormat="1">
      <alignment shrinkToFit="0" wrapText="1"/>
    </xf>
    <xf borderId="1" fillId="0" fontId="6" numFmtId="171" xfId="0" applyAlignment="1" applyBorder="1" applyFont="1" applyNumberFormat="1">
      <alignment shrinkToFit="0" wrapText="1"/>
    </xf>
    <xf borderId="1" fillId="0" fontId="6" numFmtId="168" xfId="0" applyAlignment="1" applyBorder="1" applyFont="1" applyNumberFormat="1">
      <alignment horizontal="center" shrinkToFit="0" wrapText="1"/>
    </xf>
    <xf borderId="1" fillId="0" fontId="4" numFmtId="167" xfId="0" applyAlignment="1" applyBorder="1" applyFont="1" applyNumberFormat="1">
      <alignment shrinkToFit="0" wrapText="1"/>
    </xf>
    <xf borderId="1" fillId="0" fontId="4" numFmtId="164" xfId="0" applyAlignment="1" applyBorder="1" applyFont="1" applyNumberFormat="1">
      <alignment shrinkToFit="0" wrapText="1"/>
    </xf>
    <xf borderId="1" fillId="13" fontId="4" numFmtId="0" xfId="0" applyAlignment="1" applyBorder="1" applyFont="1">
      <alignment shrinkToFit="0" wrapText="1"/>
    </xf>
    <xf borderId="1" fillId="13" fontId="4" numFmtId="168" xfId="0" applyAlignment="1" applyBorder="1" applyFont="1" applyNumberFormat="1">
      <alignment shrinkToFit="0" wrapText="1"/>
    </xf>
    <xf borderId="1" fillId="13" fontId="4" numFmtId="171" xfId="0" applyAlignment="1" applyBorder="1" applyFont="1" applyNumberFormat="1">
      <alignment shrinkToFit="0" wrapText="1"/>
    </xf>
    <xf borderId="12" fillId="14" fontId="4" numFmtId="9" xfId="0" applyBorder="1" applyFill="1" applyFont="1" applyNumberFormat="1"/>
    <xf borderId="1" fillId="0" fontId="30" numFmtId="0" xfId="0" applyAlignment="1" applyBorder="1" applyFont="1">
      <alignment shrinkToFit="0" wrapText="1"/>
    </xf>
    <xf borderId="1" fillId="0" fontId="4" numFmtId="172" xfId="0" applyAlignment="1" applyBorder="1" applyFont="1" applyNumberFormat="1">
      <alignment shrinkToFit="0" wrapText="1"/>
    </xf>
    <xf borderId="1" fillId="13" fontId="4" numFmtId="172" xfId="0" applyAlignment="1" applyBorder="1" applyFont="1" applyNumberFormat="1">
      <alignment shrinkToFit="0" wrapText="1"/>
    </xf>
    <xf borderId="12" fillId="13" fontId="4" numFmtId="0" xfId="0" applyBorder="1" applyFont="1"/>
    <xf borderId="0" fillId="0" fontId="4" numFmtId="168" xfId="0" applyAlignment="1" applyFont="1" applyNumberFormat="1">
      <alignment shrinkToFit="0" wrapText="1"/>
    </xf>
    <xf borderId="0" fillId="0" fontId="4" numFmtId="172" xfId="0" applyAlignment="1" applyFont="1" applyNumberFormat="1">
      <alignment shrinkToFit="0" wrapText="1"/>
    </xf>
    <xf borderId="0" fillId="0" fontId="4" numFmtId="171" xfId="0" applyAlignment="1" applyFont="1" applyNumberFormat="1">
      <alignment shrinkToFit="0" wrapText="1"/>
    </xf>
    <xf borderId="0" fillId="0" fontId="4" numFmtId="171" xfId="0" applyFont="1" applyNumberFormat="1"/>
    <xf borderId="52" fillId="0" fontId="4" numFmtId="0" xfId="0" applyAlignment="1" applyBorder="1" applyFont="1">
      <alignment horizontal="center"/>
    </xf>
    <xf borderId="36" fillId="0" fontId="4" numFmtId="0" xfId="0" applyAlignment="1" applyBorder="1" applyFont="1">
      <alignment shrinkToFit="0" wrapText="1"/>
    </xf>
    <xf borderId="53" fillId="0" fontId="4" numFmtId="0" xfId="0" applyAlignment="1" applyBorder="1" applyFont="1">
      <alignment horizontal="center" vertical="center"/>
    </xf>
    <xf borderId="54" fillId="0" fontId="4" numFmtId="0" xfId="0" applyAlignment="1" applyBorder="1" applyFont="1">
      <alignment shrinkToFit="0" wrapText="1"/>
    </xf>
    <xf borderId="55" fillId="0" fontId="4" numFmtId="0" xfId="0" applyAlignment="1" applyBorder="1" applyFont="1">
      <alignment horizontal="center" vertical="center"/>
    </xf>
    <xf borderId="22" fillId="0" fontId="4" numFmtId="0" xfId="0" applyAlignment="1" applyBorder="1" applyFont="1">
      <alignment shrinkToFit="0" wrapText="1"/>
    </xf>
    <xf borderId="56" fillId="0" fontId="4" numFmtId="0" xfId="0" applyAlignment="1" applyBorder="1" applyFont="1">
      <alignment shrinkToFit="0" wrapText="1"/>
    </xf>
    <xf borderId="0" fillId="0" fontId="6" numFmtId="0" xfId="0" applyAlignment="1" applyFont="1">
      <alignment horizontal="center" vertical="center"/>
    </xf>
    <xf borderId="1" fillId="0" fontId="6" numFmtId="0" xfId="0" applyAlignment="1" applyBorder="1" applyFont="1">
      <alignment horizontal="center"/>
    </xf>
    <xf borderId="1" fillId="0" fontId="4" numFmtId="0" xfId="0" applyAlignment="1" applyBorder="1" applyFont="1">
      <alignment horizontal="center" vertical="center"/>
    </xf>
    <xf borderId="52" fillId="0" fontId="4" numFmtId="0" xfId="0" applyAlignment="1" applyBorder="1" applyFont="1">
      <alignment horizontal="center" vertical="center"/>
    </xf>
    <xf borderId="53" fillId="0" fontId="6" numFmtId="0" xfId="0" applyAlignment="1" applyBorder="1" applyFont="1">
      <alignment horizontal="center" vertical="center"/>
    </xf>
    <xf borderId="55" fillId="0" fontId="6" numFmtId="0" xfId="0" applyAlignment="1" applyBorder="1" applyFont="1">
      <alignment horizontal="center" vertical="center"/>
    </xf>
    <xf borderId="22" fillId="0" fontId="6" numFmtId="0" xfId="0" applyBorder="1" applyFont="1"/>
    <xf borderId="3" fillId="0" fontId="4" numFmtId="0" xfId="0" applyAlignment="1" applyBorder="1" applyFont="1">
      <alignment horizontal="center" vertical="center"/>
    </xf>
    <xf borderId="3" fillId="0" fontId="4" numFmtId="0" xfId="0" applyAlignment="1" applyBorder="1" applyFont="1">
      <alignment horizontal="left" vertical="center"/>
    </xf>
    <xf borderId="3" fillId="0" fontId="4" numFmtId="9" xfId="0" applyAlignment="1" applyBorder="1" applyFont="1" applyNumberFormat="1">
      <alignment horizontal="center" vertical="center"/>
    </xf>
    <xf borderId="1" fillId="0" fontId="4" numFmtId="9" xfId="0" applyAlignment="1" applyBorder="1" applyFont="1" applyNumberFormat="1">
      <alignment horizontal="center" vertical="center"/>
    </xf>
    <xf borderId="0" fillId="0" fontId="4" numFmtId="9" xfId="0" applyAlignment="1" applyFont="1" applyNumberFormat="1">
      <alignment vertical="center"/>
    </xf>
    <xf borderId="45" fillId="0" fontId="6" numFmtId="0" xfId="0" applyAlignment="1" applyBorder="1" applyFont="1">
      <alignment horizontal="center" vertical="center"/>
    </xf>
    <xf borderId="43" fillId="0" fontId="4" numFmtId="0" xfId="0" applyBorder="1" applyFont="1"/>
    <xf borderId="43" fillId="0" fontId="4" numFmtId="0" xfId="0" applyAlignment="1" applyBorder="1" applyFont="1">
      <alignment shrinkToFit="0" wrapText="1"/>
    </xf>
    <xf borderId="44" fillId="0" fontId="4" numFmtId="9" xfId="0" applyAlignment="1" applyBorder="1" applyFont="1" applyNumberFormat="1">
      <alignment vertical="center"/>
    </xf>
    <xf borderId="44" fillId="0" fontId="4" numFmtId="0" xfId="0" applyBorder="1" applyFont="1"/>
    <xf borderId="52" fillId="0" fontId="6" numFmtId="0" xfId="0" applyAlignment="1" applyBorder="1" applyFont="1">
      <alignment horizontal="center" vertical="center"/>
    </xf>
    <xf borderId="54" fillId="0" fontId="4" numFmtId="0" xfId="0" applyBorder="1" applyFont="1"/>
    <xf borderId="56" fillId="0" fontId="4" numFmtId="0" xfId="0" applyBorder="1" applyFont="1"/>
    <xf borderId="12" fillId="2" fontId="6" numFmtId="0" xfId="0" applyAlignment="1" applyBorder="1" applyFont="1">
      <alignment horizontal="center" shrinkToFit="0" wrapText="1"/>
    </xf>
    <xf borderId="12" fillId="15" fontId="4" numFmtId="165" xfId="0" applyAlignment="1" applyBorder="1" applyFill="1" applyFont="1" applyNumberFormat="1">
      <alignment shrinkToFit="0" wrapText="1"/>
    </xf>
    <xf borderId="12" fillId="2" fontId="6" numFmtId="0" xfId="0" applyBorder="1" applyFont="1"/>
    <xf borderId="12" fillId="2" fontId="6" numFmtId="165" xfId="0" applyBorder="1" applyFont="1" applyNumberFormat="1"/>
    <xf borderId="57" fillId="16" fontId="6" numFmtId="165" xfId="0" applyAlignment="1" applyBorder="1" applyFill="1" applyFont="1" applyNumberFormat="1">
      <alignment horizontal="center"/>
    </xf>
    <xf borderId="58" fillId="0" fontId="14" numFmtId="0" xfId="0" applyBorder="1" applyFont="1"/>
    <xf borderId="25" fillId="16" fontId="6" numFmtId="9" xfId="0" applyBorder="1" applyFont="1" applyNumberFormat="1"/>
    <xf borderId="57" fillId="17" fontId="6" numFmtId="165" xfId="0" applyAlignment="1" applyBorder="1" applyFill="1" applyFont="1" applyNumberFormat="1">
      <alignment horizontal="center"/>
    </xf>
    <xf borderId="45" fillId="18" fontId="6" numFmtId="165" xfId="0" applyAlignment="1" applyBorder="1" applyFill="1" applyFont="1" applyNumberFormat="1">
      <alignment horizontal="center"/>
    </xf>
    <xf borderId="22" fillId="0" fontId="6" numFmtId="165" xfId="0" applyBorder="1" applyFont="1" applyNumberFormat="1"/>
    <xf borderId="14" fillId="2" fontId="12" numFmtId="0" xfId="0" applyBorder="1" applyFont="1"/>
    <xf borderId="1" fillId="16" fontId="6" numFmtId="0" xfId="0" applyAlignment="1" applyBorder="1" applyFont="1">
      <alignment horizontal="center" shrinkToFit="0" wrapText="1"/>
    </xf>
    <xf borderId="1" fillId="16" fontId="6" numFmtId="0" xfId="0" applyAlignment="1" applyBorder="1" applyFont="1">
      <alignment horizontal="center"/>
    </xf>
    <xf borderId="1" fillId="17" fontId="6" numFmtId="0" xfId="0" applyAlignment="1" applyBorder="1" applyFont="1">
      <alignment horizontal="center" shrinkToFit="0" wrapText="1"/>
    </xf>
    <xf borderId="1" fillId="17" fontId="6" numFmtId="0" xfId="0" applyAlignment="1" applyBorder="1" applyFont="1">
      <alignment horizontal="center"/>
    </xf>
    <xf borderId="31" fillId="17" fontId="6" numFmtId="0" xfId="0" applyAlignment="1" applyBorder="1" applyFont="1">
      <alignment horizontal="center"/>
    </xf>
    <xf borderId="1" fillId="18" fontId="6" numFmtId="0" xfId="0" applyAlignment="1" applyBorder="1" applyFont="1">
      <alignment horizontal="center"/>
    </xf>
    <xf borderId="38" fillId="16" fontId="4" numFmtId="165" xfId="0" applyBorder="1" applyFont="1" applyNumberFormat="1"/>
    <xf borderId="35" fillId="16" fontId="4" numFmtId="165" xfId="0" applyBorder="1" applyFont="1" applyNumberFormat="1"/>
    <xf borderId="59" fillId="16" fontId="4" numFmtId="165" xfId="0" applyBorder="1" applyFont="1" applyNumberFormat="1"/>
    <xf borderId="12" fillId="17" fontId="4" numFmtId="165" xfId="0" applyBorder="1" applyFont="1" applyNumberFormat="1"/>
    <xf borderId="12" fillId="17" fontId="4" numFmtId="167" xfId="0" applyBorder="1" applyFont="1" applyNumberFormat="1"/>
    <xf borderId="34" fillId="18" fontId="4" numFmtId="167" xfId="0" applyBorder="1" applyFont="1" applyNumberFormat="1"/>
    <xf borderId="60" fillId="18" fontId="4" numFmtId="165" xfId="0" applyBorder="1" applyFont="1" applyNumberFormat="1"/>
    <xf borderId="34" fillId="16" fontId="4" numFmtId="165" xfId="0" applyBorder="1" applyFont="1" applyNumberFormat="1"/>
    <xf borderId="12" fillId="16" fontId="4" numFmtId="165" xfId="0" applyBorder="1" applyFont="1" applyNumberFormat="1"/>
    <xf borderId="19" fillId="0" fontId="4" numFmtId="0" xfId="0" applyAlignment="1" applyBorder="1" applyFont="1">
      <alignment horizontal="center" shrinkToFit="0" vertical="center" wrapText="1"/>
    </xf>
    <xf borderId="34" fillId="6" fontId="6" numFmtId="165" xfId="0" applyAlignment="1" applyBorder="1" applyFont="1" applyNumberFormat="1">
      <alignment horizontal="right"/>
    </xf>
    <xf borderId="12" fillId="6" fontId="6" numFmtId="165" xfId="0" applyAlignment="1" applyBorder="1" applyFont="1" applyNumberFormat="1">
      <alignment horizontal="right"/>
    </xf>
    <xf borderId="60" fillId="6" fontId="6" numFmtId="165" xfId="0" applyAlignment="1" applyBorder="1" applyFont="1" applyNumberFormat="1">
      <alignment horizontal="right"/>
    </xf>
    <xf borderId="0" fillId="0" fontId="6" numFmtId="165" xfId="0" applyAlignment="1" applyFont="1" applyNumberFormat="1">
      <alignment horizontal="right"/>
    </xf>
    <xf borderId="0" fillId="0" fontId="4" numFmtId="0" xfId="0" applyAlignment="1" applyFont="1">
      <alignment shrinkToFit="0" vertical="center" wrapText="1"/>
    </xf>
    <xf borderId="31" fillId="2" fontId="31" numFmtId="0" xfId="0" applyAlignment="1" applyBorder="1" applyFont="1">
      <alignment horizontal="center" shrinkToFit="0" vertical="center" wrapText="1"/>
    </xf>
    <xf borderId="32" fillId="2" fontId="31" numFmtId="0" xfId="0" applyAlignment="1" applyBorder="1" applyFont="1">
      <alignment horizontal="center" shrinkToFit="0" vertical="center" wrapText="1"/>
    </xf>
    <xf borderId="32" fillId="2" fontId="31" numFmtId="0" xfId="0" applyAlignment="1" applyBorder="1" applyFont="1">
      <alignment shrinkToFit="0" vertical="center" wrapText="1"/>
    </xf>
    <xf borderId="33" fillId="2" fontId="31" numFmtId="0" xfId="0" applyAlignment="1" applyBorder="1" applyFont="1">
      <alignment shrinkToFit="0" vertical="center" wrapText="1"/>
    </xf>
    <xf borderId="12" fillId="13" fontId="4" numFmtId="0" xfId="0" applyAlignment="1" applyBorder="1" applyFont="1">
      <alignment horizontal="center" shrinkToFit="0" vertical="center" wrapText="1"/>
    </xf>
    <xf borderId="12" fillId="13" fontId="6" numFmtId="0" xfId="0" applyAlignment="1" applyBorder="1" applyFont="1">
      <alignment horizontal="left" shrinkToFit="0" vertical="center" wrapText="1"/>
    </xf>
    <xf borderId="12" fillId="13" fontId="4" numFmtId="0" xfId="0" applyAlignment="1" applyBorder="1" applyFont="1">
      <alignment horizontal="left" shrinkToFit="0" vertical="center" wrapText="1"/>
    </xf>
    <xf borderId="12" fillId="13" fontId="4" numFmtId="165" xfId="0" applyAlignment="1" applyBorder="1" applyFont="1" applyNumberFormat="1">
      <alignment shrinkToFit="0" vertical="center" wrapText="1"/>
    </xf>
    <xf borderId="60" fillId="13" fontId="4" numFmtId="165" xfId="0" applyAlignment="1" applyBorder="1" applyFont="1" applyNumberFormat="1">
      <alignment shrinkToFit="0" vertical="center" wrapText="1"/>
    </xf>
    <xf borderId="0" fillId="0" fontId="4" numFmtId="164" xfId="0" applyAlignment="1" applyFont="1" applyNumberFormat="1">
      <alignment shrinkToFit="0" wrapText="1"/>
    </xf>
    <xf borderId="53" fillId="0" fontId="4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horizontal="center" shrinkToFit="0" vertical="center" wrapText="1"/>
    </xf>
    <xf borderId="12" fillId="15" fontId="9" numFmtId="165" xfId="0" applyAlignment="1" applyBorder="1" applyFont="1" applyNumberFormat="1">
      <alignment horizontal="center" shrinkToFit="0" vertical="center" wrapText="1"/>
    </xf>
    <xf borderId="54" fillId="0" fontId="4" numFmtId="165" xfId="0" applyAlignment="1" applyBorder="1" applyFont="1" applyNumberFormat="1">
      <alignment shrinkToFit="0" vertical="center" wrapText="1"/>
    </xf>
    <xf borderId="38" fillId="13" fontId="4" numFmtId="0" xfId="0" applyAlignment="1" applyBorder="1" applyFont="1">
      <alignment horizontal="center" shrinkToFit="0" vertical="center" wrapText="1"/>
    </xf>
    <xf borderId="35" fillId="13" fontId="6" numFmtId="0" xfId="0" applyAlignment="1" applyBorder="1" applyFont="1">
      <alignment horizontal="left" shrinkToFit="0" vertical="center" wrapText="1"/>
    </xf>
    <xf borderId="35" fillId="13" fontId="4" numFmtId="0" xfId="0" applyAlignment="1" applyBorder="1" applyFont="1">
      <alignment horizontal="center" shrinkToFit="0" vertical="center" wrapText="1"/>
    </xf>
    <xf borderId="35" fillId="13" fontId="4" numFmtId="165" xfId="0" applyAlignment="1" applyBorder="1" applyFont="1" applyNumberFormat="1">
      <alignment horizontal="center" shrinkToFit="0" vertical="center" wrapText="1"/>
    </xf>
    <xf borderId="35" fillId="13" fontId="4" numFmtId="165" xfId="0" applyAlignment="1" applyBorder="1" applyFont="1" applyNumberFormat="1">
      <alignment shrinkToFit="0" vertical="center" wrapText="1"/>
    </xf>
    <xf borderId="59" fillId="13" fontId="4" numFmtId="165" xfId="0" applyAlignment="1" applyBorder="1" applyFont="1" applyNumberFormat="1">
      <alignment shrinkToFit="0" vertical="center" wrapText="1"/>
    </xf>
    <xf borderId="55" fillId="0" fontId="4" numFmtId="0" xfId="0" applyAlignment="1" applyBorder="1" applyFont="1">
      <alignment horizontal="center" shrinkToFit="0" vertical="center" wrapText="1"/>
    </xf>
    <xf borderId="22" fillId="0" fontId="14" numFmtId="0" xfId="0" applyBorder="1" applyFont="1"/>
    <xf borderId="25" fillId="15" fontId="9" numFmtId="165" xfId="0" applyAlignment="1" applyBorder="1" applyFont="1" applyNumberFormat="1">
      <alignment horizontal="center" shrinkToFit="0" vertical="center" wrapText="1"/>
    </xf>
    <xf borderId="22" fillId="0" fontId="4" numFmtId="0" xfId="0" applyAlignment="1" applyBorder="1" applyFont="1">
      <alignment shrinkToFit="0" vertical="center" wrapText="1"/>
    </xf>
    <xf borderId="31" fillId="4" fontId="4" numFmtId="0" xfId="0" applyAlignment="1" applyBorder="1" applyFont="1">
      <alignment horizontal="center" shrinkToFit="0" vertical="center" wrapText="1"/>
    </xf>
    <xf borderId="61" fillId="4" fontId="6" numFmtId="0" xfId="0" applyAlignment="1" applyBorder="1" applyFont="1">
      <alignment horizontal="center" shrinkToFit="0" vertical="center" wrapText="1"/>
    </xf>
    <xf borderId="32" fillId="4" fontId="6" numFmtId="165" xfId="0" applyAlignment="1" applyBorder="1" applyFont="1" applyNumberFormat="1">
      <alignment horizontal="center" shrinkToFit="0" vertical="center" wrapText="1"/>
    </xf>
    <xf borderId="33" fillId="4" fontId="6" numFmtId="165" xfId="0" applyAlignment="1" applyBorder="1" applyFont="1" applyNumberFormat="1">
      <alignment horizontal="center" shrinkToFit="0" vertical="center" wrapText="1"/>
    </xf>
    <xf borderId="0" fillId="0" fontId="32" numFmtId="0" xfId="0" applyAlignment="1" applyFont="1">
      <alignment vertical="center"/>
    </xf>
    <xf borderId="0" fillId="0" fontId="33" numFmtId="0" xfId="0" applyAlignment="1" applyFont="1">
      <alignment vertical="center"/>
    </xf>
    <xf borderId="0" fillId="0" fontId="34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externalLink" Target="externalLinks/externalLink2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externalLink" Target="externalLinks/externalLink1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C:\Users\Manoj\Desktop\Financial%20GeM_Birla_2March21.xlsx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/Mittal/Project/GRID%20INDIA/Grid%20India_REC_Financesheet_v1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Summary"/>
      <sheetName val="Other Costs"/>
      <sheetName val="P&amp;L"/>
      <sheetName val="CFS"/>
      <sheetName val="BOQ"/>
      <sheetName val="Payment Terms"/>
      <sheetName val="Proposal"/>
      <sheetName val="OEM_Transfer"/>
      <sheetName val="Terms &amp; Con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Summary"/>
      <sheetName val="Other Costs"/>
      <sheetName val="Customer Quote Price"/>
      <sheetName val="Costing"/>
      <sheetName val="Elapse sheet"/>
      <sheetName val="P&amp;L"/>
      <sheetName val="Cash Flow"/>
      <sheetName val="Payment Terms_Grid India"/>
      <sheetName val="Terms &amp; Cond"/>
      <sheetName val="Person Day cost"/>
      <sheetName val="Effort Cost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7.0"/>
    <col customWidth="1" min="2" max="2" width="38.14"/>
    <col customWidth="1" min="3" max="3" width="11.71"/>
    <col customWidth="1" min="4" max="4" width="16.0"/>
    <col customWidth="1" min="5" max="5" width="14.29"/>
    <col customWidth="1" min="6" max="6" width="9.0"/>
    <col customWidth="1" min="7" max="7" width="9.43"/>
    <col customWidth="1" min="8" max="8" width="22.29"/>
    <col customWidth="1" min="9" max="9" width="21.0"/>
    <col customWidth="1" min="10" max="10" width="23.0"/>
    <col customWidth="1" min="11" max="27" width="9.14"/>
  </cols>
  <sheetData>
    <row r="1">
      <c r="A1" s="1"/>
      <c r="B1" s="2"/>
      <c r="C1" s="3"/>
      <c r="D1" s="1"/>
      <c r="E1" s="1" t="s">
        <v>0</v>
      </c>
      <c r="F1" s="1">
        <v>100000.0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"/>
      <c r="B2" s="4"/>
      <c r="C2" s="4"/>
      <c r="D2" s="4"/>
      <c r="E2" s="4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>
      <c r="A3" s="1"/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1"/>
      <c r="H3" s="5" t="s">
        <v>6</v>
      </c>
      <c r="I3" s="5" t="s">
        <v>7</v>
      </c>
      <c r="J3" s="5" t="s">
        <v>8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7.25" customHeight="1">
      <c r="A4" s="1"/>
      <c r="B4" s="6" t="s">
        <v>9</v>
      </c>
      <c r="C4" s="7" t="str">
        <f>'Customer Quote Price'!F12/F1</f>
        <v>#REF!</v>
      </c>
      <c r="D4" s="7" t="str">
        <f>'Customer Quote Price'!E12/F1</f>
        <v>#REF!</v>
      </c>
      <c r="E4" s="7" t="str">
        <f t="shared" ref="E4:E9" si="1">C4-D4</f>
        <v>#REF!</v>
      </c>
      <c r="F4" s="8" t="str">
        <f>E4/C4</f>
        <v>#REF!</v>
      </c>
      <c r="G4" s="1"/>
      <c r="H4" s="9" t="str">
        <f>(C4*10^5)/330</f>
        <v>#REF!</v>
      </c>
      <c r="I4" s="9" t="str">
        <f>H4/8/87</f>
        <v>#REF!</v>
      </c>
      <c r="J4" s="9" t="str">
        <f>H4*22</f>
        <v>#REF!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>
      <c r="A5" s="10"/>
      <c r="B5" s="11" t="s">
        <v>10</v>
      </c>
      <c r="C5" s="12">
        <v>0.0</v>
      </c>
      <c r="D5" s="13">
        <f>'Other Costs'!C6/F1</f>
        <v>0</v>
      </c>
      <c r="E5" s="13">
        <f t="shared" si="1"/>
        <v>0</v>
      </c>
      <c r="F5" s="14"/>
      <c r="G5" s="15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>
      <c r="A6" s="10"/>
      <c r="B6" s="11" t="s">
        <v>11</v>
      </c>
      <c r="C6" s="12">
        <v>0.0</v>
      </c>
      <c r="D6" s="13" t="str">
        <f>'Other Costs'!C7</f>
        <v/>
      </c>
      <c r="E6" s="13">
        <f t="shared" si="1"/>
        <v>0</v>
      </c>
      <c r="F6" s="14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3.5" customHeight="1">
      <c r="A7" s="10"/>
      <c r="B7" s="11" t="s">
        <v>12</v>
      </c>
      <c r="C7" s="12">
        <v>0.0</v>
      </c>
      <c r="D7" s="13">
        <f>'Other Costs'!C11/F1</f>
        <v>0</v>
      </c>
      <c r="E7" s="13">
        <f t="shared" si="1"/>
        <v>0</v>
      </c>
      <c r="F7" s="14"/>
      <c r="G7" s="16" t="s">
        <v>13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>
      <c r="A8" s="10"/>
      <c r="B8" s="11" t="s">
        <v>14</v>
      </c>
      <c r="C8" s="12">
        <v>0.0</v>
      </c>
      <c r="D8" s="13">
        <f>'Other Costs'!C13/F1</f>
        <v>0</v>
      </c>
      <c r="E8" s="13">
        <f t="shared" si="1"/>
        <v>0</v>
      </c>
      <c r="F8" s="14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>
      <c r="A9" s="10"/>
      <c r="B9" s="11" t="s">
        <v>15</v>
      </c>
      <c r="C9" s="12"/>
      <c r="D9" s="13">
        <f>'Other Costs'!C15/F1</f>
        <v>0.3402</v>
      </c>
      <c r="E9" s="13">
        <f t="shared" si="1"/>
        <v>-0.3402</v>
      </c>
      <c r="F9" s="14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>
      <c r="A10" s="10"/>
      <c r="B10" s="11" t="s">
        <v>16</v>
      </c>
      <c r="C10" s="12"/>
      <c r="D10" s="13">
        <f>'Other Costs'!C19/F1</f>
        <v>0</v>
      </c>
      <c r="E10" s="13">
        <f t="shared" ref="E10:E11" si="2">-D10</f>
        <v>0</v>
      </c>
      <c r="F10" s="14"/>
      <c r="G10" s="17"/>
      <c r="H10" s="1"/>
      <c r="I10" s="18"/>
      <c r="J10" s="18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>
      <c r="A11" s="10">
        <f>'Other Costs'!D23</f>
        <v>0.03</v>
      </c>
      <c r="B11" s="11" t="s">
        <v>17</v>
      </c>
      <c r="C11" s="12">
        <v>0.0</v>
      </c>
      <c r="D11" s="13" t="str">
        <f>'Other Costs'!C23/F1</f>
        <v>#REF!</v>
      </c>
      <c r="E11" s="13" t="str">
        <f t="shared" si="2"/>
        <v>#REF!</v>
      </c>
      <c r="F11" s="14"/>
      <c r="G11" s="1"/>
      <c r="H11" s="1"/>
      <c r="I11" s="18"/>
      <c r="J11" s="18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>
      <c r="A12" s="10"/>
      <c r="B12" s="19" t="s">
        <v>18</v>
      </c>
      <c r="C12" s="20" t="str">
        <f t="shared" ref="C12:E12" si="3">SUM(C4:C11)</f>
        <v>#REF!</v>
      </c>
      <c r="D12" s="20" t="str">
        <f t="shared" si="3"/>
        <v>#REF!</v>
      </c>
      <c r="E12" s="20" t="str">
        <f t="shared" si="3"/>
        <v>#REF!</v>
      </c>
      <c r="F12" s="21" t="str">
        <f>E12/C12</f>
        <v>#REF!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>
      <c r="A13" s="1"/>
      <c r="B13" s="19" t="s">
        <v>19</v>
      </c>
      <c r="C13" s="20"/>
      <c r="D13" s="20"/>
      <c r="E13" s="20">
        <f>C13-D13</f>
        <v>0</v>
      </c>
      <c r="F13" s="21"/>
      <c r="G13" s="1"/>
      <c r="H13" s="1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>
      <c r="A14" s="1"/>
      <c r="B14" s="19" t="s">
        <v>20</v>
      </c>
      <c r="C14" s="20"/>
      <c r="D14" s="20"/>
      <c r="E14" s="20" t="str">
        <f>E12+E13</f>
        <v>#REF!</v>
      </c>
      <c r="F14" s="21" t="str">
        <f>E14/$C$12</f>
        <v>#REF!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>
      <c r="A15" s="1"/>
      <c r="B15" s="19" t="s">
        <v>21</v>
      </c>
      <c r="C15" s="20"/>
      <c r="D15" s="20"/>
      <c r="E15" s="20" t="str">
        <f>E14*25.168/100</f>
        <v>#REF!</v>
      </c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>
      <c r="A16" s="1"/>
      <c r="B16" s="19" t="s">
        <v>22</v>
      </c>
      <c r="C16" s="20"/>
      <c r="D16" s="20"/>
      <c r="E16" s="20" t="str">
        <f>E14-E15</f>
        <v>#REF!</v>
      </c>
      <c r="F16" s="21" t="str">
        <f>E16/$C$12</f>
        <v>#REF!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>
      <c r="A17" s="1"/>
      <c r="B17" s="1"/>
      <c r="C17" s="1"/>
      <c r="D17" s="22"/>
      <c r="E17" s="23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>
      <c r="A18" s="1"/>
      <c r="B18" s="1"/>
      <c r="C18" s="1"/>
      <c r="D18" s="22"/>
      <c r="E18" s="22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>
      <c r="A19" s="1"/>
      <c r="B19" s="1" t="s">
        <v>23</v>
      </c>
      <c r="C19" s="24" t="str">
        <f>'Customer Quote Price'!F12/F1</f>
        <v>#REF!</v>
      </c>
      <c r="D19" s="24"/>
      <c r="E19" s="2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>
      <c r="A20" s="1"/>
      <c r="B20" s="1" t="s">
        <v>24</v>
      </c>
      <c r="C20" s="17" t="str">
        <f>'Customer Quote Price'!H12/F1</f>
        <v>#REF!</v>
      </c>
      <c r="D20" s="24"/>
      <c r="E20" s="24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5.75" customHeight="1">
      <c r="A21" s="1"/>
      <c r="B21" s="1"/>
      <c r="C21" s="1"/>
      <c r="D21" s="24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29.86"/>
    <col customWidth="1" min="3" max="3" width="16.43"/>
    <col customWidth="1" min="4" max="4" width="8.86"/>
    <col customWidth="1" min="5" max="5" width="20.57"/>
    <col customWidth="1" min="6" max="6" width="8.86"/>
    <col customWidth="1" min="7" max="7" width="13.29"/>
    <col customWidth="1" min="8" max="8" width="10.0"/>
    <col customWidth="1" min="9" max="26" width="8.86"/>
  </cols>
  <sheetData>
    <row r="1">
      <c r="B1" s="26"/>
      <c r="E1" s="26"/>
    </row>
    <row r="2">
      <c r="B2" s="27" t="s">
        <v>25</v>
      </c>
      <c r="C2" s="28" t="str">
        <f>'Customer Quote Price'!F12</f>
        <v>#REF!</v>
      </c>
      <c r="E2" s="26"/>
    </row>
    <row r="3">
      <c r="B3" s="27" t="s">
        <v>26</v>
      </c>
      <c r="C3" s="28" t="str">
        <f>'Customer Quote Price'!H12</f>
        <v>#REF!</v>
      </c>
      <c r="E3" s="26"/>
    </row>
    <row r="4">
      <c r="B4" s="29"/>
      <c r="C4" s="30"/>
      <c r="E4" s="26"/>
    </row>
    <row r="5">
      <c r="B5" s="31" t="s">
        <v>27</v>
      </c>
      <c r="C5" s="28">
        <f>SUM(C6:C7)</f>
        <v>0</v>
      </c>
      <c r="E5" s="26"/>
    </row>
    <row r="6">
      <c r="B6" s="29" t="s">
        <v>28</v>
      </c>
      <c r="C6" s="30">
        <v>0.0</v>
      </c>
      <c r="E6" s="32"/>
    </row>
    <row r="7">
      <c r="B7" s="29" t="s">
        <v>11</v>
      </c>
      <c r="C7" s="30"/>
      <c r="E7" s="26"/>
    </row>
    <row r="8">
      <c r="B8" s="29"/>
      <c r="C8" s="30"/>
      <c r="E8" s="26"/>
    </row>
    <row r="9">
      <c r="B9" s="33" t="s">
        <v>29</v>
      </c>
      <c r="C9" s="28"/>
      <c r="E9" s="26"/>
      <c r="G9" s="34"/>
    </row>
    <row r="10">
      <c r="B10" s="34" t="s">
        <v>30</v>
      </c>
      <c r="C10" s="30" t="str">
        <f>C3*D10</f>
        <v>#REF!</v>
      </c>
      <c r="D10" s="35">
        <v>0.0</v>
      </c>
      <c r="E10" s="32"/>
      <c r="F10" s="36"/>
      <c r="G10" s="37"/>
      <c r="I10" s="34"/>
    </row>
    <row r="11">
      <c r="B11" s="38" t="s">
        <v>31</v>
      </c>
      <c r="C11" s="39">
        <v>0.0</v>
      </c>
      <c r="D11" s="34"/>
      <c r="E11" s="26"/>
    </row>
    <row r="12">
      <c r="B12" s="29"/>
      <c r="C12" s="30"/>
      <c r="D12" s="34"/>
      <c r="E12" s="26"/>
    </row>
    <row r="13">
      <c r="B13" s="40" t="s">
        <v>32</v>
      </c>
      <c r="C13" s="28">
        <f>G10*D13</f>
        <v>0</v>
      </c>
      <c r="D13" s="35">
        <v>0.0</v>
      </c>
      <c r="E13" s="26"/>
    </row>
    <row r="14">
      <c r="B14" s="29"/>
      <c r="C14" s="30"/>
      <c r="E14" s="26"/>
    </row>
    <row r="15">
      <c r="B15" s="40" t="s">
        <v>33</v>
      </c>
      <c r="C15" s="28">
        <f>SUM(C16:C17)</f>
        <v>34020</v>
      </c>
      <c r="E15" s="26"/>
    </row>
    <row r="16">
      <c r="B16" s="29" t="s">
        <v>34</v>
      </c>
      <c r="C16" s="30"/>
      <c r="E16" s="26"/>
    </row>
    <row r="17">
      <c r="B17" s="29" t="s">
        <v>35</v>
      </c>
      <c r="C17" s="30">
        <f>'Server and Tools'!H21*D17</f>
        <v>34020</v>
      </c>
      <c r="D17" s="34">
        <v>90.0</v>
      </c>
      <c r="E17" s="26" t="s">
        <v>36</v>
      </c>
    </row>
    <row r="18">
      <c r="B18" s="26"/>
      <c r="C18" s="41"/>
      <c r="E18" s="26"/>
    </row>
    <row r="19">
      <c r="B19" s="40" t="s">
        <v>37</v>
      </c>
      <c r="C19" s="28"/>
      <c r="D19" s="42"/>
      <c r="E19" s="26"/>
    </row>
    <row r="20">
      <c r="C20" s="34"/>
      <c r="E20" s="26"/>
    </row>
    <row r="21" ht="15.75" customHeight="1">
      <c r="B21" s="43" t="s">
        <v>38</v>
      </c>
      <c r="C21" s="44"/>
      <c r="E21" s="26"/>
    </row>
    <row r="22" ht="15.75" customHeight="1">
      <c r="B22" s="29"/>
      <c r="C22" s="30"/>
      <c r="E22" s="26"/>
    </row>
    <row r="23" ht="15.75" customHeight="1">
      <c r="B23" s="40" t="s">
        <v>39</v>
      </c>
      <c r="C23" s="28" t="str">
        <f>C2*D23</f>
        <v>#REF!</v>
      </c>
      <c r="D23" s="42">
        <v>0.03</v>
      </c>
      <c r="E23" s="26"/>
    </row>
    <row r="24" ht="15.75" customHeight="1">
      <c r="E24" s="26"/>
    </row>
    <row r="25" ht="15.75" customHeight="1">
      <c r="E25" s="26"/>
    </row>
    <row r="26" ht="15.75" customHeight="1">
      <c r="E26" s="26"/>
    </row>
    <row r="27" ht="15.75" customHeight="1">
      <c r="E27" s="26"/>
    </row>
    <row r="28" ht="15.75" customHeight="1">
      <c r="E28" s="26"/>
    </row>
    <row r="29" ht="15.75" customHeight="1">
      <c r="E29" s="26"/>
    </row>
    <row r="30" ht="15.75" customHeight="1">
      <c r="E30" s="26"/>
    </row>
    <row r="31" ht="15.75" customHeight="1">
      <c r="E31" s="26"/>
    </row>
    <row r="32" ht="15.75" customHeight="1">
      <c r="E32" s="26"/>
    </row>
    <row r="33" ht="15.75" customHeight="1">
      <c r="E33" s="26"/>
    </row>
    <row r="34" ht="15.75" customHeight="1">
      <c r="E34" s="26"/>
    </row>
    <row r="35" ht="15.75" customHeight="1">
      <c r="E35" s="26"/>
    </row>
    <row r="36" ht="15.75" customHeight="1">
      <c r="E36" s="26"/>
    </row>
    <row r="37" ht="15.75" customHeight="1">
      <c r="E37" s="26"/>
    </row>
    <row r="38" ht="15.75" customHeight="1">
      <c r="E38" s="26"/>
    </row>
    <row r="39" ht="15.75" customHeight="1">
      <c r="E39" s="26"/>
    </row>
    <row r="40" ht="15.75" customHeight="1">
      <c r="E40" s="26"/>
    </row>
    <row r="41" ht="15.75" customHeight="1">
      <c r="E41" s="26"/>
    </row>
    <row r="42" ht="15.75" customHeight="1">
      <c r="E42" s="26"/>
    </row>
    <row r="43" ht="15.75" customHeight="1">
      <c r="E43" s="26"/>
    </row>
    <row r="44" ht="15.75" customHeight="1">
      <c r="E44" s="26"/>
    </row>
    <row r="45" ht="15.75" customHeight="1">
      <c r="E45" s="26"/>
    </row>
    <row r="46" ht="15.75" customHeight="1">
      <c r="E46" s="26"/>
    </row>
    <row r="47" ht="15.75" customHeight="1">
      <c r="E47" s="26"/>
    </row>
    <row r="48" ht="15.75" customHeight="1">
      <c r="E48" s="26"/>
    </row>
    <row r="49" ht="15.75" customHeight="1">
      <c r="E49" s="26"/>
    </row>
    <row r="50" ht="15.75" customHeight="1">
      <c r="E50" s="26"/>
    </row>
    <row r="51" ht="15.75" customHeight="1">
      <c r="E51" s="26"/>
    </row>
    <row r="52" ht="15.75" customHeight="1">
      <c r="E52" s="26"/>
    </row>
    <row r="53" ht="15.75" customHeight="1">
      <c r="E53" s="26"/>
    </row>
    <row r="54" ht="15.75" customHeight="1">
      <c r="E54" s="26"/>
    </row>
    <row r="55" ht="15.75" customHeight="1">
      <c r="E55" s="26"/>
    </row>
    <row r="56" ht="15.75" customHeight="1">
      <c r="E56" s="26"/>
    </row>
    <row r="57" ht="15.75" customHeight="1">
      <c r="E57" s="26"/>
    </row>
    <row r="58" ht="15.75" customHeight="1">
      <c r="E58" s="26"/>
    </row>
    <row r="59" ht="15.75" customHeight="1">
      <c r="E59" s="26"/>
    </row>
    <row r="60" ht="15.75" customHeight="1">
      <c r="E60" s="26"/>
    </row>
    <row r="61" ht="15.75" customHeight="1">
      <c r="E61" s="26"/>
    </row>
    <row r="62" ht="15.75" customHeight="1">
      <c r="E62" s="26"/>
    </row>
    <row r="63" ht="15.75" customHeight="1">
      <c r="E63" s="26"/>
    </row>
    <row r="64" ht="15.75" customHeight="1">
      <c r="E64" s="26"/>
    </row>
    <row r="65" ht="15.75" customHeight="1">
      <c r="E65" s="26"/>
    </row>
    <row r="66" ht="15.75" customHeight="1">
      <c r="E66" s="26"/>
    </row>
    <row r="67" ht="15.75" customHeight="1">
      <c r="E67" s="26"/>
    </row>
    <row r="68" ht="15.75" customHeight="1">
      <c r="E68" s="26"/>
    </row>
    <row r="69" ht="15.75" customHeight="1">
      <c r="E69" s="26"/>
    </row>
    <row r="70" ht="15.75" customHeight="1">
      <c r="E70" s="26"/>
    </row>
    <row r="71" ht="15.75" customHeight="1">
      <c r="E71" s="26"/>
    </row>
    <row r="72" ht="15.75" customHeight="1">
      <c r="E72" s="26"/>
    </row>
    <row r="73" ht="15.75" customHeight="1">
      <c r="E73" s="26"/>
    </row>
    <row r="74" ht="15.75" customHeight="1">
      <c r="E74" s="26"/>
    </row>
    <row r="75" ht="15.75" customHeight="1">
      <c r="E75" s="26"/>
    </row>
    <row r="76" ht="15.75" customHeight="1">
      <c r="E76" s="26"/>
    </row>
    <row r="77" ht="15.75" customHeight="1">
      <c r="E77" s="26"/>
    </row>
    <row r="78" ht="15.75" customHeight="1">
      <c r="E78" s="26"/>
    </row>
    <row r="79" ht="15.75" customHeight="1">
      <c r="E79" s="26"/>
    </row>
    <row r="80" ht="15.75" customHeight="1">
      <c r="E80" s="26"/>
    </row>
    <row r="81" ht="15.75" customHeight="1">
      <c r="E81" s="26"/>
    </row>
    <row r="82" ht="15.75" customHeight="1">
      <c r="E82" s="26"/>
    </row>
    <row r="83" ht="15.75" customHeight="1">
      <c r="E83" s="26"/>
    </row>
    <row r="84" ht="15.75" customHeight="1">
      <c r="E84" s="26"/>
    </row>
    <row r="85" ht="15.75" customHeight="1">
      <c r="E85" s="26"/>
    </row>
    <row r="86" ht="15.75" customHeight="1">
      <c r="E86" s="26"/>
    </row>
    <row r="87" ht="15.75" customHeight="1">
      <c r="E87" s="26"/>
    </row>
    <row r="88" ht="15.75" customHeight="1">
      <c r="E88" s="26"/>
    </row>
    <row r="89" ht="15.75" customHeight="1">
      <c r="E89" s="26"/>
    </row>
    <row r="90" ht="15.75" customHeight="1">
      <c r="E90" s="26"/>
    </row>
    <row r="91" ht="15.75" customHeight="1">
      <c r="E91" s="26"/>
    </row>
    <row r="92" ht="15.75" customHeight="1">
      <c r="E92" s="26"/>
    </row>
    <row r="93" ht="15.75" customHeight="1">
      <c r="E93" s="26"/>
    </row>
    <row r="94" ht="15.75" customHeight="1">
      <c r="E94" s="26"/>
    </row>
    <row r="95" ht="15.75" customHeight="1">
      <c r="E95" s="26"/>
    </row>
    <row r="96" ht="15.75" customHeight="1">
      <c r="E96" s="26"/>
    </row>
    <row r="97" ht="15.75" customHeight="1">
      <c r="E97" s="26"/>
    </row>
    <row r="98" ht="15.75" customHeight="1">
      <c r="E98" s="26"/>
    </row>
    <row r="99" ht="15.75" customHeight="1">
      <c r="E99" s="26"/>
    </row>
    <row r="100" ht="15.75" customHeight="1">
      <c r="E100" s="26"/>
    </row>
    <row r="101" ht="15.75" customHeight="1">
      <c r="E101" s="26"/>
    </row>
    <row r="102" ht="15.75" customHeight="1">
      <c r="E102" s="26"/>
    </row>
    <row r="103" ht="15.75" customHeight="1">
      <c r="E103" s="26"/>
    </row>
    <row r="104" ht="15.75" customHeight="1">
      <c r="E104" s="26"/>
    </row>
    <row r="105" ht="15.75" customHeight="1">
      <c r="E105" s="26"/>
    </row>
    <row r="106" ht="15.75" customHeight="1">
      <c r="E106" s="26"/>
    </row>
    <row r="107" ht="15.75" customHeight="1">
      <c r="E107" s="26"/>
    </row>
    <row r="108" ht="15.75" customHeight="1">
      <c r="E108" s="26"/>
    </row>
    <row r="109" ht="15.75" customHeight="1">
      <c r="E109" s="26"/>
    </row>
    <row r="110" ht="15.75" customHeight="1">
      <c r="E110" s="26"/>
    </row>
    <row r="111" ht="15.75" customHeight="1">
      <c r="E111" s="26"/>
    </row>
    <row r="112" ht="15.75" customHeight="1">
      <c r="E112" s="26"/>
    </row>
    <row r="113" ht="15.75" customHeight="1">
      <c r="E113" s="26"/>
    </row>
    <row r="114" ht="15.75" customHeight="1">
      <c r="E114" s="26"/>
    </row>
    <row r="115" ht="15.75" customHeight="1">
      <c r="E115" s="26"/>
    </row>
    <row r="116" ht="15.75" customHeight="1">
      <c r="E116" s="26"/>
    </row>
    <row r="117" ht="15.75" customHeight="1">
      <c r="E117" s="26"/>
    </row>
    <row r="118" ht="15.75" customHeight="1">
      <c r="E118" s="26"/>
    </row>
    <row r="119" ht="15.75" customHeight="1">
      <c r="E119" s="26"/>
    </row>
    <row r="120" ht="15.75" customHeight="1">
      <c r="E120" s="26"/>
    </row>
    <row r="121" ht="15.75" customHeight="1">
      <c r="E121" s="26"/>
    </row>
    <row r="122" ht="15.75" customHeight="1">
      <c r="E122" s="26"/>
    </row>
    <row r="123" ht="15.75" customHeight="1">
      <c r="E123" s="26"/>
    </row>
    <row r="124" ht="15.75" customHeight="1">
      <c r="E124" s="26"/>
    </row>
    <row r="125" ht="15.75" customHeight="1">
      <c r="E125" s="26"/>
    </row>
    <row r="126" ht="15.75" customHeight="1">
      <c r="E126" s="26"/>
    </row>
    <row r="127" ht="15.75" customHeight="1">
      <c r="E127" s="26"/>
    </row>
    <row r="128" ht="15.75" customHeight="1">
      <c r="E128" s="26"/>
    </row>
    <row r="129" ht="15.75" customHeight="1">
      <c r="E129" s="26"/>
    </row>
    <row r="130" ht="15.75" customHeight="1">
      <c r="E130" s="26"/>
    </row>
    <row r="131" ht="15.75" customHeight="1">
      <c r="E131" s="26"/>
    </row>
    <row r="132" ht="15.75" customHeight="1">
      <c r="E132" s="26"/>
    </row>
    <row r="133" ht="15.75" customHeight="1">
      <c r="E133" s="26"/>
    </row>
    <row r="134" ht="15.75" customHeight="1">
      <c r="E134" s="26"/>
    </row>
    <row r="135" ht="15.75" customHeight="1">
      <c r="E135" s="26"/>
    </row>
    <row r="136" ht="15.75" customHeight="1">
      <c r="E136" s="26"/>
    </row>
    <row r="137" ht="15.75" customHeight="1">
      <c r="E137" s="26"/>
    </row>
    <row r="138" ht="15.75" customHeight="1">
      <c r="E138" s="26"/>
    </row>
    <row r="139" ht="15.75" customHeight="1">
      <c r="E139" s="26"/>
    </row>
    <row r="140" ht="15.75" customHeight="1">
      <c r="E140" s="26"/>
    </row>
    <row r="141" ht="15.75" customHeight="1">
      <c r="E141" s="26"/>
    </row>
    <row r="142" ht="15.75" customHeight="1">
      <c r="E142" s="26"/>
    </row>
    <row r="143" ht="15.75" customHeight="1">
      <c r="E143" s="26"/>
    </row>
    <row r="144" ht="15.75" customHeight="1">
      <c r="E144" s="26"/>
    </row>
    <row r="145" ht="15.75" customHeight="1">
      <c r="E145" s="26"/>
    </row>
    <row r="146" ht="15.75" customHeight="1">
      <c r="E146" s="26"/>
    </row>
    <row r="147" ht="15.75" customHeight="1">
      <c r="E147" s="26"/>
    </row>
    <row r="148" ht="15.75" customHeight="1">
      <c r="E148" s="26"/>
    </row>
    <row r="149" ht="15.75" customHeight="1">
      <c r="E149" s="26"/>
    </row>
    <row r="150" ht="15.75" customHeight="1">
      <c r="E150" s="26"/>
    </row>
    <row r="151" ht="15.75" customHeight="1">
      <c r="E151" s="26"/>
    </row>
    <row r="152" ht="15.75" customHeight="1">
      <c r="E152" s="26"/>
    </row>
    <row r="153" ht="15.75" customHeight="1">
      <c r="E153" s="26"/>
    </row>
    <row r="154" ht="15.75" customHeight="1">
      <c r="E154" s="26"/>
    </row>
    <row r="155" ht="15.75" customHeight="1">
      <c r="E155" s="26"/>
    </row>
    <row r="156" ht="15.75" customHeight="1">
      <c r="E156" s="26"/>
    </row>
    <row r="157" ht="15.75" customHeight="1">
      <c r="E157" s="26"/>
    </row>
    <row r="158" ht="15.75" customHeight="1">
      <c r="E158" s="26"/>
    </row>
    <row r="159" ht="15.75" customHeight="1">
      <c r="E159" s="26"/>
    </row>
    <row r="160" ht="15.75" customHeight="1">
      <c r="E160" s="26"/>
    </row>
    <row r="161" ht="15.75" customHeight="1">
      <c r="E161" s="26"/>
    </row>
    <row r="162" ht="15.75" customHeight="1">
      <c r="E162" s="26"/>
    </row>
    <row r="163" ht="15.75" customHeight="1">
      <c r="E163" s="26"/>
    </row>
    <row r="164" ht="15.75" customHeight="1">
      <c r="E164" s="26"/>
    </row>
    <row r="165" ht="15.75" customHeight="1">
      <c r="E165" s="26"/>
    </row>
    <row r="166" ht="15.75" customHeight="1">
      <c r="E166" s="26"/>
    </row>
    <row r="167" ht="15.75" customHeight="1">
      <c r="E167" s="26"/>
    </row>
    <row r="168" ht="15.75" customHeight="1">
      <c r="E168" s="26"/>
    </row>
    <row r="169" ht="15.75" customHeight="1">
      <c r="E169" s="26"/>
    </row>
    <row r="170" ht="15.75" customHeight="1">
      <c r="E170" s="26"/>
    </row>
    <row r="171" ht="15.75" customHeight="1">
      <c r="E171" s="26"/>
    </row>
    <row r="172" ht="15.75" customHeight="1">
      <c r="E172" s="26"/>
    </row>
    <row r="173" ht="15.75" customHeight="1">
      <c r="E173" s="26"/>
    </row>
    <row r="174" ht="15.75" customHeight="1">
      <c r="E174" s="26"/>
    </row>
    <row r="175" ht="15.75" customHeight="1">
      <c r="E175" s="26"/>
    </row>
    <row r="176" ht="15.75" customHeight="1">
      <c r="E176" s="26"/>
    </row>
    <row r="177" ht="15.75" customHeight="1">
      <c r="E177" s="26"/>
    </row>
    <row r="178" ht="15.75" customHeight="1">
      <c r="E178" s="26"/>
    </row>
    <row r="179" ht="15.75" customHeight="1">
      <c r="E179" s="26"/>
    </row>
    <row r="180" ht="15.75" customHeight="1">
      <c r="E180" s="26"/>
    </row>
    <row r="181" ht="15.75" customHeight="1">
      <c r="E181" s="26"/>
    </row>
    <row r="182" ht="15.75" customHeight="1">
      <c r="E182" s="26"/>
    </row>
    <row r="183" ht="15.75" customHeight="1">
      <c r="E183" s="26"/>
    </row>
    <row r="184" ht="15.75" customHeight="1">
      <c r="E184" s="26"/>
    </row>
    <row r="185" ht="15.75" customHeight="1">
      <c r="E185" s="26"/>
    </row>
    <row r="186" ht="15.75" customHeight="1">
      <c r="E186" s="26"/>
    </row>
    <row r="187" ht="15.75" customHeight="1">
      <c r="E187" s="26"/>
    </row>
    <row r="188" ht="15.75" customHeight="1">
      <c r="E188" s="26"/>
    </row>
    <row r="189" ht="15.75" customHeight="1">
      <c r="E189" s="26"/>
    </row>
    <row r="190" ht="15.75" customHeight="1">
      <c r="E190" s="26"/>
    </row>
    <row r="191" ht="15.75" customHeight="1">
      <c r="E191" s="26"/>
    </row>
    <row r="192" ht="15.75" customHeight="1">
      <c r="E192" s="26"/>
    </row>
    <row r="193" ht="15.75" customHeight="1">
      <c r="E193" s="26"/>
    </row>
    <row r="194" ht="15.75" customHeight="1">
      <c r="E194" s="26"/>
    </row>
    <row r="195" ht="15.75" customHeight="1">
      <c r="E195" s="26"/>
    </row>
    <row r="196" ht="15.75" customHeight="1">
      <c r="E196" s="26"/>
    </row>
    <row r="197" ht="15.75" customHeight="1">
      <c r="E197" s="26"/>
    </row>
    <row r="198" ht="15.75" customHeight="1">
      <c r="E198" s="26"/>
    </row>
    <row r="199" ht="15.75" customHeight="1">
      <c r="E199" s="26"/>
    </row>
    <row r="200" ht="15.75" customHeight="1">
      <c r="E200" s="26"/>
    </row>
    <row r="201" ht="15.75" customHeight="1">
      <c r="E201" s="26"/>
    </row>
    <row r="202" ht="15.75" customHeight="1">
      <c r="E202" s="26"/>
    </row>
    <row r="203" ht="15.75" customHeight="1">
      <c r="E203" s="26"/>
    </row>
    <row r="204" ht="15.75" customHeight="1">
      <c r="E204" s="26"/>
    </row>
    <row r="205" ht="15.75" customHeight="1">
      <c r="E205" s="26"/>
    </row>
    <row r="206" ht="15.75" customHeight="1">
      <c r="E206" s="26"/>
    </row>
    <row r="207" ht="15.75" customHeight="1">
      <c r="E207" s="26"/>
    </row>
    <row r="208" ht="15.75" customHeight="1">
      <c r="E208" s="26"/>
    </row>
    <row r="209" ht="15.75" customHeight="1">
      <c r="E209" s="26"/>
    </row>
    <row r="210" ht="15.75" customHeight="1">
      <c r="E210" s="26"/>
    </row>
    <row r="211" ht="15.75" customHeight="1">
      <c r="E211" s="26"/>
    </row>
    <row r="212" ht="15.75" customHeight="1">
      <c r="E212" s="26"/>
    </row>
    <row r="213" ht="15.75" customHeight="1">
      <c r="E213" s="26"/>
    </row>
    <row r="214" ht="15.75" customHeight="1">
      <c r="E214" s="26"/>
    </row>
    <row r="215" ht="15.75" customHeight="1">
      <c r="E215" s="26"/>
    </row>
    <row r="216" ht="15.75" customHeight="1">
      <c r="E216" s="26"/>
    </row>
    <row r="217" ht="15.75" customHeight="1">
      <c r="E217" s="26"/>
    </row>
    <row r="218" ht="15.75" customHeight="1">
      <c r="E218" s="26"/>
    </row>
    <row r="219" ht="15.75" customHeight="1">
      <c r="E219" s="26"/>
    </row>
    <row r="220" ht="15.75" customHeight="1">
      <c r="E220" s="26"/>
    </row>
    <row r="221" ht="15.75" customHeight="1">
      <c r="E221" s="26"/>
    </row>
    <row r="222" ht="15.75" customHeight="1">
      <c r="E222" s="26"/>
    </row>
    <row r="223" ht="15.75" customHeight="1">
      <c r="E223" s="26"/>
    </row>
    <row r="224" ht="15.75" customHeight="1">
      <c r="E224" s="26"/>
    </row>
    <row r="225" ht="15.75" customHeight="1">
      <c r="E225" s="26"/>
    </row>
    <row r="226" ht="15.75" customHeight="1">
      <c r="E226" s="26"/>
    </row>
    <row r="227" ht="15.75" customHeight="1">
      <c r="E227" s="26"/>
    </row>
    <row r="228" ht="15.75" customHeight="1">
      <c r="E228" s="26"/>
    </row>
    <row r="229" ht="15.75" customHeight="1">
      <c r="E229" s="26"/>
    </row>
    <row r="230" ht="15.75" customHeight="1">
      <c r="E230" s="26"/>
    </row>
    <row r="231" ht="15.75" customHeight="1">
      <c r="E231" s="26"/>
    </row>
    <row r="232" ht="15.75" customHeight="1">
      <c r="E232" s="26"/>
    </row>
    <row r="233" ht="15.75" customHeight="1">
      <c r="E233" s="26"/>
    </row>
    <row r="234" ht="15.75" customHeight="1">
      <c r="E234" s="26"/>
    </row>
    <row r="235" ht="15.75" customHeight="1">
      <c r="E235" s="26"/>
    </row>
    <row r="236" ht="15.75" customHeight="1">
      <c r="E236" s="26"/>
    </row>
    <row r="237" ht="15.75" customHeight="1">
      <c r="E237" s="26"/>
    </row>
    <row r="238" ht="15.75" customHeight="1">
      <c r="E238" s="26"/>
    </row>
    <row r="239" ht="15.75" customHeight="1">
      <c r="E239" s="26"/>
    </row>
    <row r="240" ht="15.75" customHeight="1">
      <c r="E240" s="26"/>
    </row>
    <row r="241" ht="15.75" customHeight="1">
      <c r="E241" s="26"/>
    </row>
    <row r="242" ht="15.75" customHeight="1">
      <c r="E242" s="26"/>
    </row>
    <row r="243" ht="15.75" customHeight="1">
      <c r="E243" s="26"/>
    </row>
    <row r="244" ht="15.75" customHeight="1">
      <c r="E244" s="26"/>
    </row>
    <row r="245" ht="15.75" customHeight="1">
      <c r="E245" s="26"/>
    </row>
    <row r="246" ht="15.75" customHeight="1">
      <c r="E246" s="26"/>
    </row>
    <row r="247" ht="15.75" customHeight="1">
      <c r="E247" s="26"/>
    </row>
    <row r="248" ht="15.75" customHeight="1">
      <c r="E248" s="26"/>
    </row>
    <row r="249" ht="15.75" customHeight="1">
      <c r="E249" s="26"/>
    </row>
    <row r="250" ht="15.75" customHeight="1">
      <c r="E250" s="26"/>
    </row>
    <row r="251" ht="15.75" customHeight="1">
      <c r="E251" s="26"/>
    </row>
    <row r="252" ht="15.75" customHeight="1">
      <c r="E252" s="26"/>
    </row>
    <row r="253" ht="15.75" customHeight="1">
      <c r="E253" s="26"/>
    </row>
    <row r="254" ht="15.75" customHeight="1">
      <c r="E254" s="26"/>
    </row>
    <row r="255" ht="15.75" customHeight="1">
      <c r="E255" s="26"/>
    </row>
    <row r="256" ht="15.75" customHeight="1">
      <c r="E256" s="26"/>
    </row>
    <row r="257" ht="15.75" customHeight="1">
      <c r="E257" s="26"/>
    </row>
    <row r="258" ht="15.75" customHeight="1">
      <c r="E258" s="26"/>
    </row>
    <row r="259" ht="15.75" customHeight="1">
      <c r="E259" s="26"/>
    </row>
    <row r="260" ht="15.75" customHeight="1">
      <c r="E260" s="26"/>
    </row>
    <row r="261" ht="15.75" customHeight="1">
      <c r="E261" s="26"/>
    </row>
    <row r="262" ht="15.75" customHeight="1">
      <c r="E262" s="26"/>
    </row>
    <row r="263" ht="15.75" customHeight="1">
      <c r="E263" s="26"/>
    </row>
    <row r="264" ht="15.75" customHeight="1">
      <c r="E264" s="26"/>
    </row>
    <row r="265" ht="15.75" customHeight="1">
      <c r="E265" s="26"/>
    </row>
    <row r="266" ht="15.75" customHeight="1">
      <c r="E266" s="26"/>
    </row>
    <row r="267" ht="15.75" customHeight="1">
      <c r="E267" s="26"/>
    </row>
    <row r="268" ht="15.75" customHeight="1">
      <c r="E268" s="26"/>
    </row>
    <row r="269" ht="15.75" customHeight="1">
      <c r="E269" s="26"/>
    </row>
    <row r="270" ht="15.75" customHeight="1">
      <c r="E270" s="26"/>
    </row>
    <row r="271" ht="15.75" customHeight="1">
      <c r="E271" s="26"/>
    </row>
    <row r="272" ht="15.75" customHeight="1">
      <c r="E272" s="26"/>
    </row>
    <row r="273" ht="15.75" customHeight="1">
      <c r="E273" s="26"/>
    </row>
    <row r="274" ht="15.75" customHeight="1">
      <c r="E274" s="26"/>
    </row>
    <row r="275" ht="15.75" customHeight="1">
      <c r="E275" s="26"/>
    </row>
    <row r="276" ht="15.75" customHeight="1">
      <c r="E276" s="26"/>
    </row>
    <row r="277" ht="15.75" customHeight="1">
      <c r="E277" s="26"/>
    </row>
    <row r="278" ht="15.75" customHeight="1">
      <c r="E278" s="26"/>
    </row>
    <row r="279" ht="15.75" customHeight="1">
      <c r="E279" s="26"/>
    </row>
    <row r="280" ht="15.75" customHeight="1">
      <c r="E280" s="26"/>
    </row>
    <row r="281" ht="15.75" customHeight="1">
      <c r="E281" s="26"/>
    </row>
    <row r="282" ht="15.75" customHeight="1">
      <c r="E282" s="26"/>
    </row>
    <row r="283" ht="15.75" customHeight="1">
      <c r="E283" s="26"/>
    </row>
    <row r="284" ht="15.75" customHeight="1">
      <c r="E284" s="26"/>
    </row>
    <row r="285" ht="15.75" customHeight="1">
      <c r="E285" s="26"/>
    </row>
    <row r="286" ht="15.75" customHeight="1">
      <c r="E286" s="26"/>
    </row>
    <row r="287" ht="15.75" customHeight="1">
      <c r="E287" s="26"/>
    </row>
    <row r="288" ht="15.75" customHeight="1">
      <c r="E288" s="26"/>
    </row>
    <row r="289" ht="15.75" customHeight="1">
      <c r="E289" s="26"/>
    </row>
    <row r="290" ht="15.75" customHeight="1">
      <c r="E290" s="26"/>
    </row>
    <row r="291" ht="15.75" customHeight="1">
      <c r="E291" s="26"/>
    </row>
    <row r="292" ht="15.75" customHeight="1">
      <c r="E292" s="26"/>
    </row>
    <row r="293" ht="15.75" customHeight="1">
      <c r="E293" s="26"/>
    </row>
    <row r="294" ht="15.75" customHeight="1">
      <c r="E294" s="26"/>
    </row>
    <row r="295" ht="15.75" customHeight="1">
      <c r="E295" s="26"/>
    </row>
    <row r="296" ht="15.75" customHeight="1">
      <c r="E296" s="26"/>
    </row>
    <row r="297" ht="15.75" customHeight="1">
      <c r="E297" s="26"/>
    </row>
    <row r="298" ht="15.75" customHeight="1">
      <c r="E298" s="26"/>
    </row>
    <row r="299" ht="15.75" customHeight="1">
      <c r="E299" s="26"/>
    </row>
    <row r="300" ht="15.75" customHeight="1">
      <c r="E300" s="26"/>
    </row>
    <row r="301" ht="15.75" customHeight="1">
      <c r="E301" s="26"/>
    </row>
    <row r="302" ht="15.75" customHeight="1">
      <c r="E302" s="26"/>
    </row>
    <row r="303" ht="15.75" customHeight="1">
      <c r="E303" s="26"/>
    </row>
    <row r="304" ht="15.75" customHeight="1">
      <c r="E304" s="26"/>
    </row>
    <row r="305" ht="15.75" customHeight="1">
      <c r="E305" s="26"/>
    </row>
    <row r="306" ht="15.75" customHeight="1">
      <c r="E306" s="26"/>
    </row>
    <row r="307" ht="15.75" customHeight="1">
      <c r="E307" s="26"/>
    </row>
    <row r="308" ht="15.75" customHeight="1">
      <c r="E308" s="26"/>
    </row>
    <row r="309" ht="15.75" customHeight="1">
      <c r="E309" s="26"/>
    </row>
    <row r="310" ht="15.75" customHeight="1">
      <c r="E310" s="26"/>
    </row>
    <row r="311" ht="15.75" customHeight="1">
      <c r="E311" s="26"/>
    </row>
    <row r="312" ht="15.75" customHeight="1">
      <c r="E312" s="26"/>
    </row>
    <row r="313" ht="15.75" customHeight="1">
      <c r="E313" s="26"/>
    </row>
    <row r="314" ht="15.75" customHeight="1">
      <c r="E314" s="26"/>
    </row>
    <row r="315" ht="15.75" customHeight="1">
      <c r="E315" s="26"/>
    </row>
    <row r="316" ht="15.75" customHeight="1">
      <c r="E316" s="26"/>
    </row>
    <row r="317" ht="15.75" customHeight="1">
      <c r="E317" s="26"/>
    </row>
    <row r="318" ht="15.75" customHeight="1">
      <c r="E318" s="26"/>
    </row>
    <row r="319" ht="15.75" customHeight="1">
      <c r="E319" s="26"/>
    </row>
    <row r="320" ht="15.75" customHeight="1">
      <c r="E320" s="26"/>
    </row>
    <row r="321" ht="15.75" customHeight="1">
      <c r="E321" s="26"/>
    </row>
    <row r="322" ht="15.75" customHeight="1">
      <c r="E322" s="26"/>
    </row>
    <row r="323" ht="15.75" customHeight="1">
      <c r="E323" s="26"/>
    </row>
    <row r="324" ht="15.75" customHeight="1">
      <c r="E324" s="26"/>
    </row>
    <row r="325" ht="15.75" customHeight="1">
      <c r="E325" s="26"/>
    </row>
    <row r="326" ht="15.75" customHeight="1">
      <c r="E326" s="26"/>
    </row>
    <row r="327" ht="15.75" customHeight="1">
      <c r="E327" s="26"/>
    </row>
    <row r="328" ht="15.75" customHeight="1">
      <c r="E328" s="26"/>
    </row>
    <row r="329" ht="15.75" customHeight="1">
      <c r="E329" s="26"/>
    </row>
    <row r="330" ht="15.75" customHeight="1">
      <c r="E330" s="26"/>
    </row>
    <row r="331" ht="15.75" customHeight="1">
      <c r="E331" s="26"/>
    </row>
    <row r="332" ht="15.75" customHeight="1">
      <c r="E332" s="26"/>
    </row>
    <row r="333" ht="15.75" customHeight="1">
      <c r="E333" s="26"/>
    </row>
    <row r="334" ht="15.75" customHeight="1">
      <c r="E334" s="26"/>
    </row>
    <row r="335" ht="15.75" customHeight="1">
      <c r="E335" s="26"/>
    </row>
    <row r="336" ht="15.75" customHeight="1">
      <c r="E336" s="26"/>
    </row>
    <row r="337" ht="15.75" customHeight="1">
      <c r="E337" s="26"/>
    </row>
    <row r="338" ht="15.75" customHeight="1">
      <c r="E338" s="26"/>
    </row>
    <row r="339" ht="15.75" customHeight="1">
      <c r="E339" s="26"/>
    </row>
    <row r="340" ht="15.75" customHeight="1">
      <c r="E340" s="26"/>
    </row>
    <row r="341" ht="15.75" customHeight="1">
      <c r="E341" s="26"/>
    </row>
    <row r="342" ht="15.75" customHeight="1">
      <c r="E342" s="26"/>
    </row>
    <row r="343" ht="15.75" customHeight="1">
      <c r="E343" s="26"/>
    </row>
    <row r="344" ht="15.75" customHeight="1">
      <c r="E344" s="26"/>
    </row>
    <row r="345" ht="15.75" customHeight="1">
      <c r="E345" s="26"/>
    </row>
    <row r="346" ht="15.75" customHeight="1">
      <c r="E346" s="26"/>
    </row>
    <row r="347" ht="15.75" customHeight="1">
      <c r="E347" s="26"/>
    </row>
    <row r="348" ht="15.75" customHeight="1">
      <c r="E348" s="26"/>
    </row>
    <row r="349" ht="15.75" customHeight="1">
      <c r="E349" s="26"/>
    </row>
    <row r="350" ht="15.75" customHeight="1">
      <c r="E350" s="26"/>
    </row>
    <row r="351" ht="15.75" customHeight="1">
      <c r="E351" s="26"/>
    </row>
    <row r="352" ht="15.75" customHeight="1">
      <c r="E352" s="26"/>
    </row>
    <row r="353" ht="15.75" customHeight="1">
      <c r="E353" s="26"/>
    </row>
    <row r="354" ht="15.75" customHeight="1">
      <c r="E354" s="26"/>
    </row>
    <row r="355" ht="15.75" customHeight="1">
      <c r="E355" s="26"/>
    </row>
    <row r="356" ht="15.75" customHeight="1">
      <c r="E356" s="26"/>
    </row>
    <row r="357" ht="15.75" customHeight="1">
      <c r="E357" s="26"/>
    </row>
    <row r="358" ht="15.75" customHeight="1">
      <c r="E358" s="26"/>
    </row>
    <row r="359" ht="15.75" customHeight="1">
      <c r="E359" s="26"/>
    </row>
    <row r="360" ht="15.75" customHeight="1">
      <c r="E360" s="26"/>
    </row>
    <row r="361" ht="15.75" customHeight="1">
      <c r="E361" s="26"/>
    </row>
    <row r="362" ht="15.75" customHeight="1">
      <c r="E362" s="26"/>
    </row>
    <row r="363" ht="15.75" customHeight="1">
      <c r="E363" s="26"/>
    </row>
    <row r="364" ht="15.75" customHeight="1">
      <c r="E364" s="26"/>
    </row>
    <row r="365" ht="15.75" customHeight="1">
      <c r="E365" s="26"/>
    </row>
    <row r="366" ht="15.75" customHeight="1">
      <c r="E366" s="26"/>
    </row>
    <row r="367" ht="15.75" customHeight="1">
      <c r="E367" s="26"/>
    </row>
    <row r="368" ht="15.75" customHeight="1">
      <c r="E368" s="26"/>
    </row>
    <row r="369" ht="15.75" customHeight="1">
      <c r="E369" s="26"/>
    </row>
    <row r="370" ht="15.75" customHeight="1">
      <c r="E370" s="26"/>
    </row>
    <row r="371" ht="15.75" customHeight="1">
      <c r="E371" s="26"/>
    </row>
    <row r="372" ht="15.75" customHeight="1">
      <c r="E372" s="26"/>
    </row>
    <row r="373" ht="15.75" customHeight="1">
      <c r="E373" s="26"/>
    </row>
    <row r="374" ht="15.75" customHeight="1">
      <c r="E374" s="26"/>
    </row>
    <row r="375" ht="15.75" customHeight="1">
      <c r="E375" s="26"/>
    </row>
    <row r="376" ht="15.75" customHeight="1">
      <c r="E376" s="26"/>
    </row>
    <row r="377" ht="15.75" customHeight="1">
      <c r="E377" s="26"/>
    </row>
    <row r="378" ht="15.75" customHeight="1">
      <c r="E378" s="26"/>
    </row>
    <row r="379" ht="15.75" customHeight="1">
      <c r="E379" s="26"/>
    </row>
    <row r="380" ht="15.75" customHeight="1">
      <c r="E380" s="26"/>
    </row>
    <row r="381" ht="15.75" customHeight="1">
      <c r="E381" s="26"/>
    </row>
    <row r="382" ht="15.75" customHeight="1">
      <c r="E382" s="26"/>
    </row>
    <row r="383" ht="15.75" customHeight="1">
      <c r="E383" s="26"/>
    </row>
    <row r="384" ht="15.75" customHeight="1">
      <c r="E384" s="26"/>
    </row>
    <row r="385" ht="15.75" customHeight="1">
      <c r="E385" s="26"/>
    </row>
    <row r="386" ht="15.75" customHeight="1">
      <c r="E386" s="26"/>
    </row>
    <row r="387" ht="15.75" customHeight="1">
      <c r="E387" s="26"/>
    </row>
    <row r="388" ht="15.75" customHeight="1">
      <c r="E388" s="26"/>
    </row>
    <row r="389" ht="15.75" customHeight="1">
      <c r="E389" s="26"/>
    </row>
    <row r="390" ht="15.75" customHeight="1">
      <c r="E390" s="26"/>
    </row>
    <row r="391" ht="15.75" customHeight="1">
      <c r="E391" s="26"/>
    </row>
    <row r="392" ht="15.75" customHeight="1">
      <c r="E392" s="26"/>
    </row>
    <row r="393" ht="15.75" customHeight="1">
      <c r="E393" s="26"/>
    </row>
    <row r="394" ht="15.75" customHeight="1">
      <c r="E394" s="26"/>
    </row>
    <row r="395" ht="15.75" customHeight="1">
      <c r="E395" s="26"/>
    </row>
    <row r="396" ht="15.75" customHeight="1">
      <c r="E396" s="26"/>
    </row>
    <row r="397" ht="15.75" customHeight="1">
      <c r="E397" s="26"/>
    </row>
    <row r="398" ht="15.75" customHeight="1">
      <c r="E398" s="26"/>
    </row>
    <row r="399" ht="15.75" customHeight="1">
      <c r="E399" s="26"/>
    </row>
    <row r="400" ht="15.75" customHeight="1">
      <c r="E400" s="26"/>
    </row>
    <row r="401" ht="15.75" customHeight="1">
      <c r="E401" s="26"/>
    </row>
    <row r="402" ht="15.75" customHeight="1">
      <c r="E402" s="26"/>
    </row>
    <row r="403" ht="15.75" customHeight="1">
      <c r="E403" s="26"/>
    </row>
    <row r="404" ht="15.75" customHeight="1">
      <c r="E404" s="26"/>
    </row>
    <row r="405" ht="15.75" customHeight="1">
      <c r="E405" s="26"/>
    </row>
    <row r="406" ht="15.75" customHeight="1">
      <c r="E406" s="26"/>
    </row>
    <row r="407" ht="15.75" customHeight="1">
      <c r="E407" s="26"/>
    </row>
    <row r="408" ht="15.75" customHeight="1">
      <c r="E408" s="26"/>
    </row>
    <row r="409" ht="15.75" customHeight="1">
      <c r="E409" s="26"/>
    </row>
    <row r="410" ht="15.75" customHeight="1">
      <c r="E410" s="26"/>
    </row>
    <row r="411" ht="15.75" customHeight="1">
      <c r="E411" s="26"/>
    </row>
    <row r="412" ht="15.75" customHeight="1">
      <c r="E412" s="26"/>
    </row>
    <row r="413" ht="15.75" customHeight="1">
      <c r="E413" s="26"/>
    </row>
    <row r="414" ht="15.75" customHeight="1">
      <c r="E414" s="26"/>
    </row>
    <row r="415" ht="15.75" customHeight="1">
      <c r="E415" s="26"/>
    </row>
    <row r="416" ht="15.75" customHeight="1">
      <c r="E416" s="26"/>
    </row>
    <row r="417" ht="15.75" customHeight="1">
      <c r="E417" s="26"/>
    </row>
    <row r="418" ht="15.75" customHeight="1">
      <c r="E418" s="26"/>
    </row>
    <row r="419" ht="15.75" customHeight="1">
      <c r="E419" s="26"/>
    </row>
    <row r="420" ht="15.75" customHeight="1">
      <c r="E420" s="26"/>
    </row>
    <row r="421" ht="15.75" customHeight="1">
      <c r="E421" s="26"/>
    </row>
    <row r="422" ht="15.75" customHeight="1">
      <c r="E422" s="26"/>
    </row>
    <row r="423" ht="15.75" customHeight="1">
      <c r="E423" s="26"/>
    </row>
    <row r="424" ht="15.75" customHeight="1">
      <c r="E424" s="26"/>
    </row>
    <row r="425" ht="15.75" customHeight="1">
      <c r="E425" s="26"/>
    </row>
    <row r="426" ht="15.75" customHeight="1">
      <c r="E426" s="26"/>
    </row>
    <row r="427" ht="15.75" customHeight="1">
      <c r="E427" s="26"/>
    </row>
    <row r="428" ht="15.75" customHeight="1">
      <c r="E428" s="26"/>
    </row>
    <row r="429" ht="15.75" customHeight="1">
      <c r="E429" s="26"/>
    </row>
    <row r="430" ht="15.75" customHeight="1">
      <c r="E430" s="26"/>
    </row>
    <row r="431" ht="15.75" customHeight="1">
      <c r="E431" s="26"/>
    </row>
    <row r="432" ht="15.75" customHeight="1">
      <c r="E432" s="26"/>
    </row>
    <row r="433" ht="15.75" customHeight="1">
      <c r="E433" s="26"/>
    </row>
    <row r="434" ht="15.75" customHeight="1">
      <c r="E434" s="26"/>
    </row>
    <row r="435" ht="15.75" customHeight="1">
      <c r="E435" s="26"/>
    </row>
    <row r="436" ht="15.75" customHeight="1">
      <c r="E436" s="26"/>
    </row>
    <row r="437" ht="15.75" customHeight="1">
      <c r="E437" s="26"/>
    </row>
    <row r="438" ht="15.75" customHeight="1">
      <c r="E438" s="26"/>
    </row>
    <row r="439" ht="15.75" customHeight="1">
      <c r="E439" s="26"/>
    </row>
    <row r="440" ht="15.75" customHeight="1">
      <c r="E440" s="26"/>
    </row>
    <row r="441" ht="15.75" customHeight="1">
      <c r="E441" s="26"/>
    </row>
    <row r="442" ht="15.75" customHeight="1">
      <c r="E442" s="26"/>
    </row>
    <row r="443" ht="15.75" customHeight="1">
      <c r="E443" s="26"/>
    </row>
    <row r="444" ht="15.75" customHeight="1">
      <c r="E444" s="26"/>
    </row>
    <row r="445" ht="15.75" customHeight="1">
      <c r="E445" s="26"/>
    </row>
    <row r="446" ht="15.75" customHeight="1">
      <c r="E446" s="26"/>
    </row>
    <row r="447" ht="15.75" customHeight="1">
      <c r="E447" s="26"/>
    </row>
    <row r="448" ht="15.75" customHeight="1">
      <c r="E448" s="26"/>
    </row>
    <row r="449" ht="15.75" customHeight="1">
      <c r="E449" s="26"/>
    </row>
    <row r="450" ht="15.75" customHeight="1">
      <c r="E450" s="26"/>
    </row>
    <row r="451" ht="15.75" customHeight="1">
      <c r="E451" s="26"/>
    </row>
    <row r="452" ht="15.75" customHeight="1">
      <c r="E452" s="26"/>
    </row>
    <row r="453" ht="15.75" customHeight="1">
      <c r="E453" s="26"/>
    </row>
    <row r="454" ht="15.75" customHeight="1">
      <c r="E454" s="26"/>
    </row>
    <row r="455" ht="15.75" customHeight="1">
      <c r="E455" s="26"/>
    </row>
    <row r="456" ht="15.75" customHeight="1">
      <c r="E456" s="26"/>
    </row>
    <row r="457" ht="15.75" customHeight="1">
      <c r="E457" s="26"/>
    </row>
    <row r="458" ht="15.75" customHeight="1">
      <c r="E458" s="26"/>
    </row>
    <row r="459" ht="15.75" customHeight="1">
      <c r="E459" s="26"/>
    </row>
    <row r="460" ht="15.75" customHeight="1">
      <c r="E460" s="26"/>
    </row>
    <row r="461" ht="15.75" customHeight="1">
      <c r="E461" s="26"/>
    </row>
    <row r="462" ht="15.75" customHeight="1">
      <c r="E462" s="26"/>
    </row>
    <row r="463" ht="15.75" customHeight="1">
      <c r="E463" s="26"/>
    </row>
    <row r="464" ht="15.75" customHeight="1">
      <c r="E464" s="26"/>
    </row>
    <row r="465" ht="15.75" customHeight="1">
      <c r="E465" s="26"/>
    </row>
    <row r="466" ht="15.75" customHeight="1">
      <c r="E466" s="26"/>
    </row>
    <row r="467" ht="15.75" customHeight="1">
      <c r="E467" s="26"/>
    </row>
    <row r="468" ht="15.75" customHeight="1">
      <c r="E468" s="26"/>
    </row>
    <row r="469" ht="15.75" customHeight="1">
      <c r="E469" s="26"/>
    </row>
    <row r="470" ht="15.75" customHeight="1">
      <c r="E470" s="26"/>
    </row>
    <row r="471" ht="15.75" customHeight="1">
      <c r="E471" s="26"/>
    </row>
    <row r="472" ht="15.75" customHeight="1">
      <c r="E472" s="26"/>
    </row>
    <row r="473" ht="15.75" customHeight="1">
      <c r="E473" s="26"/>
    </row>
    <row r="474" ht="15.75" customHeight="1">
      <c r="E474" s="26"/>
    </row>
    <row r="475" ht="15.75" customHeight="1">
      <c r="E475" s="26"/>
    </row>
    <row r="476" ht="15.75" customHeight="1">
      <c r="E476" s="26"/>
    </row>
    <row r="477" ht="15.75" customHeight="1">
      <c r="E477" s="26"/>
    </row>
    <row r="478" ht="15.75" customHeight="1">
      <c r="E478" s="26"/>
    </row>
    <row r="479" ht="15.75" customHeight="1">
      <c r="E479" s="26"/>
    </row>
    <row r="480" ht="15.75" customHeight="1">
      <c r="E480" s="26"/>
    </row>
    <row r="481" ht="15.75" customHeight="1">
      <c r="E481" s="26"/>
    </row>
    <row r="482" ht="15.75" customHeight="1">
      <c r="E482" s="26"/>
    </row>
    <row r="483" ht="15.75" customHeight="1">
      <c r="E483" s="26"/>
    </row>
    <row r="484" ht="15.75" customHeight="1">
      <c r="E484" s="26"/>
    </row>
    <row r="485" ht="15.75" customHeight="1">
      <c r="E485" s="26"/>
    </row>
    <row r="486" ht="15.75" customHeight="1">
      <c r="E486" s="26"/>
    </row>
    <row r="487" ht="15.75" customHeight="1">
      <c r="E487" s="26"/>
    </row>
    <row r="488" ht="15.75" customHeight="1">
      <c r="E488" s="26"/>
    </row>
    <row r="489" ht="15.75" customHeight="1">
      <c r="E489" s="26"/>
    </row>
    <row r="490" ht="15.75" customHeight="1">
      <c r="E490" s="26"/>
    </row>
    <row r="491" ht="15.75" customHeight="1">
      <c r="E491" s="26"/>
    </row>
    <row r="492" ht="15.75" customHeight="1">
      <c r="E492" s="26"/>
    </row>
    <row r="493" ht="15.75" customHeight="1">
      <c r="E493" s="26"/>
    </row>
    <row r="494" ht="15.75" customHeight="1">
      <c r="E494" s="26"/>
    </row>
    <row r="495" ht="15.75" customHeight="1">
      <c r="E495" s="26"/>
    </row>
    <row r="496" ht="15.75" customHeight="1">
      <c r="E496" s="26"/>
    </row>
    <row r="497" ht="15.75" customHeight="1">
      <c r="E497" s="26"/>
    </row>
    <row r="498" ht="15.75" customHeight="1">
      <c r="E498" s="26"/>
    </row>
    <row r="499" ht="15.75" customHeight="1">
      <c r="E499" s="26"/>
    </row>
    <row r="500" ht="15.75" customHeight="1">
      <c r="E500" s="26"/>
    </row>
    <row r="501" ht="15.75" customHeight="1">
      <c r="E501" s="26"/>
    </row>
    <row r="502" ht="15.75" customHeight="1">
      <c r="E502" s="26"/>
    </row>
    <row r="503" ht="15.75" customHeight="1">
      <c r="E503" s="26"/>
    </row>
    <row r="504" ht="15.75" customHeight="1">
      <c r="E504" s="26"/>
    </row>
    <row r="505" ht="15.75" customHeight="1">
      <c r="E505" s="26"/>
    </row>
    <row r="506" ht="15.75" customHeight="1">
      <c r="E506" s="26"/>
    </row>
    <row r="507" ht="15.75" customHeight="1">
      <c r="E507" s="26"/>
    </row>
    <row r="508" ht="15.75" customHeight="1">
      <c r="E508" s="26"/>
    </row>
    <row r="509" ht="15.75" customHeight="1">
      <c r="E509" s="26"/>
    </row>
    <row r="510" ht="15.75" customHeight="1">
      <c r="E510" s="26"/>
    </row>
    <row r="511" ht="15.75" customHeight="1">
      <c r="E511" s="26"/>
    </row>
    <row r="512" ht="15.75" customHeight="1">
      <c r="E512" s="26"/>
    </row>
    <row r="513" ht="15.75" customHeight="1">
      <c r="E513" s="26"/>
    </row>
    <row r="514" ht="15.75" customHeight="1">
      <c r="E514" s="26"/>
    </row>
    <row r="515" ht="15.75" customHeight="1">
      <c r="E515" s="26"/>
    </row>
    <row r="516" ht="15.75" customHeight="1">
      <c r="E516" s="26"/>
    </row>
    <row r="517" ht="15.75" customHeight="1">
      <c r="E517" s="26"/>
    </row>
    <row r="518" ht="15.75" customHeight="1">
      <c r="E518" s="26"/>
    </row>
    <row r="519" ht="15.75" customHeight="1">
      <c r="E519" s="26"/>
    </row>
    <row r="520" ht="15.75" customHeight="1">
      <c r="E520" s="26"/>
    </row>
    <row r="521" ht="15.75" customHeight="1">
      <c r="E521" s="26"/>
    </row>
    <row r="522" ht="15.75" customHeight="1">
      <c r="E522" s="26"/>
    </row>
    <row r="523" ht="15.75" customHeight="1">
      <c r="E523" s="26"/>
    </row>
    <row r="524" ht="15.75" customHeight="1">
      <c r="E524" s="26"/>
    </row>
    <row r="525" ht="15.75" customHeight="1">
      <c r="E525" s="26"/>
    </row>
    <row r="526" ht="15.75" customHeight="1">
      <c r="E526" s="26"/>
    </row>
    <row r="527" ht="15.75" customHeight="1">
      <c r="E527" s="26"/>
    </row>
    <row r="528" ht="15.75" customHeight="1">
      <c r="E528" s="26"/>
    </row>
    <row r="529" ht="15.75" customHeight="1">
      <c r="E529" s="26"/>
    </row>
    <row r="530" ht="15.75" customHeight="1">
      <c r="E530" s="26"/>
    </row>
    <row r="531" ht="15.75" customHeight="1">
      <c r="E531" s="26"/>
    </row>
    <row r="532" ht="15.75" customHeight="1">
      <c r="E532" s="26"/>
    </row>
    <row r="533" ht="15.75" customHeight="1">
      <c r="E533" s="26"/>
    </row>
    <row r="534" ht="15.75" customHeight="1">
      <c r="E534" s="26"/>
    </row>
    <row r="535" ht="15.75" customHeight="1">
      <c r="E535" s="26"/>
    </row>
    <row r="536" ht="15.75" customHeight="1">
      <c r="E536" s="26"/>
    </row>
    <row r="537" ht="15.75" customHeight="1">
      <c r="E537" s="26"/>
    </row>
    <row r="538" ht="15.75" customHeight="1">
      <c r="E538" s="26"/>
    </row>
    <row r="539" ht="15.75" customHeight="1">
      <c r="E539" s="26"/>
    </row>
    <row r="540" ht="15.75" customHeight="1">
      <c r="E540" s="26"/>
    </row>
    <row r="541" ht="15.75" customHeight="1">
      <c r="E541" s="26"/>
    </row>
    <row r="542" ht="15.75" customHeight="1">
      <c r="E542" s="26"/>
    </row>
    <row r="543" ht="15.75" customHeight="1">
      <c r="E543" s="26"/>
    </row>
    <row r="544" ht="15.75" customHeight="1">
      <c r="E544" s="26"/>
    </row>
    <row r="545" ht="15.75" customHeight="1">
      <c r="E545" s="26"/>
    </row>
    <row r="546" ht="15.75" customHeight="1">
      <c r="E546" s="26"/>
    </row>
    <row r="547" ht="15.75" customHeight="1">
      <c r="E547" s="26"/>
    </row>
    <row r="548" ht="15.75" customHeight="1">
      <c r="E548" s="26"/>
    </row>
    <row r="549" ht="15.75" customHeight="1">
      <c r="E549" s="26"/>
    </row>
    <row r="550" ht="15.75" customHeight="1">
      <c r="E550" s="26"/>
    </row>
    <row r="551" ht="15.75" customHeight="1">
      <c r="E551" s="26"/>
    </row>
    <row r="552" ht="15.75" customHeight="1">
      <c r="E552" s="26"/>
    </row>
    <row r="553" ht="15.75" customHeight="1">
      <c r="E553" s="26"/>
    </row>
    <row r="554" ht="15.75" customHeight="1">
      <c r="E554" s="26"/>
    </row>
    <row r="555" ht="15.75" customHeight="1">
      <c r="E555" s="26"/>
    </row>
    <row r="556" ht="15.75" customHeight="1">
      <c r="E556" s="26"/>
    </row>
    <row r="557" ht="15.75" customHeight="1">
      <c r="E557" s="26"/>
    </row>
    <row r="558" ht="15.75" customHeight="1">
      <c r="E558" s="26"/>
    </row>
    <row r="559" ht="15.75" customHeight="1">
      <c r="E559" s="26"/>
    </row>
    <row r="560" ht="15.75" customHeight="1">
      <c r="E560" s="26"/>
    </row>
    <row r="561" ht="15.75" customHeight="1">
      <c r="E561" s="26"/>
    </row>
    <row r="562" ht="15.75" customHeight="1">
      <c r="E562" s="26"/>
    </row>
    <row r="563" ht="15.75" customHeight="1">
      <c r="E563" s="26"/>
    </row>
    <row r="564" ht="15.75" customHeight="1">
      <c r="E564" s="26"/>
    </row>
    <row r="565" ht="15.75" customHeight="1">
      <c r="E565" s="26"/>
    </row>
    <row r="566" ht="15.75" customHeight="1">
      <c r="E566" s="26"/>
    </row>
    <row r="567" ht="15.75" customHeight="1">
      <c r="E567" s="26"/>
    </row>
    <row r="568" ht="15.75" customHeight="1">
      <c r="E568" s="26"/>
    </row>
    <row r="569" ht="15.75" customHeight="1">
      <c r="E569" s="26"/>
    </row>
    <row r="570" ht="15.75" customHeight="1">
      <c r="E570" s="26"/>
    </row>
    <row r="571" ht="15.75" customHeight="1">
      <c r="E571" s="26"/>
    </row>
    <row r="572" ht="15.75" customHeight="1">
      <c r="E572" s="26"/>
    </row>
    <row r="573" ht="15.75" customHeight="1">
      <c r="E573" s="26"/>
    </row>
    <row r="574" ht="15.75" customHeight="1">
      <c r="E574" s="26"/>
    </row>
    <row r="575" ht="15.75" customHeight="1">
      <c r="E575" s="26"/>
    </row>
    <row r="576" ht="15.75" customHeight="1">
      <c r="E576" s="26"/>
    </row>
    <row r="577" ht="15.75" customHeight="1">
      <c r="E577" s="26"/>
    </row>
    <row r="578" ht="15.75" customHeight="1">
      <c r="E578" s="26"/>
    </row>
    <row r="579" ht="15.75" customHeight="1">
      <c r="E579" s="26"/>
    </row>
    <row r="580" ht="15.75" customHeight="1">
      <c r="E580" s="26"/>
    </row>
    <row r="581" ht="15.75" customHeight="1">
      <c r="E581" s="26"/>
    </row>
    <row r="582" ht="15.75" customHeight="1">
      <c r="E582" s="26"/>
    </row>
    <row r="583" ht="15.75" customHeight="1">
      <c r="E583" s="26"/>
    </row>
    <row r="584" ht="15.75" customHeight="1">
      <c r="E584" s="26"/>
    </row>
    <row r="585" ht="15.75" customHeight="1">
      <c r="E585" s="26"/>
    </row>
    <row r="586" ht="15.75" customHeight="1">
      <c r="E586" s="26"/>
    </row>
    <row r="587" ht="15.75" customHeight="1">
      <c r="E587" s="26"/>
    </row>
    <row r="588" ht="15.75" customHeight="1">
      <c r="E588" s="26"/>
    </row>
    <row r="589" ht="15.75" customHeight="1">
      <c r="E589" s="26"/>
    </row>
    <row r="590" ht="15.75" customHeight="1">
      <c r="E590" s="26"/>
    </row>
    <row r="591" ht="15.75" customHeight="1">
      <c r="E591" s="26"/>
    </row>
    <row r="592" ht="15.75" customHeight="1">
      <c r="E592" s="26"/>
    </row>
    <row r="593" ht="15.75" customHeight="1">
      <c r="E593" s="26"/>
    </row>
    <row r="594" ht="15.75" customHeight="1">
      <c r="E594" s="26"/>
    </row>
    <row r="595" ht="15.75" customHeight="1">
      <c r="E595" s="26"/>
    </row>
    <row r="596" ht="15.75" customHeight="1">
      <c r="E596" s="26"/>
    </row>
    <row r="597" ht="15.75" customHeight="1">
      <c r="E597" s="26"/>
    </row>
    <row r="598" ht="15.75" customHeight="1">
      <c r="E598" s="26"/>
    </row>
    <row r="599" ht="15.75" customHeight="1">
      <c r="E599" s="26"/>
    </row>
    <row r="600" ht="15.75" customHeight="1">
      <c r="E600" s="26"/>
    </row>
    <row r="601" ht="15.75" customHeight="1">
      <c r="E601" s="26"/>
    </row>
    <row r="602" ht="15.75" customHeight="1">
      <c r="E602" s="26"/>
    </row>
    <row r="603" ht="15.75" customHeight="1">
      <c r="E603" s="26"/>
    </row>
    <row r="604" ht="15.75" customHeight="1">
      <c r="E604" s="26"/>
    </row>
    <row r="605" ht="15.75" customHeight="1">
      <c r="E605" s="26"/>
    </row>
    <row r="606" ht="15.75" customHeight="1">
      <c r="E606" s="26"/>
    </row>
    <row r="607" ht="15.75" customHeight="1">
      <c r="E607" s="26"/>
    </row>
    <row r="608" ht="15.75" customHeight="1">
      <c r="E608" s="26"/>
    </row>
    <row r="609" ht="15.75" customHeight="1">
      <c r="E609" s="26"/>
    </row>
    <row r="610" ht="15.75" customHeight="1">
      <c r="E610" s="26"/>
    </row>
    <row r="611" ht="15.75" customHeight="1">
      <c r="E611" s="26"/>
    </row>
    <row r="612" ht="15.75" customHeight="1">
      <c r="E612" s="26"/>
    </row>
    <row r="613" ht="15.75" customHeight="1">
      <c r="E613" s="26"/>
    </row>
    <row r="614" ht="15.75" customHeight="1">
      <c r="E614" s="26"/>
    </row>
    <row r="615" ht="15.75" customHeight="1">
      <c r="E615" s="26"/>
    </row>
    <row r="616" ht="15.75" customHeight="1">
      <c r="E616" s="26"/>
    </row>
    <row r="617" ht="15.75" customHeight="1">
      <c r="E617" s="26"/>
    </row>
    <row r="618" ht="15.75" customHeight="1">
      <c r="E618" s="26"/>
    </row>
    <row r="619" ht="15.75" customHeight="1">
      <c r="E619" s="26"/>
    </row>
    <row r="620" ht="15.75" customHeight="1">
      <c r="E620" s="26"/>
    </row>
    <row r="621" ht="15.75" customHeight="1">
      <c r="E621" s="26"/>
    </row>
    <row r="622" ht="15.75" customHeight="1">
      <c r="E622" s="26"/>
    </row>
    <row r="623" ht="15.75" customHeight="1">
      <c r="E623" s="26"/>
    </row>
    <row r="624" ht="15.75" customHeight="1">
      <c r="E624" s="26"/>
    </row>
    <row r="625" ht="15.75" customHeight="1">
      <c r="E625" s="26"/>
    </row>
    <row r="626" ht="15.75" customHeight="1">
      <c r="E626" s="26"/>
    </row>
    <row r="627" ht="15.75" customHeight="1">
      <c r="E627" s="26"/>
    </row>
    <row r="628" ht="15.75" customHeight="1">
      <c r="E628" s="26"/>
    </row>
    <row r="629" ht="15.75" customHeight="1">
      <c r="E629" s="26"/>
    </row>
    <row r="630" ht="15.75" customHeight="1">
      <c r="E630" s="26"/>
    </row>
    <row r="631" ht="15.75" customHeight="1">
      <c r="E631" s="26"/>
    </row>
    <row r="632" ht="15.75" customHeight="1">
      <c r="E632" s="26"/>
    </row>
    <row r="633" ht="15.75" customHeight="1">
      <c r="E633" s="26"/>
    </row>
    <row r="634" ht="15.75" customHeight="1">
      <c r="E634" s="26"/>
    </row>
    <row r="635" ht="15.75" customHeight="1">
      <c r="E635" s="26"/>
    </row>
    <row r="636" ht="15.75" customHeight="1">
      <c r="E636" s="26"/>
    </row>
    <row r="637" ht="15.75" customHeight="1">
      <c r="E637" s="26"/>
    </row>
    <row r="638" ht="15.75" customHeight="1">
      <c r="E638" s="26"/>
    </row>
    <row r="639" ht="15.75" customHeight="1">
      <c r="E639" s="26"/>
    </row>
    <row r="640" ht="15.75" customHeight="1">
      <c r="E640" s="26"/>
    </row>
    <row r="641" ht="15.75" customHeight="1">
      <c r="E641" s="26"/>
    </row>
    <row r="642" ht="15.75" customHeight="1">
      <c r="E642" s="26"/>
    </row>
    <row r="643" ht="15.75" customHeight="1">
      <c r="E643" s="26"/>
    </row>
    <row r="644" ht="15.75" customHeight="1">
      <c r="E644" s="26"/>
    </row>
    <row r="645" ht="15.75" customHeight="1">
      <c r="E645" s="26"/>
    </row>
    <row r="646" ht="15.75" customHeight="1">
      <c r="E646" s="26"/>
    </row>
    <row r="647" ht="15.75" customHeight="1">
      <c r="E647" s="26"/>
    </row>
    <row r="648" ht="15.75" customHeight="1">
      <c r="E648" s="26"/>
    </row>
    <row r="649" ht="15.75" customHeight="1">
      <c r="E649" s="26"/>
    </row>
    <row r="650" ht="15.75" customHeight="1">
      <c r="E650" s="26"/>
    </row>
    <row r="651" ht="15.75" customHeight="1">
      <c r="E651" s="26"/>
    </row>
    <row r="652" ht="15.75" customHeight="1">
      <c r="E652" s="26"/>
    </row>
    <row r="653" ht="15.75" customHeight="1">
      <c r="E653" s="26"/>
    </row>
    <row r="654" ht="15.75" customHeight="1">
      <c r="E654" s="26"/>
    </row>
    <row r="655" ht="15.75" customHeight="1">
      <c r="E655" s="26"/>
    </row>
    <row r="656" ht="15.75" customHeight="1">
      <c r="E656" s="26"/>
    </row>
    <row r="657" ht="15.75" customHeight="1">
      <c r="E657" s="26"/>
    </row>
    <row r="658" ht="15.75" customHeight="1">
      <c r="E658" s="26"/>
    </row>
    <row r="659" ht="15.75" customHeight="1">
      <c r="E659" s="26"/>
    </row>
    <row r="660" ht="15.75" customHeight="1">
      <c r="E660" s="26"/>
    </row>
    <row r="661" ht="15.75" customHeight="1">
      <c r="E661" s="26"/>
    </row>
    <row r="662" ht="15.75" customHeight="1">
      <c r="E662" s="26"/>
    </row>
    <row r="663" ht="15.75" customHeight="1">
      <c r="E663" s="26"/>
    </row>
    <row r="664" ht="15.75" customHeight="1">
      <c r="E664" s="26"/>
    </row>
    <row r="665" ht="15.75" customHeight="1">
      <c r="E665" s="26"/>
    </row>
    <row r="666" ht="15.75" customHeight="1">
      <c r="E666" s="26"/>
    </row>
    <row r="667" ht="15.75" customHeight="1">
      <c r="E667" s="26"/>
    </row>
    <row r="668" ht="15.75" customHeight="1">
      <c r="E668" s="26"/>
    </row>
    <row r="669" ht="15.75" customHeight="1">
      <c r="E669" s="26"/>
    </row>
    <row r="670" ht="15.75" customHeight="1">
      <c r="E670" s="26"/>
    </row>
    <row r="671" ht="15.75" customHeight="1">
      <c r="E671" s="26"/>
    </row>
    <row r="672" ht="15.75" customHeight="1">
      <c r="E672" s="26"/>
    </row>
    <row r="673" ht="15.75" customHeight="1">
      <c r="E673" s="26"/>
    </row>
    <row r="674" ht="15.75" customHeight="1">
      <c r="E674" s="26"/>
    </row>
    <row r="675" ht="15.75" customHeight="1">
      <c r="E675" s="26"/>
    </row>
    <row r="676" ht="15.75" customHeight="1">
      <c r="E676" s="26"/>
    </row>
    <row r="677" ht="15.75" customHeight="1">
      <c r="E677" s="26"/>
    </row>
    <row r="678" ht="15.75" customHeight="1">
      <c r="E678" s="26"/>
    </row>
    <row r="679" ht="15.75" customHeight="1">
      <c r="E679" s="26"/>
    </row>
    <row r="680" ht="15.75" customHeight="1">
      <c r="E680" s="26"/>
    </row>
    <row r="681" ht="15.75" customHeight="1">
      <c r="E681" s="26"/>
    </row>
    <row r="682" ht="15.75" customHeight="1">
      <c r="E682" s="26"/>
    </row>
    <row r="683" ht="15.75" customHeight="1">
      <c r="E683" s="26"/>
    </row>
    <row r="684" ht="15.75" customHeight="1">
      <c r="E684" s="26"/>
    </row>
    <row r="685" ht="15.75" customHeight="1">
      <c r="E685" s="26"/>
    </row>
    <row r="686" ht="15.75" customHeight="1">
      <c r="E686" s="26"/>
    </row>
    <row r="687" ht="15.75" customHeight="1">
      <c r="E687" s="26"/>
    </row>
    <row r="688" ht="15.75" customHeight="1">
      <c r="E688" s="26"/>
    </row>
    <row r="689" ht="15.75" customHeight="1">
      <c r="E689" s="26"/>
    </row>
    <row r="690" ht="15.75" customHeight="1">
      <c r="E690" s="26"/>
    </row>
    <row r="691" ht="15.75" customHeight="1">
      <c r="E691" s="26"/>
    </row>
    <row r="692" ht="15.75" customHeight="1">
      <c r="E692" s="26"/>
    </row>
    <row r="693" ht="15.75" customHeight="1">
      <c r="E693" s="26"/>
    </row>
    <row r="694" ht="15.75" customHeight="1">
      <c r="E694" s="26"/>
    </row>
    <row r="695" ht="15.75" customHeight="1">
      <c r="E695" s="26"/>
    </row>
    <row r="696" ht="15.75" customHeight="1">
      <c r="E696" s="26"/>
    </row>
    <row r="697" ht="15.75" customHeight="1">
      <c r="E697" s="26"/>
    </row>
    <row r="698" ht="15.75" customHeight="1">
      <c r="E698" s="26"/>
    </row>
    <row r="699" ht="15.75" customHeight="1">
      <c r="E699" s="26"/>
    </row>
    <row r="700" ht="15.75" customHeight="1">
      <c r="E700" s="26"/>
    </row>
    <row r="701" ht="15.75" customHeight="1">
      <c r="E701" s="26"/>
    </row>
    <row r="702" ht="15.75" customHeight="1">
      <c r="E702" s="26"/>
    </row>
    <row r="703" ht="15.75" customHeight="1">
      <c r="E703" s="26"/>
    </row>
    <row r="704" ht="15.75" customHeight="1">
      <c r="E704" s="26"/>
    </row>
    <row r="705" ht="15.75" customHeight="1">
      <c r="E705" s="26"/>
    </row>
    <row r="706" ht="15.75" customHeight="1">
      <c r="E706" s="26"/>
    </row>
    <row r="707" ht="15.75" customHeight="1">
      <c r="E707" s="26"/>
    </row>
    <row r="708" ht="15.75" customHeight="1">
      <c r="E708" s="26"/>
    </row>
    <row r="709" ht="15.75" customHeight="1">
      <c r="E709" s="26"/>
    </row>
    <row r="710" ht="15.75" customHeight="1">
      <c r="E710" s="26"/>
    </row>
    <row r="711" ht="15.75" customHeight="1">
      <c r="E711" s="26"/>
    </row>
    <row r="712" ht="15.75" customHeight="1">
      <c r="E712" s="26"/>
    </row>
    <row r="713" ht="15.75" customHeight="1">
      <c r="E713" s="26"/>
    </row>
    <row r="714" ht="15.75" customHeight="1">
      <c r="E714" s="26"/>
    </row>
    <row r="715" ht="15.75" customHeight="1">
      <c r="E715" s="26"/>
    </row>
    <row r="716" ht="15.75" customHeight="1">
      <c r="E716" s="26"/>
    </row>
    <row r="717" ht="15.75" customHeight="1">
      <c r="E717" s="26"/>
    </row>
    <row r="718" ht="15.75" customHeight="1">
      <c r="E718" s="26"/>
    </row>
    <row r="719" ht="15.75" customHeight="1">
      <c r="E719" s="26"/>
    </row>
    <row r="720" ht="15.75" customHeight="1">
      <c r="E720" s="26"/>
    </row>
    <row r="721" ht="15.75" customHeight="1">
      <c r="E721" s="26"/>
    </row>
    <row r="722" ht="15.75" customHeight="1">
      <c r="E722" s="26"/>
    </row>
    <row r="723" ht="15.75" customHeight="1">
      <c r="E723" s="26"/>
    </row>
    <row r="724" ht="15.75" customHeight="1">
      <c r="E724" s="26"/>
    </row>
    <row r="725" ht="15.75" customHeight="1">
      <c r="E725" s="26"/>
    </row>
    <row r="726" ht="15.75" customHeight="1">
      <c r="E726" s="26"/>
    </row>
    <row r="727" ht="15.75" customHeight="1">
      <c r="E727" s="26"/>
    </row>
    <row r="728" ht="15.75" customHeight="1">
      <c r="E728" s="26"/>
    </row>
    <row r="729" ht="15.75" customHeight="1">
      <c r="E729" s="26"/>
    </row>
    <row r="730" ht="15.75" customHeight="1">
      <c r="E730" s="26"/>
    </row>
    <row r="731" ht="15.75" customHeight="1">
      <c r="E731" s="26"/>
    </row>
    <row r="732" ht="15.75" customHeight="1">
      <c r="E732" s="26"/>
    </row>
    <row r="733" ht="15.75" customHeight="1">
      <c r="E733" s="26"/>
    </row>
    <row r="734" ht="15.75" customHeight="1">
      <c r="E734" s="26"/>
    </row>
    <row r="735" ht="15.75" customHeight="1">
      <c r="E735" s="26"/>
    </row>
    <row r="736" ht="15.75" customHeight="1">
      <c r="E736" s="26"/>
    </row>
    <row r="737" ht="15.75" customHeight="1">
      <c r="E737" s="26"/>
    </row>
    <row r="738" ht="15.75" customHeight="1">
      <c r="E738" s="26"/>
    </row>
    <row r="739" ht="15.75" customHeight="1">
      <c r="E739" s="26"/>
    </row>
    <row r="740" ht="15.75" customHeight="1">
      <c r="E740" s="26"/>
    </row>
    <row r="741" ht="15.75" customHeight="1">
      <c r="E741" s="26"/>
    </row>
    <row r="742" ht="15.75" customHeight="1">
      <c r="E742" s="26"/>
    </row>
    <row r="743" ht="15.75" customHeight="1">
      <c r="E743" s="26"/>
    </row>
    <row r="744" ht="15.75" customHeight="1">
      <c r="E744" s="26"/>
    </row>
    <row r="745" ht="15.75" customHeight="1">
      <c r="E745" s="26"/>
    </row>
    <row r="746" ht="15.75" customHeight="1">
      <c r="E746" s="26"/>
    </row>
    <row r="747" ht="15.75" customHeight="1">
      <c r="E747" s="26"/>
    </row>
    <row r="748" ht="15.75" customHeight="1">
      <c r="E748" s="26"/>
    </row>
    <row r="749" ht="15.75" customHeight="1">
      <c r="E749" s="26"/>
    </row>
    <row r="750" ht="15.75" customHeight="1">
      <c r="E750" s="26"/>
    </row>
    <row r="751" ht="15.75" customHeight="1">
      <c r="E751" s="26"/>
    </row>
    <row r="752" ht="15.75" customHeight="1">
      <c r="E752" s="26"/>
    </row>
    <row r="753" ht="15.75" customHeight="1">
      <c r="E753" s="26"/>
    </row>
    <row r="754" ht="15.75" customHeight="1">
      <c r="E754" s="26"/>
    </row>
    <row r="755" ht="15.75" customHeight="1">
      <c r="E755" s="26"/>
    </row>
    <row r="756" ht="15.75" customHeight="1">
      <c r="E756" s="26"/>
    </row>
    <row r="757" ht="15.75" customHeight="1">
      <c r="E757" s="26"/>
    </row>
    <row r="758" ht="15.75" customHeight="1">
      <c r="E758" s="26"/>
    </row>
    <row r="759" ht="15.75" customHeight="1">
      <c r="E759" s="26"/>
    </row>
    <row r="760" ht="15.75" customHeight="1">
      <c r="E760" s="26"/>
    </row>
    <row r="761" ht="15.75" customHeight="1">
      <c r="E761" s="26"/>
    </row>
    <row r="762" ht="15.75" customHeight="1">
      <c r="E762" s="26"/>
    </row>
    <row r="763" ht="15.75" customHeight="1">
      <c r="E763" s="26"/>
    </row>
    <row r="764" ht="15.75" customHeight="1">
      <c r="E764" s="26"/>
    </row>
    <row r="765" ht="15.75" customHeight="1">
      <c r="E765" s="26"/>
    </row>
    <row r="766" ht="15.75" customHeight="1">
      <c r="E766" s="26"/>
    </row>
    <row r="767" ht="15.75" customHeight="1">
      <c r="E767" s="26"/>
    </row>
    <row r="768" ht="15.75" customHeight="1">
      <c r="E768" s="26"/>
    </row>
    <row r="769" ht="15.75" customHeight="1">
      <c r="E769" s="26"/>
    </row>
    <row r="770" ht="15.75" customHeight="1">
      <c r="E770" s="26"/>
    </row>
    <row r="771" ht="15.75" customHeight="1">
      <c r="E771" s="26"/>
    </row>
    <row r="772" ht="15.75" customHeight="1">
      <c r="E772" s="26"/>
    </row>
    <row r="773" ht="15.75" customHeight="1">
      <c r="E773" s="26"/>
    </row>
    <row r="774" ht="15.75" customHeight="1">
      <c r="E774" s="26"/>
    </row>
    <row r="775" ht="15.75" customHeight="1">
      <c r="E775" s="26"/>
    </row>
    <row r="776" ht="15.75" customHeight="1">
      <c r="E776" s="26"/>
    </row>
    <row r="777" ht="15.75" customHeight="1">
      <c r="E777" s="26"/>
    </row>
    <row r="778" ht="15.75" customHeight="1">
      <c r="E778" s="26"/>
    </row>
    <row r="779" ht="15.75" customHeight="1">
      <c r="E779" s="26"/>
    </row>
    <row r="780" ht="15.75" customHeight="1">
      <c r="E780" s="26"/>
    </row>
    <row r="781" ht="15.75" customHeight="1">
      <c r="E781" s="26"/>
    </row>
    <row r="782" ht="15.75" customHeight="1">
      <c r="E782" s="26"/>
    </row>
    <row r="783" ht="15.75" customHeight="1">
      <c r="E783" s="26"/>
    </row>
    <row r="784" ht="15.75" customHeight="1">
      <c r="E784" s="26"/>
    </row>
    <row r="785" ht="15.75" customHeight="1">
      <c r="E785" s="26"/>
    </row>
    <row r="786" ht="15.75" customHeight="1">
      <c r="E786" s="26"/>
    </row>
    <row r="787" ht="15.75" customHeight="1">
      <c r="E787" s="26"/>
    </row>
    <row r="788" ht="15.75" customHeight="1">
      <c r="E788" s="26"/>
    </row>
    <row r="789" ht="15.75" customHeight="1">
      <c r="E789" s="26"/>
    </row>
    <row r="790" ht="15.75" customHeight="1">
      <c r="E790" s="26"/>
    </row>
    <row r="791" ht="15.75" customHeight="1">
      <c r="E791" s="26"/>
    </row>
    <row r="792" ht="15.75" customHeight="1">
      <c r="E792" s="26"/>
    </row>
    <row r="793" ht="15.75" customHeight="1">
      <c r="E793" s="26"/>
    </row>
    <row r="794" ht="15.75" customHeight="1">
      <c r="E794" s="26"/>
    </row>
    <row r="795" ht="15.75" customHeight="1">
      <c r="E795" s="26"/>
    </row>
    <row r="796" ht="15.75" customHeight="1">
      <c r="E796" s="26"/>
    </row>
    <row r="797" ht="15.75" customHeight="1">
      <c r="E797" s="26"/>
    </row>
    <row r="798" ht="15.75" customHeight="1">
      <c r="E798" s="26"/>
    </row>
    <row r="799" ht="15.75" customHeight="1">
      <c r="E799" s="26"/>
    </row>
    <row r="800" ht="15.75" customHeight="1">
      <c r="E800" s="26"/>
    </row>
    <row r="801" ht="15.75" customHeight="1">
      <c r="E801" s="26"/>
    </row>
    <row r="802" ht="15.75" customHeight="1">
      <c r="E802" s="26"/>
    </row>
    <row r="803" ht="15.75" customHeight="1">
      <c r="E803" s="26"/>
    </row>
    <row r="804" ht="15.75" customHeight="1">
      <c r="E804" s="26"/>
    </row>
    <row r="805" ht="15.75" customHeight="1">
      <c r="E805" s="26"/>
    </row>
    <row r="806" ht="15.75" customHeight="1">
      <c r="E806" s="26"/>
    </row>
    <row r="807" ht="15.75" customHeight="1">
      <c r="E807" s="26"/>
    </row>
    <row r="808" ht="15.75" customHeight="1">
      <c r="E808" s="26"/>
    </row>
    <row r="809" ht="15.75" customHeight="1">
      <c r="E809" s="26"/>
    </row>
    <row r="810" ht="15.75" customHeight="1">
      <c r="E810" s="26"/>
    </row>
    <row r="811" ht="15.75" customHeight="1">
      <c r="E811" s="26"/>
    </row>
    <row r="812" ht="15.75" customHeight="1">
      <c r="E812" s="26"/>
    </row>
    <row r="813" ht="15.75" customHeight="1">
      <c r="E813" s="26"/>
    </row>
    <row r="814" ht="15.75" customHeight="1">
      <c r="E814" s="26"/>
    </row>
    <row r="815" ht="15.75" customHeight="1">
      <c r="E815" s="26"/>
    </row>
    <row r="816" ht="15.75" customHeight="1">
      <c r="E816" s="26"/>
    </row>
    <row r="817" ht="15.75" customHeight="1">
      <c r="E817" s="26"/>
    </row>
    <row r="818" ht="15.75" customHeight="1">
      <c r="E818" s="26"/>
    </row>
    <row r="819" ht="15.75" customHeight="1">
      <c r="E819" s="26"/>
    </row>
    <row r="820" ht="15.75" customHeight="1">
      <c r="E820" s="26"/>
    </row>
    <row r="821" ht="15.75" customHeight="1">
      <c r="E821" s="26"/>
    </row>
    <row r="822" ht="15.75" customHeight="1">
      <c r="E822" s="26"/>
    </row>
    <row r="823" ht="15.75" customHeight="1">
      <c r="E823" s="26"/>
    </row>
    <row r="824" ht="15.75" customHeight="1">
      <c r="E824" s="26"/>
    </row>
    <row r="825" ht="15.75" customHeight="1">
      <c r="E825" s="26"/>
    </row>
    <row r="826" ht="15.75" customHeight="1">
      <c r="E826" s="26"/>
    </row>
    <row r="827" ht="15.75" customHeight="1">
      <c r="E827" s="26"/>
    </row>
    <row r="828" ht="15.75" customHeight="1">
      <c r="E828" s="26"/>
    </row>
    <row r="829" ht="15.75" customHeight="1">
      <c r="E829" s="26"/>
    </row>
    <row r="830" ht="15.75" customHeight="1">
      <c r="E830" s="26"/>
    </row>
    <row r="831" ht="15.75" customHeight="1">
      <c r="E831" s="26"/>
    </row>
    <row r="832" ht="15.75" customHeight="1">
      <c r="E832" s="26"/>
    </row>
    <row r="833" ht="15.75" customHeight="1">
      <c r="E833" s="26"/>
    </row>
    <row r="834" ht="15.75" customHeight="1">
      <c r="E834" s="26"/>
    </row>
    <row r="835" ht="15.75" customHeight="1">
      <c r="E835" s="26"/>
    </row>
    <row r="836" ht="15.75" customHeight="1">
      <c r="E836" s="26"/>
    </row>
    <row r="837" ht="15.75" customHeight="1">
      <c r="E837" s="26"/>
    </row>
    <row r="838" ht="15.75" customHeight="1">
      <c r="E838" s="26"/>
    </row>
    <row r="839" ht="15.75" customHeight="1">
      <c r="E839" s="26"/>
    </row>
    <row r="840" ht="15.75" customHeight="1">
      <c r="E840" s="26"/>
    </row>
    <row r="841" ht="15.75" customHeight="1">
      <c r="E841" s="26"/>
    </row>
    <row r="842" ht="15.75" customHeight="1">
      <c r="E842" s="26"/>
    </row>
    <row r="843" ht="15.75" customHeight="1">
      <c r="E843" s="26"/>
    </row>
    <row r="844" ht="15.75" customHeight="1">
      <c r="E844" s="26"/>
    </row>
    <row r="845" ht="15.75" customHeight="1">
      <c r="E845" s="26"/>
    </row>
    <row r="846" ht="15.75" customHeight="1">
      <c r="E846" s="26"/>
    </row>
    <row r="847" ht="15.75" customHeight="1">
      <c r="E847" s="26"/>
    </row>
    <row r="848" ht="15.75" customHeight="1">
      <c r="E848" s="26"/>
    </row>
    <row r="849" ht="15.75" customHeight="1">
      <c r="E849" s="26"/>
    </row>
    <row r="850" ht="15.75" customHeight="1">
      <c r="E850" s="26"/>
    </row>
    <row r="851" ht="15.75" customHeight="1">
      <c r="E851" s="26"/>
    </row>
    <row r="852" ht="15.75" customHeight="1">
      <c r="E852" s="26"/>
    </row>
    <row r="853" ht="15.75" customHeight="1">
      <c r="E853" s="26"/>
    </row>
    <row r="854" ht="15.75" customHeight="1">
      <c r="E854" s="26"/>
    </row>
    <row r="855" ht="15.75" customHeight="1">
      <c r="E855" s="26"/>
    </row>
    <row r="856" ht="15.75" customHeight="1">
      <c r="E856" s="26"/>
    </row>
    <row r="857" ht="15.75" customHeight="1">
      <c r="E857" s="26"/>
    </row>
    <row r="858" ht="15.75" customHeight="1">
      <c r="E858" s="26"/>
    </row>
    <row r="859" ht="15.75" customHeight="1">
      <c r="E859" s="26"/>
    </row>
    <row r="860" ht="15.75" customHeight="1">
      <c r="E860" s="26"/>
    </row>
    <row r="861" ht="15.75" customHeight="1">
      <c r="E861" s="26"/>
    </row>
    <row r="862" ht="15.75" customHeight="1">
      <c r="E862" s="26"/>
    </row>
    <row r="863" ht="15.75" customHeight="1">
      <c r="E863" s="26"/>
    </row>
    <row r="864" ht="15.75" customHeight="1">
      <c r="E864" s="26"/>
    </row>
    <row r="865" ht="15.75" customHeight="1">
      <c r="E865" s="26"/>
    </row>
    <row r="866" ht="15.75" customHeight="1">
      <c r="E866" s="26"/>
    </row>
    <row r="867" ht="15.75" customHeight="1">
      <c r="E867" s="26"/>
    </row>
    <row r="868" ht="15.75" customHeight="1">
      <c r="E868" s="26"/>
    </row>
    <row r="869" ht="15.75" customHeight="1">
      <c r="E869" s="26"/>
    </row>
    <row r="870" ht="15.75" customHeight="1">
      <c r="E870" s="26"/>
    </row>
    <row r="871" ht="15.75" customHeight="1">
      <c r="E871" s="26"/>
    </row>
    <row r="872" ht="15.75" customHeight="1">
      <c r="E872" s="26"/>
    </row>
    <row r="873" ht="15.75" customHeight="1">
      <c r="E873" s="26"/>
    </row>
    <row r="874" ht="15.75" customHeight="1">
      <c r="E874" s="26"/>
    </row>
    <row r="875" ht="15.75" customHeight="1">
      <c r="E875" s="26"/>
    </row>
    <row r="876" ht="15.75" customHeight="1">
      <c r="E876" s="26"/>
    </row>
    <row r="877" ht="15.75" customHeight="1">
      <c r="E877" s="26"/>
    </row>
    <row r="878" ht="15.75" customHeight="1">
      <c r="E878" s="26"/>
    </row>
    <row r="879" ht="15.75" customHeight="1">
      <c r="E879" s="26"/>
    </row>
    <row r="880" ht="15.75" customHeight="1">
      <c r="E880" s="26"/>
    </row>
    <row r="881" ht="15.75" customHeight="1">
      <c r="E881" s="26"/>
    </row>
    <row r="882" ht="15.75" customHeight="1">
      <c r="E882" s="26"/>
    </row>
    <row r="883" ht="15.75" customHeight="1">
      <c r="E883" s="26"/>
    </row>
    <row r="884" ht="15.75" customHeight="1">
      <c r="E884" s="26"/>
    </row>
    <row r="885" ht="15.75" customHeight="1">
      <c r="E885" s="26"/>
    </row>
    <row r="886" ht="15.75" customHeight="1">
      <c r="E886" s="26"/>
    </row>
    <row r="887" ht="15.75" customHeight="1">
      <c r="E887" s="26"/>
    </row>
    <row r="888" ht="15.75" customHeight="1">
      <c r="E888" s="26"/>
    </row>
    <row r="889" ht="15.75" customHeight="1">
      <c r="E889" s="26"/>
    </row>
    <row r="890" ht="15.75" customHeight="1">
      <c r="E890" s="26"/>
    </row>
    <row r="891" ht="15.75" customHeight="1">
      <c r="E891" s="26"/>
    </row>
    <row r="892" ht="15.75" customHeight="1">
      <c r="E892" s="26"/>
    </row>
    <row r="893" ht="15.75" customHeight="1">
      <c r="E893" s="26"/>
    </row>
    <row r="894" ht="15.75" customHeight="1">
      <c r="E894" s="26"/>
    </row>
    <row r="895" ht="15.75" customHeight="1">
      <c r="E895" s="26"/>
    </row>
    <row r="896" ht="15.75" customHeight="1">
      <c r="E896" s="26"/>
    </row>
    <row r="897" ht="15.75" customHeight="1">
      <c r="E897" s="26"/>
    </row>
    <row r="898" ht="15.75" customHeight="1">
      <c r="E898" s="26"/>
    </row>
    <row r="899" ht="15.75" customHeight="1">
      <c r="E899" s="26"/>
    </row>
    <row r="900" ht="15.75" customHeight="1">
      <c r="E900" s="26"/>
    </row>
    <row r="901" ht="15.75" customHeight="1">
      <c r="E901" s="26"/>
    </row>
    <row r="902" ht="15.75" customHeight="1">
      <c r="E902" s="26"/>
    </row>
    <row r="903" ht="15.75" customHeight="1">
      <c r="E903" s="26"/>
    </row>
    <row r="904" ht="15.75" customHeight="1">
      <c r="E904" s="26"/>
    </row>
    <row r="905" ht="15.75" customHeight="1">
      <c r="E905" s="26"/>
    </row>
    <row r="906" ht="15.75" customHeight="1">
      <c r="E906" s="26"/>
    </row>
    <row r="907" ht="15.75" customHeight="1">
      <c r="E907" s="26"/>
    </row>
    <row r="908" ht="15.75" customHeight="1">
      <c r="E908" s="26"/>
    </row>
    <row r="909" ht="15.75" customHeight="1">
      <c r="E909" s="26"/>
    </row>
    <row r="910" ht="15.75" customHeight="1">
      <c r="E910" s="26"/>
    </row>
    <row r="911" ht="15.75" customHeight="1">
      <c r="E911" s="26"/>
    </row>
    <row r="912" ht="15.75" customHeight="1">
      <c r="E912" s="26"/>
    </row>
    <row r="913" ht="15.75" customHeight="1">
      <c r="E913" s="26"/>
    </row>
    <row r="914" ht="15.75" customHeight="1">
      <c r="E914" s="26"/>
    </row>
    <row r="915" ht="15.75" customHeight="1">
      <c r="E915" s="26"/>
    </row>
    <row r="916" ht="15.75" customHeight="1">
      <c r="E916" s="26"/>
    </row>
    <row r="917" ht="15.75" customHeight="1">
      <c r="E917" s="26"/>
    </row>
    <row r="918" ht="15.75" customHeight="1">
      <c r="E918" s="26"/>
    </row>
    <row r="919" ht="15.75" customHeight="1">
      <c r="E919" s="26"/>
    </row>
    <row r="920" ht="15.75" customHeight="1">
      <c r="E920" s="26"/>
    </row>
    <row r="921" ht="15.75" customHeight="1">
      <c r="E921" s="26"/>
    </row>
    <row r="922" ht="15.75" customHeight="1">
      <c r="E922" s="26"/>
    </row>
    <row r="923" ht="15.75" customHeight="1">
      <c r="E923" s="26"/>
    </row>
    <row r="924" ht="15.75" customHeight="1">
      <c r="E924" s="26"/>
    </row>
    <row r="925" ht="15.75" customHeight="1">
      <c r="E925" s="26"/>
    </row>
    <row r="926" ht="15.75" customHeight="1">
      <c r="E926" s="26"/>
    </row>
    <row r="927" ht="15.75" customHeight="1">
      <c r="E927" s="26"/>
    </row>
    <row r="928" ht="15.75" customHeight="1">
      <c r="E928" s="26"/>
    </row>
    <row r="929" ht="15.75" customHeight="1">
      <c r="E929" s="26"/>
    </row>
    <row r="930" ht="15.75" customHeight="1">
      <c r="E930" s="26"/>
    </row>
    <row r="931" ht="15.75" customHeight="1">
      <c r="E931" s="26"/>
    </row>
    <row r="932" ht="15.75" customHeight="1">
      <c r="E932" s="26"/>
    </row>
    <row r="933" ht="15.75" customHeight="1">
      <c r="E933" s="26"/>
    </row>
    <row r="934" ht="15.75" customHeight="1">
      <c r="E934" s="26"/>
    </row>
    <row r="935" ht="15.75" customHeight="1">
      <c r="E935" s="26"/>
    </row>
    <row r="936" ht="15.75" customHeight="1">
      <c r="E936" s="26"/>
    </row>
    <row r="937" ht="15.75" customHeight="1">
      <c r="E937" s="26"/>
    </row>
    <row r="938" ht="15.75" customHeight="1">
      <c r="E938" s="26"/>
    </row>
    <row r="939" ht="15.75" customHeight="1">
      <c r="E939" s="26"/>
    </row>
    <row r="940" ht="15.75" customHeight="1">
      <c r="E940" s="26"/>
    </row>
    <row r="941" ht="15.75" customHeight="1">
      <c r="E941" s="26"/>
    </row>
    <row r="942" ht="15.75" customHeight="1">
      <c r="E942" s="26"/>
    </row>
    <row r="943" ht="15.75" customHeight="1">
      <c r="E943" s="26"/>
    </row>
    <row r="944" ht="15.75" customHeight="1">
      <c r="E944" s="26"/>
    </row>
    <row r="945" ht="15.75" customHeight="1">
      <c r="E945" s="26"/>
    </row>
    <row r="946" ht="15.75" customHeight="1">
      <c r="E946" s="26"/>
    </row>
    <row r="947" ht="15.75" customHeight="1">
      <c r="E947" s="26"/>
    </row>
    <row r="948" ht="15.75" customHeight="1">
      <c r="E948" s="26"/>
    </row>
    <row r="949" ht="15.75" customHeight="1">
      <c r="E949" s="26"/>
    </row>
    <row r="950" ht="15.75" customHeight="1">
      <c r="E950" s="26"/>
    </row>
    <row r="951" ht="15.75" customHeight="1">
      <c r="E951" s="26"/>
    </row>
    <row r="952" ht="15.75" customHeight="1">
      <c r="E952" s="26"/>
    </row>
    <row r="953" ht="15.75" customHeight="1">
      <c r="E953" s="26"/>
    </row>
    <row r="954" ht="15.75" customHeight="1">
      <c r="E954" s="26"/>
    </row>
    <row r="955" ht="15.75" customHeight="1">
      <c r="E955" s="26"/>
    </row>
    <row r="956" ht="15.75" customHeight="1">
      <c r="E956" s="26"/>
    </row>
    <row r="957" ht="15.75" customHeight="1">
      <c r="E957" s="26"/>
    </row>
    <row r="958" ht="15.75" customHeight="1">
      <c r="E958" s="26"/>
    </row>
    <row r="959" ht="15.75" customHeight="1">
      <c r="E959" s="26"/>
    </row>
    <row r="960" ht="15.75" customHeight="1">
      <c r="E960" s="26"/>
    </row>
    <row r="961" ht="15.75" customHeight="1">
      <c r="E961" s="26"/>
    </row>
    <row r="962" ht="15.75" customHeight="1">
      <c r="E962" s="26"/>
    </row>
    <row r="963" ht="15.75" customHeight="1">
      <c r="E963" s="26"/>
    </row>
    <row r="964" ht="15.75" customHeight="1">
      <c r="E964" s="26"/>
    </row>
    <row r="965" ht="15.75" customHeight="1">
      <c r="E965" s="26"/>
    </row>
    <row r="966" ht="15.75" customHeight="1">
      <c r="E966" s="26"/>
    </row>
    <row r="967" ht="15.75" customHeight="1">
      <c r="E967" s="26"/>
    </row>
    <row r="968" ht="15.75" customHeight="1">
      <c r="E968" s="26"/>
    </row>
    <row r="969" ht="15.75" customHeight="1">
      <c r="E969" s="26"/>
    </row>
    <row r="970" ht="15.75" customHeight="1">
      <c r="E970" s="26"/>
    </row>
    <row r="971" ht="15.75" customHeight="1">
      <c r="E971" s="26"/>
    </row>
    <row r="972" ht="15.75" customHeight="1">
      <c r="E972" s="26"/>
    </row>
    <row r="973" ht="15.75" customHeight="1">
      <c r="E973" s="26"/>
    </row>
    <row r="974" ht="15.75" customHeight="1">
      <c r="E974" s="26"/>
    </row>
    <row r="975" ht="15.75" customHeight="1">
      <c r="E975" s="26"/>
    </row>
    <row r="976" ht="15.75" customHeight="1">
      <c r="E976" s="26"/>
    </row>
    <row r="977" ht="15.75" customHeight="1">
      <c r="E977" s="26"/>
    </row>
    <row r="978" ht="15.75" customHeight="1">
      <c r="E978" s="26"/>
    </row>
    <row r="979" ht="15.75" customHeight="1">
      <c r="E979" s="26"/>
    </row>
    <row r="980" ht="15.75" customHeight="1">
      <c r="E980" s="26"/>
    </row>
    <row r="981" ht="15.75" customHeight="1">
      <c r="E981" s="26"/>
    </row>
    <row r="982" ht="15.75" customHeight="1">
      <c r="E982" s="26"/>
    </row>
    <row r="983" ht="15.75" customHeight="1">
      <c r="E983" s="26"/>
    </row>
    <row r="984" ht="15.75" customHeight="1">
      <c r="E984" s="26"/>
    </row>
    <row r="985" ht="15.75" customHeight="1">
      <c r="E985" s="26"/>
    </row>
    <row r="986" ht="15.75" customHeight="1">
      <c r="E986" s="26"/>
    </row>
    <row r="987" ht="15.75" customHeight="1">
      <c r="E987" s="26"/>
    </row>
    <row r="988" ht="15.75" customHeight="1">
      <c r="E988" s="26"/>
    </row>
    <row r="989" ht="15.75" customHeight="1">
      <c r="E989" s="26"/>
    </row>
    <row r="990" ht="15.75" customHeight="1">
      <c r="E990" s="26"/>
    </row>
    <row r="991" ht="15.75" customHeight="1">
      <c r="E991" s="26"/>
    </row>
    <row r="992" ht="15.75" customHeight="1">
      <c r="E992" s="26"/>
    </row>
    <row r="993" ht="15.75" customHeight="1">
      <c r="E993" s="26"/>
    </row>
    <row r="994" ht="15.75" customHeight="1">
      <c r="E994" s="26"/>
    </row>
    <row r="995" ht="15.75" customHeight="1">
      <c r="E995" s="26"/>
    </row>
    <row r="996" ht="15.75" customHeight="1">
      <c r="E996" s="26"/>
    </row>
    <row r="997" ht="15.75" customHeight="1">
      <c r="E997" s="26"/>
    </row>
    <row r="998" ht="15.75" customHeight="1">
      <c r="E998" s="26"/>
    </row>
    <row r="999" ht="15.75" customHeight="1">
      <c r="E999" s="26"/>
    </row>
    <row r="1000" ht="15.75" customHeight="1">
      <c r="E1000" s="26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3.0" ySplit="4.0" topLeftCell="D5" activePane="bottomRight" state="frozen"/>
      <selection activeCell="D1" sqref="D1" pane="topRight"/>
      <selection activeCell="A5" sqref="A5" pane="bottomLeft"/>
      <selection activeCell="D5" sqref="D5" pane="bottomRight"/>
    </sheetView>
  </sheetViews>
  <sheetFormatPr customHeight="1" defaultColWidth="14.43" defaultRowHeight="15.0"/>
  <cols>
    <col customWidth="1" min="1" max="1" width="8.86"/>
    <col customWidth="1" min="2" max="2" width="5.71"/>
    <col customWidth="1" min="3" max="3" width="21.43"/>
    <col customWidth="1" min="4" max="4" width="10.29"/>
    <col customWidth="1" min="5" max="5" width="14.29"/>
    <col customWidth="1" min="7" max="7" width="11.71"/>
    <col customWidth="1" min="9" max="26" width="8.86"/>
  </cols>
  <sheetData>
    <row r="1">
      <c r="B1" s="45" t="s">
        <v>40</v>
      </c>
      <c r="C1" s="34"/>
      <c r="D1" s="34"/>
      <c r="E1" s="34"/>
      <c r="F1" s="34"/>
      <c r="G1" s="34"/>
      <c r="H1" s="34"/>
    </row>
    <row r="2">
      <c r="B2" s="46"/>
      <c r="C2" s="34"/>
      <c r="D2" s="34"/>
      <c r="E2" s="34"/>
      <c r="F2" s="34"/>
      <c r="G2" s="34"/>
      <c r="H2" s="36" t="s">
        <v>41</v>
      </c>
    </row>
    <row r="3" ht="33.75" customHeight="1">
      <c r="B3" s="47" t="s">
        <v>42</v>
      </c>
      <c r="C3" s="48" t="s">
        <v>43</v>
      </c>
      <c r="D3" s="48" t="s">
        <v>44</v>
      </c>
      <c r="E3" s="48" t="s">
        <v>45</v>
      </c>
      <c r="F3" s="48" t="s">
        <v>46</v>
      </c>
      <c r="G3" s="48" t="s">
        <v>47</v>
      </c>
      <c r="H3" s="49" t="s">
        <v>48</v>
      </c>
    </row>
    <row r="4">
      <c r="B4" s="50"/>
      <c r="C4" s="51"/>
      <c r="D4" s="51"/>
      <c r="E4" s="51"/>
      <c r="F4" s="51"/>
      <c r="G4" s="52">
        <v>0.18</v>
      </c>
      <c r="H4" s="53"/>
    </row>
    <row r="5">
      <c r="B5" s="50">
        <f>'Effort Cost Sheet'!A3</f>
        <v>1</v>
      </c>
      <c r="C5" s="54" t="str">
        <f>Costing!A4</f>
        <v>BRS</v>
      </c>
      <c r="D5" s="55">
        <f>SUM(Costing!E4:E6)</f>
        <v>45</v>
      </c>
      <c r="E5" s="56">
        <f>SUM(Costing!H4:H6)</f>
        <v>590909.0909</v>
      </c>
      <c r="F5" s="56">
        <f>SUM(Costing!I4:I6)</f>
        <v>1158645.276</v>
      </c>
      <c r="G5" s="56">
        <f t="shared" ref="G5:G11" si="1">F5*$G$4</f>
        <v>208556.1497</v>
      </c>
      <c r="H5" s="57">
        <f t="shared" ref="H5:H11" si="2">F5+G5</f>
        <v>1367201.426</v>
      </c>
    </row>
    <row r="6">
      <c r="B6" s="50">
        <f>'Effort Cost Sheet'!A12</f>
        <v>2</v>
      </c>
      <c r="C6" s="54" t="str">
        <f>Costing!A7</f>
        <v>Development</v>
      </c>
      <c r="D6" s="55" t="str">
        <f>SUM(Costing!E7:E18)</f>
        <v>#REF!</v>
      </c>
      <c r="E6" s="56" t="str">
        <f>SUM(Costing!H7:H18)</f>
        <v>#REF!</v>
      </c>
      <c r="F6" s="56" t="str">
        <f>SUM(Costing!I7:I18)</f>
        <v>#REF!</v>
      </c>
      <c r="G6" s="56" t="str">
        <f t="shared" si="1"/>
        <v>#REF!</v>
      </c>
      <c r="H6" s="57" t="str">
        <f t="shared" si="2"/>
        <v>#REF!</v>
      </c>
    </row>
    <row r="7">
      <c r="B7" s="50">
        <f>'Effort Cost Sheet'!A21</f>
        <v>3</v>
      </c>
      <c r="C7" s="54" t="str">
        <f>Costing!A19</f>
        <v>SIT</v>
      </c>
      <c r="D7" s="55">
        <f>SUM(Costing!E19:E23)</f>
        <v>30</v>
      </c>
      <c r="E7" s="56">
        <f>SUM(Costing!H19:H23)</f>
        <v>391477.2727</v>
      </c>
      <c r="F7" s="56">
        <f>SUM(Costing!I19:I23)</f>
        <v>767602.4955</v>
      </c>
      <c r="G7" s="56">
        <f t="shared" si="1"/>
        <v>138168.4492</v>
      </c>
      <c r="H7" s="57">
        <f t="shared" si="2"/>
        <v>905770.9447</v>
      </c>
    </row>
    <row r="8">
      <c r="B8" s="50">
        <f>'Effort Cost Sheet'!A30</f>
        <v>4</v>
      </c>
      <c r="C8" s="54" t="str">
        <f>Costing!A24</f>
        <v>UAT+Bug Fixing</v>
      </c>
      <c r="D8" s="55">
        <f>SUM(Costing!E24:E31)</f>
        <v>70</v>
      </c>
      <c r="E8" s="56">
        <f>SUM(Costing!H24:H31)</f>
        <v>812500</v>
      </c>
      <c r="F8" s="56">
        <f>SUM(Costing!I24:I31)</f>
        <v>1593137.255</v>
      </c>
      <c r="G8" s="56">
        <f t="shared" si="1"/>
        <v>286764.7059</v>
      </c>
      <c r="H8" s="57">
        <f t="shared" si="2"/>
        <v>1879901.961</v>
      </c>
    </row>
    <row r="9">
      <c r="B9" s="50">
        <v>5.0</v>
      </c>
      <c r="C9" s="54" t="str">
        <f>Costing!A32</f>
        <v>Go lIve(Integration )</v>
      </c>
      <c r="D9" s="55" t="str">
        <f>SUM(Costing!E32:E35)</f>
        <v>#REF!</v>
      </c>
      <c r="E9" s="56" t="str">
        <f>SUM(Costing!H32:H35)</f>
        <v>#REF!</v>
      </c>
      <c r="F9" s="56" t="str">
        <f>SUM(Costing!I32:I35)</f>
        <v>#REF!</v>
      </c>
      <c r="G9" s="56" t="str">
        <f t="shared" si="1"/>
        <v>#REF!</v>
      </c>
      <c r="H9" s="57" t="str">
        <f t="shared" si="2"/>
        <v>#REF!</v>
      </c>
    </row>
    <row r="10">
      <c r="B10" s="50">
        <v>6.0</v>
      </c>
      <c r="C10" s="54" t="str">
        <f>Costing!A36</f>
        <v>Post Go-live Support</v>
      </c>
      <c r="D10" s="55" t="str">
        <f>SUM(Costing!E35:E36)</f>
        <v>#REF!</v>
      </c>
      <c r="E10" s="56">
        <f>SUM(Costing!H36:H39)</f>
        <v>0</v>
      </c>
      <c r="F10" s="56">
        <f>SUM(Costing!I36:I39)</f>
        <v>0</v>
      </c>
      <c r="G10" s="56">
        <f t="shared" si="1"/>
        <v>0</v>
      </c>
      <c r="H10" s="57">
        <f t="shared" si="2"/>
        <v>0</v>
      </c>
    </row>
    <row r="11">
      <c r="B11" s="50">
        <v>7.0</v>
      </c>
      <c r="C11" s="54" t="str">
        <f>Costing!A42</f>
        <v>Support</v>
      </c>
      <c r="D11" s="55">
        <f>Costing!D42</f>
        <v>0</v>
      </c>
      <c r="E11" s="56">
        <f>Costing!H42</f>
        <v>0</v>
      </c>
      <c r="F11" s="56">
        <f>Costing!I42</f>
        <v>0</v>
      </c>
      <c r="G11" s="56">
        <f t="shared" si="1"/>
        <v>0</v>
      </c>
      <c r="H11" s="57">
        <f t="shared" si="2"/>
        <v>0</v>
      </c>
    </row>
    <row r="12">
      <c r="B12" s="58"/>
      <c r="C12" s="59" t="str">
        <f>[1]OEM_Transfer!B7</f>
        <v>#ERROR!</v>
      </c>
      <c r="D12" s="60" t="str">
        <f t="shared" ref="D12:H12" si="3">SUM(D5:D11)</f>
        <v>#REF!</v>
      </c>
      <c r="E12" s="61" t="str">
        <f t="shared" si="3"/>
        <v>#REF!</v>
      </c>
      <c r="F12" s="61" t="str">
        <f t="shared" si="3"/>
        <v>#REF!</v>
      </c>
      <c r="G12" s="61" t="str">
        <f t="shared" si="3"/>
        <v>#REF!</v>
      </c>
      <c r="H12" s="62" t="str">
        <f t="shared" si="3"/>
        <v>#REF!</v>
      </c>
    </row>
    <row r="13">
      <c r="B13" s="46"/>
      <c r="C13" s="34"/>
      <c r="D13" s="34"/>
      <c r="E13" s="34"/>
      <c r="F13" s="34"/>
      <c r="G13" s="34"/>
      <c r="H13" s="34"/>
    </row>
    <row r="14">
      <c r="B14" s="63"/>
      <c r="E14" s="64"/>
      <c r="F14" s="34"/>
      <c r="G14" s="65"/>
      <c r="H14" s="34"/>
    </row>
    <row r="15">
      <c r="B15" s="66"/>
      <c r="C15" s="67"/>
      <c r="F15" s="34"/>
      <c r="G15" s="34"/>
      <c r="H15" s="34"/>
    </row>
    <row r="16">
      <c r="B16" s="66"/>
      <c r="F16" s="34"/>
      <c r="G16" s="34"/>
      <c r="H16" s="34"/>
    </row>
    <row r="17" ht="23.25" customHeight="1">
      <c r="B17" s="66"/>
      <c r="F17" s="34"/>
      <c r="G17" s="34"/>
      <c r="H17" s="34"/>
    </row>
    <row r="18" ht="17.25" customHeight="1">
      <c r="B18" s="68"/>
      <c r="F18" s="34"/>
      <c r="G18" s="34"/>
      <c r="H18" s="34"/>
    </row>
    <row r="19">
      <c r="B19" s="68"/>
      <c r="F19" s="34"/>
      <c r="G19" s="34"/>
      <c r="H19" s="34"/>
    </row>
    <row r="20" ht="19.5" customHeight="1">
      <c r="B20" s="68"/>
      <c r="F20" s="34"/>
      <c r="G20" s="34"/>
      <c r="H20" s="34"/>
    </row>
    <row r="21" ht="15.75" customHeight="1">
      <c r="B21" s="68"/>
      <c r="C21" s="67"/>
      <c r="D21" s="67"/>
      <c r="E21" s="67"/>
      <c r="F21" s="34"/>
      <c r="G21" s="34"/>
      <c r="H21" s="34"/>
    </row>
    <row r="22" ht="15.75" customHeight="1">
      <c r="B22" s="46"/>
      <c r="C22" s="34"/>
      <c r="D22" s="69"/>
      <c r="E22" s="34"/>
      <c r="F22" s="34"/>
      <c r="G22" s="34"/>
      <c r="H22" s="34"/>
    </row>
    <row r="23" ht="15.75" customHeight="1">
      <c r="B23" s="46"/>
      <c r="C23" s="70"/>
      <c r="D23" s="71"/>
      <c r="F23" s="34"/>
      <c r="G23" s="34"/>
      <c r="H23" s="34"/>
    </row>
    <row r="24" ht="15.75" customHeight="1">
      <c r="B24" s="46"/>
      <c r="C24" s="70"/>
      <c r="D24" s="71"/>
      <c r="F24" s="34"/>
      <c r="G24" s="34"/>
      <c r="H24" s="34"/>
    </row>
    <row r="25" ht="15.75" customHeight="1">
      <c r="B25" s="46"/>
      <c r="C25" s="70"/>
      <c r="D25" s="71"/>
      <c r="F25" s="34"/>
      <c r="G25" s="34"/>
      <c r="H25" s="34"/>
    </row>
    <row r="26" ht="15.75" customHeight="1">
      <c r="B26" s="46"/>
      <c r="C26" s="70"/>
      <c r="D26" s="71"/>
      <c r="F26" s="34"/>
      <c r="G26" s="34"/>
      <c r="H26" s="34"/>
    </row>
    <row r="27" ht="15.75" customHeight="1">
      <c r="B27" s="46"/>
      <c r="C27" s="34"/>
      <c r="D27" s="34"/>
      <c r="E27" s="34"/>
      <c r="F27" s="34"/>
      <c r="G27" s="34"/>
      <c r="H27" s="34"/>
    </row>
    <row r="28" ht="15.75" customHeight="1">
      <c r="B28" s="46"/>
      <c r="C28" s="34"/>
      <c r="D28" s="34"/>
      <c r="E28" s="34"/>
      <c r="F28" s="34"/>
      <c r="G28" s="34"/>
      <c r="H28" s="34"/>
    </row>
    <row r="29" ht="15.75" customHeight="1">
      <c r="B29" s="46"/>
      <c r="C29" s="34"/>
      <c r="D29" s="34"/>
      <c r="E29" s="34"/>
      <c r="F29" s="34"/>
      <c r="G29" s="34"/>
      <c r="H29" s="34"/>
    </row>
    <row r="30" ht="15.75" customHeight="1">
      <c r="B30" s="46"/>
      <c r="C30" s="34"/>
      <c r="D30" s="34"/>
      <c r="E30" s="34"/>
      <c r="F30" s="34"/>
      <c r="G30" s="34"/>
      <c r="H30" s="34"/>
    </row>
    <row r="31" ht="15.75" customHeight="1">
      <c r="B31" s="46"/>
      <c r="C31" s="34"/>
      <c r="D31" s="34"/>
      <c r="E31" s="34"/>
      <c r="F31" s="34"/>
      <c r="G31" s="34"/>
      <c r="H31" s="34"/>
    </row>
    <row r="32" ht="15.75" customHeight="1">
      <c r="B32" s="46"/>
      <c r="C32" s="34"/>
      <c r="D32" s="34"/>
      <c r="E32" s="34"/>
      <c r="F32" s="34"/>
      <c r="G32" s="34"/>
      <c r="H32" s="34"/>
    </row>
    <row r="33" ht="15.75" customHeight="1">
      <c r="B33" s="46"/>
      <c r="C33" s="34"/>
      <c r="D33" s="34"/>
      <c r="E33" s="34"/>
      <c r="F33" s="34"/>
      <c r="G33" s="34"/>
      <c r="H33" s="34"/>
    </row>
    <row r="34" ht="15.75" customHeight="1">
      <c r="B34" s="46"/>
      <c r="C34" s="34"/>
      <c r="D34" s="34"/>
      <c r="E34" s="34"/>
      <c r="F34" s="34"/>
      <c r="G34" s="34"/>
      <c r="H34" s="34"/>
    </row>
    <row r="35" ht="15.75" customHeight="1">
      <c r="B35" s="46"/>
      <c r="C35" s="34"/>
      <c r="D35" s="34"/>
      <c r="E35" s="34"/>
      <c r="F35" s="34"/>
      <c r="G35" s="34"/>
      <c r="H35" s="34"/>
    </row>
    <row r="36" ht="15.75" customHeight="1">
      <c r="B36" s="46"/>
      <c r="C36" s="34"/>
      <c r="D36" s="34"/>
      <c r="E36" s="34"/>
      <c r="F36" s="34"/>
      <c r="G36" s="34"/>
      <c r="H36" s="34"/>
    </row>
    <row r="37" ht="15.75" customHeight="1">
      <c r="B37" s="46"/>
      <c r="C37" s="34"/>
      <c r="D37" s="34"/>
      <c r="E37" s="34"/>
      <c r="F37" s="34"/>
      <c r="G37" s="34"/>
      <c r="H37" s="34"/>
    </row>
    <row r="38" ht="15.75" customHeight="1">
      <c r="B38" s="46"/>
      <c r="C38" s="34"/>
      <c r="D38" s="34"/>
      <c r="E38" s="34"/>
      <c r="F38" s="34"/>
      <c r="G38" s="34"/>
      <c r="H38" s="34"/>
    </row>
    <row r="39" ht="15.75" customHeight="1">
      <c r="B39" s="46"/>
      <c r="C39" s="34"/>
      <c r="D39" s="34"/>
      <c r="E39" s="34"/>
      <c r="F39" s="34"/>
      <c r="G39" s="34"/>
      <c r="H39" s="34"/>
    </row>
    <row r="40" ht="15.75" customHeight="1">
      <c r="B40" s="46"/>
      <c r="C40" s="34"/>
      <c r="D40" s="34"/>
      <c r="E40" s="34"/>
      <c r="F40" s="34"/>
      <c r="G40" s="34"/>
      <c r="H40" s="34"/>
    </row>
    <row r="41" ht="15.75" customHeight="1">
      <c r="B41" s="46"/>
      <c r="C41" s="34"/>
      <c r="D41" s="34"/>
      <c r="E41" s="34"/>
      <c r="F41" s="34"/>
      <c r="G41" s="34"/>
      <c r="H41" s="34"/>
    </row>
    <row r="42" ht="15.75" customHeight="1">
      <c r="B42" s="46"/>
      <c r="C42" s="34"/>
      <c r="D42" s="34"/>
      <c r="E42" s="34"/>
      <c r="F42" s="34"/>
      <c r="G42" s="34"/>
      <c r="H42" s="34"/>
    </row>
    <row r="43" ht="15.75" customHeight="1">
      <c r="B43" s="46"/>
      <c r="C43" s="34"/>
      <c r="D43" s="34"/>
      <c r="E43" s="34"/>
      <c r="F43" s="34"/>
      <c r="G43" s="34"/>
      <c r="H43" s="34"/>
    </row>
    <row r="44" ht="15.75" customHeight="1">
      <c r="B44" s="46"/>
      <c r="C44" s="34"/>
      <c r="D44" s="34"/>
      <c r="E44" s="34"/>
      <c r="F44" s="34"/>
      <c r="G44" s="34"/>
      <c r="H44" s="34"/>
    </row>
    <row r="45" ht="15.75" customHeight="1">
      <c r="B45" s="46"/>
      <c r="C45" s="34"/>
      <c r="D45" s="34"/>
      <c r="E45" s="34"/>
      <c r="F45" s="34"/>
      <c r="G45" s="34"/>
      <c r="H45" s="34"/>
    </row>
    <row r="46" ht="15.75" customHeight="1">
      <c r="B46" s="46"/>
      <c r="C46" s="34"/>
      <c r="D46" s="34"/>
      <c r="E46" s="34"/>
      <c r="F46" s="34"/>
      <c r="G46" s="34"/>
      <c r="H46" s="34"/>
    </row>
    <row r="47" ht="15.75" customHeight="1">
      <c r="B47" s="46"/>
      <c r="C47" s="34"/>
      <c r="D47" s="34"/>
      <c r="E47" s="34"/>
      <c r="F47" s="34"/>
      <c r="G47" s="34"/>
      <c r="H47" s="34"/>
    </row>
    <row r="48" ht="15.75" customHeight="1">
      <c r="B48" s="46"/>
      <c r="C48" s="34"/>
      <c r="D48" s="34"/>
      <c r="E48" s="34"/>
      <c r="F48" s="34"/>
      <c r="G48" s="34"/>
      <c r="H48" s="34"/>
    </row>
    <row r="49" ht="15.75" customHeight="1">
      <c r="B49" s="46"/>
      <c r="C49" s="34"/>
      <c r="D49" s="34"/>
      <c r="E49" s="34"/>
      <c r="F49" s="34"/>
      <c r="G49" s="34"/>
      <c r="H49" s="34"/>
    </row>
    <row r="50" ht="15.75" customHeight="1">
      <c r="B50" s="46"/>
      <c r="C50" s="34"/>
      <c r="D50" s="34"/>
      <c r="E50" s="34"/>
      <c r="F50" s="34"/>
      <c r="G50" s="34"/>
      <c r="H50" s="34"/>
    </row>
    <row r="51" ht="15.75" customHeight="1">
      <c r="B51" s="46"/>
      <c r="C51" s="34"/>
      <c r="D51" s="34"/>
      <c r="E51" s="34"/>
      <c r="F51" s="34"/>
      <c r="G51" s="34"/>
      <c r="H51" s="34"/>
    </row>
    <row r="52" ht="15.75" customHeight="1">
      <c r="B52" s="46"/>
      <c r="C52" s="34"/>
      <c r="D52" s="34"/>
      <c r="E52" s="34"/>
      <c r="F52" s="34"/>
      <c r="G52" s="34"/>
      <c r="H52" s="34"/>
    </row>
    <row r="53" ht="15.75" customHeight="1">
      <c r="B53" s="46"/>
      <c r="C53" s="34"/>
      <c r="D53" s="34"/>
      <c r="E53" s="34"/>
      <c r="F53" s="34"/>
      <c r="G53" s="34"/>
      <c r="H53" s="34"/>
    </row>
    <row r="54" ht="15.75" customHeight="1">
      <c r="B54" s="46"/>
      <c r="C54" s="34"/>
      <c r="D54" s="34"/>
      <c r="E54" s="34"/>
      <c r="F54" s="34"/>
      <c r="G54" s="34"/>
      <c r="H54" s="34"/>
    </row>
    <row r="55" ht="15.75" customHeight="1">
      <c r="B55" s="46"/>
      <c r="C55" s="34"/>
      <c r="D55" s="34"/>
      <c r="E55" s="34"/>
      <c r="F55" s="34"/>
      <c r="G55" s="34"/>
      <c r="H55" s="34"/>
    </row>
    <row r="56" ht="15.75" customHeight="1">
      <c r="B56" s="46"/>
      <c r="C56" s="34"/>
      <c r="D56" s="34"/>
      <c r="E56" s="34"/>
      <c r="F56" s="34"/>
      <c r="G56" s="34"/>
      <c r="H56" s="34"/>
    </row>
    <row r="57" ht="15.75" customHeight="1">
      <c r="B57" s="46"/>
      <c r="C57" s="34"/>
      <c r="D57" s="34"/>
      <c r="E57" s="34"/>
      <c r="F57" s="34"/>
      <c r="G57" s="34"/>
      <c r="H57" s="34"/>
    </row>
    <row r="58" ht="15.75" customHeight="1">
      <c r="B58" s="46"/>
      <c r="C58" s="34"/>
      <c r="D58" s="34"/>
      <c r="E58" s="34"/>
      <c r="F58" s="34"/>
      <c r="G58" s="34"/>
      <c r="H58" s="34"/>
    </row>
    <row r="59" ht="15.75" customHeight="1">
      <c r="B59" s="46"/>
      <c r="C59" s="34"/>
      <c r="D59" s="34"/>
      <c r="E59" s="34"/>
      <c r="F59" s="34"/>
      <c r="G59" s="34"/>
      <c r="H59" s="34"/>
    </row>
    <row r="60" ht="15.75" customHeight="1">
      <c r="B60" s="46"/>
      <c r="C60" s="34"/>
      <c r="D60" s="34"/>
      <c r="E60" s="34"/>
      <c r="F60" s="34"/>
      <c r="G60" s="34"/>
      <c r="H60" s="34"/>
    </row>
    <row r="61" ht="15.75" customHeight="1">
      <c r="B61" s="46"/>
      <c r="C61" s="34"/>
      <c r="D61" s="34"/>
      <c r="E61" s="34"/>
      <c r="F61" s="34"/>
      <c r="G61" s="34"/>
      <c r="H61" s="34"/>
    </row>
    <row r="62" ht="15.75" customHeight="1">
      <c r="B62" s="46"/>
      <c r="C62" s="34"/>
      <c r="D62" s="34"/>
      <c r="E62" s="34"/>
      <c r="F62" s="34"/>
      <c r="G62" s="34"/>
      <c r="H62" s="34"/>
    </row>
    <row r="63" ht="15.75" customHeight="1">
      <c r="B63" s="46"/>
      <c r="C63" s="34"/>
      <c r="D63" s="34"/>
      <c r="E63" s="34"/>
      <c r="F63" s="34"/>
      <c r="G63" s="34"/>
      <c r="H63" s="34"/>
    </row>
    <row r="64" ht="15.75" customHeight="1">
      <c r="B64" s="46"/>
      <c r="C64" s="34"/>
      <c r="D64" s="34"/>
      <c r="E64" s="34"/>
      <c r="F64" s="34"/>
      <c r="G64" s="34"/>
      <c r="H64" s="34"/>
    </row>
    <row r="65" ht="15.75" customHeight="1">
      <c r="B65" s="46"/>
      <c r="C65" s="34"/>
      <c r="D65" s="34"/>
      <c r="E65" s="34"/>
      <c r="F65" s="34"/>
      <c r="G65" s="34"/>
      <c r="H65" s="34"/>
    </row>
    <row r="66" ht="15.75" customHeight="1">
      <c r="B66" s="46"/>
      <c r="C66" s="34"/>
      <c r="D66" s="34"/>
      <c r="E66" s="34"/>
      <c r="F66" s="34"/>
      <c r="G66" s="34"/>
      <c r="H66" s="34"/>
    </row>
    <row r="67" ht="15.75" customHeight="1">
      <c r="B67" s="46"/>
      <c r="C67" s="34"/>
      <c r="D67" s="34"/>
      <c r="E67" s="34"/>
      <c r="F67" s="34"/>
      <c r="G67" s="34"/>
      <c r="H67" s="34"/>
    </row>
    <row r="68" ht="15.75" customHeight="1">
      <c r="B68" s="46"/>
      <c r="C68" s="34"/>
      <c r="D68" s="34"/>
      <c r="E68" s="34"/>
      <c r="F68" s="34"/>
      <c r="G68" s="34"/>
      <c r="H68" s="34"/>
    </row>
    <row r="69" ht="15.75" customHeight="1">
      <c r="B69" s="46"/>
      <c r="C69" s="34"/>
      <c r="D69" s="34"/>
      <c r="E69" s="34"/>
      <c r="F69" s="34"/>
      <c r="G69" s="34"/>
      <c r="H69" s="34"/>
    </row>
    <row r="70" ht="15.75" customHeight="1">
      <c r="B70" s="46"/>
      <c r="C70" s="34"/>
      <c r="D70" s="34"/>
      <c r="E70" s="34"/>
      <c r="F70" s="34"/>
      <c r="G70" s="34"/>
      <c r="H70" s="34"/>
    </row>
    <row r="71" ht="15.75" customHeight="1">
      <c r="B71" s="46"/>
      <c r="C71" s="34"/>
      <c r="D71" s="34"/>
      <c r="E71" s="34"/>
      <c r="F71" s="34"/>
      <c r="G71" s="34"/>
      <c r="H71" s="34"/>
    </row>
    <row r="72" ht="15.75" customHeight="1">
      <c r="B72" s="46"/>
      <c r="C72" s="34"/>
      <c r="D72" s="34"/>
      <c r="E72" s="34"/>
      <c r="F72" s="34"/>
      <c r="G72" s="34"/>
      <c r="H72" s="34"/>
    </row>
    <row r="73" ht="15.75" customHeight="1">
      <c r="B73" s="46"/>
      <c r="C73" s="34"/>
      <c r="D73" s="34"/>
      <c r="E73" s="34"/>
      <c r="F73" s="34"/>
      <c r="G73" s="34"/>
      <c r="H73" s="34"/>
    </row>
    <row r="74" ht="15.75" customHeight="1">
      <c r="B74" s="46"/>
      <c r="C74" s="34"/>
      <c r="D74" s="34"/>
      <c r="E74" s="34"/>
      <c r="F74" s="34"/>
      <c r="G74" s="34"/>
      <c r="H74" s="34"/>
    </row>
    <row r="75" ht="15.75" customHeight="1">
      <c r="B75" s="46"/>
      <c r="C75" s="34"/>
      <c r="D75" s="34"/>
      <c r="E75" s="34"/>
      <c r="F75" s="34"/>
      <c r="G75" s="34"/>
      <c r="H75" s="34"/>
    </row>
    <row r="76" ht="15.75" customHeight="1">
      <c r="B76" s="46"/>
      <c r="C76" s="34"/>
      <c r="D76" s="34"/>
      <c r="E76" s="34"/>
      <c r="F76" s="34"/>
      <c r="G76" s="34"/>
      <c r="H76" s="34"/>
    </row>
    <row r="77" ht="15.75" customHeight="1">
      <c r="B77" s="46"/>
      <c r="C77" s="34"/>
      <c r="D77" s="34"/>
      <c r="E77" s="34"/>
      <c r="F77" s="34"/>
      <c r="G77" s="34"/>
      <c r="H77" s="34"/>
    </row>
    <row r="78" ht="15.75" customHeight="1">
      <c r="B78" s="46"/>
      <c r="C78" s="34"/>
      <c r="D78" s="34"/>
      <c r="E78" s="34"/>
      <c r="F78" s="34"/>
      <c r="G78" s="34"/>
      <c r="H78" s="34"/>
    </row>
    <row r="79" ht="15.75" customHeight="1">
      <c r="B79" s="46"/>
      <c r="C79" s="34"/>
      <c r="D79" s="34"/>
      <c r="E79" s="34"/>
      <c r="F79" s="34"/>
      <c r="G79" s="34"/>
      <c r="H79" s="34"/>
    </row>
    <row r="80" ht="15.75" customHeight="1">
      <c r="B80" s="46"/>
      <c r="C80" s="34"/>
      <c r="D80" s="34"/>
      <c r="E80" s="34"/>
      <c r="F80" s="34"/>
      <c r="G80" s="34"/>
      <c r="H80" s="34"/>
    </row>
    <row r="81" ht="15.75" customHeight="1">
      <c r="B81" s="46"/>
      <c r="C81" s="34"/>
      <c r="D81" s="34"/>
      <c r="E81" s="34"/>
      <c r="F81" s="34"/>
      <c r="G81" s="34"/>
      <c r="H81" s="34"/>
    </row>
    <row r="82" ht="15.75" customHeight="1">
      <c r="B82" s="46"/>
      <c r="C82" s="34"/>
      <c r="D82" s="34"/>
      <c r="E82" s="34"/>
      <c r="F82" s="34"/>
      <c r="G82" s="34"/>
      <c r="H82" s="34"/>
    </row>
    <row r="83" ht="15.75" customHeight="1">
      <c r="B83" s="46"/>
      <c r="C83" s="34"/>
      <c r="D83" s="34"/>
      <c r="E83" s="34"/>
      <c r="F83" s="34"/>
      <c r="G83" s="34"/>
      <c r="H83" s="34"/>
    </row>
    <row r="84" ht="15.75" customHeight="1">
      <c r="B84" s="46"/>
      <c r="C84" s="34"/>
      <c r="D84" s="34"/>
      <c r="E84" s="34"/>
      <c r="F84" s="34"/>
      <c r="G84" s="34"/>
      <c r="H84" s="34"/>
    </row>
    <row r="85" ht="15.75" customHeight="1">
      <c r="B85" s="46"/>
      <c r="C85" s="34"/>
      <c r="D85" s="34"/>
      <c r="E85" s="34"/>
      <c r="F85" s="34"/>
      <c r="G85" s="34"/>
      <c r="H85" s="34"/>
    </row>
    <row r="86" ht="15.75" customHeight="1">
      <c r="B86" s="46"/>
      <c r="C86" s="34"/>
      <c r="D86" s="34"/>
      <c r="E86" s="34"/>
      <c r="F86" s="34"/>
      <c r="G86" s="34"/>
      <c r="H86" s="34"/>
    </row>
    <row r="87" ht="15.75" customHeight="1">
      <c r="B87" s="46"/>
      <c r="C87" s="34"/>
      <c r="D87" s="34"/>
      <c r="E87" s="34"/>
      <c r="F87" s="34"/>
      <c r="G87" s="34"/>
      <c r="H87" s="34"/>
    </row>
    <row r="88" ht="15.75" customHeight="1">
      <c r="B88" s="46"/>
      <c r="C88" s="34"/>
      <c r="D88" s="34"/>
      <c r="E88" s="34"/>
      <c r="F88" s="34"/>
      <c r="G88" s="34"/>
      <c r="H88" s="34"/>
    </row>
    <row r="89" ht="15.75" customHeight="1">
      <c r="B89" s="46"/>
      <c r="C89" s="34"/>
      <c r="D89" s="34"/>
      <c r="E89" s="34"/>
      <c r="F89" s="34"/>
      <c r="G89" s="34"/>
      <c r="H89" s="34"/>
    </row>
    <row r="90" ht="15.75" customHeight="1">
      <c r="B90" s="46"/>
      <c r="C90" s="34"/>
      <c r="D90" s="34"/>
      <c r="E90" s="34"/>
      <c r="F90" s="34"/>
      <c r="G90" s="34"/>
      <c r="H90" s="34"/>
    </row>
    <row r="91" ht="15.75" customHeight="1">
      <c r="B91" s="46"/>
      <c r="C91" s="34"/>
      <c r="D91" s="34"/>
      <c r="E91" s="34"/>
      <c r="F91" s="34"/>
      <c r="G91" s="34"/>
      <c r="H91" s="34"/>
    </row>
    <row r="92" ht="15.75" customHeight="1">
      <c r="B92" s="46"/>
      <c r="C92" s="34"/>
      <c r="D92" s="34"/>
      <c r="E92" s="34"/>
      <c r="F92" s="34"/>
      <c r="G92" s="34"/>
      <c r="H92" s="34"/>
    </row>
    <row r="93" ht="15.75" customHeight="1">
      <c r="B93" s="46"/>
      <c r="C93" s="34"/>
      <c r="D93" s="34"/>
      <c r="E93" s="34"/>
      <c r="F93" s="34"/>
      <c r="G93" s="34"/>
      <c r="H93" s="34"/>
    </row>
    <row r="94" ht="15.75" customHeight="1">
      <c r="B94" s="46"/>
      <c r="C94" s="34"/>
      <c r="D94" s="34"/>
      <c r="E94" s="34"/>
      <c r="F94" s="34"/>
      <c r="G94" s="34"/>
      <c r="H94" s="34"/>
    </row>
    <row r="95" ht="15.75" customHeight="1">
      <c r="B95" s="46"/>
      <c r="C95" s="34"/>
      <c r="D95" s="34"/>
      <c r="E95" s="34"/>
      <c r="F95" s="34"/>
      <c r="G95" s="34"/>
      <c r="H95" s="34"/>
    </row>
    <row r="96" ht="15.75" customHeight="1">
      <c r="B96" s="46"/>
      <c r="C96" s="34"/>
      <c r="D96" s="34"/>
      <c r="E96" s="34"/>
      <c r="F96" s="34"/>
      <c r="G96" s="34"/>
      <c r="H96" s="34"/>
    </row>
    <row r="97" ht="15.75" customHeight="1">
      <c r="B97" s="46"/>
      <c r="C97" s="34"/>
      <c r="D97" s="34"/>
      <c r="E97" s="34"/>
      <c r="F97" s="34"/>
      <c r="G97" s="34"/>
      <c r="H97" s="34"/>
    </row>
    <row r="98" ht="15.75" customHeight="1">
      <c r="B98" s="46"/>
      <c r="C98" s="34"/>
      <c r="D98" s="34"/>
      <c r="E98" s="34"/>
      <c r="F98" s="34"/>
      <c r="G98" s="34"/>
      <c r="H98" s="34"/>
    </row>
    <row r="99" ht="15.75" customHeight="1">
      <c r="B99" s="46"/>
      <c r="C99" s="34"/>
      <c r="D99" s="34"/>
      <c r="E99" s="34"/>
      <c r="F99" s="34"/>
      <c r="G99" s="34"/>
      <c r="H99" s="34"/>
    </row>
    <row r="100" ht="15.75" customHeight="1">
      <c r="B100" s="46"/>
      <c r="C100" s="34"/>
      <c r="D100" s="34"/>
      <c r="E100" s="34"/>
      <c r="F100" s="34"/>
      <c r="G100" s="34"/>
      <c r="H100" s="34"/>
    </row>
    <row r="101" ht="15.75" customHeight="1">
      <c r="B101" s="46"/>
      <c r="C101" s="34"/>
      <c r="D101" s="34"/>
      <c r="E101" s="34"/>
      <c r="F101" s="34"/>
      <c r="G101" s="34"/>
      <c r="H101" s="34"/>
    </row>
    <row r="102" ht="15.75" customHeight="1">
      <c r="B102" s="46"/>
      <c r="C102" s="34"/>
      <c r="D102" s="34"/>
      <c r="E102" s="34"/>
      <c r="F102" s="34"/>
      <c r="G102" s="34"/>
      <c r="H102" s="34"/>
    </row>
    <row r="103" ht="15.75" customHeight="1">
      <c r="B103" s="46"/>
      <c r="C103" s="34"/>
      <c r="D103" s="34"/>
      <c r="E103" s="34"/>
      <c r="F103" s="34"/>
      <c r="G103" s="34"/>
      <c r="H103" s="34"/>
    </row>
    <row r="104" ht="15.75" customHeight="1">
      <c r="B104" s="46"/>
      <c r="C104" s="34"/>
      <c r="D104" s="34"/>
      <c r="E104" s="34"/>
      <c r="F104" s="34"/>
      <c r="G104" s="34"/>
      <c r="H104" s="34"/>
    </row>
    <row r="105" ht="15.75" customHeight="1">
      <c r="B105" s="46"/>
      <c r="C105" s="34"/>
      <c r="D105" s="34"/>
      <c r="E105" s="34"/>
      <c r="F105" s="34"/>
      <c r="G105" s="34"/>
      <c r="H105" s="34"/>
    </row>
    <row r="106" ht="15.75" customHeight="1">
      <c r="B106" s="46"/>
      <c r="C106" s="34"/>
      <c r="D106" s="34"/>
      <c r="E106" s="34"/>
      <c r="F106" s="34"/>
      <c r="G106" s="34"/>
      <c r="H106" s="34"/>
    </row>
    <row r="107" ht="15.75" customHeight="1">
      <c r="B107" s="46"/>
      <c r="C107" s="34"/>
      <c r="D107" s="34"/>
      <c r="E107" s="34"/>
      <c r="F107" s="34"/>
      <c r="G107" s="34"/>
      <c r="H107" s="34"/>
    </row>
    <row r="108" ht="15.75" customHeight="1">
      <c r="B108" s="46"/>
      <c r="C108" s="34"/>
      <c r="D108" s="34"/>
      <c r="E108" s="34"/>
      <c r="F108" s="34"/>
      <c r="G108" s="34"/>
      <c r="H108" s="34"/>
    </row>
    <row r="109" ht="15.75" customHeight="1">
      <c r="B109" s="46"/>
      <c r="C109" s="34"/>
      <c r="D109" s="34"/>
      <c r="E109" s="34"/>
      <c r="F109" s="34"/>
      <c r="G109" s="34"/>
      <c r="H109" s="34"/>
    </row>
    <row r="110" ht="15.75" customHeight="1">
      <c r="B110" s="46"/>
      <c r="C110" s="34"/>
      <c r="D110" s="34"/>
      <c r="E110" s="34"/>
      <c r="F110" s="34"/>
      <c r="G110" s="34"/>
      <c r="H110" s="34"/>
    </row>
    <row r="111" ht="15.75" customHeight="1">
      <c r="B111" s="46"/>
      <c r="C111" s="34"/>
      <c r="D111" s="34"/>
      <c r="E111" s="34"/>
      <c r="F111" s="34"/>
      <c r="G111" s="34"/>
      <c r="H111" s="34"/>
    </row>
    <row r="112" ht="15.75" customHeight="1">
      <c r="B112" s="46"/>
      <c r="C112" s="34"/>
      <c r="D112" s="34"/>
      <c r="E112" s="34"/>
      <c r="F112" s="34"/>
      <c r="G112" s="34"/>
      <c r="H112" s="34"/>
    </row>
    <row r="113" ht="15.75" customHeight="1">
      <c r="B113" s="46"/>
      <c r="C113" s="34"/>
      <c r="D113" s="34"/>
      <c r="E113" s="34"/>
      <c r="F113" s="34"/>
      <c r="G113" s="34"/>
      <c r="H113" s="34"/>
    </row>
    <row r="114" ht="15.75" customHeight="1">
      <c r="B114" s="46"/>
      <c r="C114" s="34"/>
      <c r="D114" s="34"/>
      <c r="E114" s="34"/>
      <c r="F114" s="34"/>
      <c r="G114" s="34"/>
      <c r="H114" s="34"/>
    </row>
    <row r="115" ht="15.75" customHeight="1">
      <c r="B115" s="46"/>
      <c r="C115" s="34"/>
      <c r="D115" s="34"/>
      <c r="E115" s="34"/>
      <c r="F115" s="34"/>
      <c r="G115" s="34"/>
      <c r="H115" s="34"/>
    </row>
    <row r="116" ht="15.75" customHeight="1">
      <c r="B116" s="46"/>
      <c r="C116" s="34"/>
      <c r="D116" s="34"/>
      <c r="E116" s="34"/>
      <c r="F116" s="34"/>
      <c r="G116" s="34"/>
      <c r="H116" s="34"/>
    </row>
    <row r="117" ht="15.75" customHeight="1">
      <c r="B117" s="46"/>
      <c r="C117" s="34"/>
      <c r="D117" s="34"/>
      <c r="E117" s="34"/>
      <c r="F117" s="34"/>
      <c r="G117" s="34"/>
      <c r="H117" s="34"/>
    </row>
    <row r="118" ht="15.75" customHeight="1">
      <c r="B118" s="46"/>
      <c r="C118" s="34"/>
      <c r="D118" s="34"/>
      <c r="E118" s="34"/>
      <c r="F118" s="34"/>
      <c r="G118" s="34"/>
      <c r="H118" s="34"/>
    </row>
    <row r="119" ht="15.75" customHeight="1">
      <c r="B119" s="46"/>
      <c r="C119" s="34"/>
      <c r="D119" s="34"/>
      <c r="E119" s="34"/>
      <c r="F119" s="34"/>
      <c r="G119" s="34"/>
      <c r="H119" s="34"/>
    </row>
    <row r="120" ht="15.75" customHeight="1">
      <c r="B120" s="46"/>
      <c r="C120" s="34"/>
      <c r="D120" s="34"/>
      <c r="E120" s="34"/>
      <c r="F120" s="34"/>
      <c r="G120" s="34"/>
      <c r="H120" s="34"/>
    </row>
    <row r="121" ht="15.75" customHeight="1">
      <c r="B121" s="46"/>
      <c r="C121" s="34"/>
      <c r="D121" s="34"/>
      <c r="E121" s="34"/>
      <c r="F121" s="34"/>
      <c r="G121" s="34"/>
      <c r="H121" s="34"/>
    </row>
    <row r="122" ht="15.75" customHeight="1">
      <c r="B122" s="46"/>
      <c r="C122" s="34"/>
      <c r="D122" s="34"/>
      <c r="E122" s="34"/>
      <c r="F122" s="34"/>
      <c r="G122" s="34"/>
      <c r="H122" s="34"/>
    </row>
    <row r="123" ht="15.75" customHeight="1">
      <c r="B123" s="46"/>
      <c r="C123" s="34"/>
      <c r="D123" s="34"/>
      <c r="E123" s="34"/>
      <c r="F123" s="34"/>
      <c r="G123" s="34"/>
      <c r="H123" s="34"/>
    </row>
    <row r="124" ht="15.75" customHeight="1">
      <c r="B124" s="46"/>
      <c r="C124" s="34"/>
      <c r="D124" s="34"/>
      <c r="E124" s="34"/>
      <c r="F124" s="34"/>
      <c r="G124" s="34"/>
      <c r="H124" s="34"/>
    </row>
    <row r="125" ht="15.75" customHeight="1">
      <c r="B125" s="46"/>
      <c r="C125" s="34"/>
      <c r="D125" s="34"/>
      <c r="E125" s="34"/>
      <c r="F125" s="34"/>
      <c r="G125" s="34"/>
      <c r="H125" s="34"/>
    </row>
    <row r="126" ht="15.75" customHeight="1">
      <c r="B126" s="46"/>
      <c r="C126" s="34"/>
      <c r="D126" s="34"/>
      <c r="E126" s="34"/>
      <c r="F126" s="34"/>
      <c r="G126" s="34"/>
      <c r="H126" s="34"/>
    </row>
    <row r="127" ht="15.75" customHeight="1">
      <c r="B127" s="46"/>
      <c r="C127" s="34"/>
      <c r="D127" s="34"/>
      <c r="E127" s="34"/>
      <c r="F127" s="34"/>
      <c r="G127" s="34"/>
      <c r="H127" s="34"/>
    </row>
    <row r="128" ht="15.75" customHeight="1">
      <c r="B128" s="46"/>
      <c r="C128" s="34"/>
      <c r="D128" s="34"/>
      <c r="E128" s="34"/>
      <c r="F128" s="34"/>
      <c r="G128" s="34"/>
      <c r="H128" s="34"/>
    </row>
    <row r="129" ht="15.75" customHeight="1">
      <c r="B129" s="46"/>
      <c r="C129" s="34"/>
      <c r="D129" s="34"/>
      <c r="E129" s="34"/>
      <c r="F129" s="34"/>
      <c r="G129" s="34"/>
      <c r="H129" s="34"/>
    </row>
    <row r="130" ht="15.75" customHeight="1">
      <c r="B130" s="46"/>
      <c r="C130" s="34"/>
      <c r="D130" s="34"/>
      <c r="E130" s="34"/>
      <c r="F130" s="34"/>
      <c r="G130" s="34"/>
      <c r="H130" s="34"/>
    </row>
    <row r="131" ht="15.75" customHeight="1">
      <c r="B131" s="46"/>
      <c r="C131" s="34"/>
      <c r="D131" s="34"/>
      <c r="E131" s="34"/>
      <c r="F131" s="34"/>
      <c r="G131" s="34"/>
      <c r="H131" s="34"/>
    </row>
    <row r="132" ht="15.75" customHeight="1">
      <c r="B132" s="46"/>
      <c r="C132" s="34"/>
      <c r="D132" s="34"/>
      <c r="E132" s="34"/>
      <c r="F132" s="34"/>
      <c r="G132" s="34"/>
      <c r="H132" s="34"/>
    </row>
    <row r="133" ht="15.75" customHeight="1">
      <c r="B133" s="46"/>
      <c r="C133" s="34"/>
      <c r="D133" s="34"/>
      <c r="E133" s="34"/>
      <c r="F133" s="34"/>
      <c r="G133" s="34"/>
      <c r="H133" s="34"/>
    </row>
    <row r="134" ht="15.75" customHeight="1">
      <c r="B134" s="46"/>
      <c r="C134" s="34"/>
      <c r="D134" s="34"/>
      <c r="E134" s="34"/>
      <c r="F134" s="34"/>
      <c r="G134" s="34"/>
      <c r="H134" s="34"/>
    </row>
    <row r="135" ht="15.75" customHeight="1">
      <c r="B135" s="46"/>
      <c r="C135" s="34"/>
      <c r="D135" s="34"/>
      <c r="E135" s="34"/>
      <c r="F135" s="34"/>
      <c r="G135" s="34"/>
      <c r="H135" s="34"/>
    </row>
    <row r="136" ht="15.75" customHeight="1">
      <c r="B136" s="46"/>
      <c r="C136" s="34"/>
      <c r="D136" s="34"/>
      <c r="E136" s="34"/>
      <c r="F136" s="34"/>
      <c r="G136" s="34"/>
      <c r="H136" s="34"/>
    </row>
    <row r="137" ht="15.75" customHeight="1">
      <c r="B137" s="46"/>
      <c r="C137" s="34"/>
      <c r="D137" s="34"/>
      <c r="E137" s="34"/>
      <c r="F137" s="34"/>
      <c r="G137" s="34"/>
      <c r="H137" s="34"/>
    </row>
    <row r="138" ht="15.75" customHeight="1">
      <c r="B138" s="46"/>
      <c r="C138" s="34"/>
      <c r="D138" s="34"/>
      <c r="E138" s="34"/>
      <c r="F138" s="34"/>
      <c r="G138" s="34"/>
      <c r="H138" s="34"/>
    </row>
    <row r="139" ht="15.75" customHeight="1">
      <c r="B139" s="46"/>
      <c r="C139" s="34"/>
      <c r="D139" s="34"/>
      <c r="E139" s="34"/>
      <c r="F139" s="34"/>
      <c r="G139" s="34"/>
      <c r="H139" s="34"/>
    </row>
    <row r="140" ht="15.75" customHeight="1">
      <c r="B140" s="46"/>
      <c r="C140" s="34"/>
      <c r="D140" s="34"/>
      <c r="E140" s="34"/>
      <c r="F140" s="34"/>
      <c r="G140" s="34"/>
      <c r="H140" s="34"/>
    </row>
    <row r="141" ht="15.75" customHeight="1">
      <c r="B141" s="46"/>
      <c r="C141" s="34"/>
      <c r="D141" s="34"/>
      <c r="E141" s="34"/>
      <c r="F141" s="34"/>
      <c r="G141" s="34"/>
      <c r="H141" s="34"/>
    </row>
    <row r="142" ht="15.75" customHeight="1">
      <c r="B142" s="46"/>
      <c r="C142" s="34"/>
      <c r="D142" s="34"/>
      <c r="E142" s="34"/>
      <c r="F142" s="34"/>
      <c r="G142" s="34"/>
      <c r="H142" s="34"/>
    </row>
    <row r="143" ht="15.75" customHeight="1">
      <c r="B143" s="46"/>
      <c r="C143" s="34"/>
      <c r="D143" s="34"/>
      <c r="E143" s="34"/>
      <c r="F143" s="34"/>
      <c r="G143" s="34"/>
      <c r="H143" s="34"/>
    </row>
    <row r="144" ht="15.75" customHeight="1">
      <c r="B144" s="46"/>
      <c r="C144" s="34"/>
      <c r="D144" s="34"/>
      <c r="E144" s="34"/>
      <c r="F144" s="34"/>
      <c r="G144" s="34"/>
      <c r="H144" s="34"/>
    </row>
    <row r="145" ht="15.75" customHeight="1">
      <c r="B145" s="46"/>
      <c r="C145" s="34"/>
      <c r="D145" s="34"/>
      <c r="E145" s="34"/>
      <c r="F145" s="34"/>
      <c r="G145" s="34"/>
      <c r="H145" s="34"/>
    </row>
    <row r="146" ht="15.75" customHeight="1">
      <c r="B146" s="46"/>
      <c r="C146" s="34"/>
      <c r="D146" s="34"/>
      <c r="E146" s="34"/>
      <c r="F146" s="34"/>
      <c r="G146" s="34"/>
      <c r="H146" s="34"/>
    </row>
    <row r="147" ht="15.75" customHeight="1">
      <c r="B147" s="46"/>
      <c r="C147" s="34"/>
      <c r="D147" s="34"/>
      <c r="E147" s="34"/>
      <c r="F147" s="34"/>
      <c r="G147" s="34"/>
      <c r="H147" s="34"/>
    </row>
    <row r="148" ht="15.75" customHeight="1">
      <c r="B148" s="46"/>
      <c r="C148" s="34"/>
      <c r="D148" s="34"/>
      <c r="E148" s="34"/>
      <c r="F148" s="34"/>
      <c r="G148" s="34"/>
      <c r="H148" s="34"/>
    </row>
    <row r="149" ht="15.75" customHeight="1">
      <c r="B149" s="46"/>
      <c r="C149" s="34"/>
      <c r="D149" s="34"/>
      <c r="E149" s="34"/>
      <c r="F149" s="34"/>
      <c r="G149" s="34"/>
      <c r="H149" s="34"/>
    </row>
    <row r="150" ht="15.75" customHeight="1">
      <c r="B150" s="46"/>
      <c r="C150" s="34"/>
      <c r="D150" s="34"/>
      <c r="E150" s="34"/>
      <c r="F150" s="34"/>
      <c r="G150" s="34"/>
      <c r="H150" s="34"/>
    </row>
    <row r="151" ht="15.75" customHeight="1">
      <c r="B151" s="46"/>
      <c r="C151" s="34"/>
      <c r="D151" s="34"/>
      <c r="E151" s="34"/>
      <c r="F151" s="34"/>
      <c r="G151" s="34"/>
      <c r="H151" s="34"/>
    </row>
    <row r="152" ht="15.75" customHeight="1">
      <c r="B152" s="46"/>
      <c r="C152" s="34"/>
      <c r="D152" s="34"/>
      <c r="E152" s="34"/>
      <c r="F152" s="34"/>
      <c r="G152" s="34"/>
      <c r="H152" s="34"/>
    </row>
    <row r="153" ht="15.75" customHeight="1">
      <c r="B153" s="46"/>
      <c r="C153" s="34"/>
      <c r="D153" s="34"/>
      <c r="E153" s="34"/>
      <c r="F153" s="34"/>
      <c r="G153" s="34"/>
      <c r="H153" s="34"/>
    </row>
    <row r="154" ht="15.75" customHeight="1">
      <c r="B154" s="46"/>
      <c r="C154" s="34"/>
      <c r="D154" s="34"/>
      <c r="E154" s="34"/>
      <c r="F154" s="34"/>
      <c r="G154" s="34"/>
      <c r="H154" s="34"/>
    </row>
    <row r="155" ht="15.75" customHeight="1">
      <c r="B155" s="46"/>
      <c r="C155" s="34"/>
      <c r="D155" s="34"/>
      <c r="E155" s="34"/>
      <c r="F155" s="34"/>
      <c r="G155" s="34"/>
      <c r="H155" s="34"/>
    </row>
    <row r="156" ht="15.75" customHeight="1">
      <c r="B156" s="46"/>
      <c r="C156" s="34"/>
      <c r="D156" s="34"/>
      <c r="E156" s="34"/>
      <c r="F156" s="34"/>
      <c r="G156" s="34"/>
      <c r="H156" s="34"/>
    </row>
    <row r="157" ht="15.75" customHeight="1">
      <c r="B157" s="46"/>
      <c r="C157" s="34"/>
      <c r="D157" s="34"/>
      <c r="E157" s="34"/>
      <c r="F157" s="34"/>
      <c r="G157" s="34"/>
      <c r="H157" s="34"/>
    </row>
    <row r="158" ht="15.75" customHeight="1">
      <c r="B158" s="46"/>
      <c r="C158" s="34"/>
      <c r="D158" s="34"/>
      <c r="E158" s="34"/>
      <c r="F158" s="34"/>
      <c r="G158" s="34"/>
      <c r="H158" s="34"/>
    </row>
    <row r="159" ht="15.75" customHeight="1">
      <c r="B159" s="46"/>
      <c r="C159" s="34"/>
      <c r="D159" s="34"/>
      <c r="E159" s="34"/>
      <c r="F159" s="34"/>
      <c r="G159" s="34"/>
      <c r="H159" s="34"/>
    </row>
    <row r="160" ht="15.75" customHeight="1">
      <c r="B160" s="46"/>
      <c r="C160" s="34"/>
      <c r="D160" s="34"/>
      <c r="E160" s="34"/>
      <c r="F160" s="34"/>
      <c r="G160" s="34"/>
      <c r="H160" s="34"/>
    </row>
    <row r="161" ht="15.75" customHeight="1">
      <c r="B161" s="46"/>
      <c r="C161" s="34"/>
      <c r="D161" s="34"/>
      <c r="E161" s="34"/>
      <c r="F161" s="34"/>
      <c r="G161" s="34"/>
      <c r="H161" s="34"/>
    </row>
    <row r="162" ht="15.75" customHeight="1">
      <c r="B162" s="46"/>
      <c r="C162" s="34"/>
      <c r="D162" s="34"/>
      <c r="E162" s="34"/>
      <c r="F162" s="34"/>
      <c r="G162" s="34"/>
      <c r="H162" s="34"/>
    </row>
    <row r="163" ht="15.75" customHeight="1">
      <c r="B163" s="46"/>
      <c r="C163" s="34"/>
      <c r="D163" s="34"/>
      <c r="E163" s="34"/>
      <c r="F163" s="34"/>
      <c r="G163" s="34"/>
      <c r="H163" s="34"/>
    </row>
    <row r="164" ht="15.75" customHeight="1">
      <c r="B164" s="46"/>
      <c r="C164" s="34"/>
      <c r="D164" s="34"/>
      <c r="E164" s="34"/>
      <c r="F164" s="34"/>
      <c r="G164" s="34"/>
      <c r="H164" s="34"/>
    </row>
    <row r="165" ht="15.75" customHeight="1">
      <c r="B165" s="46"/>
      <c r="C165" s="34"/>
      <c r="D165" s="34"/>
      <c r="E165" s="34"/>
      <c r="F165" s="34"/>
      <c r="G165" s="34"/>
      <c r="H165" s="34"/>
    </row>
    <row r="166" ht="15.75" customHeight="1">
      <c r="B166" s="46"/>
      <c r="C166" s="34"/>
      <c r="D166" s="34"/>
      <c r="E166" s="34"/>
      <c r="F166" s="34"/>
      <c r="G166" s="34"/>
      <c r="H166" s="34"/>
    </row>
    <row r="167" ht="15.75" customHeight="1">
      <c r="B167" s="46"/>
      <c r="C167" s="34"/>
      <c r="D167" s="34"/>
      <c r="E167" s="34"/>
      <c r="F167" s="34"/>
      <c r="G167" s="34"/>
      <c r="H167" s="34"/>
    </row>
    <row r="168" ht="15.75" customHeight="1">
      <c r="B168" s="46"/>
      <c r="C168" s="34"/>
      <c r="D168" s="34"/>
      <c r="E168" s="34"/>
      <c r="F168" s="34"/>
      <c r="G168" s="34"/>
      <c r="H168" s="34"/>
    </row>
    <row r="169" ht="15.75" customHeight="1">
      <c r="B169" s="46"/>
      <c r="C169" s="34"/>
      <c r="D169" s="34"/>
      <c r="E169" s="34"/>
      <c r="F169" s="34"/>
      <c r="G169" s="34"/>
      <c r="H169" s="34"/>
    </row>
    <row r="170" ht="15.75" customHeight="1">
      <c r="B170" s="46"/>
      <c r="C170" s="34"/>
      <c r="D170" s="34"/>
      <c r="E170" s="34"/>
      <c r="F170" s="34"/>
      <c r="G170" s="34"/>
      <c r="H170" s="34"/>
    </row>
    <row r="171" ht="15.75" customHeight="1">
      <c r="B171" s="46"/>
      <c r="C171" s="34"/>
      <c r="D171" s="34"/>
      <c r="E171" s="34"/>
      <c r="F171" s="34"/>
      <c r="G171" s="34"/>
      <c r="H171" s="34"/>
    </row>
    <row r="172" ht="15.75" customHeight="1">
      <c r="B172" s="46"/>
      <c r="C172" s="34"/>
      <c r="D172" s="34"/>
      <c r="E172" s="34"/>
      <c r="F172" s="34"/>
      <c r="G172" s="34"/>
      <c r="H172" s="34"/>
    </row>
    <row r="173" ht="15.75" customHeight="1">
      <c r="B173" s="46"/>
      <c r="C173" s="34"/>
      <c r="D173" s="34"/>
      <c r="E173" s="34"/>
      <c r="F173" s="34"/>
      <c r="G173" s="34"/>
      <c r="H173" s="34"/>
    </row>
    <row r="174" ht="15.75" customHeight="1">
      <c r="B174" s="46"/>
      <c r="C174" s="34"/>
      <c r="D174" s="34"/>
      <c r="E174" s="34"/>
      <c r="F174" s="34"/>
      <c r="G174" s="34"/>
      <c r="H174" s="34"/>
    </row>
    <row r="175" ht="15.75" customHeight="1">
      <c r="B175" s="46"/>
      <c r="C175" s="34"/>
      <c r="D175" s="34"/>
      <c r="E175" s="34"/>
      <c r="F175" s="34"/>
      <c r="G175" s="34"/>
      <c r="H175" s="34"/>
    </row>
    <row r="176" ht="15.75" customHeight="1">
      <c r="B176" s="46"/>
      <c r="C176" s="34"/>
      <c r="D176" s="34"/>
      <c r="E176" s="34"/>
      <c r="F176" s="34"/>
      <c r="G176" s="34"/>
      <c r="H176" s="34"/>
    </row>
    <row r="177" ht="15.75" customHeight="1">
      <c r="B177" s="46"/>
      <c r="C177" s="34"/>
      <c r="D177" s="34"/>
      <c r="E177" s="34"/>
      <c r="F177" s="34"/>
      <c r="G177" s="34"/>
      <c r="H177" s="34"/>
    </row>
    <row r="178" ht="15.75" customHeight="1">
      <c r="B178" s="46"/>
      <c r="C178" s="34"/>
      <c r="D178" s="34"/>
      <c r="E178" s="34"/>
      <c r="F178" s="34"/>
      <c r="G178" s="34"/>
      <c r="H178" s="34"/>
    </row>
    <row r="179" ht="15.75" customHeight="1">
      <c r="B179" s="46"/>
      <c r="C179" s="34"/>
      <c r="D179" s="34"/>
      <c r="E179" s="34"/>
      <c r="F179" s="34"/>
      <c r="G179" s="34"/>
      <c r="H179" s="34"/>
    </row>
    <row r="180" ht="15.75" customHeight="1">
      <c r="B180" s="46"/>
      <c r="C180" s="34"/>
      <c r="D180" s="34"/>
      <c r="E180" s="34"/>
      <c r="F180" s="34"/>
      <c r="G180" s="34"/>
      <c r="H180" s="34"/>
    </row>
    <row r="181" ht="15.75" customHeight="1">
      <c r="B181" s="46"/>
      <c r="C181" s="34"/>
      <c r="D181" s="34"/>
      <c r="E181" s="34"/>
      <c r="F181" s="34"/>
      <c r="G181" s="34"/>
      <c r="H181" s="34"/>
    </row>
    <row r="182" ht="15.75" customHeight="1">
      <c r="B182" s="46"/>
      <c r="C182" s="34"/>
      <c r="D182" s="34"/>
      <c r="E182" s="34"/>
      <c r="F182" s="34"/>
      <c r="G182" s="34"/>
      <c r="H182" s="34"/>
    </row>
    <row r="183" ht="15.75" customHeight="1">
      <c r="B183" s="46"/>
      <c r="C183" s="34"/>
      <c r="D183" s="34"/>
      <c r="E183" s="34"/>
      <c r="F183" s="34"/>
      <c r="G183" s="34"/>
      <c r="H183" s="34"/>
    </row>
    <row r="184" ht="15.75" customHeight="1">
      <c r="B184" s="46"/>
      <c r="C184" s="34"/>
      <c r="D184" s="34"/>
      <c r="E184" s="34"/>
      <c r="F184" s="34"/>
      <c r="G184" s="34"/>
      <c r="H184" s="34"/>
    </row>
    <row r="185" ht="15.75" customHeight="1">
      <c r="B185" s="46"/>
      <c r="C185" s="34"/>
      <c r="D185" s="34"/>
      <c r="E185" s="34"/>
      <c r="F185" s="34"/>
      <c r="G185" s="34"/>
      <c r="H185" s="34"/>
    </row>
    <row r="186" ht="15.75" customHeight="1">
      <c r="B186" s="46"/>
      <c r="C186" s="34"/>
      <c r="D186" s="34"/>
      <c r="E186" s="34"/>
      <c r="F186" s="34"/>
      <c r="G186" s="34"/>
      <c r="H186" s="34"/>
    </row>
    <row r="187" ht="15.75" customHeight="1">
      <c r="B187" s="46"/>
      <c r="C187" s="34"/>
      <c r="D187" s="34"/>
      <c r="E187" s="34"/>
      <c r="F187" s="34"/>
      <c r="G187" s="34"/>
      <c r="H187" s="34"/>
    </row>
    <row r="188" ht="15.75" customHeight="1">
      <c r="B188" s="46"/>
      <c r="C188" s="34"/>
      <c r="D188" s="34"/>
      <c r="E188" s="34"/>
      <c r="F188" s="34"/>
      <c r="G188" s="34"/>
      <c r="H188" s="34"/>
    </row>
    <row r="189" ht="15.75" customHeight="1">
      <c r="B189" s="46"/>
      <c r="C189" s="34"/>
      <c r="D189" s="34"/>
      <c r="E189" s="34"/>
      <c r="F189" s="34"/>
      <c r="G189" s="34"/>
      <c r="H189" s="34"/>
    </row>
    <row r="190" ht="15.75" customHeight="1">
      <c r="B190" s="46"/>
      <c r="C190" s="34"/>
      <c r="D190" s="34"/>
      <c r="E190" s="34"/>
      <c r="F190" s="34"/>
      <c r="G190" s="34"/>
      <c r="H190" s="34"/>
    </row>
    <row r="191" ht="15.75" customHeight="1">
      <c r="B191" s="46"/>
      <c r="C191" s="34"/>
      <c r="D191" s="34"/>
      <c r="E191" s="34"/>
      <c r="F191" s="34"/>
      <c r="G191" s="34"/>
      <c r="H191" s="34"/>
    </row>
    <row r="192" ht="15.75" customHeight="1">
      <c r="B192" s="46"/>
      <c r="C192" s="34"/>
      <c r="D192" s="34"/>
      <c r="E192" s="34"/>
      <c r="F192" s="34"/>
      <c r="G192" s="34"/>
      <c r="H192" s="34"/>
    </row>
    <row r="193" ht="15.75" customHeight="1">
      <c r="B193" s="46"/>
      <c r="C193" s="34"/>
      <c r="D193" s="34"/>
      <c r="E193" s="34"/>
      <c r="F193" s="34"/>
      <c r="G193" s="34"/>
      <c r="H193" s="34"/>
    </row>
    <row r="194" ht="15.75" customHeight="1">
      <c r="B194" s="46"/>
      <c r="C194" s="34"/>
      <c r="D194" s="34"/>
      <c r="E194" s="34"/>
      <c r="F194" s="34"/>
      <c r="G194" s="34"/>
      <c r="H194" s="34"/>
    </row>
    <row r="195" ht="15.75" customHeight="1">
      <c r="B195" s="46"/>
      <c r="C195" s="34"/>
      <c r="D195" s="34"/>
      <c r="E195" s="34"/>
      <c r="F195" s="34"/>
      <c r="G195" s="34"/>
      <c r="H195" s="34"/>
    </row>
    <row r="196" ht="15.75" customHeight="1">
      <c r="B196" s="46"/>
      <c r="C196" s="34"/>
      <c r="D196" s="34"/>
      <c r="E196" s="34"/>
      <c r="F196" s="34"/>
      <c r="G196" s="34"/>
      <c r="H196" s="34"/>
    </row>
    <row r="197" ht="15.75" customHeight="1">
      <c r="B197" s="46"/>
      <c r="C197" s="34"/>
      <c r="D197" s="34"/>
      <c r="E197" s="34"/>
      <c r="F197" s="34"/>
      <c r="G197" s="34"/>
      <c r="H197" s="34"/>
    </row>
    <row r="198" ht="15.75" customHeight="1">
      <c r="B198" s="46"/>
      <c r="C198" s="34"/>
      <c r="D198" s="34"/>
      <c r="E198" s="34"/>
      <c r="F198" s="34"/>
      <c r="G198" s="34"/>
      <c r="H198" s="34"/>
    </row>
    <row r="199" ht="15.75" customHeight="1">
      <c r="B199" s="46"/>
      <c r="C199" s="34"/>
      <c r="D199" s="34"/>
      <c r="E199" s="34"/>
      <c r="F199" s="34"/>
      <c r="G199" s="34"/>
      <c r="H199" s="34"/>
    </row>
    <row r="200" ht="15.75" customHeight="1">
      <c r="B200" s="46"/>
      <c r="C200" s="34"/>
      <c r="D200" s="34"/>
      <c r="E200" s="34"/>
      <c r="F200" s="34"/>
      <c r="G200" s="34"/>
      <c r="H200" s="34"/>
    </row>
    <row r="201" ht="15.75" customHeight="1">
      <c r="B201" s="46"/>
      <c r="C201" s="34"/>
      <c r="D201" s="34"/>
      <c r="E201" s="34"/>
      <c r="F201" s="34"/>
      <c r="G201" s="34"/>
      <c r="H201" s="34"/>
    </row>
    <row r="202" ht="15.75" customHeight="1">
      <c r="B202" s="46"/>
      <c r="C202" s="34"/>
      <c r="D202" s="34"/>
      <c r="E202" s="34"/>
      <c r="F202" s="34"/>
      <c r="G202" s="34"/>
      <c r="H202" s="34"/>
    </row>
    <row r="203" ht="15.75" customHeight="1">
      <c r="B203" s="46"/>
      <c r="C203" s="34"/>
      <c r="D203" s="34"/>
      <c r="E203" s="34"/>
      <c r="F203" s="34"/>
      <c r="G203" s="34"/>
      <c r="H203" s="34"/>
    </row>
    <row r="204" ht="15.75" customHeight="1">
      <c r="B204" s="46"/>
      <c r="C204" s="34"/>
      <c r="D204" s="34"/>
      <c r="E204" s="34"/>
      <c r="F204" s="34"/>
      <c r="G204" s="34"/>
      <c r="H204" s="34"/>
    </row>
    <row r="205" ht="15.75" customHeight="1">
      <c r="B205" s="46"/>
      <c r="C205" s="34"/>
      <c r="D205" s="34"/>
      <c r="E205" s="34"/>
      <c r="F205" s="34"/>
      <c r="G205" s="34"/>
      <c r="H205" s="34"/>
    </row>
    <row r="206" ht="15.75" customHeight="1">
      <c r="B206" s="46"/>
      <c r="C206" s="34"/>
      <c r="D206" s="34"/>
      <c r="E206" s="34"/>
      <c r="F206" s="34"/>
      <c r="G206" s="34"/>
      <c r="H206" s="34"/>
    </row>
    <row r="207" ht="15.75" customHeight="1">
      <c r="B207" s="46"/>
      <c r="C207" s="34"/>
      <c r="D207" s="34"/>
      <c r="E207" s="34"/>
      <c r="F207" s="34"/>
      <c r="G207" s="34"/>
      <c r="H207" s="34"/>
    </row>
    <row r="208" ht="15.75" customHeight="1">
      <c r="B208" s="46"/>
      <c r="C208" s="34"/>
      <c r="D208" s="34"/>
      <c r="E208" s="34"/>
      <c r="F208" s="34"/>
      <c r="G208" s="34"/>
      <c r="H208" s="34"/>
    </row>
    <row r="209" ht="15.75" customHeight="1">
      <c r="B209" s="46"/>
      <c r="C209" s="34"/>
      <c r="D209" s="34"/>
      <c r="E209" s="34"/>
      <c r="F209" s="34"/>
      <c r="G209" s="34"/>
      <c r="H209" s="34"/>
    </row>
    <row r="210" ht="15.75" customHeight="1">
      <c r="B210" s="46"/>
      <c r="C210" s="34"/>
      <c r="D210" s="34"/>
      <c r="E210" s="34"/>
      <c r="F210" s="34"/>
      <c r="G210" s="34"/>
      <c r="H210" s="34"/>
    </row>
    <row r="211" ht="15.75" customHeight="1">
      <c r="B211" s="46"/>
      <c r="C211" s="34"/>
      <c r="D211" s="34"/>
      <c r="E211" s="34"/>
      <c r="F211" s="34"/>
      <c r="G211" s="34"/>
      <c r="H211" s="34"/>
    </row>
    <row r="212" ht="15.75" customHeight="1">
      <c r="B212" s="46"/>
      <c r="C212" s="34"/>
      <c r="D212" s="34"/>
      <c r="E212" s="34"/>
      <c r="F212" s="34"/>
      <c r="G212" s="34"/>
      <c r="H212" s="34"/>
    </row>
    <row r="213" ht="15.75" customHeight="1">
      <c r="B213" s="46"/>
      <c r="C213" s="34"/>
      <c r="D213" s="34"/>
      <c r="E213" s="34"/>
      <c r="F213" s="34"/>
      <c r="G213" s="34"/>
      <c r="H213" s="34"/>
    </row>
    <row r="214" ht="15.75" customHeight="1">
      <c r="B214" s="46"/>
      <c r="C214" s="34"/>
      <c r="D214" s="34"/>
      <c r="E214" s="34"/>
      <c r="F214" s="34"/>
      <c r="G214" s="34"/>
      <c r="H214" s="34"/>
    </row>
    <row r="215" ht="15.75" customHeight="1">
      <c r="B215" s="46"/>
      <c r="C215" s="34"/>
      <c r="D215" s="34"/>
      <c r="E215" s="34"/>
      <c r="F215" s="34"/>
      <c r="G215" s="34"/>
      <c r="H215" s="34"/>
    </row>
    <row r="216" ht="15.75" customHeight="1">
      <c r="B216" s="46"/>
      <c r="C216" s="34"/>
      <c r="D216" s="34"/>
      <c r="E216" s="34"/>
      <c r="F216" s="34"/>
      <c r="G216" s="34"/>
      <c r="H216" s="34"/>
    </row>
    <row r="217" ht="15.75" customHeight="1">
      <c r="B217" s="46"/>
      <c r="C217" s="34"/>
      <c r="D217" s="34"/>
      <c r="E217" s="34"/>
      <c r="F217" s="34"/>
      <c r="G217" s="34"/>
      <c r="H217" s="34"/>
    </row>
    <row r="218" ht="15.75" customHeight="1">
      <c r="B218" s="46"/>
      <c r="C218" s="34"/>
      <c r="D218" s="34"/>
      <c r="E218" s="34"/>
      <c r="F218" s="34"/>
      <c r="G218" s="34"/>
      <c r="H218" s="34"/>
    </row>
    <row r="219" ht="15.75" customHeight="1">
      <c r="B219" s="46"/>
      <c r="C219" s="34"/>
      <c r="D219" s="34"/>
      <c r="E219" s="34"/>
      <c r="F219" s="34"/>
      <c r="G219" s="34"/>
      <c r="H219" s="34"/>
    </row>
    <row r="220" ht="15.75" customHeight="1">
      <c r="B220" s="46"/>
      <c r="C220" s="34"/>
      <c r="D220" s="34"/>
      <c r="E220" s="34"/>
      <c r="F220" s="34"/>
      <c r="G220" s="34"/>
      <c r="H220" s="34"/>
    </row>
    <row r="221" ht="15.75" customHeight="1">
      <c r="B221" s="46"/>
      <c r="C221" s="34"/>
      <c r="D221" s="34"/>
      <c r="E221" s="34"/>
      <c r="F221" s="34"/>
      <c r="G221" s="34"/>
      <c r="H221" s="34"/>
    </row>
    <row r="222" ht="15.75" customHeight="1">
      <c r="B222" s="46"/>
      <c r="C222" s="34"/>
      <c r="D222" s="34"/>
      <c r="E222" s="34"/>
      <c r="F222" s="34"/>
      <c r="G222" s="34"/>
      <c r="H222" s="34"/>
    </row>
    <row r="223" ht="15.75" customHeight="1">
      <c r="B223" s="46"/>
      <c r="C223" s="34"/>
      <c r="D223" s="34"/>
      <c r="E223" s="34"/>
      <c r="F223" s="34"/>
      <c r="G223" s="34"/>
      <c r="H223" s="34"/>
    </row>
    <row r="224" ht="15.75" customHeight="1">
      <c r="B224" s="46"/>
      <c r="C224" s="34"/>
      <c r="D224" s="34"/>
      <c r="E224" s="34"/>
      <c r="F224" s="34"/>
      <c r="G224" s="34"/>
      <c r="H224" s="34"/>
    </row>
    <row r="225" ht="15.75" customHeight="1">
      <c r="B225" s="46"/>
      <c r="C225" s="34"/>
      <c r="D225" s="34"/>
      <c r="E225" s="34"/>
      <c r="F225" s="34"/>
      <c r="G225" s="34"/>
      <c r="H225" s="34"/>
    </row>
    <row r="226" ht="15.75" customHeight="1">
      <c r="B226" s="46"/>
      <c r="C226" s="34"/>
      <c r="D226" s="34"/>
      <c r="E226" s="34"/>
      <c r="F226" s="34"/>
      <c r="G226" s="34"/>
      <c r="H226" s="34"/>
    </row>
    <row r="227" ht="15.75" customHeight="1">
      <c r="B227" s="46"/>
      <c r="C227" s="34"/>
      <c r="D227" s="34"/>
      <c r="E227" s="34"/>
      <c r="F227" s="34"/>
      <c r="G227" s="34"/>
      <c r="H227" s="34"/>
    </row>
    <row r="228" ht="15.75" customHeight="1">
      <c r="B228" s="46"/>
      <c r="C228" s="34"/>
      <c r="D228" s="34"/>
      <c r="E228" s="34"/>
      <c r="F228" s="34"/>
      <c r="G228" s="34"/>
      <c r="H228" s="34"/>
    </row>
    <row r="229" ht="15.75" customHeight="1">
      <c r="B229" s="46"/>
      <c r="C229" s="34"/>
      <c r="D229" s="34"/>
      <c r="E229" s="34"/>
      <c r="F229" s="34"/>
      <c r="G229" s="34"/>
      <c r="H229" s="34"/>
    </row>
    <row r="230" ht="15.75" customHeight="1">
      <c r="B230" s="46"/>
      <c r="C230" s="34"/>
      <c r="D230" s="34"/>
      <c r="E230" s="34"/>
      <c r="F230" s="34"/>
      <c r="G230" s="34"/>
      <c r="H230" s="34"/>
    </row>
    <row r="231" ht="15.75" customHeight="1">
      <c r="B231" s="46"/>
      <c r="C231" s="34"/>
      <c r="D231" s="34"/>
      <c r="E231" s="34"/>
      <c r="F231" s="34"/>
      <c r="G231" s="34"/>
      <c r="H231" s="34"/>
    </row>
    <row r="232" ht="15.75" customHeight="1">
      <c r="B232" s="46"/>
      <c r="C232" s="34"/>
      <c r="D232" s="34"/>
      <c r="E232" s="34"/>
      <c r="F232" s="34"/>
      <c r="G232" s="34"/>
      <c r="H232" s="34"/>
    </row>
    <row r="233" ht="15.75" customHeight="1">
      <c r="B233" s="46"/>
      <c r="C233" s="34"/>
      <c r="D233" s="34"/>
      <c r="E233" s="34"/>
      <c r="F233" s="34"/>
      <c r="G233" s="34"/>
      <c r="H233" s="34"/>
    </row>
    <row r="234" ht="15.75" customHeight="1">
      <c r="B234" s="46"/>
      <c r="C234" s="34"/>
      <c r="D234" s="34"/>
      <c r="E234" s="34"/>
      <c r="F234" s="34"/>
      <c r="G234" s="34"/>
      <c r="H234" s="34"/>
    </row>
    <row r="235" ht="15.75" customHeight="1">
      <c r="B235" s="46"/>
      <c r="C235" s="34"/>
      <c r="D235" s="34"/>
      <c r="E235" s="34"/>
      <c r="F235" s="34"/>
      <c r="G235" s="34"/>
      <c r="H235" s="34"/>
    </row>
    <row r="236" ht="15.75" customHeight="1">
      <c r="B236" s="46"/>
      <c r="C236" s="34"/>
      <c r="D236" s="34"/>
      <c r="E236" s="34"/>
      <c r="F236" s="34"/>
      <c r="G236" s="34"/>
      <c r="H236" s="34"/>
    </row>
    <row r="237" ht="15.75" customHeight="1">
      <c r="B237" s="46"/>
      <c r="C237" s="34"/>
      <c r="D237" s="34"/>
      <c r="E237" s="34"/>
      <c r="F237" s="34"/>
      <c r="G237" s="34"/>
      <c r="H237" s="34"/>
    </row>
    <row r="238" ht="15.75" customHeight="1">
      <c r="B238" s="46"/>
      <c r="C238" s="34"/>
      <c r="D238" s="34"/>
      <c r="E238" s="34"/>
      <c r="F238" s="34"/>
      <c r="G238" s="34"/>
      <c r="H238" s="34"/>
    </row>
    <row r="239" ht="15.75" customHeight="1">
      <c r="B239" s="46"/>
      <c r="C239" s="34"/>
      <c r="D239" s="34"/>
      <c r="E239" s="34"/>
      <c r="F239" s="34"/>
      <c r="G239" s="34"/>
      <c r="H239" s="34"/>
    </row>
    <row r="240" ht="15.75" customHeight="1">
      <c r="B240" s="46"/>
      <c r="C240" s="34"/>
      <c r="D240" s="34"/>
      <c r="E240" s="34"/>
      <c r="F240" s="34"/>
      <c r="G240" s="34"/>
      <c r="H240" s="34"/>
    </row>
    <row r="241" ht="15.75" customHeight="1">
      <c r="B241" s="46"/>
      <c r="C241" s="34"/>
      <c r="D241" s="34"/>
      <c r="E241" s="34"/>
      <c r="F241" s="34"/>
      <c r="G241" s="34"/>
      <c r="H241" s="34"/>
    </row>
    <row r="242" ht="15.75" customHeight="1">
      <c r="B242" s="46"/>
      <c r="C242" s="34"/>
      <c r="D242" s="34"/>
      <c r="E242" s="34"/>
      <c r="F242" s="34"/>
      <c r="G242" s="34"/>
      <c r="H242" s="34"/>
    </row>
    <row r="243" ht="15.75" customHeight="1">
      <c r="B243" s="46"/>
      <c r="C243" s="34"/>
      <c r="D243" s="34"/>
      <c r="E243" s="34"/>
      <c r="F243" s="34"/>
      <c r="G243" s="34"/>
      <c r="H243" s="34"/>
    </row>
    <row r="244" ht="15.75" customHeight="1">
      <c r="B244" s="46"/>
      <c r="C244" s="34"/>
      <c r="D244" s="34"/>
      <c r="E244" s="34"/>
      <c r="F244" s="34"/>
      <c r="G244" s="34"/>
      <c r="H244" s="34"/>
    </row>
    <row r="245" ht="15.75" customHeight="1">
      <c r="B245" s="46"/>
      <c r="C245" s="34"/>
      <c r="D245" s="34"/>
      <c r="E245" s="34"/>
      <c r="F245" s="34"/>
      <c r="G245" s="34"/>
      <c r="H245" s="34"/>
    </row>
    <row r="246" ht="15.75" customHeight="1">
      <c r="B246" s="46"/>
      <c r="C246" s="34"/>
      <c r="D246" s="34"/>
      <c r="E246" s="34"/>
      <c r="F246" s="34"/>
      <c r="G246" s="34"/>
      <c r="H246" s="34"/>
    </row>
    <row r="247" ht="15.75" customHeight="1">
      <c r="B247" s="46"/>
      <c r="C247" s="34"/>
      <c r="D247" s="34"/>
      <c r="E247" s="34"/>
      <c r="F247" s="34"/>
      <c r="G247" s="34"/>
      <c r="H247" s="34"/>
    </row>
    <row r="248" ht="15.75" customHeight="1">
      <c r="B248" s="46"/>
      <c r="C248" s="34"/>
      <c r="D248" s="34"/>
      <c r="E248" s="34"/>
      <c r="F248" s="34"/>
      <c r="G248" s="34"/>
      <c r="H248" s="34"/>
    </row>
    <row r="249" ht="15.75" customHeight="1">
      <c r="B249" s="46"/>
      <c r="C249" s="34"/>
      <c r="D249" s="34"/>
      <c r="E249" s="34"/>
      <c r="F249" s="34"/>
      <c r="G249" s="34"/>
      <c r="H249" s="34"/>
    </row>
    <row r="250" ht="15.75" customHeight="1">
      <c r="B250" s="46"/>
      <c r="C250" s="34"/>
      <c r="D250" s="34"/>
      <c r="E250" s="34"/>
      <c r="F250" s="34"/>
      <c r="G250" s="34"/>
      <c r="H250" s="34"/>
    </row>
    <row r="251" ht="15.75" customHeight="1">
      <c r="B251" s="46"/>
      <c r="C251" s="34"/>
      <c r="D251" s="34"/>
      <c r="E251" s="34"/>
      <c r="F251" s="34"/>
      <c r="G251" s="34"/>
      <c r="H251" s="34"/>
    </row>
    <row r="252" ht="15.75" customHeight="1">
      <c r="B252" s="46"/>
      <c r="C252" s="34"/>
      <c r="D252" s="34"/>
      <c r="E252" s="34"/>
      <c r="F252" s="34"/>
      <c r="G252" s="34"/>
      <c r="H252" s="34"/>
    </row>
    <row r="253" ht="15.75" customHeight="1">
      <c r="B253" s="46"/>
      <c r="C253" s="34"/>
      <c r="D253" s="34"/>
      <c r="E253" s="34"/>
      <c r="F253" s="34"/>
      <c r="G253" s="34"/>
      <c r="H253" s="34"/>
    </row>
    <row r="254" ht="15.75" customHeight="1">
      <c r="B254" s="46"/>
      <c r="C254" s="34"/>
      <c r="D254" s="34"/>
      <c r="E254" s="34"/>
      <c r="F254" s="34"/>
      <c r="G254" s="34"/>
      <c r="H254" s="34"/>
    </row>
    <row r="255" ht="15.75" customHeight="1">
      <c r="B255" s="46"/>
      <c r="C255" s="34"/>
      <c r="D255" s="34"/>
      <c r="E255" s="34"/>
      <c r="F255" s="34"/>
      <c r="G255" s="34"/>
      <c r="H255" s="34"/>
    </row>
    <row r="256" ht="15.75" customHeight="1">
      <c r="B256" s="46"/>
      <c r="C256" s="34"/>
      <c r="D256" s="34"/>
      <c r="E256" s="34"/>
      <c r="F256" s="34"/>
      <c r="G256" s="34"/>
      <c r="H256" s="34"/>
    </row>
    <row r="257" ht="15.75" customHeight="1">
      <c r="B257" s="46"/>
      <c r="C257" s="34"/>
      <c r="D257" s="34"/>
      <c r="E257" s="34"/>
      <c r="F257" s="34"/>
      <c r="G257" s="34"/>
      <c r="H257" s="34"/>
    </row>
    <row r="258" ht="15.75" customHeight="1">
      <c r="B258" s="46"/>
      <c r="C258" s="34"/>
      <c r="D258" s="34"/>
      <c r="E258" s="34"/>
      <c r="F258" s="34"/>
      <c r="G258" s="34"/>
      <c r="H258" s="34"/>
    </row>
    <row r="259" ht="15.75" customHeight="1">
      <c r="B259" s="46"/>
      <c r="C259" s="34"/>
      <c r="D259" s="34"/>
      <c r="E259" s="34"/>
      <c r="F259" s="34"/>
      <c r="G259" s="34"/>
      <c r="H259" s="34"/>
    </row>
    <row r="260" ht="15.75" customHeight="1">
      <c r="B260" s="46"/>
      <c r="C260" s="34"/>
      <c r="D260" s="34"/>
      <c r="E260" s="34"/>
      <c r="F260" s="34"/>
      <c r="G260" s="34"/>
      <c r="H260" s="34"/>
    </row>
    <row r="261" ht="15.75" customHeight="1">
      <c r="B261" s="46"/>
      <c r="C261" s="34"/>
      <c r="D261" s="34"/>
      <c r="E261" s="34"/>
      <c r="F261" s="34"/>
      <c r="G261" s="34"/>
      <c r="H261" s="34"/>
    </row>
    <row r="262" ht="15.75" customHeight="1">
      <c r="B262" s="46"/>
      <c r="C262" s="34"/>
      <c r="D262" s="34"/>
      <c r="E262" s="34"/>
      <c r="F262" s="34"/>
      <c r="G262" s="34"/>
      <c r="H262" s="34"/>
    </row>
    <row r="263" ht="15.75" customHeight="1">
      <c r="B263" s="46"/>
      <c r="C263" s="34"/>
      <c r="D263" s="34"/>
      <c r="E263" s="34"/>
      <c r="F263" s="34"/>
      <c r="G263" s="34"/>
      <c r="H263" s="34"/>
    </row>
    <row r="264" ht="15.75" customHeight="1">
      <c r="B264" s="46"/>
      <c r="C264" s="34"/>
      <c r="D264" s="34"/>
      <c r="E264" s="34"/>
      <c r="F264" s="34"/>
      <c r="G264" s="34"/>
      <c r="H264" s="34"/>
    </row>
    <row r="265" ht="15.75" customHeight="1">
      <c r="B265" s="46"/>
      <c r="C265" s="34"/>
      <c r="D265" s="34"/>
      <c r="E265" s="34"/>
      <c r="F265" s="34"/>
      <c r="G265" s="34"/>
      <c r="H265" s="34"/>
    </row>
    <row r="266" ht="15.75" customHeight="1">
      <c r="B266" s="46"/>
      <c r="C266" s="34"/>
      <c r="D266" s="34"/>
      <c r="E266" s="34"/>
      <c r="F266" s="34"/>
      <c r="G266" s="34"/>
      <c r="H266" s="34"/>
    </row>
    <row r="267" ht="15.75" customHeight="1">
      <c r="B267" s="46"/>
      <c r="C267" s="34"/>
      <c r="D267" s="34"/>
      <c r="E267" s="34"/>
      <c r="F267" s="34"/>
      <c r="G267" s="34"/>
      <c r="H267" s="34"/>
    </row>
    <row r="268" ht="15.75" customHeight="1">
      <c r="B268" s="46"/>
      <c r="C268" s="34"/>
      <c r="D268" s="34"/>
      <c r="E268" s="34"/>
      <c r="F268" s="34"/>
      <c r="G268" s="34"/>
      <c r="H268" s="34"/>
    </row>
    <row r="269" ht="15.75" customHeight="1">
      <c r="B269" s="46"/>
      <c r="C269" s="34"/>
      <c r="D269" s="34"/>
      <c r="E269" s="34"/>
      <c r="F269" s="34"/>
      <c r="G269" s="34"/>
      <c r="H269" s="34"/>
    </row>
    <row r="270" ht="15.75" customHeight="1">
      <c r="B270" s="46"/>
      <c r="C270" s="34"/>
      <c r="D270" s="34"/>
      <c r="E270" s="34"/>
      <c r="F270" s="34"/>
      <c r="G270" s="34"/>
      <c r="H270" s="34"/>
    </row>
    <row r="271" ht="15.75" customHeight="1">
      <c r="B271" s="46"/>
      <c r="C271" s="34"/>
      <c r="D271" s="34"/>
      <c r="E271" s="34"/>
      <c r="F271" s="34"/>
      <c r="G271" s="34"/>
      <c r="H271" s="34"/>
    </row>
    <row r="272" ht="15.75" customHeight="1">
      <c r="B272" s="46"/>
      <c r="C272" s="34"/>
      <c r="D272" s="34"/>
      <c r="E272" s="34"/>
      <c r="F272" s="34"/>
      <c r="G272" s="34"/>
      <c r="H272" s="34"/>
    </row>
    <row r="273" ht="15.75" customHeight="1">
      <c r="B273" s="46"/>
      <c r="C273" s="34"/>
      <c r="D273" s="34"/>
      <c r="E273" s="34"/>
      <c r="F273" s="34"/>
      <c r="G273" s="34"/>
      <c r="H273" s="34"/>
    </row>
    <row r="274" ht="15.75" customHeight="1">
      <c r="B274" s="46"/>
      <c r="C274" s="34"/>
      <c r="D274" s="34"/>
      <c r="E274" s="34"/>
      <c r="F274" s="34"/>
      <c r="G274" s="34"/>
      <c r="H274" s="34"/>
    </row>
    <row r="275" ht="15.75" customHeight="1">
      <c r="B275" s="46"/>
      <c r="C275" s="34"/>
      <c r="D275" s="34"/>
      <c r="E275" s="34"/>
      <c r="F275" s="34"/>
      <c r="G275" s="34"/>
      <c r="H275" s="34"/>
    </row>
    <row r="276" ht="15.75" customHeight="1">
      <c r="B276" s="46"/>
      <c r="C276" s="34"/>
      <c r="D276" s="34"/>
      <c r="E276" s="34"/>
      <c r="F276" s="34"/>
      <c r="G276" s="34"/>
      <c r="H276" s="34"/>
    </row>
    <row r="277" ht="15.75" customHeight="1">
      <c r="B277" s="46"/>
      <c r="C277" s="34"/>
      <c r="D277" s="34"/>
      <c r="E277" s="34"/>
      <c r="F277" s="34"/>
      <c r="G277" s="34"/>
      <c r="H277" s="34"/>
    </row>
    <row r="278" ht="15.75" customHeight="1">
      <c r="B278" s="46"/>
      <c r="C278" s="34"/>
      <c r="D278" s="34"/>
      <c r="E278" s="34"/>
      <c r="F278" s="34"/>
      <c r="G278" s="34"/>
      <c r="H278" s="34"/>
    </row>
    <row r="279" ht="15.75" customHeight="1">
      <c r="B279" s="46"/>
      <c r="C279" s="34"/>
      <c r="D279" s="34"/>
      <c r="E279" s="34"/>
      <c r="F279" s="34"/>
      <c r="G279" s="34"/>
      <c r="H279" s="34"/>
    </row>
    <row r="280" ht="15.75" customHeight="1">
      <c r="B280" s="46"/>
      <c r="C280" s="34"/>
      <c r="D280" s="34"/>
      <c r="E280" s="34"/>
      <c r="F280" s="34"/>
      <c r="G280" s="34"/>
      <c r="H280" s="34"/>
    </row>
    <row r="281" ht="15.75" customHeight="1">
      <c r="B281" s="46"/>
      <c r="C281" s="34"/>
      <c r="D281" s="34"/>
      <c r="E281" s="34"/>
      <c r="F281" s="34"/>
      <c r="G281" s="34"/>
      <c r="H281" s="34"/>
    </row>
    <row r="282" ht="15.75" customHeight="1">
      <c r="B282" s="46"/>
      <c r="C282" s="34"/>
      <c r="D282" s="34"/>
      <c r="E282" s="34"/>
      <c r="F282" s="34"/>
      <c r="G282" s="34"/>
      <c r="H282" s="34"/>
    </row>
    <row r="283" ht="15.75" customHeight="1">
      <c r="B283" s="46"/>
      <c r="C283" s="34"/>
      <c r="D283" s="34"/>
      <c r="E283" s="34"/>
      <c r="F283" s="34"/>
      <c r="G283" s="34"/>
      <c r="H283" s="34"/>
    </row>
    <row r="284" ht="15.75" customHeight="1">
      <c r="B284" s="46"/>
      <c r="C284" s="34"/>
      <c r="D284" s="34"/>
      <c r="E284" s="34"/>
      <c r="F284" s="34"/>
      <c r="G284" s="34"/>
      <c r="H284" s="34"/>
    </row>
    <row r="285" ht="15.75" customHeight="1">
      <c r="B285" s="46"/>
      <c r="C285" s="34"/>
      <c r="D285" s="34"/>
      <c r="E285" s="34"/>
      <c r="F285" s="34"/>
      <c r="G285" s="34"/>
      <c r="H285" s="34"/>
    </row>
    <row r="286" ht="15.75" customHeight="1">
      <c r="B286" s="46"/>
      <c r="C286" s="34"/>
      <c r="D286" s="34"/>
      <c r="E286" s="34"/>
      <c r="F286" s="34"/>
      <c r="G286" s="34"/>
      <c r="H286" s="34"/>
    </row>
    <row r="287" ht="15.75" customHeight="1">
      <c r="B287" s="46"/>
      <c r="C287" s="34"/>
      <c r="D287" s="34"/>
      <c r="E287" s="34"/>
      <c r="F287" s="34"/>
      <c r="G287" s="34"/>
      <c r="H287" s="34"/>
    </row>
    <row r="288" ht="15.75" customHeight="1">
      <c r="B288" s="46"/>
      <c r="C288" s="34"/>
      <c r="D288" s="34"/>
      <c r="E288" s="34"/>
      <c r="F288" s="34"/>
      <c r="G288" s="34"/>
      <c r="H288" s="34"/>
    </row>
    <row r="289" ht="15.75" customHeight="1">
      <c r="B289" s="46"/>
      <c r="C289" s="34"/>
      <c r="D289" s="34"/>
      <c r="E289" s="34"/>
      <c r="F289" s="34"/>
      <c r="G289" s="34"/>
      <c r="H289" s="34"/>
    </row>
    <row r="290" ht="15.75" customHeight="1">
      <c r="B290" s="46"/>
      <c r="C290" s="34"/>
      <c r="D290" s="34"/>
      <c r="E290" s="34"/>
      <c r="F290" s="34"/>
      <c r="G290" s="34"/>
      <c r="H290" s="34"/>
    </row>
    <row r="291" ht="15.75" customHeight="1">
      <c r="B291" s="46"/>
      <c r="C291" s="34"/>
      <c r="D291" s="34"/>
      <c r="E291" s="34"/>
      <c r="F291" s="34"/>
      <c r="G291" s="34"/>
      <c r="H291" s="34"/>
    </row>
    <row r="292" ht="15.75" customHeight="1">
      <c r="B292" s="46"/>
      <c r="C292" s="34"/>
      <c r="D292" s="34"/>
      <c r="E292" s="34"/>
      <c r="F292" s="34"/>
      <c r="G292" s="34"/>
      <c r="H292" s="34"/>
    </row>
    <row r="293" ht="15.75" customHeight="1">
      <c r="B293" s="46"/>
      <c r="C293" s="34"/>
      <c r="D293" s="34"/>
      <c r="E293" s="34"/>
      <c r="F293" s="34"/>
      <c r="G293" s="34"/>
      <c r="H293" s="34"/>
    </row>
    <row r="294" ht="15.75" customHeight="1">
      <c r="B294" s="46"/>
      <c r="C294" s="34"/>
      <c r="D294" s="34"/>
      <c r="E294" s="34"/>
      <c r="F294" s="34"/>
      <c r="G294" s="34"/>
      <c r="H294" s="34"/>
    </row>
    <row r="295" ht="15.75" customHeight="1">
      <c r="B295" s="46"/>
      <c r="C295" s="34"/>
      <c r="D295" s="34"/>
      <c r="E295" s="34"/>
      <c r="F295" s="34"/>
      <c r="G295" s="34"/>
      <c r="H295" s="34"/>
    </row>
    <row r="296" ht="15.75" customHeight="1">
      <c r="B296" s="46"/>
      <c r="C296" s="34"/>
      <c r="D296" s="34"/>
      <c r="E296" s="34"/>
      <c r="F296" s="34"/>
      <c r="G296" s="34"/>
      <c r="H296" s="34"/>
    </row>
    <row r="297" ht="15.75" customHeight="1">
      <c r="B297" s="46"/>
      <c r="C297" s="34"/>
      <c r="D297" s="34"/>
      <c r="E297" s="34"/>
      <c r="F297" s="34"/>
      <c r="G297" s="34"/>
      <c r="H297" s="34"/>
    </row>
    <row r="298" ht="15.75" customHeight="1">
      <c r="B298" s="46"/>
      <c r="C298" s="34"/>
      <c r="D298" s="34"/>
      <c r="E298" s="34"/>
      <c r="F298" s="34"/>
      <c r="G298" s="34"/>
      <c r="H298" s="34"/>
    </row>
    <row r="299" ht="15.75" customHeight="1">
      <c r="B299" s="46"/>
      <c r="C299" s="34"/>
      <c r="D299" s="34"/>
      <c r="E299" s="34"/>
      <c r="F299" s="34"/>
      <c r="G299" s="34"/>
      <c r="H299" s="34"/>
    </row>
    <row r="300" ht="15.75" customHeight="1">
      <c r="B300" s="46"/>
      <c r="C300" s="34"/>
      <c r="D300" s="34"/>
      <c r="E300" s="34"/>
      <c r="F300" s="34"/>
      <c r="G300" s="34"/>
      <c r="H300" s="34"/>
    </row>
    <row r="301" ht="15.75" customHeight="1">
      <c r="B301" s="46"/>
      <c r="C301" s="34"/>
      <c r="D301" s="34"/>
      <c r="E301" s="34"/>
      <c r="F301" s="34"/>
      <c r="G301" s="34"/>
      <c r="H301" s="34"/>
    </row>
    <row r="302" ht="15.75" customHeight="1">
      <c r="B302" s="46"/>
      <c r="C302" s="34"/>
      <c r="D302" s="34"/>
      <c r="E302" s="34"/>
      <c r="F302" s="34"/>
      <c r="G302" s="34"/>
      <c r="H302" s="34"/>
    </row>
    <row r="303" ht="15.75" customHeight="1">
      <c r="B303" s="46"/>
      <c r="C303" s="34"/>
      <c r="D303" s="34"/>
      <c r="E303" s="34"/>
      <c r="F303" s="34"/>
      <c r="G303" s="34"/>
      <c r="H303" s="34"/>
    </row>
    <row r="304" ht="15.75" customHeight="1">
      <c r="B304" s="46"/>
      <c r="C304" s="34"/>
      <c r="D304" s="34"/>
      <c r="E304" s="34"/>
      <c r="F304" s="34"/>
      <c r="G304" s="34"/>
      <c r="H304" s="34"/>
    </row>
    <row r="305" ht="15.75" customHeight="1">
      <c r="B305" s="46"/>
      <c r="C305" s="34"/>
      <c r="D305" s="34"/>
      <c r="E305" s="34"/>
      <c r="F305" s="34"/>
      <c r="G305" s="34"/>
      <c r="H305" s="34"/>
    </row>
    <row r="306" ht="15.75" customHeight="1">
      <c r="B306" s="46"/>
      <c r="C306" s="34"/>
      <c r="D306" s="34"/>
      <c r="E306" s="34"/>
      <c r="F306" s="34"/>
      <c r="G306" s="34"/>
      <c r="H306" s="34"/>
    </row>
    <row r="307" ht="15.75" customHeight="1">
      <c r="B307" s="46"/>
      <c r="C307" s="34"/>
      <c r="D307" s="34"/>
      <c r="E307" s="34"/>
      <c r="F307" s="34"/>
      <c r="G307" s="34"/>
      <c r="H307" s="34"/>
    </row>
    <row r="308" ht="15.75" customHeight="1">
      <c r="B308" s="46"/>
      <c r="C308" s="34"/>
      <c r="D308" s="34"/>
      <c r="E308" s="34"/>
      <c r="F308" s="34"/>
      <c r="G308" s="34"/>
      <c r="H308" s="34"/>
    </row>
    <row r="309" ht="15.75" customHeight="1">
      <c r="B309" s="46"/>
      <c r="C309" s="34"/>
      <c r="D309" s="34"/>
      <c r="E309" s="34"/>
      <c r="F309" s="34"/>
      <c r="G309" s="34"/>
      <c r="H309" s="34"/>
    </row>
    <row r="310" ht="15.75" customHeight="1">
      <c r="B310" s="46"/>
      <c r="C310" s="34"/>
      <c r="D310" s="34"/>
      <c r="E310" s="34"/>
      <c r="F310" s="34"/>
      <c r="G310" s="34"/>
      <c r="H310" s="34"/>
    </row>
    <row r="311" ht="15.75" customHeight="1">
      <c r="B311" s="46"/>
      <c r="C311" s="34"/>
      <c r="D311" s="34"/>
      <c r="E311" s="34"/>
      <c r="F311" s="34"/>
      <c r="G311" s="34"/>
      <c r="H311" s="34"/>
    </row>
    <row r="312" ht="15.75" customHeight="1">
      <c r="B312" s="46"/>
      <c r="C312" s="34"/>
      <c r="D312" s="34"/>
      <c r="E312" s="34"/>
      <c r="F312" s="34"/>
      <c r="G312" s="34"/>
      <c r="H312" s="34"/>
    </row>
    <row r="313" ht="15.75" customHeight="1">
      <c r="B313" s="46"/>
      <c r="C313" s="34"/>
      <c r="D313" s="34"/>
      <c r="E313" s="34"/>
      <c r="F313" s="34"/>
      <c r="G313" s="34"/>
      <c r="H313" s="34"/>
    </row>
    <row r="314" ht="15.75" customHeight="1">
      <c r="B314" s="46"/>
      <c r="C314" s="34"/>
      <c r="D314" s="34"/>
      <c r="E314" s="34"/>
      <c r="F314" s="34"/>
      <c r="G314" s="34"/>
      <c r="H314" s="34"/>
    </row>
    <row r="315" ht="15.75" customHeight="1">
      <c r="B315" s="46"/>
      <c r="C315" s="34"/>
      <c r="D315" s="34"/>
      <c r="E315" s="34"/>
      <c r="F315" s="34"/>
      <c r="G315" s="34"/>
      <c r="H315" s="34"/>
    </row>
    <row r="316" ht="15.75" customHeight="1">
      <c r="B316" s="46"/>
      <c r="C316" s="34"/>
      <c r="D316" s="34"/>
      <c r="E316" s="34"/>
      <c r="F316" s="34"/>
      <c r="G316" s="34"/>
      <c r="H316" s="34"/>
    </row>
    <row r="317" ht="15.75" customHeight="1">
      <c r="B317" s="46"/>
      <c r="C317" s="34"/>
      <c r="D317" s="34"/>
      <c r="E317" s="34"/>
      <c r="F317" s="34"/>
      <c r="G317" s="34"/>
      <c r="H317" s="34"/>
    </row>
    <row r="318" ht="15.75" customHeight="1">
      <c r="B318" s="46"/>
      <c r="C318" s="34"/>
      <c r="D318" s="34"/>
      <c r="E318" s="34"/>
      <c r="F318" s="34"/>
      <c r="G318" s="34"/>
      <c r="H318" s="34"/>
    </row>
    <row r="319" ht="15.75" customHeight="1">
      <c r="B319" s="46"/>
      <c r="C319" s="34"/>
      <c r="D319" s="34"/>
      <c r="E319" s="34"/>
      <c r="F319" s="34"/>
      <c r="G319" s="34"/>
      <c r="H319" s="34"/>
    </row>
    <row r="320" ht="15.75" customHeight="1">
      <c r="B320" s="46"/>
      <c r="C320" s="34"/>
      <c r="D320" s="34"/>
      <c r="E320" s="34"/>
      <c r="F320" s="34"/>
      <c r="G320" s="34"/>
      <c r="H320" s="34"/>
    </row>
    <row r="321" ht="15.75" customHeight="1">
      <c r="B321" s="46"/>
      <c r="C321" s="34"/>
      <c r="D321" s="34"/>
      <c r="E321" s="34"/>
      <c r="F321" s="34"/>
      <c r="G321" s="34"/>
      <c r="H321" s="34"/>
    </row>
    <row r="322" ht="15.75" customHeight="1">
      <c r="B322" s="46"/>
      <c r="C322" s="34"/>
      <c r="D322" s="34"/>
      <c r="E322" s="34"/>
      <c r="F322" s="34"/>
      <c r="G322" s="34"/>
      <c r="H322" s="34"/>
    </row>
    <row r="323" ht="15.75" customHeight="1">
      <c r="B323" s="46"/>
      <c r="C323" s="34"/>
      <c r="D323" s="34"/>
      <c r="E323" s="34"/>
      <c r="F323" s="34"/>
      <c r="G323" s="34"/>
      <c r="H323" s="34"/>
    </row>
    <row r="324" ht="15.75" customHeight="1">
      <c r="B324" s="46"/>
      <c r="C324" s="34"/>
      <c r="D324" s="34"/>
      <c r="E324" s="34"/>
      <c r="F324" s="34"/>
      <c r="G324" s="34"/>
      <c r="H324" s="34"/>
    </row>
    <row r="325" ht="15.75" customHeight="1">
      <c r="B325" s="46"/>
      <c r="C325" s="34"/>
      <c r="D325" s="34"/>
      <c r="E325" s="34"/>
      <c r="F325" s="34"/>
      <c r="G325" s="34"/>
      <c r="H325" s="34"/>
    </row>
    <row r="326" ht="15.75" customHeight="1">
      <c r="B326" s="46"/>
      <c r="C326" s="34"/>
      <c r="D326" s="34"/>
      <c r="E326" s="34"/>
      <c r="F326" s="34"/>
      <c r="G326" s="34"/>
      <c r="H326" s="34"/>
    </row>
    <row r="327" ht="15.75" customHeight="1">
      <c r="B327" s="46"/>
      <c r="C327" s="34"/>
      <c r="D327" s="34"/>
      <c r="E327" s="34"/>
      <c r="F327" s="34"/>
      <c r="G327" s="34"/>
      <c r="H327" s="34"/>
    </row>
    <row r="328" ht="15.75" customHeight="1">
      <c r="B328" s="46"/>
      <c r="C328" s="34"/>
      <c r="D328" s="34"/>
      <c r="E328" s="34"/>
      <c r="F328" s="34"/>
      <c r="G328" s="34"/>
      <c r="H328" s="34"/>
    </row>
    <row r="329" ht="15.75" customHeight="1">
      <c r="B329" s="46"/>
      <c r="C329" s="34"/>
      <c r="D329" s="34"/>
      <c r="E329" s="34"/>
      <c r="F329" s="34"/>
      <c r="G329" s="34"/>
      <c r="H329" s="34"/>
    </row>
    <row r="330" ht="15.75" customHeight="1">
      <c r="B330" s="46"/>
      <c r="C330" s="34"/>
      <c r="D330" s="34"/>
      <c r="E330" s="34"/>
      <c r="F330" s="34"/>
      <c r="G330" s="34"/>
      <c r="H330" s="34"/>
    </row>
    <row r="331" ht="15.75" customHeight="1">
      <c r="B331" s="46"/>
      <c r="C331" s="34"/>
      <c r="D331" s="34"/>
      <c r="E331" s="34"/>
      <c r="F331" s="34"/>
      <c r="G331" s="34"/>
      <c r="H331" s="34"/>
    </row>
    <row r="332" ht="15.75" customHeight="1">
      <c r="B332" s="46"/>
      <c r="C332" s="34"/>
      <c r="D332" s="34"/>
      <c r="E332" s="34"/>
      <c r="F332" s="34"/>
      <c r="G332" s="34"/>
      <c r="H332" s="34"/>
    </row>
    <row r="333" ht="15.75" customHeight="1">
      <c r="B333" s="46"/>
      <c r="C333" s="34"/>
      <c r="D333" s="34"/>
      <c r="E333" s="34"/>
      <c r="F333" s="34"/>
      <c r="G333" s="34"/>
      <c r="H333" s="34"/>
    </row>
    <row r="334" ht="15.75" customHeight="1">
      <c r="B334" s="46"/>
      <c r="C334" s="34"/>
      <c r="D334" s="34"/>
      <c r="E334" s="34"/>
      <c r="F334" s="34"/>
      <c r="G334" s="34"/>
      <c r="H334" s="34"/>
    </row>
    <row r="335" ht="15.75" customHeight="1">
      <c r="B335" s="46"/>
      <c r="C335" s="34"/>
      <c r="D335" s="34"/>
      <c r="E335" s="34"/>
      <c r="F335" s="34"/>
      <c r="G335" s="34"/>
      <c r="H335" s="34"/>
    </row>
    <row r="336" ht="15.75" customHeight="1">
      <c r="B336" s="46"/>
      <c r="C336" s="34"/>
      <c r="D336" s="34"/>
      <c r="E336" s="34"/>
      <c r="F336" s="34"/>
      <c r="G336" s="34"/>
      <c r="H336" s="34"/>
    </row>
    <row r="337" ht="15.75" customHeight="1">
      <c r="B337" s="46"/>
      <c r="C337" s="34"/>
      <c r="D337" s="34"/>
      <c r="E337" s="34"/>
      <c r="F337" s="34"/>
      <c r="G337" s="34"/>
      <c r="H337" s="34"/>
    </row>
    <row r="338" ht="15.75" customHeight="1">
      <c r="B338" s="46"/>
      <c r="C338" s="34"/>
      <c r="D338" s="34"/>
      <c r="E338" s="34"/>
      <c r="F338" s="34"/>
      <c r="G338" s="34"/>
      <c r="H338" s="34"/>
    </row>
    <row r="339" ht="15.75" customHeight="1">
      <c r="B339" s="46"/>
      <c r="C339" s="34"/>
      <c r="D339" s="34"/>
      <c r="E339" s="34"/>
      <c r="F339" s="34"/>
      <c r="G339" s="34"/>
      <c r="H339" s="34"/>
    </row>
    <row r="340" ht="15.75" customHeight="1">
      <c r="B340" s="46"/>
      <c r="C340" s="34"/>
      <c r="D340" s="34"/>
      <c r="E340" s="34"/>
      <c r="F340" s="34"/>
      <c r="G340" s="34"/>
      <c r="H340" s="34"/>
    </row>
    <row r="341" ht="15.75" customHeight="1">
      <c r="B341" s="46"/>
      <c r="C341" s="34"/>
      <c r="D341" s="34"/>
      <c r="E341" s="34"/>
      <c r="F341" s="34"/>
      <c r="G341" s="34"/>
      <c r="H341" s="34"/>
    </row>
    <row r="342" ht="15.75" customHeight="1">
      <c r="B342" s="46"/>
      <c r="C342" s="34"/>
      <c r="D342" s="34"/>
      <c r="E342" s="34"/>
      <c r="F342" s="34"/>
      <c r="G342" s="34"/>
      <c r="H342" s="34"/>
    </row>
    <row r="343" ht="15.75" customHeight="1">
      <c r="B343" s="46"/>
      <c r="C343" s="34"/>
      <c r="D343" s="34"/>
      <c r="E343" s="34"/>
      <c r="F343" s="34"/>
      <c r="G343" s="34"/>
      <c r="H343" s="34"/>
    </row>
    <row r="344" ht="15.75" customHeight="1">
      <c r="B344" s="46"/>
      <c r="C344" s="34"/>
      <c r="D344" s="34"/>
      <c r="E344" s="34"/>
      <c r="F344" s="34"/>
      <c r="G344" s="34"/>
      <c r="H344" s="34"/>
    </row>
    <row r="345" ht="15.75" customHeight="1">
      <c r="B345" s="46"/>
      <c r="C345" s="34"/>
      <c r="D345" s="34"/>
      <c r="E345" s="34"/>
      <c r="F345" s="34"/>
      <c r="G345" s="34"/>
      <c r="H345" s="34"/>
    </row>
    <row r="346" ht="15.75" customHeight="1">
      <c r="B346" s="46"/>
      <c r="C346" s="34"/>
      <c r="D346" s="34"/>
      <c r="E346" s="34"/>
      <c r="F346" s="34"/>
      <c r="G346" s="34"/>
      <c r="H346" s="34"/>
    </row>
    <row r="347" ht="15.75" customHeight="1">
      <c r="B347" s="46"/>
      <c r="C347" s="34"/>
      <c r="D347" s="34"/>
      <c r="E347" s="34"/>
      <c r="F347" s="34"/>
      <c r="G347" s="34"/>
      <c r="H347" s="34"/>
    </row>
    <row r="348" ht="15.75" customHeight="1">
      <c r="B348" s="46"/>
      <c r="C348" s="34"/>
      <c r="D348" s="34"/>
      <c r="E348" s="34"/>
      <c r="F348" s="34"/>
      <c r="G348" s="34"/>
      <c r="H348" s="34"/>
    </row>
    <row r="349" ht="15.75" customHeight="1">
      <c r="B349" s="46"/>
      <c r="C349" s="34"/>
      <c r="D349" s="34"/>
      <c r="E349" s="34"/>
      <c r="F349" s="34"/>
      <c r="G349" s="34"/>
      <c r="H349" s="34"/>
    </row>
    <row r="350" ht="15.75" customHeight="1">
      <c r="B350" s="46"/>
      <c r="C350" s="34"/>
      <c r="D350" s="34"/>
      <c r="E350" s="34"/>
      <c r="F350" s="34"/>
      <c r="G350" s="34"/>
      <c r="H350" s="34"/>
    </row>
    <row r="351" ht="15.75" customHeight="1">
      <c r="B351" s="46"/>
      <c r="C351" s="34"/>
      <c r="D351" s="34"/>
      <c r="E351" s="34"/>
      <c r="F351" s="34"/>
      <c r="G351" s="34"/>
      <c r="H351" s="34"/>
    </row>
    <row r="352" ht="15.75" customHeight="1">
      <c r="B352" s="46"/>
      <c r="C352" s="34"/>
      <c r="D352" s="34"/>
      <c r="E352" s="34"/>
      <c r="F352" s="34"/>
      <c r="G352" s="34"/>
      <c r="H352" s="34"/>
    </row>
    <row r="353" ht="15.75" customHeight="1">
      <c r="B353" s="46"/>
      <c r="C353" s="34"/>
      <c r="D353" s="34"/>
      <c r="E353" s="34"/>
      <c r="F353" s="34"/>
      <c r="G353" s="34"/>
      <c r="H353" s="34"/>
    </row>
    <row r="354" ht="15.75" customHeight="1">
      <c r="B354" s="46"/>
      <c r="C354" s="34"/>
      <c r="D354" s="34"/>
      <c r="E354" s="34"/>
      <c r="F354" s="34"/>
      <c r="G354" s="34"/>
      <c r="H354" s="34"/>
    </row>
    <row r="355" ht="15.75" customHeight="1">
      <c r="B355" s="46"/>
      <c r="C355" s="34"/>
      <c r="D355" s="34"/>
      <c r="E355" s="34"/>
      <c r="F355" s="34"/>
      <c r="G355" s="34"/>
      <c r="H355" s="34"/>
    </row>
    <row r="356" ht="15.75" customHeight="1">
      <c r="B356" s="46"/>
      <c r="C356" s="34"/>
      <c r="D356" s="34"/>
      <c r="E356" s="34"/>
      <c r="F356" s="34"/>
      <c r="G356" s="34"/>
      <c r="H356" s="34"/>
    </row>
    <row r="357" ht="15.75" customHeight="1">
      <c r="B357" s="46"/>
      <c r="C357" s="34"/>
      <c r="D357" s="34"/>
      <c r="E357" s="34"/>
      <c r="F357" s="34"/>
      <c r="G357" s="34"/>
      <c r="H357" s="34"/>
    </row>
    <row r="358" ht="15.75" customHeight="1">
      <c r="B358" s="46"/>
      <c r="C358" s="34"/>
      <c r="D358" s="34"/>
      <c r="E358" s="34"/>
      <c r="F358" s="34"/>
      <c r="G358" s="34"/>
      <c r="H358" s="34"/>
    </row>
    <row r="359" ht="15.75" customHeight="1">
      <c r="B359" s="46"/>
      <c r="C359" s="34"/>
      <c r="D359" s="34"/>
      <c r="E359" s="34"/>
      <c r="F359" s="34"/>
      <c r="G359" s="34"/>
      <c r="H359" s="34"/>
    </row>
    <row r="360" ht="15.75" customHeight="1">
      <c r="B360" s="46"/>
      <c r="C360" s="34"/>
      <c r="D360" s="34"/>
      <c r="E360" s="34"/>
      <c r="F360" s="34"/>
      <c r="G360" s="34"/>
      <c r="H360" s="34"/>
    </row>
    <row r="361" ht="15.75" customHeight="1">
      <c r="B361" s="46"/>
      <c r="C361" s="34"/>
      <c r="D361" s="34"/>
      <c r="E361" s="34"/>
      <c r="F361" s="34"/>
      <c r="G361" s="34"/>
      <c r="H361" s="34"/>
    </row>
    <row r="362" ht="15.75" customHeight="1">
      <c r="B362" s="46"/>
      <c r="C362" s="34"/>
      <c r="D362" s="34"/>
      <c r="E362" s="34"/>
      <c r="F362" s="34"/>
      <c r="G362" s="34"/>
      <c r="H362" s="34"/>
    </row>
    <row r="363" ht="15.75" customHeight="1">
      <c r="B363" s="46"/>
      <c r="C363" s="34"/>
      <c r="D363" s="34"/>
      <c r="E363" s="34"/>
      <c r="F363" s="34"/>
      <c r="G363" s="34"/>
      <c r="H363" s="34"/>
    </row>
    <row r="364" ht="15.75" customHeight="1">
      <c r="B364" s="46"/>
      <c r="C364" s="34"/>
      <c r="D364" s="34"/>
      <c r="E364" s="34"/>
      <c r="F364" s="34"/>
      <c r="G364" s="34"/>
      <c r="H364" s="34"/>
    </row>
    <row r="365" ht="15.75" customHeight="1">
      <c r="B365" s="46"/>
      <c r="C365" s="34"/>
      <c r="D365" s="34"/>
      <c r="E365" s="34"/>
      <c r="F365" s="34"/>
      <c r="G365" s="34"/>
      <c r="H365" s="34"/>
    </row>
    <row r="366" ht="15.75" customHeight="1">
      <c r="B366" s="46"/>
      <c r="C366" s="34"/>
      <c r="D366" s="34"/>
      <c r="E366" s="34"/>
      <c r="F366" s="34"/>
      <c r="G366" s="34"/>
      <c r="H366" s="34"/>
    </row>
    <row r="367" ht="15.75" customHeight="1">
      <c r="B367" s="46"/>
      <c r="C367" s="34"/>
      <c r="D367" s="34"/>
      <c r="E367" s="34"/>
      <c r="F367" s="34"/>
      <c r="G367" s="34"/>
      <c r="H367" s="34"/>
    </row>
    <row r="368" ht="15.75" customHeight="1">
      <c r="B368" s="46"/>
      <c r="C368" s="34"/>
      <c r="D368" s="34"/>
      <c r="E368" s="34"/>
      <c r="F368" s="34"/>
      <c r="G368" s="34"/>
      <c r="H368" s="34"/>
    </row>
    <row r="369" ht="15.75" customHeight="1">
      <c r="B369" s="46"/>
      <c r="C369" s="34"/>
      <c r="D369" s="34"/>
      <c r="E369" s="34"/>
      <c r="F369" s="34"/>
      <c r="G369" s="34"/>
      <c r="H369" s="34"/>
    </row>
    <row r="370" ht="15.75" customHeight="1">
      <c r="B370" s="46"/>
      <c r="C370" s="34"/>
      <c r="D370" s="34"/>
      <c r="E370" s="34"/>
      <c r="F370" s="34"/>
      <c r="G370" s="34"/>
      <c r="H370" s="34"/>
    </row>
    <row r="371" ht="15.75" customHeight="1">
      <c r="B371" s="46"/>
      <c r="C371" s="34"/>
      <c r="D371" s="34"/>
      <c r="E371" s="34"/>
      <c r="F371" s="34"/>
      <c r="G371" s="34"/>
      <c r="H371" s="34"/>
    </row>
    <row r="372" ht="15.75" customHeight="1">
      <c r="B372" s="46"/>
      <c r="C372" s="34"/>
      <c r="D372" s="34"/>
      <c r="E372" s="34"/>
      <c r="F372" s="34"/>
      <c r="G372" s="34"/>
      <c r="H372" s="34"/>
    </row>
    <row r="373" ht="15.75" customHeight="1">
      <c r="B373" s="46"/>
      <c r="C373" s="34"/>
      <c r="D373" s="34"/>
      <c r="E373" s="34"/>
      <c r="F373" s="34"/>
      <c r="G373" s="34"/>
      <c r="H373" s="34"/>
    </row>
    <row r="374" ht="15.75" customHeight="1">
      <c r="B374" s="46"/>
      <c r="C374" s="34"/>
      <c r="D374" s="34"/>
      <c r="E374" s="34"/>
      <c r="F374" s="34"/>
      <c r="G374" s="34"/>
      <c r="H374" s="34"/>
    </row>
    <row r="375" ht="15.75" customHeight="1">
      <c r="B375" s="46"/>
      <c r="C375" s="34"/>
      <c r="D375" s="34"/>
      <c r="E375" s="34"/>
      <c r="F375" s="34"/>
      <c r="G375" s="34"/>
      <c r="H375" s="34"/>
    </row>
    <row r="376" ht="15.75" customHeight="1">
      <c r="B376" s="46"/>
      <c r="C376" s="34"/>
      <c r="D376" s="34"/>
      <c r="E376" s="34"/>
      <c r="F376" s="34"/>
      <c r="G376" s="34"/>
      <c r="H376" s="34"/>
    </row>
    <row r="377" ht="15.75" customHeight="1">
      <c r="B377" s="46"/>
      <c r="C377" s="34"/>
      <c r="D377" s="34"/>
      <c r="E377" s="34"/>
      <c r="F377" s="34"/>
      <c r="G377" s="34"/>
      <c r="H377" s="34"/>
    </row>
    <row r="378" ht="15.75" customHeight="1">
      <c r="B378" s="46"/>
      <c r="C378" s="34"/>
      <c r="D378" s="34"/>
      <c r="E378" s="34"/>
      <c r="F378" s="34"/>
      <c r="G378" s="34"/>
      <c r="H378" s="34"/>
    </row>
    <row r="379" ht="15.75" customHeight="1">
      <c r="B379" s="46"/>
      <c r="C379" s="34"/>
      <c r="D379" s="34"/>
      <c r="E379" s="34"/>
      <c r="F379" s="34"/>
      <c r="G379" s="34"/>
      <c r="H379" s="34"/>
    </row>
    <row r="380" ht="15.75" customHeight="1">
      <c r="B380" s="46"/>
      <c r="C380" s="34"/>
      <c r="D380" s="34"/>
      <c r="E380" s="34"/>
      <c r="F380" s="34"/>
      <c r="G380" s="34"/>
      <c r="H380" s="34"/>
    </row>
    <row r="381" ht="15.75" customHeight="1">
      <c r="B381" s="46"/>
      <c r="C381" s="34"/>
      <c r="D381" s="34"/>
      <c r="E381" s="34"/>
      <c r="F381" s="34"/>
      <c r="G381" s="34"/>
      <c r="H381" s="34"/>
    </row>
    <row r="382" ht="15.75" customHeight="1">
      <c r="B382" s="46"/>
      <c r="C382" s="34"/>
      <c r="D382" s="34"/>
      <c r="E382" s="34"/>
      <c r="F382" s="34"/>
      <c r="G382" s="34"/>
      <c r="H382" s="34"/>
    </row>
    <row r="383" ht="15.75" customHeight="1">
      <c r="B383" s="46"/>
      <c r="C383" s="34"/>
      <c r="D383" s="34"/>
      <c r="E383" s="34"/>
      <c r="F383" s="34"/>
      <c r="G383" s="34"/>
      <c r="H383" s="34"/>
    </row>
    <row r="384" ht="15.75" customHeight="1">
      <c r="B384" s="46"/>
      <c r="C384" s="34"/>
      <c r="D384" s="34"/>
      <c r="E384" s="34"/>
      <c r="F384" s="34"/>
      <c r="G384" s="34"/>
      <c r="H384" s="34"/>
    </row>
    <row r="385" ht="15.75" customHeight="1">
      <c r="B385" s="46"/>
      <c r="C385" s="34"/>
      <c r="D385" s="34"/>
      <c r="E385" s="34"/>
      <c r="F385" s="34"/>
      <c r="G385" s="34"/>
      <c r="H385" s="34"/>
    </row>
    <row r="386" ht="15.75" customHeight="1">
      <c r="B386" s="46"/>
      <c r="C386" s="34"/>
      <c r="D386" s="34"/>
      <c r="E386" s="34"/>
      <c r="F386" s="34"/>
      <c r="G386" s="34"/>
      <c r="H386" s="34"/>
    </row>
    <row r="387" ht="15.75" customHeight="1">
      <c r="B387" s="46"/>
      <c r="C387" s="34"/>
      <c r="D387" s="34"/>
      <c r="E387" s="34"/>
      <c r="F387" s="34"/>
      <c r="G387" s="34"/>
      <c r="H387" s="34"/>
    </row>
    <row r="388" ht="15.75" customHeight="1">
      <c r="B388" s="46"/>
      <c r="C388" s="34"/>
      <c r="D388" s="34"/>
      <c r="E388" s="34"/>
      <c r="F388" s="34"/>
      <c r="G388" s="34"/>
      <c r="H388" s="34"/>
    </row>
    <row r="389" ht="15.75" customHeight="1">
      <c r="B389" s="46"/>
      <c r="C389" s="34"/>
      <c r="D389" s="34"/>
      <c r="E389" s="34"/>
      <c r="F389" s="34"/>
      <c r="G389" s="34"/>
      <c r="H389" s="34"/>
    </row>
    <row r="390" ht="15.75" customHeight="1">
      <c r="B390" s="46"/>
      <c r="C390" s="34"/>
      <c r="D390" s="34"/>
      <c r="E390" s="34"/>
      <c r="F390" s="34"/>
      <c r="G390" s="34"/>
      <c r="H390" s="34"/>
    </row>
    <row r="391" ht="15.75" customHeight="1">
      <c r="B391" s="46"/>
      <c r="C391" s="34"/>
      <c r="D391" s="34"/>
      <c r="E391" s="34"/>
      <c r="F391" s="34"/>
      <c r="G391" s="34"/>
      <c r="H391" s="34"/>
    </row>
    <row r="392" ht="15.75" customHeight="1">
      <c r="B392" s="46"/>
      <c r="C392" s="34"/>
      <c r="D392" s="34"/>
      <c r="E392" s="34"/>
      <c r="F392" s="34"/>
      <c r="G392" s="34"/>
      <c r="H392" s="34"/>
    </row>
    <row r="393" ht="15.75" customHeight="1">
      <c r="B393" s="46"/>
      <c r="C393" s="34"/>
      <c r="D393" s="34"/>
      <c r="E393" s="34"/>
      <c r="F393" s="34"/>
      <c r="G393" s="34"/>
      <c r="H393" s="34"/>
    </row>
    <row r="394" ht="15.75" customHeight="1">
      <c r="B394" s="46"/>
      <c r="C394" s="34"/>
      <c r="D394" s="34"/>
      <c r="E394" s="34"/>
      <c r="F394" s="34"/>
      <c r="G394" s="34"/>
      <c r="H394" s="34"/>
    </row>
    <row r="395" ht="15.75" customHeight="1">
      <c r="B395" s="46"/>
      <c r="C395" s="34"/>
      <c r="D395" s="34"/>
      <c r="E395" s="34"/>
      <c r="F395" s="34"/>
      <c r="G395" s="34"/>
      <c r="H395" s="34"/>
    </row>
    <row r="396" ht="15.75" customHeight="1">
      <c r="B396" s="46"/>
      <c r="C396" s="34"/>
      <c r="D396" s="34"/>
      <c r="E396" s="34"/>
      <c r="F396" s="34"/>
      <c r="G396" s="34"/>
      <c r="H396" s="34"/>
    </row>
    <row r="397" ht="15.75" customHeight="1">
      <c r="B397" s="46"/>
      <c r="C397" s="34"/>
      <c r="D397" s="34"/>
      <c r="E397" s="34"/>
      <c r="F397" s="34"/>
      <c r="G397" s="34"/>
      <c r="H397" s="34"/>
    </row>
    <row r="398" ht="15.75" customHeight="1">
      <c r="B398" s="46"/>
      <c r="C398" s="34"/>
      <c r="D398" s="34"/>
      <c r="E398" s="34"/>
      <c r="F398" s="34"/>
      <c r="G398" s="34"/>
      <c r="H398" s="34"/>
    </row>
    <row r="399" ht="15.75" customHeight="1">
      <c r="B399" s="46"/>
      <c r="C399" s="34"/>
      <c r="D399" s="34"/>
      <c r="E399" s="34"/>
      <c r="F399" s="34"/>
      <c r="G399" s="34"/>
      <c r="H399" s="34"/>
    </row>
    <row r="400" ht="15.75" customHeight="1">
      <c r="B400" s="46"/>
      <c r="C400" s="34"/>
      <c r="D400" s="34"/>
      <c r="E400" s="34"/>
      <c r="F400" s="34"/>
      <c r="G400" s="34"/>
      <c r="H400" s="34"/>
    </row>
    <row r="401" ht="15.75" customHeight="1">
      <c r="B401" s="46"/>
      <c r="C401" s="34"/>
      <c r="D401" s="34"/>
      <c r="E401" s="34"/>
      <c r="F401" s="34"/>
      <c r="G401" s="34"/>
      <c r="H401" s="34"/>
    </row>
    <row r="402" ht="15.75" customHeight="1">
      <c r="B402" s="46"/>
      <c r="C402" s="34"/>
      <c r="D402" s="34"/>
      <c r="E402" s="34"/>
      <c r="F402" s="34"/>
      <c r="G402" s="34"/>
      <c r="H402" s="34"/>
    </row>
    <row r="403" ht="15.75" customHeight="1">
      <c r="B403" s="46"/>
      <c r="C403" s="34"/>
      <c r="D403" s="34"/>
      <c r="E403" s="34"/>
      <c r="F403" s="34"/>
      <c r="G403" s="34"/>
      <c r="H403" s="34"/>
    </row>
    <row r="404" ht="15.75" customHeight="1">
      <c r="B404" s="46"/>
      <c r="C404" s="34"/>
      <c r="D404" s="34"/>
      <c r="E404" s="34"/>
      <c r="F404" s="34"/>
      <c r="G404" s="34"/>
      <c r="H404" s="34"/>
    </row>
    <row r="405" ht="15.75" customHeight="1">
      <c r="B405" s="46"/>
      <c r="C405" s="34"/>
      <c r="D405" s="34"/>
      <c r="E405" s="34"/>
      <c r="F405" s="34"/>
      <c r="G405" s="34"/>
      <c r="H405" s="34"/>
    </row>
    <row r="406" ht="15.75" customHeight="1">
      <c r="B406" s="46"/>
      <c r="C406" s="34"/>
      <c r="D406" s="34"/>
      <c r="E406" s="34"/>
      <c r="F406" s="34"/>
      <c r="G406" s="34"/>
      <c r="H406" s="34"/>
    </row>
    <row r="407" ht="15.75" customHeight="1">
      <c r="B407" s="46"/>
      <c r="C407" s="34"/>
      <c r="D407" s="34"/>
      <c r="E407" s="34"/>
      <c r="F407" s="34"/>
      <c r="G407" s="34"/>
      <c r="H407" s="34"/>
    </row>
    <row r="408" ht="15.75" customHeight="1">
      <c r="B408" s="46"/>
      <c r="C408" s="34"/>
      <c r="D408" s="34"/>
      <c r="E408" s="34"/>
      <c r="F408" s="34"/>
      <c r="G408" s="34"/>
      <c r="H408" s="34"/>
    </row>
    <row r="409" ht="15.75" customHeight="1">
      <c r="B409" s="46"/>
      <c r="C409" s="34"/>
      <c r="D409" s="34"/>
      <c r="E409" s="34"/>
      <c r="F409" s="34"/>
      <c r="G409" s="34"/>
      <c r="H409" s="34"/>
    </row>
    <row r="410" ht="15.75" customHeight="1">
      <c r="B410" s="46"/>
      <c r="C410" s="34"/>
      <c r="D410" s="34"/>
      <c r="E410" s="34"/>
      <c r="F410" s="34"/>
      <c r="G410" s="34"/>
      <c r="H410" s="34"/>
    </row>
    <row r="411" ht="15.75" customHeight="1">
      <c r="B411" s="46"/>
      <c r="C411" s="34"/>
      <c r="D411" s="34"/>
      <c r="E411" s="34"/>
      <c r="F411" s="34"/>
      <c r="G411" s="34"/>
      <c r="H411" s="34"/>
    </row>
    <row r="412" ht="15.75" customHeight="1">
      <c r="B412" s="46"/>
      <c r="C412" s="34"/>
      <c r="D412" s="34"/>
      <c r="E412" s="34"/>
      <c r="F412" s="34"/>
      <c r="G412" s="34"/>
      <c r="H412" s="34"/>
    </row>
    <row r="413" ht="15.75" customHeight="1">
      <c r="B413" s="46"/>
      <c r="C413" s="34"/>
      <c r="D413" s="34"/>
      <c r="E413" s="34"/>
      <c r="F413" s="34"/>
      <c r="G413" s="34"/>
      <c r="H413" s="34"/>
    </row>
    <row r="414" ht="15.75" customHeight="1">
      <c r="B414" s="46"/>
      <c r="C414" s="34"/>
      <c r="D414" s="34"/>
      <c r="E414" s="34"/>
      <c r="F414" s="34"/>
      <c r="G414" s="34"/>
      <c r="H414" s="34"/>
    </row>
    <row r="415" ht="15.75" customHeight="1">
      <c r="B415" s="46"/>
      <c r="C415" s="34"/>
      <c r="D415" s="34"/>
      <c r="E415" s="34"/>
      <c r="F415" s="34"/>
      <c r="G415" s="34"/>
      <c r="H415" s="34"/>
    </row>
    <row r="416" ht="15.75" customHeight="1">
      <c r="B416" s="46"/>
      <c r="C416" s="34"/>
      <c r="D416" s="34"/>
      <c r="E416" s="34"/>
      <c r="F416" s="34"/>
      <c r="G416" s="34"/>
      <c r="H416" s="34"/>
    </row>
    <row r="417" ht="15.75" customHeight="1">
      <c r="B417" s="46"/>
      <c r="C417" s="34"/>
      <c r="D417" s="34"/>
      <c r="E417" s="34"/>
      <c r="F417" s="34"/>
      <c r="G417" s="34"/>
      <c r="H417" s="34"/>
    </row>
    <row r="418" ht="15.75" customHeight="1">
      <c r="B418" s="46"/>
      <c r="C418" s="34"/>
      <c r="D418" s="34"/>
      <c r="E418" s="34"/>
      <c r="F418" s="34"/>
      <c r="G418" s="34"/>
      <c r="H418" s="34"/>
    </row>
    <row r="419" ht="15.75" customHeight="1">
      <c r="B419" s="46"/>
      <c r="C419" s="34"/>
      <c r="D419" s="34"/>
      <c r="E419" s="34"/>
      <c r="F419" s="34"/>
      <c r="G419" s="34"/>
      <c r="H419" s="34"/>
    </row>
    <row r="420" ht="15.75" customHeight="1">
      <c r="B420" s="46"/>
      <c r="C420" s="34"/>
      <c r="D420" s="34"/>
      <c r="E420" s="34"/>
      <c r="F420" s="34"/>
      <c r="G420" s="34"/>
      <c r="H420" s="34"/>
    </row>
    <row r="421" ht="15.75" customHeight="1">
      <c r="B421" s="46"/>
      <c r="C421" s="34"/>
      <c r="D421" s="34"/>
      <c r="E421" s="34"/>
      <c r="F421" s="34"/>
      <c r="G421" s="34"/>
      <c r="H421" s="34"/>
    </row>
    <row r="422" ht="15.75" customHeight="1">
      <c r="B422" s="46"/>
      <c r="C422" s="34"/>
      <c r="D422" s="34"/>
      <c r="E422" s="34"/>
      <c r="F422" s="34"/>
      <c r="G422" s="34"/>
      <c r="H422" s="34"/>
    </row>
    <row r="423" ht="15.75" customHeight="1">
      <c r="B423" s="46"/>
      <c r="C423" s="34"/>
      <c r="D423" s="34"/>
      <c r="E423" s="34"/>
      <c r="F423" s="34"/>
      <c r="G423" s="34"/>
      <c r="H423" s="34"/>
    </row>
    <row r="424" ht="15.75" customHeight="1">
      <c r="B424" s="46"/>
      <c r="C424" s="34"/>
      <c r="D424" s="34"/>
      <c r="E424" s="34"/>
      <c r="F424" s="34"/>
      <c r="G424" s="34"/>
      <c r="H424" s="34"/>
    </row>
    <row r="425" ht="15.75" customHeight="1">
      <c r="B425" s="46"/>
      <c r="C425" s="34"/>
      <c r="D425" s="34"/>
      <c r="E425" s="34"/>
      <c r="F425" s="34"/>
      <c r="G425" s="34"/>
      <c r="H425" s="34"/>
    </row>
    <row r="426" ht="15.75" customHeight="1">
      <c r="B426" s="46"/>
      <c r="C426" s="34"/>
      <c r="D426" s="34"/>
      <c r="E426" s="34"/>
      <c r="F426" s="34"/>
      <c r="G426" s="34"/>
      <c r="H426" s="34"/>
    </row>
    <row r="427" ht="15.75" customHeight="1">
      <c r="B427" s="46"/>
      <c r="C427" s="34"/>
      <c r="D427" s="34"/>
      <c r="E427" s="34"/>
      <c r="F427" s="34"/>
      <c r="G427" s="34"/>
      <c r="H427" s="34"/>
    </row>
    <row r="428" ht="15.75" customHeight="1">
      <c r="B428" s="46"/>
      <c r="C428" s="34"/>
      <c r="D428" s="34"/>
      <c r="E428" s="34"/>
      <c r="F428" s="34"/>
      <c r="G428" s="34"/>
      <c r="H428" s="34"/>
    </row>
    <row r="429" ht="15.75" customHeight="1">
      <c r="B429" s="46"/>
      <c r="C429" s="34"/>
      <c r="D429" s="34"/>
      <c r="E429" s="34"/>
      <c r="F429" s="34"/>
      <c r="G429" s="34"/>
      <c r="H429" s="34"/>
    </row>
    <row r="430" ht="15.75" customHeight="1">
      <c r="B430" s="46"/>
      <c r="C430" s="34"/>
      <c r="D430" s="34"/>
      <c r="E430" s="34"/>
      <c r="F430" s="34"/>
      <c r="G430" s="34"/>
      <c r="H430" s="34"/>
    </row>
    <row r="431" ht="15.75" customHeight="1">
      <c r="B431" s="46"/>
      <c r="C431" s="34"/>
      <c r="D431" s="34"/>
      <c r="E431" s="34"/>
      <c r="F431" s="34"/>
      <c r="G431" s="34"/>
      <c r="H431" s="34"/>
    </row>
    <row r="432" ht="15.75" customHeight="1">
      <c r="B432" s="46"/>
      <c r="C432" s="34"/>
      <c r="D432" s="34"/>
      <c r="E432" s="34"/>
      <c r="F432" s="34"/>
      <c r="G432" s="34"/>
      <c r="H432" s="34"/>
    </row>
    <row r="433" ht="15.75" customHeight="1">
      <c r="B433" s="46"/>
      <c r="C433" s="34"/>
      <c r="D433" s="34"/>
      <c r="E433" s="34"/>
      <c r="F433" s="34"/>
      <c r="G433" s="34"/>
      <c r="H433" s="34"/>
    </row>
    <row r="434" ht="15.75" customHeight="1">
      <c r="B434" s="46"/>
      <c r="C434" s="34"/>
      <c r="D434" s="34"/>
      <c r="E434" s="34"/>
      <c r="F434" s="34"/>
      <c r="G434" s="34"/>
      <c r="H434" s="34"/>
    </row>
    <row r="435" ht="15.75" customHeight="1">
      <c r="B435" s="46"/>
      <c r="C435" s="34"/>
      <c r="D435" s="34"/>
      <c r="E435" s="34"/>
      <c r="F435" s="34"/>
      <c r="G435" s="34"/>
      <c r="H435" s="34"/>
    </row>
    <row r="436" ht="15.75" customHeight="1">
      <c r="B436" s="46"/>
      <c r="C436" s="34"/>
      <c r="D436" s="34"/>
      <c r="E436" s="34"/>
      <c r="F436" s="34"/>
      <c r="G436" s="34"/>
      <c r="H436" s="34"/>
    </row>
    <row r="437" ht="15.75" customHeight="1">
      <c r="B437" s="46"/>
      <c r="C437" s="34"/>
      <c r="D437" s="34"/>
      <c r="E437" s="34"/>
      <c r="F437" s="34"/>
      <c r="G437" s="34"/>
      <c r="H437" s="34"/>
    </row>
    <row r="438" ht="15.75" customHeight="1">
      <c r="B438" s="46"/>
      <c r="C438" s="34"/>
      <c r="D438" s="34"/>
      <c r="E438" s="34"/>
      <c r="F438" s="34"/>
      <c r="G438" s="34"/>
      <c r="H438" s="34"/>
    </row>
    <row r="439" ht="15.75" customHeight="1">
      <c r="B439" s="46"/>
      <c r="C439" s="34"/>
      <c r="D439" s="34"/>
      <c r="E439" s="34"/>
      <c r="F439" s="34"/>
      <c r="G439" s="34"/>
      <c r="H439" s="34"/>
    </row>
    <row r="440" ht="15.75" customHeight="1">
      <c r="B440" s="46"/>
      <c r="C440" s="34"/>
      <c r="D440" s="34"/>
      <c r="E440" s="34"/>
      <c r="F440" s="34"/>
      <c r="G440" s="34"/>
      <c r="H440" s="34"/>
    </row>
    <row r="441" ht="15.75" customHeight="1">
      <c r="B441" s="46"/>
      <c r="C441" s="34"/>
      <c r="D441" s="34"/>
      <c r="E441" s="34"/>
      <c r="F441" s="34"/>
      <c r="G441" s="34"/>
      <c r="H441" s="34"/>
    </row>
    <row r="442" ht="15.75" customHeight="1">
      <c r="B442" s="46"/>
      <c r="C442" s="34"/>
      <c r="D442" s="34"/>
      <c r="E442" s="34"/>
      <c r="F442" s="34"/>
      <c r="G442" s="34"/>
      <c r="H442" s="34"/>
    </row>
    <row r="443" ht="15.75" customHeight="1">
      <c r="B443" s="46"/>
      <c r="C443" s="34"/>
      <c r="D443" s="34"/>
      <c r="E443" s="34"/>
      <c r="F443" s="34"/>
      <c r="G443" s="34"/>
      <c r="H443" s="34"/>
    </row>
    <row r="444" ht="15.75" customHeight="1">
      <c r="B444" s="46"/>
      <c r="C444" s="34"/>
      <c r="D444" s="34"/>
      <c r="E444" s="34"/>
      <c r="F444" s="34"/>
      <c r="G444" s="34"/>
      <c r="H444" s="34"/>
    </row>
    <row r="445" ht="15.75" customHeight="1">
      <c r="B445" s="46"/>
      <c r="C445" s="34"/>
      <c r="D445" s="34"/>
      <c r="E445" s="34"/>
      <c r="F445" s="34"/>
      <c r="G445" s="34"/>
      <c r="H445" s="34"/>
    </row>
    <row r="446" ht="15.75" customHeight="1">
      <c r="B446" s="46"/>
      <c r="C446" s="34"/>
      <c r="D446" s="34"/>
      <c r="E446" s="34"/>
      <c r="F446" s="34"/>
      <c r="G446" s="34"/>
      <c r="H446" s="34"/>
    </row>
    <row r="447" ht="15.75" customHeight="1">
      <c r="B447" s="46"/>
      <c r="C447" s="34"/>
      <c r="D447" s="34"/>
      <c r="E447" s="34"/>
      <c r="F447" s="34"/>
      <c r="G447" s="34"/>
      <c r="H447" s="34"/>
    </row>
    <row r="448" ht="15.75" customHeight="1">
      <c r="B448" s="46"/>
      <c r="C448" s="34"/>
      <c r="D448" s="34"/>
      <c r="E448" s="34"/>
      <c r="F448" s="34"/>
      <c r="G448" s="34"/>
      <c r="H448" s="34"/>
    </row>
    <row r="449" ht="15.75" customHeight="1">
      <c r="B449" s="46"/>
      <c r="C449" s="34"/>
      <c r="D449" s="34"/>
      <c r="E449" s="34"/>
      <c r="F449" s="34"/>
      <c r="G449" s="34"/>
      <c r="H449" s="34"/>
    </row>
    <row r="450" ht="15.75" customHeight="1">
      <c r="B450" s="46"/>
      <c r="C450" s="34"/>
      <c r="D450" s="34"/>
      <c r="E450" s="34"/>
      <c r="F450" s="34"/>
      <c r="G450" s="34"/>
      <c r="H450" s="34"/>
    </row>
    <row r="451" ht="15.75" customHeight="1">
      <c r="B451" s="46"/>
      <c r="C451" s="34"/>
      <c r="D451" s="34"/>
      <c r="E451" s="34"/>
      <c r="F451" s="34"/>
      <c r="G451" s="34"/>
      <c r="H451" s="34"/>
    </row>
    <row r="452" ht="15.75" customHeight="1">
      <c r="B452" s="46"/>
      <c r="C452" s="34"/>
      <c r="D452" s="34"/>
      <c r="E452" s="34"/>
      <c r="F452" s="34"/>
      <c r="G452" s="34"/>
      <c r="H452" s="34"/>
    </row>
    <row r="453" ht="15.75" customHeight="1">
      <c r="B453" s="46"/>
      <c r="C453" s="34"/>
      <c r="D453" s="34"/>
      <c r="E453" s="34"/>
      <c r="F453" s="34"/>
      <c r="G453" s="34"/>
      <c r="H453" s="34"/>
    </row>
    <row r="454" ht="15.75" customHeight="1">
      <c r="B454" s="46"/>
      <c r="C454" s="34"/>
      <c r="D454" s="34"/>
      <c r="E454" s="34"/>
      <c r="F454" s="34"/>
      <c r="G454" s="34"/>
      <c r="H454" s="34"/>
    </row>
    <row r="455" ht="15.75" customHeight="1">
      <c r="B455" s="46"/>
      <c r="C455" s="34"/>
      <c r="D455" s="34"/>
      <c r="E455" s="34"/>
      <c r="F455" s="34"/>
      <c r="G455" s="34"/>
      <c r="H455" s="34"/>
    </row>
    <row r="456" ht="15.75" customHeight="1">
      <c r="B456" s="46"/>
      <c r="C456" s="34"/>
      <c r="D456" s="34"/>
      <c r="E456" s="34"/>
      <c r="F456" s="34"/>
      <c r="G456" s="34"/>
      <c r="H456" s="34"/>
    </row>
    <row r="457" ht="15.75" customHeight="1">
      <c r="B457" s="46"/>
      <c r="C457" s="34"/>
      <c r="D457" s="34"/>
      <c r="E457" s="34"/>
      <c r="F457" s="34"/>
      <c r="G457" s="34"/>
      <c r="H457" s="34"/>
    </row>
    <row r="458" ht="15.75" customHeight="1">
      <c r="B458" s="46"/>
      <c r="C458" s="34"/>
      <c r="D458" s="34"/>
      <c r="E458" s="34"/>
      <c r="F458" s="34"/>
      <c r="G458" s="34"/>
      <c r="H458" s="34"/>
    </row>
    <row r="459" ht="15.75" customHeight="1">
      <c r="B459" s="46"/>
      <c r="C459" s="34"/>
      <c r="D459" s="34"/>
      <c r="E459" s="34"/>
      <c r="F459" s="34"/>
      <c r="G459" s="34"/>
      <c r="H459" s="34"/>
    </row>
    <row r="460" ht="15.75" customHeight="1">
      <c r="B460" s="46"/>
      <c r="C460" s="34"/>
      <c r="D460" s="34"/>
      <c r="E460" s="34"/>
      <c r="F460" s="34"/>
      <c r="G460" s="34"/>
      <c r="H460" s="34"/>
    </row>
    <row r="461" ht="15.75" customHeight="1">
      <c r="B461" s="46"/>
      <c r="C461" s="34"/>
      <c r="D461" s="34"/>
      <c r="E461" s="34"/>
      <c r="F461" s="34"/>
      <c r="G461" s="34"/>
      <c r="H461" s="34"/>
    </row>
    <row r="462" ht="15.75" customHeight="1">
      <c r="B462" s="46"/>
      <c r="C462" s="34"/>
      <c r="D462" s="34"/>
      <c r="E462" s="34"/>
      <c r="F462" s="34"/>
      <c r="G462" s="34"/>
      <c r="H462" s="34"/>
    </row>
    <row r="463" ht="15.75" customHeight="1">
      <c r="B463" s="46"/>
      <c r="C463" s="34"/>
      <c r="D463" s="34"/>
      <c r="E463" s="34"/>
      <c r="F463" s="34"/>
      <c r="G463" s="34"/>
      <c r="H463" s="34"/>
    </row>
    <row r="464" ht="15.75" customHeight="1">
      <c r="B464" s="46"/>
      <c r="C464" s="34"/>
      <c r="D464" s="34"/>
      <c r="E464" s="34"/>
      <c r="F464" s="34"/>
      <c r="G464" s="34"/>
      <c r="H464" s="34"/>
    </row>
    <row r="465" ht="15.75" customHeight="1">
      <c r="B465" s="46"/>
      <c r="C465" s="34"/>
      <c r="D465" s="34"/>
      <c r="E465" s="34"/>
      <c r="F465" s="34"/>
      <c r="G465" s="34"/>
      <c r="H465" s="34"/>
    </row>
    <row r="466" ht="15.75" customHeight="1">
      <c r="B466" s="46"/>
      <c r="C466" s="34"/>
      <c r="D466" s="34"/>
      <c r="E466" s="34"/>
      <c r="F466" s="34"/>
      <c r="G466" s="34"/>
      <c r="H466" s="34"/>
    </row>
    <row r="467" ht="15.75" customHeight="1">
      <c r="B467" s="46"/>
      <c r="C467" s="34"/>
      <c r="D467" s="34"/>
      <c r="E467" s="34"/>
      <c r="F467" s="34"/>
      <c r="G467" s="34"/>
      <c r="H467" s="34"/>
    </row>
    <row r="468" ht="15.75" customHeight="1">
      <c r="B468" s="46"/>
      <c r="C468" s="34"/>
      <c r="D468" s="34"/>
      <c r="E468" s="34"/>
      <c r="F468" s="34"/>
      <c r="G468" s="34"/>
      <c r="H468" s="34"/>
    </row>
    <row r="469" ht="15.75" customHeight="1">
      <c r="B469" s="46"/>
      <c r="C469" s="34"/>
      <c r="D469" s="34"/>
      <c r="E469" s="34"/>
      <c r="F469" s="34"/>
      <c r="G469" s="34"/>
      <c r="H469" s="34"/>
    </row>
    <row r="470" ht="15.75" customHeight="1">
      <c r="B470" s="46"/>
      <c r="C470" s="34"/>
      <c r="D470" s="34"/>
      <c r="E470" s="34"/>
      <c r="F470" s="34"/>
      <c r="G470" s="34"/>
      <c r="H470" s="34"/>
    </row>
    <row r="471" ht="15.75" customHeight="1">
      <c r="B471" s="46"/>
      <c r="C471" s="34"/>
      <c r="D471" s="34"/>
      <c r="E471" s="34"/>
      <c r="F471" s="34"/>
      <c r="G471" s="34"/>
      <c r="H471" s="34"/>
    </row>
    <row r="472" ht="15.75" customHeight="1">
      <c r="B472" s="46"/>
      <c r="C472" s="34"/>
      <c r="D472" s="34"/>
      <c r="E472" s="34"/>
      <c r="F472" s="34"/>
      <c r="G472" s="34"/>
      <c r="H472" s="34"/>
    </row>
    <row r="473" ht="15.75" customHeight="1">
      <c r="B473" s="46"/>
      <c r="C473" s="34"/>
      <c r="D473" s="34"/>
      <c r="E473" s="34"/>
      <c r="F473" s="34"/>
      <c r="G473" s="34"/>
      <c r="H473" s="34"/>
    </row>
    <row r="474" ht="15.75" customHeight="1">
      <c r="B474" s="46"/>
      <c r="C474" s="34"/>
      <c r="D474" s="34"/>
      <c r="E474" s="34"/>
      <c r="F474" s="34"/>
      <c r="G474" s="34"/>
      <c r="H474" s="34"/>
    </row>
    <row r="475" ht="15.75" customHeight="1">
      <c r="B475" s="46"/>
      <c r="C475" s="34"/>
      <c r="D475" s="34"/>
      <c r="E475" s="34"/>
      <c r="F475" s="34"/>
      <c r="G475" s="34"/>
      <c r="H475" s="34"/>
    </row>
    <row r="476" ht="15.75" customHeight="1">
      <c r="B476" s="46"/>
      <c r="C476" s="34"/>
      <c r="D476" s="34"/>
      <c r="E476" s="34"/>
      <c r="F476" s="34"/>
      <c r="G476" s="34"/>
      <c r="H476" s="34"/>
    </row>
    <row r="477" ht="15.75" customHeight="1">
      <c r="B477" s="46"/>
      <c r="C477" s="34"/>
      <c r="D477" s="34"/>
      <c r="E477" s="34"/>
      <c r="F477" s="34"/>
      <c r="G477" s="34"/>
      <c r="H477" s="34"/>
    </row>
    <row r="478" ht="15.75" customHeight="1">
      <c r="B478" s="46"/>
      <c r="C478" s="34"/>
      <c r="D478" s="34"/>
      <c r="E478" s="34"/>
      <c r="F478" s="34"/>
      <c r="G478" s="34"/>
      <c r="H478" s="34"/>
    </row>
    <row r="479" ht="15.75" customHeight="1">
      <c r="B479" s="46"/>
      <c r="C479" s="34"/>
      <c r="D479" s="34"/>
      <c r="E479" s="34"/>
      <c r="F479" s="34"/>
      <c r="G479" s="34"/>
      <c r="H479" s="34"/>
    </row>
    <row r="480" ht="15.75" customHeight="1">
      <c r="B480" s="46"/>
      <c r="C480" s="34"/>
      <c r="D480" s="34"/>
      <c r="E480" s="34"/>
      <c r="F480" s="34"/>
      <c r="G480" s="34"/>
      <c r="H480" s="34"/>
    </row>
    <row r="481" ht="15.75" customHeight="1">
      <c r="B481" s="46"/>
      <c r="C481" s="34"/>
      <c r="D481" s="34"/>
      <c r="E481" s="34"/>
      <c r="F481" s="34"/>
      <c r="G481" s="34"/>
      <c r="H481" s="34"/>
    </row>
    <row r="482" ht="15.75" customHeight="1">
      <c r="B482" s="46"/>
      <c r="C482" s="34"/>
      <c r="D482" s="34"/>
      <c r="E482" s="34"/>
      <c r="F482" s="34"/>
      <c r="G482" s="34"/>
      <c r="H482" s="34"/>
    </row>
    <row r="483" ht="15.75" customHeight="1">
      <c r="B483" s="46"/>
      <c r="C483" s="34"/>
      <c r="D483" s="34"/>
      <c r="E483" s="34"/>
      <c r="F483" s="34"/>
      <c r="G483" s="34"/>
      <c r="H483" s="34"/>
    </row>
    <row r="484" ht="15.75" customHeight="1">
      <c r="B484" s="46"/>
      <c r="C484" s="34"/>
      <c r="D484" s="34"/>
      <c r="E484" s="34"/>
      <c r="F484" s="34"/>
      <c r="G484" s="34"/>
      <c r="H484" s="34"/>
    </row>
    <row r="485" ht="15.75" customHeight="1">
      <c r="B485" s="46"/>
      <c r="C485" s="34"/>
      <c r="D485" s="34"/>
      <c r="E485" s="34"/>
      <c r="F485" s="34"/>
      <c r="G485" s="34"/>
      <c r="H485" s="34"/>
    </row>
    <row r="486" ht="15.75" customHeight="1">
      <c r="B486" s="46"/>
      <c r="C486" s="34"/>
      <c r="D486" s="34"/>
      <c r="E486" s="34"/>
      <c r="F486" s="34"/>
      <c r="G486" s="34"/>
      <c r="H486" s="34"/>
    </row>
    <row r="487" ht="15.75" customHeight="1">
      <c r="B487" s="46"/>
      <c r="C487" s="34"/>
      <c r="D487" s="34"/>
      <c r="E487" s="34"/>
      <c r="F487" s="34"/>
      <c r="G487" s="34"/>
      <c r="H487" s="34"/>
    </row>
    <row r="488" ht="15.75" customHeight="1">
      <c r="B488" s="46"/>
      <c r="C488" s="34"/>
      <c r="D488" s="34"/>
      <c r="E488" s="34"/>
      <c r="F488" s="34"/>
      <c r="G488" s="34"/>
      <c r="H488" s="34"/>
    </row>
    <row r="489" ht="15.75" customHeight="1">
      <c r="B489" s="46"/>
      <c r="C489" s="34"/>
      <c r="D489" s="34"/>
      <c r="E489" s="34"/>
      <c r="F489" s="34"/>
      <c r="G489" s="34"/>
      <c r="H489" s="34"/>
    </row>
    <row r="490" ht="15.75" customHeight="1">
      <c r="B490" s="46"/>
      <c r="C490" s="34"/>
      <c r="D490" s="34"/>
      <c r="E490" s="34"/>
      <c r="F490" s="34"/>
      <c r="G490" s="34"/>
      <c r="H490" s="34"/>
    </row>
    <row r="491" ht="15.75" customHeight="1">
      <c r="B491" s="46"/>
      <c r="C491" s="34"/>
      <c r="D491" s="34"/>
      <c r="E491" s="34"/>
      <c r="F491" s="34"/>
      <c r="G491" s="34"/>
      <c r="H491" s="34"/>
    </row>
    <row r="492" ht="15.75" customHeight="1">
      <c r="B492" s="46"/>
      <c r="C492" s="34"/>
      <c r="D492" s="34"/>
      <c r="E492" s="34"/>
      <c r="F492" s="34"/>
      <c r="G492" s="34"/>
      <c r="H492" s="34"/>
    </row>
    <row r="493" ht="15.75" customHeight="1">
      <c r="B493" s="46"/>
      <c r="C493" s="34"/>
      <c r="D493" s="34"/>
      <c r="E493" s="34"/>
      <c r="F493" s="34"/>
      <c r="G493" s="34"/>
      <c r="H493" s="34"/>
    </row>
    <row r="494" ht="15.75" customHeight="1">
      <c r="B494" s="46"/>
      <c r="C494" s="34"/>
      <c r="D494" s="34"/>
      <c r="E494" s="34"/>
      <c r="F494" s="34"/>
      <c r="G494" s="34"/>
      <c r="H494" s="34"/>
    </row>
    <row r="495" ht="15.75" customHeight="1">
      <c r="B495" s="46"/>
      <c r="C495" s="34"/>
      <c r="D495" s="34"/>
      <c r="E495" s="34"/>
      <c r="F495" s="34"/>
      <c r="G495" s="34"/>
      <c r="H495" s="34"/>
    </row>
    <row r="496" ht="15.75" customHeight="1">
      <c r="B496" s="46"/>
      <c r="C496" s="34"/>
      <c r="D496" s="34"/>
      <c r="E496" s="34"/>
      <c r="F496" s="34"/>
      <c r="G496" s="34"/>
      <c r="H496" s="34"/>
    </row>
    <row r="497" ht="15.75" customHeight="1">
      <c r="B497" s="46"/>
      <c r="C497" s="34"/>
      <c r="D497" s="34"/>
      <c r="E497" s="34"/>
      <c r="F497" s="34"/>
      <c r="G497" s="34"/>
      <c r="H497" s="34"/>
    </row>
    <row r="498" ht="15.75" customHeight="1">
      <c r="B498" s="46"/>
      <c r="C498" s="34"/>
      <c r="D498" s="34"/>
      <c r="E498" s="34"/>
      <c r="F498" s="34"/>
      <c r="G498" s="34"/>
      <c r="H498" s="34"/>
    </row>
    <row r="499" ht="15.75" customHeight="1">
      <c r="B499" s="46"/>
      <c r="C499" s="34"/>
      <c r="D499" s="34"/>
      <c r="E499" s="34"/>
      <c r="F499" s="34"/>
      <c r="G499" s="34"/>
      <c r="H499" s="34"/>
    </row>
    <row r="500" ht="15.75" customHeight="1">
      <c r="B500" s="46"/>
      <c r="C500" s="34"/>
      <c r="D500" s="34"/>
      <c r="E500" s="34"/>
      <c r="F500" s="34"/>
      <c r="G500" s="34"/>
      <c r="H500" s="34"/>
    </row>
    <row r="501" ht="15.75" customHeight="1">
      <c r="B501" s="46"/>
      <c r="C501" s="34"/>
      <c r="D501" s="34"/>
      <c r="E501" s="34"/>
      <c r="F501" s="34"/>
      <c r="G501" s="34"/>
      <c r="H501" s="34"/>
    </row>
    <row r="502" ht="15.75" customHeight="1">
      <c r="B502" s="46"/>
      <c r="C502" s="34"/>
      <c r="D502" s="34"/>
      <c r="E502" s="34"/>
      <c r="F502" s="34"/>
      <c r="G502" s="34"/>
      <c r="H502" s="34"/>
    </row>
    <row r="503" ht="15.75" customHeight="1">
      <c r="B503" s="46"/>
      <c r="C503" s="34"/>
      <c r="D503" s="34"/>
      <c r="E503" s="34"/>
      <c r="F503" s="34"/>
      <c r="G503" s="34"/>
      <c r="H503" s="34"/>
    </row>
    <row r="504" ht="15.75" customHeight="1">
      <c r="B504" s="46"/>
      <c r="C504" s="34"/>
      <c r="D504" s="34"/>
      <c r="E504" s="34"/>
      <c r="F504" s="34"/>
      <c r="G504" s="34"/>
      <c r="H504" s="34"/>
    </row>
    <row r="505" ht="15.75" customHeight="1">
      <c r="B505" s="46"/>
      <c r="C505" s="34"/>
      <c r="D505" s="34"/>
      <c r="E505" s="34"/>
      <c r="F505" s="34"/>
      <c r="G505" s="34"/>
      <c r="H505" s="34"/>
    </row>
    <row r="506" ht="15.75" customHeight="1">
      <c r="B506" s="46"/>
      <c r="C506" s="34"/>
      <c r="D506" s="34"/>
      <c r="E506" s="34"/>
      <c r="F506" s="34"/>
      <c r="G506" s="34"/>
      <c r="H506" s="34"/>
    </row>
    <row r="507" ht="15.75" customHeight="1">
      <c r="B507" s="46"/>
      <c r="C507" s="34"/>
      <c r="D507" s="34"/>
      <c r="E507" s="34"/>
      <c r="F507" s="34"/>
      <c r="G507" s="34"/>
      <c r="H507" s="34"/>
    </row>
    <row r="508" ht="15.75" customHeight="1">
      <c r="B508" s="46"/>
      <c r="C508" s="34"/>
      <c r="D508" s="34"/>
      <c r="E508" s="34"/>
      <c r="F508" s="34"/>
      <c r="G508" s="34"/>
      <c r="H508" s="34"/>
    </row>
    <row r="509" ht="15.75" customHeight="1">
      <c r="B509" s="46"/>
      <c r="C509" s="34"/>
      <c r="D509" s="34"/>
      <c r="E509" s="34"/>
      <c r="F509" s="34"/>
      <c r="G509" s="34"/>
      <c r="H509" s="34"/>
    </row>
    <row r="510" ht="15.75" customHeight="1">
      <c r="B510" s="46"/>
      <c r="C510" s="34"/>
      <c r="D510" s="34"/>
      <c r="E510" s="34"/>
      <c r="F510" s="34"/>
      <c r="G510" s="34"/>
      <c r="H510" s="34"/>
    </row>
    <row r="511" ht="15.75" customHeight="1">
      <c r="B511" s="46"/>
      <c r="C511" s="34"/>
      <c r="D511" s="34"/>
      <c r="E511" s="34"/>
      <c r="F511" s="34"/>
      <c r="G511" s="34"/>
      <c r="H511" s="34"/>
    </row>
    <row r="512" ht="15.75" customHeight="1">
      <c r="B512" s="46"/>
      <c r="C512" s="34"/>
      <c r="D512" s="34"/>
      <c r="E512" s="34"/>
      <c r="F512" s="34"/>
      <c r="G512" s="34"/>
      <c r="H512" s="34"/>
    </row>
    <row r="513" ht="15.75" customHeight="1">
      <c r="B513" s="46"/>
      <c r="C513" s="34"/>
      <c r="D513" s="34"/>
      <c r="E513" s="34"/>
      <c r="F513" s="34"/>
      <c r="G513" s="34"/>
      <c r="H513" s="34"/>
    </row>
    <row r="514" ht="15.75" customHeight="1">
      <c r="B514" s="46"/>
      <c r="C514" s="34"/>
      <c r="D514" s="34"/>
      <c r="E514" s="34"/>
      <c r="F514" s="34"/>
      <c r="G514" s="34"/>
      <c r="H514" s="34"/>
    </row>
    <row r="515" ht="15.75" customHeight="1">
      <c r="B515" s="46"/>
      <c r="C515" s="34"/>
      <c r="D515" s="34"/>
      <c r="E515" s="34"/>
      <c r="F515" s="34"/>
      <c r="G515" s="34"/>
      <c r="H515" s="34"/>
    </row>
    <row r="516" ht="15.75" customHeight="1">
      <c r="B516" s="46"/>
      <c r="C516" s="34"/>
      <c r="D516" s="34"/>
      <c r="E516" s="34"/>
      <c r="F516" s="34"/>
      <c r="G516" s="34"/>
      <c r="H516" s="34"/>
    </row>
    <row r="517" ht="15.75" customHeight="1">
      <c r="B517" s="46"/>
      <c r="C517" s="34"/>
      <c r="D517" s="34"/>
      <c r="E517" s="34"/>
      <c r="F517" s="34"/>
      <c r="G517" s="34"/>
      <c r="H517" s="34"/>
    </row>
    <row r="518" ht="15.75" customHeight="1">
      <c r="B518" s="46"/>
      <c r="C518" s="34"/>
      <c r="D518" s="34"/>
      <c r="E518" s="34"/>
      <c r="F518" s="34"/>
      <c r="G518" s="34"/>
      <c r="H518" s="34"/>
    </row>
    <row r="519" ht="15.75" customHeight="1">
      <c r="B519" s="46"/>
      <c r="C519" s="34"/>
      <c r="D519" s="34"/>
      <c r="E519" s="34"/>
      <c r="F519" s="34"/>
      <c r="G519" s="34"/>
      <c r="H519" s="34"/>
    </row>
    <row r="520" ht="15.75" customHeight="1">
      <c r="B520" s="46"/>
      <c r="C520" s="34"/>
      <c r="D520" s="34"/>
      <c r="E520" s="34"/>
      <c r="F520" s="34"/>
      <c r="G520" s="34"/>
      <c r="H520" s="34"/>
    </row>
    <row r="521" ht="15.75" customHeight="1">
      <c r="B521" s="46"/>
      <c r="C521" s="34"/>
      <c r="D521" s="34"/>
      <c r="E521" s="34"/>
      <c r="F521" s="34"/>
      <c r="G521" s="34"/>
      <c r="H521" s="34"/>
    </row>
    <row r="522" ht="15.75" customHeight="1">
      <c r="B522" s="46"/>
      <c r="C522" s="34"/>
      <c r="D522" s="34"/>
      <c r="E522" s="34"/>
      <c r="F522" s="34"/>
      <c r="G522" s="34"/>
      <c r="H522" s="34"/>
    </row>
    <row r="523" ht="15.75" customHeight="1">
      <c r="B523" s="46"/>
      <c r="C523" s="34"/>
      <c r="D523" s="34"/>
      <c r="E523" s="34"/>
      <c r="F523" s="34"/>
      <c r="G523" s="34"/>
      <c r="H523" s="34"/>
    </row>
    <row r="524" ht="15.75" customHeight="1">
      <c r="B524" s="46"/>
      <c r="C524" s="34"/>
      <c r="D524" s="34"/>
      <c r="E524" s="34"/>
      <c r="F524" s="34"/>
      <c r="G524" s="34"/>
      <c r="H524" s="34"/>
    </row>
    <row r="525" ht="15.75" customHeight="1">
      <c r="B525" s="46"/>
      <c r="C525" s="34"/>
      <c r="D525" s="34"/>
      <c r="E525" s="34"/>
      <c r="F525" s="34"/>
      <c r="G525" s="34"/>
      <c r="H525" s="34"/>
    </row>
    <row r="526" ht="15.75" customHeight="1">
      <c r="B526" s="46"/>
      <c r="C526" s="34"/>
      <c r="D526" s="34"/>
      <c r="E526" s="34"/>
      <c r="F526" s="34"/>
      <c r="G526" s="34"/>
      <c r="H526" s="34"/>
    </row>
    <row r="527" ht="15.75" customHeight="1">
      <c r="B527" s="46"/>
      <c r="C527" s="34"/>
      <c r="D527" s="34"/>
      <c r="E527" s="34"/>
      <c r="F527" s="34"/>
      <c r="G527" s="34"/>
      <c r="H527" s="34"/>
    </row>
    <row r="528" ht="15.75" customHeight="1">
      <c r="B528" s="46"/>
      <c r="C528" s="34"/>
      <c r="D528" s="34"/>
      <c r="E528" s="34"/>
      <c r="F528" s="34"/>
      <c r="G528" s="34"/>
      <c r="H528" s="34"/>
    </row>
    <row r="529" ht="15.75" customHeight="1">
      <c r="B529" s="46"/>
      <c r="C529" s="34"/>
      <c r="D529" s="34"/>
      <c r="E529" s="34"/>
      <c r="F529" s="34"/>
      <c r="G529" s="34"/>
      <c r="H529" s="34"/>
    </row>
    <row r="530" ht="15.75" customHeight="1">
      <c r="B530" s="46"/>
      <c r="C530" s="34"/>
      <c r="D530" s="34"/>
      <c r="E530" s="34"/>
      <c r="F530" s="34"/>
      <c r="G530" s="34"/>
      <c r="H530" s="34"/>
    </row>
    <row r="531" ht="15.75" customHeight="1">
      <c r="B531" s="46"/>
      <c r="C531" s="34"/>
      <c r="D531" s="34"/>
      <c r="E531" s="34"/>
      <c r="F531" s="34"/>
      <c r="G531" s="34"/>
      <c r="H531" s="34"/>
    </row>
    <row r="532" ht="15.75" customHeight="1">
      <c r="B532" s="46"/>
      <c r="C532" s="34"/>
      <c r="D532" s="34"/>
      <c r="E532" s="34"/>
      <c r="F532" s="34"/>
      <c r="G532" s="34"/>
      <c r="H532" s="34"/>
    </row>
    <row r="533" ht="15.75" customHeight="1">
      <c r="B533" s="46"/>
      <c r="C533" s="34"/>
      <c r="D533" s="34"/>
      <c r="E533" s="34"/>
      <c r="F533" s="34"/>
      <c r="G533" s="34"/>
      <c r="H533" s="34"/>
    </row>
    <row r="534" ht="15.75" customHeight="1">
      <c r="B534" s="46"/>
      <c r="C534" s="34"/>
      <c r="D534" s="34"/>
      <c r="E534" s="34"/>
      <c r="F534" s="34"/>
      <c r="G534" s="34"/>
      <c r="H534" s="34"/>
    </row>
    <row r="535" ht="15.75" customHeight="1">
      <c r="B535" s="46"/>
      <c r="C535" s="34"/>
      <c r="D535" s="34"/>
      <c r="E535" s="34"/>
      <c r="F535" s="34"/>
      <c r="G535" s="34"/>
      <c r="H535" s="34"/>
    </row>
    <row r="536" ht="15.75" customHeight="1">
      <c r="B536" s="46"/>
      <c r="C536" s="34"/>
      <c r="D536" s="34"/>
      <c r="E536" s="34"/>
      <c r="F536" s="34"/>
      <c r="G536" s="34"/>
      <c r="H536" s="34"/>
    </row>
    <row r="537" ht="15.75" customHeight="1">
      <c r="B537" s="46"/>
      <c r="C537" s="34"/>
      <c r="D537" s="34"/>
      <c r="E537" s="34"/>
      <c r="F537" s="34"/>
      <c r="G537" s="34"/>
      <c r="H537" s="34"/>
    </row>
    <row r="538" ht="15.75" customHeight="1">
      <c r="B538" s="46"/>
      <c r="C538" s="34"/>
      <c r="D538" s="34"/>
      <c r="E538" s="34"/>
      <c r="F538" s="34"/>
      <c r="G538" s="34"/>
      <c r="H538" s="34"/>
    </row>
    <row r="539" ht="15.75" customHeight="1">
      <c r="B539" s="46"/>
      <c r="C539" s="34"/>
      <c r="D539" s="34"/>
      <c r="E539" s="34"/>
      <c r="F539" s="34"/>
      <c r="G539" s="34"/>
      <c r="H539" s="34"/>
    </row>
    <row r="540" ht="15.75" customHeight="1">
      <c r="B540" s="46"/>
      <c r="C540" s="34"/>
      <c r="D540" s="34"/>
      <c r="E540" s="34"/>
      <c r="F540" s="34"/>
      <c r="G540" s="34"/>
      <c r="H540" s="34"/>
    </row>
    <row r="541" ht="15.75" customHeight="1">
      <c r="B541" s="46"/>
      <c r="C541" s="34"/>
      <c r="D541" s="34"/>
      <c r="E541" s="34"/>
      <c r="F541" s="34"/>
      <c r="G541" s="34"/>
      <c r="H541" s="34"/>
    </row>
    <row r="542" ht="15.75" customHeight="1">
      <c r="B542" s="46"/>
      <c r="C542" s="34"/>
      <c r="D542" s="34"/>
      <c r="E542" s="34"/>
      <c r="F542" s="34"/>
      <c r="G542" s="34"/>
      <c r="H542" s="34"/>
    </row>
    <row r="543" ht="15.75" customHeight="1">
      <c r="B543" s="46"/>
      <c r="C543" s="34"/>
      <c r="D543" s="34"/>
      <c r="E543" s="34"/>
      <c r="F543" s="34"/>
      <c r="G543" s="34"/>
      <c r="H543" s="34"/>
    </row>
    <row r="544" ht="15.75" customHeight="1">
      <c r="B544" s="46"/>
      <c r="C544" s="34"/>
      <c r="D544" s="34"/>
      <c r="E544" s="34"/>
      <c r="F544" s="34"/>
      <c r="G544" s="34"/>
      <c r="H544" s="34"/>
    </row>
    <row r="545" ht="15.75" customHeight="1">
      <c r="B545" s="46"/>
      <c r="C545" s="34"/>
      <c r="D545" s="34"/>
      <c r="E545" s="34"/>
      <c r="F545" s="34"/>
      <c r="G545" s="34"/>
      <c r="H545" s="34"/>
    </row>
    <row r="546" ht="15.75" customHeight="1">
      <c r="B546" s="46"/>
      <c r="C546" s="34"/>
      <c r="D546" s="34"/>
      <c r="E546" s="34"/>
      <c r="F546" s="34"/>
      <c r="G546" s="34"/>
      <c r="H546" s="34"/>
    </row>
    <row r="547" ht="15.75" customHeight="1">
      <c r="B547" s="46"/>
      <c r="C547" s="34"/>
      <c r="D547" s="34"/>
      <c r="E547" s="34"/>
      <c r="F547" s="34"/>
      <c r="G547" s="34"/>
      <c r="H547" s="34"/>
    </row>
    <row r="548" ht="15.75" customHeight="1">
      <c r="B548" s="46"/>
      <c r="C548" s="34"/>
      <c r="D548" s="34"/>
      <c r="E548" s="34"/>
      <c r="F548" s="34"/>
      <c r="G548" s="34"/>
      <c r="H548" s="34"/>
    </row>
    <row r="549" ht="15.75" customHeight="1">
      <c r="B549" s="46"/>
      <c r="C549" s="34"/>
      <c r="D549" s="34"/>
      <c r="E549" s="34"/>
      <c r="F549" s="34"/>
      <c r="G549" s="34"/>
      <c r="H549" s="34"/>
    </row>
    <row r="550" ht="15.75" customHeight="1">
      <c r="B550" s="46"/>
      <c r="C550" s="34"/>
      <c r="D550" s="34"/>
      <c r="E550" s="34"/>
      <c r="F550" s="34"/>
      <c r="G550" s="34"/>
      <c r="H550" s="34"/>
    </row>
    <row r="551" ht="15.75" customHeight="1">
      <c r="B551" s="46"/>
      <c r="C551" s="34"/>
      <c r="D551" s="34"/>
      <c r="E551" s="34"/>
      <c r="F551" s="34"/>
      <c r="G551" s="34"/>
      <c r="H551" s="34"/>
    </row>
    <row r="552" ht="15.75" customHeight="1">
      <c r="B552" s="46"/>
      <c r="C552" s="34"/>
      <c r="D552" s="34"/>
      <c r="E552" s="34"/>
      <c r="F552" s="34"/>
      <c r="G552" s="34"/>
      <c r="H552" s="34"/>
    </row>
    <row r="553" ht="15.75" customHeight="1">
      <c r="B553" s="46"/>
      <c r="C553" s="34"/>
      <c r="D553" s="34"/>
      <c r="E553" s="34"/>
      <c r="F553" s="34"/>
      <c r="G553" s="34"/>
      <c r="H553" s="34"/>
    </row>
    <row r="554" ht="15.75" customHeight="1">
      <c r="B554" s="46"/>
      <c r="C554" s="34"/>
      <c r="D554" s="34"/>
      <c r="E554" s="34"/>
      <c r="F554" s="34"/>
      <c r="G554" s="34"/>
      <c r="H554" s="34"/>
    </row>
    <row r="555" ht="15.75" customHeight="1">
      <c r="B555" s="46"/>
      <c r="C555" s="34"/>
      <c r="D555" s="34"/>
      <c r="E555" s="34"/>
      <c r="F555" s="34"/>
      <c r="G555" s="34"/>
      <c r="H555" s="34"/>
    </row>
    <row r="556" ht="15.75" customHeight="1">
      <c r="B556" s="46"/>
      <c r="C556" s="34"/>
      <c r="D556" s="34"/>
      <c r="E556" s="34"/>
      <c r="F556" s="34"/>
      <c r="G556" s="34"/>
      <c r="H556" s="34"/>
    </row>
    <row r="557" ht="15.75" customHeight="1">
      <c r="B557" s="46"/>
      <c r="C557" s="34"/>
      <c r="D557" s="34"/>
      <c r="E557" s="34"/>
      <c r="F557" s="34"/>
      <c r="G557" s="34"/>
      <c r="H557" s="34"/>
    </row>
    <row r="558" ht="15.75" customHeight="1">
      <c r="B558" s="46"/>
      <c r="C558" s="34"/>
      <c r="D558" s="34"/>
      <c r="E558" s="34"/>
      <c r="F558" s="34"/>
      <c r="G558" s="34"/>
      <c r="H558" s="34"/>
    </row>
    <row r="559" ht="15.75" customHeight="1">
      <c r="B559" s="46"/>
      <c r="C559" s="34"/>
      <c r="D559" s="34"/>
      <c r="E559" s="34"/>
      <c r="F559" s="34"/>
      <c r="G559" s="34"/>
      <c r="H559" s="34"/>
    </row>
    <row r="560" ht="15.75" customHeight="1">
      <c r="B560" s="46"/>
      <c r="C560" s="34"/>
      <c r="D560" s="34"/>
      <c r="E560" s="34"/>
      <c r="F560" s="34"/>
      <c r="G560" s="34"/>
      <c r="H560" s="34"/>
    </row>
    <row r="561" ht="15.75" customHeight="1">
      <c r="B561" s="46"/>
      <c r="C561" s="34"/>
      <c r="D561" s="34"/>
      <c r="E561" s="34"/>
      <c r="F561" s="34"/>
      <c r="G561" s="34"/>
      <c r="H561" s="34"/>
    </row>
    <row r="562" ht="15.75" customHeight="1">
      <c r="B562" s="46"/>
      <c r="C562" s="34"/>
      <c r="D562" s="34"/>
      <c r="E562" s="34"/>
      <c r="F562" s="34"/>
      <c r="G562" s="34"/>
      <c r="H562" s="34"/>
    </row>
    <row r="563" ht="15.75" customHeight="1">
      <c r="B563" s="46"/>
      <c r="C563" s="34"/>
      <c r="D563" s="34"/>
      <c r="E563" s="34"/>
      <c r="F563" s="34"/>
      <c r="G563" s="34"/>
      <c r="H563" s="34"/>
    </row>
    <row r="564" ht="15.75" customHeight="1">
      <c r="B564" s="46"/>
      <c r="C564" s="34"/>
      <c r="D564" s="34"/>
      <c r="E564" s="34"/>
      <c r="F564" s="34"/>
      <c r="G564" s="34"/>
      <c r="H564" s="34"/>
    </row>
    <row r="565" ht="15.75" customHeight="1">
      <c r="B565" s="46"/>
      <c r="C565" s="34"/>
      <c r="D565" s="34"/>
      <c r="E565" s="34"/>
      <c r="F565" s="34"/>
      <c r="G565" s="34"/>
      <c r="H565" s="34"/>
    </row>
    <row r="566" ht="15.75" customHeight="1">
      <c r="B566" s="46"/>
      <c r="C566" s="34"/>
      <c r="D566" s="34"/>
      <c r="E566" s="34"/>
      <c r="F566" s="34"/>
      <c r="G566" s="34"/>
      <c r="H566" s="34"/>
    </row>
    <row r="567" ht="15.75" customHeight="1">
      <c r="B567" s="46"/>
      <c r="C567" s="34"/>
      <c r="D567" s="34"/>
      <c r="E567" s="34"/>
      <c r="F567" s="34"/>
      <c r="G567" s="34"/>
      <c r="H567" s="34"/>
    </row>
    <row r="568" ht="15.75" customHeight="1">
      <c r="B568" s="46"/>
      <c r="C568" s="34"/>
      <c r="D568" s="34"/>
      <c r="E568" s="34"/>
      <c r="F568" s="34"/>
      <c r="G568" s="34"/>
      <c r="H568" s="34"/>
    </row>
    <row r="569" ht="15.75" customHeight="1">
      <c r="B569" s="46"/>
      <c r="C569" s="34"/>
      <c r="D569" s="34"/>
      <c r="E569" s="34"/>
      <c r="F569" s="34"/>
      <c r="G569" s="34"/>
      <c r="H569" s="34"/>
    </row>
    <row r="570" ht="15.75" customHeight="1">
      <c r="B570" s="46"/>
      <c r="C570" s="34"/>
      <c r="D570" s="34"/>
      <c r="E570" s="34"/>
      <c r="F570" s="34"/>
      <c r="G570" s="34"/>
      <c r="H570" s="34"/>
    </row>
    <row r="571" ht="15.75" customHeight="1">
      <c r="B571" s="46"/>
      <c r="C571" s="34"/>
      <c r="D571" s="34"/>
      <c r="E571" s="34"/>
      <c r="F571" s="34"/>
      <c r="G571" s="34"/>
      <c r="H571" s="34"/>
    </row>
    <row r="572" ht="15.75" customHeight="1">
      <c r="B572" s="46"/>
      <c r="C572" s="34"/>
      <c r="D572" s="34"/>
      <c r="E572" s="34"/>
      <c r="F572" s="34"/>
      <c r="G572" s="34"/>
      <c r="H572" s="34"/>
    </row>
    <row r="573" ht="15.75" customHeight="1">
      <c r="B573" s="46"/>
      <c r="C573" s="34"/>
      <c r="D573" s="34"/>
      <c r="E573" s="34"/>
      <c r="F573" s="34"/>
      <c r="G573" s="34"/>
      <c r="H573" s="34"/>
    </row>
    <row r="574" ht="15.75" customHeight="1">
      <c r="B574" s="46"/>
      <c r="C574" s="34"/>
      <c r="D574" s="34"/>
      <c r="E574" s="34"/>
      <c r="F574" s="34"/>
      <c r="G574" s="34"/>
      <c r="H574" s="34"/>
    </row>
    <row r="575" ht="15.75" customHeight="1">
      <c r="B575" s="46"/>
      <c r="C575" s="34"/>
      <c r="D575" s="34"/>
      <c r="E575" s="34"/>
      <c r="F575" s="34"/>
      <c r="G575" s="34"/>
      <c r="H575" s="34"/>
    </row>
    <row r="576" ht="15.75" customHeight="1">
      <c r="B576" s="46"/>
      <c r="C576" s="34"/>
      <c r="D576" s="34"/>
      <c r="E576" s="34"/>
      <c r="F576" s="34"/>
      <c r="G576" s="34"/>
      <c r="H576" s="34"/>
    </row>
    <row r="577" ht="15.75" customHeight="1">
      <c r="B577" s="46"/>
      <c r="C577" s="34"/>
      <c r="D577" s="34"/>
      <c r="E577" s="34"/>
      <c r="F577" s="34"/>
      <c r="G577" s="34"/>
      <c r="H577" s="34"/>
    </row>
    <row r="578" ht="15.75" customHeight="1">
      <c r="B578" s="46"/>
      <c r="C578" s="34"/>
      <c r="D578" s="34"/>
      <c r="E578" s="34"/>
      <c r="F578" s="34"/>
      <c r="G578" s="34"/>
      <c r="H578" s="34"/>
    </row>
    <row r="579" ht="15.75" customHeight="1">
      <c r="B579" s="46"/>
      <c r="C579" s="34"/>
      <c r="D579" s="34"/>
      <c r="E579" s="34"/>
      <c r="F579" s="34"/>
      <c r="G579" s="34"/>
      <c r="H579" s="34"/>
    </row>
    <row r="580" ht="15.75" customHeight="1">
      <c r="B580" s="46"/>
      <c r="C580" s="34"/>
      <c r="D580" s="34"/>
      <c r="E580" s="34"/>
      <c r="F580" s="34"/>
      <c r="G580" s="34"/>
      <c r="H580" s="34"/>
    </row>
    <row r="581" ht="15.75" customHeight="1">
      <c r="B581" s="46"/>
      <c r="C581" s="34"/>
      <c r="D581" s="34"/>
      <c r="E581" s="34"/>
      <c r="F581" s="34"/>
      <c r="G581" s="34"/>
      <c r="H581" s="34"/>
    </row>
    <row r="582" ht="15.75" customHeight="1">
      <c r="B582" s="46"/>
      <c r="C582" s="34"/>
      <c r="D582" s="34"/>
      <c r="E582" s="34"/>
      <c r="F582" s="34"/>
      <c r="G582" s="34"/>
      <c r="H582" s="34"/>
    </row>
    <row r="583" ht="15.75" customHeight="1">
      <c r="B583" s="46"/>
      <c r="C583" s="34"/>
      <c r="D583" s="34"/>
      <c r="E583" s="34"/>
      <c r="F583" s="34"/>
      <c r="G583" s="34"/>
      <c r="H583" s="34"/>
    </row>
    <row r="584" ht="15.75" customHeight="1">
      <c r="B584" s="46"/>
      <c r="C584" s="34"/>
      <c r="D584" s="34"/>
      <c r="E584" s="34"/>
      <c r="F584" s="34"/>
      <c r="G584" s="34"/>
      <c r="H584" s="34"/>
    </row>
    <row r="585" ht="15.75" customHeight="1">
      <c r="B585" s="46"/>
      <c r="C585" s="34"/>
      <c r="D585" s="34"/>
      <c r="E585" s="34"/>
      <c r="F585" s="34"/>
      <c r="G585" s="34"/>
      <c r="H585" s="34"/>
    </row>
    <row r="586" ht="15.75" customHeight="1">
      <c r="B586" s="46"/>
      <c r="C586" s="34"/>
      <c r="D586" s="34"/>
      <c r="E586" s="34"/>
      <c r="F586" s="34"/>
      <c r="G586" s="34"/>
      <c r="H586" s="34"/>
    </row>
    <row r="587" ht="15.75" customHeight="1">
      <c r="B587" s="46"/>
      <c r="C587" s="34"/>
      <c r="D587" s="34"/>
      <c r="E587" s="34"/>
      <c r="F587" s="34"/>
      <c r="G587" s="34"/>
      <c r="H587" s="34"/>
    </row>
    <row r="588" ht="15.75" customHeight="1">
      <c r="B588" s="46"/>
      <c r="C588" s="34"/>
      <c r="D588" s="34"/>
      <c r="E588" s="34"/>
      <c r="F588" s="34"/>
      <c r="G588" s="34"/>
      <c r="H588" s="34"/>
    </row>
    <row r="589" ht="15.75" customHeight="1">
      <c r="B589" s="46"/>
      <c r="C589" s="34"/>
      <c r="D589" s="34"/>
      <c r="E589" s="34"/>
      <c r="F589" s="34"/>
      <c r="G589" s="34"/>
      <c r="H589" s="34"/>
    </row>
    <row r="590" ht="15.75" customHeight="1">
      <c r="B590" s="46"/>
      <c r="C590" s="34"/>
      <c r="D590" s="34"/>
      <c r="E590" s="34"/>
      <c r="F590" s="34"/>
      <c r="G590" s="34"/>
      <c r="H590" s="34"/>
    </row>
    <row r="591" ht="15.75" customHeight="1">
      <c r="B591" s="46"/>
      <c r="C591" s="34"/>
      <c r="D591" s="34"/>
      <c r="E591" s="34"/>
      <c r="F591" s="34"/>
      <c r="G591" s="34"/>
      <c r="H591" s="34"/>
    </row>
    <row r="592" ht="15.75" customHeight="1">
      <c r="B592" s="46"/>
      <c r="C592" s="34"/>
      <c r="D592" s="34"/>
      <c r="E592" s="34"/>
      <c r="F592" s="34"/>
      <c r="G592" s="34"/>
      <c r="H592" s="34"/>
    </row>
    <row r="593" ht="15.75" customHeight="1">
      <c r="B593" s="46"/>
      <c r="C593" s="34"/>
      <c r="D593" s="34"/>
      <c r="E593" s="34"/>
      <c r="F593" s="34"/>
      <c r="G593" s="34"/>
      <c r="H593" s="34"/>
    </row>
    <row r="594" ht="15.75" customHeight="1">
      <c r="B594" s="46"/>
      <c r="C594" s="34"/>
      <c r="D594" s="34"/>
      <c r="E594" s="34"/>
      <c r="F594" s="34"/>
      <c r="G594" s="34"/>
      <c r="H594" s="34"/>
    </row>
    <row r="595" ht="15.75" customHeight="1">
      <c r="B595" s="46"/>
      <c r="C595" s="34"/>
      <c r="D595" s="34"/>
      <c r="E595" s="34"/>
      <c r="F595" s="34"/>
      <c r="G595" s="34"/>
      <c r="H595" s="34"/>
    </row>
    <row r="596" ht="15.75" customHeight="1">
      <c r="B596" s="46"/>
      <c r="C596" s="34"/>
      <c r="D596" s="34"/>
      <c r="E596" s="34"/>
      <c r="F596" s="34"/>
      <c r="G596" s="34"/>
      <c r="H596" s="34"/>
    </row>
    <row r="597" ht="15.75" customHeight="1">
      <c r="B597" s="46"/>
      <c r="C597" s="34"/>
      <c r="D597" s="34"/>
      <c r="E597" s="34"/>
      <c r="F597" s="34"/>
      <c r="G597" s="34"/>
      <c r="H597" s="34"/>
    </row>
    <row r="598" ht="15.75" customHeight="1">
      <c r="B598" s="46"/>
      <c r="C598" s="34"/>
      <c r="D598" s="34"/>
      <c r="E598" s="34"/>
      <c r="F598" s="34"/>
      <c r="G598" s="34"/>
      <c r="H598" s="34"/>
    </row>
    <row r="599" ht="15.75" customHeight="1">
      <c r="B599" s="46"/>
      <c r="C599" s="34"/>
      <c r="D599" s="34"/>
      <c r="E599" s="34"/>
      <c r="F599" s="34"/>
      <c r="G599" s="34"/>
      <c r="H599" s="34"/>
    </row>
    <row r="600" ht="15.75" customHeight="1">
      <c r="B600" s="46"/>
      <c r="C600" s="34"/>
      <c r="D600" s="34"/>
      <c r="E600" s="34"/>
      <c r="F600" s="34"/>
      <c r="G600" s="34"/>
      <c r="H600" s="34"/>
    </row>
    <row r="601" ht="15.75" customHeight="1">
      <c r="B601" s="46"/>
      <c r="C601" s="34"/>
      <c r="D601" s="34"/>
      <c r="E601" s="34"/>
      <c r="F601" s="34"/>
      <c r="G601" s="34"/>
      <c r="H601" s="34"/>
    </row>
    <row r="602" ht="15.75" customHeight="1">
      <c r="B602" s="46"/>
      <c r="C602" s="34"/>
      <c r="D602" s="34"/>
      <c r="E602" s="34"/>
      <c r="F602" s="34"/>
      <c r="G602" s="34"/>
      <c r="H602" s="34"/>
    </row>
    <row r="603" ht="15.75" customHeight="1">
      <c r="B603" s="46"/>
      <c r="C603" s="34"/>
      <c r="D603" s="34"/>
      <c r="E603" s="34"/>
      <c r="F603" s="34"/>
      <c r="G603" s="34"/>
      <c r="H603" s="34"/>
    </row>
    <row r="604" ht="15.75" customHeight="1">
      <c r="B604" s="46"/>
      <c r="C604" s="34"/>
      <c r="D604" s="34"/>
      <c r="E604" s="34"/>
      <c r="F604" s="34"/>
      <c r="G604" s="34"/>
      <c r="H604" s="34"/>
    </row>
    <row r="605" ht="15.75" customHeight="1">
      <c r="B605" s="46"/>
      <c r="C605" s="34"/>
      <c r="D605" s="34"/>
      <c r="E605" s="34"/>
      <c r="F605" s="34"/>
      <c r="G605" s="34"/>
      <c r="H605" s="34"/>
    </row>
    <row r="606" ht="15.75" customHeight="1">
      <c r="B606" s="46"/>
      <c r="C606" s="34"/>
      <c r="D606" s="34"/>
      <c r="E606" s="34"/>
      <c r="F606" s="34"/>
      <c r="G606" s="34"/>
      <c r="H606" s="34"/>
    </row>
    <row r="607" ht="15.75" customHeight="1">
      <c r="B607" s="46"/>
      <c r="C607" s="34"/>
      <c r="D607" s="34"/>
      <c r="E607" s="34"/>
      <c r="F607" s="34"/>
      <c r="G607" s="34"/>
      <c r="H607" s="34"/>
    </row>
    <row r="608" ht="15.75" customHeight="1">
      <c r="B608" s="46"/>
      <c r="C608" s="34"/>
      <c r="D608" s="34"/>
      <c r="E608" s="34"/>
      <c r="F608" s="34"/>
      <c r="G608" s="34"/>
      <c r="H608" s="34"/>
    </row>
    <row r="609" ht="15.75" customHeight="1">
      <c r="B609" s="46"/>
      <c r="C609" s="34"/>
      <c r="D609" s="34"/>
      <c r="E609" s="34"/>
      <c r="F609" s="34"/>
      <c r="G609" s="34"/>
      <c r="H609" s="34"/>
    </row>
    <row r="610" ht="15.75" customHeight="1">
      <c r="B610" s="46"/>
      <c r="C610" s="34"/>
      <c r="D610" s="34"/>
      <c r="E610" s="34"/>
      <c r="F610" s="34"/>
      <c r="G610" s="34"/>
      <c r="H610" s="34"/>
    </row>
    <row r="611" ht="15.75" customHeight="1">
      <c r="B611" s="46"/>
      <c r="C611" s="34"/>
      <c r="D611" s="34"/>
      <c r="E611" s="34"/>
      <c r="F611" s="34"/>
      <c r="G611" s="34"/>
      <c r="H611" s="34"/>
    </row>
    <row r="612" ht="15.75" customHeight="1">
      <c r="B612" s="46"/>
      <c r="C612" s="34"/>
      <c r="D612" s="34"/>
      <c r="E612" s="34"/>
      <c r="F612" s="34"/>
      <c r="G612" s="34"/>
      <c r="H612" s="34"/>
    </row>
    <row r="613" ht="15.75" customHeight="1">
      <c r="B613" s="46"/>
      <c r="C613" s="34"/>
      <c r="D613" s="34"/>
      <c r="E613" s="34"/>
      <c r="F613" s="34"/>
      <c r="G613" s="34"/>
      <c r="H613" s="34"/>
    </row>
    <row r="614" ht="15.75" customHeight="1">
      <c r="B614" s="46"/>
      <c r="C614" s="34"/>
      <c r="D614" s="34"/>
      <c r="E614" s="34"/>
      <c r="F614" s="34"/>
      <c r="G614" s="34"/>
      <c r="H614" s="34"/>
    </row>
    <row r="615" ht="15.75" customHeight="1">
      <c r="B615" s="46"/>
      <c r="C615" s="34"/>
      <c r="D615" s="34"/>
      <c r="E615" s="34"/>
      <c r="F615" s="34"/>
      <c r="G615" s="34"/>
      <c r="H615" s="34"/>
    </row>
    <row r="616" ht="15.75" customHeight="1">
      <c r="B616" s="46"/>
      <c r="C616" s="34"/>
      <c r="D616" s="34"/>
      <c r="E616" s="34"/>
      <c r="F616" s="34"/>
      <c r="G616" s="34"/>
      <c r="H616" s="34"/>
    </row>
    <row r="617" ht="15.75" customHeight="1">
      <c r="B617" s="46"/>
      <c r="C617" s="34"/>
      <c r="D617" s="34"/>
      <c r="E617" s="34"/>
      <c r="F617" s="34"/>
      <c r="G617" s="34"/>
      <c r="H617" s="34"/>
    </row>
    <row r="618" ht="15.75" customHeight="1">
      <c r="B618" s="46"/>
      <c r="C618" s="34"/>
      <c r="D618" s="34"/>
      <c r="E618" s="34"/>
      <c r="F618" s="34"/>
      <c r="G618" s="34"/>
      <c r="H618" s="34"/>
    </row>
    <row r="619" ht="15.75" customHeight="1">
      <c r="B619" s="46"/>
      <c r="C619" s="34"/>
      <c r="D619" s="34"/>
      <c r="E619" s="34"/>
      <c r="F619" s="34"/>
      <c r="G619" s="34"/>
      <c r="H619" s="34"/>
    </row>
    <row r="620" ht="15.75" customHeight="1">
      <c r="B620" s="46"/>
      <c r="C620" s="34"/>
      <c r="D620" s="34"/>
      <c r="E620" s="34"/>
      <c r="F620" s="34"/>
      <c r="G620" s="34"/>
      <c r="H620" s="34"/>
    </row>
    <row r="621" ht="15.75" customHeight="1">
      <c r="B621" s="46"/>
      <c r="C621" s="34"/>
      <c r="D621" s="34"/>
      <c r="E621" s="34"/>
      <c r="F621" s="34"/>
      <c r="G621" s="34"/>
      <c r="H621" s="34"/>
    </row>
    <row r="622" ht="15.75" customHeight="1">
      <c r="B622" s="46"/>
      <c r="C622" s="34"/>
      <c r="D622" s="34"/>
      <c r="E622" s="34"/>
      <c r="F622" s="34"/>
      <c r="G622" s="34"/>
      <c r="H622" s="34"/>
    </row>
    <row r="623" ht="15.75" customHeight="1">
      <c r="B623" s="46"/>
      <c r="C623" s="34"/>
      <c r="D623" s="34"/>
      <c r="E623" s="34"/>
      <c r="F623" s="34"/>
      <c r="G623" s="34"/>
      <c r="H623" s="34"/>
    </row>
    <row r="624" ht="15.75" customHeight="1">
      <c r="B624" s="46"/>
      <c r="C624" s="34"/>
      <c r="D624" s="34"/>
      <c r="E624" s="34"/>
      <c r="F624" s="34"/>
      <c r="G624" s="34"/>
      <c r="H624" s="34"/>
    </row>
    <row r="625" ht="15.75" customHeight="1">
      <c r="B625" s="46"/>
      <c r="C625" s="34"/>
      <c r="D625" s="34"/>
      <c r="E625" s="34"/>
      <c r="F625" s="34"/>
      <c r="G625" s="34"/>
      <c r="H625" s="34"/>
    </row>
    <row r="626" ht="15.75" customHeight="1">
      <c r="B626" s="46"/>
      <c r="C626" s="34"/>
      <c r="D626" s="34"/>
      <c r="E626" s="34"/>
      <c r="F626" s="34"/>
      <c r="G626" s="34"/>
      <c r="H626" s="34"/>
    </row>
    <row r="627" ht="15.75" customHeight="1">
      <c r="B627" s="46"/>
      <c r="C627" s="34"/>
      <c r="D627" s="34"/>
      <c r="E627" s="34"/>
      <c r="F627" s="34"/>
      <c r="G627" s="34"/>
      <c r="H627" s="34"/>
    </row>
    <row r="628" ht="15.75" customHeight="1">
      <c r="B628" s="46"/>
      <c r="C628" s="34"/>
      <c r="D628" s="34"/>
      <c r="E628" s="34"/>
      <c r="F628" s="34"/>
      <c r="G628" s="34"/>
      <c r="H628" s="34"/>
    </row>
    <row r="629" ht="15.75" customHeight="1">
      <c r="B629" s="46"/>
      <c r="C629" s="34"/>
      <c r="D629" s="34"/>
      <c r="E629" s="34"/>
      <c r="F629" s="34"/>
      <c r="G629" s="34"/>
      <c r="H629" s="34"/>
    </row>
    <row r="630" ht="15.75" customHeight="1">
      <c r="B630" s="46"/>
      <c r="C630" s="34"/>
      <c r="D630" s="34"/>
      <c r="E630" s="34"/>
      <c r="F630" s="34"/>
      <c r="G630" s="34"/>
      <c r="H630" s="34"/>
    </row>
    <row r="631" ht="15.75" customHeight="1">
      <c r="B631" s="46"/>
      <c r="C631" s="34"/>
      <c r="D631" s="34"/>
      <c r="E631" s="34"/>
      <c r="F631" s="34"/>
      <c r="G631" s="34"/>
      <c r="H631" s="34"/>
    </row>
    <row r="632" ht="15.75" customHeight="1">
      <c r="B632" s="46"/>
      <c r="C632" s="34"/>
      <c r="D632" s="34"/>
      <c r="E632" s="34"/>
      <c r="F632" s="34"/>
      <c r="G632" s="34"/>
      <c r="H632" s="34"/>
    </row>
    <row r="633" ht="15.75" customHeight="1">
      <c r="B633" s="46"/>
      <c r="C633" s="34"/>
      <c r="D633" s="34"/>
      <c r="E633" s="34"/>
      <c r="F633" s="34"/>
      <c r="G633" s="34"/>
      <c r="H633" s="34"/>
    </row>
    <row r="634" ht="15.75" customHeight="1">
      <c r="B634" s="46"/>
      <c r="C634" s="34"/>
      <c r="D634" s="34"/>
      <c r="E634" s="34"/>
      <c r="F634" s="34"/>
      <c r="G634" s="34"/>
      <c r="H634" s="34"/>
    </row>
    <row r="635" ht="15.75" customHeight="1">
      <c r="B635" s="46"/>
      <c r="C635" s="34"/>
      <c r="D635" s="34"/>
      <c r="E635" s="34"/>
      <c r="F635" s="34"/>
      <c r="G635" s="34"/>
      <c r="H635" s="34"/>
    </row>
    <row r="636" ht="15.75" customHeight="1">
      <c r="B636" s="46"/>
      <c r="C636" s="34"/>
      <c r="D636" s="34"/>
      <c r="E636" s="34"/>
      <c r="F636" s="34"/>
      <c r="G636" s="34"/>
      <c r="H636" s="34"/>
    </row>
    <row r="637" ht="15.75" customHeight="1">
      <c r="B637" s="46"/>
      <c r="C637" s="34"/>
      <c r="D637" s="34"/>
      <c r="E637" s="34"/>
      <c r="F637" s="34"/>
      <c r="G637" s="34"/>
      <c r="H637" s="34"/>
    </row>
    <row r="638" ht="15.75" customHeight="1">
      <c r="B638" s="46"/>
      <c r="C638" s="34"/>
      <c r="D638" s="34"/>
      <c r="E638" s="34"/>
      <c r="F638" s="34"/>
      <c r="G638" s="34"/>
      <c r="H638" s="34"/>
    </row>
    <row r="639" ht="15.75" customHeight="1">
      <c r="B639" s="46"/>
      <c r="C639" s="34"/>
      <c r="D639" s="34"/>
      <c r="E639" s="34"/>
      <c r="F639" s="34"/>
      <c r="G639" s="34"/>
      <c r="H639" s="34"/>
    </row>
    <row r="640" ht="15.75" customHeight="1">
      <c r="B640" s="46"/>
      <c r="C640" s="34"/>
      <c r="D640" s="34"/>
      <c r="E640" s="34"/>
      <c r="F640" s="34"/>
      <c r="G640" s="34"/>
      <c r="H640" s="34"/>
    </row>
    <row r="641" ht="15.75" customHeight="1">
      <c r="B641" s="46"/>
      <c r="C641" s="34"/>
      <c r="D641" s="34"/>
      <c r="E641" s="34"/>
      <c r="F641" s="34"/>
      <c r="G641" s="34"/>
      <c r="H641" s="34"/>
    </row>
    <row r="642" ht="15.75" customHeight="1">
      <c r="B642" s="46"/>
      <c r="C642" s="34"/>
      <c r="D642" s="34"/>
      <c r="E642" s="34"/>
      <c r="F642" s="34"/>
      <c r="G642" s="34"/>
      <c r="H642" s="34"/>
    </row>
    <row r="643" ht="15.75" customHeight="1">
      <c r="B643" s="46"/>
      <c r="C643" s="34"/>
      <c r="D643" s="34"/>
      <c r="E643" s="34"/>
      <c r="F643" s="34"/>
      <c r="G643" s="34"/>
      <c r="H643" s="34"/>
    </row>
    <row r="644" ht="15.75" customHeight="1">
      <c r="B644" s="46"/>
      <c r="C644" s="34"/>
      <c r="D644" s="34"/>
      <c r="E644" s="34"/>
      <c r="F644" s="34"/>
      <c r="G644" s="34"/>
      <c r="H644" s="34"/>
    </row>
    <row r="645" ht="15.75" customHeight="1">
      <c r="B645" s="46"/>
      <c r="C645" s="34"/>
      <c r="D645" s="34"/>
      <c r="E645" s="34"/>
      <c r="F645" s="34"/>
      <c r="G645" s="34"/>
      <c r="H645" s="34"/>
    </row>
    <row r="646" ht="15.75" customHeight="1">
      <c r="B646" s="46"/>
      <c r="C646" s="34"/>
      <c r="D646" s="34"/>
      <c r="E646" s="34"/>
      <c r="F646" s="34"/>
      <c r="G646" s="34"/>
      <c r="H646" s="34"/>
    </row>
    <row r="647" ht="15.75" customHeight="1">
      <c r="B647" s="46"/>
      <c r="C647" s="34"/>
      <c r="D647" s="34"/>
      <c r="E647" s="34"/>
      <c r="F647" s="34"/>
      <c r="G647" s="34"/>
      <c r="H647" s="34"/>
    </row>
    <row r="648" ht="15.75" customHeight="1">
      <c r="B648" s="46"/>
      <c r="C648" s="34"/>
      <c r="D648" s="34"/>
      <c r="E648" s="34"/>
      <c r="F648" s="34"/>
      <c r="G648" s="34"/>
      <c r="H648" s="34"/>
    </row>
    <row r="649" ht="15.75" customHeight="1">
      <c r="B649" s="46"/>
      <c r="C649" s="34"/>
      <c r="D649" s="34"/>
      <c r="E649" s="34"/>
      <c r="F649" s="34"/>
      <c r="G649" s="34"/>
      <c r="H649" s="34"/>
    </row>
    <row r="650" ht="15.75" customHeight="1">
      <c r="B650" s="46"/>
      <c r="C650" s="34"/>
      <c r="D650" s="34"/>
      <c r="E650" s="34"/>
      <c r="F650" s="34"/>
      <c r="G650" s="34"/>
      <c r="H650" s="34"/>
    </row>
    <row r="651" ht="15.75" customHeight="1">
      <c r="B651" s="46"/>
      <c r="C651" s="34"/>
      <c r="D651" s="34"/>
      <c r="E651" s="34"/>
      <c r="F651" s="34"/>
      <c r="G651" s="34"/>
      <c r="H651" s="34"/>
    </row>
    <row r="652" ht="15.75" customHeight="1">
      <c r="B652" s="46"/>
      <c r="C652" s="34"/>
      <c r="D652" s="34"/>
      <c r="E652" s="34"/>
      <c r="F652" s="34"/>
      <c r="G652" s="34"/>
      <c r="H652" s="34"/>
    </row>
    <row r="653" ht="15.75" customHeight="1">
      <c r="B653" s="46"/>
      <c r="C653" s="34"/>
      <c r="D653" s="34"/>
      <c r="E653" s="34"/>
      <c r="F653" s="34"/>
      <c r="G653" s="34"/>
      <c r="H653" s="34"/>
    </row>
    <row r="654" ht="15.75" customHeight="1">
      <c r="B654" s="46"/>
      <c r="C654" s="34"/>
      <c r="D654" s="34"/>
      <c r="E654" s="34"/>
      <c r="F654" s="34"/>
      <c r="G654" s="34"/>
      <c r="H654" s="34"/>
    </row>
    <row r="655" ht="15.75" customHeight="1">
      <c r="B655" s="46"/>
      <c r="C655" s="34"/>
      <c r="D655" s="34"/>
      <c r="E655" s="34"/>
      <c r="F655" s="34"/>
      <c r="G655" s="34"/>
      <c r="H655" s="34"/>
    </row>
    <row r="656" ht="15.75" customHeight="1">
      <c r="B656" s="46"/>
      <c r="C656" s="34"/>
      <c r="D656" s="34"/>
      <c r="E656" s="34"/>
      <c r="F656" s="34"/>
      <c r="G656" s="34"/>
      <c r="H656" s="34"/>
    </row>
    <row r="657" ht="15.75" customHeight="1">
      <c r="B657" s="46"/>
      <c r="C657" s="34"/>
      <c r="D657" s="34"/>
      <c r="E657" s="34"/>
      <c r="F657" s="34"/>
      <c r="G657" s="34"/>
      <c r="H657" s="34"/>
    </row>
    <row r="658" ht="15.75" customHeight="1">
      <c r="B658" s="46"/>
      <c r="C658" s="34"/>
      <c r="D658" s="34"/>
      <c r="E658" s="34"/>
      <c r="F658" s="34"/>
      <c r="G658" s="34"/>
      <c r="H658" s="34"/>
    </row>
    <row r="659" ht="15.75" customHeight="1">
      <c r="B659" s="46"/>
      <c r="C659" s="34"/>
      <c r="D659" s="34"/>
      <c r="E659" s="34"/>
      <c r="F659" s="34"/>
      <c r="G659" s="34"/>
      <c r="H659" s="34"/>
    </row>
    <row r="660" ht="15.75" customHeight="1">
      <c r="B660" s="46"/>
      <c r="C660" s="34"/>
      <c r="D660" s="34"/>
      <c r="E660" s="34"/>
      <c r="F660" s="34"/>
      <c r="G660" s="34"/>
      <c r="H660" s="34"/>
    </row>
    <row r="661" ht="15.75" customHeight="1">
      <c r="B661" s="46"/>
      <c r="C661" s="34"/>
      <c r="D661" s="34"/>
      <c r="E661" s="34"/>
      <c r="F661" s="34"/>
      <c r="G661" s="34"/>
      <c r="H661" s="34"/>
    </row>
    <row r="662" ht="15.75" customHeight="1">
      <c r="B662" s="46"/>
      <c r="C662" s="34"/>
      <c r="D662" s="34"/>
      <c r="E662" s="34"/>
      <c r="F662" s="34"/>
      <c r="G662" s="34"/>
      <c r="H662" s="34"/>
    </row>
    <row r="663" ht="15.75" customHeight="1">
      <c r="B663" s="46"/>
      <c r="C663" s="34"/>
      <c r="D663" s="34"/>
      <c r="E663" s="34"/>
      <c r="F663" s="34"/>
      <c r="G663" s="34"/>
      <c r="H663" s="34"/>
    </row>
    <row r="664" ht="15.75" customHeight="1">
      <c r="B664" s="46"/>
      <c r="C664" s="34"/>
      <c r="D664" s="34"/>
      <c r="E664" s="34"/>
      <c r="F664" s="34"/>
      <c r="G664" s="34"/>
      <c r="H664" s="34"/>
    </row>
    <row r="665" ht="15.75" customHeight="1">
      <c r="B665" s="46"/>
      <c r="C665" s="34"/>
      <c r="D665" s="34"/>
      <c r="E665" s="34"/>
      <c r="F665" s="34"/>
      <c r="G665" s="34"/>
      <c r="H665" s="34"/>
    </row>
    <row r="666" ht="15.75" customHeight="1">
      <c r="B666" s="46"/>
      <c r="C666" s="34"/>
      <c r="D666" s="34"/>
      <c r="E666" s="34"/>
      <c r="F666" s="34"/>
      <c r="G666" s="34"/>
      <c r="H666" s="34"/>
    </row>
    <row r="667" ht="15.75" customHeight="1">
      <c r="B667" s="46"/>
      <c r="C667" s="34"/>
      <c r="D667" s="34"/>
      <c r="E667" s="34"/>
      <c r="F667" s="34"/>
      <c r="G667" s="34"/>
      <c r="H667" s="34"/>
    </row>
    <row r="668" ht="15.75" customHeight="1">
      <c r="B668" s="46"/>
      <c r="C668" s="34"/>
      <c r="D668" s="34"/>
      <c r="E668" s="34"/>
      <c r="F668" s="34"/>
      <c r="G668" s="34"/>
      <c r="H668" s="34"/>
    </row>
    <row r="669" ht="15.75" customHeight="1">
      <c r="B669" s="46"/>
      <c r="C669" s="34"/>
      <c r="D669" s="34"/>
      <c r="E669" s="34"/>
      <c r="F669" s="34"/>
      <c r="G669" s="34"/>
      <c r="H669" s="34"/>
    </row>
    <row r="670" ht="15.75" customHeight="1">
      <c r="B670" s="46"/>
      <c r="C670" s="34"/>
      <c r="D670" s="34"/>
      <c r="E670" s="34"/>
      <c r="F670" s="34"/>
      <c r="G670" s="34"/>
      <c r="H670" s="34"/>
    </row>
    <row r="671" ht="15.75" customHeight="1">
      <c r="B671" s="46"/>
      <c r="C671" s="34"/>
      <c r="D671" s="34"/>
      <c r="E671" s="34"/>
      <c r="F671" s="34"/>
      <c r="G671" s="34"/>
      <c r="H671" s="34"/>
    </row>
    <row r="672" ht="15.75" customHeight="1">
      <c r="B672" s="46"/>
      <c r="C672" s="34"/>
      <c r="D672" s="34"/>
      <c r="E672" s="34"/>
      <c r="F672" s="34"/>
      <c r="G672" s="34"/>
      <c r="H672" s="34"/>
    </row>
    <row r="673" ht="15.75" customHeight="1">
      <c r="B673" s="46"/>
      <c r="C673" s="34"/>
      <c r="D673" s="34"/>
      <c r="E673" s="34"/>
      <c r="F673" s="34"/>
      <c r="G673" s="34"/>
      <c r="H673" s="34"/>
    </row>
    <row r="674" ht="15.75" customHeight="1">
      <c r="B674" s="46"/>
      <c r="C674" s="34"/>
      <c r="D674" s="34"/>
      <c r="E674" s="34"/>
      <c r="F674" s="34"/>
      <c r="G674" s="34"/>
      <c r="H674" s="34"/>
    </row>
    <row r="675" ht="15.75" customHeight="1">
      <c r="B675" s="46"/>
      <c r="C675" s="34"/>
      <c r="D675" s="34"/>
      <c r="E675" s="34"/>
      <c r="F675" s="34"/>
      <c r="G675" s="34"/>
      <c r="H675" s="34"/>
    </row>
    <row r="676" ht="15.75" customHeight="1">
      <c r="B676" s="46"/>
      <c r="C676" s="34"/>
      <c r="D676" s="34"/>
      <c r="E676" s="34"/>
      <c r="F676" s="34"/>
      <c r="G676" s="34"/>
      <c r="H676" s="34"/>
    </row>
    <row r="677" ht="15.75" customHeight="1">
      <c r="B677" s="46"/>
      <c r="C677" s="34"/>
      <c r="D677" s="34"/>
      <c r="E677" s="34"/>
      <c r="F677" s="34"/>
      <c r="G677" s="34"/>
      <c r="H677" s="34"/>
    </row>
    <row r="678" ht="15.75" customHeight="1">
      <c r="B678" s="46"/>
      <c r="C678" s="34"/>
      <c r="D678" s="34"/>
      <c r="E678" s="34"/>
      <c r="F678" s="34"/>
      <c r="G678" s="34"/>
      <c r="H678" s="34"/>
    </row>
    <row r="679" ht="15.75" customHeight="1">
      <c r="B679" s="46"/>
      <c r="C679" s="34"/>
      <c r="D679" s="34"/>
      <c r="E679" s="34"/>
      <c r="F679" s="34"/>
      <c r="G679" s="34"/>
      <c r="H679" s="34"/>
    </row>
    <row r="680" ht="15.75" customHeight="1">
      <c r="B680" s="46"/>
      <c r="C680" s="34"/>
      <c r="D680" s="34"/>
      <c r="E680" s="34"/>
      <c r="F680" s="34"/>
      <c r="G680" s="34"/>
      <c r="H680" s="34"/>
    </row>
    <row r="681" ht="15.75" customHeight="1">
      <c r="B681" s="46"/>
      <c r="C681" s="34"/>
      <c r="D681" s="34"/>
      <c r="E681" s="34"/>
      <c r="F681" s="34"/>
      <c r="G681" s="34"/>
      <c r="H681" s="34"/>
    </row>
    <row r="682" ht="15.75" customHeight="1">
      <c r="B682" s="46"/>
      <c r="C682" s="34"/>
      <c r="D682" s="34"/>
      <c r="E682" s="34"/>
      <c r="F682" s="34"/>
      <c r="G682" s="34"/>
      <c r="H682" s="34"/>
    </row>
    <row r="683" ht="15.75" customHeight="1">
      <c r="B683" s="46"/>
      <c r="C683" s="34"/>
      <c r="D683" s="34"/>
      <c r="E683" s="34"/>
      <c r="F683" s="34"/>
      <c r="G683" s="34"/>
      <c r="H683" s="34"/>
    </row>
    <row r="684" ht="15.75" customHeight="1">
      <c r="B684" s="46"/>
      <c r="C684" s="34"/>
      <c r="D684" s="34"/>
      <c r="E684" s="34"/>
      <c r="F684" s="34"/>
      <c r="G684" s="34"/>
      <c r="H684" s="34"/>
    </row>
    <row r="685" ht="15.75" customHeight="1">
      <c r="B685" s="46"/>
      <c r="C685" s="34"/>
      <c r="D685" s="34"/>
      <c r="E685" s="34"/>
      <c r="F685" s="34"/>
      <c r="G685" s="34"/>
      <c r="H685" s="34"/>
    </row>
    <row r="686" ht="15.75" customHeight="1">
      <c r="B686" s="46"/>
      <c r="C686" s="34"/>
      <c r="D686" s="34"/>
      <c r="E686" s="34"/>
      <c r="F686" s="34"/>
      <c r="G686" s="34"/>
      <c r="H686" s="34"/>
    </row>
    <row r="687" ht="15.75" customHeight="1">
      <c r="B687" s="46"/>
      <c r="C687" s="34"/>
      <c r="D687" s="34"/>
      <c r="E687" s="34"/>
      <c r="F687" s="34"/>
      <c r="G687" s="34"/>
      <c r="H687" s="34"/>
    </row>
    <row r="688" ht="15.75" customHeight="1">
      <c r="B688" s="46"/>
      <c r="C688" s="34"/>
      <c r="D688" s="34"/>
      <c r="E688" s="34"/>
      <c r="F688" s="34"/>
      <c r="G688" s="34"/>
      <c r="H688" s="34"/>
    </row>
    <row r="689" ht="15.75" customHeight="1">
      <c r="B689" s="46"/>
      <c r="C689" s="34"/>
      <c r="D689" s="34"/>
      <c r="E689" s="34"/>
      <c r="F689" s="34"/>
      <c r="G689" s="34"/>
      <c r="H689" s="34"/>
    </row>
    <row r="690" ht="15.75" customHeight="1">
      <c r="B690" s="46"/>
      <c r="C690" s="34"/>
      <c r="D690" s="34"/>
      <c r="E690" s="34"/>
      <c r="F690" s="34"/>
      <c r="G690" s="34"/>
      <c r="H690" s="34"/>
    </row>
    <row r="691" ht="15.75" customHeight="1">
      <c r="B691" s="46"/>
      <c r="C691" s="34"/>
      <c r="D691" s="34"/>
      <c r="E691" s="34"/>
      <c r="F691" s="34"/>
      <c r="G691" s="34"/>
      <c r="H691" s="34"/>
    </row>
    <row r="692" ht="15.75" customHeight="1">
      <c r="B692" s="46"/>
      <c r="C692" s="34"/>
      <c r="D692" s="34"/>
      <c r="E692" s="34"/>
      <c r="F692" s="34"/>
      <c r="G692" s="34"/>
      <c r="H692" s="34"/>
    </row>
    <row r="693" ht="15.75" customHeight="1">
      <c r="B693" s="46"/>
      <c r="C693" s="34"/>
      <c r="D693" s="34"/>
      <c r="E693" s="34"/>
      <c r="F693" s="34"/>
      <c r="G693" s="34"/>
      <c r="H693" s="34"/>
    </row>
    <row r="694" ht="15.75" customHeight="1">
      <c r="B694" s="46"/>
      <c r="C694" s="34"/>
      <c r="D694" s="34"/>
      <c r="E694" s="34"/>
      <c r="F694" s="34"/>
      <c r="G694" s="34"/>
      <c r="H694" s="34"/>
    </row>
    <row r="695" ht="15.75" customHeight="1">
      <c r="B695" s="46"/>
      <c r="C695" s="34"/>
      <c r="D695" s="34"/>
      <c r="E695" s="34"/>
      <c r="F695" s="34"/>
      <c r="G695" s="34"/>
      <c r="H695" s="34"/>
    </row>
    <row r="696" ht="15.75" customHeight="1">
      <c r="B696" s="46"/>
      <c r="C696" s="34"/>
      <c r="D696" s="34"/>
      <c r="E696" s="34"/>
      <c r="F696" s="34"/>
      <c r="G696" s="34"/>
      <c r="H696" s="34"/>
    </row>
    <row r="697" ht="15.75" customHeight="1">
      <c r="B697" s="46"/>
      <c r="C697" s="34"/>
      <c r="D697" s="34"/>
      <c r="E697" s="34"/>
      <c r="F697" s="34"/>
      <c r="G697" s="34"/>
      <c r="H697" s="34"/>
    </row>
    <row r="698" ht="15.75" customHeight="1">
      <c r="B698" s="46"/>
      <c r="C698" s="34"/>
      <c r="D698" s="34"/>
      <c r="E698" s="34"/>
      <c r="F698" s="34"/>
      <c r="G698" s="34"/>
      <c r="H698" s="34"/>
    </row>
    <row r="699" ht="15.75" customHeight="1">
      <c r="B699" s="46"/>
      <c r="C699" s="34"/>
      <c r="D699" s="34"/>
      <c r="E699" s="34"/>
      <c r="F699" s="34"/>
      <c r="G699" s="34"/>
      <c r="H699" s="34"/>
    </row>
    <row r="700" ht="15.75" customHeight="1">
      <c r="B700" s="46"/>
      <c r="C700" s="34"/>
      <c r="D700" s="34"/>
      <c r="E700" s="34"/>
      <c r="F700" s="34"/>
      <c r="G700" s="34"/>
      <c r="H700" s="34"/>
    </row>
    <row r="701" ht="15.75" customHeight="1">
      <c r="B701" s="46"/>
      <c r="C701" s="34"/>
      <c r="D701" s="34"/>
      <c r="E701" s="34"/>
      <c r="F701" s="34"/>
      <c r="G701" s="34"/>
      <c r="H701" s="34"/>
    </row>
    <row r="702" ht="15.75" customHeight="1">
      <c r="B702" s="46"/>
      <c r="C702" s="34"/>
      <c r="D702" s="34"/>
      <c r="E702" s="34"/>
      <c r="F702" s="34"/>
      <c r="G702" s="34"/>
      <c r="H702" s="34"/>
    </row>
    <row r="703" ht="15.75" customHeight="1">
      <c r="B703" s="46"/>
      <c r="C703" s="34"/>
      <c r="D703" s="34"/>
      <c r="E703" s="34"/>
      <c r="F703" s="34"/>
      <c r="G703" s="34"/>
      <c r="H703" s="34"/>
    </row>
    <row r="704" ht="15.75" customHeight="1">
      <c r="B704" s="46"/>
      <c r="C704" s="34"/>
      <c r="D704" s="34"/>
      <c r="E704" s="34"/>
      <c r="F704" s="34"/>
      <c r="G704" s="34"/>
      <c r="H704" s="34"/>
    </row>
    <row r="705" ht="15.75" customHeight="1">
      <c r="B705" s="46"/>
      <c r="C705" s="34"/>
      <c r="D705" s="34"/>
      <c r="E705" s="34"/>
      <c r="F705" s="34"/>
      <c r="G705" s="34"/>
      <c r="H705" s="34"/>
    </row>
    <row r="706" ht="15.75" customHeight="1">
      <c r="B706" s="46"/>
      <c r="C706" s="34"/>
      <c r="D706" s="34"/>
      <c r="E706" s="34"/>
      <c r="F706" s="34"/>
      <c r="G706" s="34"/>
      <c r="H706" s="34"/>
    </row>
    <row r="707" ht="15.75" customHeight="1">
      <c r="B707" s="46"/>
      <c r="C707" s="34"/>
      <c r="D707" s="34"/>
      <c r="E707" s="34"/>
      <c r="F707" s="34"/>
      <c r="G707" s="34"/>
      <c r="H707" s="34"/>
    </row>
    <row r="708" ht="15.75" customHeight="1">
      <c r="B708" s="46"/>
      <c r="C708" s="34"/>
      <c r="D708" s="34"/>
      <c r="E708" s="34"/>
      <c r="F708" s="34"/>
      <c r="G708" s="34"/>
      <c r="H708" s="34"/>
    </row>
    <row r="709" ht="15.75" customHeight="1">
      <c r="B709" s="46"/>
      <c r="C709" s="34"/>
      <c r="D709" s="34"/>
      <c r="E709" s="34"/>
      <c r="F709" s="34"/>
      <c r="G709" s="34"/>
      <c r="H709" s="34"/>
    </row>
    <row r="710" ht="15.75" customHeight="1">
      <c r="B710" s="46"/>
      <c r="C710" s="34"/>
      <c r="D710" s="34"/>
      <c r="E710" s="34"/>
      <c r="F710" s="34"/>
      <c r="G710" s="34"/>
      <c r="H710" s="34"/>
    </row>
    <row r="711" ht="15.75" customHeight="1">
      <c r="B711" s="46"/>
      <c r="C711" s="34"/>
      <c r="D711" s="34"/>
      <c r="E711" s="34"/>
      <c r="F711" s="34"/>
      <c r="G711" s="34"/>
      <c r="H711" s="34"/>
    </row>
    <row r="712" ht="15.75" customHeight="1">
      <c r="B712" s="46"/>
      <c r="C712" s="34"/>
      <c r="D712" s="34"/>
      <c r="E712" s="34"/>
      <c r="F712" s="34"/>
      <c r="G712" s="34"/>
      <c r="H712" s="34"/>
    </row>
    <row r="713" ht="15.75" customHeight="1">
      <c r="B713" s="46"/>
      <c r="C713" s="34"/>
      <c r="D713" s="34"/>
      <c r="E713" s="34"/>
      <c r="F713" s="34"/>
      <c r="G713" s="34"/>
      <c r="H713" s="34"/>
    </row>
    <row r="714" ht="15.75" customHeight="1">
      <c r="B714" s="46"/>
      <c r="C714" s="34"/>
      <c r="D714" s="34"/>
      <c r="E714" s="34"/>
      <c r="F714" s="34"/>
      <c r="G714" s="34"/>
      <c r="H714" s="34"/>
    </row>
    <row r="715" ht="15.75" customHeight="1">
      <c r="B715" s="46"/>
      <c r="C715" s="34"/>
      <c r="D715" s="34"/>
      <c r="E715" s="34"/>
      <c r="F715" s="34"/>
      <c r="G715" s="34"/>
      <c r="H715" s="34"/>
    </row>
    <row r="716" ht="15.75" customHeight="1">
      <c r="B716" s="46"/>
      <c r="C716" s="34"/>
      <c r="D716" s="34"/>
      <c r="E716" s="34"/>
      <c r="F716" s="34"/>
      <c r="G716" s="34"/>
      <c r="H716" s="34"/>
    </row>
    <row r="717" ht="15.75" customHeight="1">
      <c r="B717" s="46"/>
      <c r="C717" s="34"/>
      <c r="D717" s="34"/>
      <c r="E717" s="34"/>
      <c r="F717" s="34"/>
      <c r="G717" s="34"/>
      <c r="H717" s="34"/>
    </row>
    <row r="718" ht="15.75" customHeight="1">
      <c r="B718" s="46"/>
      <c r="C718" s="34"/>
      <c r="D718" s="34"/>
      <c r="E718" s="34"/>
      <c r="F718" s="34"/>
      <c r="G718" s="34"/>
      <c r="H718" s="34"/>
    </row>
    <row r="719" ht="15.75" customHeight="1">
      <c r="B719" s="46"/>
      <c r="C719" s="34"/>
      <c r="D719" s="34"/>
      <c r="E719" s="34"/>
      <c r="F719" s="34"/>
      <c r="G719" s="34"/>
      <c r="H719" s="34"/>
    </row>
    <row r="720" ht="15.75" customHeight="1">
      <c r="B720" s="46"/>
      <c r="C720" s="34"/>
      <c r="D720" s="34"/>
      <c r="E720" s="34"/>
      <c r="F720" s="34"/>
      <c r="G720" s="34"/>
      <c r="H720" s="34"/>
    </row>
    <row r="721" ht="15.75" customHeight="1">
      <c r="B721" s="46"/>
      <c r="C721" s="34"/>
      <c r="D721" s="34"/>
      <c r="E721" s="34"/>
      <c r="F721" s="34"/>
      <c r="G721" s="34"/>
      <c r="H721" s="34"/>
    </row>
    <row r="722" ht="15.75" customHeight="1">
      <c r="B722" s="46"/>
      <c r="C722" s="34"/>
      <c r="D722" s="34"/>
      <c r="E722" s="34"/>
      <c r="F722" s="34"/>
      <c r="G722" s="34"/>
      <c r="H722" s="34"/>
    </row>
    <row r="723" ht="15.75" customHeight="1">
      <c r="B723" s="46"/>
      <c r="C723" s="34"/>
      <c r="D723" s="34"/>
      <c r="E723" s="34"/>
      <c r="F723" s="34"/>
      <c r="G723" s="34"/>
      <c r="H723" s="34"/>
    </row>
    <row r="724" ht="15.75" customHeight="1">
      <c r="B724" s="46"/>
      <c r="C724" s="34"/>
      <c r="D724" s="34"/>
      <c r="E724" s="34"/>
      <c r="F724" s="34"/>
      <c r="G724" s="34"/>
      <c r="H724" s="34"/>
    </row>
    <row r="725" ht="15.75" customHeight="1">
      <c r="B725" s="46"/>
      <c r="C725" s="34"/>
      <c r="D725" s="34"/>
      <c r="E725" s="34"/>
      <c r="F725" s="34"/>
      <c r="G725" s="34"/>
      <c r="H725" s="34"/>
    </row>
    <row r="726" ht="15.75" customHeight="1">
      <c r="B726" s="46"/>
      <c r="C726" s="34"/>
      <c r="D726" s="34"/>
      <c r="E726" s="34"/>
      <c r="F726" s="34"/>
      <c r="G726" s="34"/>
      <c r="H726" s="34"/>
    </row>
    <row r="727" ht="15.75" customHeight="1">
      <c r="B727" s="46"/>
      <c r="C727" s="34"/>
      <c r="D727" s="34"/>
      <c r="E727" s="34"/>
      <c r="F727" s="34"/>
      <c r="G727" s="34"/>
      <c r="H727" s="34"/>
    </row>
    <row r="728" ht="15.75" customHeight="1">
      <c r="B728" s="46"/>
      <c r="C728" s="34"/>
      <c r="D728" s="34"/>
      <c r="E728" s="34"/>
      <c r="F728" s="34"/>
      <c r="G728" s="34"/>
      <c r="H728" s="34"/>
    </row>
    <row r="729" ht="15.75" customHeight="1">
      <c r="B729" s="46"/>
      <c r="C729" s="34"/>
      <c r="D729" s="34"/>
      <c r="E729" s="34"/>
      <c r="F729" s="34"/>
      <c r="G729" s="34"/>
      <c r="H729" s="34"/>
    </row>
    <row r="730" ht="15.75" customHeight="1">
      <c r="B730" s="46"/>
      <c r="C730" s="34"/>
      <c r="D730" s="34"/>
      <c r="E730" s="34"/>
      <c r="F730" s="34"/>
      <c r="G730" s="34"/>
      <c r="H730" s="34"/>
    </row>
    <row r="731" ht="15.75" customHeight="1">
      <c r="B731" s="46"/>
      <c r="C731" s="34"/>
      <c r="D731" s="34"/>
      <c r="E731" s="34"/>
      <c r="F731" s="34"/>
      <c r="G731" s="34"/>
      <c r="H731" s="34"/>
    </row>
    <row r="732" ht="15.75" customHeight="1">
      <c r="B732" s="46"/>
      <c r="C732" s="34"/>
      <c r="D732" s="34"/>
      <c r="E732" s="34"/>
      <c r="F732" s="34"/>
      <c r="G732" s="34"/>
      <c r="H732" s="34"/>
    </row>
    <row r="733" ht="15.75" customHeight="1">
      <c r="B733" s="46"/>
      <c r="C733" s="34"/>
      <c r="D733" s="34"/>
      <c r="E733" s="34"/>
      <c r="F733" s="34"/>
      <c r="G733" s="34"/>
      <c r="H733" s="34"/>
    </row>
    <row r="734" ht="15.75" customHeight="1">
      <c r="B734" s="46"/>
      <c r="C734" s="34"/>
      <c r="D734" s="34"/>
      <c r="E734" s="34"/>
      <c r="F734" s="34"/>
      <c r="G734" s="34"/>
      <c r="H734" s="34"/>
    </row>
    <row r="735" ht="15.75" customHeight="1">
      <c r="B735" s="46"/>
      <c r="C735" s="34"/>
      <c r="D735" s="34"/>
      <c r="E735" s="34"/>
      <c r="F735" s="34"/>
      <c r="G735" s="34"/>
      <c r="H735" s="34"/>
    </row>
    <row r="736" ht="15.75" customHeight="1">
      <c r="B736" s="46"/>
      <c r="C736" s="34"/>
      <c r="D736" s="34"/>
      <c r="E736" s="34"/>
      <c r="F736" s="34"/>
      <c r="G736" s="34"/>
      <c r="H736" s="34"/>
    </row>
    <row r="737" ht="15.75" customHeight="1">
      <c r="B737" s="46"/>
      <c r="C737" s="34"/>
      <c r="D737" s="34"/>
      <c r="E737" s="34"/>
      <c r="F737" s="34"/>
      <c r="G737" s="34"/>
      <c r="H737" s="34"/>
    </row>
    <row r="738" ht="15.75" customHeight="1">
      <c r="B738" s="46"/>
      <c r="C738" s="34"/>
      <c r="D738" s="34"/>
      <c r="E738" s="34"/>
      <c r="F738" s="34"/>
      <c r="G738" s="34"/>
      <c r="H738" s="34"/>
    </row>
    <row r="739" ht="15.75" customHeight="1">
      <c r="B739" s="46"/>
      <c r="C739" s="34"/>
      <c r="D739" s="34"/>
      <c r="E739" s="34"/>
      <c r="F739" s="34"/>
      <c r="G739" s="34"/>
      <c r="H739" s="34"/>
    </row>
    <row r="740" ht="15.75" customHeight="1">
      <c r="B740" s="46"/>
      <c r="C740" s="34"/>
      <c r="D740" s="34"/>
      <c r="E740" s="34"/>
      <c r="F740" s="34"/>
      <c r="G740" s="34"/>
      <c r="H740" s="34"/>
    </row>
    <row r="741" ht="15.75" customHeight="1">
      <c r="B741" s="46"/>
      <c r="C741" s="34"/>
      <c r="D741" s="34"/>
      <c r="E741" s="34"/>
      <c r="F741" s="34"/>
      <c r="G741" s="34"/>
      <c r="H741" s="34"/>
    </row>
    <row r="742" ht="15.75" customHeight="1">
      <c r="B742" s="46"/>
      <c r="C742" s="34"/>
      <c r="D742" s="34"/>
      <c r="E742" s="34"/>
      <c r="F742" s="34"/>
      <c r="G742" s="34"/>
      <c r="H742" s="34"/>
    </row>
    <row r="743" ht="15.75" customHeight="1">
      <c r="B743" s="46"/>
      <c r="C743" s="34"/>
      <c r="D743" s="34"/>
      <c r="E743" s="34"/>
      <c r="F743" s="34"/>
      <c r="G743" s="34"/>
      <c r="H743" s="34"/>
    </row>
    <row r="744" ht="15.75" customHeight="1">
      <c r="B744" s="46"/>
      <c r="C744" s="34"/>
      <c r="D744" s="34"/>
      <c r="E744" s="34"/>
      <c r="F744" s="34"/>
      <c r="G744" s="34"/>
      <c r="H744" s="34"/>
    </row>
    <row r="745" ht="15.75" customHeight="1">
      <c r="B745" s="46"/>
      <c r="C745" s="34"/>
      <c r="D745" s="34"/>
      <c r="E745" s="34"/>
      <c r="F745" s="34"/>
      <c r="G745" s="34"/>
      <c r="H745" s="34"/>
    </row>
    <row r="746" ht="15.75" customHeight="1">
      <c r="B746" s="46"/>
      <c r="C746" s="34"/>
      <c r="D746" s="34"/>
      <c r="E746" s="34"/>
      <c r="F746" s="34"/>
      <c r="G746" s="34"/>
      <c r="H746" s="34"/>
    </row>
    <row r="747" ht="15.75" customHeight="1">
      <c r="B747" s="46"/>
      <c r="C747" s="34"/>
      <c r="D747" s="34"/>
      <c r="E747" s="34"/>
      <c r="F747" s="34"/>
      <c r="G747" s="34"/>
      <c r="H747" s="34"/>
    </row>
    <row r="748" ht="15.75" customHeight="1">
      <c r="B748" s="46"/>
      <c r="C748" s="34"/>
      <c r="D748" s="34"/>
      <c r="E748" s="34"/>
      <c r="F748" s="34"/>
      <c r="G748" s="34"/>
      <c r="H748" s="34"/>
    </row>
    <row r="749" ht="15.75" customHeight="1">
      <c r="B749" s="46"/>
      <c r="C749" s="34"/>
      <c r="D749" s="34"/>
      <c r="E749" s="34"/>
      <c r="F749" s="34"/>
      <c r="G749" s="34"/>
      <c r="H749" s="34"/>
    </row>
    <row r="750" ht="15.75" customHeight="1">
      <c r="B750" s="46"/>
      <c r="C750" s="34"/>
      <c r="D750" s="34"/>
      <c r="E750" s="34"/>
      <c r="F750" s="34"/>
      <c r="G750" s="34"/>
      <c r="H750" s="34"/>
    </row>
    <row r="751" ht="15.75" customHeight="1">
      <c r="B751" s="46"/>
      <c r="C751" s="34"/>
      <c r="D751" s="34"/>
      <c r="E751" s="34"/>
      <c r="F751" s="34"/>
      <c r="G751" s="34"/>
      <c r="H751" s="34"/>
    </row>
    <row r="752" ht="15.75" customHeight="1">
      <c r="B752" s="46"/>
      <c r="C752" s="34"/>
      <c r="D752" s="34"/>
      <c r="E752" s="34"/>
      <c r="F752" s="34"/>
      <c r="G752" s="34"/>
      <c r="H752" s="34"/>
    </row>
    <row r="753" ht="15.75" customHeight="1">
      <c r="B753" s="46"/>
      <c r="C753" s="34"/>
      <c r="D753" s="34"/>
      <c r="E753" s="34"/>
      <c r="F753" s="34"/>
      <c r="G753" s="34"/>
      <c r="H753" s="34"/>
    </row>
    <row r="754" ht="15.75" customHeight="1">
      <c r="B754" s="46"/>
      <c r="C754" s="34"/>
      <c r="D754" s="34"/>
      <c r="E754" s="34"/>
      <c r="F754" s="34"/>
      <c r="G754" s="34"/>
      <c r="H754" s="34"/>
    </row>
    <row r="755" ht="15.75" customHeight="1">
      <c r="B755" s="46"/>
      <c r="C755" s="34"/>
      <c r="D755" s="34"/>
      <c r="E755" s="34"/>
      <c r="F755" s="34"/>
      <c r="G755" s="34"/>
      <c r="H755" s="34"/>
    </row>
    <row r="756" ht="15.75" customHeight="1">
      <c r="B756" s="46"/>
      <c r="C756" s="34"/>
      <c r="D756" s="34"/>
      <c r="E756" s="34"/>
      <c r="F756" s="34"/>
      <c r="G756" s="34"/>
      <c r="H756" s="34"/>
    </row>
    <row r="757" ht="15.75" customHeight="1">
      <c r="B757" s="46"/>
      <c r="C757" s="34"/>
      <c r="D757" s="34"/>
      <c r="E757" s="34"/>
      <c r="F757" s="34"/>
      <c r="G757" s="34"/>
      <c r="H757" s="34"/>
    </row>
    <row r="758" ht="15.75" customHeight="1">
      <c r="B758" s="46"/>
      <c r="C758" s="34"/>
      <c r="D758" s="34"/>
      <c r="E758" s="34"/>
      <c r="F758" s="34"/>
      <c r="G758" s="34"/>
      <c r="H758" s="34"/>
    </row>
    <row r="759" ht="15.75" customHeight="1">
      <c r="B759" s="46"/>
      <c r="C759" s="34"/>
      <c r="D759" s="34"/>
      <c r="E759" s="34"/>
      <c r="F759" s="34"/>
      <c r="G759" s="34"/>
      <c r="H759" s="34"/>
    </row>
    <row r="760" ht="15.75" customHeight="1">
      <c r="B760" s="46"/>
      <c r="C760" s="34"/>
      <c r="D760" s="34"/>
      <c r="E760" s="34"/>
      <c r="F760" s="34"/>
      <c r="G760" s="34"/>
      <c r="H760" s="34"/>
    </row>
    <row r="761" ht="15.75" customHeight="1">
      <c r="B761" s="46"/>
      <c r="C761" s="34"/>
      <c r="D761" s="34"/>
      <c r="E761" s="34"/>
      <c r="F761" s="34"/>
      <c r="G761" s="34"/>
      <c r="H761" s="34"/>
    </row>
    <row r="762" ht="15.75" customHeight="1">
      <c r="B762" s="46"/>
      <c r="C762" s="34"/>
      <c r="D762" s="34"/>
      <c r="E762" s="34"/>
      <c r="F762" s="34"/>
      <c r="G762" s="34"/>
      <c r="H762" s="34"/>
    </row>
    <row r="763" ht="15.75" customHeight="1">
      <c r="B763" s="46"/>
      <c r="C763" s="34"/>
      <c r="D763" s="34"/>
      <c r="E763" s="34"/>
      <c r="F763" s="34"/>
      <c r="G763" s="34"/>
      <c r="H763" s="34"/>
    </row>
    <row r="764" ht="15.75" customHeight="1">
      <c r="B764" s="46"/>
      <c r="C764" s="34"/>
      <c r="D764" s="34"/>
      <c r="E764" s="34"/>
      <c r="F764" s="34"/>
      <c r="G764" s="34"/>
      <c r="H764" s="34"/>
    </row>
    <row r="765" ht="15.75" customHeight="1">
      <c r="B765" s="46"/>
      <c r="C765" s="34"/>
      <c r="D765" s="34"/>
      <c r="E765" s="34"/>
      <c r="F765" s="34"/>
      <c r="G765" s="34"/>
      <c r="H765" s="34"/>
    </row>
    <row r="766" ht="15.75" customHeight="1">
      <c r="B766" s="46"/>
      <c r="C766" s="34"/>
      <c r="D766" s="34"/>
      <c r="E766" s="34"/>
      <c r="F766" s="34"/>
      <c r="G766" s="34"/>
      <c r="H766" s="34"/>
    </row>
    <row r="767" ht="15.75" customHeight="1">
      <c r="B767" s="46"/>
      <c r="C767" s="34"/>
      <c r="D767" s="34"/>
      <c r="E767" s="34"/>
      <c r="F767" s="34"/>
      <c r="G767" s="34"/>
      <c r="H767" s="34"/>
    </row>
    <row r="768" ht="15.75" customHeight="1">
      <c r="B768" s="46"/>
      <c r="C768" s="34"/>
      <c r="D768" s="34"/>
      <c r="E768" s="34"/>
      <c r="F768" s="34"/>
      <c r="G768" s="34"/>
      <c r="H768" s="34"/>
    </row>
    <row r="769" ht="15.75" customHeight="1">
      <c r="B769" s="46"/>
      <c r="C769" s="34"/>
      <c r="D769" s="34"/>
      <c r="E769" s="34"/>
      <c r="F769" s="34"/>
      <c r="G769" s="34"/>
      <c r="H769" s="34"/>
    </row>
    <row r="770" ht="15.75" customHeight="1">
      <c r="B770" s="46"/>
      <c r="C770" s="34"/>
      <c r="D770" s="34"/>
      <c r="E770" s="34"/>
      <c r="F770" s="34"/>
      <c r="G770" s="34"/>
      <c r="H770" s="34"/>
    </row>
    <row r="771" ht="15.75" customHeight="1">
      <c r="B771" s="46"/>
      <c r="C771" s="34"/>
      <c r="D771" s="34"/>
      <c r="E771" s="34"/>
      <c r="F771" s="34"/>
      <c r="G771" s="34"/>
      <c r="H771" s="34"/>
    </row>
    <row r="772" ht="15.75" customHeight="1">
      <c r="B772" s="46"/>
      <c r="C772" s="34"/>
      <c r="D772" s="34"/>
      <c r="E772" s="34"/>
      <c r="F772" s="34"/>
      <c r="G772" s="34"/>
      <c r="H772" s="34"/>
    </row>
    <row r="773" ht="15.75" customHeight="1">
      <c r="B773" s="46"/>
      <c r="C773" s="34"/>
      <c r="D773" s="34"/>
      <c r="E773" s="34"/>
      <c r="F773" s="34"/>
      <c r="G773" s="34"/>
      <c r="H773" s="34"/>
    </row>
    <row r="774" ht="15.75" customHeight="1">
      <c r="B774" s="46"/>
      <c r="C774" s="34"/>
      <c r="D774" s="34"/>
      <c r="E774" s="34"/>
      <c r="F774" s="34"/>
      <c r="G774" s="34"/>
      <c r="H774" s="34"/>
    </row>
    <row r="775" ht="15.75" customHeight="1">
      <c r="B775" s="46"/>
      <c r="C775" s="34"/>
      <c r="D775" s="34"/>
      <c r="E775" s="34"/>
      <c r="F775" s="34"/>
      <c r="G775" s="34"/>
      <c r="H775" s="34"/>
    </row>
    <row r="776" ht="15.75" customHeight="1">
      <c r="B776" s="46"/>
      <c r="C776" s="34"/>
      <c r="D776" s="34"/>
      <c r="E776" s="34"/>
      <c r="F776" s="34"/>
      <c r="G776" s="34"/>
      <c r="H776" s="34"/>
    </row>
    <row r="777" ht="15.75" customHeight="1">
      <c r="B777" s="46"/>
      <c r="C777" s="34"/>
      <c r="D777" s="34"/>
      <c r="E777" s="34"/>
      <c r="F777" s="34"/>
      <c r="G777" s="34"/>
      <c r="H777" s="34"/>
    </row>
    <row r="778" ht="15.75" customHeight="1">
      <c r="B778" s="46"/>
      <c r="C778" s="34"/>
      <c r="D778" s="34"/>
      <c r="E778" s="34"/>
      <c r="F778" s="34"/>
      <c r="G778" s="34"/>
      <c r="H778" s="34"/>
    </row>
    <row r="779" ht="15.75" customHeight="1">
      <c r="B779" s="46"/>
      <c r="C779" s="34"/>
      <c r="D779" s="34"/>
      <c r="E779" s="34"/>
      <c r="F779" s="34"/>
      <c r="G779" s="34"/>
      <c r="H779" s="34"/>
    </row>
    <row r="780" ht="15.75" customHeight="1">
      <c r="B780" s="46"/>
      <c r="C780" s="34"/>
      <c r="D780" s="34"/>
      <c r="E780" s="34"/>
      <c r="F780" s="34"/>
      <c r="G780" s="34"/>
      <c r="H780" s="34"/>
    </row>
    <row r="781" ht="15.75" customHeight="1">
      <c r="B781" s="46"/>
      <c r="C781" s="34"/>
      <c r="D781" s="34"/>
      <c r="E781" s="34"/>
      <c r="F781" s="34"/>
      <c r="G781" s="34"/>
      <c r="H781" s="34"/>
    </row>
    <row r="782" ht="15.75" customHeight="1">
      <c r="B782" s="46"/>
      <c r="C782" s="34"/>
      <c r="D782" s="34"/>
      <c r="E782" s="34"/>
      <c r="F782" s="34"/>
      <c r="G782" s="34"/>
      <c r="H782" s="34"/>
    </row>
    <row r="783" ht="15.75" customHeight="1">
      <c r="B783" s="46"/>
      <c r="C783" s="34"/>
      <c r="D783" s="34"/>
      <c r="E783" s="34"/>
      <c r="F783" s="34"/>
      <c r="G783" s="34"/>
      <c r="H783" s="34"/>
    </row>
    <row r="784" ht="15.75" customHeight="1">
      <c r="B784" s="46"/>
      <c r="C784" s="34"/>
      <c r="D784" s="34"/>
      <c r="E784" s="34"/>
      <c r="F784" s="34"/>
      <c r="G784" s="34"/>
      <c r="H784" s="34"/>
    </row>
    <row r="785" ht="15.75" customHeight="1">
      <c r="B785" s="46"/>
      <c r="C785" s="34"/>
      <c r="D785" s="34"/>
      <c r="E785" s="34"/>
      <c r="F785" s="34"/>
      <c r="G785" s="34"/>
      <c r="H785" s="34"/>
    </row>
    <row r="786" ht="15.75" customHeight="1">
      <c r="B786" s="46"/>
      <c r="C786" s="34"/>
      <c r="D786" s="34"/>
      <c r="E786" s="34"/>
      <c r="F786" s="34"/>
      <c r="G786" s="34"/>
      <c r="H786" s="34"/>
    </row>
    <row r="787" ht="15.75" customHeight="1">
      <c r="B787" s="46"/>
      <c r="C787" s="34"/>
      <c r="D787" s="34"/>
      <c r="E787" s="34"/>
      <c r="F787" s="34"/>
      <c r="G787" s="34"/>
      <c r="H787" s="34"/>
    </row>
    <row r="788" ht="15.75" customHeight="1">
      <c r="B788" s="46"/>
      <c r="C788" s="34"/>
      <c r="D788" s="34"/>
      <c r="E788" s="34"/>
      <c r="F788" s="34"/>
      <c r="G788" s="34"/>
      <c r="H788" s="34"/>
    </row>
    <row r="789" ht="15.75" customHeight="1">
      <c r="B789" s="46"/>
      <c r="C789" s="34"/>
      <c r="D789" s="34"/>
      <c r="E789" s="34"/>
      <c r="F789" s="34"/>
      <c r="G789" s="34"/>
      <c r="H789" s="34"/>
    </row>
    <row r="790" ht="15.75" customHeight="1">
      <c r="B790" s="46"/>
      <c r="C790" s="34"/>
      <c r="D790" s="34"/>
      <c r="E790" s="34"/>
      <c r="F790" s="34"/>
      <c r="G790" s="34"/>
      <c r="H790" s="34"/>
    </row>
    <row r="791" ht="15.75" customHeight="1">
      <c r="B791" s="46"/>
      <c r="C791" s="34"/>
      <c r="D791" s="34"/>
      <c r="E791" s="34"/>
      <c r="F791" s="34"/>
      <c r="G791" s="34"/>
      <c r="H791" s="34"/>
    </row>
    <row r="792" ht="15.75" customHeight="1">
      <c r="B792" s="46"/>
      <c r="C792" s="34"/>
      <c r="D792" s="34"/>
      <c r="E792" s="34"/>
      <c r="F792" s="34"/>
      <c r="G792" s="34"/>
      <c r="H792" s="34"/>
    </row>
    <row r="793" ht="15.75" customHeight="1">
      <c r="B793" s="46"/>
      <c r="C793" s="34"/>
      <c r="D793" s="34"/>
      <c r="E793" s="34"/>
      <c r="F793" s="34"/>
      <c r="G793" s="34"/>
      <c r="H793" s="34"/>
    </row>
    <row r="794" ht="15.75" customHeight="1">
      <c r="B794" s="46"/>
      <c r="C794" s="34"/>
      <c r="D794" s="34"/>
      <c r="E794" s="34"/>
      <c r="F794" s="34"/>
      <c r="G794" s="34"/>
      <c r="H794" s="34"/>
    </row>
    <row r="795" ht="15.75" customHeight="1">
      <c r="B795" s="46"/>
      <c r="C795" s="34"/>
      <c r="D795" s="34"/>
      <c r="E795" s="34"/>
      <c r="F795" s="34"/>
      <c r="G795" s="34"/>
      <c r="H795" s="34"/>
    </row>
    <row r="796" ht="15.75" customHeight="1">
      <c r="B796" s="46"/>
      <c r="C796" s="34"/>
      <c r="D796" s="34"/>
      <c r="E796" s="34"/>
      <c r="F796" s="34"/>
      <c r="G796" s="34"/>
      <c r="H796" s="34"/>
    </row>
    <row r="797" ht="15.75" customHeight="1">
      <c r="B797" s="46"/>
      <c r="C797" s="34"/>
      <c r="D797" s="34"/>
      <c r="E797" s="34"/>
      <c r="F797" s="34"/>
      <c r="G797" s="34"/>
      <c r="H797" s="34"/>
    </row>
    <row r="798" ht="15.75" customHeight="1">
      <c r="B798" s="46"/>
      <c r="C798" s="34"/>
      <c r="D798" s="34"/>
      <c r="E798" s="34"/>
      <c r="F798" s="34"/>
      <c r="G798" s="34"/>
      <c r="H798" s="34"/>
    </row>
    <row r="799" ht="15.75" customHeight="1">
      <c r="B799" s="46"/>
      <c r="C799" s="34"/>
      <c r="D799" s="34"/>
      <c r="E799" s="34"/>
      <c r="F799" s="34"/>
      <c r="G799" s="34"/>
      <c r="H799" s="34"/>
    </row>
    <row r="800" ht="15.75" customHeight="1">
      <c r="B800" s="46"/>
      <c r="C800" s="34"/>
      <c r="D800" s="34"/>
      <c r="E800" s="34"/>
      <c r="F800" s="34"/>
      <c r="G800" s="34"/>
      <c r="H800" s="34"/>
    </row>
    <row r="801" ht="15.75" customHeight="1">
      <c r="B801" s="46"/>
      <c r="C801" s="34"/>
      <c r="D801" s="34"/>
      <c r="E801" s="34"/>
      <c r="F801" s="34"/>
      <c r="G801" s="34"/>
      <c r="H801" s="34"/>
    </row>
    <row r="802" ht="15.75" customHeight="1">
      <c r="B802" s="46"/>
      <c r="C802" s="34"/>
      <c r="D802" s="34"/>
      <c r="E802" s="34"/>
      <c r="F802" s="34"/>
      <c r="G802" s="34"/>
      <c r="H802" s="34"/>
    </row>
    <row r="803" ht="15.75" customHeight="1">
      <c r="B803" s="46"/>
      <c r="C803" s="34"/>
      <c r="D803" s="34"/>
      <c r="E803" s="34"/>
      <c r="F803" s="34"/>
      <c r="G803" s="34"/>
      <c r="H803" s="34"/>
    </row>
    <row r="804" ht="15.75" customHeight="1">
      <c r="B804" s="46"/>
      <c r="C804" s="34"/>
      <c r="D804" s="34"/>
      <c r="E804" s="34"/>
      <c r="F804" s="34"/>
      <c r="G804" s="34"/>
      <c r="H804" s="34"/>
    </row>
    <row r="805" ht="15.75" customHeight="1">
      <c r="B805" s="46"/>
      <c r="C805" s="34"/>
      <c r="D805" s="34"/>
      <c r="E805" s="34"/>
      <c r="F805" s="34"/>
      <c r="G805" s="34"/>
      <c r="H805" s="34"/>
    </row>
    <row r="806" ht="15.75" customHeight="1">
      <c r="B806" s="46"/>
      <c r="C806" s="34"/>
      <c r="D806" s="34"/>
      <c r="E806" s="34"/>
      <c r="F806" s="34"/>
      <c r="G806" s="34"/>
      <c r="H806" s="34"/>
    </row>
    <row r="807" ht="15.75" customHeight="1">
      <c r="B807" s="46"/>
      <c r="C807" s="34"/>
      <c r="D807" s="34"/>
      <c r="E807" s="34"/>
      <c r="F807" s="34"/>
      <c r="G807" s="34"/>
      <c r="H807" s="34"/>
    </row>
    <row r="808" ht="15.75" customHeight="1">
      <c r="B808" s="46"/>
      <c r="C808" s="34"/>
      <c r="D808" s="34"/>
      <c r="E808" s="34"/>
      <c r="F808" s="34"/>
      <c r="G808" s="34"/>
      <c r="H808" s="34"/>
    </row>
    <row r="809" ht="15.75" customHeight="1">
      <c r="B809" s="46"/>
      <c r="C809" s="34"/>
      <c r="D809" s="34"/>
      <c r="E809" s="34"/>
      <c r="F809" s="34"/>
      <c r="G809" s="34"/>
      <c r="H809" s="34"/>
    </row>
    <row r="810" ht="15.75" customHeight="1">
      <c r="B810" s="46"/>
      <c r="C810" s="34"/>
      <c r="D810" s="34"/>
      <c r="E810" s="34"/>
      <c r="F810" s="34"/>
      <c r="G810" s="34"/>
      <c r="H810" s="34"/>
    </row>
    <row r="811" ht="15.75" customHeight="1">
      <c r="B811" s="46"/>
      <c r="C811" s="34"/>
      <c r="D811" s="34"/>
      <c r="E811" s="34"/>
      <c r="F811" s="34"/>
      <c r="G811" s="34"/>
      <c r="H811" s="34"/>
    </row>
    <row r="812" ht="15.75" customHeight="1">
      <c r="B812" s="46"/>
      <c r="C812" s="34"/>
      <c r="D812" s="34"/>
      <c r="E812" s="34"/>
      <c r="F812" s="34"/>
      <c r="G812" s="34"/>
      <c r="H812" s="34"/>
    </row>
    <row r="813" ht="15.75" customHeight="1">
      <c r="B813" s="46"/>
      <c r="C813" s="34"/>
      <c r="D813" s="34"/>
      <c r="E813" s="34"/>
      <c r="F813" s="34"/>
      <c r="G813" s="34"/>
      <c r="H813" s="34"/>
    </row>
    <row r="814" ht="15.75" customHeight="1">
      <c r="B814" s="46"/>
      <c r="C814" s="34"/>
      <c r="D814" s="34"/>
      <c r="E814" s="34"/>
      <c r="F814" s="34"/>
      <c r="G814" s="34"/>
      <c r="H814" s="34"/>
    </row>
    <row r="815" ht="15.75" customHeight="1">
      <c r="B815" s="46"/>
      <c r="C815" s="34"/>
      <c r="D815" s="34"/>
      <c r="E815" s="34"/>
      <c r="F815" s="34"/>
      <c r="G815" s="34"/>
      <c r="H815" s="34"/>
    </row>
    <row r="816" ht="15.75" customHeight="1">
      <c r="B816" s="46"/>
      <c r="C816" s="34"/>
      <c r="D816" s="34"/>
      <c r="E816" s="34"/>
      <c r="F816" s="34"/>
      <c r="G816" s="34"/>
      <c r="H816" s="34"/>
    </row>
    <row r="817" ht="15.75" customHeight="1">
      <c r="B817" s="46"/>
      <c r="C817" s="34"/>
      <c r="D817" s="34"/>
      <c r="E817" s="34"/>
      <c r="F817" s="34"/>
      <c r="G817" s="34"/>
      <c r="H817" s="34"/>
    </row>
    <row r="818" ht="15.75" customHeight="1">
      <c r="B818" s="46"/>
      <c r="C818" s="34"/>
      <c r="D818" s="34"/>
      <c r="E818" s="34"/>
      <c r="F818" s="34"/>
      <c r="G818" s="34"/>
      <c r="H818" s="34"/>
    </row>
    <row r="819" ht="15.75" customHeight="1">
      <c r="B819" s="46"/>
      <c r="C819" s="34"/>
      <c r="D819" s="34"/>
      <c r="E819" s="34"/>
      <c r="F819" s="34"/>
      <c r="G819" s="34"/>
      <c r="H819" s="34"/>
    </row>
    <row r="820" ht="15.75" customHeight="1">
      <c r="B820" s="46"/>
      <c r="C820" s="34"/>
      <c r="D820" s="34"/>
      <c r="E820" s="34"/>
      <c r="F820" s="34"/>
      <c r="G820" s="34"/>
      <c r="H820" s="34"/>
    </row>
    <row r="821" ht="15.75" customHeight="1">
      <c r="B821" s="46"/>
      <c r="C821" s="34"/>
      <c r="D821" s="34"/>
      <c r="E821" s="34"/>
      <c r="F821" s="34"/>
      <c r="G821" s="34"/>
      <c r="H821" s="34"/>
    </row>
    <row r="822" ht="15.75" customHeight="1">
      <c r="B822" s="46"/>
      <c r="C822" s="34"/>
      <c r="D822" s="34"/>
      <c r="E822" s="34"/>
      <c r="F822" s="34"/>
      <c r="G822" s="34"/>
      <c r="H822" s="34"/>
    </row>
    <row r="823" ht="15.75" customHeight="1">
      <c r="B823" s="46"/>
      <c r="C823" s="34"/>
      <c r="D823" s="34"/>
      <c r="E823" s="34"/>
      <c r="F823" s="34"/>
      <c r="G823" s="34"/>
      <c r="H823" s="34"/>
    </row>
    <row r="824" ht="15.75" customHeight="1">
      <c r="B824" s="46"/>
      <c r="C824" s="34"/>
      <c r="D824" s="34"/>
      <c r="E824" s="34"/>
      <c r="F824" s="34"/>
      <c r="G824" s="34"/>
      <c r="H824" s="34"/>
    </row>
    <row r="825" ht="15.75" customHeight="1">
      <c r="B825" s="46"/>
      <c r="C825" s="34"/>
      <c r="D825" s="34"/>
      <c r="E825" s="34"/>
      <c r="F825" s="34"/>
      <c r="G825" s="34"/>
      <c r="H825" s="34"/>
    </row>
    <row r="826" ht="15.75" customHeight="1">
      <c r="B826" s="46"/>
      <c r="C826" s="34"/>
      <c r="D826" s="34"/>
      <c r="E826" s="34"/>
      <c r="F826" s="34"/>
      <c r="G826" s="34"/>
      <c r="H826" s="34"/>
    </row>
    <row r="827" ht="15.75" customHeight="1">
      <c r="B827" s="46"/>
      <c r="C827" s="34"/>
      <c r="D827" s="34"/>
      <c r="E827" s="34"/>
      <c r="F827" s="34"/>
      <c r="G827" s="34"/>
      <c r="H827" s="34"/>
    </row>
    <row r="828" ht="15.75" customHeight="1">
      <c r="B828" s="46"/>
      <c r="C828" s="34"/>
      <c r="D828" s="34"/>
      <c r="E828" s="34"/>
      <c r="F828" s="34"/>
      <c r="G828" s="34"/>
      <c r="H828" s="34"/>
    </row>
    <row r="829" ht="15.75" customHeight="1">
      <c r="B829" s="46"/>
      <c r="C829" s="34"/>
      <c r="D829" s="34"/>
      <c r="E829" s="34"/>
      <c r="F829" s="34"/>
      <c r="G829" s="34"/>
      <c r="H829" s="34"/>
    </row>
    <row r="830" ht="15.75" customHeight="1">
      <c r="B830" s="46"/>
      <c r="C830" s="34"/>
      <c r="D830" s="34"/>
      <c r="E830" s="34"/>
      <c r="F830" s="34"/>
      <c r="G830" s="34"/>
      <c r="H830" s="34"/>
    </row>
    <row r="831" ht="15.75" customHeight="1">
      <c r="B831" s="46"/>
      <c r="C831" s="34"/>
      <c r="D831" s="34"/>
      <c r="E831" s="34"/>
      <c r="F831" s="34"/>
      <c r="G831" s="34"/>
      <c r="H831" s="34"/>
    </row>
    <row r="832" ht="15.75" customHeight="1">
      <c r="B832" s="46"/>
      <c r="C832" s="34"/>
      <c r="D832" s="34"/>
      <c r="E832" s="34"/>
      <c r="F832" s="34"/>
      <c r="G832" s="34"/>
      <c r="H832" s="34"/>
    </row>
    <row r="833" ht="15.75" customHeight="1">
      <c r="B833" s="46"/>
      <c r="C833" s="34"/>
      <c r="D833" s="34"/>
      <c r="E833" s="34"/>
      <c r="F833" s="34"/>
      <c r="G833" s="34"/>
      <c r="H833" s="34"/>
    </row>
    <row r="834" ht="15.75" customHeight="1">
      <c r="B834" s="46"/>
      <c r="C834" s="34"/>
      <c r="D834" s="34"/>
      <c r="E834" s="34"/>
      <c r="F834" s="34"/>
      <c r="G834" s="34"/>
      <c r="H834" s="34"/>
    </row>
    <row r="835" ht="15.75" customHeight="1">
      <c r="B835" s="46"/>
      <c r="C835" s="34"/>
      <c r="D835" s="34"/>
      <c r="E835" s="34"/>
      <c r="F835" s="34"/>
      <c r="G835" s="34"/>
      <c r="H835" s="34"/>
    </row>
    <row r="836" ht="15.75" customHeight="1">
      <c r="B836" s="46"/>
      <c r="C836" s="34"/>
      <c r="D836" s="34"/>
      <c r="E836" s="34"/>
      <c r="F836" s="34"/>
      <c r="G836" s="34"/>
      <c r="H836" s="34"/>
    </row>
    <row r="837" ht="15.75" customHeight="1">
      <c r="B837" s="46"/>
      <c r="C837" s="34"/>
      <c r="D837" s="34"/>
      <c r="E837" s="34"/>
      <c r="F837" s="34"/>
      <c r="G837" s="34"/>
      <c r="H837" s="34"/>
    </row>
    <row r="838" ht="15.75" customHeight="1">
      <c r="B838" s="46"/>
      <c r="C838" s="34"/>
      <c r="D838" s="34"/>
      <c r="E838" s="34"/>
      <c r="F838" s="34"/>
      <c r="G838" s="34"/>
      <c r="H838" s="34"/>
    </row>
    <row r="839" ht="15.75" customHeight="1">
      <c r="B839" s="46"/>
      <c r="C839" s="34"/>
      <c r="D839" s="34"/>
      <c r="E839" s="34"/>
      <c r="F839" s="34"/>
      <c r="G839" s="34"/>
      <c r="H839" s="34"/>
    </row>
    <row r="840" ht="15.75" customHeight="1">
      <c r="B840" s="46"/>
      <c r="C840" s="34"/>
      <c r="D840" s="34"/>
      <c r="E840" s="34"/>
      <c r="F840" s="34"/>
      <c r="G840" s="34"/>
      <c r="H840" s="34"/>
    </row>
    <row r="841" ht="15.75" customHeight="1">
      <c r="B841" s="46"/>
      <c r="C841" s="34"/>
      <c r="D841" s="34"/>
      <c r="E841" s="34"/>
      <c r="F841" s="34"/>
      <c r="G841" s="34"/>
      <c r="H841" s="34"/>
    </row>
    <row r="842" ht="15.75" customHeight="1">
      <c r="B842" s="46"/>
      <c r="C842" s="34"/>
      <c r="D842" s="34"/>
      <c r="E842" s="34"/>
      <c r="F842" s="34"/>
      <c r="G842" s="34"/>
      <c r="H842" s="34"/>
    </row>
    <row r="843" ht="15.75" customHeight="1">
      <c r="B843" s="46"/>
      <c r="C843" s="34"/>
      <c r="D843" s="34"/>
      <c r="E843" s="34"/>
      <c r="F843" s="34"/>
      <c r="G843" s="34"/>
      <c r="H843" s="34"/>
    </row>
    <row r="844" ht="15.75" customHeight="1">
      <c r="B844" s="46"/>
      <c r="C844" s="34"/>
      <c r="D844" s="34"/>
      <c r="E844" s="34"/>
      <c r="F844" s="34"/>
      <c r="G844" s="34"/>
      <c r="H844" s="34"/>
    </row>
    <row r="845" ht="15.75" customHeight="1">
      <c r="B845" s="46"/>
      <c r="C845" s="34"/>
      <c r="D845" s="34"/>
      <c r="E845" s="34"/>
      <c r="F845" s="34"/>
      <c r="G845" s="34"/>
      <c r="H845" s="34"/>
    </row>
    <row r="846" ht="15.75" customHeight="1">
      <c r="B846" s="46"/>
      <c r="C846" s="34"/>
      <c r="D846" s="34"/>
      <c r="E846" s="34"/>
      <c r="F846" s="34"/>
      <c r="G846" s="34"/>
      <c r="H846" s="34"/>
    </row>
    <row r="847" ht="15.75" customHeight="1">
      <c r="B847" s="46"/>
      <c r="C847" s="34"/>
      <c r="D847" s="34"/>
      <c r="E847" s="34"/>
      <c r="F847" s="34"/>
      <c r="G847" s="34"/>
      <c r="H847" s="34"/>
    </row>
    <row r="848" ht="15.75" customHeight="1">
      <c r="B848" s="46"/>
      <c r="C848" s="34"/>
      <c r="D848" s="34"/>
      <c r="E848" s="34"/>
      <c r="F848" s="34"/>
      <c r="G848" s="34"/>
      <c r="H848" s="34"/>
    </row>
    <row r="849" ht="15.75" customHeight="1">
      <c r="B849" s="46"/>
      <c r="C849" s="34"/>
      <c r="D849" s="34"/>
      <c r="E849" s="34"/>
      <c r="F849" s="34"/>
      <c r="G849" s="34"/>
      <c r="H849" s="34"/>
    </row>
    <row r="850" ht="15.75" customHeight="1">
      <c r="B850" s="46"/>
      <c r="C850" s="34"/>
      <c r="D850" s="34"/>
      <c r="E850" s="34"/>
      <c r="F850" s="34"/>
      <c r="G850" s="34"/>
      <c r="H850" s="34"/>
    </row>
    <row r="851" ht="15.75" customHeight="1">
      <c r="B851" s="46"/>
      <c r="C851" s="34"/>
      <c r="D851" s="34"/>
      <c r="E851" s="34"/>
      <c r="F851" s="34"/>
      <c r="G851" s="34"/>
      <c r="H851" s="34"/>
    </row>
    <row r="852" ht="15.75" customHeight="1">
      <c r="B852" s="46"/>
      <c r="C852" s="34"/>
      <c r="D852" s="34"/>
      <c r="E852" s="34"/>
      <c r="F852" s="34"/>
      <c r="G852" s="34"/>
      <c r="H852" s="34"/>
    </row>
    <row r="853" ht="15.75" customHeight="1">
      <c r="B853" s="46"/>
      <c r="C853" s="34"/>
      <c r="D853" s="34"/>
      <c r="E853" s="34"/>
      <c r="F853" s="34"/>
      <c r="G853" s="34"/>
      <c r="H853" s="34"/>
    </row>
    <row r="854" ht="15.75" customHeight="1">
      <c r="B854" s="46"/>
      <c r="C854" s="34"/>
      <c r="D854" s="34"/>
      <c r="E854" s="34"/>
      <c r="F854" s="34"/>
      <c r="G854" s="34"/>
      <c r="H854" s="34"/>
    </row>
    <row r="855" ht="15.75" customHeight="1">
      <c r="B855" s="46"/>
      <c r="C855" s="34"/>
      <c r="D855" s="34"/>
      <c r="E855" s="34"/>
      <c r="F855" s="34"/>
      <c r="G855" s="34"/>
      <c r="H855" s="34"/>
    </row>
    <row r="856" ht="15.75" customHeight="1">
      <c r="B856" s="46"/>
      <c r="C856" s="34"/>
      <c r="D856" s="34"/>
      <c r="E856" s="34"/>
      <c r="F856" s="34"/>
      <c r="G856" s="34"/>
      <c r="H856" s="34"/>
    </row>
    <row r="857" ht="15.75" customHeight="1">
      <c r="B857" s="46"/>
      <c r="C857" s="34"/>
      <c r="D857" s="34"/>
      <c r="E857" s="34"/>
      <c r="F857" s="34"/>
      <c r="G857" s="34"/>
      <c r="H857" s="34"/>
    </row>
    <row r="858" ht="15.75" customHeight="1">
      <c r="B858" s="46"/>
      <c r="C858" s="34"/>
      <c r="D858" s="34"/>
      <c r="E858" s="34"/>
      <c r="F858" s="34"/>
      <c r="G858" s="34"/>
      <c r="H858" s="34"/>
    </row>
    <row r="859" ht="15.75" customHeight="1">
      <c r="B859" s="46"/>
      <c r="C859" s="34"/>
      <c r="D859" s="34"/>
      <c r="E859" s="34"/>
      <c r="F859" s="34"/>
      <c r="G859" s="34"/>
      <c r="H859" s="34"/>
    </row>
    <row r="860" ht="15.75" customHeight="1">
      <c r="B860" s="46"/>
      <c r="C860" s="34"/>
      <c r="D860" s="34"/>
      <c r="E860" s="34"/>
      <c r="F860" s="34"/>
      <c r="G860" s="34"/>
      <c r="H860" s="34"/>
    </row>
    <row r="861" ht="15.75" customHeight="1">
      <c r="B861" s="46"/>
      <c r="C861" s="34"/>
      <c r="D861" s="34"/>
      <c r="E861" s="34"/>
      <c r="F861" s="34"/>
      <c r="G861" s="34"/>
      <c r="H861" s="34"/>
    </row>
    <row r="862" ht="15.75" customHeight="1">
      <c r="B862" s="46"/>
      <c r="C862" s="34"/>
      <c r="D862" s="34"/>
      <c r="E862" s="34"/>
      <c r="F862" s="34"/>
      <c r="G862" s="34"/>
      <c r="H862" s="34"/>
    </row>
    <row r="863" ht="15.75" customHeight="1">
      <c r="B863" s="46"/>
      <c r="C863" s="34"/>
      <c r="D863" s="34"/>
      <c r="E863" s="34"/>
      <c r="F863" s="34"/>
      <c r="G863" s="34"/>
      <c r="H863" s="34"/>
    </row>
    <row r="864" ht="15.75" customHeight="1">
      <c r="B864" s="46"/>
      <c r="C864" s="34"/>
      <c r="D864" s="34"/>
      <c r="E864" s="34"/>
      <c r="F864" s="34"/>
      <c r="G864" s="34"/>
      <c r="H864" s="34"/>
    </row>
    <row r="865" ht="15.75" customHeight="1">
      <c r="B865" s="46"/>
      <c r="C865" s="34"/>
      <c r="D865" s="34"/>
      <c r="E865" s="34"/>
      <c r="F865" s="34"/>
      <c r="G865" s="34"/>
      <c r="H865" s="34"/>
    </row>
    <row r="866" ht="15.75" customHeight="1">
      <c r="B866" s="46"/>
      <c r="C866" s="34"/>
      <c r="D866" s="34"/>
      <c r="E866" s="34"/>
      <c r="F866" s="34"/>
      <c r="G866" s="34"/>
      <c r="H866" s="34"/>
    </row>
    <row r="867" ht="15.75" customHeight="1">
      <c r="B867" s="46"/>
      <c r="C867" s="34"/>
      <c r="D867" s="34"/>
      <c r="E867" s="34"/>
      <c r="F867" s="34"/>
      <c r="G867" s="34"/>
      <c r="H867" s="34"/>
    </row>
    <row r="868" ht="15.75" customHeight="1">
      <c r="B868" s="46"/>
      <c r="C868" s="34"/>
      <c r="D868" s="34"/>
      <c r="E868" s="34"/>
      <c r="F868" s="34"/>
      <c r="G868" s="34"/>
      <c r="H868" s="34"/>
    </row>
    <row r="869" ht="15.75" customHeight="1">
      <c r="B869" s="46"/>
      <c r="C869" s="34"/>
      <c r="D869" s="34"/>
      <c r="E869" s="34"/>
      <c r="F869" s="34"/>
      <c r="G869" s="34"/>
      <c r="H869" s="34"/>
    </row>
    <row r="870" ht="15.75" customHeight="1">
      <c r="B870" s="46"/>
      <c r="C870" s="34"/>
      <c r="D870" s="34"/>
      <c r="E870" s="34"/>
      <c r="F870" s="34"/>
      <c r="G870" s="34"/>
      <c r="H870" s="34"/>
    </row>
    <row r="871" ht="15.75" customHeight="1">
      <c r="B871" s="46"/>
      <c r="C871" s="34"/>
      <c r="D871" s="34"/>
      <c r="E871" s="34"/>
      <c r="F871" s="34"/>
      <c r="G871" s="34"/>
      <c r="H871" s="34"/>
    </row>
    <row r="872" ht="15.75" customHeight="1">
      <c r="B872" s="46"/>
      <c r="C872" s="34"/>
      <c r="D872" s="34"/>
      <c r="E872" s="34"/>
      <c r="F872" s="34"/>
      <c r="G872" s="34"/>
      <c r="H872" s="34"/>
    </row>
    <row r="873" ht="15.75" customHeight="1">
      <c r="B873" s="46"/>
      <c r="C873" s="34"/>
      <c r="D873" s="34"/>
      <c r="E873" s="34"/>
      <c r="F873" s="34"/>
      <c r="G873" s="34"/>
      <c r="H873" s="34"/>
    </row>
    <row r="874" ht="15.75" customHeight="1">
      <c r="B874" s="46"/>
      <c r="C874" s="34"/>
      <c r="D874" s="34"/>
      <c r="E874" s="34"/>
      <c r="F874" s="34"/>
      <c r="G874" s="34"/>
      <c r="H874" s="34"/>
    </row>
    <row r="875" ht="15.75" customHeight="1">
      <c r="B875" s="46"/>
      <c r="C875" s="34"/>
      <c r="D875" s="34"/>
      <c r="E875" s="34"/>
      <c r="F875" s="34"/>
      <c r="G875" s="34"/>
      <c r="H875" s="34"/>
    </row>
    <row r="876" ht="15.75" customHeight="1">
      <c r="B876" s="46"/>
      <c r="C876" s="34"/>
      <c r="D876" s="34"/>
      <c r="E876" s="34"/>
      <c r="F876" s="34"/>
      <c r="G876" s="34"/>
      <c r="H876" s="34"/>
    </row>
    <row r="877" ht="15.75" customHeight="1">
      <c r="B877" s="46"/>
      <c r="C877" s="34"/>
      <c r="D877" s="34"/>
      <c r="E877" s="34"/>
      <c r="F877" s="34"/>
      <c r="G877" s="34"/>
      <c r="H877" s="34"/>
    </row>
    <row r="878" ht="15.75" customHeight="1">
      <c r="B878" s="46"/>
      <c r="C878" s="34"/>
      <c r="D878" s="34"/>
      <c r="E878" s="34"/>
      <c r="F878" s="34"/>
      <c r="G878" s="34"/>
      <c r="H878" s="34"/>
    </row>
    <row r="879" ht="15.75" customHeight="1">
      <c r="B879" s="46"/>
      <c r="C879" s="34"/>
      <c r="D879" s="34"/>
      <c r="E879" s="34"/>
      <c r="F879" s="34"/>
      <c r="G879" s="34"/>
      <c r="H879" s="34"/>
    </row>
    <row r="880" ht="15.75" customHeight="1">
      <c r="B880" s="46"/>
      <c r="C880" s="34"/>
      <c r="D880" s="34"/>
      <c r="E880" s="34"/>
      <c r="F880" s="34"/>
      <c r="G880" s="34"/>
      <c r="H880" s="34"/>
    </row>
    <row r="881" ht="15.75" customHeight="1">
      <c r="B881" s="46"/>
      <c r="C881" s="34"/>
      <c r="D881" s="34"/>
      <c r="E881" s="34"/>
      <c r="F881" s="34"/>
      <c r="G881" s="34"/>
      <c r="H881" s="34"/>
    </row>
    <row r="882" ht="15.75" customHeight="1">
      <c r="B882" s="46"/>
      <c r="C882" s="34"/>
      <c r="D882" s="34"/>
      <c r="E882" s="34"/>
      <c r="F882" s="34"/>
      <c r="G882" s="34"/>
      <c r="H882" s="34"/>
    </row>
    <row r="883" ht="15.75" customHeight="1">
      <c r="B883" s="46"/>
      <c r="C883" s="34"/>
      <c r="D883" s="34"/>
      <c r="E883" s="34"/>
      <c r="F883" s="34"/>
      <c r="G883" s="34"/>
      <c r="H883" s="34"/>
    </row>
    <row r="884" ht="15.75" customHeight="1">
      <c r="B884" s="46"/>
      <c r="C884" s="34"/>
      <c r="D884" s="34"/>
      <c r="E884" s="34"/>
      <c r="F884" s="34"/>
      <c r="G884" s="34"/>
      <c r="H884" s="34"/>
    </row>
    <row r="885" ht="15.75" customHeight="1">
      <c r="B885" s="46"/>
      <c r="C885" s="34"/>
      <c r="D885" s="34"/>
      <c r="E885" s="34"/>
      <c r="F885" s="34"/>
      <c r="G885" s="34"/>
      <c r="H885" s="34"/>
    </row>
    <row r="886" ht="15.75" customHeight="1">
      <c r="B886" s="46"/>
      <c r="C886" s="34"/>
      <c r="D886" s="34"/>
      <c r="E886" s="34"/>
      <c r="F886" s="34"/>
      <c r="G886" s="34"/>
      <c r="H886" s="34"/>
    </row>
    <row r="887" ht="15.75" customHeight="1">
      <c r="B887" s="46"/>
      <c r="C887" s="34"/>
      <c r="D887" s="34"/>
      <c r="E887" s="34"/>
      <c r="F887" s="34"/>
      <c r="G887" s="34"/>
      <c r="H887" s="34"/>
    </row>
    <row r="888" ht="15.75" customHeight="1">
      <c r="B888" s="46"/>
      <c r="C888" s="34"/>
      <c r="D888" s="34"/>
      <c r="E888" s="34"/>
      <c r="F888" s="34"/>
      <c r="G888" s="34"/>
      <c r="H888" s="34"/>
    </row>
    <row r="889" ht="15.75" customHeight="1">
      <c r="B889" s="46"/>
      <c r="C889" s="34"/>
      <c r="D889" s="34"/>
      <c r="E889" s="34"/>
      <c r="F889" s="34"/>
      <c r="G889" s="34"/>
      <c r="H889" s="34"/>
    </row>
    <row r="890" ht="15.75" customHeight="1">
      <c r="B890" s="46"/>
      <c r="C890" s="34"/>
      <c r="D890" s="34"/>
      <c r="E890" s="34"/>
      <c r="F890" s="34"/>
      <c r="G890" s="34"/>
      <c r="H890" s="34"/>
    </row>
    <row r="891" ht="15.75" customHeight="1">
      <c r="B891" s="46"/>
      <c r="C891" s="34"/>
      <c r="D891" s="34"/>
      <c r="E891" s="34"/>
      <c r="F891" s="34"/>
      <c r="G891" s="34"/>
      <c r="H891" s="34"/>
    </row>
    <row r="892" ht="15.75" customHeight="1">
      <c r="B892" s="46"/>
      <c r="C892" s="34"/>
      <c r="D892" s="34"/>
      <c r="E892" s="34"/>
      <c r="F892" s="34"/>
      <c r="G892" s="34"/>
      <c r="H892" s="34"/>
    </row>
    <row r="893" ht="15.75" customHeight="1">
      <c r="B893" s="46"/>
      <c r="C893" s="34"/>
      <c r="D893" s="34"/>
      <c r="E893" s="34"/>
      <c r="F893" s="34"/>
      <c r="G893" s="34"/>
      <c r="H893" s="34"/>
    </row>
    <row r="894" ht="15.75" customHeight="1">
      <c r="B894" s="46"/>
      <c r="C894" s="34"/>
      <c r="D894" s="34"/>
      <c r="E894" s="34"/>
      <c r="F894" s="34"/>
      <c r="G894" s="34"/>
      <c r="H894" s="34"/>
    </row>
    <row r="895" ht="15.75" customHeight="1">
      <c r="B895" s="46"/>
      <c r="C895" s="34"/>
      <c r="D895" s="34"/>
      <c r="E895" s="34"/>
      <c r="F895" s="34"/>
      <c r="G895" s="34"/>
      <c r="H895" s="34"/>
    </row>
    <row r="896" ht="15.75" customHeight="1">
      <c r="B896" s="46"/>
      <c r="C896" s="34"/>
      <c r="D896" s="34"/>
      <c r="E896" s="34"/>
      <c r="F896" s="34"/>
      <c r="G896" s="34"/>
      <c r="H896" s="34"/>
    </row>
    <row r="897" ht="15.75" customHeight="1">
      <c r="B897" s="46"/>
      <c r="C897" s="34"/>
      <c r="D897" s="34"/>
      <c r="E897" s="34"/>
      <c r="F897" s="34"/>
      <c r="G897" s="34"/>
      <c r="H897" s="34"/>
    </row>
    <row r="898" ht="15.75" customHeight="1">
      <c r="B898" s="46"/>
      <c r="C898" s="34"/>
      <c r="D898" s="34"/>
      <c r="E898" s="34"/>
      <c r="F898" s="34"/>
      <c r="G898" s="34"/>
      <c r="H898" s="34"/>
    </row>
    <row r="899" ht="15.75" customHeight="1">
      <c r="B899" s="46"/>
      <c r="C899" s="34"/>
      <c r="D899" s="34"/>
      <c r="E899" s="34"/>
      <c r="F899" s="34"/>
      <c r="G899" s="34"/>
      <c r="H899" s="34"/>
    </row>
    <row r="900" ht="15.75" customHeight="1">
      <c r="B900" s="46"/>
      <c r="C900" s="34"/>
      <c r="D900" s="34"/>
      <c r="E900" s="34"/>
      <c r="F900" s="34"/>
      <c r="G900" s="34"/>
      <c r="H900" s="34"/>
    </row>
    <row r="901" ht="15.75" customHeight="1">
      <c r="B901" s="46"/>
      <c r="C901" s="34"/>
      <c r="D901" s="34"/>
      <c r="E901" s="34"/>
      <c r="F901" s="34"/>
      <c r="G901" s="34"/>
      <c r="H901" s="34"/>
    </row>
    <row r="902" ht="15.75" customHeight="1">
      <c r="B902" s="46"/>
      <c r="C902" s="34"/>
      <c r="D902" s="34"/>
      <c r="E902" s="34"/>
      <c r="F902" s="34"/>
      <c r="G902" s="34"/>
      <c r="H902" s="34"/>
    </row>
    <row r="903" ht="15.75" customHeight="1">
      <c r="B903" s="46"/>
      <c r="C903" s="34"/>
      <c r="D903" s="34"/>
      <c r="E903" s="34"/>
      <c r="F903" s="34"/>
      <c r="G903" s="34"/>
      <c r="H903" s="34"/>
    </row>
    <row r="904" ht="15.75" customHeight="1">
      <c r="B904" s="46"/>
      <c r="C904" s="34"/>
      <c r="D904" s="34"/>
      <c r="E904" s="34"/>
      <c r="F904" s="34"/>
      <c r="G904" s="34"/>
      <c r="H904" s="34"/>
    </row>
    <row r="905" ht="15.75" customHeight="1">
      <c r="B905" s="46"/>
      <c r="C905" s="34"/>
      <c r="D905" s="34"/>
      <c r="E905" s="34"/>
      <c r="F905" s="34"/>
      <c r="G905" s="34"/>
      <c r="H905" s="34"/>
    </row>
    <row r="906" ht="15.75" customHeight="1">
      <c r="B906" s="46"/>
      <c r="C906" s="34"/>
      <c r="D906" s="34"/>
      <c r="E906" s="34"/>
      <c r="F906" s="34"/>
      <c r="G906" s="34"/>
      <c r="H906" s="34"/>
    </row>
    <row r="907" ht="15.75" customHeight="1">
      <c r="B907" s="46"/>
      <c r="C907" s="34"/>
      <c r="D907" s="34"/>
      <c r="E907" s="34"/>
      <c r="F907" s="34"/>
      <c r="G907" s="34"/>
      <c r="H907" s="34"/>
    </row>
    <row r="908" ht="15.75" customHeight="1">
      <c r="B908" s="46"/>
      <c r="C908" s="34"/>
      <c r="D908" s="34"/>
      <c r="E908" s="34"/>
      <c r="F908" s="34"/>
      <c r="G908" s="34"/>
      <c r="H908" s="34"/>
    </row>
    <row r="909" ht="15.75" customHeight="1">
      <c r="B909" s="46"/>
      <c r="C909" s="34"/>
      <c r="D909" s="34"/>
      <c r="E909" s="34"/>
      <c r="F909" s="34"/>
      <c r="G909" s="34"/>
      <c r="H909" s="34"/>
    </row>
    <row r="910" ht="15.75" customHeight="1">
      <c r="B910" s="46"/>
      <c r="C910" s="34"/>
      <c r="D910" s="34"/>
      <c r="E910" s="34"/>
      <c r="F910" s="34"/>
      <c r="G910" s="34"/>
      <c r="H910" s="34"/>
    </row>
    <row r="911" ht="15.75" customHeight="1">
      <c r="B911" s="46"/>
      <c r="C911" s="34"/>
      <c r="D911" s="34"/>
      <c r="E911" s="34"/>
      <c r="F911" s="34"/>
      <c r="G911" s="34"/>
      <c r="H911" s="34"/>
    </row>
    <row r="912" ht="15.75" customHeight="1">
      <c r="B912" s="46"/>
      <c r="C912" s="34"/>
      <c r="D912" s="34"/>
      <c r="E912" s="34"/>
      <c r="F912" s="34"/>
      <c r="G912" s="34"/>
      <c r="H912" s="34"/>
    </row>
    <row r="913" ht="15.75" customHeight="1">
      <c r="B913" s="46"/>
      <c r="C913" s="34"/>
      <c r="D913" s="34"/>
      <c r="E913" s="34"/>
      <c r="F913" s="34"/>
      <c r="G913" s="34"/>
      <c r="H913" s="34"/>
    </row>
    <row r="914" ht="15.75" customHeight="1">
      <c r="B914" s="46"/>
      <c r="C914" s="34"/>
      <c r="D914" s="34"/>
      <c r="E914" s="34"/>
      <c r="F914" s="34"/>
      <c r="G914" s="34"/>
      <c r="H914" s="34"/>
    </row>
    <row r="915" ht="15.75" customHeight="1">
      <c r="B915" s="46"/>
      <c r="C915" s="34"/>
      <c r="D915" s="34"/>
      <c r="E915" s="34"/>
      <c r="F915" s="34"/>
      <c r="G915" s="34"/>
      <c r="H915" s="34"/>
    </row>
    <row r="916" ht="15.75" customHeight="1">
      <c r="B916" s="46"/>
      <c r="C916" s="34"/>
      <c r="D916" s="34"/>
      <c r="E916" s="34"/>
      <c r="F916" s="34"/>
      <c r="G916" s="34"/>
      <c r="H916" s="34"/>
    </row>
    <row r="917" ht="15.75" customHeight="1">
      <c r="B917" s="46"/>
      <c r="C917" s="34"/>
      <c r="D917" s="34"/>
      <c r="E917" s="34"/>
      <c r="F917" s="34"/>
      <c r="G917" s="34"/>
      <c r="H917" s="34"/>
    </row>
    <row r="918" ht="15.75" customHeight="1">
      <c r="B918" s="46"/>
      <c r="C918" s="34"/>
      <c r="D918" s="34"/>
      <c r="E918" s="34"/>
      <c r="F918" s="34"/>
      <c r="G918" s="34"/>
      <c r="H918" s="34"/>
    </row>
    <row r="919" ht="15.75" customHeight="1">
      <c r="B919" s="46"/>
      <c r="C919" s="34"/>
      <c r="D919" s="34"/>
      <c r="E919" s="34"/>
      <c r="F919" s="34"/>
      <c r="G919" s="34"/>
      <c r="H919" s="34"/>
    </row>
    <row r="920" ht="15.75" customHeight="1">
      <c r="B920" s="46"/>
      <c r="C920" s="34"/>
      <c r="D920" s="34"/>
      <c r="E920" s="34"/>
      <c r="F920" s="34"/>
      <c r="G920" s="34"/>
      <c r="H920" s="34"/>
    </row>
    <row r="921" ht="15.75" customHeight="1">
      <c r="B921" s="46"/>
      <c r="C921" s="34"/>
      <c r="D921" s="34"/>
      <c r="E921" s="34"/>
      <c r="F921" s="34"/>
      <c r="G921" s="34"/>
      <c r="H921" s="34"/>
    </row>
    <row r="922" ht="15.75" customHeight="1">
      <c r="B922" s="46"/>
      <c r="C922" s="34"/>
      <c r="D922" s="34"/>
      <c r="E922" s="34"/>
      <c r="F922" s="34"/>
      <c r="G922" s="34"/>
      <c r="H922" s="34"/>
    </row>
    <row r="923" ht="15.75" customHeight="1">
      <c r="B923" s="46"/>
      <c r="C923" s="34"/>
      <c r="D923" s="34"/>
      <c r="E923" s="34"/>
      <c r="F923" s="34"/>
      <c r="G923" s="34"/>
      <c r="H923" s="34"/>
    </row>
    <row r="924" ht="15.75" customHeight="1">
      <c r="B924" s="46"/>
      <c r="C924" s="34"/>
      <c r="D924" s="34"/>
      <c r="E924" s="34"/>
      <c r="F924" s="34"/>
      <c r="G924" s="34"/>
      <c r="H924" s="34"/>
    </row>
    <row r="925" ht="15.75" customHeight="1">
      <c r="B925" s="46"/>
      <c r="C925" s="34"/>
      <c r="D925" s="34"/>
      <c r="E925" s="34"/>
      <c r="F925" s="34"/>
      <c r="G925" s="34"/>
      <c r="H925" s="34"/>
    </row>
    <row r="926" ht="15.75" customHeight="1">
      <c r="B926" s="46"/>
      <c r="C926" s="34"/>
      <c r="D926" s="34"/>
      <c r="E926" s="34"/>
      <c r="F926" s="34"/>
      <c r="G926" s="34"/>
      <c r="H926" s="34"/>
    </row>
    <row r="927" ht="15.75" customHeight="1">
      <c r="B927" s="46"/>
      <c r="C927" s="34"/>
      <c r="D927" s="34"/>
      <c r="E927" s="34"/>
      <c r="F927" s="34"/>
      <c r="G927" s="34"/>
      <c r="H927" s="34"/>
    </row>
    <row r="928" ht="15.75" customHeight="1">
      <c r="B928" s="46"/>
      <c r="C928" s="34"/>
      <c r="D928" s="34"/>
      <c r="E928" s="34"/>
      <c r="F928" s="34"/>
      <c r="G928" s="34"/>
      <c r="H928" s="34"/>
    </row>
    <row r="929" ht="15.75" customHeight="1">
      <c r="B929" s="46"/>
      <c r="C929" s="34"/>
      <c r="D929" s="34"/>
      <c r="E929" s="34"/>
      <c r="F929" s="34"/>
      <c r="G929" s="34"/>
      <c r="H929" s="34"/>
    </row>
    <row r="930" ht="15.75" customHeight="1">
      <c r="B930" s="46"/>
      <c r="C930" s="34"/>
      <c r="D930" s="34"/>
      <c r="E930" s="34"/>
      <c r="F930" s="34"/>
      <c r="G930" s="34"/>
      <c r="H930" s="34"/>
    </row>
    <row r="931" ht="15.75" customHeight="1">
      <c r="B931" s="46"/>
      <c r="C931" s="34"/>
      <c r="D931" s="34"/>
      <c r="E931" s="34"/>
      <c r="F931" s="34"/>
      <c r="G931" s="34"/>
      <c r="H931" s="34"/>
    </row>
    <row r="932" ht="15.75" customHeight="1">
      <c r="B932" s="46"/>
      <c r="C932" s="34"/>
      <c r="D932" s="34"/>
      <c r="E932" s="34"/>
      <c r="F932" s="34"/>
      <c r="G932" s="34"/>
      <c r="H932" s="34"/>
    </row>
    <row r="933" ht="15.75" customHeight="1">
      <c r="B933" s="46"/>
      <c r="C933" s="34"/>
      <c r="D933" s="34"/>
      <c r="E933" s="34"/>
      <c r="F933" s="34"/>
      <c r="G933" s="34"/>
      <c r="H933" s="34"/>
    </row>
    <row r="934" ht="15.75" customHeight="1">
      <c r="B934" s="46"/>
      <c r="C934" s="34"/>
      <c r="D934" s="34"/>
      <c r="E934" s="34"/>
      <c r="F934" s="34"/>
      <c r="G934" s="34"/>
      <c r="H934" s="34"/>
    </row>
    <row r="935" ht="15.75" customHeight="1">
      <c r="B935" s="46"/>
      <c r="C935" s="34"/>
      <c r="D935" s="34"/>
      <c r="E935" s="34"/>
      <c r="F935" s="34"/>
      <c r="G935" s="34"/>
      <c r="H935" s="34"/>
    </row>
    <row r="936" ht="15.75" customHeight="1">
      <c r="B936" s="46"/>
      <c r="C936" s="34"/>
      <c r="D936" s="34"/>
      <c r="E936" s="34"/>
      <c r="F936" s="34"/>
      <c r="G936" s="34"/>
      <c r="H936" s="34"/>
    </row>
    <row r="937" ht="15.75" customHeight="1">
      <c r="B937" s="46"/>
      <c r="C937" s="34"/>
      <c r="D937" s="34"/>
      <c r="E937" s="34"/>
      <c r="F937" s="34"/>
      <c r="G937" s="34"/>
      <c r="H937" s="34"/>
    </row>
    <row r="938" ht="15.75" customHeight="1">
      <c r="B938" s="46"/>
      <c r="C938" s="34"/>
      <c r="D938" s="34"/>
      <c r="E938" s="34"/>
      <c r="F938" s="34"/>
      <c r="G938" s="34"/>
      <c r="H938" s="34"/>
    </row>
    <row r="939" ht="15.75" customHeight="1">
      <c r="B939" s="46"/>
      <c r="C939" s="34"/>
      <c r="D939" s="34"/>
      <c r="E939" s="34"/>
      <c r="F939" s="34"/>
      <c r="G939" s="34"/>
      <c r="H939" s="34"/>
    </row>
    <row r="940" ht="15.75" customHeight="1">
      <c r="B940" s="46"/>
      <c r="C940" s="34"/>
      <c r="D940" s="34"/>
      <c r="E940" s="34"/>
      <c r="F940" s="34"/>
      <c r="G940" s="34"/>
      <c r="H940" s="34"/>
    </row>
    <row r="941" ht="15.75" customHeight="1">
      <c r="B941" s="46"/>
      <c r="C941" s="34"/>
      <c r="D941" s="34"/>
      <c r="E941" s="34"/>
      <c r="F941" s="34"/>
      <c r="G941" s="34"/>
      <c r="H941" s="34"/>
    </row>
    <row r="942" ht="15.75" customHeight="1">
      <c r="B942" s="46"/>
      <c r="C942" s="34"/>
      <c r="D942" s="34"/>
      <c r="E942" s="34"/>
      <c r="F942" s="34"/>
      <c r="G942" s="34"/>
      <c r="H942" s="34"/>
    </row>
    <row r="943" ht="15.75" customHeight="1">
      <c r="B943" s="46"/>
      <c r="C943" s="34"/>
      <c r="D943" s="34"/>
      <c r="E943" s="34"/>
      <c r="F943" s="34"/>
      <c r="G943" s="34"/>
      <c r="H943" s="34"/>
    </row>
    <row r="944" ht="15.75" customHeight="1">
      <c r="B944" s="46"/>
      <c r="C944" s="34"/>
      <c r="D944" s="34"/>
      <c r="E944" s="34"/>
      <c r="F944" s="34"/>
      <c r="G944" s="34"/>
      <c r="H944" s="34"/>
    </row>
    <row r="945" ht="15.75" customHeight="1">
      <c r="B945" s="46"/>
      <c r="C945" s="34"/>
      <c r="D945" s="34"/>
      <c r="E945" s="34"/>
      <c r="F945" s="34"/>
      <c r="G945" s="34"/>
      <c r="H945" s="34"/>
    </row>
    <row r="946" ht="15.75" customHeight="1">
      <c r="B946" s="46"/>
      <c r="C946" s="34"/>
      <c r="D946" s="34"/>
      <c r="E946" s="34"/>
      <c r="F946" s="34"/>
      <c r="G946" s="34"/>
      <c r="H946" s="34"/>
    </row>
    <row r="947" ht="15.75" customHeight="1">
      <c r="B947" s="46"/>
      <c r="C947" s="34"/>
      <c r="D947" s="34"/>
      <c r="E947" s="34"/>
      <c r="F947" s="34"/>
      <c r="G947" s="34"/>
      <c r="H947" s="34"/>
    </row>
    <row r="948" ht="15.75" customHeight="1">
      <c r="B948" s="46"/>
      <c r="C948" s="34"/>
      <c r="D948" s="34"/>
      <c r="E948" s="34"/>
      <c r="F948" s="34"/>
      <c r="G948" s="34"/>
      <c r="H948" s="34"/>
    </row>
    <row r="949" ht="15.75" customHeight="1">
      <c r="B949" s="46"/>
      <c r="C949" s="34"/>
      <c r="D949" s="34"/>
      <c r="E949" s="34"/>
      <c r="F949" s="34"/>
      <c r="G949" s="34"/>
      <c r="H949" s="34"/>
    </row>
    <row r="950" ht="15.75" customHeight="1">
      <c r="B950" s="46"/>
      <c r="C950" s="34"/>
      <c r="D950" s="34"/>
      <c r="E950" s="34"/>
      <c r="F950" s="34"/>
      <c r="G950" s="34"/>
      <c r="H950" s="34"/>
    </row>
    <row r="951" ht="15.75" customHeight="1">
      <c r="B951" s="46"/>
      <c r="C951" s="34"/>
      <c r="D951" s="34"/>
      <c r="E951" s="34"/>
      <c r="F951" s="34"/>
      <c r="G951" s="34"/>
      <c r="H951" s="34"/>
    </row>
    <row r="952" ht="15.75" customHeight="1">
      <c r="B952" s="46"/>
      <c r="C952" s="34"/>
      <c r="D952" s="34"/>
      <c r="E952" s="34"/>
      <c r="F952" s="34"/>
      <c r="G952" s="34"/>
      <c r="H952" s="34"/>
    </row>
    <row r="953" ht="15.75" customHeight="1">
      <c r="B953" s="46"/>
      <c r="C953" s="34"/>
      <c r="D953" s="34"/>
      <c r="E953" s="34"/>
      <c r="F953" s="34"/>
      <c r="G953" s="34"/>
      <c r="H953" s="34"/>
    </row>
    <row r="954" ht="15.75" customHeight="1">
      <c r="B954" s="46"/>
      <c r="C954" s="34"/>
      <c r="D954" s="34"/>
      <c r="E954" s="34"/>
      <c r="F954" s="34"/>
      <c r="G954" s="34"/>
      <c r="H954" s="34"/>
    </row>
    <row r="955" ht="15.75" customHeight="1">
      <c r="B955" s="46"/>
      <c r="C955" s="34"/>
      <c r="D955" s="34"/>
      <c r="E955" s="34"/>
      <c r="F955" s="34"/>
      <c r="G955" s="34"/>
      <c r="H955" s="34"/>
    </row>
    <row r="956" ht="15.75" customHeight="1">
      <c r="B956" s="46"/>
      <c r="C956" s="34"/>
      <c r="D956" s="34"/>
      <c r="E956" s="34"/>
      <c r="F956" s="34"/>
      <c r="G956" s="34"/>
      <c r="H956" s="34"/>
    </row>
    <row r="957" ht="15.75" customHeight="1">
      <c r="B957" s="46"/>
      <c r="C957" s="34"/>
      <c r="D957" s="34"/>
      <c r="E957" s="34"/>
      <c r="F957" s="34"/>
      <c r="G957" s="34"/>
      <c r="H957" s="34"/>
    </row>
    <row r="958" ht="15.75" customHeight="1">
      <c r="B958" s="46"/>
      <c r="C958" s="34"/>
      <c r="D958" s="34"/>
      <c r="E958" s="34"/>
      <c r="F958" s="34"/>
      <c r="G958" s="34"/>
      <c r="H958" s="34"/>
    </row>
    <row r="959" ht="15.75" customHeight="1">
      <c r="B959" s="46"/>
      <c r="C959" s="34"/>
      <c r="D959" s="34"/>
      <c r="E959" s="34"/>
      <c r="F959" s="34"/>
      <c r="G959" s="34"/>
      <c r="H959" s="34"/>
    </row>
    <row r="960" ht="15.75" customHeight="1">
      <c r="B960" s="46"/>
      <c r="C960" s="34"/>
      <c r="D960" s="34"/>
      <c r="E960" s="34"/>
      <c r="F960" s="34"/>
      <c r="G960" s="34"/>
      <c r="H960" s="34"/>
    </row>
    <row r="961" ht="15.75" customHeight="1">
      <c r="B961" s="46"/>
      <c r="C961" s="34"/>
      <c r="D961" s="34"/>
      <c r="E961" s="34"/>
      <c r="F961" s="34"/>
      <c r="G961" s="34"/>
      <c r="H961" s="34"/>
    </row>
    <row r="962" ht="15.75" customHeight="1">
      <c r="B962" s="46"/>
      <c r="C962" s="34"/>
      <c r="D962" s="34"/>
      <c r="E962" s="34"/>
      <c r="F962" s="34"/>
      <c r="G962" s="34"/>
      <c r="H962" s="34"/>
    </row>
    <row r="963" ht="15.75" customHeight="1">
      <c r="B963" s="46"/>
      <c r="C963" s="34"/>
      <c r="D963" s="34"/>
      <c r="E963" s="34"/>
      <c r="F963" s="34"/>
      <c r="G963" s="34"/>
      <c r="H963" s="34"/>
    </row>
    <row r="964" ht="15.75" customHeight="1">
      <c r="B964" s="46"/>
      <c r="C964" s="34"/>
      <c r="D964" s="34"/>
      <c r="E964" s="34"/>
      <c r="F964" s="34"/>
      <c r="G964" s="34"/>
      <c r="H964" s="34"/>
    </row>
    <row r="965" ht="15.75" customHeight="1">
      <c r="B965" s="46"/>
      <c r="C965" s="34"/>
      <c r="D965" s="34"/>
      <c r="E965" s="34"/>
      <c r="F965" s="34"/>
      <c r="G965" s="34"/>
      <c r="H965" s="34"/>
    </row>
    <row r="966" ht="15.75" customHeight="1">
      <c r="B966" s="46"/>
      <c r="C966" s="34"/>
      <c r="D966" s="34"/>
      <c r="E966" s="34"/>
      <c r="F966" s="34"/>
      <c r="G966" s="34"/>
      <c r="H966" s="34"/>
    </row>
    <row r="967" ht="15.75" customHeight="1">
      <c r="B967" s="46"/>
      <c r="C967" s="34"/>
      <c r="D967" s="34"/>
      <c r="E967" s="34"/>
      <c r="F967" s="34"/>
      <c r="G967" s="34"/>
      <c r="H967" s="34"/>
    </row>
    <row r="968" ht="15.75" customHeight="1">
      <c r="B968" s="46"/>
      <c r="C968" s="34"/>
      <c r="D968" s="34"/>
      <c r="E968" s="34"/>
      <c r="F968" s="34"/>
      <c r="G968" s="34"/>
      <c r="H968" s="34"/>
    </row>
    <row r="969" ht="15.75" customHeight="1">
      <c r="B969" s="46"/>
      <c r="C969" s="34"/>
      <c r="D969" s="34"/>
      <c r="E969" s="34"/>
      <c r="F969" s="34"/>
      <c r="G969" s="34"/>
      <c r="H969" s="34"/>
    </row>
    <row r="970" ht="15.75" customHeight="1">
      <c r="B970" s="46"/>
      <c r="C970" s="34"/>
      <c r="D970" s="34"/>
      <c r="E970" s="34"/>
      <c r="F970" s="34"/>
      <c r="G970" s="34"/>
      <c r="H970" s="34"/>
    </row>
    <row r="971" ht="15.75" customHeight="1">
      <c r="B971" s="46"/>
      <c r="C971" s="34"/>
      <c r="D971" s="34"/>
      <c r="E971" s="34"/>
      <c r="F971" s="34"/>
      <c r="G971" s="34"/>
      <c r="H971" s="34"/>
    </row>
    <row r="972" ht="15.75" customHeight="1">
      <c r="B972" s="46"/>
      <c r="C972" s="34"/>
      <c r="D972" s="34"/>
      <c r="E972" s="34"/>
      <c r="F972" s="34"/>
      <c r="G972" s="34"/>
      <c r="H972" s="34"/>
    </row>
    <row r="973" ht="15.75" customHeight="1">
      <c r="B973" s="46"/>
      <c r="C973" s="34"/>
      <c r="D973" s="34"/>
      <c r="E973" s="34"/>
      <c r="F973" s="34"/>
      <c r="G973" s="34"/>
      <c r="H973" s="34"/>
    </row>
    <row r="974" ht="15.75" customHeight="1">
      <c r="B974" s="46"/>
      <c r="C974" s="34"/>
      <c r="D974" s="34"/>
      <c r="E974" s="34"/>
      <c r="F974" s="34"/>
      <c r="G974" s="34"/>
      <c r="H974" s="34"/>
    </row>
    <row r="975" ht="15.75" customHeight="1">
      <c r="B975" s="46"/>
      <c r="C975" s="34"/>
      <c r="D975" s="34"/>
      <c r="E975" s="34"/>
      <c r="F975" s="34"/>
      <c r="G975" s="34"/>
      <c r="H975" s="34"/>
    </row>
    <row r="976" ht="15.75" customHeight="1">
      <c r="B976" s="46"/>
      <c r="C976" s="34"/>
      <c r="D976" s="34"/>
      <c r="E976" s="34"/>
      <c r="F976" s="34"/>
      <c r="G976" s="34"/>
      <c r="H976" s="34"/>
    </row>
    <row r="977" ht="15.75" customHeight="1">
      <c r="B977" s="46"/>
      <c r="C977" s="34"/>
      <c r="D977" s="34"/>
      <c r="E977" s="34"/>
      <c r="F977" s="34"/>
      <c r="G977" s="34"/>
      <c r="H977" s="34"/>
    </row>
    <row r="978" ht="15.75" customHeight="1">
      <c r="B978" s="46"/>
      <c r="C978" s="34"/>
      <c r="D978" s="34"/>
      <c r="E978" s="34"/>
      <c r="F978" s="34"/>
      <c r="G978" s="34"/>
      <c r="H978" s="34"/>
    </row>
    <row r="979" ht="15.75" customHeight="1">
      <c r="B979" s="46"/>
      <c r="C979" s="34"/>
      <c r="D979" s="34"/>
      <c r="E979" s="34"/>
      <c r="F979" s="34"/>
      <c r="G979" s="34"/>
      <c r="H979" s="34"/>
    </row>
    <row r="980" ht="15.75" customHeight="1">
      <c r="B980" s="46"/>
      <c r="C980" s="34"/>
      <c r="D980" s="34"/>
      <c r="E980" s="34"/>
      <c r="F980" s="34"/>
      <c r="G980" s="34"/>
      <c r="H980" s="34"/>
    </row>
    <row r="981" ht="15.75" customHeight="1">
      <c r="B981" s="46"/>
      <c r="C981" s="34"/>
      <c r="D981" s="34"/>
      <c r="E981" s="34"/>
      <c r="F981" s="34"/>
      <c r="G981" s="34"/>
      <c r="H981" s="34"/>
    </row>
    <row r="982" ht="15.75" customHeight="1">
      <c r="B982" s="46"/>
      <c r="C982" s="34"/>
      <c r="D982" s="34"/>
      <c r="E982" s="34"/>
      <c r="F982" s="34"/>
      <c r="G982" s="34"/>
      <c r="H982" s="34"/>
    </row>
    <row r="983" ht="15.75" customHeight="1">
      <c r="B983" s="46"/>
      <c r="C983" s="34"/>
      <c r="D983" s="34"/>
      <c r="E983" s="34"/>
      <c r="F983" s="34"/>
      <c r="G983" s="34"/>
      <c r="H983" s="34"/>
    </row>
    <row r="984" ht="15.75" customHeight="1">
      <c r="B984" s="46"/>
      <c r="C984" s="34"/>
      <c r="D984" s="34"/>
      <c r="E984" s="34"/>
      <c r="F984" s="34"/>
      <c r="G984" s="34"/>
      <c r="H984" s="34"/>
    </row>
    <row r="985" ht="15.75" customHeight="1">
      <c r="B985" s="46"/>
      <c r="C985" s="34"/>
      <c r="D985" s="34"/>
      <c r="E985" s="34"/>
      <c r="F985" s="34"/>
      <c r="G985" s="34"/>
      <c r="H985" s="34"/>
    </row>
    <row r="986" ht="15.75" customHeight="1">
      <c r="B986" s="46"/>
      <c r="C986" s="34"/>
      <c r="D986" s="34"/>
      <c r="E986" s="34"/>
      <c r="F986" s="34"/>
      <c r="G986" s="34"/>
      <c r="H986" s="34"/>
    </row>
    <row r="987" ht="15.75" customHeight="1">
      <c r="B987" s="46"/>
      <c r="C987" s="34"/>
      <c r="D987" s="34"/>
      <c r="E987" s="34"/>
      <c r="F987" s="34"/>
      <c r="G987" s="34"/>
      <c r="H987" s="34"/>
    </row>
    <row r="988" ht="15.75" customHeight="1">
      <c r="B988" s="46"/>
      <c r="C988" s="34"/>
      <c r="D988" s="34"/>
      <c r="E988" s="34"/>
      <c r="F988" s="34"/>
      <c r="G988" s="34"/>
      <c r="H988" s="34"/>
    </row>
    <row r="989" ht="15.75" customHeight="1">
      <c r="B989" s="46"/>
      <c r="C989" s="34"/>
      <c r="D989" s="34"/>
      <c r="E989" s="34"/>
      <c r="F989" s="34"/>
      <c r="G989" s="34"/>
      <c r="H989" s="34"/>
    </row>
    <row r="990" ht="15.75" customHeight="1">
      <c r="B990" s="46"/>
      <c r="C990" s="34"/>
      <c r="D990" s="34"/>
      <c r="E990" s="34"/>
      <c r="F990" s="34"/>
      <c r="G990" s="34"/>
      <c r="H990" s="34"/>
    </row>
    <row r="991" ht="15.75" customHeight="1">
      <c r="B991" s="46"/>
      <c r="C991" s="34"/>
      <c r="D991" s="34"/>
      <c r="E991" s="34"/>
      <c r="F991" s="34"/>
      <c r="G991" s="34"/>
      <c r="H991" s="34"/>
    </row>
    <row r="992" ht="15.75" customHeight="1">
      <c r="B992" s="46"/>
      <c r="C992" s="34"/>
      <c r="D992" s="34"/>
      <c r="E992" s="34"/>
      <c r="F992" s="34"/>
      <c r="G992" s="34"/>
      <c r="H992" s="34"/>
    </row>
    <row r="993" ht="15.75" customHeight="1">
      <c r="B993" s="46"/>
      <c r="C993" s="34"/>
      <c r="D993" s="34"/>
      <c r="E993" s="34"/>
      <c r="F993" s="34"/>
      <c r="G993" s="34"/>
      <c r="H993" s="34"/>
    </row>
    <row r="994" ht="15.75" customHeight="1">
      <c r="B994" s="46"/>
      <c r="C994" s="34"/>
      <c r="D994" s="34"/>
      <c r="E994" s="34"/>
      <c r="F994" s="34"/>
      <c r="G994" s="34"/>
      <c r="H994" s="34"/>
    </row>
    <row r="995" ht="15.75" customHeight="1">
      <c r="B995" s="46"/>
      <c r="C995" s="34"/>
      <c r="D995" s="34"/>
      <c r="E995" s="34"/>
      <c r="F995" s="34"/>
      <c r="G995" s="34"/>
      <c r="H995" s="34"/>
    </row>
    <row r="996" ht="15.75" customHeight="1">
      <c r="B996" s="46"/>
      <c r="C996" s="34"/>
      <c r="D996" s="34"/>
      <c r="E996" s="34"/>
      <c r="F996" s="34"/>
      <c r="G996" s="34"/>
      <c r="H996" s="34"/>
    </row>
    <row r="997" ht="15.75" customHeight="1">
      <c r="B997" s="46"/>
      <c r="C997" s="34"/>
      <c r="D997" s="34"/>
      <c r="E997" s="34"/>
      <c r="F997" s="34"/>
      <c r="G997" s="34"/>
      <c r="H997" s="34"/>
    </row>
    <row r="998" ht="15.75" customHeight="1">
      <c r="B998" s="46"/>
      <c r="C998" s="34"/>
      <c r="D998" s="34"/>
      <c r="E998" s="34"/>
      <c r="F998" s="34"/>
      <c r="G998" s="34"/>
      <c r="H998" s="34"/>
    </row>
    <row r="999" ht="15.75" customHeight="1">
      <c r="B999" s="46"/>
      <c r="C999" s="34"/>
      <c r="D999" s="34"/>
      <c r="E999" s="34"/>
      <c r="F999" s="34"/>
      <c r="G999" s="34"/>
      <c r="H999" s="34"/>
    </row>
    <row r="1000" ht="15.75" customHeight="1">
      <c r="B1000" s="46"/>
      <c r="C1000" s="34"/>
      <c r="D1000" s="34"/>
      <c r="E1000" s="34"/>
      <c r="F1000" s="34"/>
      <c r="G1000" s="34"/>
      <c r="H1000" s="34"/>
    </row>
  </sheetData>
  <mergeCells count="6">
    <mergeCell ref="B14:D14"/>
    <mergeCell ref="C15:E20"/>
    <mergeCell ref="D23:E23"/>
    <mergeCell ref="D24:E24"/>
    <mergeCell ref="D25:E25"/>
    <mergeCell ref="D26:E26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17.86"/>
    <col customWidth="1" min="2" max="2" width="12.57"/>
    <col customWidth="1" min="3" max="3" width="6.14"/>
    <col customWidth="1" min="4" max="4" width="6.57"/>
    <col customWidth="1" min="5" max="5" width="4.86"/>
    <col customWidth="1" min="6" max="7" width="12.86"/>
    <col customWidth="1" min="8" max="8" width="13.0"/>
    <col customWidth="1" min="9" max="9" width="15.71"/>
    <col customWidth="1" min="10" max="10" width="16.43"/>
    <col customWidth="1" min="11" max="11" width="6.43"/>
    <col customWidth="1" min="12" max="12" width="11.57"/>
    <col customWidth="1" min="13" max="13" width="7.14"/>
    <col customWidth="1" min="14" max="14" width="9.29"/>
    <col customWidth="1" min="15" max="22" width="6.43"/>
    <col customWidth="1" min="23" max="40" width="12.57"/>
  </cols>
  <sheetData>
    <row r="1">
      <c r="A1" s="34"/>
      <c r="B1" s="34"/>
      <c r="C1" s="34"/>
      <c r="D1" s="34"/>
      <c r="E1" s="34"/>
      <c r="F1" s="34"/>
      <c r="G1" s="34"/>
      <c r="H1" s="34" t="s">
        <v>49</v>
      </c>
      <c r="I1" s="72">
        <v>0.7</v>
      </c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</row>
    <row r="2">
      <c r="A2" s="73"/>
      <c r="B2" s="34" t="str">
        <f>'Elapse sheet_Development'!B17</f>
        <v>BA</v>
      </c>
      <c r="C2" s="34"/>
      <c r="D2" s="34"/>
      <c r="E2" s="34"/>
      <c r="F2" s="34"/>
      <c r="G2" s="74">
        <v>0.3</v>
      </c>
      <c r="H2" s="72" t="s">
        <v>50</v>
      </c>
      <c r="I2" s="74">
        <v>0.49</v>
      </c>
      <c r="J2" s="37" t="str">
        <f>J40</f>
        <v>#REF!</v>
      </c>
      <c r="K2" s="34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75" t="s">
        <v>51</v>
      </c>
      <c r="X2" s="75" t="s">
        <v>52</v>
      </c>
      <c r="Y2" s="75" t="s">
        <v>53</v>
      </c>
      <c r="Z2" s="34"/>
      <c r="AA2" s="34"/>
      <c r="AB2" s="75" t="s">
        <v>52</v>
      </c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</row>
    <row r="3">
      <c r="A3" s="76" t="s">
        <v>54</v>
      </c>
      <c r="B3" s="77" t="s">
        <v>55</v>
      </c>
      <c r="C3" s="77" t="s">
        <v>56</v>
      </c>
      <c r="D3" s="77" t="s">
        <v>57</v>
      </c>
      <c r="E3" s="77" t="s">
        <v>44</v>
      </c>
      <c r="F3" s="77" t="s">
        <v>58</v>
      </c>
      <c r="G3" s="77" t="s">
        <v>59</v>
      </c>
      <c r="H3" s="77" t="s">
        <v>60</v>
      </c>
      <c r="I3" s="77" t="s">
        <v>61</v>
      </c>
      <c r="J3" s="78" t="s">
        <v>41</v>
      </c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80" t="s">
        <v>62</v>
      </c>
      <c r="X3" s="80" t="s">
        <v>63</v>
      </c>
      <c r="Y3" s="80" t="s">
        <v>61</v>
      </c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  <c r="AM3" s="79"/>
      <c r="AN3" s="79"/>
    </row>
    <row r="4">
      <c r="A4" s="81" t="s">
        <v>64</v>
      </c>
      <c r="B4" s="82" t="s">
        <v>65</v>
      </c>
      <c r="C4" s="83"/>
      <c r="D4" s="84">
        <f>'Elapse sheet_Development'!AH2</f>
        <v>3</v>
      </c>
      <c r="E4" s="82">
        <f>'Elapse sheet_Development'!AI2</f>
        <v>15</v>
      </c>
      <c r="F4" s="85">
        <f>F7</f>
        <v>11363.63636</v>
      </c>
      <c r="G4" s="85">
        <f t="shared" ref="G4:G17" si="1">F4*(1+$G$2)</f>
        <v>14772.72727</v>
      </c>
      <c r="H4" s="85">
        <f t="shared" ref="H4:H17" si="2">G4*E4</f>
        <v>221590.9091</v>
      </c>
      <c r="I4" s="85">
        <f t="shared" ref="I4:I17" si="3">H4/(1-$I$2)</f>
        <v>434491.9786</v>
      </c>
      <c r="J4" s="86"/>
      <c r="K4" s="37"/>
      <c r="L4" s="37"/>
      <c r="M4" s="37">
        <f t="shared" ref="M4:M8" si="4">F4/8</f>
        <v>1420.454545</v>
      </c>
      <c r="N4" s="37">
        <f t="shared" ref="N4:N8" si="5">F4*22</f>
        <v>250000</v>
      </c>
      <c r="O4" s="37">
        <f t="shared" ref="O4:O8" si="6">M4/87</f>
        <v>16.32706374</v>
      </c>
      <c r="P4" s="37"/>
      <c r="Q4" s="37"/>
      <c r="R4" s="37"/>
      <c r="S4" s="37"/>
      <c r="T4" s="37"/>
      <c r="U4" s="37"/>
      <c r="V4" s="37"/>
      <c r="W4" s="37">
        <f>AE4</f>
        <v>12637.36264</v>
      </c>
      <c r="X4" s="87" t="str">
        <f>[2]Costing!$F$3</f>
        <v>#ERROR!</v>
      </c>
      <c r="Y4" s="34">
        <f>44*85*8</f>
        <v>29920</v>
      </c>
      <c r="Z4" s="34">
        <f t="shared" ref="Z4:Z8" si="7">Y4/2.5</f>
        <v>11968</v>
      </c>
      <c r="AA4" s="34">
        <f t="shared" ref="AA4:AA8" si="8">Y4/2</f>
        <v>14960</v>
      </c>
      <c r="AB4" s="34" t="str">
        <f t="shared" ref="AB4:AB8" si="9">X4*1.3</f>
        <v>#ERROR!</v>
      </c>
      <c r="AC4" s="34">
        <f>23000</f>
        <v>23000</v>
      </c>
      <c r="AD4" s="34">
        <f>AC4/140*100</f>
        <v>16428.57143</v>
      </c>
      <c r="AE4" s="34">
        <f>AD4/130*100</f>
        <v>12637.36264</v>
      </c>
      <c r="AF4" s="73"/>
      <c r="AG4" s="73"/>
      <c r="AH4" s="73"/>
      <c r="AI4" s="73"/>
      <c r="AJ4" s="73"/>
      <c r="AK4" s="73"/>
      <c r="AL4" s="73"/>
      <c r="AM4" s="73"/>
      <c r="AN4" s="73"/>
    </row>
    <row r="5">
      <c r="A5" s="88"/>
      <c r="B5" s="34" t="s">
        <v>66</v>
      </c>
      <c r="C5" s="34"/>
      <c r="D5" s="87">
        <f>'Elapse sheet_Development'!AH3</f>
        <v>3</v>
      </c>
      <c r="E5" s="34">
        <f>'Elapse sheet_Development'!AI3</f>
        <v>15</v>
      </c>
      <c r="F5" s="89">
        <f>'As per HR'!K6</f>
        <v>7575.757576</v>
      </c>
      <c r="G5" s="89">
        <f t="shared" si="1"/>
        <v>9848.484848</v>
      </c>
      <c r="H5" s="89">
        <f t="shared" si="2"/>
        <v>147727.2727</v>
      </c>
      <c r="I5" s="89">
        <f t="shared" si="3"/>
        <v>289661.3191</v>
      </c>
      <c r="J5" s="90"/>
      <c r="K5" s="37"/>
      <c r="L5" s="37"/>
      <c r="M5" s="37">
        <f t="shared" si="4"/>
        <v>946.969697</v>
      </c>
      <c r="N5" s="37">
        <f t="shared" si="5"/>
        <v>166666.6667</v>
      </c>
      <c r="O5" s="37">
        <f t="shared" si="6"/>
        <v>10.88470916</v>
      </c>
      <c r="P5" s="37"/>
      <c r="Q5" s="37"/>
      <c r="R5" s="37"/>
      <c r="S5" s="37"/>
      <c r="T5" s="37"/>
      <c r="U5" s="37"/>
      <c r="V5" s="37"/>
      <c r="W5" s="37">
        <f t="shared" ref="W5:W8" si="10">W4</f>
        <v>12637.36264</v>
      </c>
      <c r="X5" s="87" t="str">
        <f>[2]Costing!$F$3</f>
        <v>#ERROR!</v>
      </c>
      <c r="Y5" s="34">
        <f>32*85*8</f>
        <v>21760</v>
      </c>
      <c r="Z5" s="34">
        <f t="shared" si="7"/>
        <v>8704</v>
      </c>
      <c r="AA5" s="34">
        <f t="shared" si="8"/>
        <v>10880</v>
      </c>
      <c r="AB5" s="34" t="str">
        <f t="shared" si="9"/>
        <v>#ERROR!</v>
      </c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</row>
    <row r="6">
      <c r="A6" s="91"/>
      <c r="B6" s="92" t="s">
        <v>67</v>
      </c>
      <c r="C6" s="92"/>
      <c r="D6" s="87">
        <f>'Elapse sheet_Development'!AH4</f>
        <v>3</v>
      </c>
      <c r="E6" s="92">
        <f>'Elapse sheet_Development'!AI4</f>
        <v>15</v>
      </c>
      <c r="F6" s="93">
        <f>F8</f>
        <v>11363.63636</v>
      </c>
      <c r="G6" s="93">
        <f t="shared" si="1"/>
        <v>14772.72727</v>
      </c>
      <c r="H6" s="89">
        <f t="shared" si="2"/>
        <v>221590.9091</v>
      </c>
      <c r="I6" s="94">
        <f t="shared" si="3"/>
        <v>434491.9786</v>
      </c>
      <c r="J6" s="95">
        <f>SUM(I4:I6)</f>
        <v>1158645.276</v>
      </c>
      <c r="K6" s="37"/>
      <c r="L6" s="37">
        <f>16000*22</f>
        <v>352000</v>
      </c>
      <c r="M6" s="37">
        <f t="shared" si="4"/>
        <v>1420.454545</v>
      </c>
      <c r="N6" s="37">
        <f t="shared" si="5"/>
        <v>250000</v>
      </c>
      <c r="O6" s="37">
        <f t="shared" si="6"/>
        <v>16.32706374</v>
      </c>
      <c r="P6" s="37"/>
      <c r="Q6" s="37"/>
      <c r="R6" s="37"/>
      <c r="S6" s="37"/>
      <c r="T6" s="37"/>
      <c r="U6" s="37"/>
      <c r="V6" s="37"/>
      <c r="W6" s="37">
        <f t="shared" si="10"/>
        <v>12637.36264</v>
      </c>
      <c r="X6" s="87" t="str">
        <f>[2]Costing!$F$3</f>
        <v>#ERROR!</v>
      </c>
      <c r="Y6" s="34">
        <f>44*85*8</f>
        <v>29920</v>
      </c>
      <c r="Z6" s="34">
        <f t="shared" si="7"/>
        <v>11968</v>
      </c>
      <c r="AA6" s="34">
        <f t="shared" si="8"/>
        <v>14960</v>
      </c>
      <c r="AB6" s="34" t="str">
        <f t="shared" si="9"/>
        <v>#ERROR!</v>
      </c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</row>
    <row r="7">
      <c r="A7" s="81" t="s">
        <v>50</v>
      </c>
      <c r="B7" s="82" t="str">
        <f>'Elapse sheet_Development'!B5</f>
        <v>PM</v>
      </c>
      <c r="C7" s="82"/>
      <c r="D7" s="84">
        <f>'Elapse sheet_Development'!AH5</f>
        <v>18</v>
      </c>
      <c r="E7" s="82">
        <f>'Elapse sheet_Development'!AI5</f>
        <v>90</v>
      </c>
      <c r="F7" s="85">
        <f>'As per HR'!K5</f>
        <v>11363.63636</v>
      </c>
      <c r="G7" s="85">
        <f t="shared" si="1"/>
        <v>14772.72727</v>
      </c>
      <c r="H7" s="85">
        <f t="shared" si="2"/>
        <v>1329545.455</v>
      </c>
      <c r="I7" s="85">
        <f t="shared" si="3"/>
        <v>2606951.872</v>
      </c>
      <c r="J7" s="86"/>
      <c r="K7" s="37"/>
      <c r="L7" s="37"/>
      <c r="M7" s="37">
        <f t="shared" si="4"/>
        <v>1420.454545</v>
      </c>
      <c r="N7" s="37">
        <f t="shared" si="5"/>
        <v>250000</v>
      </c>
      <c r="O7" s="37">
        <f t="shared" si="6"/>
        <v>16.32706374</v>
      </c>
      <c r="P7" s="37"/>
      <c r="Q7" s="37"/>
      <c r="R7" s="37"/>
      <c r="S7" s="37"/>
      <c r="T7" s="37"/>
      <c r="U7" s="37"/>
      <c r="V7" s="37"/>
      <c r="W7" s="37">
        <f t="shared" si="10"/>
        <v>12637.36264</v>
      </c>
      <c r="X7" s="87" t="str">
        <f>[2]Costing!$F$3</f>
        <v>#ERROR!</v>
      </c>
      <c r="Y7" s="34">
        <f t="shared" ref="Y7:Y8" si="11">Y4</f>
        <v>29920</v>
      </c>
      <c r="Z7" s="34">
        <f t="shared" si="7"/>
        <v>11968</v>
      </c>
      <c r="AA7" s="34">
        <f t="shared" si="8"/>
        <v>14960</v>
      </c>
      <c r="AB7" s="34" t="str">
        <f t="shared" si="9"/>
        <v>#ERROR!</v>
      </c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</row>
    <row r="8">
      <c r="A8" s="88"/>
      <c r="B8" s="34" t="str">
        <f>'Elapse sheet_Development'!B7</f>
        <v>TL</v>
      </c>
      <c r="C8" s="34"/>
      <c r="D8" s="87">
        <f>'Elapse sheet_Development'!AH7</f>
        <v>16</v>
      </c>
      <c r="E8" s="34">
        <f>'Elapse sheet_Development'!AI7</f>
        <v>80</v>
      </c>
      <c r="F8" s="89">
        <f>'As per HR'!K18</f>
        <v>11363.63636</v>
      </c>
      <c r="G8" s="89">
        <f t="shared" si="1"/>
        <v>14772.72727</v>
      </c>
      <c r="H8" s="89">
        <f t="shared" si="2"/>
        <v>1181818.182</v>
      </c>
      <c r="I8" s="89">
        <f t="shared" si="3"/>
        <v>2317290.553</v>
      </c>
      <c r="J8" s="90"/>
      <c r="K8" s="37"/>
      <c r="L8" s="37"/>
      <c r="M8" s="37">
        <f t="shared" si="4"/>
        <v>1420.454545</v>
      </c>
      <c r="N8" s="37">
        <f t="shared" si="5"/>
        <v>250000</v>
      </c>
      <c r="O8" s="37">
        <f t="shared" si="6"/>
        <v>16.32706374</v>
      </c>
      <c r="P8" s="37"/>
      <c r="Q8" s="37"/>
      <c r="R8" s="37"/>
      <c r="S8" s="37"/>
      <c r="T8" s="37"/>
      <c r="U8" s="37"/>
      <c r="V8" s="37"/>
      <c r="W8" s="37">
        <f t="shared" si="10"/>
        <v>12637.36264</v>
      </c>
      <c r="X8" s="87" t="str">
        <f>[2]Costing!$F$3</f>
        <v>#ERROR!</v>
      </c>
      <c r="Y8" s="34">
        <f t="shared" si="11"/>
        <v>21760</v>
      </c>
      <c r="Z8" s="34">
        <f t="shared" si="7"/>
        <v>8704</v>
      </c>
      <c r="AA8" s="34">
        <f t="shared" si="8"/>
        <v>10880</v>
      </c>
      <c r="AB8" s="34" t="str">
        <f t="shared" si="9"/>
        <v>#ERROR!</v>
      </c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</row>
    <row r="9">
      <c r="A9" s="88"/>
      <c r="B9" s="34" t="str">
        <f>'Elapse sheet_Development'!B6</f>
        <v>BA</v>
      </c>
      <c r="C9" s="34"/>
      <c r="D9" s="87">
        <f>'Elapse sheet_Development'!AH6</f>
        <v>3.5</v>
      </c>
      <c r="E9" s="34">
        <f>'Elapse sheet_Development'!AI6</f>
        <v>17.5</v>
      </c>
      <c r="F9" s="89">
        <f>'As per HR'!K10</f>
        <v>7575.757576</v>
      </c>
      <c r="G9" s="89">
        <f t="shared" si="1"/>
        <v>9848.484848</v>
      </c>
      <c r="H9" s="89">
        <f t="shared" si="2"/>
        <v>172348.4848</v>
      </c>
      <c r="I9" s="89">
        <f t="shared" si="3"/>
        <v>337938.2056</v>
      </c>
      <c r="J9" s="90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87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</row>
    <row r="10">
      <c r="A10" s="88"/>
      <c r="B10" s="34" t="str">
        <f>'Elapse sheet_Development'!B8</f>
        <v>FE-J</v>
      </c>
      <c r="C10" s="34"/>
      <c r="D10" s="87">
        <f>'Elapse sheet_Development'!AH8</f>
        <v>19</v>
      </c>
      <c r="E10" s="34">
        <f>'Elapse sheet_Development'!AI8</f>
        <v>95</v>
      </c>
      <c r="F10" s="89">
        <f>'As per HR'!K13</f>
        <v>3030.30303</v>
      </c>
      <c r="G10" s="89">
        <f t="shared" si="1"/>
        <v>3939.393939</v>
      </c>
      <c r="H10" s="89">
        <f t="shared" si="2"/>
        <v>374242.4242</v>
      </c>
      <c r="I10" s="89">
        <f t="shared" si="3"/>
        <v>733808.675</v>
      </c>
      <c r="J10" s="90"/>
      <c r="K10" s="37"/>
      <c r="L10" s="37"/>
      <c r="M10" s="37">
        <f t="shared" ref="M10:M39" si="12">F10/8</f>
        <v>378.7878788</v>
      </c>
      <c r="N10" s="37">
        <f t="shared" ref="N10:N39" si="13">F10*22</f>
        <v>66666.66667</v>
      </c>
      <c r="O10" s="37">
        <f t="shared" ref="O10:O39" si="14">M10/87</f>
        <v>4.353883664</v>
      </c>
      <c r="P10" s="37"/>
      <c r="Q10" s="37"/>
      <c r="R10" s="37"/>
      <c r="S10" s="37"/>
      <c r="T10" s="37"/>
      <c r="U10" s="37"/>
      <c r="V10" s="37"/>
      <c r="W10" s="37">
        <f>W8</f>
        <v>12637.36264</v>
      </c>
      <c r="X10" s="87" t="str">
        <f>[2]Costing!$F$3</f>
        <v>#ERROR!</v>
      </c>
      <c r="Y10" s="34">
        <f>Y6</f>
        <v>29920</v>
      </c>
      <c r="Z10" s="34">
        <f>Y10/2.5</f>
        <v>11968</v>
      </c>
      <c r="AA10" s="34">
        <f>Y10/2</f>
        <v>14960</v>
      </c>
      <c r="AB10" s="34" t="str">
        <f>X10*1.3</f>
        <v>#ERROR!</v>
      </c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>
      <c r="A11" s="88"/>
      <c r="B11" s="34" t="str">
        <f>'Elapse sheet_Development'!B9</f>
        <v>FE-S</v>
      </c>
      <c r="C11" s="34"/>
      <c r="D11" s="87">
        <f>'Elapse sheet_Development'!AH9</f>
        <v>19</v>
      </c>
      <c r="E11" s="34">
        <f>'Elapse sheet_Development'!AI9</f>
        <v>95</v>
      </c>
      <c r="F11" s="89">
        <f>'As per HR'!K14</f>
        <v>6818.181818</v>
      </c>
      <c r="G11" s="89">
        <f t="shared" si="1"/>
        <v>8863.636364</v>
      </c>
      <c r="H11" s="89">
        <f t="shared" si="2"/>
        <v>842045.4545</v>
      </c>
      <c r="I11" s="89">
        <f t="shared" si="3"/>
        <v>1651069.519</v>
      </c>
      <c r="J11" s="90"/>
      <c r="K11" s="37"/>
      <c r="L11" s="37"/>
      <c r="M11" s="37">
        <f t="shared" si="12"/>
        <v>852.2727273</v>
      </c>
      <c r="N11" s="37">
        <f t="shared" si="13"/>
        <v>150000</v>
      </c>
      <c r="O11" s="37">
        <f t="shared" si="14"/>
        <v>9.796238245</v>
      </c>
      <c r="P11" s="37"/>
      <c r="Q11" s="37"/>
      <c r="R11" s="37"/>
      <c r="S11" s="37"/>
      <c r="T11" s="37"/>
      <c r="U11" s="37"/>
      <c r="V11" s="37"/>
      <c r="W11" s="37"/>
      <c r="X11" s="87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</row>
    <row r="12">
      <c r="A12" s="88"/>
      <c r="B12" s="34" t="str">
        <f>'Elapse sheet_Development'!B10</f>
        <v>BE-J</v>
      </c>
      <c r="C12" s="34"/>
      <c r="D12" s="87">
        <f>'Elapse sheet_Development'!AH10</f>
        <v>49</v>
      </c>
      <c r="E12" s="34">
        <f>'Elapse sheet_Development'!AI10</f>
        <v>245</v>
      </c>
      <c r="F12" s="89">
        <f>'As per HR'!K12</f>
        <v>3787.878788</v>
      </c>
      <c r="G12" s="89">
        <f t="shared" si="1"/>
        <v>4924.242424</v>
      </c>
      <c r="H12" s="89">
        <f t="shared" si="2"/>
        <v>1206439.394</v>
      </c>
      <c r="I12" s="89">
        <f t="shared" si="3"/>
        <v>2365567.439</v>
      </c>
      <c r="J12" s="90"/>
      <c r="K12" s="37"/>
      <c r="L12" s="37"/>
      <c r="M12" s="37">
        <f t="shared" si="12"/>
        <v>473.4848485</v>
      </c>
      <c r="N12" s="37">
        <f t="shared" si="13"/>
        <v>83333.33333</v>
      </c>
      <c r="O12" s="37">
        <f t="shared" si="14"/>
        <v>5.44235458</v>
      </c>
      <c r="P12" s="37"/>
      <c r="Q12" s="37"/>
      <c r="R12" s="37"/>
      <c r="S12" s="37"/>
      <c r="T12" s="37"/>
      <c r="U12" s="37"/>
      <c r="V12" s="37"/>
      <c r="W12" s="37"/>
      <c r="X12" s="87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>
      <c r="A13" s="88"/>
      <c r="B13" s="34" t="str">
        <f>'Elapse sheet_Development'!B11</f>
        <v>BE-S</v>
      </c>
      <c r="C13" s="34"/>
      <c r="D13" s="87">
        <f>'Elapse sheet_Development'!AH11</f>
        <v>19</v>
      </c>
      <c r="E13" s="34">
        <f>'Elapse sheet_Development'!AI11</f>
        <v>95</v>
      </c>
      <c r="F13" s="89">
        <f>'As per HR'!K11</f>
        <v>9469.69697</v>
      </c>
      <c r="G13" s="89">
        <f t="shared" si="1"/>
        <v>12310.60606</v>
      </c>
      <c r="H13" s="89">
        <f t="shared" si="2"/>
        <v>1169507.576</v>
      </c>
      <c r="I13" s="89">
        <f t="shared" si="3"/>
        <v>2293152.109</v>
      </c>
      <c r="J13" s="90"/>
      <c r="K13" s="37"/>
      <c r="L13" s="37"/>
      <c r="M13" s="37">
        <f t="shared" si="12"/>
        <v>1183.712121</v>
      </c>
      <c r="N13" s="37">
        <f t="shared" si="13"/>
        <v>208333.3333</v>
      </c>
      <c r="O13" s="37">
        <f t="shared" si="14"/>
        <v>13.60588645</v>
      </c>
      <c r="P13" s="37"/>
      <c r="Q13" s="37"/>
      <c r="R13" s="37"/>
      <c r="S13" s="37"/>
      <c r="T13" s="37"/>
      <c r="U13" s="37"/>
      <c r="V13" s="37"/>
      <c r="W13" s="37"/>
      <c r="X13" s="87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</row>
    <row r="14">
      <c r="A14" s="88"/>
      <c r="B14" s="34" t="str">
        <f>'Elapse sheet_Development'!B12</f>
        <v>BC-J</v>
      </c>
      <c r="C14" s="34"/>
      <c r="D14" s="87">
        <f>'Elapse sheet_Development'!AH12</f>
        <v>19</v>
      </c>
      <c r="E14" s="34" t="str">
        <f>#REF!</f>
        <v>#REF!</v>
      </c>
      <c r="F14" s="89">
        <f>'As per HR'!K16</f>
        <v>5303.030303</v>
      </c>
      <c r="G14" s="89">
        <f t="shared" si="1"/>
        <v>6893.939394</v>
      </c>
      <c r="H14" s="89" t="str">
        <f t="shared" si="2"/>
        <v>#REF!</v>
      </c>
      <c r="I14" s="89" t="str">
        <f t="shared" si="3"/>
        <v>#REF!</v>
      </c>
      <c r="J14" s="90"/>
      <c r="K14" s="37"/>
      <c r="L14" s="37"/>
      <c r="M14" s="37">
        <f t="shared" si="12"/>
        <v>662.8787879</v>
      </c>
      <c r="N14" s="37">
        <f t="shared" si="13"/>
        <v>116666.6667</v>
      </c>
      <c r="O14" s="37">
        <f t="shared" si="14"/>
        <v>7.619296412</v>
      </c>
      <c r="P14" s="37"/>
      <c r="Q14" s="37"/>
      <c r="R14" s="37"/>
      <c r="S14" s="37"/>
      <c r="T14" s="37"/>
      <c r="U14" s="37"/>
      <c r="V14" s="37"/>
      <c r="W14" s="37"/>
      <c r="X14" s="87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>
      <c r="A15" s="88"/>
      <c r="B15" s="34" t="str">
        <f>#REF!</f>
        <v>#REF!</v>
      </c>
      <c r="C15" s="34"/>
      <c r="D15" s="87" t="str">
        <f t="shared" ref="D15:E15" si="15">#REF!</f>
        <v>#REF!</v>
      </c>
      <c r="E15" s="34" t="str">
        <f t="shared" si="15"/>
        <v>#REF!</v>
      </c>
      <c r="F15" s="89">
        <f>'As per HR'!K15</f>
        <v>8333.333333</v>
      </c>
      <c r="G15" s="89">
        <f t="shared" si="1"/>
        <v>10833.33333</v>
      </c>
      <c r="H15" s="89" t="str">
        <f t="shared" si="2"/>
        <v>#REF!</v>
      </c>
      <c r="I15" s="89" t="str">
        <f t="shared" si="3"/>
        <v>#REF!</v>
      </c>
      <c r="J15" s="90"/>
      <c r="K15" s="37"/>
      <c r="L15" s="37"/>
      <c r="M15" s="37">
        <f t="shared" si="12"/>
        <v>1041.666667</v>
      </c>
      <c r="N15" s="37">
        <f t="shared" si="13"/>
        <v>183333.3333</v>
      </c>
      <c r="O15" s="37">
        <f t="shared" si="14"/>
        <v>11.97318008</v>
      </c>
      <c r="P15" s="37"/>
      <c r="Q15" s="37"/>
      <c r="R15" s="37"/>
      <c r="S15" s="37"/>
      <c r="T15" s="37"/>
      <c r="U15" s="37"/>
      <c r="V15" s="37"/>
      <c r="W15" s="37"/>
      <c r="X15" s="87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</row>
    <row r="16">
      <c r="A16" s="88"/>
      <c r="B16" s="34" t="str">
        <f>'Elapse sheet_Development'!B14</f>
        <v>QA</v>
      </c>
      <c r="C16" s="34"/>
      <c r="D16" s="87">
        <f>'Elapse sheet_Development'!AH14</f>
        <v>18</v>
      </c>
      <c r="E16" s="34">
        <f>'Elapse sheet_Development'!AI14</f>
        <v>90</v>
      </c>
      <c r="F16" s="89">
        <f>'As per HR'!K10</f>
        <v>7575.757576</v>
      </c>
      <c r="G16" s="89">
        <f t="shared" si="1"/>
        <v>9848.484848</v>
      </c>
      <c r="H16" s="89">
        <f t="shared" si="2"/>
        <v>886363.6364</v>
      </c>
      <c r="I16" s="89">
        <f t="shared" si="3"/>
        <v>1737967.914</v>
      </c>
      <c r="J16" s="90"/>
      <c r="K16" s="37"/>
      <c r="L16" s="37"/>
      <c r="M16" s="37">
        <f t="shared" si="12"/>
        <v>946.969697</v>
      </c>
      <c r="N16" s="37">
        <f t="shared" si="13"/>
        <v>166666.6667</v>
      </c>
      <c r="O16" s="37">
        <f t="shared" si="14"/>
        <v>10.88470916</v>
      </c>
      <c r="P16" s="37"/>
      <c r="Q16" s="37"/>
      <c r="R16" s="37"/>
      <c r="S16" s="37"/>
      <c r="T16" s="37"/>
      <c r="U16" s="37"/>
      <c r="V16" s="37"/>
      <c r="W16" s="37"/>
      <c r="X16" s="87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>
      <c r="A17" s="88"/>
      <c r="B17" s="34" t="str">
        <f>'Elapse sheet_Development'!B15</f>
        <v>UI/UX</v>
      </c>
      <c r="C17" s="34"/>
      <c r="D17" s="87">
        <f>'Elapse sheet_Development'!AH15</f>
        <v>12</v>
      </c>
      <c r="E17" s="34">
        <f>'Elapse sheet_Development'!AI15</f>
        <v>60</v>
      </c>
      <c r="F17" s="89">
        <f>'As per HR'!K17</f>
        <v>2462.121212</v>
      </c>
      <c r="G17" s="89">
        <f t="shared" si="1"/>
        <v>3200.757576</v>
      </c>
      <c r="H17" s="89">
        <f t="shared" si="2"/>
        <v>192045.4545</v>
      </c>
      <c r="I17" s="89">
        <f t="shared" si="3"/>
        <v>376559.7148</v>
      </c>
      <c r="J17" s="90"/>
      <c r="K17" s="37"/>
      <c r="L17" s="37"/>
      <c r="M17" s="37">
        <f t="shared" si="12"/>
        <v>307.7651515</v>
      </c>
      <c r="N17" s="37">
        <f t="shared" si="13"/>
        <v>54166.66667</v>
      </c>
      <c r="O17" s="37">
        <f t="shared" si="14"/>
        <v>3.537530477</v>
      </c>
      <c r="P17" s="37"/>
      <c r="Q17" s="37"/>
      <c r="R17" s="37"/>
      <c r="S17" s="37"/>
      <c r="T17" s="37"/>
      <c r="U17" s="37"/>
      <c r="V17" s="37"/>
      <c r="W17" s="37"/>
      <c r="X17" s="87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</row>
    <row r="18">
      <c r="A18" s="88"/>
      <c r="B18" s="34"/>
      <c r="C18" s="34"/>
      <c r="D18" s="34"/>
      <c r="E18" s="34"/>
      <c r="F18" s="89"/>
      <c r="G18" s="89"/>
      <c r="H18" s="89"/>
      <c r="I18" s="89"/>
      <c r="J18" s="96" t="str">
        <f>SUM(I7:I18)</f>
        <v>#REF!</v>
      </c>
      <c r="K18" s="37"/>
      <c r="L18" s="37"/>
      <c r="M18" s="37">
        <f t="shared" si="12"/>
        <v>0</v>
      </c>
      <c r="N18" s="37">
        <f t="shared" si="13"/>
        <v>0</v>
      </c>
      <c r="O18" s="37">
        <f t="shared" si="14"/>
        <v>0</v>
      </c>
      <c r="P18" s="37"/>
      <c r="Q18" s="37"/>
      <c r="R18" s="37"/>
      <c r="S18" s="37"/>
      <c r="T18" s="37"/>
      <c r="U18" s="37"/>
      <c r="V18" s="37"/>
      <c r="W18" s="37">
        <f>W10</f>
        <v>12637.36264</v>
      </c>
      <c r="X18" s="87" t="str">
        <f>'[2]Person Day cost'!$G$8</f>
        <v>#REF!</v>
      </c>
      <c r="Y18" s="34">
        <f>Y10</f>
        <v>29920</v>
      </c>
      <c r="Z18" s="34">
        <f t="shared" ref="Z18:Z21" si="16">Y18/2.5</f>
        <v>11968</v>
      </c>
      <c r="AA18" s="34">
        <f t="shared" ref="AA18:AA21" si="17">Y18/2</f>
        <v>14960</v>
      </c>
      <c r="AB18" s="34" t="str">
        <f t="shared" ref="AB18:AB21" si="18">X18*1.3</f>
        <v>#REF!</v>
      </c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>
      <c r="A19" s="81" t="s">
        <v>68</v>
      </c>
      <c r="B19" s="82" t="str">
        <f>'Elapse sheet_Development'!B16</f>
        <v>PM</v>
      </c>
      <c r="C19" s="82"/>
      <c r="D19" s="84">
        <f>'Elapse sheet_Development'!AH16</f>
        <v>1</v>
      </c>
      <c r="E19" s="82">
        <f>'Elapse sheet_Development'!AI16</f>
        <v>5</v>
      </c>
      <c r="F19" s="85">
        <f>F7</f>
        <v>11363.63636</v>
      </c>
      <c r="G19" s="85">
        <f t="shared" ref="G19:G39" si="19">F19*(1+$G$2)</f>
        <v>14772.72727</v>
      </c>
      <c r="H19" s="85">
        <f t="shared" ref="H19:H36" si="20">G19*E19</f>
        <v>73863.63636</v>
      </c>
      <c r="I19" s="85">
        <f t="shared" ref="I19:I39" si="21">H19/(1-$I$2)</f>
        <v>144830.6595</v>
      </c>
      <c r="J19" s="86"/>
      <c r="K19" s="37"/>
      <c r="L19" s="37"/>
      <c r="M19" s="37">
        <f t="shared" si="12"/>
        <v>1420.454545</v>
      </c>
      <c r="N19" s="37">
        <f t="shared" si="13"/>
        <v>250000</v>
      </c>
      <c r="O19" s="37">
        <f t="shared" si="14"/>
        <v>16.32706374</v>
      </c>
      <c r="P19" s="37"/>
      <c r="Q19" s="37"/>
      <c r="R19" s="37"/>
      <c r="S19" s="37"/>
      <c r="T19" s="37"/>
      <c r="U19" s="37"/>
      <c r="V19" s="37"/>
      <c r="W19" s="37">
        <f t="shared" ref="W19:W21" si="22">W18</f>
        <v>12637.36264</v>
      </c>
      <c r="X19" s="87" t="str">
        <f>[2]Costing!$F$3</f>
        <v>#ERROR!</v>
      </c>
      <c r="Y19" s="34">
        <f>Y18</f>
        <v>29920</v>
      </c>
      <c r="Z19" s="34">
        <f t="shared" si="16"/>
        <v>11968</v>
      </c>
      <c r="AA19" s="34">
        <f t="shared" si="17"/>
        <v>14960</v>
      </c>
      <c r="AB19" s="34" t="str">
        <f t="shared" si="18"/>
        <v>#ERROR!</v>
      </c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</row>
    <row r="20">
      <c r="A20" s="88"/>
      <c r="B20" s="34" t="str">
        <f>'Elapse sheet_Development'!B17</f>
        <v>BA</v>
      </c>
      <c r="C20" s="34"/>
      <c r="D20" s="87">
        <f>'Elapse sheet_Development'!X17</f>
        <v>1</v>
      </c>
      <c r="E20" s="97">
        <v>5.0</v>
      </c>
      <c r="F20" s="89">
        <f>F15</f>
        <v>8333.333333</v>
      </c>
      <c r="G20" s="89">
        <f t="shared" si="19"/>
        <v>10833.33333</v>
      </c>
      <c r="H20" s="89">
        <f t="shared" si="20"/>
        <v>54166.66667</v>
      </c>
      <c r="I20" s="89">
        <f t="shared" si="21"/>
        <v>106209.1503</v>
      </c>
      <c r="J20" s="90"/>
      <c r="K20" s="37"/>
      <c r="L20" s="37"/>
      <c r="M20" s="37">
        <f t="shared" si="12"/>
        <v>1041.666667</v>
      </c>
      <c r="N20" s="37">
        <f t="shared" si="13"/>
        <v>183333.3333</v>
      </c>
      <c r="O20" s="37">
        <f t="shared" si="14"/>
        <v>11.97318008</v>
      </c>
      <c r="P20" s="37"/>
      <c r="Q20" s="37"/>
      <c r="R20" s="37"/>
      <c r="S20" s="37"/>
      <c r="T20" s="37"/>
      <c r="U20" s="37"/>
      <c r="V20" s="37"/>
      <c r="W20" s="37">
        <f t="shared" si="22"/>
        <v>12637.36264</v>
      </c>
      <c r="X20" s="87" t="str">
        <f t="shared" ref="X20:X21" si="23">X19</f>
        <v>#ERROR!</v>
      </c>
      <c r="Y20" s="34">
        <f>Y5</f>
        <v>21760</v>
      </c>
      <c r="Z20" s="34">
        <f t="shared" si="16"/>
        <v>8704</v>
      </c>
      <c r="AA20" s="34">
        <f t="shared" si="17"/>
        <v>10880</v>
      </c>
      <c r="AB20" s="34" t="str">
        <f t="shared" si="18"/>
        <v>#ERROR!</v>
      </c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>
      <c r="A21" s="88"/>
      <c r="B21" s="34" t="str">
        <f>'Elapse sheet_Development'!B18</f>
        <v>FE-S</v>
      </c>
      <c r="C21" s="34"/>
      <c r="D21" s="87">
        <f>'Elapse sheet_Development'!AH18</f>
        <v>1</v>
      </c>
      <c r="E21" s="34">
        <f>'Elapse sheet_Development'!AI18</f>
        <v>5</v>
      </c>
      <c r="F21" s="89">
        <f>F15</f>
        <v>8333.333333</v>
      </c>
      <c r="G21" s="89">
        <f t="shared" si="19"/>
        <v>10833.33333</v>
      </c>
      <c r="H21" s="89">
        <f t="shared" si="20"/>
        <v>54166.66667</v>
      </c>
      <c r="I21" s="89">
        <f t="shared" si="21"/>
        <v>106209.1503</v>
      </c>
      <c r="J21" s="90"/>
      <c r="K21" s="37"/>
      <c r="L21" s="37"/>
      <c r="M21" s="37">
        <f t="shared" si="12"/>
        <v>1041.666667</v>
      </c>
      <c r="N21" s="37">
        <f t="shared" si="13"/>
        <v>183333.3333</v>
      </c>
      <c r="O21" s="37">
        <f t="shared" si="14"/>
        <v>11.97318008</v>
      </c>
      <c r="P21" s="37"/>
      <c r="Q21" s="37"/>
      <c r="R21" s="37"/>
      <c r="S21" s="37"/>
      <c r="T21" s="37"/>
      <c r="U21" s="37"/>
      <c r="V21" s="37"/>
      <c r="W21" s="37">
        <f t="shared" si="22"/>
        <v>12637.36264</v>
      </c>
      <c r="X21" s="87" t="str">
        <f t="shared" si="23"/>
        <v>#ERROR!</v>
      </c>
      <c r="Y21" s="34">
        <f>Y19</f>
        <v>29920</v>
      </c>
      <c r="Z21" s="34">
        <f t="shared" si="16"/>
        <v>11968</v>
      </c>
      <c r="AA21" s="34">
        <f t="shared" si="17"/>
        <v>14960</v>
      </c>
      <c r="AB21" s="34" t="str">
        <f t="shared" si="18"/>
        <v>#ERROR!</v>
      </c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</row>
    <row r="22">
      <c r="A22" s="88"/>
      <c r="B22" s="34" t="str">
        <f>'Elapse sheet_Development'!B19</f>
        <v>BE-S</v>
      </c>
      <c r="C22" s="34"/>
      <c r="D22" s="87">
        <f>'Elapse sheet_Development'!AH19</f>
        <v>1</v>
      </c>
      <c r="E22" s="34">
        <f>'Elapse sheet_Development'!AI19</f>
        <v>5</v>
      </c>
      <c r="F22" s="89">
        <f>F13</f>
        <v>9469.69697</v>
      </c>
      <c r="G22" s="89">
        <f t="shared" si="19"/>
        <v>12310.60606</v>
      </c>
      <c r="H22" s="89">
        <f t="shared" si="20"/>
        <v>61553.0303</v>
      </c>
      <c r="I22" s="89">
        <f t="shared" si="21"/>
        <v>120692.2163</v>
      </c>
      <c r="J22" s="96"/>
      <c r="K22" s="37"/>
      <c r="L22" s="37"/>
      <c r="M22" s="37">
        <f t="shared" si="12"/>
        <v>1183.712121</v>
      </c>
      <c r="N22" s="37">
        <f t="shared" si="13"/>
        <v>208333.3333</v>
      </c>
      <c r="O22" s="37">
        <f t="shared" si="14"/>
        <v>13.60588645</v>
      </c>
      <c r="P22" s="37"/>
      <c r="Q22" s="37"/>
      <c r="R22" s="37"/>
      <c r="S22" s="37"/>
      <c r="T22" s="37"/>
      <c r="U22" s="37"/>
      <c r="V22" s="37"/>
      <c r="W22" s="37"/>
      <c r="X22" s="87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</row>
    <row r="23">
      <c r="A23" s="91"/>
      <c r="B23" s="34" t="str">
        <f>'Elapse sheet_Development'!B21</f>
        <v>QA</v>
      </c>
      <c r="C23" s="92"/>
      <c r="D23" s="87">
        <f>'Elapse sheet_Development'!AH21</f>
        <v>2</v>
      </c>
      <c r="E23" s="34">
        <f>'Elapse sheet_Development'!AI21</f>
        <v>10</v>
      </c>
      <c r="F23" s="94">
        <f>'As per HR'!K9</f>
        <v>11363.63636</v>
      </c>
      <c r="G23" s="94">
        <f t="shared" si="19"/>
        <v>14772.72727</v>
      </c>
      <c r="H23" s="89">
        <f t="shared" si="20"/>
        <v>147727.2727</v>
      </c>
      <c r="I23" s="94">
        <f t="shared" si="21"/>
        <v>289661.3191</v>
      </c>
      <c r="J23" s="95">
        <f>SUM(I19:I23)</f>
        <v>767602.4955</v>
      </c>
      <c r="K23" s="37"/>
      <c r="L23" s="37"/>
      <c r="M23" s="37">
        <f t="shared" si="12"/>
        <v>1420.454545</v>
      </c>
      <c r="N23" s="37">
        <f t="shared" si="13"/>
        <v>250000</v>
      </c>
      <c r="O23" s="37">
        <f t="shared" si="14"/>
        <v>16.32706374</v>
      </c>
      <c r="P23" s="37"/>
      <c r="Q23" s="37"/>
      <c r="R23" s="37"/>
      <c r="S23" s="37"/>
      <c r="T23" s="37"/>
      <c r="U23" s="37"/>
      <c r="V23" s="37"/>
      <c r="W23" s="37">
        <f>W21</f>
        <v>12637.36264</v>
      </c>
      <c r="X23" s="87" t="str">
        <f>'[2]Person Day cost'!$G$8</f>
        <v>#REF!</v>
      </c>
      <c r="Y23" s="34">
        <f>Y18</f>
        <v>29920</v>
      </c>
      <c r="Z23" s="34">
        <f t="shared" ref="Z23:Z24" si="24">Y23/2.5</f>
        <v>11968</v>
      </c>
      <c r="AA23" s="34">
        <f t="shared" ref="AA23:AA24" si="25">Y23/2</f>
        <v>14960</v>
      </c>
      <c r="AB23" s="34" t="str">
        <f t="shared" ref="AB23:AB24" si="26">X23*1.3</f>
        <v>#REF!</v>
      </c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</row>
    <row r="24">
      <c r="A24" s="81" t="str">
        <f>'Elapse sheet_Development'!A22</f>
        <v>UAT+Bug Fixing</v>
      </c>
      <c r="B24" s="82" t="str">
        <f>'Elapse sheet_Development'!B22</f>
        <v>PM</v>
      </c>
      <c r="C24" s="82" t="s">
        <v>69</v>
      </c>
      <c r="D24" s="84">
        <f>'Elapse sheet_Development'!AH22</f>
        <v>2</v>
      </c>
      <c r="E24" s="82">
        <f>'Elapse sheet_Development'!AI22</f>
        <v>10</v>
      </c>
      <c r="F24" s="85">
        <f t="shared" ref="F24:F25" si="27">F7</f>
        <v>11363.63636</v>
      </c>
      <c r="G24" s="85">
        <f t="shared" si="19"/>
        <v>14772.72727</v>
      </c>
      <c r="H24" s="85">
        <f t="shared" si="20"/>
        <v>147727.2727</v>
      </c>
      <c r="I24" s="85">
        <f t="shared" si="21"/>
        <v>289661.3191</v>
      </c>
      <c r="J24" s="86"/>
      <c r="K24" s="37"/>
      <c r="L24" s="37"/>
      <c r="M24" s="37">
        <f t="shared" si="12"/>
        <v>1420.454545</v>
      </c>
      <c r="N24" s="37">
        <f t="shared" si="13"/>
        <v>250000</v>
      </c>
      <c r="O24" s="37">
        <f t="shared" si="14"/>
        <v>16.32706374</v>
      </c>
      <c r="P24" s="37"/>
      <c r="Q24" s="37"/>
      <c r="R24" s="37"/>
      <c r="S24" s="37"/>
      <c r="T24" s="37"/>
      <c r="U24" s="37"/>
      <c r="V24" s="37"/>
      <c r="W24" s="37">
        <f>W23</f>
        <v>12637.36264</v>
      </c>
      <c r="X24" s="87" t="str">
        <f>X21</f>
        <v>#ERROR!</v>
      </c>
      <c r="Y24" s="34">
        <f>Y4</f>
        <v>29920</v>
      </c>
      <c r="Z24" s="34">
        <f t="shared" si="24"/>
        <v>11968</v>
      </c>
      <c r="AA24" s="34">
        <f t="shared" si="25"/>
        <v>14960</v>
      </c>
      <c r="AB24" s="34" t="str">
        <f t="shared" si="26"/>
        <v>#ERROR!</v>
      </c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</row>
    <row r="25">
      <c r="A25" s="88"/>
      <c r="B25" s="34" t="str">
        <f>'Elapse sheet_Development'!B23</f>
        <v>BA</v>
      </c>
      <c r="C25" s="34"/>
      <c r="D25" s="87">
        <f>'Elapse sheet_Development'!AH23</f>
        <v>2</v>
      </c>
      <c r="E25" s="34">
        <f>'Elapse sheet_Development'!AI23</f>
        <v>10</v>
      </c>
      <c r="F25" s="89">
        <f t="shared" si="27"/>
        <v>11363.63636</v>
      </c>
      <c r="G25" s="89">
        <f t="shared" si="19"/>
        <v>14772.72727</v>
      </c>
      <c r="H25" s="89">
        <f t="shared" si="20"/>
        <v>147727.2727</v>
      </c>
      <c r="I25" s="89">
        <f t="shared" si="21"/>
        <v>289661.3191</v>
      </c>
      <c r="J25" s="90"/>
      <c r="K25" s="37"/>
      <c r="L25" s="37"/>
      <c r="M25" s="37">
        <f t="shared" si="12"/>
        <v>1420.454545</v>
      </c>
      <c r="N25" s="37">
        <f t="shared" si="13"/>
        <v>250000</v>
      </c>
      <c r="O25" s="37">
        <f t="shared" si="14"/>
        <v>16.32706374</v>
      </c>
      <c r="P25" s="37"/>
      <c r="Q25" s="37"/>
      <c r="R25" s="37"/>
      <c r="S25" s="37"/>
      <c r="T25" s="37"/>
      <c r="U25" s="37"/>
      <c r="V25" s="37"/>
      <c r="W25" s="37"/>
      <c r="X25" s="87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</row>
    <row r="26">
      <c r="A26" s="88"/>
      <c r="B26" s="34" t="str">
        <f>'Elapse sheet_Development'!B24</f>
        <v>FE-S</v>
      </c>
      <c r="C26" s="34"/>
      <c r="D26" s="87">
        <f>'Elapse sheet_Development'!AH24</f>
        <v>2</v>
      </c>
      <c r="E26" s="34">
        <f>'Elapse sheet_Development'!AI24</f>
        <v>10</v>
      </c>
      <c r="F26" s="89">
        <f>F11</f>
        <v>6818.181818</v>
      </c>
      <c r="G26" s="89">
        <f t="shared" si="19"/>
        <v>8863.636364</v>
      </c>
      <c r="H26" s="89">
        <f t="shared" si="20"/>
        <v>88636.36364</v>
      </c>
      <c r="I26" s="89">
        <f t="shared" si="21"/>
        <v>173796.7914</v>
      </c>
      <c r="J26" s="90"/>
      <c r="K26" s="37"/>
      <c r="L26" s="37"/>
      <c r="M26" s="37">
        <f t="shared" si="12"/>
        <v>852.2727273</v>
      </c>
      <c r="N26" s="37">
        <f t="shared" si="13"/>
        <v>150000</v>
      </c>
      <c r="O26" s="37">
        <f t="shared" si="14"/>
        <v>9.796238245</v>
      </c>
      <c r="P26" s="37"/>
      <c r="Q26" s="37"/>
      <c r="R26" s="37"/>
      <c r="S26" s="37"/>
      <c r="T26" s="37"/>
      <c r="U26" s="37"/>
      <c r="V26" s="37"/>
      <c r="W26" s="37"/>
      <c r="X26" s="87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</row>
    <row r="27">
      <c r="A27" s="88"/>
      <c r="B27" s="34" t="str">
        <f>'Elapse sheet_Development'!B25</f>
        <v>BE-S</v>
      </c>
      <c r="C27" s="34"/>
      <c r="D27" s="87">
        <f>'Elapse sheet_Development'!AH25</f>
        <v>2</v>
      </c>
      <c r="E27" s="34">
        <f>'Elapse sheet_Development'!AI25</f>
        <v>10</v>
      </c>
      <c r="F27" s="89">
        <f>F13</f>
        <v>9469.69697</v>
      </c>
      <c r="G27" s="89">
        <f t="shared" si="19"/>
        <v>12310.60606</v>
      </c>
      <c r="H27" s="89">
        <f t="shared" si="20"/>
        <v>123106.0606</v>
      </c>
      <c r="I27" s="89">
        <f t="shared" si="21"/>
        <v>241384.4326</v>
      </c>
      <c r="J27" s="90"/>
      <c r="K27" s="37"/>
      <c r="L27" s="37"/>
      <c r="M27" s="37">
        <f t="shared" si="12"/>
        <v>1183.712121</v>
      </c>
      <c r="N27" s="37">
        <f t="shared" si="13"/>
        <v>208333.3333</v>
      </c>
      <c r="O27" s="37">
        <f t="shared" si="14"/>
        <v>13.60588645</v>
      </c>
      <c r="P27" s="37"/>
      <c r="Q27" s="37"/>
      <c r="R27" s="37"/>
      <c r="S27" s="37"/>
      <c r="T27" s="37"/>
      <c r="U27" s="37"/>
      <c r="V27" s="37"/>
      <c r="W27" s="37"/>
      <c r="X27" s="87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</row>
    <row r="28">
      <c r="A28" s="88"/>
      <c r="B28" s="34" t="str">
        <f>'Elapse sheet_Development'!B26</f>
        <v>BC-S</v>
      </c>
      <c r="C28" s="34"/>
      <c r="D28" s="87">
        <f>'Elapse sheet_Development'!AH26</f>
        <v>2</v>
      </c>
      <c r="E28" s="34">
        <f>'Elapse sheet_Development'!AI26</f>
        <v>10</v>
      </c>
      <c r="F28" s="89">
        <f t="shared" ref="F28:F29" si="28">F15</f>
        <v>8333.333333</v>
      </c>
      <c r="G28" s="89">
        <f t="shared" si="19"/>
        <v>10833.33333</v>
      </c>
      <c r="H28" s="89">
        <f t="shared" si="20"/>
        <v>108333.3333</v>
      </c>
      <c r="I28" s="89">
        <f t="shared" si="21"/>
        <v>212418.3007</v>
      </c>
      <c r="J28" s="90"/>
      <c r="K28" s="37"/>
      <c r="L28" s="37"/>
      <c r="M28" s="37">
        <f t="shared" si="12"/>
        <v>1041.666667</v>
      </c>
      <c r="N28" s="37">
        <f t="shared" si="13"/>
        <v>183333.3333</v>
      </c>
      <c r="O28" s="37">
        <f t="shared" si="14"/>
        <v>11.97318008</v>
      </c>
      <c r="P28" s="37"/>
      <c r="Q28" s="37"/>
      <c r="R28" s="37"/>
      <c r="S28" s="37"/>
      <c r="T28" s="37"/>
      <c r="U28" s="37"/>
      <c r="V28" s="37"/>
      <c r="W28" s="37"/>
      <c r="X28" s="87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</row>
    <row r="29">
      <c r="A29" s="88"/>
      <c r="B29" s="34" t="str">
        <f>'Elapse sheet_Development'!B27</f>
        <v>QA</v>
      </c>
      <c r="C29" s="34"/>
      <c r="D29" s="87">
        <f>'Elapse sheet_Development'!AH27</f>
        <v>4</v>
      </c>
      <c r="E29" s="34">
        <f>'Elapse sheet_Development'!AI27</f>
        <v>20</v>
      </c>
      <c r="F29" s="89">
        <f t="shared" si="28"/>
        <v>7575.757576</v>
      </c>
      <c r="G29" s="89">
        <f t="shared" si="19"/>
        <v>9848.484848</v>
      </c>
      <c r="H29" s="89">
        <f t="shared" si="20"/>
        <v>196969.697</v>
      </c>
      <c r="I29" s="89">
        <f t="shared" si="21"/>
        <v>386215.0921</v>
      </c>
      <c r="J29" s="90"/>
      <c r="K29" s="37"/>
      <c r="L29" s="37"/>
      <c r="M29" s="37">
        <f t="shared" si="12"/>
        <v>946.969697</v>
      </c>
      <c r="N29" s="37">
        <f t="shared" si="13"/>
        <v>166666.6667</v>
      </c>
      <c r="O29" s="37">
        <f t="shared" si="14"/>
        <v>10.88470916</v>
      </c>
      <c r="P29" s="37"/>
      <c r="Q29" s="37"/>
      <c r="R29" s="37"/>
      <c r="S29" s="37"/>
      <c r="T29" s="37"/>
      <c r="U29" s="37"/>
      <c r="V29" s="37"/>
      <c r="W29" s="37"/>
      <c r="X29" s="87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</row>
    <row r="30">
      <c r="A30" s="88"/>
      <c r="B30" s="34"/>
      <c r="C30" s="34"/>
      <c r="D30" s="34"/>
      <c r="E30" s="34"/>
      <c r="F30" s="89"/>
      <c r="G30" s="89">
        <f t="shared" si="19"/>
        <v>0</v>
      </c>
      <c r="H30" s="89">
        <f t="shared" si="20"/>
        <v>0</v>
      </c>
      <c r="I30" s="89">
        <f t="shared" si="21"/>
        <v>0</v>
      </c>
      <c r="J30" s="90"/>
      <c r="K30" s="37"/>
      <c r="L30" s="37"/>
      <c r="M30" s="37">
        <f t="shared" si="12"/>
        <v>0</v>
      </c>
      <c r="N30" s="37">
        <f t="shared" si="13"/>
        <v>0</v>
      </c>
      <c r="O30" s="37">
        <f t="shared" si="14"/>
        <v>0</v>
      </c>
      <c r="P30" s="37"/>
      <c r="Q30" s="37"/>
      <c r="R30" s="37"/>
      <c r="S30" s="37"/>
      <c r="T30" s="37"/>
      <c r="U30" s="37"/>
      <c r="V30" s="37"/>
      <c r="W30" s="37" t="str">
        <f t="shared" ref="W30:X30" si="29">#REF!</f>
        <v>#REF!</v>
      </c>
      <c r="X30" s="87" t="str">
        <f t="shared" si="29"/>
        <v>#REF!</v>
      </c>
      <c r="Y30" s="34">
        <f>Y6</f>
        <v>29920</v>
      </c>
      <c r="Z30" s="34">
        <f t="shared" ref="Z30:Z33" si="31">Y30/2.5</f>
        <v>11968</v>
      </c>
      <c r="AA30" s="34">
        <f t="shared" ref="AA30:AA33" si="32">Y30/2</f>
        <v>14960</v>
      </c>
      <c r="AB30" s="34" t="str">
        <f t="shared" ref="AB30:AB33" si="33">X30*1.3</f>
        <v>#REF!</v>
      </c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</row>
    <row r="31">
      <c r="A31" s="91"/>
      <c r="B31" s="92"/>
      <c r="C31" s="92"/>
      <c r="D31" s="92"/>
      <c r="E31" s="92"/>
      <c r="F31" s="94"/>
      <c r="G31" s="94">
        <f t="shared" si="19"/>
        <v>0</v>
      </c>
      <c r="H31" s="94">
        <f t="shared" si="20"/>
        <v>0</v>
      </c>
      <c r="I31" s="94">
        <f t="shared" si="21"/>
        <v>0</v>
      </c>
      <c r="J31" s="95">
        <f>SUM(I24:I31)</f>
        <v>1593137.255</v>
      </c>
      <c r="K31" s="37"/>
      <c r="L31" s="37"/>
      <c r="M31" s="37">
        <f t="shared" si="12"/>
        <v>0</v>
      </c>
      <c r="N31" s="37">
        <f t="shared" si="13"/>
        <v>0</v>
      </c>
      <c r="O31" s="37">
        <f t="shared" si="14"/>
        <v>0</v>
      </c>
      <c r="P31" s="37"/>
      <c r="Q31" s="37"/>
      <c r="R31" s="37"/>
      <c r="S31" s="37"/>
      <c r="T31" s="37"/>
      <c r="U31" s="37"/>
      <c r="V31" s="37"/>
      <c r="W31" s="37" t="str">
        <f t="shared" ref="W31:X31" si="30">W30</f>
        <v>#REF!</v>
      </c>
      <c r="X31" s="87" t="str">
        <f t="shared" si="30"/>
        <v>#REF!</v>
      </c>
      <c r="Y31" s="34">
        <f>Y18</f>
        <v>29920</v>
      </c>
      <c r="Z31" s="34">
        <f t="shared" si="31"/>
        <v>11968</v>
      </c>
      <c r="AA31" s="34">
        <f t="shared" si="32"/>
        <v>14960</v>
      </c>
      <c r="AB31" s="34" t="str">
        <f t="shared" si="33"/>
        <v>#REF!</v>
      </c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>
      <c r="A32" s="98" t="s">
        <v>70</v>
      </c>
      <c r="B32" s="34" t="str">
        <f>'Elapse sheet_Development'!B28</f>
        <v>PM</v>
      </c>
      <c r="C32" s="34"/>
      <c r="D32" s="87">
        <f>'Elapse sheet_Development'!AH28</f>
        <v>2</v>
      </c>
      <c r="E32" s="34">
        <f>'Elapse sheet_Development'!AI28</f>
        <v>10</v>
      </c>
      <c r="F32" s="89">
        <f>F7</f>
        <v>11363.63636</v>
      </c>
      <c r="G32" s="89">
        <f t="shared" si="19"/>
        <v>14772.72727</v>
      </c>
      <c r="H32" s="89">
        <f t="shared" si="20"/>
        <v>147727.2727</v>
      </c>
      <c r="I32" s="89">
        <f t="shared" si="21"/>
        <v>289661.3191</v>
      </c>
      <c r="J32" s="90"/>
      <c r="K32" s="37"/>
      <c r="L32" s="37"/>
      <c r="M32" s="37">
        <f t="shared" si="12"/>
        <v>1420.454545</v>
      </c>
      <c r="N32" s="37">
        <f t="shared" si="13"/>
        <v>250000</v>
      </c>
      <c r="O32" s="37">
        <f t="shared" si="14"/>
        <v>16.32706374</v>
      </c>
      <c r="P32" s="37"/>
      <c r="Q32" s="37"/>
      <c r="R32" s="37"/>
      <c r="S32" s="37"/>
      <c r="T32" s="37"/>
      <c r="U32" s="37"/>
      <c r="V32" s="37"/>
      <c r="W32" s="37" t="str">
        <f t="shared" ref="W32:X32" si="34">W31</f>
        <v>#REF!</v>
      </c>
      <c r="X32" s="87" t="str">
        <f t="shared" si="34"/>
        <v>#REF!</v>
      </c>
      <c r="Y32" s="34">
        <f>Y4</f>
        <v>29920</v>
      </c>
      <c r="Z32" s="34">
        <f t="shared" si="31"/>
        <v>11968</v>
      </c>
      <c r="AA32" s="34">
        <f t="shared" si="32"/>
        <v>14960</v>
      </c>
      <c r="AB32" s="34" t="str">
        <f t="shared" si="33"/>
        <v>#REF!</v>
      </c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ht="15.75" customHeight="1">
      <c r="A33" s="88"/>
      <c r="B33" s="34" t="str">
        <f>#REF!</f>
        <v>#REF!</v>
      </c>
      <c r="C33" s="34"/>
      <c r="D33" s="34" t="str">
        <f t="shared" ref="D33:E33" si="35">#REF!</f>
        <v>#REF!</v>
      </c>
      <c r="E33" s="34" t="str">
        <f t="shared" si="35"/>
        <v>#REF!</v>
      </c>
      <c r="F33" s="89">
        <f t="shared" ref="F33:F34" si="37">F14</f>
        <v>5303.030303</v>
      </c>
      <c r="G33" s="89">
        <f t="shared" si="19"/>
        <v>6893.939394</v>
      </c>
      <c r="H33" s="89" t="str">
        <f t="shared" si="20"/>
        <v>#REF!</v>
      </c>
      <c r="I33" s="89" t="str">
        <f t="shared" si="21"/>
        <v>#REF!</v>
      </c>
      <c r="J33" s="90"/>
      <c r="K33" s="37"/>
      <c r="L33" s="37">
        <v>11363.636363636364</v>
      </c>
      <c r="M33" s="37">
        <f t="shared" si="12"/>
        <v>662.8787879</v>
      </c>
      <c r="N33" s="37">
        <f t="shared" si="13"/>
        <v>116666.6667</v>
      </c>
      <c r="O33" s="37">
        <f t="shared" si="14"/>
        <v>7.619296412</v>
      </c>
      <c r="P33" s="37"/>
      <c r="Q33" s="37"/>
      <c r="R33" s="37"/>
      <c r="S33" s="37"/>
      <c r="T33" s="37"/>
      <c r="U33" s="37"/>
      <c r="V33" s="37"/>
      <c r="W33" s="37" t="str">
        <f t="shared" ref="W33:X33" si="36">W32</f>
        <v>#REF!</v>
      </c>
      <c r="X33" s="87" t="str">
        <f t="shared" si="36"/>
        <v>#REF!</v>
      </c>
      <c r="Y33" s="34">
        <f>Y6</f>
        <v>29920</v>
      </c>
      <c r="Z33" s="34">
        <f t="shared" si="31"/>
        <v>11968</v>
      </c>
      <c r="AA33" s="34">
        <f t="shared" si="32"/>
        <v>14960</v>
      </c>
      <c r="AB33" s="34" t="str">
        <f t="shared" si="33"/>
        <v>#REF!</v>
      </c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ht="15.75" customHeight="1">
      <c r="A34" s="88"/>
      <c r="B34" s="34" t="str">
        <f>'Elapse sheet_Development'!B30</f>
        <v>BE-S</v>
      </c>
      <c r="C34" s="34"/>
      <c r="D34" s="87">
        <f>'Elapse sheet_Development'!AH30</f>
        <v>2</v>
      </c>
      <c r="E34" s="34">
        <f>'Elapse sheet_Development'!AI30</f>
        <v>10</v>
      </c>
      <c r="F34" s="89">
        <f t="shared" si="37"/>
        <v>8333.333333</v>
      </c>
      <c r="G34" s="89">
        <f t="shared" si="19"/>
        <v>10833.33333</v>
      </c>
      <c r="H34" s="89">
        <f t="shared" si="20"/>
        <v>108333.3333</v>
      </c>
      <c r="I34" s="89">
        <f t="shared" si="21"/>
        <v>212418.3007</v>
      </c>
      <c r="J34" s="90"/>
      <c r="K34" s="37"/>
      <c r="L34" s="37">
        <v>8333.333333333334</v>
      </c>
      <c r="M34" s="37">
        <f t="shared" si="12"/>
        <v>1041.666667</v>
      </c>
      <c r="N34" s="37">
        <f t="shared" si="13"/>
        <v>183333.3333</v>
      </c>
      <c r="O34" s="37">
        <f t="shared" si="14"/>
        <v>11.97318008</v>
      </c>
      <c r="P34" s="37"/>
      <c r="Q34" s="37"/>
      <c r="R34" s="37"/>
      <c r="S34" s="37"/>
      <c r="T34" s="37"/>
      <c r="U34" s="37"/>
      <c r="V34" s="37"/>
      <c r="W34" s="37"/>
      <c r="X34" s="87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ht="15.75" customHeight="1">
      <c r="A35" s="91"/>
      <c r="B35" s="92" t="str">
        <f>#REF!</f>
        <v>#REF!</v>
      </c>
      <c r="C35" s="92"/>
      <c r="D35" s="87" t="str">
        <f t="shared" ref="D35:E35" si="38">#REF!</f>
        <v>#REF!</v>
      </c>
      <c r="E35" s="92" t="str">
        <f t="shared" si="38"/>
        <v>#REF!</v>
      </c>
      <c r="F35" s="94">
        <f>'As per HR'!K9</f>
        <v>11363.63636</v>
      </c>
      <c r="G35" s="94">
        <f t="shared" si="19"/>
        <v>14772.72727</v>
      </c>
      <c r="H35" s="94" t="str">
        <f t="shared" si="20"/>
        <v>#REF!</v>
      </c>
      <c r="I35" s="94" t="str">
        <f t="shared" si="21"/>
        <v>#REF!</v>
      </c>
      <c r="J35" s="95" t="str">
        <f>SUM(I32:I35)</f>
        <v>#REF!</v>
      </c>
      <c r="K35" s="37"/>
      <c r="L35" s="37"/>
      <c r="M35" s="37">
        <f t="shared" si="12"/>
        <v>1420.454545</v>
      </c>
      <c r="N35" s="37">
        <f t="shared" si="13"/>
        <v>250000</v>
      </c>
      <c r="O35" s="37">
        <f t="shared" si="14"/>
        <v>16.32706374</v>
      </c>
      <c r="P35" s="37"/>
      <c r="Q35" s="37"/>
      <c r="R35" s="37"/>
      <c r="S35" s="37"/>
      <c r="T35" s="37"/>
      <c r="U35" s="37"/>
      <c r="V35" s="37"/>
      <c r="W35" s="37" t="str">
        <f t="shared" ref="W35:Y35" si="39">W33</f>
        <v>#REF!</v>
      </c>
      <c r="X35" s="87" t="str">
        <f t="shared" si="39"/>
        <v>#REF!</v>
      </c>
      <c r="Y35" s="34">
        <f t="shared" si="39"/>
        <v>29920</v>
      </c>
      <c r="Z35" s="34">
        <f t="shared" ref="Z35:Z36" si="41">Y35/2.5</f>
        <v>11968</v>
      </c>
      <c r="AA35" s="34">
        <f t="shared" ref="AA35:AA36" si="42">Y35/2</f>
        <v>14960</v>
      </c>
      <c r="AB35" s="34" t="str">
        <f t="shared" ref="AB35:AB36" si="43">X35*1.3</f>
        <v>#REF!</v>
      </c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ht="15.0" customHeight="1">
      <c r="A36" s="99" t="s">
        <v>71</v>
      </c>
      <c r="B36" s="34" t="str">
        <f>'Elapse sheet_Development'!B32</f>
        <v>PM</v>
      </c>
      <c r="C36" s="82"/>
      <c r="D36" s="84">
        <f>'Elapse sheet_Development'!AH32</f>
        <v>0</v>
      </c>
      <c r="E36" s="82">
        <f>'Elapse sheet_Development'!AI32</f>
        <v>0</v>
      </c>
      <c r="F36" s="85">
        <f>F33</f>
        <v>5303.030303</v>
      </c>
      <c r="G36" s="85">
        <f t="shared" si="19"/>
        <v>6893.939394</v>
      </c>
      <c r="H36" s="85">
        <f t="shared" si="20"/>
        <v>0</v>
      </c>
      <c r="I36" s="85">
        <f t="shared" si="21"/>
        <v>0</v>
      </c>
      <c r="J36" s="100"/>
      <c r="K36" s="37"/>
      <c r="L36" s="37"/>
      <c r="M36" s="37">
        <f t="shared" si="12"/>
        <v>662.8787879</v>
      </c>
      <c r="N36" s="37">
        <f t="shared" si="13"/>
        <v>116666.6667</v>
      </c>
      <c r="O36" s="37">
        <f t="shared" si="14"/>
        <v>7.619296412</v>
      </c>
      <c r="P36" s="37"/>
      <c r="Q36" s="37"/>
      <c r="R36" s="37"/>
      <c r="S36" s="37"/>
      <c r="T36" s="37"/>
      <c r="U36" s="37"/>
      <c r="V36" s="37"/>
      <c r="W36" s="37" t="str">
        <f t="shared" ref="W36:X36" si="40">W35</f>
        <v>#REF!</v>
      </c>
      <c r="X36" s="87" t="str">
        <f t="shared" si="40"/>
        <v>#REF!</v>
      </c>
      <c r="Y36" s="34">
        <f>Y6</f>
        <v>29920</v>
      </c>
      <c r="Z36" s="34">
        <f t="shared" si="41"/>
        <v>11968</v>
      </c>
      <c r="AA36" s="34">
        <f t="shared" si="42"/>
        <v>14960</v>
      </c>
      <c r="AB36" s="34" t="str">
        <f t="shared" si="43"/>
        <v>#REF!</v>
      </c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ht="15.0" customHeight="1">
      <c r="A37" s="88"/>
      <c r="B37" s="34" t="str">
        <f>'Elapse sheet_Development'!B33</f>
        <v>BCE -J3</v>
      </c>
      <c r="C37" s="34"/>
      <c r="D37" s="87">
        <f>'Elapse sheet_Development'!AH33</f>
        <v>0</v>
      </c>
      <c r="E37" s="34">
        <f>'Elapse sheet_Development'!AI33</f>
        <v>0</v>
      </c>
      <c r="F37" s="89">
        <f>F14</f>
        <v>5303.030303</v>
      </c>
      <c r="G37" s="89">
        <f t="shared" si="19"/>
        <v>6893.939394</v>
      </c>
      <c r="H37" s="89"/>
      <c r="I37" s="89">
        <f t="shared" si="21"/>
        <v>0</v>
      </c>
      <c r="J37" s="96"/>
      <c r="K37" s="37"/>
      <c r="L37" s="37"/>
      <c r="M37" s="37">
        <f t="shared" si="12"/>
        <v>662.8787879</v>
      </c>
      <c r="N37" s="37">
        <f t="shared" si="13"/>
        <v>116666.6667</v>
      </c>
      <c r="O37" s="37">
        <f t="shared" si="14"/>
        <v>7.619296412</v>
      </c>
      <c r="P37" s="37"/>
      <c r="Q37" s="37"/>
      <c r="R37" s="37"/>
      <c r="S37" s="37"/>
      <c r="T37" s="37"/>
      <c r="U37" s="37"/>
      <c r="V37" s="37"/>
      <c r="W37" s="37"/>
      <c r="X37" s="87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ht="15.0" customHeight="1">
      <c r="A38" s="88"/>
      <c r="B38" s="34" t="str">
        <f>'Elapse sheet_Development'!B34</f>
        <v>BCE - J2</v>
      </c>
      <c r="C38" s="34"/>
      <c r="D38" s="87">
        <f>'Elapse sheet_Development'!AH34</f>
        <v>0</v>
      </c>
      <c r="E38" s="34">
        <f>'Elapse sheet_Development'!AI34</f>
        <v>0</v>
      </c>
      <c r="F38" s="89">
        <f>F11</f>
        <v>6818.181818</v>
      </c>
      <c r="G38" s="89">
        <f t="shared" si="19"/>
        <v>8863.636364</v>
      </c>
      <c r="H38" s="89">
        <f t="shared" ref="H38:H39" si="44">G38*E38</f>
        <v>0</v>
      </c>
      <c r="I38" s="89">
        <f t="shared" si="21"/>
        <v>0</v>
      </c>
      <c r="J38" s="96"/>
      <c r="K38" s="37"/>
      <c r="L38" s="37"/>
      <c r="M38" s="37">
        <f t="shared" si="12"/>
        <v>852.2727273</v>
      </c>
      <c r="N38" s="37">
        <f t="shared" si="13"/>
        <v>150000</v>
      </c>
      <c r="O38" s="37">
        <f t="shared" si="14"/>
        <v>9.796238245</v>
      </c>
      <c r="P38" s="37"/>
      <c r="Q38" s="37"/>
      <c r="R38" s="37"/>
      <c r="S38" s="37"/>
      <c r="T38" s="37"/>
      <c r="U38" s="37"/>
      <c r="V38" s="37"/>
      <c r="W38" s="37"/>
      <c r="X38" s="87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ht="15.75" customHeight="1">
      <c r="A39" s="91"/>
      <c r="B39" s="92" t="str">
        <f>'Elapse sheet_Development'!B35</f>
        <v>QA</v>
      </c>
      <c r="C39" s="92"/>
      <c r="D39" s="101">
        <f>'Elapse sheet_Development'!AH35</f>
        <v>0</v>
      </c>
      <c r="E39" s="92">
        <f>'Elapse sheet_Development'!AI35</f>
        <v>0</v>
      </c>
      <c r="F39" s="94">
        <f>F16</f>
        <v>7575.757576</v>
      </c>
      <c r="G39" s="94">
        <f t="shared" si="19"/>
        <v>9848.484848</v>
      </c>
      <c r="H39" s="94">
        <f t="shared" si="44"/>
        <v>0</v>
      </c>
      <c r="I39" s="94">
        <f t="shared" si="21"/>
        <v>0</v>
      </c>
      <c r="J39" s="95">
        <f>SUM(I36:I39)</f>
        <v>0</v>
      </c>
      <c r="K39" s="37"/>
      <c r="L39" s="37"/>
      <c r="M39" s="37">
        <f t="shared" si="12"/>
        <v>946.969697</v>
      </c>
      <c r="N39" s="37">
        <f t="shared" si="13"/>
        <v>166666.6667</v>
      </c>
      <c r="O39" s="37">
        <f t="shared" si="14"/>
        <v>10.88470916</v>
      </c>
      <c r="P39" s="37"/>
      <c r="Q39" s="37"/>
      <c r="R39" s="37"/>
      <c r="S39" s="37"/>
      <c r="T39" s="37"/>
      <c r="U39" s="37"/>
      <c r="V39" s="37"/>
      <c r="W39" s="37" t="str">
        <f>W36</f>
        <v>#REF!</v>
      </c>
      <c r="X39" s="87" t="str">
        <f>X23</f>
        <v>#REF!</v>
      </c>
      <c r="Y39" s="34">
        <f>Y18</f>
        <v>29920</v>
      </c>
      <c r="Z39" s="34">
        <f>Y39/2.5</f>
        <v>11968</v>
      </c>
      <c r="AA39" s="34">
        <f>Y39/2</f>
        <v>14960</v>
      </c>
      <c r="AB39" s="34" t="str">
        <f>X39*1.3</f>
        <v>#REF!</v>
      </c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ht="15.75" customHeight="1">
      <c r="A40" s="102" t="s">
        <v>72</v>
      </c>
      <c r="B40" s="103"/>
      <c r="C40" s="103"/>
      <c r="D40" s="104" t="str">
        <f t="shared" ref="D40:E40" si="45">SUM(D4:D39)</f>
        <v>#REF!</v>
      </c>
      <c r="E40" s="103" t="str">
        <f t="shared" si="45"/>
        <v>#REF!</v>
      </c>
      <c r="F40" s="105"/>
      <c r="G40" s="105"/>
      <c r="H40" s="106" t="str">
        <f t="shared" ref="H40:I40" si="46">SUM(H4:H39)</f>
        <v>#REF!</v>
      </c>
      <c r="I40" s="106" t="str">
        <f t="shared" si="46"/>
        <v>#REF!</v>
      </c>
      <c r="J40" s="107" t="str">
        <f>SUM(J5:J39)</f>
        <v>#REF!</v>
      </c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ht="15.75" customHeight="1">
      <c r="A41" s="108"/>
      <c r="B41" s="82"/>
      <c r="C41" s="82"/>
      <c r="D41" s="109"/>
      <c r="E41" s="109"/>
      <c r="F41" s="110"/>
      <c r="G41" s="110"/>
      <c r="H41" s="82"/>
      <c r="I41" s="82"/>
      <c r="J41" s="111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ht="15.75" customHeight="1">
      <c r="A42" s="112" t="s">
        <v>49</v>
      </c>
      <c r="B42" s="113" t="s">
        <v>73</v>
      </c>
      <c r="C42" s="113" t="s">
        <v>69</v>
      </c>
      <c r="D42" s="113">
        <f>Support!O7</f>
        <v>0</v>
      </c>
      <c r="E42" s="113">
        <f>Support!P7</f>
        <v>0</v>
      </c>
      <c r="F42" s="114">
        <f>(2000000/12)/22</f>
        <v>7575.757576</v>
      </c>
      <c r="G42" s="114">
        <f>F42*(1+$G$2)</f>
        <v>9848.484848</v>
      </c>
      <c r="H42" s="115">
        <f>G42*E42</f>
        <v>0</v>
      </c>
      <c r="I42" s="115">
        <f>H42/(1-$I$1)</f>
        <v>0</v>
      </c>
      <c r="J42" s="116">
        <f>I42</f>
        <v>0</v>
      </c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ht="15.75" customHeight="1">
      <c r="A43" s="34"/>
      <c r="B43" s="34"/>
      <c r="C43" s="34"/>
      <c r="D43" s="34"/>
      <c r="E43" s="34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ht="15.75" customHeight="1">
      <c r="A44" s="34"/>
      <c r="B44" s="34"/>
      <c r="C44" s="34"/>
      <c r="D44" s="34"/>
      <c r="E44" s="34"/>
      <c r="F44" s="37"/>
      <c r="G44" s="37"/>
      <c r="H44" s="117">
        <f t="shared" ref="H44:I44" si="47">H42/3</f>
        <v>0</v>
      </c>
      <c r="I44" s="117">
        <f t="shared" si="47"/>
        <v>0</v>
      </c>
      <c r="J44" s="37" t="s">
        <v>74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ht="15.75" customHeight="1">
      <c r="A45" s="34"/>
      <c r="B45" s="34"/>
      <c r="C45" s="34"/>
      <c r="D45" s="34"/>
      <c r="E45" s="34"/>
      <c r="F45" s="34"/>
      <c r="G45" s="34"/>
      <c r="H45" s="34"/>
      <c r="I45" s="72" t="str">
        <f>I44/J40</f>
        <v>#REF!</v>
      </c>
      <c r="J45" s="34" t="s">
        <v>75</v>
      </c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ht="15.75" customHeight="1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ht="15.75" customHeight="1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ht="15.75" customHeight="1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ht="15.75" customHeight="1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ht="15.75" customHeight="1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ht="15.75" customHeight="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ht="15.75" customHeight="1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ht="15.7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ht="15.7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ht="15.75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ht="15.75" customHeight="1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ht="15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ht="15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ht="15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ht="15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ht="15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ht="15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</row>
    <row r="63" ht="15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</row>
    <row r="64" ht="15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</row>
    <row r="65" ht="15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</row>
    <row r="66" ht="15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</row>
    <row r="67" ht="15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</row>
    <row r="68" ht="15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</row>
    <row r="69" ht="15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</row>
    <row r="70" ht="15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</row>
    <row r="71" ht="15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</row>
    <row r="72" ht="15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</row>
    <row r="73" ht="15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</row>
    <row r="74" ht="15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</row>
    <row r="75" ht="15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</row>
    <row r="76" ht="15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</row>
    <row r="77" ht="15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</row>
    <row r="78" ht="15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</row>
    <row r="79" ht="15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</row>
    <row r="80" ht="15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</row>
    <row r="81" ht="15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</row>
    <row r="82" ht="15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</row>
    <row r="83" ht="15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</row>
    <row r="84" ht="15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</row>
    <row r="85" ht="15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</row>
    <row r="86" ht="15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</row>
    <row r="87" ht="15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34"/>
    </row>
    <row r="88" ht="15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M88" s="34"/>
      <c r="AN88" s="34"/>
    </row>
    <row r="89" ht="15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</row>
    <row r="90" ht="15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</row>
    <row r="91" ht="15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</row>
    <row r="92" ht="15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</row>
    <row r="93" ht="15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</row>
    <row r="94" ht="15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</row>
    <row r="95" ht="15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</row>
    <row r="96" ht="15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</row>
    <row r="97" ht="15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</row>
    <row r="98" ht="15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</row>
    <row r="99" ht="15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</row>
    <row r="100" ht="15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  <c r="AM100" s="34"/>
      <c r="AN100" s="34"/>
    </row>
    <row r="101" ht="15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  <c r="AL101" s="34"/>
      <c r="AM101" s="34"/>
      <c r="AN101" s="34"/>
    </row>
    <row r="102" ht="15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</row>
    <row r="103" ht="15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</row>
    <row r="104" ht="15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</row>
    <row r="105" ht="15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</row>
    <row r="106" ht="15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</row>
    <row r="107" ht="15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</row>
    <row r="108" ht="15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</row>
    <row r="109" ht="15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</row>
    <row r="110" ht="15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</row>
    <row r="111" ht="15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</row>
    <row r="112" ht="15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</row>
    <row r="113" ht="15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</row>
    <row r="114" ht="15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  <c r="AM114" s="34"/>
      <c r="AN114" s="34"/>
    </row>
    <row r="115" ht="15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</row>
    <row r="116" ht="15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</row>
    <row r="117" ht="15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</row>
    <row r="118" ht="15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</row>
    <row r="119" ht="15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</row>
    <row r="120" ht="15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</row>
    <row r="121" ht="15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</row>
    <row r="122" ht="15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</row>
    <row r="123" ht="15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</row>
    <row r="124" ht="15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</row>
    <row r="125" ht="15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</row>
    <row r="126" ht="15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</row>
    <row r="127" ht="15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</row>
    <row r="128" ht="15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</row>
    <row r="129" ht="15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</row>
    <row r="130" ht="15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</row>
    <row r="131" ht="15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</row>
    <row r="132" ht="15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</row>
    <row r="133" ht="15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</row>
    <row r="134" ht="15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</row>
    <row r="135" ht="15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</row>
    <row r="136" ht="15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</row>
    <row r="137" ht="15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</row>
    <row r="138" ht="15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</row>
    <row r="139" ht="15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</row>
    <row r="140" ht="15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</row>
    <row r="141" ht="15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</row>
    <row r="142" ht="15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</row>
    <row r="143" ht="15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</row>
    <row r="144" ht="15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</row>
    <row r="145" ht="15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</row>
    <row r="146" ht="15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</row>
    <row r="147" ht="15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</row>
    <row r="148" ht="15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</row>
    <row r="149" ht="15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</row>
    <row r="150" ht="15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</row>
    <row r="151" ht="15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</row>
    <row r="152" ht="15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</row>
    <row r="153" ht="15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</row>
    <row r="154" ht="15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</row>
    <row r="155" ht="15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</row>
    <row r="156" ht="15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</row>
    <row r="157" ht="15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</row>
    <row r="158" ht="15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</row>
    <row r="159" ht="15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</row>
    <row r="160" ht="15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</row>
    <row r="161" ht="15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</row>
    <row r="162" ht="15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</row>
    <row r="163" ht="15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</row>
    <row r="164" ht="15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</row>
    <row r="165" ht="15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</row>
    <row r="166" ht="15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</row>
    <row r="167" ht="15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</row>
    <row r="168" ht="15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</row>
    <row r="169" ht="15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</row>
    <row r="170" ht="15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</row>
    <row r="171" ht="15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</row>
    <row r="172" ht="15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</row>
    <row r="173" ht="15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</row>
    <row r="174" ht="15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</row>
    <row r="175" ht="15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</row>
    <row r="176" ht="15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</row>
    <row r="177" ht="15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</row>
    <row r="178" ht="15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</row>
    <row r="179" ht="15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</row>
    <row r="180" ht="15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</row>
    <row r="181" ht="15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</row>
    <row r="182" ht="15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</row>
    <row r="183" ht="15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</row>
    <row r="184" ht="15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</row>
    <row r="185" ht="15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</row>
    <row r="186" ht="15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</row>
    <row r="187" ht="15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</row>
    <row r="188" ht="15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</row>
    <row r="189" ht="15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</row>
    <row r="190" ht="15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</row>
    <row r="191" ht="15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</row>
    <row r="192" ht="15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</row>
    <row r="193" ht="15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</row>
    <row r="194" ht="15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</row>
    <row r="195" ht="15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</row>
    <row r="196" ht="15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</row>
    <row r="197" ht="15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</row>
    <row r="198" ht="15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</row>
    <row r="199" ht="15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</row>
    <row r="200" ht="15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</row>
    <row r="201" ht="15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</row>
    <row r="202" ht="15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</row>
    <row r="203" ht="15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</row>
    <row r="204" ht="15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</row>
    <row r="205" ht="15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</row>
    <row r="206" ht="15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</row>
    <row r="207" ht="15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</row>
    <row r="208" ht="15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</row>
    <row r="209" ht="15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</row>
    <row r="210" ht="15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</row>
    <row r="211" ht="15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</row>
    <row r="212" ht="15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</row>
    <row r="213" ht="15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</row>
    <row r="214" ht="15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</row>
    <row r="215" ht="15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</row>
    <row r="216" ht="15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</row>
    <row r="217" ht="15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</row>
    <row r="218" ht="15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</row>
    <row r="219" ht="15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</row>
    <row r="220" ht="15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</row>
    <row r="221" ht="15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</row>
    <row r="222" ht="15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</row>
    <row r="223" ht="15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</row>
    <row r="224" ht="15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</row>
    <row r="225" ht="15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</row>
    <row r="226" ht="15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</row>
    <row r="227" ht="15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</row>
    <row r="228" ht="15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</row>
    <row r="229" ht="15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</row>
    <row r="230" ht="15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</row>
    <row r="231" ht="15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</row>
    <row r="232" ht="15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</row>
    <row r="233" ht="15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</row>
    <row r="234" ht="15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</row>
    <row r="235" ht="15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</row>
    <row r="236" ht="15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</row>
    <row r="237" ht="15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</row>
    <row r="238" ht="15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</row>
    <row r="239" ht="15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</row>
    <row r="240" ht="15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</row>
    <row r="241" ht="15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</row>
    <row r="242" ht="15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</row>
    <row r="243" ht="15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</row>
    <row r="244" ht="15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</row>
    <row r="245" ht="15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</row>
    <row r="246" ht="15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</row>
    <row r="247" ht="15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</row>
    <row r="248" ht="15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</row>
    <row r="249" ht="15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</row>
    <row r="250" ht="15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</row>
    <row r="251" ht="15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</row>
    <row r="252" ht="15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</row>
    <row r="253" ht="15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</row>
    <row r="254" ht="15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</row>
    <row r="255" ht="15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</row>
    <row r="256" ht="15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</row>
    <row r="257" ht="15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</row>
    <row r="258" ht="15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</row>
    <row r="259" ht="15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</row>
    <row r="260" ht="15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</row>
    <row r="261" ht="15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</row>
    <row r="262" ht="15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</row>
    <row r="263" ht="15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</row>
    <row r="264" ht="15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</row>
    <row r="265" ht="15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</row>
    <row r="266" ht="15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</row>
    <row r="267" ht="15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</row>
    <row r="268" ht="15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</row>
    <row r="269" ht="15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</row>
    <row r="270" ht="15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</row>
    <row r="271" ht="15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</row>
    <row r="272" ht="15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</row>
    <row r="273" ht="15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</row>
    <row r="274" ht="15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</row>
    <row r="275" ht="15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</row>
    <row r="276" ht="15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</row>
    <row r="277" ht="15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</row>
    <row r="278" ht="15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</row>
    <row r="279" ht="15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</row>
    <row r="280" ht="15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</row>
    <row r="281" ht="15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</row>
    <row r="282" ht="15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</row>
    <row r="283" ht="15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</row>
    <row r="284" ht="15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</row>
    <row r="285" ht="15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</row>
    <row r="286" ht="15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</row>
    <row r="287" ht="15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</row>
    <row r="288" ht="15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</row>
    <row r="289" ht="15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</row>
    <row r="290" ht="15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</row>
    <row r="291" ht="15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</row>
    <row r="292" ht="15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</row>
    <row r="293" ht="15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</row>
    <row r="294" ht="15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</row>
    <row r="295" ht="15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</row>
    <row r="296" ht="15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</row>
    <row r="297" ht="15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</row>
    <row r="298" ht="15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</row>
    <row r="299" ht="15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</row>
    <row r="300" ht="15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</row>
    <row r="301" ht="15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</row>
    <row r="302" ht="15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</row>
    <row r="303" ht="15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</row>
    <row r="304" ht="15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</row>
    <row r="305" ht="15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</row>
    <row r="306" ht="15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</row>
    <row r="307" ht="15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</row>
    <row r="308" ht="15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</row>
    <row r="309" ht="15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</row>
    <row r="310" ht="15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</row>
    <row r="311" ht="15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</row>
    <row r="312" ht="15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</row>
    <row r="313" ht="15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</row>
    <row r="314" ht="15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</row>
    <row r="315" ht="15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</row>
    <row r="316" ht="15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</row>
    <row r="317" ht="15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</row>
    <row r="318" ht="15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</row>
    <row r="319" ht="15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</row>
    <row r="320" ht="15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</row>
    <row r="321" ht="15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</row>
    <row r="322" ht="15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</row>
    <row r="323" ht="15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</row>
    <row r="324" ht="15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</row>
    <row r="325" ht="15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</row>
    <row r="326" ht="15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</row>
    <row r="327" ht="15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</row>
    <row r="328" ht="15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</row>
    <row r="329" ht="15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</row>
    <row r="330" ht="15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</row>
    <row r="331" ht="15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</row>
    <row r="332" ht="15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</row>
    <row r="333" ht="15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</row>
    <row r="334" ht="15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</row>
    <row r="335" ht="15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</row>
    <row r="336" ht="15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</row>
    <row r="337" ht="15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</row>
    <row r="338" ht="15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</row>
    <row r="339" ht="15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</row>
    <row r="340" ht="15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</row>
    <row r="341" ht="15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</row>
    <row r="342" ht="15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</row>
    <row r="343" ht="15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</row>
    <row r="344" ht="15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</row>
    <row r="345" ht="15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</row>
    <row r="346" ht="15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</row>
    <row r="347" ht="15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</row>
    <row r="348" ht="15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</row>
    <row r="349" ht="15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</row>
    <row r="350" ht="15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</row>
    <row r="351" ht="15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</row>
    <row r="352" ht="15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</row>
    <row r="353" ht="15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</row>
    <row r="354" ht="15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</row>
    <row r="355" ht="15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</row>
    <row r="356" ht="15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</row>
    <row r="357" ht="15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</row>
    <row r="358" ht="15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</row>
    <row r="359" ht="15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</row>
    <row r="360" ht="15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</row>
    <row r="361" ht="15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</row>
    <row r="362" ht="15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</row>
    <row r="363" ht="15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</row>
    <row r="364" ht="15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</row>
    <row r="365" ht="15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</row>
    <row r="366" ht="15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</row>
    <row r="367" ht="15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</row>
    <row r="368" ht="15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</row>
    <row r="369" ht="15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</row>
    <row r="370" ht="15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</row>
    <row r="371" ht="15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</row>
    <row r="372" ht="15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</row>
    <row r="373" ht="15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</row>
    <row r="374" ht="15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</row>
    <row r="375" ht="15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</row>
    <row r="376" ht="15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</row>
    <row r="377" ht="15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</row>
    <row r="378" ht="15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</row>
    <row r="379" ht="15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</row>
    <row r="380" ht="15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</row>
    <row r="381" ht="15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</row>
    <row r="382" ht="15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</row>
    <row r="383" ht="15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</row>
    <row r="384" ht="15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</row>
    <row r="385" ht="15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</row>
    <row r="386" ht="15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</row>
    <row r="387" ht="15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</row>
    <row r="388" ht="15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</row>
    <row r="389" ht="15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</row>
    <row r="390" ht="15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</row>
    <row r="391" ht="15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</row>
    <row r="392" ht="15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</row>
    <row r="393" ht="15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</row>
    <row r="394" ht="15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</row>
    <row r="395" ht="15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</row>
    <row r="396" ht="15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</row>
    <row r="397" ht="15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</row>
    <row r="398" ht="15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</row>
    <row r="399" ht="15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</row>
    <row r="400" ht="15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</row>
    <row r="401" ht="15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</row>
    <row r="402" ht="15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</row>
    <row r="403" ht="15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</row>
    <row r="404" ht="15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</row>
    <row r="405" ht="15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</row>
    <row r="406" ht="15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</row>
    <row r="407" ht="15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</row>
    <row r="408" ht="15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</row>
    <row r="409" ht="15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</row>
    <row r="410" ht="15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</row>
    <row r="411" ht="15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</row>
    <row r="412" ht="15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</row>
    <row r="413" ht="15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</row>
    <row r="414" ht="15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</row>
    <row r="415" ht="15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</row>
    <row r="416" ht="15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</row>
    <row r="417" ht="15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</row>
    <row r="418" ht="15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</row>
    <row r="419" ht="15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</row>
    <row r="420" ht="15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</row>
    <row r="421" ht="15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</row>
    <row r="422" ht="15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</row>
    <row r="423" ht="15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</row>
    <row r="424" ht="15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</row>
    <row r="425" ht="15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</row>
    <row r="426" ht="15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</row>
    <row r="427" ht="15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</row>
    <row r="428" ht="15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</row>
    <row r="429" ht="15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</row>
    <row r="430" ht="15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</row>
    <row r="431" ht="15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</row>
    <row r="432" ht="15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</row>
    <row r="433" ht="15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</row>
    <row r="434" ht="15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</row>
    <row r="435" ht="15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</row>
    <row r="436" ht="15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</row>
    <row r="437" ht="15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</row>
    <row r="438" ht="15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</row>
    <row r="439" ht="15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</row>
    <row r="440" ht="15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</row>
    <row r="441" ht="15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</row>
    <row r="442" ht="15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</row>
    <row r="443" ht="15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</row>
    <row r="444" ht="15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</row>
    <row r="445" ht="15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</row>
    <row r="446" ht="15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</row>
    <row r="447" ht="15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</row>
    <row r="448" ht="15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</row>
    <row r="449" ht="15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</row>
    <row r="450" ht="15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</row>
    <row r="451" ht="15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</row>
    <row r="452" ht="15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</row>
    <row r="453" ht="15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</row>
    <row r="454" ht="15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</row>
    <row r="455" ht="15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</row>
    <row r="456" ht="15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</row>
    <row r="457" ht="15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</row>
    <row r="458" ht="15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</row>
    <row r="459" ht="15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</row>
    <row r="460" ht="15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</row>
    <row r="461" ht="15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</row>
    <row r="462" ht="15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</row>
    <row r="463" ht="15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</row>
    <row r="464" ht="15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</row>
    <row r="465" ht="15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</row>
    <row r="466" ht="15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</row>
    <row r="467" ht="15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</row>
    <row r="468" ht="15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</row>
    <row r="469" ht="15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</row>
    <row r="470" ht="15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</row>
    <row r="471" ht="15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</row>
    <row r="472" ht="15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</row>
    <row r="473" ht="15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</row>
    <row r="474" ht="15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</row>
    <row r="475" ht="15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</row>
    <row r="476" ht="15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</row>
    <row r="477" ht="15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</row>
    <row r="478" ht="15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</row>
    <row r="479" ht="15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</row>
    <row r="480" ht="15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</row>
    <row r="481" ht="15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</row>
    <row r="482" ht="15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</row>
    <row r="483" ht="15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</row>
    <row r="484" ht="15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</row>
    <row r="485" ht="15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</row>
    <row r="486" ht="15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</row>
    <row r="487" ht="15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</row>
    <row r="488" ht="15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</row>
    <row r="489" ht="15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</row>
    <row r="490" ht="15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</row>
    <row r="491" ht="15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</row>
    <row r="492" ht="15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</row>
    <row r="493" ht="15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</row>
    <row r="494" ht="15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</row>
    <row r="495" ht="15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</row>
    <row r="496" ht="15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</row>
    <row r="497" ht="15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</row>
    <row r="498" ht="15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</row>
    <row r="499" ht="15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</row>
    <row r="500" ht="15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</row>
    <row r="501" ht="15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</row>
    <row r="502" ht="15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</row>
    <row r="503" ht="15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</row>
    <row r="504" ht="15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</row>
    <row r="505" ht="15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</row>
    <row r="506" ht="15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</row>
    <row r="507" ht="15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</row>
    <row r="508" ht="15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</row>
    <row r="509" ht="15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</row>
    <row r="510" ht="15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</row>
    <row r="511" ht="15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</row>
    <row r="512" ht="15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</row>
    <row r="513" ht="15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</row>
    <row r="514" ht="15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</row>
    <row r="515" ht="15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</row>
    <row r="516" ht="15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</row>
    <row r="517" ht="15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</row>
    <row r="518" ht="15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</row>
    <row r="519" ht="15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</row>
    <row r="520" ht="15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</row>
    <row r="521" ht="15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</row>
    <row r="522" ht="15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</row>
    <row r="523" ht="15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</row>
    <row r="524" ht="15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</row>
    <row r="525" ht="15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</row>
    <row r="526" ht="15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</row>
    <row r="527" ht="15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</row>
    <row r="528" ht="15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</row>
    <row r="529" ht="15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</row>
    <row r="530" ht="15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</row>
    <row r="531" ht="15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</row>
    <row r="532" ht="15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</row>
    <row r="533" ht="15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</row>
    <row r="534" ht="15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</row>
    <row r="535" ht="15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</row>
    <row r="536" ht="15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</row>
    <row r="537" ht="15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</row>
    <row r="538" ht="15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</row>
    <row r="539" ht="15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</row>
    <row r="540" ht="15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</row>
    <row r="541" ht="15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</row>
    <row r="542" ht="15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</row>
    <row r="543" ht="15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</row>
    <row r="544" ht="15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</row>
    <row r="545" ht="15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</row>
    <row r="546" ht="15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</row>
    <row r="547" ht="15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</row>
    <row r="548" ht="15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</row>
    <row r="549" ht="15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</row>
    <row r="550" ht="15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</row>
    <row r="551" ht="15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</row>
    <row r="552" ht="15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</row>
    <row r="553" ht="15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</row>
    <row r="554" ht="15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</row>
    <row r="555" ht="15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</row>
    <row r="556" ht="15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</row>
    <row r="557" ht="15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</row>
    <row r="558" ht="15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</row>
    <row r="559" ht="15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</row>
    <row r="560" ht="15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</row>
    <row r="561" ht="15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</row>
    <row r="562" ht="15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</row>
    <row r="563" ht="15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</row>
    <row r="564" ht="15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</row>
    <row r="565" ht="15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</row>
    <row r="566" ht="15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</row>
    <row r="567" ht="15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</row>
    <row r="568" ht="15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</row>
    <row r="569" ht="15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</row>
    <row r="570" ht="15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</row>
    <row r="571" ht="15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</row>
    <row r="572" ht="15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</row>
    <row r="573" ht="15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</row>
    <row r="574" ht="15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</row>
    <row r="575" ht="15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</row>
    <row r="576" ht="15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</row>
    <row r="577" ht="15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</row>
    <row r="578" ht="15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</row>
    <row r="579" ht="15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</row>
    <row r="580" ht="15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</row>
    <row r="581" ht="15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</row>
    <row r="582" ht="15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</row>
    <row r="583" ht="15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</row>
    <row r="584" ht="15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</row>
    <row r="585" ht="15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</row>
    <row r="586" ht="15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</row>
    <row r="587" ht="15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</row>
    <row r="588" ht="15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</row>
    <row r="589" ht="15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</row>
    <row r="590" ht="15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</row>
    <row r="591" ht="15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</row>
    <row r="592" ht="15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</row>
    <row r="593" ht="15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</row>
    <row r="594" ht="15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</row>
    <row r="595" ht="15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</row>
    <row r="596" ht="15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</row>
    <row r="597" ht="15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</row>
    <row r="598" ht="15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</row>
    <row r="599" ht="15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</row>
    <row r="600" ht="15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</row>
    <row r="601" ht="15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</row>
    <row r="602" ht="15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</row>
    <row r="603" ht="15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</row>
    <row r="604" ht="15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</row>
    <row r="605" ht="15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</row>
    <row r="606" ht="15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</row>
    <row r="607" ht="15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</row>
    <row r="608" ht="15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</row>
    <row r="609" ht="15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</row>
    <row r="610" ht="15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</row>
    <row r="611" ht="15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</row>
    <row r="612" ht="15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</row>
    <row r="613" ht="15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</row>
    <row r="614" ht="15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</row>
    <row r="615" ht="15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</row>
    <row r="616" ht="15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</row>
    <row r="617" ht="15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</row>
    <row r="618" ht="15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</row>
    <row r="619" ht="15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</row>
    <row r="620" ht="15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</row>
    <row r="621" ht="15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</row>
    <row r="622" ht="15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</row>
    <row r="623" ht="15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</row>
    <row r="624" ht="15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</row>
    <row r="625" ht="15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</row>
    <row r="626" ht="15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</row>
    <row r="627" ht="15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</row>
    <row r="628" ht="15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</row>
    <row r="629" ht="15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</row>
    <row r="630" ht="15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</row>
    <row r="631" ht="15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</row>
    <row r="632" ht="15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</row>
    <row r="633" ht="15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</row>
    <row r="634" ht="15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</row>
    <row r="635" ht="15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</row>
    <row r="636" ht="15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</row>
    <row r="637" ht="15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</row>
    <row r="638" ht="15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</row>
    <row r="639" ht="15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</row>
    <row r="640" ht="15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</row>
    <row r="641" ht="15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</row>
    <row r="642" ht="15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</row>
    <row r="643" ht="15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</row>
    <row r="644" ht="15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</row>
    <row r="645" ht="15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</row>
    <row r="646" ht="15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</row>
    <row r="647" ht="15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</row>
    <row r="648" ht="15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</row>
    <row r="649" ht="15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</row>
    <row r="650" ht="15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</row>
    <row r="651" ht="15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</row>
    <row r="652" ht="15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</row>
    <row r="653" ht="15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</row>
    <row r="654" ht="15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</row>
    <row r="655" ht="15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</row>
    <row r="656" ht="15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</row>
    <row r="657" ht="15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</row>
    <row r="658" ht="15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</row>
    <row r="659" ht="15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</row>
    <row r="660" ht="15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</row>
    <row r="661" ht="15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</row>
    <row r="662" ht="15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</row>
    <row r="663" ht="15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</row>
    <row r="664" ht="15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</row>
    <row r="665" ht="15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</row>
    <row r="666" ht="15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</row>
    <row r="667" ht="15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</row>
    <row r="668" ht="15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</row>
    <row r="669" ht="15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</row>
    <row r="670" ht="15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</row>
    <row r="671" ht="15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</row>
    <row r="672" ht="15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</row>
    <row r="673" ht="15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</row>
    <row r="674" ht="15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</row>
    <row r="675" ht="15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</row>
    <row r="676" ht="15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</row>
    <row r="677" ht="15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</row>
    <row r="678" ht="15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</row>
    <row r="679" ht="15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</row>
    <row r="680" ht="15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</row>
    <row r="681" ht="15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</row>
    <row r="682" ht="15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</row>
    <row r="683" ht="15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</row>
    <row r="684" ht="15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</row>
    <row r="685" ht="15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</row>
    <row r="686" ht="15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</row>
    <row r="687" ht="15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</row>
    <row r="688" ht="15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</row>
    <row r="689" ht="15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</row>
    <row r="690" ht="15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</row>
    <row r="691" ht="15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</row>
    <row r="692" ht="15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</row>
    <row r="693" ht="15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</row>
    <row r="694" ht="15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</row>
    <row r="695" ht="15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</row>
    <row r="696" ht="15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</row>
    <row r="697" ht="15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</row>
    <row r="698" ht="15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</row>
    <row r="699" ht="15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</row>
    <row r="700" ht="15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</row>
    <row r="701" ht="15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</row>
    <row r="702" ht="15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</row>
    <row r="703" ht="15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</row>
    <row r="704" ht="15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</row>
    <row r="705" ht="15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</row>
    <row r="706" ht="15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</row>
    <row r="707" ht="15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</row>
    <row r="708" ht="15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</row>
    <row r="709" ht="15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</row>
    <row r="710" ht="15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</row>
    <row r="711" ht="15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</row>
    <row r="712" ht="15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</row>
    <row r="713" ht="15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</row>
    <row r="714" ht="15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</row>
    <row r="715" ht="15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</row>
    <row r="716" ht="15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</row>
    <row r="717" ht="15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</row>
    <row r="718" ht="15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</row>
    <row r="719" ht="15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</row>
    <row r="720" ht="15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</row>
    <row r="721" ht="15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</row>
    <row r="722" ht="15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</row>
    <row r="723" ht="15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</row>
    <row r="724" ht="15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</row>
    <row r="725" ht="15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</row>
    <row r="726" ht="15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</row>
    <row r="727" ht="15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</row>
    <row r="728" ht="15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</row>
    <row r="729" ht="15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</row>
    <row r="730" ht="15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</row>
    <row r="731" ht="15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</row>
    <row r="732" ht="15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</row>
    <row r="733" ht="15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</row>
    <row r="734" ht="15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</row>
    <row r="735" ht="15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</row>
    <row r="736" ht="15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</row>
    <row r="737" ht="15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</row>
    <row r="738" ht="15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</row>
    <row r="739" ht="15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</row>
    <row r="740" ht="15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</row>
    <row r="741" ht="15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</row>
    <row r="742" ht="15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</row>
    <row r="743" ht="15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</row>
    <row r="744" ht="15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</row>
    <row r="745" ht="15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</row>
    <row r="746" ht="15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</row>
    <row r="747" ht="15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</row>
    <row r="748" ht="15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</row>
    <row r="749" ht="15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</row>
    <row r="750" ht="15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</row>
    <row r="751" ht="15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</row>
    <row r="752" ht="15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</row>
    <row r="753" ht="15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</row>
    <row r="754" ht="15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</row>
    <row r="755" ht="15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</row>
    <row r="756" ht="15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</row>
    <row r="757" ht="15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</row>
    <row r="758" ht="15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</row>
    <row r="759" ht="15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</row>
    <row r="760" ht="15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</row>
    <row r="761" ht="15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</row>
    <row r="762" ht="15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</row>
    <row r="763" ht="15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</row>
    <row r="764" ht="15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</row>
    <row r="765" ht="15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</row>
    <row r="766" ht="15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</row>
    <row r="767" ht="15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</row>
    <row r="768" ht="15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</row>
    <row r="769" ht="15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</row>
    <row r="770" ht="15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</row>
    <row r="771" ht="15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</row>
    <row r="772" ht="15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</row>
    <row r="773" ht="15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</row>
    <row r="774" ht="15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</row>
    <row r="775" ht="15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</row>
    <row r="776" ht="15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</row>
    <row r="777" ht="15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</row>
    <row r="778" ht="15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</row>
    <row r="779" ht="15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</row>
    <row r="780" ht="15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</row>
    <row r="781" ht="15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</row>
    <row r="782" ht="15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</row>
    <row r="783" ht="15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</row>
    <row r="784" ht="15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</row>
    <row r="785" ht="15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</row>
    <row r="786" ht="15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</row>
    <row r="787" ht="15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</row>
    <row r="788" ht="15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</row>
    <row r="789" ht="15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</row>
    <row r="790" ht="15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</row>
    <row r="791" ht="15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</row>
    <row r="792" ht="15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</row>
    <row r="793" ht="15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</row>
    <row r="794" ht="15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</row>
    <row r="795" ht="15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</row>
    <row r="796" ht="15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</row>
    <row r="797" ht="15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</row>
    <row r="798" ht="15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</row>
    <row r="799" ht="15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</row>
    <row r="800" ht="15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</row>
    <row r="801" ht="15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</row>
    <row r="802" ht="15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</row>
    <row r="803" ht="15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</row>
    <row r="804" ht="15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</row>
    <row r="805" ht="15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</row>
    <row r="806" ht="15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</row>
    <row r="807" ht="15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</row>
    <row r="808" ht="15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</row>
    <row r="809" ht="15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</row>
    <row r="810" ht="15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</row>
    <row r="811" ht="15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</row>
    <row r="812" ht="15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</row>
    <row r="813" ht="15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</row>
    <row r="814" ht="15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</row>
    <row r="815" ht="15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</row>
    <row r="816" ht="15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</row>
    <row r="817" ht="15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</row>
    <row r="818" ht="15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</row>
    <row r="819" ht="15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</row>
    <row r="820" ht="15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</row>
    <row r="821" ht="15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</row>
    <row r="822" ht="15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</row>
    <row r="823" ht="15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</row>
    <row r="824" ht="15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</row>
    <row r="825" ht="15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</row>
    <row r="826" ht="15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</row>
    <row r="827" ht="15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</row>
    <row r="828" ht="15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</row>
    <row r="829" ht="15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</row>
    <row r="830" ht="15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</row>
    <row r="831" ht="15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</row>
    <row r="832" ht="15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</row>
    <row r="833" ht="15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</row>
    <row r="834" ht="15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</row>
    <row r="835" ht="15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</row>
    <row r="836" ht="15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</row>
    <row r="837" ht="15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</row>
    <row r="838" ht="15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</row>
    <row r="839" ht="15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</row>
    <row r="840" ht="15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</row>
    <row r="841" ht="15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</row>
    <row r="842" ht="15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</row>
    <row r="843" ht="15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</row>
    <row r="844" ht="15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</row>
    <row r="845" ht="15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</row>
    <row r="846" ht="15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</row>
    <row r="847" ht="15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</row>
    <row r="848" ht="15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</row>
    <row r="849" ht="15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</row>
    <row r="850" ht="15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</row>
    <row r="851" ht="15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</row>
    <row r="852" ht="15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</row>
    <row r="853" ht="15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</row>
    <row r="854" ht="15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</row>
    <row r="855" ht="15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</row>
    <row r="856" ht="15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</row>
    <row r="857" ht="15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</row>
    <row r="858" ht="15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</row>
    <row r="859" ht="15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</row>
    <row r="860" ht="15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</row>
    <row r="861" ht="15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</row>
    <row r="862" ht="15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</row>
    <row r="863" ht="15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</row>
    <row r="864" ht="15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</row>
    <row r="865" ht="15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</row>
    <row r="866" ht="15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</row>
    <row r="867" ht="15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</row>
    <row r="868" ht="15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</row>
    <row r="869" ht="15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</row>
    <row r="870" ht="15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</row>
    <row r="871" ht="15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</row>
    <row r="872" ht="15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</row>
    <row r="873" ht="15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</row>
    <row r="874" ht="15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</row>
    <row r="875" ht="15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</row>
    <row r="876" ht="15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</row>
    <row r="877" ht="15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</row>
    <row r="878" ht="15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</row>
    <row r="879" ht="15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</row>
    <row r="880" ht="15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</row>
    <row r="881" ht="15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</row>
    <row r="882" ht="15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</row>
    <row r="883" ht="15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</row>
    <row r="884" ht="15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</row>
    <row r="885" ht="15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</row>
    <row r="886" ht="15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</row>
    <row r="887" ht="15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</row>
    <row r="888" ht="15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</row>
    <row r="889" ht="15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</row>
    <row r="890" ht="15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</row>
    <row r="891" ht="15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</row>
    <row r="892" ht="15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</row>
    <row r="893" ht="15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</row>
    <row r="894" ht="15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</row>
    <row r="895" ht="15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</row>
    <row r="896" ht="15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</row>
    <row r="897" ht="15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</row>
    <row r="898" ht="15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</row>
    <row r="899" ht="15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</row>
    <row r="900" ht="15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</row>
    <row r="901" ht="15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</row>
    <row r="902" ht="15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</row>
    <row r="903" ht="15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</row>
    <row r="904" ht="15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</row>
    <row r="905" ht="15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</row>
    <row r="906" ht="15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</row>
    <row r="907" ht="15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</row>
    <row r="908" ht="15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</row>
    <row r="909" ht="15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</row>
    <row r="910" ht="15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</row>
    <row r="911" ht="15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</row>
    <row r="912" ht="15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</row>
    <row r="913" ht="15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</row>
    <row r="914" ht="15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</row>
    <row r="915" ht="15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</row>
    <row r="916" ht="15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</row>
    <row r="917" ht="15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</row>
    <row r="918" ht="15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</row>
    <row r="919" ht="15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</row>
    <row r="920" ht="15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</row>
    <row r="921" ht="15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</row>
    <row r="922" ht="15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</row>
    <row r="923" ht="15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</row>
    <row r="924" ht="15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</row>
    <row r="925" ht="15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</row>
    <row r="926" ht="15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</row>
    <row r="927" ht="15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</row>
    <row r="928" ht="15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</row>
    <row r="929" ht="15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</row>
    <row r="930" ht="15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</row>
    <row r="931" ht="15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</row>
    <row r="932" ht="15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</row>
    <row r="933" ht="15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</row>
    <row r="934" ht="15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</row>
    <row r="935" ht="15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</row>
    <row r="936" ht="15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</row>
    <row r="937" ht="15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</row>
    <row r="938" ht="15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</row>
    <row r="939" ht="15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</row>
    <row r="940" ht="15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</row>
    <row r="941" ht="15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</row>
    <row r="942" ht="15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</row>
    <row r="943" ht="15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</row>
    <row r="944" ht="15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</row>
    <row r="945" ht="15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</row>
    <row r="946" ht="15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</row>
    <row r="947" ht="15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</row>
    <row r="948" ht="15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</row>
    <row r="949" ht="15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</row>
    <row r="950" ht="15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</row>
    <row r="951" ht="15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</row>
    <row r="952" ht="15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</row>
    <row r="953" ht="15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</row>
    <row r="954" ht="15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</row>
    <row r="955" ht="15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</row>
    <row r="956" ht="15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</row>
    <row r="957" ht="15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</row>
    <row r="958" ht="15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</row>
    <row r="959" ht="15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</row>
    <row r="960" ht="15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</row>
    <row r="961" ht="15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</row>
    <row r="962" ht="15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</row>
    <row r="963" ht="15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</row>
    <row r="964" ht="15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</row>
    <row r="965" ht="15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</row>
    <row r="966" ht="15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</row>
    <row r="967" ht="15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</row>
    <row r="968" ht="15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</row>
    <row r="969" ht="15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</row>
    <row r="970" ht="15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</row>
    <row r="971" ht="15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</row>
    <row r="972" ht="15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</row>
    <row r="973" ht="15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</row>
    <row r="974" ht="15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</row>
    <row r="975" ht="15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</row>
    <row r="976" ht="15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</row>
    <row r="977" ht="15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</row>
    <row r="978" ht="15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</row>
    <row r="979" ht="15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</row>
    <row r="980" ht="15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</row>
    <row r="981" ht="15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</row>
    <row r="982" ht="15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</row>
    <row r="983" ht="15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</row>
    <row r="984" ht="15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</row>
    <row r="985" ht="15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</row>
    <row r="986" ht="15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</row>
    <row r="987" ht="15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</row>
    <row r="988" ht="15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</row>
    <row r="989" ht="15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</row>
    <row r="990" ht="15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</row>
    <row r="991" ht="15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</row>
    <row r="992" ht="15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</row>
    <row r="993" ht="15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</row>
    <row r="994" ht="15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</row>
    <row r="995" ht="15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</row>
    <row r="996" ht="15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</row>
    <row r="997" ht="15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</row>
    <row r="998" ht="15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</row>
    <row r="999" ht="15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</row>
    <row r="1000" ht="15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</row>
    <row r="1001" ht="15.75" customHeight="1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</row>
    <row r="1002" ht="15.75" customHeight="1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</row>
    <row r="1003" ht="15.75" customHeight="1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</row>
    <row r="1004" ht="15.75" customHeight="1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</row>
    <row r="1005" ht="15.75" customHeight="1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</row>
    <row r="1006" ht="15.75" customHeight="1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</row>
    <row r="1007" ht="15.75" customHeight="1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</row>
    <row r="1008" ht="15.75" customHeight="1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</row>
    <row r="1009" ht="15.75" customHeight="1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</row>
    <row r="1010" ht="15.75" customHeight="1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</row>
    <row r="1011" ht="15.75" customHeight="1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</row>
    <row r="1012" ht="15.75" customHeight="1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</row>
    <row r="1013" ht="15.75" customHeight="1">
      <c r="A1013" s="34"/>
      <c r="B1013" s="3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</row>
  </sheetData>
  <mergeCells count="6">
    <mergeCell ref="A4:A6"/>
    <mergeCell ref="A7:A18"/>
    <mergeCell ref="A19:A23"/>
    <mergeCell ref="A24:A31"/>
    <mergeCell ref="A32:A35"/>
    <mergeCell ref="A36:A39"/>
  </mergeCells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4.29"/>
    <col customWidth="1" min="2" max="2" width="9.43"/>
    <col customWidth="1" min="3" max="21" width="5.43"/>
    <col customWidth="1" min="22" max="22" width="6.57"/>
    <col customWidth="1" min="23" max="33" width="6.29"/>
    <col customWidth="1" min="34" max="36" width="8.14"/>
    <col customWidth="1" min="37" max="37" width="11.43"/>
    <col customWidth="1" min="38" max="38" width="14.57"/>
    <col customWidth="1" min="39" max="40" width="8.14"/>
  </cols>
  <sheetData>
    <row r="1">
      <c r="A1" s="118" t="s">
        <v>54</v>
      </c>
      <c r="B1" s="119" t="s">
        <v>76</v>
      </c>
      <c r="C1" s="120" t="s">
        <v>77</v>
      </c>
      <c r="D1" s="120" t="s">
        <v>78</v>
      </c>
      <c r="E1" s="120" t="s">
        <v>79</v>
      </c>
      <c r="F1" s="120" t="s">
        <v>80</v>
      </c>
      <c r="G1" s="120" t="s">
        <v>81</v>
      </c>
      <c r="H1" s="120" t="s">
        <v>82</v>
      </c>
      <c r="I1" s="120" t="s">
        <v>83</v>
      </c>
      <c r="J1" s="120" t="s">
        <v>84</v>
      </c>
      <c r="K1" s="120" t="s">
        <v>85</v>
      </c>
      <c r="L1" s="120" t="s">
        <v>86</v>
      </c>
      <c r="M1" s="120" t="s">
        <v>87</v>
      </c>
      <c r="N1" s="120" t="s">
        <v>88</v>
      </c>
      <c r="O1" s="120" t="s">
        <v>89</v>
      </c>
      <c r="P1" s="120" t="s">
        <v>90</v>
      </c>
      <c r="Q1" s="120" t="s">
        <v>91</v>
      </c>
      <c r="R1" s="120" t="s">
        <v>92</v>
      </c>
      <c r="S1" s="120" t="s">
        <v>93</v>
      </c>
      <c r="T1" s="120" t="s">
        <v>94</v>
      </c>
      <c r="U1" s="120" t="s">
        <v>95</v>
      </c>
      <c r="V1" s="120" t="s">
        <v>96</v>
      </c>
      <c r="W1" s="120" t="s">
        <v>97</v>
      </c>
      <c r="X1" s="120" t="s">
        <v>98</v>
      </c>
      <c r="Y1" s="120" t="s">
        <v>99</v>
      </c>
      <c r="Z1" s="120" t="s">
        <v>100</v>
      </c>
      <c r="AA1" s="120" t="s">
        <v>101</v>
      </c>
      <c r="AB1" s="120" t="s">
        <v>102</v>
      </c>
      <c r="AC1" s="120" t="s">
        <v>103</v>
      </c>
      <c r="AD1" s="120" t="s">
        <v>104</v>
      </c>
      <c r="AE1" s="120"/>
      <c r="AF1" s="120"/>
      <c r="AG1" s="120"/>
      <c r="AH1" s="119" t="s">
        <v>57</v>
      </c>
      <c r="AI1" s="121" t="s">
        <v>44</v>
      </c>
      <c r="AJ1" s="36"/>
      <c r="AK1" s="36"/>
      <c r="AL1" s="36"/>
      <c r="AM1" s="36"/>
      <c r="AN1" s="36"/>
    </row>
    <row r="2">
      <c r="A2" s="122" t="s">
        <v>64</v>
      </c>
      <c r="B2" s="123" t="s">
        <v>65</v>
      </c>
      <c r="C2" s="124">
        <v>1.0</v>
      </c>
      <c r="D2" s="124">
        <v>1.0</v>
      </c>
      <c r="E2" s="125">
        <v>1.0</v>
      </c>
      <c r="F2" s="126"/>
      <c r="G2" s="34"/>
      <c r="H2" s="34"/>
      <c r="I2" s="34"/>
      <c r="J2" s="34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7"/>
      <c r="AB2" s="127"/>
      <c r="AC2" s="127"/>
      <c r="AD2" s="127"/>
      <c r="AE2" s="127"/>
      <c r="AF2" s="127"/>
      <c r="AG2" s="127"/>
      <c r="AH2" s="128">
        <f t="shared" ref="AH2:AH35" si="1">SUM(C2:AG2)</f>
        <v>3</v>
      </c>
      <c r="AI2" s="129">
        <f t="shared" ref="AI2:AI28" si="2">AH2*5</f>
        <v>15</v>
      </c>
      <c r="AJ2" s="34"/>
      <c r="AK2" s="87"/>
      <c r="AL2" s="87"/>
      <c r="AM2" s="34"/>
      <c r="AN2" s="34"/>
    </row>
    <row r="3">
      <c r="A3" s="122"/>
      <c r="B3" s="130" t="s">
        <v>66</v>
      </c>
      <c r="C3" s="124">
        <v>1.0</v>
      </c>
      <c r="D3" s="124">
        <v>1.0</v>
      </c>
      <c r="E3" s="124">
        <v>1.0</v>
      </c>
      <c r="F3" s="131"/>
      <c r="G3" s="132"/>
      <c r="H3" s="132"/>
      <c r="I3" s="132"/>
      <c r="J3" s="132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128">
        <f t="shared" si="1"/>
        <v>3</v>
      </c>
      <c r="AI3" s="129">
        <f t="shared" si="2"/>
        <v>15</v>
      </c>
      <c r="AJ3" s="34"/>
      <c r="AK3" s="87"/>
      <c r="AL3" s="87"/>
      <c r="AM3" s="34"/>
      <c r="AN3" s="34"/>
    </row>
    <row r="4">
      <c r="A4" s="133"/>
      <c r="B4" s="134" t="s">
        <v>67</v>
      </c>
      <c r="C4" s="124">
        <v>1.0</v>
      </c>
      <c r="D4" s="124">
        <v>1.0</v>
      </c>
      <c r="E4" s="124">
        <v>1.0</v>
      </c>
      <c r="F4" s="92"/>
      <c r="G4" s="92"/>
      <c r="H4" s="92"/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128">
        <f t="shared" si="1"/>
        <v>3</v>
      </c>
      <c r="AI4" s="129">
        <f t="shared" si="2"/>
        <v>15</v>
      </c>
      <c r="AJ4" s="34"/>
      <c r="AK4" s="87"/>
      <c r="AL4" s="87"/>
      <c r="AM4" s="34"/>
      <c r="AN4" s="34"/>
    </row>
    <row r="5">
      <c r="A5" s="136" t="s">
        <v>50</v>
      </c>
      <c r="B5" s="123" t="s">
        <v>65</v>
      </c>
      <c r="C5" s="82"/>
      <c r="D5" s="82"/>
      <c r="E5" s="137"/>
      <c r="F5" s="138">
        <v>1.0</v>
      </c>
      <c r="G5" s="139">
        <v>1.0</v>
      </c>
      <c r="H5" s="138">
        <v>1.0</v>
      </c>
      <c r="I5" s="139">
        <v>1.0</v>
      </c>
      <c r="J5" s="138">
        <v>1.0</v>
      </c>
      <c r="K5" s="139">
        <v>1.0</v>
      </c>
      <c r="L5" s="139">
        <v>1.0</v>
      </c>
      <c r="M5" s="138">
        <v>1.0</v>
      </c>
      <c r="N5" s="139">
        <v>1.0</v>
      </c>
      <c r="O5" s="139">
        <v>1.0</v>
      </c>
      <c r="P5" s="138">
        <v>1.0</v>
      </c>
      <c r="Q5" s="139">
        <v>1.0</v>
      </c>
      <c r="R5" s="138">
        <v>1.0</v>
      </c>
      <c r="S5" s="139">
        <v>1.0</v>
      </c>
      <c r="T5" s="138">
        <v>1.0</v>
      </c>
      <c r="U5" s="138">
        <v>1.0</v>
      </c>
      <c r="V5" s="139">
        <v>1.0</v>
      </c>
      <c r="W5" s="138">
        <v>1.0</v>
      </c>
      <c r="X5" s="140"/>
      <c r="Y5" s="140"/>
      <c r="Z5" s="82"/>
      <c r="AA5" s="82"/>
      <c r="AB5" s="82"/>
      <c r="AC5" s="82"/>
      <c r="AD5" s="82"/>
      <c r="AE5" s="82"/>
      <c r="AF5" s="82"/>
      <c r="AG5" s="82"/>
      <c r="AH5" s="128">
        <f t="shared" si="1"/>
        <v>18</v>
      </c>
      <c r="AI5" s="129">
        <f t="shared" si="2"/>
        <v>90</v>
      </c>
      <c r="AJ5" s="34"/>
      <c r="AK5" s="87"/>
      <c r="AL5" s="87"/>
      <c r="AM5" s="34"/>
      <c r="AN5" s="34"/>
    </row>
    <row r="6">
      <c r="A6" s="141"/>
      <c r="B6" s="142" t="s">
        <v>66</v>
      </c>
      <c r="C6" s="143"/>
      <c r="D6" s="143"/>
      <c r="E6" s="144"/>
      <c r="F6" s="124">
        <v>1.0</v>
      </c>
      <c r="G6" s="125">
        <v>0.5</v>
      </c>
      <c r="H6" s="125">
        <v>0.5</v>
      </c>
      <c r="I6" s="145"/>
      <c r="J6" s="145"/>
      <c r="K6" s="125">
        <v>0.5</v>
      </c>
      <c r="L6" s="145"/>
      <c r="M6" s="145"/>
      <c r="N6" s="145"/>
      <c r="O6" s="125">
        <v>0.5</v>
      </c>
      <c r="P6" s="145"/>
      <c r="Q6" s="145"/>
      <c r="R6" s="145"/>
      <c r="S6" s="125">
        <v>0.5</v>
      </c>
      <c r="T6" s="145"/>
      <c r="U6" s="145"/>
      <c r="V6" s="145"/>
      <c r="W6" s="92"/>
      <c r="X6" s="145"/>
      <c r="Y6" s="145"/>
      <c r="AB6" s="34"/>
      <c r="AC6" s="34"/>
      <c r="AD6" s="34"/>
      <c r="AE6" s="34"/>
      <c r="AF6" s="34"/>
      <c r="AG6" s="34"/>
      <c r="AH6" s="128">
        <f t="shared" si="1"/>
        <v>3.5</v>
      </c>
      <c r="AI6" s="129">
        <f t="shared" si="2"/>
        <v>17.5</v>
      </c>
      <c r="AJ6" s="34"/>
      <c r="AK6" s="87"/>
      <c r="AL6" s="87"/>
      <c r="AM6" s="34"/>
      <c r="AN6" s="34"/>
    </row>
    <row r="7">
      <c r="A7" s="141"/>
      <c r="B7" s="142" t="s">
        <v>67</v>
      </c>
      <c r="C7" s="143"/>
      <c r="D7" s="143"/>
      <c r="E7" s="144"/>
      <c r="F7" s="124">
        <v>1.0</v>
      </c>
      <c r="G7" s="124">
        <v>1.0</v>
      </c>
      <c r="H7" s="124">
        <v>1.0</v>
      </c>
      <c r="I7" s="124">
        <v>1.0</v>
      </c>
      <c r="J7" s="124">
        <v>1.0</v>
      </c>
      <c r="K7" s="124">
        <v>1.0</v>
      </c>
      <c r="L7" s="124">
        <v>1.0</v>
      </c>
      <c r="M7" s="124">
        <v>1.0</v>
      </c>
      <c r="N7" s="124">
        <v>1.0</v>
      </c>
      <c r="O7" s="124">
        <v>1.0</v>
      </c>
      <c r="P7" s="124">
        <v>1.0</v>
      </c>
      <c r="Q7" s="124">
        <v>1.0</v>
      </c>
      <c r="R7" s="124">
        <v>1.0</v>
      </c>
      <c r="S7" s="124">
        <v>1.0</v>
      </c>
      <c r="T7" s="124">
        <v>0.5</v>
      </c>
      <c r="U7" s="124">
        <v>0.5</v>
      </c>
      <c r="V7" s="124">
        <v>0.5</v>
      </c>
      <c r="W7" s="124">
        <v>0.5</v>
      </c>
      <c r="X7" s="145"/>
      <c r="Y7" s="145"/>
      <c r="Z7" s="146"/>
      <c r="AA7" s="146"/>
      <c r="AB7" s="34"/>
      <c r="AC7" s="34"/>
      <c r="AD7" s="34"/>
      <c r="AE7" s="34"/>
      <c r="AF7" s="34"/>
      <c r="AG7" s="34"/>
      <c r="AH7" s="128">
        <f t="shared" si="1"/>
        <v>16</v>
      </c>
      <c r="AI7" s="129">
        <f t="shared" si="2"/>
        <v>80</v>
      </c>
      <c r="AJ7" s="34"/>
      <c r="AK7" s="87"/>
      <c r="AL7" s="87"/>
      <c r="AM7" s="34"/>
      <c r="AN7" s="34"/>
    </row>
    <row r="8">
      <c r="A8" s="147"/>
      <c r="B8" s="130" t="s">
        <v>105</v>
      </c>
      <c r="C8" s="82"/>
      <c r="D8" s="82"/>
      <c r="E8" s="124">
        <v>1.0</v>
      </c>
      <c r="F8" s="124">
        <v>1.0</v>
      </c>
      <c r="G8" s="124">
        <v>1.0</v>
      </c>
      <c r="H8" s="124">
        <v>1.0</v>
      </c>
      <c r="I8" s="124">
        <v>1.0</v>
      </c>
      <c r="J8" s="124">
        <v>1.0</v>
      </c>
      <c r="K8" s="124">
        <v>1.0</v>
      </c>
      <c r="L8" s="124">
        <v>1.0</v>
      </c>
      <c r="M8" s="124">
        <v>1.0</v>
      </c>
      <c r="N8" s="124">
        <v>1.0</v>
      </c>
      <c r="O8" s="124">
        <v>1.0</v>
      </c>
      <c r="P8" s="124">
        <v>1.0</v>
      </c>
      <c r="Q8" s="124">
        <v>1.0</v>
      </c>
      <c r="R8" s="124">
        <v>1.0</v>
      </c>
      <c r="S8" s="124">
        <v>1.0</v>
      </c>
      <c r="T8" s="124">
        <v>1.0</v>
      </c>
      <c r="U8" s="124">
        <v>1.0</v>
      </c>
      <c r="V8" s="124">
        <v>1.0</v>
      </c>
      <c r="W8" s="124">
        <v>1.0</v>
      </c>
      <c r="X8" s="145"/>
      <c r="Y8" s="145"/>
      <c r="Z8" s="34"/>
      <c r="AA8" s="34"/>
      <c r="AB8" s="34"/>
      <c r="AC8" s="34"/>
      <c r="AD8" s="34"/>
      <c r="AE8" s="34"/>
      <c r="AF8" s="34"/>
      <c r="AG8" s="34"/>
      <c r="AH8" s="128">
        <f t="shared" si="1"/>
        <v>19</v>
      </c>
      <c r="AI8" s="129">
        <f t="shared" si="2"/>
        <v>95</v>
      </c>
      <c r="AJ8" s="34"/>
      <c r="AK8" s="87"/>
      <c r="AL8" s="87"/>
      <c r="AM8" s="34"/>
      <c r="AN8" s="34"/>
    </row>
    <row r="9">
      <c r="A9" s="147"/>
      <c r="B9" s="130" t="s">
        <v>106</v>
      </c>
      <c r="C9" s="34"/>
      <c r="D9" s="34"/>
      <c r="E9" s="124">
        <v>1.0</v>
      </c>
      <c r="F9" s="124">
        <v>1.0</v>
      </c>
      <c r="G9" s="124">
        <v>1.0</v>
      </c>
      <c r="H9" s="124">
        <v>1.0</v>
      </c>
      <c r="I9" s="124">
        <v>1.0</v>
      </c>
      <c r="J9" s="124">
        <v>1.0</v>
      </c>
      <c r="K9" s="124">
        <v>1.0</v>
      </c>
      <c r="L9" s="124">
        <v>1.0</v>
      </c>
      <c r="M9" s="124">
        <v>1.0</v>
      </c>
      <c r="N9" s="124">
        <v>1.0</v>
      </c>
      <c r="O9" s="124">
        <v>1.0</v>
      </c>
      <c r="P9" s="124">
        <v>1.0</v>
      </c>
      <c r="Q9" s="124">
        <v>1.0</v>
      </c>
      <c r="R9" s="124">
        <v>1.0</v>
      </c>
      <c r="S9" s="124">
        <v>1.0</v>
      </c>
      <c r="T9" s="124">
        <v>1.0</v>
      </c>
      <c r="U9" s="124">
        <v>1.0</v>
      </c>
      <c r="V9" s="124">
        <v>1.0</v>
      </c>
      <c r="W9" s="124">
        <v>1.0</v>
      </c>
      <c r="X9" s="145"/>
      <c r="Y9" s="145"/>
      <c r="AB9" s="34"/>
      <c r="AC9" s="34"/>
      <c r="AD9" s="34"/>
      <c r="AE9" s="34"/>
      <c r="AF9" s="34"/>
      <c r="AG9" s="34"/>
      <c r="AH9" s="128">
        <f t="shared" si="1"/>
        <v>19</v>
      </c>
      <c r="AI9" s="129">
        <f t="shared" si="2"/>
        <v>95</v>
      </c>
      <c r="AJ9" s="34"/>
      <c r="AK9" s="87"/>
      <c r="AL9" s="87"/>
      <c r="AM9" s="34"/>
      <c r="AN9" s="34"/>
    </row>
    <row r="10">
      <c r="A10" s="147"/>
      <c r="B10" s="130" t="s">
        <v>107</v>
      </c>
      <c r="C10" s="34"/>
      <c r="D10" s="34"/>
      <c r="E10" s="124">
        <v>1.0</v>
      </c>
      <c r="F10" s="124">
        <v>1.0</v>
      </c>
      <c r="G10" s="124">
        <v>1.0</v>
      </c>
      <c r="H10" s="124">
        <v>1.0</v>
      </c>
      <c r="I10" s="124">
        <v>3.0</v>
      </c>
      <c r="J10" s="124">
        <v>3.0</v>
      </c>
      <c r="K10" s="124">
        <v>3.0</v>
      </c>
      <c r="L10" s="124">
        <v>3.0</v>
      </c>
      <c r="M10" s="124">
        <v>3.0</v>
      </c>
      <c r="N10" s="124">
        <v>3.0</v>
      </c>
      <c r="O10" s="124">
        <v>3.0</v>
      </c>
      <c r="P10" s="124">
        <v>3.0</v>
      </c>
      <c r="Q10" s="124">
        <v>3.0</v>
      </c>
      <c r="R10" s="124">
        <v>3.0</v>
      </c>
      <c r="S10" s="124">
        <v>3.0</v>
      </c>
      <c r="T10" s="124">
        <v>3.0</v>
      </c>
      <c r="U10" s="124">
        <v>3.0</v>
      </c>
      <c r="V10" s="124">
        <v>3.0</v>
      </c>
      <c r="W10" s="124">
        <v>3.0</v>
      </c>
      <c r="X10" s="145"/>
      <c r="Y10" s="145"/>
      <c r="Z10" s="34"/>
      <c r="AA10" s="34"/>
      <c r="AB10" s="34"/>
      <c r="AC10" s="34"/>
      <c r="AD10" s="34"/>
      <c r="AE10" s="34"/>
      <c r="AF10" s="34"/>
      <c r="AG10" s="34"/>
      <c r="AH10" s="128">
        <f t="shared" si="1"/>
        <v>49</v>
      </c>
      <c r="AI10" s="129">
        <f t="shared" si="2"/>
        <v>245</v>
      </c>
      <c r="AJ10" s="34"/>
      <c r="AK10" s="87"/>
      <c r="AL10" s="87"/>
      <c r="AM10" s="34"/>
      <c r="AN10" s="34"/>
    </row>
    <row r="11">
      <c r="A11" s="147"/>
      <c r="B11" s="130" t="s">
        <v>108</v>
      </c>
      <c r="C11" s="34"/>
      <c r="D11" s="34"/>
      <c r="E11" s="124">
        <v>1.0</v>
      </c>
      <c r="F11" s="124">
        <v>1.0</v>
      </c>
      <c r="G11" s="124">
        <v>1.0</v>
      </c>
      <c r="H11" s="124">
        <v>1.0</v>
      </c>
      <c r="I11" s="124">
        <v>1.0</v>
      </c>
      <c r="J11" s="124">
        <v>1.0</v>
      </c>
      <c r="K11" s="124">
        <v>1.0</v>
      </c>
      <c r="L11" s="124">
        <v>1.0</v>
      </c>
      <c r="M11" s="124">
        <v>1.0</v>
      </c>
      <c r="N11" s="124">
        <v>1.0</v>
      </c>
      <c r="O11" s="124">
        <v>1.0</v>
      </c>
      <c r="P11" s="125">
        <v>1.0</v>
      </c>
      <c r="Q11" s="125">
        <v>1.0</v>
      </c>
      <c r="R11" s="125">
        <v>1.0</v>
      </c>
      <c r="S11" s="125">
        <v>1.0</v>
      </c>
      <c r="T11" s="125">
        <v>1.0</v>
      </c>
      <c r="U11" s="125">
        <v>1.0</v>
      </c>
      <c r="V11" s="124">
        <v>1.0</v>
      </c>
      <c r="W11" s="124">
        <v>1.0</v>
      </c>
      <c r="X11" s="145"/>
      <c r="Y11" s="145"/>
      <c r="AB11" s="34"/>
      <c r="AC11" s="34"/>
      <c r="AD11" s="34"/>
      <c r="AE11" s="34"/>
      <c r="AF11" s="34"/>
      <c r="AG11" s="34"/>
      <c r="AH11" s="128">
        <f t="shared" si="1"/>
        <v>19</v>
      </c>
      <c r="AI11" s="129">
        <f t="shared" si="2"/>
        <v>95</v>
      </c>
      <c r="AJ11" s="34"/>
      <c r="AK11" s="87"/>
      <c r="AL11" s="87"/>
      <c r="AM11" s="34"/>
      <c r="AN11" s="34"/>
    </row>
    <row r="12">
      <c r="A12" s="147"/>
      <c r="B12" s="148" t="s">
        <v>109</v>
      </c>
      <c r="C12" s="34"/>
      <c r="D12" s="34"/>
      <c r="E12" s="124">
        <v>1.0</v>
      </c>
      <c r="F12" s="124">
        <v>1.0</v>
      </c>
      <c r="G12" s="124">
        <v>1.0</v>
      </c>
      <c r="H12" s="124">
        <v>1.0</v>
      </c>
      <c r="I12" s="124">
        <v>1.0</v>
      </c>
      <c r="J12" s="124">
        <v>1.0</v>
      </c>
      <c r="K12" s="124">
        <v>1.0</v>
      </c>
      <c r="L12" s="124">
        <v>1.0</v>
      </c>
      <c r="M12" s="124">
        <v>1.0</v>
      </c>
      <c r="N12" s="124">
        <v>1.0</v>
      </c>
      <c r="O12" s="124">
        <v>1.0</v>
      </c>
      <c r="P12" s="124">
        <v>1.0</v>
      </c>
      <c r="Q12" s="124">
        <v>1.0</v>
      </c>
      <c r="R12" s="124">
        <v>1.0</v>
      </c>
      <c r="S12" s="124">
        <v>1.0</v>
      </c>
      <c r="T12" s="124">
        <v>1.0</v>
      </c>
      <c r="U12" s="124">
        <v>1.0</v>
      </c>
      <c r="V12" s="124">
        <v>1.0</v>
      </c>
      <c r="W12" s="124">
        <v>1.0</v>
      </c>
      <c r="X12" s="145"/>
      <c r="Y12" s="145"/>
      <c r="Z12" s="34"/>
      <c r="AA12" s="34"/>
      <c r="AB12" s="34"/>
      <c r="AC12" s="34"/>
      <c r="AD12" s="34"/>
      <c r="AE12" s="34"/>
      <c r="AF12" s="34"/>
      <c r="AG12" s="34"/>
      <c r="AH12" s="128">
        <f t="shared" si="1"/>
        <v>19</v>
      </c>
      <c r="AI12" s="129">
        <f t="shared" si="2"/>
        <v>95</v>
      </c>
      <c r="AJ12" s="34"/>
      <c r="AK12" s="87"/>
      <c r="AL12" s="87"/>
      <c r="AM12" s="34"/>
      <c r="AN12" s="34"/>
    </row>
    <row r="13">
      <c r="A13" s="147"/>
      <c r="B13" s="148" t="s">
        <v>110</v>
      </c>
      <c r="C13" s="34"/>
      <c r="D13" s="34"/>
      <c r="E13" s="124">
        <v>1.0</v>
      </c>
      <c r="F13" s="124">
        <v>1.0</v>
      </c>
      <c r="G13" s="124">
        <v>1.0</v>
      </c>
      <c r="H13" s="124">
        <v>1.0</v>
      </c>
      <c r="I13" s="124">
        <v>1.0</v>
      </c>
      <c r="J13" s="124">
        <v>1.0</v>
      </c>
      <c r="K13" s="124">
        <v>1.0</v>
      </c>
      <c r="L13" s="124">
        <v>1.0</v>
      </c>
      <c r="M13" s="124">
        <v>1.0</v>
      </c>
      <c r="N13" s="124">
        <v>1.0</v>
      </c>
      <c r="O13" s="124">
        <v>1.0</v>
      </c>
      <c r="P13" s="124">
        <v>1.0</v>
      </c>
      <c r="Q13" s="124">
        <v>1.0</v>
      </c>
      <c r="R13" s="125">
        <v>0.5</v>
      </c>
      <c r="S13" s="125">
        <v>0.5</v>
      </c>
      <c r="T13" s="125">
        <v>0.5</v>
      </c>
      <c r="U13" s="125">
        <v>0.5</v>
      </c>
      <c r="V13" s="124">
        <v>1.0</v>
      </c>
      <c r="W13" s="124">
        <v>1.0</v>
      </c>
      <c r="X13" s="145"/>
      <c r="Y13" s="145"/>
      <c r="Z13" s="146"/>
      <c r="AA13" s="146"/>
      <c r="AB13" s="34"/>
      <c r="AC13" s="34"/>
      <c r="AD13" s="34"/>
      <c r="AE13" s="34"/>
      <c r="AF13" s="34"/>
      <c r="AG13" s="34"/>
      <c r="AH13" s="128">
        <f t="shared" si="1"/>
        <v>17</v>
      </c>
      <c r="AI13" s="129">
        <f t="shared" si="2"/>
        <v>85</v>
      </c>
      <c r="AJ13" s="34"/>
      <c r="AK13" s="87"/>
      <c r="AL13" s="87"/>
      <c r="AM13" s="34"/>
      <c r="AN13" s="34"/>
    </row>
    <row r="14">
      <c r="A14" s="147"/>
      <c r="B14" s="130" t="s">
        <v>111</v>
      </c>
      <c r="C14" s="149"/>
      <c r="D14" s="149"/>
      <c r="E14" s="150"/>
      <c r="F14" s="150"/>
      <c r="G14" s="151">
        <v>2.0</v>
      </c>
      <c r="H14" s="151">
        <v>2.0</v>
      </c>
      <c r="I14" s="82"/>
      <c r="J14" s="140"/>
      <c r="K14" s="151">
        <v>2.0</v>
      </c>
      <c r="L14" s="151">
        <v>2.0</v>
      </c>
      <c r="M14" s="82"/>
      <c r="N14" s="140"/>
      <c r="O14" s="151">
        <v>2.0</v>
      </c>
      <c r="P14" s="151">
        <v>2.0</v>
      </c>
      <c r="Q14" s="82"/>
      <c r="R14" s="140"/>
      <c r="S14" s="151">
        <v>2.0</v>
      </c>
      <c r="T14" s="151">
        <v>2.0</v>
      </c>
      <c r="U14" s="82"/>
      <c r="V14" s="140"/>
      <c r="W14" s="151">
        <v>2.0</v>
      </c>
      <c r="X14" s="152"/>
      <c r="Y14" s="152"/>
      <c r="Z14" s="34"/>
      <c r="AA14" s="34"/>
      <c r="AB14" s="34"/>
      <c r="AC14" s="34"/>
      <c r="AD14" s="34"/>
      <c r="AE14" s="34"/>
      <c r="AF14" s="34"/>
      <c r="AG14" s="34"/>
      <c r="AH14" s="128">
        <f t="shared" si="1"/>
        <v>18</v>
      </c>
      <c r="AI14" s="129">
        <f t="shared" si="2"/>
        <v>90</v>
      </c>
      <c r="AJ14" s="34"/>
      <c r="AK14" s="87"/>
      <c r="AL14" s="87"/>
      <c r="AM14" s="34"/>
      <c r="AN14" s="34"/>
    </row>
    <row r="15">
      <c r="A15" s="133"/>
      <c r="B15" s="153" t="s">
        <v>112</v>
      </c>
      <c r="C15" s="92"/>
      <c r="D15" s="124">
        <v>1.0</v>
      </c>
      <c r="E15" s="124">
        <v>1.0</v>
      </c>
      <c r="F15" s="124">
        <v>1.0</v>
      </c>
      <c r="G15" s="124">
        <v>1.0</v>
      </c>
      <c r="H15" s="124">
        <v>1.0</v>
      </c>
      <c r="I15" s="124">
        <v>1.0</v>
      </c>
      <c r="J15" s="124">
        <v>1.0</v>
      </c>
      <c r="K15" s="124">
        <v>1.0</v>
      </c>
      <c r="L15" s="154"/>
      <c r="M15" s="154"/>
      <c r="N15" s="154"/>
      <c r="O15" s="154"/>
      <c r="P15" s="124">
        <v>1.0</v>
      </c>
      <c r="Q15" s="124">
        <v>1.0</v>
      </c>
      <c r="R15" s="154"/>
      <c r="S15" s="154"/>
      <c r="T15" s="155"/>
      <c r="U15" s="124">
        <v>1.0</v>
      </c>
      <c r="V15" s="124">
        <v>1.0</v>
      </c>
      <c r="X15" s="156"/>
      <c r="Y15" s="156"/>
      <c r="Z15" s="92"/>
      <c r="AA15" s="92"/>
      <c r="AB15" s="92"/>
      <c r="AC15" s="92"/>
      <c r="AD15" s="92"/>
      <c r="AE15" s="92"/>
      <c r="AF15" s="92"/>
      <c r="AG15" s="92"/>
      <c r="AH15" s="128">
        <f t="shared" si="1"/>
        <v>12</v>
      </c>
      <c r="AI15" s="129">
        <f t="shared" si="2"/>
        <v>60</v>
      </c>
      <c r="AJ15" s="34"/>
      <c r="AK15" s="87"/>
      <c r="AL15" s="87"/>
      <c r="AM15" s="34"/>
      <c r="AN15" s="34"/>
    </row>
    <row r="16">
      <c r="A16" s="136" t="s">
        <v>68</v>
      </c>
      <c r="B16" s="123" t="s">
        <v>65</v>
      </c>
      <c r="C16" s="82"/>
      <c r="D16" s="82"/>
      <c r="E16" s="82"/>
      <c r="F16" s="82"/>
      <c r="G16" s="82"/>
      <c r="H16" s="82"/>
      <c r="I16" s="82"/>
      <c r="J16" s="140"/>
      <c r="K16" s="127"/>
      <c r="L16" s="82"/>
      <c r="M16" s="82"/>
      <c r="N16" s="82"/>
      <c r="O16" s="82"/>
      <c r="P16" s="82"/>
      <c r="Q16" s="126"/>
      <c r="R16" s="126"/>
      <c r="S16" s="82"/>
      <c r="T16" s="82"/>
      <c r="U16" s="157"/>
      <c r="V16" s="158"/>
      <c r="X16" s="159">
        <v>1.0</v>
      </c>
      <c r="Y16" s="126"/>
      <c r="AA16" s="82"/>
      <c r="AB16" s="82"/>
      <c r="AC16" s="82"/>
      <c r="AD16" s="82"/>
      <c r="AE16" s="82"/>
      <c r="AF16" s="82"/>
      <c r="AG16" s="82"/>
      <c r="AH16" s="128">
        <f t="shared" si="1"/>
        <v>1</v>
      </c>
      <c r="AI16" s="129">
        <f t="shared" si="2"/>
        <v>5</v>
      </c>
      <c r="AJ16" s="34"/>
      <c r="AK16" s="87"/>
      <c r="AL16" s="87"/>
      <c r="AM16" s="34"/>
      <c r="AN16" s="34"/>
    </row>
    <row r="17">
      <c r="A17" s="141"/>
      <c r="B17" s="160" t="s">
        <v>66</v>
      </c>
      <c r="C17" s="34"/>
      <c r="D17" s="34"/>
      <c r="E17" s="34"/>
      <c r="F17" s="34"/>
      <c r="G17" s="34"/>
      <c r="H17" s="34"/>
      <c r="I17" s="34"/>
      <c r="J17" s="143"/>
      <c r="K17" s="161"/>
      <c r="L17" s="34"/>
      <c r="M17" s="34"/>
      <c r="N17" s="34"/>
      <c r="O17" s="34"/>
      <c r="P17" s="34"/>
      <c r="Q17" s="132"/>
      <c r="R17" s="132"/>
      <c r="S17" s="34"/>
      <c r="T17" s="34"/>
      <c r="U17" s="157"/>
      <c r="V17" s="157"/>
      <c r="X17" s="159">
        <v>1.0</v>
      </c>
      <c r="Y17" s="132"/>
      <c r="AA17" s="34"/>
      <c r="AB17" s="34"/>
      <c r="AC17" s="34"/>
      <c r="AD17" s="34"/>
      <c r="AE17" s="34"/>
      <c r="AF17" s="34"/>
      <c r="AG17" s="34"/>
      <c r="AH17" s="128">
        <f t="shared" si="1"/>
        <v>1</v>
      </c>
      <c r="AI17" s="129">
        <f t="shared" si="2"/>
        <v>5</v>
      </c>
      <c r="AJ17" s="34"/>
      <c r="AK17" s="87"/>
      <c r="AL17" s="87"/>
      <c r="AM17" s="34"/>
      <c r="AN17" s="34"/>
    </row>
    <row r="18">
      <c r="A18" s="147"/>
      <c r="B18" s="130" t="s">
        <v>106</v>
      </c>
      <c r="C18" s="34"/>
      <c r="D18" s="34"/>
      <c r="E18" s="34"/>
      <c r="F18" s="34"/>
      <c r="G18" s="34"/>
      <c r="H18" s="34"/>
      <c r="I18" s="34"/>
      <c r="J18" s="143"/>
      <c r="K18" s="162"/>
      <c r="L18" s="34"/>
      <c r="M18" s="34"/>
      <c r="N18" s="34"/>
      <c r="O18" s="34"/>
      <c r="P18" s="34"/>
      <c r="Q18" s="132"/>
      <c r="R18" s="132"/>
      <c r="S18" s="34"/>
      <c r="T18" s="34"/>
      <c r="U18" s="157"/>
      <c r="V18" s="157"/>
      <c r="X18" s="159">
        <v>1.0</v>
      </c>
      <c r="Y18" s="132"/>
      <c r="AA18" s="34"/>
      <c r="AB18" s="34"/>
      <c r="AC18" s="34"/>
      <c r="AD18" s="34"/>
      <c r="AE18" s="34"/>
      <c r="AF18" s="34"/>
      <c r="AG18" s="34"/>
      <c r="AH18" s="128">
        <f t="shared" si="1"/>
        <v>1</v>
      </c>
      <c r="AI18" s="129">
        <f t="shared" si="2"/>
        <v>5</v>
      </c>
      <c r="AJ18" s="34"/>
      <c r="AK18" s="87"/>
      <c r="AL18" s="87"/>
      <c r="AM18" s="34"/>
      <c r="AN18" s="34"/>
    </row>
    <row r="19">
      <c r="A19" s="147"/>
      <c r="B19" s="130" t="s">
        <v>108</v>
      </c>
      <c r="C19" s="34"/>
      <c r="D19" s="34"/>
      <c r="E19" s="34"/>
      <c r="F19" s="34"/>
      <c r="G19" s="34"/>
      <c r="H19" s="34"/>
      <c r="I19" s="34"/>
      <c r="J19" s="143"/>
      <c r="K19" s="162"/>
      <c r="L19" s="34"/>
      <c r="M19" s="34"/>
      <c r="N19" s="34"/>
      <c r="O19" s="34"/>
      <c r="P19" s="34"/>
      <c r="Q19" s="132"/>
      <c r="R19" s="132"/>
      <c r="S19" s="34"/>
      <c r="T19" s="34"/>
      <c r="U19" s="157"/>
      <c r="V19" s="157"/>
      <c r="X19" s="159">
        <v>1.0</v>
      </c>
      <c r="Y19" s="132"/>
      <c r="AA19" s="34"/>
      <c r="AB19" s="34"/>
      <c r="AC19" s="34"/>
      <c r="AD19" s="34"/>
      <c r="AE19" s="34"/>
      <c r="AF19" s="34"/>
      <c r="AG19" s="34"/>
      <c r="AH19" s="128">
        <f t="shared" si="1"/>
        <v>1</v>
      </c>
      <c r="AI19" s="129">
        <f t="shared" si="2"/>
        <v>5</v>
      </c>
      <c r="AJ19" s="34"/>
      <c r="AK19" s="87"/>
      <c r="AL19" s="87"/>
      <c r="AM19" s="34"/>
      <c r="AN19" s="34"/>
    </row>
    <row r="20">
      <c r="A20" s="163"/>
      <c r="B20" s="164" t="s">
        <v>110</v>
      </c>
      <c r="C20" s="34"/>
      <c r="D20" s="34"/>
      <c r="E20" s="34"/>
      <c r="F20" s="34"/>
      <c r="G20" s="34"/>
      <c r="H20" s="34"/>
      <c r="I20" s="34"/>
      <c r="J20" s="143"/>
      <c r="K20" s="162"/>
      <c r="L20" s="34"/>
      <c r="M20" s="34"/>
      <c r="N20" s="34"/>
      <c r="O20" s="34"/>
      <c r="P20" s="34"/>
      <c r="Q20" s="132"/>
      <c r="R20" s="132"/>
      <c r="S20" s="34"/>
      <c r="T20" s="34"/>
      <c r="U20" s="157"/>
      <c r="V20" s="157"/>
      <c r="X20" s="159">
        <v>1.0</v>
      </c>
      <c r="Y20" s="132"/>
      <c r="AA20" s="34"/>
      <c r="AB20" s="34"/>
      <c r="AC20" s="34"/>
      <c r="AD20" s="34"/>
      <c r="AE20" s="34"/>
      <c r="AF20" s="34"/>
      <c r="AG20" s="34"/>
      <c r="AH20" s="128">
        <f t="shared" si="1"/>
        <v>1</v>
      </c>
      <c r="AI20" s="129">
        <f t="shared" si="2"/>
        <v>5</v>
      </c>
      <c r="AJ20" s="34"/>
      <c r="AK20" s="87"/>
      <c r="AL20" s="87"/>
      <c r="AM20" s="34"/>
      <c r="AN20" s="34"/>
    </row>
    <row r="21">
      <c r="A21" s="133"/>
      <c r="B21" s="153" t="s">
        <v>111</v>
      </c>
      <c r="C21" s="92"/>
      <c r="D21" s="92"/>
      <c r="E21" s="92"/>
      <c r="F21" s="92"/>
      <c r="G21" s="92"/>
      <c r="H21" s="92"/>
      <c r="I21" s="92"/>
      <c r="J21" s="156"/>
      <c r="K21" s="162"/>
      <c r="L21" s="92"/>
      <c r="M21" s="92"/>
      <c r="N21" s="92"/>
      <c r="O21" s="92"/>
      <c r="P21" s="92"/>
      <c r="Q21" s="165"/>
      <c r="R21" s="165"/>
      <c r="S21" s="92"/>
      <c r="T21" s="92"/>
      <c r="U21" s="157"/>
      <c r="V21" s="157"/>
      <c r="X21" s="166">
        <v>2.0</v>
      </c>
      <c r="Y21" s="165"/>
      <c r="AA21" s="92"/>
      <c r="AB21" s="92"/>
      <c r="AC21" s="92"/>
      <c r="AD21" s="92"/>
      <c r="AE21" s="92"/>
      <c r="AF21" s="92"/>
      <c r="AG21" s="92"/>
      <c r="AH21" s="128">
        <f t="shared" si="1"/>
        <v>2</v>
      </c>
      <c r="AI21" s="129">
        <f t="shared" si="2"/>
        <v>10</v>
      </c>
      <c r="AJ21" s="34"/>
      <c r="AK21" s="87"/>
      <c r="AL21" s="87"/>
      <c r="AM21" s="34"/>
      <c r="AN21" s="34"/>
    </row>
    <row r="22">
      <c r="A22" s="136" t="s">
        <v>113</v>
      </c>
      <c r="B22" s="123" t="s">
        <v>65</v>
      </c>
      <c r="C22" s="82"/>
      <c r="D22" s="82"/>
      <c r="E22" s="82"/>
      <c r="F22" s="82"/>
      <c r="G22" s="167"/>
      <c r="H22" s="82"/>
      <c r="I22" s="82"/>
      <c r="J22" s="82"/>
      <c r="K22" s="82"/>
      <c r="L22" s="127"/>
      <c r="M22" s="168"/>
      <c r="N22" s="82"/>
      <c r="O22" s="82"/>
      <c r="P22" s="82"/>
      <c r="Q22" s="82"/>
      <c r="R22" s="82"/>
      <c r="S22" s="126"/>
      <c r="T22" s="126"/>
      <c r="U22" s="126"/>
      <c r="V22" s="126"/>
      <c r="W22" s="157"/>
      <c r="Y22" s="169">
        <v>1.0</v>
      </c>
      <c r="Z22" s="169">
        <v>1.0</v>
      </c>
      <c r="AC22" s="82"/>
      <c r="AD22" s="82"/>
      <c r="AE22" s="82"/>
      <c r="AF22" s="82"/>
      <c r="AG22" s="82"/>
      <c r="AH22" s="128">
        <f t="shared" si="1"/>
        <v>2</v>
      </c>
      <c r="AI22" s="129">
        <f t="shared" si="2"/>
        <v>10</v>
      </c>
      <c r="AJ22" s="34"/>
      <c r="AK22" s="87"/>
      <c r="AL22" s="87"/>
      <c r="AM22" s="34"/>
      <c r="AN22" s="34"/>
    </row>
    <row r="23">
      <c r="A23" s="122"/>
      <c r="B23" s="148" t="s">
        <v>66</v>
      </c>
      <c r="C23" s="34"/>
      <c r="D23" s="34"/>
      <c r="E23" s="34"/>
      <c r="F23" s="34"/>
      <c r="G23" s="36"/>
      <c r="H23" s="34"/>
      <c r="I23" s="34"/>
      <c r="J23" s="34"/>
      <c r="K23" s="34"/>
      <c r="L23" s="149"/>
      <c r="M23" s="149"/>
      <c r="N23" s="34"/>
      <c r="O23" s="34"/>
      <c r="P23" s="34"/>
      <c r="Q23" s="34"/>
      <c r="R23" s="34"/>
      <c r="S23" s="132"/>
      <c r="T23" s="132"/>
      <c r="U23" s="132"/>
      <c r="V23" s="132"/>
      <c r="W23" s="34"/>
      <c r="Y23" s="159">
        <v>1.0</v>
      </c>
      <c r="Z23" s="159">
        <v>1.0</v>
      </c>
      <c r="AC23" s="34"/>
      <c r="AD23" s="34"/>
      <c r="AE23" s="34"/>
      <c r="AF23" s="34"/>
      <c r="AG23" s="34"/>
      <c r="AH23" s="128">
        <f t="shared" si="1"/>
        <v>2</v>
      </c>
      <c r="AI23" s="129">
        <f t="shared" si="2"/>
        <v>10</v>
      </c>
      <c r="AJ23" s="34"/>
      <c r="AK23" s="87"/>
      <c r="AL23" s="87"/>
      <c r="AM23" s="34"/>
      <c r="AN23" s="34"/>
    </row>
    <row r="24">
      <c r="A24" s="122"/>
      <c r="B24" s="130" t="s">
        <v>106</v>
      </c>
      <c r="C24" s="34"/>
      <c r="D24" s="34"/>
      <c r="E24" s="34"/>
      <c r="F24" s="34"/>
      <c r="G24" s="36"/>
      <c r="H24" s="34"/>
      <c r="I24" s="34"/>
      <c r="J24" s="34"/>
      <c r="K24" s="34"/>
      <c r="L24" s="162"/>
      <c r="M24" s="73"/>
      <c r="N24" s="34"/>
      <c r="O24" s="34"/>
      <c r="P24" s="34"/>
      <c r="Q24" s="34"/>
      <c r="R24" s="34"/>
      <c r="S24" s="132"/>
      <c r="T24" s="132"/>
      <c r="U24" s="132"/>
      <c r="V24" s="132"/>
      <c r="W24" s="157"/>
      <c r="Y24" s="159">
        <v>1.0</v>
      </c>
      <c r="Z24" s="159">
        <v>1.0</v>
      </c>
      <c r="AC24" s="34"/>
      <c r="AD24" s="34"/>
      <c r="AE24" s="34"/>
      <c r="AF24" s="34"/>
      <c r="AG24" s="34"/>
      <c r="AH24" s="128">
        <f t="shared" si="1"/>
        <v>2</v>
      </c>
      <c r="AI24" s="129">
        <f t="shared" si="2"/>
        <v>10</v>
      </c>
      <c r="AJ24" s="34"/>
      <c r="AK24" s="87"/>
      <c r="AL24" s="87"/>
      <c r="AM24" s="34"/>
      <c r="AN24" s="34"/>
    </row>
    <row r="25">
      <c r="A25" s="147"/>
      <c r="B25" s="130" t="s">
        <v>108</v>
      </c>
      <c r="C25" s="34"/>
      <c r="D25" s="34"/>
      <c r="E25" s="34"/>
      <c r="F25" s="34"/>
      <c r="G25" s="34"/>
      <c r="H25" s="34"/>
      <c r="I25" s="34"/>
      <c r="J25" s="34"/>
      <c r="K25" s="170"/>
      <c r="L25" s="73"/>
      <c r="M25" s="73"/>
      <c r="N25" s="34"/>
      <c r="O25" s="34"/>
      <c r="P25" s="34"/>
      <c r="Q25" s="34"/>
      <c r="R25" s="34"/>
      <c r="S25" s="132"/>
      <c r="T25" s="132"/>
      <c r="U25" s="132"/>
      <c r="V25" s="132"/>
      <c r="W25" s="157"/>
      <c r="Y25" s="159">
        <v>1.0</v>
      </c>
      <c r="Z25" s="159">
        <v>1.0</v>
      </c>
      <c r="AC25" s="132"/>
      <c r="AD25" s="132"/>
      <c r="AE25" s="132"/>
      <c r="AF25" s="34"/>
      <c r="AG25" s="34"/>
      <c r="AH25" s="128">
        <f t="shared" si="1"/>
        <v>2</v>
      </c>
      <c r="AI25" s="129">
        <f t="shared" si="2"/>
        <v>10</v>
      </c>
      <c r="AJ25" s="34"/>
      <c r="AK25" s="87"/>
      <c r="AL25" s="87"/>
      <c r="AM25" s="34"/>
      <c r="AN25" s="34"/>
    </row>
    <row r="26">
      <c r="A26" s="147"/>
      <c r="B26" s="148" t="s">
        <v>110</v>
      </c>
      <c r="C26" s="34"/>
      <c r="D26" s="34"/>
      <c r="E26" s="34"/>
      <c r="F26" s="34"/>
      <c r="G26" s="34"/>
      <c r="H26" s="34"/>
      <c r="I26" s="34"/>
      <c r="J26" s="34"/>
      <c r="K26" s="170"/>
      <c r="L26" s="73"/>
      <c r="M26" s="73"/>
      <c r="N26" s="34"/>
      <c r="O26" s="34"/>
      <c r="P26" s="34"/>
      <c r="Q26" s="34"/>
      <c r="R26" s="34"/>
      <c r="S26" s="132"/>
      <c r="T26" s="132"/>
      <c r="U26" s="132"/>
      <c r="V26" s="132"/>
      <c r="W26" s="157"/>
      <c r="Y26" s="159">
        <v>1.0</v>
      </c>
      <c r="Z26" s="159">
        <v>1.0</v>
      </c>
      <c r="AC26" s="132"/>
      <c r="AD26" s="132"/>
      <c r="AE26" s="132"/>
      <c r="AF26" s="34"/>
      <c r="AG26" s="34"/>
      <c r="AH26" s="128">
        <f t="shared" si="1"/>
        <v>2</v>
      </c>
      <c r="AI26" s="129">
        <f t="shared" si="2"/>
        <v>10</v>
      </c>
      <c r="AJ26" s="34"/>
      <c r="AK26" s="87"/>
      <c r="AL26" s="87"/>
      <c r="AM26" s="34"/>
      <c r="AN26" s="34"/>
    </row>
    <row r="27">
      <c r="A27" s="133"/>
      <c r="B27" s="153" t="s">
        <v>111</v>
      </c>
      <c r="C27" s="92"/>
      <c r="D27" s="92"/>
      <c r="E27" s="92"/>
      <c r="F27" s="92"/>
      <c r="G27" s="92"/>
      <c r="H27" s="92"/>
      <c r="I27" s="92"/>
      <c r="J27" s="92"/>
      <c r="K27" s="170"/>
      <c r="L27" s="135"/>
      <c r="M27" s="135"/>
      <c r="N27" s="92"/>
      <c r="O27" s="92"/>
      <c r="P27" s="92"/>
      <c r="Q27" s="92"/>
      <c r="R27" s="92"/>
      <c r="S27" s="165"/>
      <c r="T27" s="165"/>
      <c r="U27" s="165"/>
      <c r="V27" s="165"/>
      <c r="W27" s="157"/>
      <c r="Y27" s="166">
        <v>2.0</v>
      </c>
      <c r="Z27" s="166">
        <v>2.0</v>
      </c>
      <c r="AC27" s="165"/>
      <c r="AD27" s="165"/>
      <c r="AE27" s="165"/>
      <c r="AF27" s="92"/>
      <c r="AG27" s="92"/>
      <c r="AH27" s="128">
        <f t="shared" si="1"/>
        <v>4</v>
      </c>
      <c r="AI27" s="129">
        <f t="shared" si="2"/>
        <v>20</v>
      </c>
      <c r="AJ27" s="34"/>
      <c r="AK27" s="87"/>
      <c r="AL27" s="87"/>
      <c r="AM27" s="34"/>
      <c r="AN27" s="34"/>
    </row>
    <row r="28" ht="15.75" customHeight="1">
      <c r="A28" s="136" t="s">
        <v>70</v>
      </c>
      <c r="B28" s="123" t="s">
        <v>65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126"/>
      <c r="X28" s="126"/>
      <c r="Y28" s="157"/>
      <c r="AA28" s="124">
        <v>1.0</v>
      </c>
      <c r="AB28" s="124">
        <v>1.0</v>
      </c>
      <c r="AD28" s="82"/>
      <c r="AE28" s="82"/>
      <c r="AF28" s="82"/>
      <c r="AG28" s="82"/>
      <c r="AH28" s="128">
        <f t="shared" si="1"/>
        <v>2</v>
      </c>
      <c r="AI28" s="129">
        <f t="shared" si="2"/>
        <v>10</v>
      </c>
      <c r="AJ28" s="34"/>
      <c r="AK28" s="87"/>
      <c r="AL28" s="87"/>
      <c r="AM28" s="34"/>
      <c r="AN28" s="34"/>
    </row>
    <row r="29" ht="15.75" customHeight="1">
      <c r="A29" s="141"/>
      <c r="B29" s="148" t="s">
        <v>114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132"/>
      <c r="X29" s="132"/>
      <c r="Y29" s="157"/>
      <c r="AA29" s="124">
        <v>1.0</v>
      </c>
      <c r="AB29" s="124">
        <v>1.0</v>
      </c>
      <c r="AD29" s="34"/>
      <c r="AE29" s="34"/>
      <c r="AF29" s="132"/>
      <c r="AG29" s="132"/>
      <c r="AH29" s="128">
        <f t="shared" si="1"/>
        <v>2</v>
      </c>
      <c r="AI29" s="129"/>
      <c r="AJ29" s="34"/>
      <c r="AK29" s="34"/>
      <c r="AL29" s="34"/>
      <c r="AM29" s="34"/>
      <c r="AN29" s="34"/>
    </row>
    <row r="30" ht="15.75" customHeight="1">
      <c r="A30" s="147"/>
      <c r="B30" s="130" t="s">
        <v>108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132"/>
      <c r="X30" s="132"/>
      <c r="Y30" s="157"/>
      <c r="AA30" s="124">
        <v>1.0</v>
      </c>
      <c r="AB30" s="124">
        <v>1.0</v>
      </c>
      <c r="AD30" s="34"/>
      <c r="AE30" s="34"/>
      <c r="AF30" s="132"/>
      <c r="AG30" s="132"/>
      <c r="AH30" s="128">
        <f t="shared" si="1"/>
        <v>2</v>
      </c>
      <c r="AI30" s="129">
        <f>AH30*5</f>
        <v>10</v>
      </c>
      <c r="AJ30" s="34"/>
      <c r="AK30" s="34"/>
      <c r="AL30" s="34"/>
      <c r="AM30" s="34"/>
      <c r="AN30" s="34"/>
    </row>
    <row r="31" ht="15.75" customHeight="1">
      <c r="A31" s="163"/>
      <c r="B31" s="164" t="s">
        <v>110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132"/>
      <c r="X31" s="132"/>
      <c r="Y31" s="157"/>
      <c r="AA31" s="124">
        <v>1.0</v>
      </c>
      <c r="AB31" s="124">
        <v>1.0</v>
      </c>
      <c r="AD31" s="34"/>
      <c r="AE31" s="34"/>
      <c r="AF31" s="132"/>
      <c r="AG31" s="132"/>
      <c r="AH31" s="128">
        <f t="shared" si="1"/>
        <v>2</v>
      </c>
      <c r="AI31" s="129"/>
      <c r="AJ31" s="34"/>
      <c r="AK31" s="34"/>
      <c r="AL31" s="34"/>
      <c r="AM31" s="34"/>
      <c r="AN31" s="34"/>
    </row>
    <row r="32" ht="15.75" customHeight="1">
      <c r="A32" s="136" t="s">
        <v>115</v>
      </c>
      <c r="B32" s="123" t="s">
        <v>65</v>
      </c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126"/>
      <c r="AG32" s="126"/>
      <c r="AH32" s="128">
        <f t="shared" si="1"/>
        <v>0</v>
      </c>
      <c r="AI32" s="129">
        <f t="shared" ref="AI32:AI36" si="3">AH32*5</f>
        <v>0</v>
      </c>
      <c r="AJ32" s="34"/>
      <c r="AK32" s="34"/>
      <c r="AL32" s="34"/>
      <c r="AM32" s="34"/>
      <c r="AN32" s="34"/>
    </row>
    <row r="33" ht="15.75" customHeight="1">
      <c r="A33" s="147"/>
      <c r="B33" s="130" t="s">
        <v>116</v>
      </c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132"/>
      <c r="AB33" s="132"/>
      <c r="AC33" s="132"/>
      <c r="AD33" s="132"/>
      <c r="AE33" s="34"/>
      <c r="AF33" s="132"/>
      <c r="AG33" s="132"/>
      <c r="AH33" s="128">
        <f t="shared" si="1"/>
        <v>0</v>
      </c>
      <c r="AI33" s="129">
        <f t="shared" si="3"/>
        <v>0</v>
      </c>
      <c r="AJ33" s="34"/>
      <c r="AK33" s="34"/>
      <c r="AL33" s="34"/>
      <c r="AM33" s="34"/>
      <c r="AN33" s="34"/>
    </row>
    <row r="34" ht="15.75" customHeight="1">
      <c r="A34" s="147"/>
      <c r="B34" s="130" t="s">
        <v>117</v>
      </c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132"/>
      <c r="AB34" s="132"/>
      <c r="AC34" s="132"/>
      <c r="AD34" s="132"/>
      <c r="AE34" s="34"/>
      <c r="AF34" s="132"/>
      <c r="AG34" s="132"/>
      <c r="AH34" s="128">
        <f t="shared" si="1"/>
        <v>0</v>
      </c>
      <c r="AI34" s="129">
        <f t="shared" si="3"/>
        <v>0</v>
      </c>
      <c r="AJ34" s="34"/>
      <c r="AK34" s="34"/>
      <c r="AL34" s="34"/>
      <c r="AM34" s="34"/>
      <c r="AN34" s="34"/>
    </row>
    <row r="35" ht="15.75" customHeight="1">
      <c r="A35" s="133"/>
      <c r="B35" s="153" t="s">
        <v>111</v>
      </c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165"/>
      <c r="AB35" s="165"/>
      <c r="AC35" s="165"/>
      <c r="AD35" s="165"/>
      <c r="AE35" s="92"/>
      <c r="AF35" s="165"/>
      <c r="AG35" s="165"/>
      <c r="AH35" s="128">
        <f t="shared" si="1"/>
        <v>0</v>
      </c>
      <c r="AI35" s="129">
        <f t="shared" si="3"/>
        <v>0</v>
      </c>
      <c r="AJ35" s="34"/>
      <c r="AK35" s="34"/>
      <c r="AL35" s="34"/>
      <c r="AM35" s="34"/>
      <c r="AN35" s="34"/>
    </row>
    <row r="36" ht="15.75" customHeight="1">
      <c r="A36" s="171" t="s">
        <v>118</v>
      </c>
      <c r="B36" s="172"/>
      <c r="C36" s="173">
        <f t="shared" ref="C36:F36" si="4">SUM(C2:C35)</f>
        <v>3</v>
      </c>
      <c r="D36" s="173">
        <f t="shared" si="4"/>
        <v>4</v>
      </c>
      <c r="E36" s="173">
        <f t="shared" si="4"/>
        <v>10</v>
      </c>
      <c r="F36" s="173">
        <f t="shared" si="4"/>
        <v>10</v>
      </c>
      <c r="G36" s="173">
        <f t="shared" ref="G36:J36" si="5">SUM(G3:G35)</f>
        <v>11.5</v>
      </c>
      <c r="H36" s="173">
        <f t="shared" si="5"/>
        <v>11.5</v>
      </c>
      <c r="I36" s="173">
        <f t="shared" si="5"/>
        <v>11</v>
      </c>
      <c r="J36" s="173">
        <f t="shared" si="5"/>
        <v>11</v>
      </c>
      <c r="K36" s="173">
        <f t="shared" ref="K36:AH36" si="6">SUM(K2:K35)</f>
        <v>13.5</v>
      </c>
      <c r="L36" s="173">
        <f t="shared" si="6"/>
        <v>12</v>
      </c>
      <c r="M36" s="173">
        <f t="shared" si="6"/>
        <v>10</v>
      </c>
      <c r="N36" s="173">
        <f t="shared" si="6"/>
        <v>10</v>
      </c>
      <c r="O36" s="173">
        <f t="shared" si="6"/>
        <v>12.5</v>
      </c>
      <c r="P36" s="173">
        <f t="shared" si="6"/>
        <v>13</v>
      </c>
      <c r="Q36" s="173">
        <f t="shared" si="6"/>
        <v>11</v>
      </c>
      <c r="R36" s="173">
        <f t="shared" si="6"/>
        <v>9.5</v>
      </c>
      <c r="S36" s="173">
        <f t="shared" si="6"/>
        <v>12</v>
      </c>
      <c r="T36" s="173">
        <f t="shared" si="6"/>
        <v>11</v>
      </c>
      <c r="U36" s="173">
        <f t="shared" si="6"/>
        <v>10</v>
      </c>
      <c r="V36" s="173">
        <f t="shared" si="6"/>
        <v>10.5</v>
      </c>
      <c r="W36" s="173">
        <f t="shared" si="6"/>
        <v>11.5</v>
      </c>
      <c r="X36" s="173">
        <f t="shared" si="6"/>
        <v>7</v>
      </c>
      <c r="Y36" s="173">
        <f t="shared" si="6"/>
        <v>7</v>
      </c>
      <c r="Z36" s="173">
        <f t="shared" si="6"/>
        <v>7</v>
      </c>
      <c r="AA36" s="173">
        <f t="shared" si="6"/>
        <v>4</v>
      </c>
      <c r="AB36" s="173">
        <f t="shared" si="6"/>
        <v>4</v>
      </c>
      <c r="AC36" s="173">
        <f t="shared" si="6"/>
        <v>0</v>
      </c>
      <c r="AD36" s="173">
        <f t="shared" si="6"/>
        <v>0</v>
      </c>
      <c r="AE36" s="173">
        <f t="shared" si="6"/>
        <v>0</v>
      </c>
      <c r="AF36" s="173">
        <f t="shared" si="6"/>
        <v>0</v>
      </c>
      <c r="AG36" s="173">
        <f t="shared" si="6"/>
        <v>0</v>
      </c>
      <c r="AH36" s="174">
        <f t="shared" si="6"/>
        <v>247.5</v>
      </c>
      <c r="AI36" s="175">
        <f t="shared" si="3"/>
        <v>1237.5</v>
      </c>
      <c r="AJ36" s="36"/>
      <c r="AK36" s="36"/>
      <c r="AL36" s="36"/>
      <c r="AM36" s="36"/>
      <c r="AN36" s="36"/>
    </row>
    <row r="37" ht="15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AL37" s="73"/>
      <c r="AM37" s="73"/>
      <c r="AN37" s="73"/>
    </row>
    <row r="38" ht="15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</row>
    <row r="39" ht="15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AL39" s="73"/>
      <c r="AM39" s="73"/>
      <c r="AN39" s="73"/>
    </row>
    <row r="40" ht="15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AL40" s="73"/>
      <c r="AM40" s="73"/>
      <c r="AN40" s="73"/>
    </row>
    <row r="41" ht="15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  <c r="AL41" s="73"/>
      <c r="AM41" s="73"/>
      <c r="AN41" s="73"/>
    </row>
    <row r="42" ht="15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  <c r="AL42" s="73"/>
      <c r="AM42" s="73"/>
      <c r="AN42" s="73"/>
    </row>
    <row r="43" ht="15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</row>
    <row r="44" ht="15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AL44" s="73"/>
      <c r="AM44" s="73"/>
      <c r="AN44" s="73"/>
    </row>
    <row r="45" ht="15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AL45" s="73"/>
      <c r="AM45" s="73"/>
      <c r="AN45" s="73"/>
    </row>
    <row r="46" ht="15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</row>
    <row r="47" ht="15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</row>
    <row r="48" ht="15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</row>
    <row r="49" ht="15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</row>
    <row r="50" ht="15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</row>
    <row r="51" ht="15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</row>
    <row r="52" ht="15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</row>
    <row r="53" ht="15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</row>
    <row r="54" ht="15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</row>
    <row r="55" ht="15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</row>
    <row r="56" ht="15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AL56" s="73"/>
      <c r="AM56" s="73"/>
      <c r="AN56" s="73"/>
    </row>
    <row r="57" ht="15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</row>
    <row r="58" ht="15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  <c r="AL58" s="73"/>
      <c r="AM58" s="73"/>
      <c r="AN58" s="73"/>
    </row>
    <row r="59" ht="15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AL59" s="73"/>
      <c r="AM59" s="73"/>
      <c r="AN59" s="73"/>
    </row>
    <row r="60" ht="15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  <c r="AL60" s="73"/>
      <c r="AM60" s="73"/>
      <c r="AN60" s="73"/>
    </row>
    <row r="61" ht="15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AL61" s="73"/>
      <c r="AM61" s="73"/>
      <c r="AN61" s="73"/>
    </row>
    <row r="62" ht="15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</row>
    <row r="63" ht="15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</row>
    <row r="64" ht="15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  <c r="AL64" s="73"/>
      <c r="AM64" s="73"/>
      <c r="AN64" s="73"/>
    </row>
    <row r="65" ht="15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AL65" s="73"/>
      <c r="AM65" s="73"/>
      <c r="AN65" s="73"/>
    </row>
    <row r="66" ht="15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  <c r="AL66" s="73"/>
      <c r="AM66" s="73"/>
      <c r="AN66" s="73"/>
    </row>
    <row r="67" ht="15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AL67" s="73"/>
      <c r="AM67" s="73"/>
      <c r="AN67" s="73"/>
    </row>
    <row r="68" ht="15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  <c r="AL68" s="73"/>
      <c r="AM68" s="73"/>
      <c r="AN68" s="73"/>
    </row>
    <row r="69" ht="15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  <c r="AL69" s="73"/>
      <c r="AM69" s="73"/>
      <c r="AN69" s="73"/>
    </row>
    <row r="70" ht="15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</row>
    <row r="71" ht="15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  <c r="AK71" s="73"/>
      <c r="AL71" s="73"/>
      <c r="AM71" s="73"/>
      <c r="AN71" s="73"/>
    </row>
    <row r="72" ht="15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  <c r="AK72" s="73"/>
      <c r="AL72" s="73"/>
      <c r="AM72" s="73"/>
      <c r="AN72" s="73"/>
    </row>
    <row r="73" ht="15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  <c r="AK73" s="73"/>
      <c r="AL73" s="73"/>
      <c r="AM73" s="73"/>
      <c r="AN73" s="73"/>
    </row>
    <row r="74" ht="15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AL74" s="73"/>
      <c r="AM74" s="73"/>
      <c r="AN74" s="73"/>
    </row>
    <row r="75" ht="15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  <c r="AK75" s="73"/>
      <c r="AL75" s="73"/>
      <c r="AM75" s="73"/>
      <c r="AN75" s="73"/>
    </row>
    <row r="76" ht="15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  <c r="AK76" s="73"/>
      <c r="AL76" s="73"/>
      <c r="AM76" s="73"/>
      <c r="AN76" s="73"/>
    </row>
    <row r="77" ht="15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  <c r="AK77" s="73"/>
      <c r="AL77" s="73"/>
      <c r="AM77" s="73"/>
      <c r="AN77" s="73"/>
    </row>
    <row r="78" ht="15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</row>
    <row r="79" ht="15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  <c r="AK79" s="73"/>
      <c r="AL79" s="73"/>
      <c r="AM79" s="73"/>
      <c r="AN79" s="73"/>
    </row>
    <row r="80" ht="15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  <c r="AK80" s="73"/>
      <c r="AL80" s="73"/>
      <c r="AM80" s="73"/>
      <c r="AN80" s="73"/>
    </row>
    <row r="81" ht="15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  <c r="AK81" s="73"/>
      <c r="AL81" s="73"/>
      <c r="AM81" s="73"/>
      <c r="AN81" s="73"/>
    </row>
    <row r="82" ht="15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AL82" s="73"/>
      <c r="AM82" s="73"/>
      <c r="AN82" s="73"/>
    </row>
    <row r="83" ht="15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  <c r="AK83" s="73"/>
      <c r="AL83" s="73"/>
      <c r="AM83" s="73"/>
      <c r="AN83" s="73"/>
    </row>
    <row r="84" ht="15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  <c r="AK84" s="73"/>
      <c r="AL84" s="73"/>
      <c r="AM84" s="73"/>
      <c r="AN84" s="73"/>
    </row>
    <row r="85" ht="15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  <c r="AK85" s="73"/>
      <c r="AL85" s="73"/>
      <c r="AM85" s="73"/>
      <c r="AN85" s="73"/>
    </row>
    <row r="86" ht="15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</row>
    <row r="87" ht="15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  <c r="AK87" s="73"/>
      <c r="AL87" s="73"/>
      <c r="AM87" s="73"/>
      <c r="AN87" s="73"/>
    </row>
    <row r="88" ht="15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  <c r="AK88" s="73"/>
      <c r="AL88" s="73"/>
      <c r="AM88" s="73"/>
      <c r="AN88" s="73"/>
    </row>
    <row r="89" ht="15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  <c r="AK89" s="73"/>
      <c r="AL89" s="73"/>
      <c r="AM89" s="73"/>
      <c r="AN89" s="73"/>
    </row>
    <row r="90" ht="15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AL90" s="73"/>
      <c r="AM90" s="73"/>
      <c r="AN90" s="73"/>
    </row>
    <row r="91" ht="15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  <c r="AK91" s="73"/>
      <c r="AL91" s="73"/>
      <c r="AM91" s="73"/>
      <c r="AN91" s="73"/>
    </row>
    <row r="92" ht="15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  <c r="AK92" s="73"/>
      <c r="AL92" s="73"/>
      <c r="AM92" s="73"/>
      <c r="AN92" s="73"/>
    </row>
    <row r="93" ht="15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  <c r="AK93" s="73"/>
      <c r="AL93" s="73"/>
      <c r="AM93" s="73"/>
      <c r="AN93" s="73"/>
    </row>
    <row r="94" ht="15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</row>
    <row r="95" ht="15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  <c r="AK95" s="73"/>
      <c r="AL95" s="73"/>
      <c r="AM95" s="73"/>
      <c r="AN95" s="73"/>
    </row>
    <row r="96" ht="15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  <c r="AK96" s="73"/>
      <c r="AL96" s="73"/>
      <c r="AM96" s="73"/>
      <c r="AN96" s="73"/>
    </row>
    <row r="97" ht="15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  <c r="AK97" s="73"/>
      <c r="AL97" s="73"/>
      <c r="AM97" s="73"/>
      <c r="AN97" s="73"/>
    </row>
    <row r="98" ht="15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AL98" s="73"/>
      <c r="AM98" s="73"/>
      <c r="AN98" s="73"/>
    </row>
    <row r="99" ht="15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  <c r="AK99" s="73"/>
      <c r="AL99" s="73"/>
      <c r="AM99" s="73"/>
      <c r="AN99" s="73"/>
    </row>
    <row r="100" ht="15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  <c r="AK100" s="73"/>
      <c r="AL100" s="73"/>
      <c r="AM100" s="73"/>
      <c r="AN100" s="73"/>
    </row>
    <row r="101" ht="15.75" customHeight="1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  <c r="AK101" s="73"/>
      <c r="AL101" s="73"/>
      <c r="AM101" s="73"/>
      <c r="AN101" s="73"/>
    </row>
    <row r="102" ht="15.75" customHeight="1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</row>
    <row r="103" ht="15.75" customHeight="1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  <c r="AL103" s="73"/>
      <c r="AM103" s="73"/>
      <c r="AN103" s="73"/>
    </row>
    <row r="104" ht="15.75" customHeight="1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  <c r="AL104" s="73"/>
      <c r="AM104" s="73"/>
      <c r="AN104" s="73"/>
    </row>
    <row r="105" ht="15.75" customHeight="1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AL105" s="73"/>
      <c r="AM105" s="73"/>
      <c r="AN105" s="73"/>
    </row>
    <row r="106" ht="15.75" customHeight="1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</row>
    <row r="107" ht="15.75" customHeight="1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  <c r="AL107" s="73"/>
      <c r="AM107" s="73"/>
      <c r="AN107" s="73"/>
    </row>
    <row r="108" ht="15.75" customHeight="1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  <c r="AL108" s="73"/>
      <c r="AM108" s="73"/>
      <c r="AN108" s="73"/>
    </row>
    <row r="109" ht="15.75" customHeight="1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  <c r="AL109" s="73"/>
      <c r="AM109" s="73"/>
      <c r="AN109" s="73"/>
    </row>
    <row r="110" ht="15.75" customHeight="1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</row>
    <row r="111" ht="15.75" customHeight="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  <c r="AL111" s="73"/>
      <c r="AM111" s="73"/>
      <c r="AN111" s="73"/>
    </row>
    <row r="112" ht="15.75" customHeight="1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  <c r="AL112" s="73"/>
      <c r="AM112" s="73"/>
      <c r="AN112" s="73"/>
    </row>
    <row r="113" ht="15.75" customHeight="1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  <c r="AL113" s="73"/>
      <c r="AM113" s="73"/>
      <c r="AN113" s="73"/>
    </row>
    <row r="114" ht="15.75" customHeight="1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AL114" s="73"/>
      <c r="AM114" s="73"/>
      <c r="AN114" s="73"/>
    </row>
    <row r="115" ht="15.75" customHeight="1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  <c r="AL115" s="73"/>
      <c r="AM115" s="73"/>
      <c r="AN115" s="73"/>
    </row>
    <row r="116" ht="15.75" customHeight="1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  <c r="AL116" s="73"/>
      <c r="AM116" s="73"/>
      <c r="AN116" s="73"/>
    </row>
    <row r="117" ht="15.75" customHeight="1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  <c r="AL117" s="73"/>
      <c r="AM117" s="73"/>
      <c r="AN117" s="73"/>
    </row>
    <row r="118" ht="15.75" customHeight="1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</row>
    <row r="119" ht="15.75" customHeight="1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  <c r="AK119" s="73"/>
      <c r="AL119" s="73"/>
      <c r="AM119" s="73"/>
      <c r="AN119" s="73"/>
    </row>
    <row r="120" ht="15.75" customHeight="1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  <c r="AK120" s="73"/>
      <c r="AL120" s="73"/>
      <c r="AM120" s="73"/>
      <c r="AN120" s="73"/>
    </row>
    <row r="121" ht="15.75" customHeight="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  <c r="AK121" s="73"/>
      <c r="AL121" s="73"/>
      <c r="AM121" s="73"/>
      <c r="AN121" s="73"/>
    </row>
    <row r="122" ht="15.75" customHeight="1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</row>
    <row r="123" ht="15.75" customHeight="1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  <c r="AK123" s="73"/>
      <c r="AL123" s="73"/>
      <c r="AM123" s="73"/>
      <c r="AN123" s="73"/>
    </row>
    <row r="124" ht="15.75" customHeight="1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  <c r="AK124" s="73"/>
      <c r="AL124" s="73"/>
      <c r="AM124" s="73"/>
      <c r="AN124" s="73"/>
    </row>
    <row r="125" ht="15.75" customHeight="1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  <c r="AK125" s="73"/>
      <c r="AL125" s="73"/>
      <c r="AM125" s="73"/>
      <c r="AN125" s="73"/>
    </row>
    <row r="126" ht="15.75" customHeight="1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</row>
    <row r="127" ht="15.75" customHeight="1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  <c r="AK127" s="73"/>
      <c r="AL127" s="73"/>
      <c r="AM127" s="73"/>
      <c r="AN127" s="73"/>
    </row>
    <row r="128" ht="15.75" customHeight="1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  <c r="AK128" s="73"/>
      <c r="AL128" s="73"/>
      <c r="AM128" s="73"/>
      <c r="AN128" s="73"/>
    </row>
    <row r="129" ht="15.75" customHeight="1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  <c r="AK129" s="73"/>
      <c r="AL129" s="73"/>
      <c r="AM129" s="73"/>
      <c r="AN129" s="73"/>
    </row>
    <row r="130" ht="15.75" customHeight="1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3"/>
      <c r="AL130" s="73"/>
      <c r="AM130" s="73"/>
      <c r="AN130" s="73"/>
    </row>
    <row r="131" ht="15.75" customHeight="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  <c r="AK131" s="73"/>
      <c r="AL131" s="73"/>
      <c r="AM131" s="73"/>
      <c r="AN131" s="73"/>
    </row>
    <row r="132" ht="15.75" customHeight="1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  <c r="AK132" s="73"/>
      <c r="AL132" s="73"/>
      <c r="AM132" s="73"/>
      <c r="AN132" s="73"/>
    </row>
    <row r="133" ht="15.75" customHeight="1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  <c r="AK133" s="73"/>
      <c r="AL133" s="73"/>
      <c r="AM133" s="73"/>
      <c r="AN133" s="73"/>
    </row>
    <row r="134" ht="15.75" customHeight="1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</row>
    <row r="135" ht="15.75" customHeight="1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  <c r="AK135" s="73"/>
      <c r="AL135" s="73"/>
      <c r="AM135" s="73"/>
      <c r="AN135" s="73"/>
    </row>
    <row r="136" ht="15.75" customHeight="1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  <c r="AK136" s="73"/>
      <c r="AL136" s="73"/>
      <c r="AM136" s="73"/>
      <c r="AN136" s="73"/>
    </row>
    <row r="137" ht="15.75" customHeight="1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  <c r="AK137" s="73"/>
      <c r="AL137" s="73"/>
      <c r="AM137" s="73"/>
      <c r="AN137" s="73"/>
    </row>
    <row r="138" ht="15.75" customHeight="1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  <c r="AK138" s="73"/>
      <c r="AL138" s="73"/>
      <c r="AM138" s="73"/>
      <c r="AN138" s="73"/>
    </row>
    <row r="139" ht="15.75" customHeight="1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  <c r="AK139" s="73"/>
      <c r="AL139" s="73"/>
      <c r="AM139" s="73"/>
      <c r="AN139" s="73"/>
    </row>
    <row r="140" ht="15.75" customHeight="1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  <c r="AK140" s="73"/>
      <c r="AL140" s="73"/>
      <c r="AM140" s="73"/>
      <c r="AN140" s="73"/>
    </row>
    <row r="141" ht="15.75" customHeight="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  <c r="AK141" s="73"/>
      <c r="AL141" s="73"/>
      <c r="AM141" s="73"/>
      <c r="AN141" s="73"/>
    </row>
    <row r="142" ht="15.75" customHeight="1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3"/>
      <c r="AL142" s="73"/>
      <c r="AM142" s="73"/>
      <c r="AN142" s="73"/>
    </row>
    <row r="143" ht="15.75" customHeight="1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  <c r="AK143" s="73"/>
      <c r="AL143" s="73"/>
      <c r="AM143" s="73"/>
      <c r="AN143" s="73"/>
    </row>
    <row r="144" ht="15.75" customHeight="1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  <c r="AK144" s="73"/>
      <c r="AL144" s="73"/>
      <c r="AM144" s="73"/>
      <c r="AN144" s="73"/>
    </row>
    <row r="145" ht="15.75" customHeight="1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  <c r="AK145" s="73"/>
      <c r="AL145" s="73"/>
      <c r="AM145" s="73"/>
      <c r="AN145" s="73"/>
    </row>
    <row r="146" ht="15.75" customHeight="1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  <c r="AK146" s="73"/>
      <c r="AL146" s="73"/>
      <c r="AM146" s="73"/>
      <c r="AN146" s="73"/>
    </row>
    <row r="147" ht="15.75" customHeight="1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  <c r="AK147" s="73"/>
      <c r="AL147" s="73"/>
      <c r="AM147" s="73"/>
      <c r="AN147" s="73"/>
    </row>
    <row r="148" ht="15.75" customHeight="1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  <c r="AK148" s="73"/>
      <c r="AL148" s="73"/>
      <c r="AM148" s="73"/>
      <c r="AN148" s="73"/>
    </row>
    <row r="149" ht="15.75" customHeight="1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  <c r="AK149" s="73"/>
      <c r="AL149" s="73"/>
      <c r="AM149" s="73"/>
      <c r="AN149" s="73"/>
    </row>
    <row r="150" ht="15.75" customHeight="1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3"/>
      <c r="AL150" s="73"/>
      <c r="AM150" s="73"/>
      <c r="AN150" s="73"/>
    </row>
    <row r="151" ht="15.75" customHeight="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  <c r="AK151" s="73"/>
      <c r="AL151" s="73"/>
      <c r="AM151" s="73"/>
      <c r="AN151" s="73"/>
    </row>
    <row r="152" ht="15.75" customHeight="1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  <c r="AK152" s="73"/>
      <c r="AL152" s="73"/>
      <c r="AM152" s="73"/>
      <c r="AN152" s="73"/>
    </row>
    <row r="153" ht="15.75" customHeight="1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  <c r="AK153" s="73"/>
      <c r="AL153" s="73"/>
      <c r="AM153" s="73"/>
      <c r="AN153" s="73"/>
    </row>
    <row r="154" ht="15.75" customHeight="1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  <c r="AK154" s="73"/>
      <c r="AL154" s="73"/>
      <c r="AM154" s="73"/>
      <c r="AN154" s="73"/>
    </row>
    <row r="155" ht="15.75" customHeight="1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  <c r="AK155" s="73"/>
      <c r="AL155" s="73"/>
      <c r="AM155" s="73"/>
      <c r="AN155" s="73"/>
    </row>
    <row r="156" ht="15.75" customHeight="1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  <c r="AK156" s="73"/>
      <c r="AL156" s="73"/>
      <c r="AM156" s="73"/>
      <c r="AN156" s="73"/>
    </row>
    <row r="157" ht="15.75" customHeight="1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  <c r="AK157" s="73"/>
      <c r="AL157" s="73"/>
      <c r="AM157" s="73"/>
      <c r="AN157" s="73"/>
    </row>
    <row r="158" ht="15.75" customHeight="1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3"/>
      <c r="AL158" s="73"/>
      <c r="AM158" s="73"/>
      <c r="AN158" s="73"/>
    </row>
    <row r="159" ht="15.75" customHeight="1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  <c r="AK159" s="73"/>
      <c r="AL159" s="73"/>
      <c r="AM159" s="73"/>
      <c r="AN159" s="73"/>
    </row>
    <row r="160" ht="15.75" customHeight="1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  <c r="AK160" s="73"/>
      <c r="AL160" s="73"/>
      <c r="AM160" s="73"/>
      <c r="AN160" s="73"/>
    </row>
    <row r="161" ht="15.75" customHeight="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  <c r="AK161" s="73"/>
      <c r="AL161" s="73"/>
      <c r="AM161" s="73"/>
      <c r="AN161" s="73"/>
    </row>
    <row r="162" ht="15.75" customHeight="1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  <c r="AK162" s="73"/>
      <c r="AL162" s="73"/>
      <c r="AM162" s="73"/>
      <c r="AN162" s="73"/>
    </row>
    <row r="163" ht="15.75" customHeight="1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  <c r="AK163" s="73"/>
      <c r="AL163" s="73"/>
      <c r="AM163" s="73"/>
      <c r="AN163" s="73"/>
    </row>
    <row r="164" ht="15.75" customHeight="1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  <c r="AK164" s="73"/>
      <c r="AL164" s="73"/>
      <c r="AM164" s="73"/>
      <c r="AN164" s="73"/>
    </row>
    <row r="165" ht="15.75" customHeight="1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  <c r="AK165" s="73"/>
      <c r="AL165" s="73"/>
      <c r="AM165" s="73"/>
      <c r="AN165" s="73"/>
    </row>
    <row r="166" ht="15.75" customHeight="1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3"/>
      <c r="AL166" s="73"/>
      <c r="AM166" s="73"/>
      <c r="AN166" s="73"/>
    </row>
    <row r="167" ht="15.75" customHeight="1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  <c r="AK167" s="73"/>
      <c r="AL167" s="73"/>
      <c r="AM167" s="73"/>
      <c r="AN167" s="73"/>
    </row>
    <row r="168" ht="15.75" customHeight="1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  <c r="AK168" s="73"/>
      <c r="AL168" s="73"/>
      <c r="AM168" s="73"/>
      <c r="AN168" s="73"/>
    </row>
    <row r="169" ht="15.75" customHeight="1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  <c r="AK169" s="73"/>
      <c r="AL169" s="73"/>
      <c r="AM169" s="73"/>
      <c r="AN169" s="73"/>
    </row>
    <row r="170" ht="15.75" customHeight="1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  <c r="AK170" s="73"/>
      <c r="AL170" s="73"/>
      <c r="AM170" s="73"/>
      <c r="AN170" s="73"/>
    </row>
    <row r="171" ht="15.75" customHeight="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  <c r="AK171" s="73"/>
      <c r="AL171" s="73"/>
      <c r="AM171" s="73"/>
      <c r="AN171" s="73"/>
    </row>
    <row r="172" ht="15.75" customHeight="1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  <c r="AK172" s="73"/>
      <c r="AL172" s="73"/>
      <c r="AM172" s="73"/>
      <c r="AN172" s="73"/>
    </row>
    <row r="173" ht="15.75" customHeight="1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  <c r="AK173" s="73"/>
      <c r="AL173" s="73"/>
      <c r="AM173" s="73"/>
      <c r="AN173" s="73"/>
    </row>
    <row r="174" ht="15.75" customHeight="1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3"/>
      <c r="AL174" s="73"/>
      <c r="AM174" s="73"/>
      <c r="AN174" s="73"/>
    </row>
    <row r="175" ht="15.75" customHeight="1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  <c r="AK175" s="73"/>
      <c r="AL175" s="73"/>
      <c r="AM175" s="73"/>
      <c r="AN175" s="73"/>
    </row>
    <row r="176" ht="15.75" customHeight="1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  <c r="AK176" s="73"/>
      <c r="AL176" s="73"/>
      <c r="AM176" s="73"/>
      <c r="AN176" s="73"/>
    </row>
    <row r="177" ht="15.75" customHeight="1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  <c r="AK177" s="73"/>
      <c r="AL177" s="73"/>
      <c r="AM177" s="73"/>
      <c r="AN177" s="73"/>
    </row>
    <row r="178" ht="15.75" customHeight="1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  <c r="AK178" s="73"/>
      <c r="AL178" s="73"/>
      <c r="AM178" s="73"/>
      <c r="AN178" s="73"/>
    </row>
    <row r="179" ht="15.75" customHeight="1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  <c r="AK179" s="73"/>
      <c r="AL179" s="73"/>
      <c r="AM179" s="73"/>
      <c r="AN179" s="73"/>
    </row>
    <row r="180" ht="15.75" customHeight="1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  <c r="AK180" s="73"/>
      <c r="AL180" s="73"/>
      <c r="AM180" s="73"/>
      <c r="AN180" s="73"/>
    </row>
    <row r="181" ht="15.75" customHeight="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  <c r="AK181" s="73"/>
      <c r="AL181" s="73"/>
      <c r="AM181" s="73"/>
      <c r="AN181" s="73"/>
    </row>
    <row r="182" ht="15.75" customHeight="1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3"/>
      <c r="AL182" s="73"/>
      <c r="AM182" s="73"/>
      <c r="AN182" s="73"/>
    </row>
    <row r="183" ht="15.75" customHeight="1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  <c r="AK183" s="73"/>
      <c r="AL183" s="73"/>
      <c r="AM183" s="73"/>
      <c r="AN183" s="73"/>
    </row>
    <row r="184" ht="15.75" customHeight="1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  <c r="AK184" s="73"/>
      <c r="AL184" s="73"/>
      <c r="AM184" s="73"/>
      <c r="AN184" s="73"/>
    </row>
    <row r="185" ht="15.75" customHeight="1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  <c r="AK185" s="73"/>
      <c r="AL185" s="73"/>
      <c r="AM185" s="73"/>
      <c r="AN185" s="73"/>
    </row>
    <row r="186" ht="15.75" customHeight="1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  <c r="AK186" s="73"/>
      <c r="AL186" s="73"/>
      <c r="AM186" s="73"/>
      <c r="AN186" s="73"/>
    </row>
    <row r="187" ht="15.75" customHeight="1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  <c r="AK187" s="73"/>
      <c r="AL187" s="73"/>
      <c r="AM187" s="73"/>
      <c r="AN187" s="73"/>
    </row>
    <row r="188" ht="15.75" customHeight="1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  <c r="AK188" s="73"/>
      <c r="AL188" s="73"/>
      <c r="AM188" s="73"/>
      <c r="AN188" s="73"/>
    </row>
    <row r="189" ht="15.75" customHeight="1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  <c r="AK189" s="73"/>
      <c r="AL189" s="73"/>
      <c r="AM189" s="73"/>
      <c r="AN189" s="73"/>
    </row>
    <row r="190" ht="15.75" customHeight="1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3"/>
      <c r="AL190" s="73"/>
      <c r="AM190" s="73"/>
      <c r="AN190" s="73"/>
    </row>
    <row r="191" ht="15.75" customHeight="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  <c r="AK191" s="73"/>
      <c r="AL191" s="73"/>
      <c r="AM191" s="73"/>
      <c r="AN191" s="73"/>
    </row>
    <row r="192" ht="15.75" customHeight="1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  <c r="AK192" s="73"/>
      <c r="AL192" s="73"/>
      <c r="AM192" s="73"/>
      <c r="AN192" s="73"/>
    </row>
    <row r="193" ht="15.75" customHeight="1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  <c r="AK193" s="73"/>
      <c r="AL193" s="73"/>
      <c r="AM193" s="73"/>
      <c r="AN193" s="73"/>
    </row>
    <row r="194" ht="15.75" customHeight="1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  <c r="AL194" s="73"/>
      <c r="AM194" s="73"/>
      <c r="AN194" s="73"/>
    </row>
    <row r="195" ht="15.75" customHeight="1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  <c r="AL195" s="73"/>
      <c r="AM195" s="73"/>
      <c r="AN195" s="73"/>
    </row>
    <row r="196" ht="15.75" customHeight="1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  <c r="AL196" s="73"/>
      <c r="AM196" s="73"/>
      <c r="AN196" s="73"/>
    </row>
    <row r="197" ht="15.75" customHeight="1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  <c r="AL197" s="73"/>
      <c r="AM197" s="73"/>
      <c r="AN197" s="73"/>
    </row>
    <row r="198" ht="15.75" customHeight="1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  <c r="AL198" s="73"/>
      <c r="AM198" s="73"/>
      <c r="AN198" s="73"/>
    </row>
    <row r="199" ht="15.75" customHeight="1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  <c r="AL199" s="73"/>
      <c r="AM199" s="73"/>
      <c r="AN199" s="73"/>
    </row>
    <row r="200" ht="15.75" customHeight="1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  <c r="AL200" s="73"/>
      <c r="AM200" s="73"/>
      <c r="AN200" s="73"/>
    </row>
    <row r="201" ht="15.75" customHeight="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  <c r="AL201" s="73"/>
      <c r="AM201" s="73"/>
      <c r="AN201" s="73"/>
    </row>
    <row r="202" ht="15.75" customHeight="1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  <c r="AL202" s="73"/>
      <c r="AM202" s="73"/>
      <c r="AN202" s="73"/>
    </row>
    <row r="203" ht="15.75" customHeight="1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  <c r="AL203" s="73"/>
      <c r="AM203" s="73"/>
      <c r="AN203" s="73"/>
    </row>
    <row r="204" ht="15.75" customHeight="1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  <c r="AL204" s="73"/>
      <c r="AM204" s="73"/>
      <c r="AN204" s="73"/>
    </row>
    <row r="205" ht="15.75" customHeight="1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  <c r="AL205" s="73"/>
      <c r="AM205" s="73"/>
      <c r="AN205" s="73"/>
    </row>
    <row r="206" ht="15.75" customHeight="1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  <c r="AL206" s="73"/>
      <c r="AM206" s="73"/>
      <c r="AN206" s="73"/>
    </row>
    <row r="207" ht="15.75" customHeight="1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  <c r="AL207" s="73"/>
      <c r="AM207" s="73"/>
      <c r="AN207" s="73"/>
    </row>
    <row r="208" ht="15.75" customHeight="1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  <c r="AL208" s="73"/>
      <c r="AM208" s="73"/>
      <c r="AN208" s="73"/>
    </row>
    <row r="209" ht="15.75" customHeight="1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  <c r="AL209" s="73"/>
      <c r="AM209" s="73"/>
      <c r="AN209" s="73"/>
    </row>
    <row r="210" ht="15.75" customHeight="1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  <c r="AL210" s="73"/>
      <c r="AM210" s="73"/>
      <c r="AN210" s="73"/>
    </row>
    <row r="211" ht="15.75" customHeight="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  <c r="AL211" s="73"/>
      <c r="AM211" s="73"/>
      <c r="AN211" s="73"/>
    </row>
    <row r="212" ht="15.75" customHeight="1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  <c r="AL212" s="73"/>
      <c r="AM212" s="73"/>
      <c r="AN212" s="73"/>
    </row>
    <row r="213" ht="15.75" customHeight="1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  <c r="AL213" s="73"/>
      <c r="AM213" s="73"/>
      <c r="AN213" s="73"/>
    </row>
    <row r="214" ht="15.75" customHeight="1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  <c r="AL214" s="73"/>
      <c r="AM214" s="73"/>
      <c r="AN214" s="73"/>
    </row>
    <row r="215" ht="15.75" customHeight="1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  <c r="AL215" s="73"/>
      <c r="AM215" s="73"/>
      <c r="AN215" s="73"/>
    </row>
    <row r="216" ht="15.75" customHeight="1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  <c r="AL216" s="73"/>
      <c r="AM216" s="73"/>
      <c r="AN216" s="73"/>
    </row>
    <row r="217" ht="15.75" customHeight="1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  <c r="AL217" s="73"/>
      <c r="AM217" s="73"/>
      <c r="AN217" s="73"/>
    </row>
    <row r="218" ht="15.7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  <c r="AL218" s="73"/>
      <c r="AM218" s="73"/>
      <c r="AN218" s="73"/>
    </row>
    <row r="219" ht="15.7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  <c r="AL219" s="73"/>
      <c r="AM219" s="73"/>
      <c r="AN219" s="73"/>
    </row>
    <row r="220" ht="15.7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  <c r="AL220" s="73"/>
      <c r="AM220" s="73"/>
      <c r="AN220" s="73"/>
    </row>
    <row r="221" ht="15.75" customHeight="1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  <c r="AL221" s="73"/>
      <c r="AM221" s="73"/>
      <c r="AN221" s="73"/>
    </row>
    <row r="222" ht="15.75" customHeight="1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  <c r="AL222" s="73"/>
      <c r="AM222" s="73"/>
      <c r="AN222" s="73"/>
    </row>
    <row r="223" ht="15.75" customHeight="1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  <c r="AL223" s="73"/>
      <c r="AM223" s="73"/>
      <c r="AN223" s="73"/>
    </row>
    <row r="224" ht="15.75" customHeight="1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  <c r="AL224" s="73"/>
      <c r="AM224" s="73"/>
      <c r="AN224" s="73"/>
    </row>
    <row r="225" ht="15.75" customHeight="1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  <c r="AL225" s="73"/>
      <c r="AM225" s="73"/>
      <c r="AN225" s="73"/>
    </row>
    <row r="226" ht="15.75" customHeight="1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  <c r="AL226" s="73"/>
      <c r="AM226" s="73"/>
      <c r="AN226" s="73"/>
    </row>
    <row r="227" ht="15.75" customHeight="1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  <c r="AL227" s="73"/>
      <c r="AM227" s="73"/>
      <c r="AN227" s="73"/>
    </row>
    <row r="228" ht="15.75" customHeight="1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  <c r="AL228" s="73"/>
      <c r="AM228" s="73"/>
      <c r="AN228" s="73"/>
    </row>
    <row r="229" ht="15.75" customHeight="1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  <c r="AL229" s="73"/>
      <c r="AM229" s="73"/>
      <c r="AN229" s="73"/>
    </row>
    <row r="230" ht="15.75" customHeight="1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  <c r="AL230" s="73"/>
      <c r="AM230" s="73"/>
      <c r="AN230" s="73"/>
    </row>
    <row r="231" ht="15.75" customHeight="1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  <c r="AL231" s="73"/>
      <c r="AM231" s="73"/>
      <c r="AN231" s="73"/>
    </row>
    <row r="232" ht="15.75" customHeight="1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  <c r="AL232" s="73"/>
      <c r="AM232" s="73"/>
      <c r="AN232" s="73"/>
    </row>
    <row r="233" ht="15.75" customHeight="1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  <c r="AL233" s="73"/>
      <c r="AM233" s="73"/>
      <c r="AN233" s="73"/>
    </row>
    <row r="234" ht="15.75" customHeight="1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  <c r="AL234" s="73"/>
      <c r="AM234" s="73"/>
      <c r="AN234" s="73"/>
    </row>
    <row r="235" ht="15.75" customHeight="1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  <c r="AL235" s="73"/>
      <c r="AM235" s="73"/>
      <c r="AN235" s="73"/>
    </row>
    <row r="236" ht="15.75" customHeight="1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  <c r="AL236" s="73"/>
      <c r="AM236" s="73"/>
      <c r="AN236" s="73"/>
    </row>
    <row r="237" ht="15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</row>
    <row r="238" ht="15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</row>
    <row r="239" ht="15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</row>
    <row r="240" ht="15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</row>
    <row r="241" ht="15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</row>
    <row r="242" ht="15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</row>
    <row r="243" ht="15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</row>
    <row r="244" ht="15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</row>
    <row r="245" ht="15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</row>
    <row r="246" ht="15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</row>
    <row r="247" ht="15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</row>
    <row r="248" ht="15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</row>
    <row r="249" ht="15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</row>
    <row r="250" ht="15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</row>
    <row r="251" ht="15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</row>
    <row r="252" ht="15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</row>
    <row r="253" ht="15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</row>
    <row r="254" ht="15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</row>
    <row r="255" ht="15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</row>
    <row r="256" ht="15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</row>
    <row r="257" ht="15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</row>
    <row r="258" ht="15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</row>
    <row r="259" ht="15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</row>
    <row r="260" ht="15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</row>
    <row r="261" ht="15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</row>
    <row r="262" ht="15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</row>
    <row r="263" ht="15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</row>
    <row r="264" ht="15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</row>
    <row r="265" ht="15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</row>
    <row r="266" ht="15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</row>
    <row r="267" ht="15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</row>
    <row r="268" ht="15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</row>
    <row r="269" ht="15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</row>
    <row r="270" ht="15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</row>
    <row r="271" ht="15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</row>
    <row r="272" ht="15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</row>
    <row r="273" ht="15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</row>
    <row r="274" ht="15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</row>
    <row r="275" ht="15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</row>
    <row r="276" ht="15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</row>
    <row r="277" ht="15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</row>
    <row r="278" ht="15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</row>
    <row r="279" ht="15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</row>
    <row r="280" ht="15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</row>
    <row r="281" ht="15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</row>
    <row r="282" ht="15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</row>
    <row r="283" ht="15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</row>
    <row r="284" ht="15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</row>
    <row r="285" ht="15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</row>
    <row r="286" ht="15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</row>
    <row r="287" ht="15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</row>
    <row r="288" ht="15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</row>
    <row r="289" ht="15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</row>
    <row r="290" ht="15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</row>
    <row r="291" ht="15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</row>
    <row r="292" ht="15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</row>
    <row r="293" ht="15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</row>
    <row r="294" ht="15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</row>
    <row r="295" ht="15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</row>
    <row r="296" ht="15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</row>
    <row r="297" ht="15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</row>
    <row r="298" ht="15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</row>
    <row r="299" ht="15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</row>
    <row r="300" ht="15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</row>
    <row r="301" ht="15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</row>
    <row r="302" ht="15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</row>
    <row r="303" ht="15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</row>
    <row r="304" ht="15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</row>
    <row r="305" ht="15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</row>
    <row r="306" ht="15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</row>
    <row r="307" ht="15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</row>
    <row r="308" ht="15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</row>
    <row r="309" ht="15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</row>
    <row r="310" ht="15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</row>
    <row r="311" ht="15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</row>
    <row r="312" ht="15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</row>
    <row r="313" ht="15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</row>
    <row r="314" ht="15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</row>
    <row r="315" ht="15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</row>
    <row r="316" ht="15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</row>
    <row r="317" ht="15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</row>
    <row r="318" ht="15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</row>
    <row r="319" ht="15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</row>
    <row r="320" ht="15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</row>
    <row r="321" ht="15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</row>
    <row r="322" ht="15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</row>
    <row r="323" ht="15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</row>
    <row r="324" ht="15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</row>
    <row r="325" ht="15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</row>
    <row r="326" ht="15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</row>
    <row r="327" ht="15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</row>
    <row r="328" ht="15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</row>
    <row r="329" ht="15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</row>
    <row r="330" ht="15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</row>
    <row r="331" ht="15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</row>
    <row r="332" ht="15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</row>
    <row r="333" ht="15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</row>
    <row r="334" ht="15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</row>
    <row r="335" ht="15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</row>
    <row r="336" ht="15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</row>
    <row r="337" ht="15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</row>
    <row r="338" ht="15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</row>
    <row r="339" ht="15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</row>
    <row r="340" ht="15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</row>
    <row r="341" ht="15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</row>
    <row r="342" ht="15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</row>
    <row r="343" ht="15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</row>
    <row r="344" ht="15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</row>
    <row r="345" ht="15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</row>
    <row r="346" ht="15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</row>
    <row r="347" ht="15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</row>
    <row r="348" ht="15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</row>
    <row r="349" ht="15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</row>
    <row r="350" ht="15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</row>
    <row r="351" ht="15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</row>
    <row r="352" ht="15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</row>
    <row r="353" ht="15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</row>
    <row r="354" ht="15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</row>
    <row r="355" ht="15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</row>
    <row r="356" ht="15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</row>
    <row r="357" ht="15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</row>
    <row r="358" ht="15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</row>
    <row r="359" ht="15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</row>
    <row r="360" ht="15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</row>
    <row r="361" ht="15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</row>
    <row r="362" ht="15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</row>
    <row r="363" ht="15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</row>
    <row r="364" ht="15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</row>
    <row r="365" ht="15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</row>
    <row r="366" ht="15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</row>
    <row r="367" ht="15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</row>
    <row r="368" ht="15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</row>
    <row r="369" ht="15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</row>
    <row r="370" ht="15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</row>
    <row r="371" ht="15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</row>
    <row r="372" ht="15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</row>
    <row r="373" ht="15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</row>
    <row r="374" ht="15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</row>
    <row r="375" ht="15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</row>
    <row r="376" ht="15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</row>
    <row r="377" ht="15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</row>
    <row r="378" ht="15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</row>
    <row r="379" ht="15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</row>
    <row r="380" ht="15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</row>
    <row r="381" ht="15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</row>
    <row r="382" ht="15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</row>
    <row r="383" ht="15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</row>
    <row r="384" ht="15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</row>
    <row r="385" ht="15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</row>
    <row r="386" ht="15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</row>
    <row r="387" ht="15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</row>
    <row r="388" ht="15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</row>
    <row r="389" ht="15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</row>
    <row r="390" ht="15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</row>
    <row r="391" ht="15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</row>
    <row r="392" ht="15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</row>
    <row r="393" ht="15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</row>
    <row r="394" ht="15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</row>
    <row r="395" ht="15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</row>
    <row r="396" ht="15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</row>
    <row r="397" ht="15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</row>
    <row r="398" ht="15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</row>
    <row r="399" ht="15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</row>
    <row r="400" ht="15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</row>
    <row r="401" ht="15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</row>
    <row r="402" ht="15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</row>
    <row r="403" ht="15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</row>
    <row r="404" ht="15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</row>
    <row r="405" ht="15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</row>
    <row r="406" ht="15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</row>
    <row r="407" ht="15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</row>
    <row r="408" ht="15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</row>
    <row r="409" ht="15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</row>
    <row r="410" ht="15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</row>
    <row r="411" ht="15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</row>
    <row r="412" ht="15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</row>
    <row r="413" ht="15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</row>
    <row r="414" ht="15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</row>
    <row r="415" ht="15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</row>
    <row r="416" ht="15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</row>
    <row r="417" ht="15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</row>
    <row r="418" ht="15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</row>
    <row r="419" ht="15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</row>
    <row r="420" ht="15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</row>
    <row r="421" ht="15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</row>
    <row r="422" ht="15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</row>
    <row r="423" ht="15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</row>
    <row r="424" ht="15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</row>
    <row r="425" ht="15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</row>
    <row r="426" ht="15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</row>
    <row r="427" ht="15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</row>
    <row r="428" ht="15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</row>
    <row r="429" ht="15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</row>
    <row r="430" ht="15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</row>
    <row r="431" ht="15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</row>
    <row r="432" ht="15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</row>
    <row r="433" ht="15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</row>
    <row r="434" ht="15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</row>
    <row r="435" ht="15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</row>
    <row r="436" ht="15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</row>
    <row r="437" ht="15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</row>
    <row r="438" ht="15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</row>
    <row r="439" ht="15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</row>
    <row r="440" ht="15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</row>
    <row r="441" ht="15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</row>
    <row r="442" ht="15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</row>
    <row r="443" ht="15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</row>
    <row r="444" ht="15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</row>
    <row r="445" ht="15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</row>
    <row r="446" ht="15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</row>
    <row r="447" ht="15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</row>
    <row r="448" ht="15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</row>
    <row r="449" ht="15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</row>
    <row r="450" ht="15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</row>
    <row r="451" ht="15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</row>
    <row r="452" ht="15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</row>
    <row r="453" ht="15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</row>
    <row r="454" ht="15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</row>
    <row r="455" ht="15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</row>
    <row r="456" ht="15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</row>
    <row r="457" ht="15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</row>
    <row r="458" ht="15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</row>
    <row r="459" ht="15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</row>
    <row r="460" ht="15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</row>
    <row r="461" ht="15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</row>
    <row r="462" ht="15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</row>
    <row r="463" ht="15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</row>
    <row r="464" ht="15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</row>
    <row r="465" ht="15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</row>
    <row r="466" ht="15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</row>
    <row r="467" ht="15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</row>
    <row r="468" ht="15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</row>
    <row r="469" ht="15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</row>
    <row r="470" ht="15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</row>
    <row r="471" ht="15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</row>
    <row r="472" ht="15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</row>
    <row r="473" ht="15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</row>
    <row r="474" ht="15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</row>
    <row r="475" ht="15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</row>
    <row r="476" ht="15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</row>
    <row r="477" ht="15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</row>
    <row r="478" ht="15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</row>
    <row r="479" ht="15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</row>
    <row r="480" ht="15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</row>
    <row r="481" ht="15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</row>
    <row r="482" ht="15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</row>
    <row r="483" ht="15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</row>
    <row r="484" ht="15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</row>
    <row r="485" ht="15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</row>
    <row r="486" ht="15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</row>
    <row r="487" ht="15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</row>
    <row r="488" ht="15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</row>
    <row r="489" ht="15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</row>
    <row r="490" ht="15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</row>
    <row r="491" ht="15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</row>
    <row r="492" ht="15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</row>
    <row r="493" ht="15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</row>
    <row r="494" ht="15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</row>
    <row r="495" ht="15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</row>
    <row r="496" ht="15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</row>
    <row r="497" ht="15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</row>
    <row r="498" ht="15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</row>
    <row r="499" ht="15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</row>
    <row r="500" ht="15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</row>
    <row r="501" ht="15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</row>
    <row r="502" ht="15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</row>
    <row r="503" ht="15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</row>
    <row r="504" ht="15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</row>
    <row r="505" ht="15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</row>
    <row r="506" ht="15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</row>
    <row r="507" ht="15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</row>
    <row r="508" ht="15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</row>
    <row r="509" ht="15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</row>
    <row r="510" ht="15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</row>
    <row r="511" ht="15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</row>
    <row r="512" ht="15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</row>
    <row r="513" ht="15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</row>
    <row r="514" ht="15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</row>
    <row r="515" ht="15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</row>
    <row r="516" ht="15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</row>
    <row r="517" ht="15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</row>
    <row r="518" ht="15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</row>
    <row r="519" ht="15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</row>
    <row r="520" ht="15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</row>
    <row r="521" ht="15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</row>
    <row r="522" ht="15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</row>
    <row r="523" ht="15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</row>
    <row r="524" ht="15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</row>
    <row r="525" ht="15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</row>
    <row r="526" ht="15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</row>
    <row r="527" ht="15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</row>
    <row r="528" ht="15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</row>
    <row r="529" ht="15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</row>
    <row r="530" ht="15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</row>
    <row r="531" ht="15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</row>
    <row r="532" ht="15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</row>
    <row r="533" ht="15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</row>
    <row r="534" ht="15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</row>
    <row r="535" ht="15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</row>
    <row r="536" ht="15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</row>
    <row r="537" ht="15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</row>
    <row r="538" ht="15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</row>
    <row r="539" ht="15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</row>
    <row r="540" ht="15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</row>
    <row r="541" ht="15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</row>
    <row r="542" ht="15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</row>
    <row r="543" ht="15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</row>
    <row r="544" ht="15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</row>
    <row r="545" ht="15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</row>
    <row r="546" ht="15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</row>
    <row r="547" ht="15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</row>
    <row r="548" ht="15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</row>
    <row r="549" ht="15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</row>
    <row r="550" ht="15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</row>
    <row r="551" ht="15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</row>
    <row r="552" ht="15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</row>
    <row r="553" ht="15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</row>
    <row r="554" ht="15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</row>
    <row r="555" ht="15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</row>
    <row r="556" ht="15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</row>
    <row r="557" ht="15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</row>
    <row r="558" ht="15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</row>
    <row r="559" ht="15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</row>
    <row r="560" ht="15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</row>
    <row r="561" ht="15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</row>
    <row r="562" ht="15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</row>
    <row r="563" ht="15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</row>
    <row r="564" ht="15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</row>
    <row r="565" ht="15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</row>
    <row r="566" ht="15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</row>
    <row r="567" ht="15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</row>
    <row r="568" ht="15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</row>
    <row r="569" ht="15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</row>
    <row r="570" ht="15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</row>
    <row r="571" ht="15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</row>
    <row r="572" ht="15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</row>
    <row r="573" ht="15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</row>
    <row r="574" ht="15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</row>
    <row r="575" ht="15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</row>
    <row r="576" ht="15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</row>
    <row r="577" ht="15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</row>
    <row r="578" ht="15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</row>
    <row r="579" ht="15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</row>
    <row r="580" ht="15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</row>
    <row r="581" ht="15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</row>
    <row r="582" ht="15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</row>
    <row r="583" ht="15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</row>
    <row r="584" ht="15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</row>
    <row r="585" ht="15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</row>
    <row r="586" ht="15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</row>
    <row r="587" ht="15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</row>
    <row r="588" ht="15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</row>
    <row r="589" ht="15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</row>
    <row r="590" ht="15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</row>
    <row r="591" ht="15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</row>
    <row r="592" ht="15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</row>
    <row r="593" ht="15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</row>
    <row r="594" ht="15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</row>
    <row r="595" ht="15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</row>
    <row r="596" ht="15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</row>
    <row r="597" ht="15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</row>
    <row r="598" ht="15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</row>
    <row r="599" ht="15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</row>
    <row r="600" ht="15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</row>
    <row r="601" ht="15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</row>
    <row r="602" ht="15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</row>
    <row r="603" ht="15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</row>
    <row r="604" ht="15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</row>
    <row r="605" ht="15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</row>
    <row r="606" ht="15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</row>
    <row r="607" ht="15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</row>
    <row r="608" ht="15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</row>
    <row r="609" ht="15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</row>
    <row r="610" ht="15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</row>
    <row r="611" ht="15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</row>
    <row r="612" ht="15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</row>
    <row r="613" ht="15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</row>
    <row r="614" ht="15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</row>
    <row r="615" ht="15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</row>
    <row r="616" ht="15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</row>
    <row r="617" ht="15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</row>
    <row r="618" ht="15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</row>
    <row r="619" ht="15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</row>
    <row r="620" ht="15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</row>
    <row r="621" ht="15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</row>
    <row r="622" ht="15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</row>
    <row r="623" ht="15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</row>
    <row r="624" ht="15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</row>
    <row r="625" ht="15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</row>
    <row r="626" ht="15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</row>
    <row r="627" ht="15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</row>
    <row r="628" ht="15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</row>
    <row r="629" ht="15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</row>
    <row r="630" ht="15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</row>
    <row r="631" ht="15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</row>
    <row r="632" ht="15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</row>
    <row r="633" ht="15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</row>
    <row r="634" ht="15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</row>
    <row r="635" ht="15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</row>
    <row r="636" ht="15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</row>
    <row r="637" ht="15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</row>
    <row r="638" ht="15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</row>
    <row r="639" ht="15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</row>
    <row r="640" ht="15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</row>
    <row r="641" ht="15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</row>
    <row r="642" ht="15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</row>
    <row r="643" ht="15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</row>
    <row r="644" ht="15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</row>
    <row r="645" ht="15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</row>
    <row r="646" ht="15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</row>
    <row r="647" ht="15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</row>
    <row r="648" ht="15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</row>
    <row r="649" ht="15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</row>
    <row r="650" ht="15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</row>
    <row r="651" ht="15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</row>
    <row r="652" ht="15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</row>
    <row r="653" ht="15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</row>
    <row r="654" ht="15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</row>
    <row r="655" ht="15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</row>
    <row r="656" ht="15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</row>
    <row r="657" ht="15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</row>
    <row r="658" ht="15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</row>
    <row r="659" ht="15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</row>
    <row r="660" ht="15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</row>
    <row r="661" ht="15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</row>
    <row r="662" ht="15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</row>
    <row r="663" ht="15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</row>
    <row r="664" ht="15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</row>
    <row r="665" ht="15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</row>
    <row r="666" ht="15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</row>
    <row r="667" ht="15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</row>
    <row r="668" ht="15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</row>
    <row r="669" ht="15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</row>
    <row r="670" ht="15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</row>
    <row r="671" ht="15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</row>
    <row r="672" ht="15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</row>
    <row r="673" ht="15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</row>
    <row r="674" ht="15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</row>
    <row r="675" ht="15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</row>
    <row r="676" ht="15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</row>
    <row r="677" ht="15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</row>
    <row r="678" ht="15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</row>
    <row r="679" ht="15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</row>
    <row r="680" ht="15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</row>
    <row r="681" ht="15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</row>
    <row r="682" ht="15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</row>
    <row r="683" ht="15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</row>
    <row r="684" ht="15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</row>
    <row r="685" ht="15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</row>
    <row r="686" ht="15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</row>
    <row r="687" ht="15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</row>
    <row r="688" ht="15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</row>
    <row r="689" ht="15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</row>
    <row r="690" ht="15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</row>
    <row r="691" ht="15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</row>
    <row r="692" ht="15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</row>
    <row r="693" ht="15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</row>
    <row r="694" ht="15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</row>
    <row r="695" ht="15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</row>
    <row r="696" ht="15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</row>
    <row r="697" ht="15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</row>
    <row r="698" ht="15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</row>
    <row r="699" ht="15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</row>
    <row r="700" ht="15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</row>
    <row r="701" ht="15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</row>
    <row r="702" ht="15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</row>
    <row r="703" ht="15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</row>
    <row r="704" ht="15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</row>
    <row r="705" ht="15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</row>
    <row r="706" ht="15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</row>
    <row r="707" ht="15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</row>
    <row r="708" ht="15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</row>
    <row r="709" ht="15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</row>
    <row r="710" ht="15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</row>
    <row r="711" ht="15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</row>
    <row r="712" ht="15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</row>
    <row r="713" ht="15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</row>
    <row r="714" ht="15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</row>
    <row r="715" ht="15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</row>
    <row r="716" ht="15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</row>
    <row r="717" ht="15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</row>
    <row r="718" ht="15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</row>
    <row r="719" ht="15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</row>
    <row r="720" ht="15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</row>
    <row r="721" ht="15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</row>
    <row r="722" ht="15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</row>
    <row r="723" ht="15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</row>
    <row r="724" ht="15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</row>
    <row r="725" ht="15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</row>
    <row r="726" ht="15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</row>
    <row r="727" ht="15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</row>
    <row r="728" ht="15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</row>
    <row r="729" ht="15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</row>
    <row r="730" ht="15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</row>
    <row r="731" ht="15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</row>
    <row r="732" ht="15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</row>
    <row r="733" ht="15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</row>
    <row r="734" ht="15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</row>
    <row r="735" ht="15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</row>
    <row r="736" ht="15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</row>
    <row r="737" ht="15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</row>
    <row r="738" ht="15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</row>
    <row r="739" ht="15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</row>
    <row r="740" ht="15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</row>
    <row r="741" ht="15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</row>
    <row r="742" ht="15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</row>
    <row r="743" ht="15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</row>
    <row r="744" ht="15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</row>
    <row r="745" ht="15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</row>
    <row r="746" ht="15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</row>
    <row r="747" ht="15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</row>
    <row r="748" ht="15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</row>
    <row r="749" ht="15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</row>
    <row r="750" ht="15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</row>
    <row r="751" ht="15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</row>
    <row r="752" ht="15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</row>
    <row r="753" ht="15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</row>
    <row r="754" ht="15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</row>
    <row r="755" ht="15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</row>
    <row r="756" ht="15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</row>
    <row r="757" ht="15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</row>
    <row r="758" ht="15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</row>
    <row r="759" ht="15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</row>
    <row r="760" ht="15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</row>
    <row r="761" ht="15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</row>
    <row r="762" ht="15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</row>
    <row r="763" ht="15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</row>
    <row r="764" ht="15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</row>
    <row r="765" ht="15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</row>
    <row r="766" ht="15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</row>
    <row r="767" ht="15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</row>
    <row r="768" ht="15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</row>
    <row r="769" ht="15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</row>
    <row r="770" ht="15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</row>
    <row r="771" ht="15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</row>
    <row r="772" ht="15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</row>
    <row r="773" ht="15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</row>
    <row r="774" ht="15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</row>
    <row r="775" ht="15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</row>
    <row r="776" ht="15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</row>
    <row r="777" ht="15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</row>
    <row r="778" ht="15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</row>
    <row r="779" ht="15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</row>
    <row r="780" ht="15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</row>
    <row r="781" ht="15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</row>
    <row r="782" ht="15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</row>
    <row r="783" ht="15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</row>
    <row r="784" ht="15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</row>
    <row r="785" ht="15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</row>
    <row r="786" ht="15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</row>
    <row r="787" ht="15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</row>
    <row r="788" ht="15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</row>
    <row r="789" ht="15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</row>
    <row r="790" ht="15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</row>
    <row r="791" ht="15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</row>
    <row r="792" ht="15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</row>
    <row r="793" ht="15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</row>
    <row r="794" ht="15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</row>
    <row r="795" ht="15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</row>
    <row r="796" ht="15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</row>
    <row r="797" ht="15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</row>
    <row r="798" ht="15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</row>
    <row r="799" ht="15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</row>
    <row r="800" ht="15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</row>
    <row r="801" ht="15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</row>
    <row r="802" ht="15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</row>
    <row r="803" ht="15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</row>
    <row r="804" ht="15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</row>
    <row r="805" ht="15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</row>
    <row r="806" ht="15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</row>
    <row r="807" ht="15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</row>
    <row r="808" ht="15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</row>
    <row r="809" ht="15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</row>
    <row r="810" ht="15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</row>
    <row r="811" ht="15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</row>
    <row r="812" ht="15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</row>
    <row r="813" ht="15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</row>
    <row r="814" ht="15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</row>
    <row r="815" ht="15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</row>
    <row r="816" ht="15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</row>
    <row r="817" ht="15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</row>
    <row r="818" ht="15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</row>
    <row r="819" ht="15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</row>
    <row r="820" ht="15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</row>
    <row r="821" ht="15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</row>
    <row r="822" ht="15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</row>
    <row r="823" ht="15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</row>
    <row r="824" ht="15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</row>
    <row r="825" ht="15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</row>
    <row r="826" ht="15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</row>
    <row r="827" ht="15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</row>
    <row r="828" ht="15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</row>
    <row r="829" ht="15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</row>
    <row r="830" ht="15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</row>
    <row r="831" ht="15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</row>
    <row r="832" ht="15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</row>
    <row r="833" ht="15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</row>
    <row r="834" ht="15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</row>
    <row r="835" ht="15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</row>
    <row r="836" ht="15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</row>
    <row r="837" ht="15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</row>
    <row r="838" ht="15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</row>
    <row r="839" ht="15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</row>
    <row r="840" ht="15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</row>
    <row r="841" ht="15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</row>
    <row r="842" ht="15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</row>
    <row r="843" ht="15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</row>
    <row r="844" ht="15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</row>
    <row r="845" ht="15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</row>
    <row r="846" ht="15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</row>
    <row r="847" ht="15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</row>
    <row r="848" ht="15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</row>
    <row r="849" ht="15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</row>
    <row r="850" ht="15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</row>
    <row r="851" ht="15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</row>
    <row r="852" ht="15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</row>
    <row r="853" ht="15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</row>
    <row r="854" ht="15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</row>
    <row r="855" ht="15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</row>
    <row r="856" ht="15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</row>
    <row r="857" ht="15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</row>
    <row r="858" ht="15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</row>
    <row r="859" ht="15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</row>
    <row r="860" ht="15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</row>
    <row r="861" ht="15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</row>
    <row r="862" ht="15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</row>
    <row r="863" ht="15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</row>
    <row r="864" ht="15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</row>
    <row r="865" ht="15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</row>
    <row r="866" ht="15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</row>
    <row r="867" ht="15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</row>
    <row r="868" ht="15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</row>
    <row r="869" ht="15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</row>
    <row r="870" ht="15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</row>
    <row r="871" ht="15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</row>
    <row r="872" ht="15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</row>
    <row r="873" ht="15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</row>
    <row r="874" ht="15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</row>
    <row r="875" ht="15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</row>
    <row r="876" ht="15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</row>
    <row r="877" ht="15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</row>
    <row r="878" ht="15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</row>
    <row r="879" ht="15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</row>
    <row r="880" ht="15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</row>
    <row r="881" ht="15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</row>
    <row r="882" ht="15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</row>
    <row r="883" ht="15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</row>
    <row r="884" ht="15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</row>
    <row r="885" ht="15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</row>
    <row r="886" ht="15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</row>
    <row r="887" ht="15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</row>
    <row r="888" ht="15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</row>
    <row r="889" ht="15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</row>
    <row r="890" ht="15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</row>
    <row r="891" ht="15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</row>
    <row r="892" ht="15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</row>
    <row r="893" ht="15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</row>
    <row r="894" ht="15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</row>
    <row r="895" ht="15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</row>
    <row r="896" ht="15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</row>
    <row r="897" ht="15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</row>
    <row r="898" ht="15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</row>
    <row r="899" ht="15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</row>
    <row r="900" ht="15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</row>
    <row r="901" ht="15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</row>
    <row r="902" ht="15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</row>
    <row r="903" ht="15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</row>
    <row r="904" ht="15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</row>
    <row r="905" ht="15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</row>
    <row r="906" ht="15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</row>
    <row r="907" ht="15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</row>
    <row r="908" ht="15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</row>
    <row r="909" ht="15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</row>
    <row r="910" ht="15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</row>
    <row r="911" ht="15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</row>
    <row r="912" ht="15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</row>
    <row r="913" ht="15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</row>
    <row r="914" ht="15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</row>
    <row r="915" ht="15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</row>
    <row r="916" ht="15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</row>
    <row r="917" ht="15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</row>
    <row r="918" ht="15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</row>
    <row r="919" ht="15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</row>
    <row r="920" ht="15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</row>
    <row r="921" ht="15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</row>
    <row r="922" ht="15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</row>
    <row r="923" ht="15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</row>
    <row r="924" ht="15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</row>
    <row r="925" ht="15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</row>
    <row r="926" ht="15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</row>
    <row r="927" ht="15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</row>
    <row r="928" ht="15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</row>
    <row r="929" ht="15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</row>
    <row r="930" ht="15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</row>
    <row r="931" ht="15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</row>
    <row r="932" ht="15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</row>
    <row r="933" ht="15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</row>
    <row r="934" ht="15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</row>
    <row r="935" ht="15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</row>
    <row r="936" ht="15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</row>
    <row r="937" ht="15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</row>
    <row r="938" ht="15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</row>
    <row r="939" ht="15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</row>
    <row r="940" ht="15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</row>
    <row r="941" ht="15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</row>
    <row r="942" ht="15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</row>
    <row r="943" ht="15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</row>
    <row r="944" ht="15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</row>
    <row r="945" ht="15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</row>
    <row r="946" ht="15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</row>
    <row r="947" ht="15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</row>
    <row r="948" ht="15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</row>
    <row r="949" ht="15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</row>
    <row r="950" ht="15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</row>
    <row r="951" ht="15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</row>
    <row r="952" ht="15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</row>
    <row r="953" ht="15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</row>
    <row r="954" ht="15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</row>
    <row r="955" ht="15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</row>
    <row r="956" ht="15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</row>
    <row r="957" ht="15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</row>
    <row r="958" ht="15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</row>
    <row r="959" ht="15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</row>
    <row r="960" ht="15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</row>
    <row r="961" ht="15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</row>
    <row r="962" ht="15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</row>
    <row r="963" ht="15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</row>
    <row r="964" ht="15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</row>
    <row r="965" ht="15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</row>
    <row r="966" ht="15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</row>
    <row r="967" ht="15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</row>
    <row r="968" ht="15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</row>
    <row r="969" ht="15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</row>
    <row r="970" ht="15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</row>
    <row r="971" ht="15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</row>
    <row r="972" ht="15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</row>
    <row r="973" ht="15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</row>
    <row r="974" ht="15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</row>
    <row r="975" ht="15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</row>
    <row r="976" ht="15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</row>
    <row r="977" ht="15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</row>
    <row r="978" ht="15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</row>
    <row r="979" ht="15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</row>
    <row r="980" ht="15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</row>
    <row r="981" ht="15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</row>
    <row r="982" ht="15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</row>
    <row r="983" ht="15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</row>
    <row r="984" ht="15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</row>
    <row r="985" ht="15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</row>
    <row r="986" ht="15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</row>
    <row r="987" ht="15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</row>
    <row r="988" ht="15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</row>
    <row r="989" ht="15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</row>
    <row r="990" ht="15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</row>
    <row r="991" ht="15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</row>
    <row r="992" ht="15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</row>
    <row r="993" ht="15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</row>
    <row r="994" ht="15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</row>
    <row r="995" ht="15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</row>
    <row r="996" ht="15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</row>
    <row r="997" ht="15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</row>
    <row r="998" ht="15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</row>
    <row r="999" ht="15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</row>
    <row r="1000" ht="15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</row>
    <row r="1001" ht="15.75" customHeight="1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</row>
    <row r="1002" ht="15.75" customHeight="1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</row>
    <row r="1003" ht="15.75" customHeight="1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</row>
    <row r="1004" ht="15.75" customHeight="1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</row>
    <row r="1005" ht="15.75" customHeight="1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</row>
    <row r="1006" ht="15.75" customHeight="1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</row>
    <row r="1007" ht="15.75" customHeight="1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</row>
  </sheetData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4.29"/>
    <col customWidth="1" min="2" max="2" width="11.43"/>
    <col customWidth="1" min="3" max="21" width="5.43"/>
    <col customWidth="1" min="22" max="22" width="6.57"/>
    <col customWidth="1" min="23" max="33" width="6.29"/>
    <col customWidth="1" min="34" max="36" width="8.14"/>
    <col customWidth="1" min="37" max="37" width="11.43"/>
    <col customWidth="1" min="38" max="38" width="14.57"/>
    <col customWidth="1" min="39" max="40" width="8.14"/>
  </cols>
  <sheetData>
    <row r="1">
      <c r="A1" s="118" t="s">
        <v>54</v>
      </c>
      <c r="B1" s="119" t="s">
        <v>76</v>
      </c>
      <c r="C1" s="120" t="s">
        <v>77</v>
      </c>
      <c r="D1" s="120" t="s">
        <v>78</v>
      </c>
      <c r="E1" s="120" t="s">
        <v>79</v>
      </c>
      <c r="F1" s="120" t="s">
        <v>80</v>
      </c>
      <c r="G1" s="120" t="s">
        <v>81</v>
      </c>
      <c r="H1" s="120" t="s">
        <v>82</v>
      </c>
      <c r="I1" s="120" t="s">
        <v>83</v>
      </c>
      <c r="J1" s="120" t="s">
        <v>84</v>
      </c>
      <c r="K1" s="120" t="s">
        <v>85</v>
      </c>
      <c r="L1" s="120" t="s">
        <v>86</v>
      </c>
      <c r="M1" s="120" t="s">
        <v>87</v>
      </c>
      <c r="N1" s="120" t="s">
        <v>88</v>
      </c>
      <c r="O1" s="120" t="s">
        <v>89</v>
      </c>
      <c r="P1" s="120" t="s">
        <v>90</v>
      </c>
      <c r="Q1" s="120" t="s">
        <v>91</v>
      </c>
      <c r="R1" s="120" t="s">
        <v>92</v>
      </c>
      <c r="S1" s="120" t="s">
        <v>93</v>
      </c>
      <c r="T1" s="120" t="s">
        <v>94</v>
      </c>
      <c r="U1" s="120" t="s">
        <v>95</v>
      </c>
      <c r="V1" s="120" t="s">
        <v>96</v>
      </c>
      <c r="W1" s="120" t="s">
        <v>97</v>
      </c>
      <c r="X1" s="120" t="s">
        <v>98</v>
      </c>
      <c r="Y1" s="120" t="s">
        <v>99</v>
      </c>
      <c r="Z1" s="120" t="s">
        <v>100</v>
      </c>
      <c r="AA1" s="120" t="s">
        <v>101</v>
      </c>
      <c r="AB1" s="120" t="s">
        <v>102</v>
      </c>
      <c r="AC1" s="120" t="s">
        <v>103</v>
      </c>
      <c r="AD1" s="120" t="s">
        <v>104</v>
      </c>
      <c r="AE1" s="120"/>
      <c r="AF1" s="120"/>
      <c r="AG1" s="120"/>
      <c r="AH1" s="119" t="s">
        <v>57</v>
      </c>
      <c r="AI1" s="121" t="s">
        <v>44</v>
      </c>
      <c r="AJ1" s="36"/>
      <c r="AK1" s="36"/>
      <c r="AL1" s="36"/>
      <c r="AM1" s="36"/>
      <c r="AN1" s="36"/>
    </row>
    <row r="2">
      <c r="A2" s="122" t="s">
        <v>64</v>
      </c>
      <c r="B2" s="123" t="s">
        <v>65</v>
      </c>
      <c r="C2" s="124">
        <v>1.0</v>
      </c>
      <c r="D2" s="124">
        <v>1.0</v>
      </c>
      <c r="E2" s="125">
        <v>1.0</v>
      </c>
      <c r="F2" s="126"/>
      <c r="G2" s="34"/>
      <c r="H2" s="34"/>
      <c r="I2" s="34"/>
      <c r="J2" s="34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7"/>
      <c r="AB2" s="127"/>
      <c r="AC2" s="127"/>
      <c r="AD2" s="127"/>
      <c r="AE2" s="127"/>
      <c r="AF2" s="127"/>
      <c r="AG2" s="127"/>
      <c r="AH2" s="128">
        <f t="shared" ref="AH2:AH35" si="1">SUM(C2:AG2)</f>
        <v>3</v>
      </c>
      <c r="AI2" s="129">
        <f t="shared" ref="AI2:AI28" si="2">AH2*5</f>
        <v>15</v>
      </c>
      <c r="AJ2" s="34"/>
      <c r="AK2" s="87"/>
      <c r="AL2" s="87"/>
      <c r="AM2" s="34"/>
      <c r="AN2" s="34"/>
    </row>
    <row r="3">
      <c r="A3" s="122"/>
      <c r="B3" s="130" t="s">
        <v>66</v>
      </c>
      <c r="C3" s="124">
        <v>1.0</v>
      </c>
      <c r="D3" s="124">
        <v>1.0</v>
      </c>
      <c r="E3" s="124">
        <v>1.0</v>
      </c>
      <c r="F3" s="131"/>
      <c r="G3" s="132"/>
      <c r="H3" s="132"/>
      <c r="I3" s="132"/>
      <c r="J3" s="132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128">
        <f t="shared" si="1"/>
        <v>3</v>
      </c>
      <c r="AI3" s="129">
        <f t="shared" si="2"/>
        <v>15</v>
      </c>
      <c r="AJ3" s="34"/>
      <c r="AK3" s="87"/>
      <c r="AL3" s="87"/>
      <c r="AM3" s="34"/>
      <c r="AN3" s="34"/>
    </row>
    <row r="4">
      <c r="A4" s="133"/>
      <c r="B4" s="134" t="s">
        <v>67</v>
      </c>
      <c r="C4" s="124">
        <v>1.0</v>
      </c>
      <c r="D4" s="124">
        <v>1.0</v>
      </c>
      <c r="E4" s="124">
        <v>1.0</v>
      </c>
      <c r="F4" s="92"/>
      <c r="G4" s="92"/>
      <c r="H4" s="92"/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128">
        <f t="shared" si="1"/>
        <v>3</v>
      </c>
      <c r="AI4" s="129">
        <f t="shared" si="2"/>
        <v>15</v>
      </c>
      <c r="AJ4" s="34"/>
      <c r="AK4" s="87"/>
      <c r="AL4" s="87"/>
      <c r="AM4" s="34"/>
      <c r="AN4" s="34"/>
    </row>
    <row r="5">
      <c r="A5" s="136" t="s">
        <v>50</v>
      </c>
      <c r="B5" s="123" t="s">
        <v>65</v>
      </c>
      <c r="C5" s="82"/>
      <c r="D5" s="82"/>
      <c r="E5" s="137"/>
      <c r="F5" s="138">
        <v>1.0</v>
      </c>
      <c r="G5" s="139">
        <v>1.0</v>
      </c>
      <c r="H5" s="138">
        <v>1.0</v>
      </c>
      <c r="I5" s="139">
        <v>1.0</v>
      </c>
      <c r="J5" s="138">
        <v>1.0</v>
      </c>
      <c r="K5" s="139">
        <v>1.0</v>
      </c>
      <c r="L5" s="139">
        <v>1.0</v>
      </c>
      <c r="M5" s="138">
        <v>1.0</v>
      </c>
      <c r="N5" s="139">
        <v>1.0</v>
      </c>
      <c r="O5" s="139">
        <v>1.0</v>
      </c>
      <c r="P5" s="138">
        <v>1.0</v>
      </c>
      <c r="Q5" s="139">
        <v>1.0</v>
      </c>
      <c r="R5" s="138">
        <v>1.0</v>
      </c>
      <c r="S5" s="139">
        <v>1.0</v>
      </c>
      <c r="T5" s="138">
        <v>1.0</v>
      </c>
      <c r="U5" s="138">
        <v>1.0</v>
      </c>
      <c r="V5" s="139">
        <v>1.0</v>
      </c>
      <c r="W5" s="138">
        <v>1.0</v>
      </c>
      <c r="X5" s="140"/>
      <c r="Y5" s="140"/>
      <c r="Z5" s="82"/>
      <c r="AA5" s="82"/>
      <c r="AB5" s="82"/>
      <c r="AC5" s="82"/>
      <c r="AD5" s="82"/>
      <c r="AE5" s="82"/>
      <c r="AF5" s="82"/>
      <c r="AG5" s="82"/>
      <c r="AH5" s="128">
        <f t="shared" si="1"/>
        <v>18</v>
      </c>
      <c r="AI5" s="129">
        <f t="shared" si="2"/>
        <v>90</v>
      </c>
      <c r="AJ5" s="34"/>
      <c r="AK5" s="176">
        <v>182.0</v>
      </c>
      <c r="AL5" s="87">
        <f>AK5/4</f>
        <v>45.5</v>
      </c>
      <c r="AM5" s="34"/>
      <c r="AN5" s="34"/>
    </row>
    <row r="6">
      <c r="A6" s="141"/>
      <c r="B6" s="142" t="s">
        <v>66</v>
      </c>
      <c r="C6" s="143"/>
      <c r="D6" s="143"/>
      <c r="E6" s="144"/>
      <c r="F6" s="124">
        <v>1.0</v>
      </c>
      <c r="G6" s="125">
        <v>0.5</v>
      </c>
      <c r="H6" s="125">
        <v>0.5</v>
      </c>
      <c r="I6" s="145"/>
      <c r="J6" s="145"/>
      <c r="K6" s="125">
        <v>0.5</v>
      </c>
      <c r="L6" s="145"/>
      <c r="M6" s="145"/>
      <c r="N6" s="145"/>
      <c r="O6" s="125">
        <v>0.5</v>
      </c>
      <c r="P6" s="145"/>
      <c r="Q6" s="145"/>
      <c r="R6" s="145"/>
      <c r="S6" s="125">
        <v>0.5</v>
      </c>
      <c r="T6" s="145"/>
      <c r="U6" s="145"/>
      <c r="V6" s="145"/>
      <c r="W6" s="92"/>
      <c r="X6" s="145"/>
      <c r="Y6" s="145"/>
      <c r="AB6" s="34"/>
      <c r="AC6" s="34"/>
      <c r="AD6" s="34"/>
      <c r="AE6" s="34"/>
      <c r="AF6" s="34"/>
      <c r="AG6" s="34"/>
      <c r="AH6" s="128">
        <f t="shared" si="1"/>
        <v>3.5</v>
      </c>
      <c r="AI6" s="129">
        <f t="shared" si="2"/>
        <v>17.5</v>
      </c>
      <c r="AJ6" s="34"/>
      <c r="AK6" s="87"/>
      <c r="AL6" s="87"/>
      <c r="AM6" s="34"/>
      <c r="AN6" s="34"/>
    </row>
    <row r="7">
      <c r="A7" s="141"/>
      <c r="B7" s="142" t="s">
        <v>119</v>
      </c>
      <c r="C7" s="143"/>
      <c r="D7" s="143"/>
      <c r="E7" s="144"/>
      <c r="F7" s="124">
        <v>1.0</v>
      </c>
      <c r="G7" s="124">
        <v>1.0</v>
      </c>
      <c r="H7" s="124">
        <v>1.0</v>
      </c>
      <c r="I7" s="124">
        <v>1.0</v>
      </c>
      <c r="J7" s="124">
        <v>1.0</v>
      </c>
      <c r="K7" s="124">
        <v>1.0</v>
      </c>
      <c r="L7" s="124">
        <v>1.0</v>
      </c>
      <c r="M7" s="124">
        <v>1.0</v>
      </c>
      <c r="N7" s="124">
        <v>1.0</v>
      </c>
      <c r="O7" s="125">
        <v>0.5</v>
      </c>
      <c r="P7" s="125">
        <v>0.5</v>
      </c>
      <c r="Q7" s="125">
        <v>0.5</v>
      </c>
      <c r="R7" s="125">
        <v>0.5</v>
      </c>
      <c r="S7" s="125">
        <v>0.5</v>
      </c>
      <c r="T7" s="124">
        <v>0.5</v>
      </c>
      <c r="U7" s="124">
        <v>0.5</v>
      </c>
      <c r="V7" s="124">
        <v>0.5</v>
      </c>
      <c r="W7" s="125">
        <v>1.0</v>
      </c>
      <c r="X7" s="145"/>
      <c r="Y7" s="145"/>
      <c r="Z7" s="146"/>
      <c r="AA7" s="146"/>
      <c r="AB7" s="34"/>
      <c r="AC7" s="34"/>
      <c r="AD7" s="34"/>
      <c r="AE7" s="34"/>
      <c r="AF7" s="34"/>
      <c r="AG7" s="34"/>
      <c r="AH7" s="128">
        <f t="shared" si="1"/>
        <v>14</v>
      </c>
      <c r="AI7" s="129">
        <f t="shared" si="2"/>
        <v>70</v>
      </c>
      <c r="AJ7" s="34"/>
      <c r="AK7" s="87"/>
      <c r="AL7" s="87"/>
      <c r="AM7" s="34"/>
      <c r="AN7" s="34"/>
    </row>
    <row r="8">
      <c r="A8" s="147"/>
      <c r="B8" s="130" t="s">
        <v>105</v>
      </c>
      <c r="C8" s="82"/>
      <c r="D8" s="82"/>
      <c r="E8" s="124">
        <v>1.0</v>
      </c>
      <c r="F8" s="124">
        <v>1.0</v>
      </c>
      <c r="G8" s="124">
        <v>1.0</v>
      </c>
      <c r="H8" s="124">
        <v>1.0</v>
      </c>
      <c r="I8" s="124">
        <v>1.0</v>
      </c>
      <c r="J8" s="124">
        <v>1.0</v>
      </c>
      <c r="K8" s="124">
        <v>1.0</v>
      </c>
      <c r="L8" s="124">
        <v>1.0</v>
      </c>
      <c r="M8" s="124">
        <v>1.0</v>
      </c>
      <c r="N8" s="124">
        <v>1.0</v>
      </c>
      <c r="O8" s="124">
        <v>1.0</v>
      </c>
      <c r="P8" s="124">
        <v>1.0</v>
      </c>
      <c r="Q8" s="124">
        <v>1.0</v>
      </c>
      <c r="R8" s="124">
        <v>1.0</v>
      </c>
      <c r="S8" s="124">
        <v>1.0</v>
      </c>
      <c r="T8" s="124">
        <v>1.0</v>
      </c>
      <c r="U8" s="124">
        <v>1.0</v>
      </c>
      <c r="V8" s="124">
        <v>1.0</v>
      </c>
      <c r="W8" s="124">
        <v>1.0</v>
      </c>
      <c r="X8" s="145"/>
      <c r="Y8" s="145"/>
      <c r="Z8" s="34"/>
      <c r="AA8" s="34"/>
      <c r="AB8" s="34"/>
      <c r="AC8" s="34"/>
      <c r="AD8" s="34"/>
      <c r="AE8" s="34"/>
      <c r="AF8" s="34"/>
      <c r="AG8" s="34"/>
      <c r="AH8" s="128">
        <f t="shared" si="1"/>
        <v>19</v>
      </c>
      <c r="AI8" s="129">
        <f t="shared" si="2"/>
        <v>95</v>
      </c>
      <c r="AJ8" s="34"/>
      <c r="AK8" s="87"/>
      <c r="AL8" s="87"/>
      <c r="AM8" s="34"/>
      <c r="AN8" s="34"/>
    </row>
    <row r="9">
      <c r="A9" s="147"/>
      <c r="B9" s="130" t="s">
        <v>106</v>
      </c>
      <c r="C9" s="34"/>
      <c r="D9" s="34"/>
      <c r="E9" s="124">
        <v>1.0</v>
      </c>
      <c r="F9" s="124">
        <v>1.0</v>
      </c>
      <c r="G9" s="124">
        <v>1.0</v>
      </c>
      <c r="H9" s="124">
        <v>1.0</v>
      </c>
      <c r="I9" s="124">
        <v>1.0</v>
      </c>
      <c r="J9" s="124">
        <v>1.0</v>
      </c>
      <c r="K9" s="124">
        <v>1.0</v>
      </c>
      <c r="L9" s="124">
        <v>1.0</v>
      </c>
      <c r="M9" s="124">
        <v>1.0</v>
      </c>
      <c r="N9" s="124">
        <v>1.0</v>
      </c>
      <c r="O9" s="125">
        <v>0.5</v>
      </c>
      <c r="P9" s="125">
        <v>0.5</v>
      </c>
      <c r="Q9" s="125">
        <v>0.5</v>
      </c>
      <c r="R9" s="125">
        <v>0.5</v>
      </c>
      <c r="S9" s="125">
        <v>0.5</v>
      </c>
      <c r="T9" s="125">
        <v>0.5</v>
      </c>
      <c r="U9" s="125">
        <v>0.5</v>
      </c>
      <c r="V9" s="125">
        <v>0.5</v>
      </c>
      <c r="W9" s="125">
        <v>1.0</v>
      </c>
      <c r="X9" s="145"/>
      <c r="Y9" s="145"/>
      <c r="AB9" s="34"/>
      <c r="AC9" s="34"/>
      <c r="AD9" s="34"/>
      <c r="AE9" s="34"/>
      <c r="AF9" s="34"/>
      <c r="AG9" s="34"/>
      <c r="AH9" s="128">
        <f t="shared" si="1"/>
        <v>15</v>
      </c>
      <c r="AI9" s="129">
        <f t="shared" si="2"/>
        <v>75</v>
      </c>
      <c r="AJ9" s="34"/>
      <c r="AK9" s="87"/>
      <c r="AL9" s="87"/>
      <c r="AM9" s="34"/>
      <c r="AN9" s="34"/>
    </row>
    <row r="10">
      <c r="A10" s="147"/>
      <c r="B10" s="130" t="s">
        <v>107</v>
      </c>
      <c r="C10" s="34"/>
      <c r="D10" s="34"/>
      <c r="E10" s="124">
        <v>1.0</v>
      </c>
      <c r="F10" s="124">
        <v>1.0</v>
      </c>
      <c r="G10" s="124">
        <v>1.0</v>
      </c>
      <c r="H10" s="124">
        <v>1.0</v>
      </c>
      <c r="I10" s="124">
        <v>3.0</v>
      </c>
      <c r="J10" s="124">
        <v>3.0</v>
      </c>
      <c r="K10" s="124">
        <v>3.0</v>
      </c>
      <c r="L10" s="124">
        <v>3.0</v>
      </c>
      <c r="M10" s="124">
        <v>3.0</v>
      </c>
      <c r="N10" s="124">
        <v>3.0</v>
      </c>
      <c r="O10" s="125">
        <v>1.0</v>
      </c>
      <c r="P10" s="125">
        <v>1.0</v>
      </c>
      <c r="Q10" s="125">
        <v>1.0</v>
      </c>
      <c r="R10" s="125">
        <v>1.0</v>
      </c>
      <c r="S10" s="125">
        <v>1.0</v>
      </c>
      <c r="T10" s="125">
        <v>1.0</v>
      </c>
      <c r="U10" s="125">
        <v>1.0</v>
      </c>
      <c r="V10" s="125">
        <v>1.0</v>
      </c>
      <c r="W10" s="125">
        <v>1.0</v>
      </c>
      <c r="X10" s="145"/>
      <c r="Y10" s="145"/>
      <c r="Z10" s="34"/>
      <c r="AA10" s="34"/>
      <c r="AB10" s="34"/>
      <c r="AC10" s="34"/>
      <c r="AD10" s="34"/>
      <c r="AE10" s="34"/>
      <c r="AF10" s="34"/>
      <c r="AG10" s="34"/>
      <c r="AH10" s="128">
        <f t="shared" si="1"/>
        <v>31</v>
      </c>
      <c r="AI10" s="129">
        <f t="shared" si="2"/>
        <v>155</v>
      </c>
      <c r="AJ10" s="34"/>
      <c r="AK10" s="87"/>
      <c r="AL10" s="87"/>
      <c r="AM10" s="34"/>
      <c r="AN10" s="34"/>
    </row>
    <row r="11">
      <c r="A11" s="147"/>
      <c r="B11" s="130" t="s">
        <v>108</v>
      </c>
      <c r="C11" s="34"/>
      <c r="D11" s="34"/>
      <c r="E11" s="124">
        <v>1.0</v>
      </c>
      <c r="F11" s="124">
        <v>1.0</v>
      </c>
      <c r="G11" s="124">
        <v>1.0</v>
      </c>
      <c r="H11" s="124">
        <v>1.0</v>
      </c>
      <c r="I11" s="124">
        <v>1.0</v>
      </c>
      <c r="J11" s="124">
        <v>1.0</v>
      </c>
      <c r="K11" s="124">
        <v>1.0</v>
      </c>
      <c r="L11" s="124">
        <v>1.0</v>
      </c>
      <c r="M11" s="124">
        <v>1.0</v>
      </c>
      <c r="N11" s="124">
        <v>1.0</v>
      </c>
      <c r="O11" s="124">
        <v>1.0</v>
      </c>
      <c r="P11" s="125">
        <v>1.0</v>
      </c>
      <c r="Q11" s="125">
        <v>1.0</v>
      </c>
      <c r="R11" s="125">
        <v>1.0</v>
      </c>
      <c r="S11" s="125">
        <v>1.0</v>
      </c>
      <c r="T11" s="125">
        <v>1.0</v>
      </c>
      <c r="U11" s="125">
        <v>1.0</v>
      </c>
      <c r="V11" s="124">
        <v>1.0</v>
      </c>
      <c r="W11" s="124">
        <v>1.0</v>
      </c>
      <c r="X11" s="145"/>
      <c r="Y11" s="145"/>
      <c r="AB11" s="34"/>
      <c r="AC11" s="34"/>
      <c r="AD11" s="34"/>
      <c r="AE11" s="34"/>
      <c r="AF11" s="34"/>
      <c r="AG11" s="34"/>
      <c r="AH11" s="128">
        <f t="shared" si="1"/>
        <v>19</v>
      </c>
      <c r="AI11" s="129">
        <f t="shared" si="2"/>
        <v>95</v>
      </c>
      <c r="AJ11" s="34"/>
      <c r="AK11" s="87"/>
      <c r="AL11" s="87"/>
      <c r="AM11" s="34"/>
      <c r="AN11" s="34"/>
    </row>
    <row r="12">
      <c r="A12" s="147"/>
      <c r="B12" s="148" t="s">
        <v>109</v>
      </c>
      <c r="C12" s="34"/>
      <c r="D12" s="34"/>
      <c r="E12" s="124">
        <v>1.0</v>
      </c>
      <c r="F12" s="124">
        <v>1.0</v>
      </c>
      <c r="G12" s="124">
        <v>1.0</v>
      </c>
      <c r="H12" s="124">
        <v>1.0</v>
      </c>
      <c r="I12" s="124">
        <v>1.0</v>
      </c>
      <c r="J12" s="124">
        <v>1.0</v>
      </c>
      <c r="K12" s="124">
        <v>1.0</v>
      </c>
      <c r="L12" s="124">
        <v>1.0</v>
      </c>
      <c r="M12" s="124">
        <v>1.0</v>
      </c>
      <c r="N12" s="124">
        <v>1.0</v>
      </c>
      <c r="O12" s="124">
        <v>1.0</v>
      </c>
      <c r="P12" s="124">
        <v>1.0</v>
      </c>
      <c r="Q12" s="124">
        <v>1.0</v>
      </c>
      <c r="R12" s="124">
        <v>1.0</v>
      </c>
      <c r="S12" s="124">
        <v>1.0</v>
      </c>
      <c r="T12" s="124">
        <v>1.0</v>
      </c>
      <c r="U12" s="124">
        <v>1.0</v>
      </c>
      <c r="V12" s="124">
        <v>1.0</v>
      </c>
      <c r="W12" s="124">
        <v>1.0</v>
      </c>
      <c r="X12" s="145"/>
      <c r="Y12" s="145"/>
      <c r="Z12" s="34"/>
      <c r="AA12" s="34"/>
      <c r="AB12" s="34"/>
      <c r="AC12" s="34"/>
      <c r="AD12" s="34"/>
      <c r="AE12" s="34"/>
      <c r="AF12" s="34"/>
      <c r="AG12" s="34"/>
      <c r="AH12" s="128">
        <f t="shared" si="1"/>
        <v>19</v>
      </c>
      <c r="AI12" s="129">
        <f t="shared" si="2"/>
        <v>95</v>
      </c>
      <c r="AJ12" s="34"/>
      <c r="AK12" s="87"/>
      <c r="AL12" s="87"/>
      <c r="AM12" s="34"/>
      <c r="AN12" s="34"/>
    </row>
    <row r="13">
      <c r="A13" s="147"/>
      <c r="B13" s="148" t="s">
        <v>110</v>
      </c>
      <c r="C13" s="34"/>
      <c r="D13" s="34"/>
      <c r="E13" s="124">
        <v>1.0</v>
      </c>
      <c r="F13" s="124">
        <v>1.0</v>
      </c>
      <c r="G13" s="124">
        <v>1.0</v>
      </c>
      <c r="H13" s="124">
        <v>1.0</v>
      </c>
      <c r="I13" s="124">
        <v>1.0</v>
      </c>
      <c r="J13" s="125">
        <v>0.5</v>
      </c>
      <c r="K13" s="124">
        <v>1.0</v>
      </c>
      <c r="L13" s="125">
        <v>0.5</v>
      </c>
      <c r="M13" s="125">
        <v>0.5</v>
      </c>
      <c r="N13" s="125">
        <v>0.5</v>
      </c>
      <c r="O13" s="125">
        <v>0.5</v>
      </c>
      <c r="P13" s="125">
        <v>0.5</v>
      </c>
      <c r="Q13" s="125">
        <v>0.5</v>
      </c>
      <c r="R13" s="125">
        <v>0.5</v>
      </c>
      <c r="S13" s="125">
        <v>0.5</v>
      </c>
      <c r="T13" s="125">
        <v>0.5</v>
      </c>
      <c r="U13" s="125">
        <v>0.5</v>
      </c>
      <c r="V13" s="125">
        <v>0.5</v>
      </c>
      <c r="W13" s="124">
        <v>1.0</v>
      </c>
      <c r="X13" s="145"/>
      <c r="Y13" s="145"/>
      <c r="Z13" s="146"/>
      <c r="AA13" s="146"/>
      <c r="AB13" s="34"/>
      <c r="AC13" s="34"/>
      <c r="AD13" s="34"/>
      <c r="AE13" s="34"/>
      <c r="AF13" s="34"/>
      <c r="AG13" s="34"/>
      <c r="AH13" s="128">
        <f t="shared" si="1"/>
        <v>13</v>
      </c>
      <c r="AI13" s="129">
        <f t="shared" si="2"/>
        <v>65</v>
      </c>
      <c r="AJ13" s="34"/>
      <c r="AK13" s="87"/>
      <c r="AL13" s="87"/>
      <c r="AM13" s="34"/>
      <c r="AN13" s="34"/>
    </row>
    <row r="14">
      <c r="A14" s="147"/>
      <c r="B14" s="130" t="s">
        <v>111</v>
      </c>
      <c r="C14" s="149"/>
      <c r="D14" s="149"/>
      <c r="E14" s="150"/>
      <c r="F14" s="150"/>
      <c r="G14" s="151">
        <v>2.0</v>
      </c>
      <c r="H14" s="151">
        <v>2.0</v>
      </c>
      <c r="I14" s="82"/>
      <c r="J14" s="140"/>
      <c r="K14" s="151">
        <v>2.0</v>
      </c>
      <c r="L14" s="151">
        <v>2.0</v>
      </c>
      <c r="M14" s="82"/>
      <c r="N14" s="140"/>
      <c r="O14" s="151">
        <v>2.0</v>
      </c>
      <c r="P14" s="151">
        <v>2.0</v>
      </c>
      <c r="Q14" s="82"/>
      <c r="R14" s="140"/>
      <c r="S14" s="151">
        <v>2.0</v>
      </c>
      <c r="T14" s="151">
        <v>2.0</v>
      </c>
      <c r="U14" s="82"/>
      <c r="V14" s="140"/>
      <c r="W14" s="151">
        <v>2.0</v>
      </c>
      <c r="X14" s="152"/>
      <c r="Y14" s="152"/>
      <c r="Z14" s="34"/>
      <c r="AA14" s="34"/>
      <c r="AB14" s="34"/>
      <c r="AC14" s="34"/>
      <c r="AD14" s="34"/>
      <c r="AE14" s="34"/>
      <c r="AF14" s="34"/>
      <c r="AG14" s="34"/>
      <c r="AH14" s="128">
        <f t="shared" si="1"/>
        <v>18</v>
      </c>
      <c r="AI14" s="129">
        <f t="shared" si="2"/>
        <v>90</v>
      </c>
      <c r="AJ14" s="34"/>
      <c r="AK14" s="87"/>
      <c r="AL14" s="87"/>
      <c r="AM14" s="34"/>
      <c r="AN14" s="34"/>
    </row>
    <row r="15">
      <c r="A15" s="133"/>
      <c r="B15" s="153" t="s">
        <v>112</v>
      </c>
      <c r="C15" s="92"/>
      <c r="D15" s="124">
        <v>1.0</v>
      </c>
      <c r="E15" s="124">
        <v>1.0</v>
      </c>
      <c r="F15" s="124">
        <v>1.0</v>
      </c>
      <c r="G15" s="124">
        <v>1.0</v>
      </c>
      <c r="H15" s="124">
        <v>1.0</v>
      </c>
      <c r="I15" s="124">
        <v>1.0</v>
      </c>
      <c r="J15" s="124">
        <v>1.0</v>
      </c>
      <c r="K15" s="124">
        <v>1.0</v>
      </c>
      <c r="L15" s="154"/>
      <c r="M15" s="154"/>
      <c r="N15" s="154"/>
      <c r="O15" s="154"/>
      <c r="P15" s="124">
        <v>1.0</v>
      </c>
      <c r="Q15" s="124">
        <v>1.0</v>
      </c>
      <c r="R15" s="154"/>
      <c r="S15" s="154"/>
      <c r="T15" s="155"/>
      <c r="U15" s="124">
        <v>1.0</v>
      </c>
      <c r="V15" s="124">
        <v>1.0</v>
      </c>
      <c r="X15" s="156"/>
      <c r="Y15" s="156"/>
      <c r="Z15" s="92"/>
      <c r="AA15" s="92"/>
      <c r="AB15" s="92"/>
      <c r="AC15" s="92"/>
      <c r="AD15" s="92"/>
      <c r="AE15" s="92"/>
      <c r="AF15" s="92"/>
      <c r="AG15" s="92"/>
      <c r="AH15" s="128">
        <f t="shared" si="1"/>
        <v>12</v>
      </c>
      <c r="AI15" s="129">
        <f t="shared" si="2"/>
        <v>60</v>
      </c>
      <c r="AJ15" s="34"/>
      <c r="AK15" s="87"/>
      <c r="AL15" s="87"/>
      <c r="AM15" s="34"/>
      <c r="AN15" s="34"/>
    </row>
    <row r="16">
      <c r="A16" s="136" t="s">
        <v>68</v>
      </c>
      <c r="B16" s="123" t="s">
        <v>65</v>
      </c>
      <c r="C16" s="82"/>
      <c r="D16" s="82"/>
      <c r="E16" s="82"/>
      <c r="F16" s="82"/>
      <c r="G16" s="82"/>
      <c r="H16" s="82"/>
      <c r="I16" s="82"/>
      <c r="J16" s="140"/>
      <c r="K16" s="127"/>
      <c r="L16" s="82"/>
      <c r="M16" s="82"/>
      <c r="N16" s="82"/>
      <c r="O16" s="82"/>
      <c r="P16" s="82"/>
      <c r="Q16" s="126"/>
      <c r="R16" s="126"/>
      <c r="S16" s="82"/>
      <c r="T16" s="82"/>
      <c r="U16" s="157"/>
      <c r="V16" s="158"/>
      <c r="X16" s="159">
        <v>1.0</v>
      </c>
      <c r="Y16" s="126"/>
      <c r="AA16" s="82"/>
      <c r="AB16" s="82"/>
      <c r="AC16" s="82"/>
      <c r="AD16" s="82"/>
      <c r="AE16" s="82"/>
      <c r="AF16" s="82"/>
      <c r="AG16" s="82"/>
      <c r="AH16" s="128">
        <f t="shared" si="1"/>
        <v>1</v>
      </c>
      <c r="AI16" s="129">
        <f t="shared" si="2"/>
        <v>5</v>
      </c>
      <c r="AJ16" s="34"/>
      <c r="AK16" s="87"/>
      <c r="AL16" s="87"/>
      <c r="AM16" s="34"/>
      <c r="AN16" s="34"/>
    </row>
    <row r="17">
      <c r="A17" s="141"/>
      <c r="B17" s="160" t="s">
        <v>66</v>
      </c>
      <c r="C17" s="34"/>
      <c r="D17" s="34"/>
      <c r="E17" s="34"/>
      <c r="F17" s="34"/>
      <c r="G17" s="34"/>
      <c r="H17" s="34"/>
      <c r="I17" s="34"/>
      <c r="J17" s="143"/>
      <c r="K17" s="161"/>
      <c r="L17" s="34"/>
      <c r="M17" s="34"/>
      <c r="N17" s="34"/>
      <c r="O17" s="34"/>
      <c r="P17" s="34"/>
      <c r="Q17" s="132"/>
      <c r="R17" s="132"/>
      <c r="S17" s="34"/>
      <c r="T17" s="34"/>
      <c r="U17" s="157"/>
      <c r="V17" s="157"/>
      <c r="X17" s="159">
        <v>1.0</v>
      </c>
      <c r="Y17" s="132"/>
      <c r="AA17" s="34"/>
      <c r="AB17" s="34"/>
      <c r="AC17" s="34"/>
      <c r="AD17" s="34"/>
      <c r="AE17" s="34"/>
      <c r="AF17" s="34"/>
      <c r="AG17" s="34"/>
      <c r="AH17" s="128">
        <f t="shared" si="1"/>
        <v>1</v>
      </c>
      <c r="AI17" s="129">
        <f t="shared" si="2"/>
        <v>5</v>
      </c>
      <c r="AJ17" s="34"/>
      <c r="AK17" s="87"/>
      <c r="AL17" s="87"/>
      <c r="AM17" s="34"/>
      <c r="AN17" s="34"/>
    </row>
    <row r="18">
      <c r="A18" s="147"/>
      <c r="B18" s="130" t="s">
        <v>106</v>
      </c>
      <c r="C18" s="34"/>
      <c r="D18" s="34"/>
      <c r="E18" s="34"/>
      <c r="F18" s="34"/>
      <c r="G18" s="34"/>
      <c r="H18" s="34"/>
      <c r="I18" s="34"/>
      <c r="J18" s="143"/>
      <c r="K18" s="162"/>
      <c r="L18" s="34"/>
      <c r="M18" s="34"/>
      <c r="N18" s="34"/>
      <c r="O18" s="34"/>
      <c r="P18" s="34"/>
      <c r="Q18" s="132"/>
      <c r="R18" s="132"/>
      <c r="S18" s="34"/>
      <c r="T18" s="34"/>
      <c r="U18" s="157"/>
      <c r="V18" s="157"/>
      <c r="X18" s="159">
        <v>1.0</v>
      </c>
      <c r="Y18" s="132"/>
      <c r="AA18" s="34"/>
      <c r="AB18" s="34"/>
      <c r="AC18" s="34"/>
      <c r="AD18" s="34"/>
      <c r="AE18" s="34"/>
      <c r="AF18" s="34"/>
      <c r="AG18" s="34"/>
      <c r="AH18" s="128">
        <f t="shared" si="1"/>
        <v>1</v>
      </c>
      <c r="AI18" s="129">
        <f t="shared" si="2"/>
        <v>5</v>
      </c>
      <c r="AJ18" s="34"/>
      <c r="AK18" s="87"/>
      <c r="AL18" s="87"/>
      <c r="AM18" s="34"/>
      <c r="AN18" s="34"/>
    </row>
    <row r="19">
      <c r="A19" s="147"/>
      <c r="B19" s="130" t="s">
        <v>108</v>
      </c>
      <c r="C19" s="34"/>
      <c r="D19" s="34"/>
      <c r="E19" s="34"/>
      <c r="F19" s="34"/>
      <c r="G19" s="34"/>
      <c r="H19" s="34"/>
      <c r="I19" s="34"/>
      <c r="J19" s="143"/>
      <c r="K19" s="162"/>
      <c r="L19" s="34"/>
      <c r="M19" s="34"/>
      <c r="N19" s="34"/>
      <c r="O19" s="34"/>
      <c r="P19" s="34"/>
      <c r="Q19" s="132"/>
      <c r="R19" s="132"/>
      <c r="S19" s="34"/>
      <c r="T19" s="34"/>
      <c r="U19" s="157"/>
      <c r="V19" s="157"/>
      <c r="X19" s="159">
        <v>1.0</v>
      </c>
      <c r="Y19" s="132"/>
      <c r="AA19" s="34"/>
      <c r="AB19" s="34"/>
      <c r="AC19" s="34"/>
      <c r="AD19" s="34"/>
      <c r="AE19" s="34"/>
      <c r="AF19" s="34"/>
      <c r="AG19" s="34"/>
      <c r="AH19" s="128">
        <f t="shared" si="1"/>
        <v>1</v>
      </c>
      <c r="AI19" s="129">
        <f t="shared" si="2"/>
        <v>5</v>
      </c>
      <c r="AJ19" s="34"/>
      <c r="AK19" s="87"/>
      <c r="AL19" s="87"/>
      <c r="AM19" s="34"/>
      <c r="AN19" s="34"/>
    </row>
    <row r="20">
      <c r="A20" s="163"/>
      <c r="B20" s="164" t="s">
        <v>110</v>
      </c>
      <c r="C20" s="34"/>
      <c r="D20" s="34"/>
      <c r="E20" s="34"/>
      <c r="F20" s="34"/>
      <c r="G20" s="34"/>
      <c r="H20" s="34"/>
      <c r="I20" s="34"/>
      <c r="J20" s="143"/>
      <c r="K20" s="162"/>
      <c r="L20" s="34"/>
      <c r="M20" s="34"/>
      <c r="N20" s="34"/>
      <c r="O20" s="34"/>
      <c r="P20" s="34"/>
      <c r="Q20" s="132"/>
      <c r="R20" s="132"/>
      <c r="S20" s="34"/>
      <c r="T20" s="34"/>
      <c r="U20" s="157"/>
      <c r="V20" s="157"/>
      <c r="X20" s="159">
        <v>1.0</v>
      </c>
      <c r="Y20" s="132"/>
      <c r="AA20" s="34"/>
      <c r="AB20" s="34"/>
      <c r="AC20" s="34"/>
      <c r="AD20" s="34"/>
      <c r="AE20" s="34"/>
      <c r="AF20" s="34"/>
      <c r="AG20" s="34"/>
      <c r="AH20" s="128">
        <f t="shared" si="1"/>
        <v>1</v>
      </c>
      <c r="AI20" s="129">
        <f t="shared" si="2"/>
        <v>5</v>
      </c>
      <c r="AJ20" s="34"/>
      <c r="AK20" s="87"/>
      <c r="AL20" s="87"/>
      <c r="AM20" s="34"/>
      <c r="AN20" s="34"/>
    </row>
    <row r="21">
      <c r="A21" s="133"/>
      <c r="B21" s="153" t="s">
        <v>111</v>
      </c>
      <c r="C21" s="92"/>
      <c r="D21" s="92"/>
      <c r="E21" s="92"/>
      <c r="F21" s="92"/>
      <c r="G21" s="92"/>
      <c r="H21" s="92"/>
      <c r="I21" s="92"/>
      <c r="J21" s="156"/>
      <c r="K21" s="162"/>
      <c r="L21" s="92"/>
      <c r="M21" s="92"/>
      <c r="N21" s="92"/>
      <c r="O21" s="92"/>
      <c r="P21" s="92"/>
      <c r="Q21" s="165"/>
      <c r="R21" s="165"/>
      <c r="S21" s="92"/>
      <c r="T21" s="92"/>
      <c r="U21" s="157"/>
      <c r="V21" s="157"/>
      <c r="X21" s="166">
        <v>2.0</v>
      </c>
      <c r="Y21" s="165"/>
      <c r="AA21" s="92"/>
      <c r="AB21" s="92"/>
      <c r="AC21" s="92"/>
      <c r="AD21" s="92"/>
      <c r="AE21" s="92"/>
      <c r="AF21" s="92"/>
      <c r="AG21" s="92"/>
      <c r="AH21" s="128">
        <f t="shared" si="1"/>
        <v>2</v>
      </c>
      <c r="AI21" s="129">
        <f t="shared" si="2"/>
        <v>10</v>
      </c>
      <c r="AJ21" s="34"/>
      <c r="AK21" s="87"/>
      <c r="AL21" s="87"/>
      <c r="AM21" s="34"/>
      <c r="AN21" s="34"/>
    </row>
    <row r="22">
      <c r="A22" s="136" t="s">
        <v>113</v>
      </c>
      <c r="B22" s="123" t="s">
        <v>65</v>
      </c>
      <c r="C22" s="82"/>
      <c r="D22" s="82"/>
      <c r="E22" s="82"/>
      <c r="F22" s="82"/>
      <c r="G22" s="167"/>
      <c r="H22" s="82"/>
      <c r="I22" s="82"/>
      <c r="J22" s="82"/>
      <c r="K22" s="82"/>
      <c r="L22" s="127"/>
      <c r="M22" s="168"/>
      <c r="N22" s="82"/>
      <c r="O22" s="82"/>
      <c r="P22" s="82"/>
      <c r="Q22" s="82"/>
      <c r="R22" s="82"/>
      <c r="S22" s="126"/>
      <c r="T22" s="126"/>
      <c r="U22" s="126"/>
      <c r="V22" s="126"/>
      <c r="W22" s="157"/>
      <c r="Y22" s="169">
        <v>1.0</v>
      </c>
      <c r="Z22" s="169">
        <v>1.0</v>
      </c>
      <c r="AC22" s="82"/>
      <c r="AD22" s="82"/>
      <c r="AE22" s="82"/>
      <c r="AF22" s="82"/>
      <c r="AG22" s="82"/>
      <c r="AH22" s="128">
        <f t="shared" si="1"/>
        <v>2</v>
      </c>
      <c r="AI22" s="129">
        <f t="shared" si="2"/>
        <v>10</v>
      </c>
      <c r="AJ22" s="34"/>
      <c r="AK22" s="87"/>
      <c r="AL22" s="87"/>
      <c r="AM22" s="34"/>
      <c r="AN22" s="34"/>
    </row>
    <row r="23">
      <c r="A23" s="122"/>
      <c r="B23" s="148" t="s">
        <v>66</v>
      </c>
      <c r="C23" s="34"/>
      <c r="D23" s="34"/>
      <c r="E23" s="34"/>
      <c r="F23" s="34"/>
      <c r="G23" s="36"/>
      <c r="H23" s="34"/>
      <c r="I23" s="34"/>
      <c r="J23" s="34"/>
      <c r="K23" s="34"/>
      <c r="L23" s="149"/>
      <c r="M23" s="149"/>
      <c r="N23" s="34"/>
      <c r="O23" s="34"/>
      <c r="P23" s="34"/>
      <c r="Q23" s="34"/>
      <c r="R23" s="34"/>
      <c r="S23" s="132"/>
      <c r="T23" s="132"/>
      <c r="U23" s="132"/>
      <c r="V23" s="132"/>
      <c r="W23" s="34"/>
      <c r="Y23" s="159">
        <v>1.0</v>
      </c>
      <c r="Z23" s="159">
        <v>1.0</v>
      </c>
      <c r="AC23" s="34"/>
      <c r="AD23" s="34"/>
      <c r="AE23" s="34"/>
      <c r="AF23" s="34"/>
      <c r="AG23" s="34"/>
      <c r="AH23" s="128">
        <f t="shared" si="1"/>
        <v>2</v>
      </c>
      <c r="AI23" s="129">
        <f t="shared" si="2"/>
        <v>10</v>
      </c>
      <c r="AJ23" s="34"/>
      <c r="AK23" s="87"/>
      <c r="AL23" s="87"/>
      <c r="AM23" s="34"/>
      <c r="AN23" s="34"/>
    </row>
    <row r="24">
      <c r="A24" s="122"/>
      <c r="B24" s="130" t="s">
        <v>106</v>
      </c>
      <c r="C24" s="34"/>
      <c r="D24" s="34"/>
      <c r="E24" s="34"/>
      <c r="F24" s="34"/>
      <c r="G24" s="36"/>
      <c r="H24" s="34"/>
      <c r="I24" s="34"/>
      <c r="J24" s="34"/>
      <c r="K24" s="34"/>
      <c r="L24" s="162"/>
      <c r="M24" s="73"/>
      <c r="N24" s="34"/>
      <c r="O24" s="34"/>
      <c r="P24" s="34"/>
      <c r="Q24" s="34"/>
      <c r="R24" s="34"/>
      <c r="S24" s="132"/>
      <c r="T24" s="132"/>
      <c r="U24" s="132"/>
      <c r="V24" s="132"/>
      <c r="W24" s="157"/>
      <c r="Y24" s="159">
        <v>1.0</v>
      </c>
      <c r="Z24" s="159">
        <v>1.0</v>
      </c>
      <c r="AC24" s="34"/>
      <c r="AD24" s="34"/>
      <c r="AE24" s="34"/>
      <c r="AF24" s="34"/>
      <c r="AG24" s="34"/>
      <c r="AH24" s="128">
        <f t="shared" si="1"/>
        <v>2</v>
      </c>
      <c r="AI24" s="129">
        <f t="shared" si="2"/>
        <v>10</v>
      </c>
      <c r="AJ24" s="34"/>
      <c r="AK24" s="87"/>
      <c r="AL24" s="87"/>
      <c r="AM24" s="34"/>
      <c r="AN24" s="34"/>
    </row>
    <row r="25">
      <c r="A25" s="147"/>
      <c r="B25" s="130" t="s">
        <v>108</v>
      </c>
      <c r="C25" s="34"/>
      <c r="D25" s="34"/>
      <c r="E25" s="34"/>
      <c r="F25" s="34"/>
      <c r="G25" s="34"/>
      <c r="H25" s="34"/>
      <c r="I25" s="34"/>
      <c r="J25" s="34"/>
      <c r="K25" s="170"/>
      <c r="L25" s="73"/>
      <c r="M25" s="73"/>
      <c r="N25" s="34"/>
      <c r="O25" s="34"/>
      <c r="P25" s="34"/>
      <c r="Q25" s="34"/>
      <c r="R25" s="34"/>
      <c r="S25" s="132"/>
      <c r="T25" s="132"/>
      <c r="U25" s="132"/>
      <c r="V25" s="132"/>
      <c r="W25" s="157"/>
      <c r="Y25" s="159">
        <v>1.0</v>
      </c>
      <c r="Z25" s="159">
        <v>1.0</v>
      </c>
      <c r="AC25" s="132"/>
      <c r="AD25" s="132"/>
      <c r="AE25" s="132"/>
      <c r="AF25" s="34"/>
      <c r="AG25" s="34"/>
      <c r="AH25" s="128">
        <f t="shared" si="1"/>
        <v>2</v>
      </c>
      <c r="AI25" s="129">
        <f t="shared" si="2"/>
        <v>10</v>
      </c>
      <c r="AJ25" s="34"/>
      <c r="AK25" s="87"/>
      <c r="AL25" s="87"/>
      <c r="AM25" s="34"/>
      <c r="AN25" s="34"/>
    </row>
    <row r="26">
      <c r="A26" s="147"/>
      <c r="B26" s="148" t="s">
        <v>110</v>
      </c>
      <c r="C26" s="34"/>
      <c r="D26" s="34"/>
      <c r="E26" s="34"/>
      <c r="F26" s="34"/>
      <c r="G26" s="34"/>
      <c r="H26" s="34"/>
      <c r="I26" s="34"/>
      <c r="J26" s="34"/>
      <c r="K26" s="170"/>
      <c r="L26" s="73"/>
      <c r="M26" s="73"/>
      <c r="N26" s="34"/>
      <c r="O26" s="34"/>
      <c r="P26" s="34"/>
      <c r="Q26" s="34"/>
      <c r="R26" s="34"/>
      <c r="S26" s="132"/>
      <c r="T26" s="132"/>
      <c r="U26" s="132"/>
      <c r="V26" s="132"/>
      <c r="W26" s="157"/>
      <c r="Y26" s="159">
        <v>1.0</v>
      </c>
      <c r="Z26" s="159">
        <v>1.0</v>
      </c>
      <c r="AC26" s="132"/>
      <c r="AD26" s="132"/>
      <c r="AE26" s="132"/>
      <c r="AF26" s="34"/>
      <c r="AG26" s="34"/>
      <c r="AH26" s="128">
        <f t="shared" si="1"/>
        <v>2</v>
      </c>
      <c r="AI26" s="129">
        <f t="shared" si="2"/>
        <v>10</v>
      </c>
      <c r="AJ26" s="34"/>
      <c r="AK26" s="87"/>
      <c r="AL26" s="87"/>
      <c r="AM26" s="34"/>
      <c r="AN26" s="34"/>
    </row>
    <row r="27">
      <c r="A27" s="133"/>
      <c r="B27" s="153" t="s">
        <v>111</v>
      </c>
      <c r="C27" s="92"/>
      <c r="D27" s="92"/>
      <c r="E27" s="92"/>
      <c r="F27" s="92"/>
      <c r="G27" s="92"/>
      <c r="H27" s="92"/>
      <c r="I27" s="92"/>
      <c r="J27" s="92"/>
      <c r="K27" s="170"/>
      <c r="L27" s="135"/>
      <c r="M27" s="135"/>
      <c r="N27" s="92"/>
      <c r="O27" s="92"/>
      <c r="P27" s="92"/>
      <c r="Q27" s="92"/>
      <c r="R27" s="92"/>
      <c r="S27" s="165"/>
      <c r="T27" s="165"/>
      <c r="U27" s="165"/>
      <c r="V27" s="165"/>
      <c r="W27" s="157"/>
      <c r="Y27" s="166">
        <v>2.0</v>
      </c>
      <c r="Z27" s="166">
        <v>2.0</v>
      </c>
      <c r="AC27" s="165"/>
      <c r="AD27" s="165"/>
      <c r="AE27" s="165"/>
      <c r="AF27" s="92"/>
      <c r="AG27" s="92"/>
      <c r="AH27" s="128">
        <f t="shared" si="1"/>
        <v>4</v>
      </c>
      <c r="AI27" s="129">
        <f t="shared" si="2"/>
        <v>20</v>
      </c>
      <c r="AJ27" s="34"/>
      <c r="AK27" s="87"/>
      <c r="AL27" s="87"/>
      <c r="AM27" s="34"/>
      <c r="AN27" s="34"/>
    </row>
    <row r="28" ht="15.75" customHeight="1">
      <c r="A28" s="136" t="s">
        <v>70</v>
      </c>
      <c r="B28" s="123" t="s">
        <v>65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126"/>
      <c r="X28" s="126"/>
      <c r="Y28" s="157"/>
      <c r="AA28" s="124">
        <v>1.0</v>
      </c>
      <c r="AB28" s="124">
        <v>1.0</v>
      </c>
      <c r="AD28" s="82"/>
      <c r="AE28" s="82"/>
      <c r="AF28" s="82"/>
      <c r="AG28" s="82"/>
      <c r="AH28" s="128">
        <f t="shared" si="1"/>
        <v>2</v>
      </c>
      <c r="AI28" s="129">
        <f t="shared" si="2"/>
        <v>10</v>
      </c>
      <c r="AJ28" s="34"/>
      <c r="AK28" s="87"/>
      <c r="AL28" s="87"/>
      <c r="AM28" s="34"/>
      <c r="AN28" s="34"/>
    </row>
    <row r="29" ht="15.75" customHeight="1">
      <c r="A29" s="141"/>
      <c r="B29" s="148" t="s">
        <v>114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132"/>
      <c r="X29" s="132"/>
      <c r="Y29" s="157"/>
      <c r="AA29" s="124">
        <v>1.0</v>
      </c>
      <c r="AB29" s="124">
        <v>1.0</v>
      </c>
      <c r="AD29" s="34"/>
      <c r="AE29" s="34"/>
      <c r="AF29" s="132"/>
      <c r="AG29" s="132"/>
      <c r="AH29" s="128">
        <f t="shared" si="1"/>
        <v>2</v>
      </c>
      <c r="AI29" s="129"/>
      <c r="AJ29" s="34"/>
      <c r="AK29" s="34"/>
      <c r="AL29" s="34"/>
      <c r="AM29" s="34"/>
      <c r="AN29" s="34"/>
    </row>
    <row r="30" ht="15.75" customHeight="1">
      <c r="A30" s="147"/>
      <c r="B30" s="130" t="s">
        <v>108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132"/>
      <c r="X30" s="132"/>
      <c r="Y30" s="157"/>
      <c r="AA30" s="124">
        <v>1.0</v>
      </c>
      <c r="AB30" s="124">
        <v>1.0</v>
      </c>
      <c r="AD30" s="34"/>
      <c r="AE30" s="34"/>
      <c r="AF30" s="132"/>
      <c r="AG30" s="132"/>
      <c r="AH30" s="128">
        <f t="shared" si="1"/>
        <v>2</v>
      </c>
      <c r="AI30" s="129">
        <f>AH30*5</f>
        <v>10</v>
      </c>
      <c r="AJ30" s="34"/>
      <c r="AK30" s="34"/>
      <c r="AL30" s="34"/>
      <c r="AM30" s="34"/>
      <c r="AN30" s="34"/>
    </row>
    <row r="31" ht="15.75" customHeight="1">
      <c r="A31" s="163"/>
      <c r="B31" s="164" t="s">
        <v>110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132"/>
      <c r="X31" s="132"/>
      <c r="Y31" s="157"/>
      <c r="AA31" s="124">
        <v>1.0</v>
      </c>
      <c r="AB31" s="124">
        <v>1.0</v>
      </c>
      <c r="AD31" s="34"/>
      <c r="AE31" s="34"/>
      <c r="AF31" s="132"/>
      <c r="AG31" s="132"/>
      <c r="AH31" s="128">
        <f t="shared" si="1"/>
        <v>2</v>
      </c>
      <c r="AI31" s="129"/>
      <c r="AJ31" s="34"/>
      <c r="AK31" s="34"/>
      <c r="AL31" s="34"/>
      <c r="AM31" s="34"/>
      <c r="AN31" s="34"/>
    </row>
    <row r="32" ht="15.75" customHeight="1">
      <c r="A32" s="136" t="s">
        <v>115</v>
      </c>
      <c r="B32" s="123" t="s">
        <v>65</v>
      </c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126"/>
      <c r="AG32" s="126"/>
      <c r="AH32" s="128">
        <f t="shared" si="1"/>
        <v>0</v>
      </c>
      <c r="AI32" s="129">
        <f t="shared" ref="AI32:AI36" si="3">AH32*5</f>
        <v>0</v>
      </c>
      <c r="AJ32" s="34"/>
      <c r="AK32" s="34"/>
      <c r="AL32" s="34"/>
      <c r="AM32" s="34"/>
      <c r="AN32" s="34"/>
    </row>
    <row r="33" ht="15.75" customHeight="1">
      <c r="A33" s="147"/>
      <c r="B33" s="130" t="s">
        <v>116</v>
      </c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132"/>
      <c r="AB33" s="132"/>
      <c r="AC33" s="132"/>
      <c r="AD33" s="132"/>
      <c r="AE33" s="34"/>
      <c r="AF33" s="132"/>
      <c r="AG33" s="132"/>
      <c r="AH33" s="128">
        <f t="shared" si="1"/>
        <v>0</v>
      </c>
      <c r="AI33" s="129">
        <f t="shared" si="3"/>
        <v>0</v>
      </c>
      <c r="AJ33" s="34"/>
      <c r="AK33" s="34"/>
      <c r="AL33" s="34"/>
      <c r="AM33" s="34"/>
      <c r="AN33" s="34"/>
    </row>
    <row r="34" ht="15.75" customHeight="1">
      <c r="A34" s="147"/>
      <c r="B34" s="130" t="s">
        <v>117</v>
      </c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132"/>
      <c r="AB34" s="132"/>
      <c r="AC34" s="132"/>
      <c r="AD34" s="132"/>
      <c r="AE34" s="34"/>
      <c r="AF34" s="132"/>
      <c r="AG34" s="132"/>
      <c r="AH34" s="128">
        <f t="shared" si="1"/>
        <v>0</v>
      </c>
      <c r="AI34" s="129">
        <f t="shared" si="3"/>
        <v>0</v>
      </c>
      <c r="AJ34" s="34"/>
      <c r="AK34" s="34"/>
      <c r="AL34" s="34"/>
      <c r="AM34" s="34"/>
      <c r="AN34" s="34"/>
    </row>
    <row r="35" ht="15.75" customHeight="1">
      <c r="A35" s="133"/>
      <c r="B35" s="153" t="s">
        <v>111</v>
      </c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165"/>
      <c r="AB35" s="165"/>
      <c r="AC35" s="165"/>
      <c r="AD35" s="165"/>
      <c r="AE35" s="92"/>
      <c r="AF35" s="165"/>
      <c r="AG35" s="165"/>
      <c r="AH35" s="128">
        <f t="shared" si="1"/>
        <v>0</v>
      </c>
      <c r="AI35" s="129">
        <f t="shared" si="3"/>
        <v>0</v>
      </c>
      <c r="AJ35" s="34"/>
      <c r="AK35" s="34"/>
      <c r="AL35" s="34"/>
      <c r="AM35" s="34"/>
      <c r="AN35" s="34"/>
    </row>
    <row r="36" ht="15.75" customHeight="1">
      <c r="A36" s="171" t="s">
        <v>118</v>
      </c>
      <c r="B36" s="172"/>
      <c r="C36" s="173">
        <f t="shared" ref="C36:F36" si="4">SUM(C2:C35)</f>
        <v>3</v>
      </c>
      <c r="D36" s="173">
        <f t="shared" si="4"/>
        <v>4</v>
      </c>
      <c r="E36" s="173">
        <f t="shared" si="4"/>
        <v>10</v>
      </c>
      <c r="F36" s="173">
        <f t="shared" si="4"/>
        <v>10</v>
      </c>
      <c r="G36" s="173">
        <f t="shared" ref="G36:J36" si="5">SUM(G3:G35)</f>
        <v>11.5</v>
      </c>
      <c r="H36" s="173">
        <f t="shared" si="5"/>
        <v>11.5</v>
      </c>
      <c r="I36" s="173">
        <f t="shared" si="5"/>
        <v>11</v>
      </c>
      <c r="J36" s="173">
        <f t="shared" si="5"/>
        <v>10.5</v>
      </c>
      <c r="K36" s="173">
        <f t="shared" ref="K36:AH36" si="6">SUM(K2:K35)</f>
        <v>13.5</v>
      </c>
      <c r="L36" s="173">
        <f t="shared" si="6"/>
        <v>11.5</v>
      </c>
      <c r="M36" s="173">
        <f t="shared" si="6"/>
        <v>9.5</v>
      </c>
      <c r="N36" s="173">
        <f t="shared" si="6"/>
        <v>9.5</v>
      </c>
      <c r="O36" s="173">
        <f t="shared" si="6"/>
        <v>9</v>
      </c>
      <c r="P36" s="173">
        <f t="shared" si="6"/>
        <v>9.5</v>
      </c>
      <c r="Q36" s="173">
        <f t="shared" si="6"/>
        <v>7.5</v>
      </c>
      <c r="R36" s="173">
        <f t="shared" si="6"/>
        <v>6.5</v>
      </c>
      <c r="S36" s="173">
        <f t="shared" si="6"/>
        <v>9</v>
      </c>
      <c r="T36" s="173">
        <f t="shared" si="6"/>
        <v>8.5</v>
      </c>
      <c r="U36" s="173">
        <f t="shared" si="6"/>
        <v>7.5</v>
      </c>
      <c r="V36" s="173">
        <f t="shared" si="6"/>
        <v>7.5</v>
      </c>
      <c r="W36" s="173">
        <f t="shared" si="6"/>
        <v>10</v>
      </c>
      <c r="X36" s="173">
        <f t="shared" si="6"/>
        <v>7</v>
      </c>
      <c r="Y36" s="173">
        <f t="shared" si="6"/>
        <v>7</v>
      </c>
      <c r="Z36" s="173">
        <f t="shared" si="6"/>
        <v>7</v>
      </c>
      <c r="AA36" s="173">
        <f t="shared" si="6"/>
        <v>4</v>
      </c>
      <c r="AB36" s="173">
        <f t="shared" si="6"/>
        <v>4</v>
      </c>
      <c r="AC36" s="173">
        <f t="shared" si="6"/>
        <v>0</v>
      </c>
      <c r="AD36" s="173">
        <f t="shared" si="6"/>
        <v>0</v>
      </c>
      <c r="AE36" s="173">
        <f t="shared" si="6"/>
        <v>0</v>
      </c>
      <c r="AF36" s="173">
        <f t="shared" si="6"/>
        <v>0</v>
      </c>
      <c r="AG36" s="173">
        <f t="shared" si="6"/>
        <v>0</v>
      </c>
      <c r="AH36" s="174">
        <f t="shared" si="6"/>
        <v>219.5</v>
      </c>
      <c r="AI36" s="175">
        <f t="shared" si="3"/>
        <v>1097.5</v>
      </c>
      <c r="AJ36" s="36"/>
      <c r="AK36" s="36"/>
      <c r="AL36" s="36"/>
      <c r="AM36" s="36"/>
      <c r="AN36" s="36"/>
    </row>
    <row r="37" ht="15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AL37" s="73"/>
      <c r="AM37" s="73"/>
      <c r="AN37" s="73"/>
    </row>
    <row r="38" ht="15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</row>
    <row r="39" ht="15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AL39" s="73"/>
      <c r="AM39" s="73"/>
      <c r="AN39" s="73"/>
    </row>
    <row r="40" ht="15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AL40" s="73"/>
      <c r="AM40" s="73"/>
      <c r="AN40" s="73"/>
    </row>
    <row r="41" ht="15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  <c r="AL41" s="73"/>
      <c r="AM41" s="73"/>
      <c r="AN41" s="73"/>
    </row>
    <row r="42" ht="15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  <c r="AL42" s="73"/>
      <c r="AM42" s="73"/>
      <c r="AN42" s="73"/>
    </row>
    <row r="43" ht="15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</row>
    <row r="44" ht="15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AL44" s="73"/>
      <c r="AM44" s="73"/>
      <c r="AN44" s="73"/>
    </row>
    <row r="45" ht="15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AL45" s="73"/>
      <c r="AM45" s="73"/>
      <c r="AN45" s="73"/>
    </row>
    <row r="46" ht="15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</row>
    <row r="47" ht="15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</row>
    <row r="48" ht="15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</row>
    <row r="49" ht="15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</row>
    <row r="50" ht="15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</row>
    <row r="51" ht="15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</row>
    <row r="52" ht="15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</row>
    <row r="53" ht="15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</row>
    <row r="54" ht="15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</row>
    <row r="55" ht="15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</row>
    <row r="56" ht="15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AL56" s="73"/>
      <c r="AM56" s="73"/>
      <c r="AN56" s="73"/>
    </row>
    <row r="57" ht="15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</row>
    <row r="58" ht="15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  <c r="AL58" s="73"/>
      <c r="AM58" s="73"/>
      <c r="AN58" s="73"/>
    </row>
    <row r="59" ht="15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AL59" s="73"/>
      <c r="AM59" s="73"/>
      <c r="AN59" s="73"/>
    </row>
    <row r="60" ht="15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  <c r="AL60" s="73"/>
      <c r="AM60" s="73"/>
      <c r="AN60" s="73"/>
    </row>
    <row r="61" ht="15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AL61" s="73"/>
      <c r="AM61" s="73"/>
      <c r="AN61" s="73"/>
    </row>
    <row r="62" ht="15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</row>
    <row r="63" ht="15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</row>
    <row r="64" ht="15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  <c r="AL64" s="73"/>
      <c r="AM64" s="73"/>
      <c r="AN64" s="73"/>
    </row>
    <row r="65" ht="15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AL65" s="73"/>
      <c r="AM65" s="73"/>
      <c r="AN65" s="73"/>
    </row>
    <row r="66" ht="15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  <c r="AL66" s="73"/>
      <c r="AM66" s="73"/>
      <c r="AN66" s="73"/>
    </row>
    <row r="67" ht="15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AL67" s="73"/>
      <c r="AM67" s="73"/>
      <c r="AN67" s="73"/>
    </row>
    <row r="68" ht="15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  <c r="AL68" s="73"/>
      <c r="AM68" s="73"/>
      <c r="AN68" s="73"/>
    </row>
    <row r="69" ht="15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  <c r="AL69" s="73"/>
      <c r="AM69" s="73"/>
      <c r="AN69" s="73"/>
    </row>
    <row r="70" ht="15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</row>
    <row r="71" ht="15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  <c r="AK71" s="73"/>
      <c r="AL71" s="73"/>
      <c r="AM71" s="73"/>
      <c r="AN71" s="73"/>
    </row>
    <row r="72" ht="15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  <c r="AK72" s="73"/>
      <c r="AL72" s="73"/>
      <c r="AM72" s="73"/>
      <c r="AN72" s="73"/>
    </row>
    <row r="73" ht="15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  <c r="AK73" s="73"/>
      <c r="AL73" s="73"/>
      <c r="AM73" s="73"/>
      <c r="AN73" s="73"/>
    </row>
    <row r="74" ht="15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AL74" s="73"/>
      <c r="AM74" s="73"/>
      <c r="AN74" s="73"/>
    </row>
    <row r="75" ht="15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  <c r="AK75" s="73"/>
      <c r="AL75" s="73"/>
      <c r="AM75" s="73"/>
      <c r="AN75" s="73"/>
    </row>
    <row r="76" ht="15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  <c r="AK76" s="73"/>
      <c r="AL76" s="73"/>
      <c r="AM76" s="73"/>
      <c r="AN76" s="73"/>
    </row>
    <row r="77" ht="15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  <c r="AK77" s="73"/>
      <c r="AL77" s="73"/>
      <c r="AM77" s="73"/>
      <c r="AN77" s="73"/>
    </row>
    <row r="78" ht="15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</row>
    <row r="79" ht="15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  <c r="AK79" s="73"/>
      <c r="AL79" s="73"/>
      <c r="AM79" s="73"/>
      <c r="AN79" s="73"/>
    </row>
    <row r="80" ht="15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  <c r="AK80" s="73"/>
      <c r="AL80" s="73"/>
      <c r="AM80" s="73"/>
      <c r="AN80" s="73"/>
    </row>
    <row r="81" ht="15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  <c r="AK81" s="73"/>
      <c r="AL81" s="73"/>
      <c r="AM81" s="73"/>
      <c r="AN81" s="73"/>
    </row>
    <row r="82" ht="15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AL82" s="73"/>
      <c r="AM82" s="73"/>
      <c r="AN82" s="73"/>
    </row>
    <row r="83" ht="15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  <c r="AK83" s="73"/>
      <c r="AL83" s="73"/>
      <c r="AM83" s="73"/>
      <c r="AN83" s="73"/>
    </row>
    <row r="84" ht="15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  <c r="AK84" s="73"/>
      <c r="AL84" s="73"/>
      <c r="AM84" s="73"/>
      <c r="AN84" s="73"/>
    </row>
    <row r="85" ht="15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  <c r="AK85" s="73"/>
      <c r="AL85" s="73"/>
      <c r="AM85" s="73"/>
      <c r="AN85" s="73"/>
    </row>
    <row r="86" ht="15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</row>
    <row r="87" ht="15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  <c r="AK87" s="73"/>
      <c r="AL87" s="73"/>
      <c r="AM87" s="73"/>
      <c r="AN87" s="73"/>
    </row>
    <row r="88" ht="15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  <c r="AK88" s="73"/>
      <c r="AL88" s="73"/>
      <c r="AM88" s="73"/>
      <c r="AN88" s="73"/>
    </row>
    <row r="89" ht="15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  <c r="AK89" s="73"/>
      <c r="AL89" s="73"/>
      <c r="AM89" s="73"/>
      <c r="AN89" s="73"/>
    </row>
    <row r="90" ht="15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AL90" s="73"/>
      <c r="AM90" s="73"/>
      <c r="AN90" s="73"/>
    </row>
    <row r="91" ht="15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  <c r="AK91" s="73"/>
      <c r="AL91" s="73"/>
      <c r="AM91" s="73"/>
      <c r="AN91" s="73"/>
    </row>
    <row r="92" ht="15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  <c r="AK92" s="73"/>
      <c r="AL92" s="73"/>
      <c r="AM92" s="73"/>
      <c r="AN92" s="73"/>
    </row>
    <row r="93" ht="15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  <c r="AK93" s="73"/>
      <c r="AL93" s="73"/>
      <c r="AM93" s="73"/>
      <c r="AN93" s="73"/>
    </row>
    <row r="94" ht="15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</row>
    <row r="95" ht="15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  <c r="AK95" s="73"/>
      <c r="AL95" s="73"/>
      <c r="AM95" s="73"/>
      <c r="AN95" s="73"/>
    </row>
    <row r="96" ht="15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  <c r="AK96" s="73"/>
      <c r="AL96" s="73"/>
      <c r="AM96" s="73"/>
      <c r="AN96" s="73"/>
    </row>
    <row r="97" ht="15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  <c r="AK97" s="73"/>
      <c r="AL97" s="73"/>
      <c r="AM97" s="73"/>
      <c r="AN97" s="73"/>
    </row>
    <row r="98" ht="15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AL98" s="73"/>
      <c r="AM98" s="73"/>
      <c r="AN98" s="73"/>
    </row>
    <row r="99" ht="15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  <c r="AK99" s="73"/>
      <c r="AL99" s="73"/>
      <c r="AM99" s="73"/>
      <c r="AN99" s="73"/>
    </row>
    <row r="100" ht="15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  <c r="AK100" s="73"/>
      <c r="AL100" s="73"/>
      <c r="AM100" s="73"/>
      <c r="AN100" s="73"/>
    </row>
    <row r="101" ht="15.75" customHeight="1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  <c r="AK101" s="73"/>
      <c r="AL101" s="73"/>
      <c r="AM101" s="73"/>
      <c r="AN101" s="73"/>
    </row>
    <row r="102" ht="15.75" customHeight="1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</row>
    <row r="103" ht="15.75" customHeight="1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  <c r="AL103" s="73"/>
      <c r="AM103" s="73"/>
      <c r="AN103" s="73"/>
    </row>
    <row r="104" ht="15.75" customHeight="1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  <c r="AL104" s="73"/>
      <c r="AM104" s="73"/>
      <c r="AN104" s="73"/>
    </row>
    <row r="105" ht="15.75" customHeight="1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AL105" s="73"/>
      <c r="AM105" s="73"/>
      <c r="AN105" s="73"/>
    </row>
    <row r="106" ht="15.75" customHeight="1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</row>
    <row r="107" ht="15.75" customHeight="1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  <c r="AL107" s="73"/>
      <c r="AM107" s="73"/>
      <c r="AN107" s="73"/>
    </row>
    <row r="108" ht="15.75" customHeight="1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  <c r="AL108" s="73"/>
      <c r="AM108" s="73"/>
      <c r="AN108" s="73"/>
    </row>
    <row r="109" ht="15.75" customHeight="1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  <c r="AL109" s="73"/>
      <c r="AM109" s="73"/>
      <c r="AN109" s="73"/>
    </row>
    <row r="110" ht="15.75" customHeight="1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</row>
    <row r="111" ht="15.75" customHeight="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  <c r="AL111" s="73"/>
      <c r="AM111" s="73"/>
      <c r="AN111" s="73"/>
    </row>
    <row r="112" ht="15.75" customHeight="1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  <c r="AL112" s="73"/>
      <c r="AM112" s="73"/>
      <c r="AN112" s="73"/>
    </row>
    <row r="113" ht="15.75" customHeight="1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  <c r="AL113" s="73"/>
      <c r="AM113" s="73"/>
      <c r="AN113" s="73"/>
    </row>
    <row r="114" ht="15.75" customHeight="1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AL114" s="73"/>
      <c r="AM114" s="73"/>
      <c r="AN114" s="73"/>
    </row>
    <row r="115" ht="15.75" customHeight="1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  <c r="AL115" s="73"/>
      <c r="AM115" s="73"/>
      <c r="AN115" s="73"/>
    </row>
    <row r="116" ht="15.75" customHeight="1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  <c r="AL116" s="73"/>
      <c r="AM116" s="73"/>
      <c r="AN116" s="73"/>
    </row>
    <row r="117" ht="15.75" customHeight="1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  <c r="AL117" s="73"/>
      <c r="AM117" s="73"/>
      <c r="AN117" s="73"/>
    </row>
    <row r="118" ht="15.75" customHeight="1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</row>
    <row r="119" ht="15.75" customHeight="1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  <c r="AK119" s="73"/>
      <c r="AL119" s="73"/>
      <c r="AM119" s="73"/>
      <c r="AN119" s="73"/>
    </row>
    <row r="120" ht="15.75" customHeight="1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  <c r="AK120" s="73"/>
      <c r="AL120" s="73"/>
      <c r="AM120" s="73"/>
      <c r="AN120" s="73"/>
    </row>
    <row r="121" ht="15.75" customHeight="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  <c r="AK121" s="73"/>
      <c r="AL121" s="73"/>
      <c r="AM121" s="73"/>
      <c r="AN121" s="73"/>
    </row>
    <row r="122" ht="15.75" customHeight="1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</row>
    <row r="123" ht="15.75" customHeight="1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  <c r="AK123" s="73"/>
      <c r="AL123" s="73"/>
      <c r="AM123" s="73"/>
      <c r="AN123" s="73"/>
    </row>
    <row r="124" ht="15.75" customHeight="1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  <c r="AK124" s="73"/>
      <c r="AL124" s="73"/>
      <c r="AM124" s="73"/>
      <c r="AN124" s="73"/>
    </row>
    <row r="125" ht="15.75" customHeight="1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  <c r="AK125" s="73"/>
      <c r="AL125" s="73"/>
      <c r="AM125" s="73"/>
      <c r="AN125" s="73"/>
    </row>
    <row r="126" ht="15.75" customHeight="1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</row>
    <row r="127" ht="15.75" customHeight="1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  <c r="AK127" s="73"/>
      <c r="AL127" s="73"/>
      <c r="AM127" s="73"/>
      <c r="AN127" s="73"/>
    </row>
    <row r="128" ht="15.75" customHeight="1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  <c r="AK128" s="73"/>
      <c r="AL128" s="73"/>
      <c r="AM128" s="73"/>
      <c r="AN128" s="73"/>
    </row>
    <row r="129" ht="15.75" customHeight="1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  <c r="AK129" s="73"/>
      <c r="AL129" s="73"/>
      <c r="AM129" s="73"/>
      <c r="AN129" s="73"/>
    </row>
    <row r="130" ht="15.75" customHeight="1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3"/>
      <c r="AL130" s="73"/>
      <c r="AM130" s="73"/>
      <c r="AN130" s="73"/>
    </row>
    <row r="131" ht="15.75" customHeight="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  <c r="AK131" s="73"/>
      <c r="AL131" s="73"/>
      <c r="AM131" s="73"/>
      <c r="AN131" s="73"/>
    </row>
    <row r="132" ht="15.75" customHeight="1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  <c r="AK132" s="73"/>
      <c r="AL132" s="73"/>
      <c r="AM132" s="73"/>
      <c r="AN132" s="73"/>
    </row>
    <row r="133" ht="15.75" customHeight="1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  <c r="AK133" s="73"/>
      <c r="AL133" s="73"/>
      <c r="AM133" s="73"/>
      <c r="AN133" s="73"/>
    </row>
    <row r="134" ht="15.75" customHeight="1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</row>
    <row r="135" ht="15.75" customHeight="1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  <c r="AK135" s="73"/>
      <c r="AL135" s="73"/>
      <c r="AM135" s="73"/>
      <c r="AN135" s="73"/>
    </row>
    <row r="136" ht="15.75" customHeight="1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  <c r="AK136" s="73"/>
      <c r="AL136" s="73"/>
      <c r="AM136" s="73"/>
      <c r="AN136" s="73"/>
    </row>
    <row r="137" ht="15.75" customHeight="1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  <c r="AK137" s="73"/>
      <c r="AL137" s="73"/>
      <c r="AM137" s="73"/>
      <c r="AN137" s="73"/>
    </row>
    <row r="138" ht="15.75" customHeight="1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  <c r="AK138" s="73"/>
      <c r="AL138" s="73"/>
      <c r="AM138" s="73"/>
      <c r="AN138" s="73"/>
    </row>
    <row r="139" ht="15.75" customHeight="1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  <c r="AK139" s="73"/>
      <c r="AL139" s="73"/>
      <c r="AM139" s="73"/>
      <c r="AN139" s="73"/>
    </row>
    <row r="140" ht="15.75" customHeight="1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  <c r="AK140" s="73"/>
      <c r="AL140" s="73"/>
      <c r="AM140" s="73"/>
      <c r="AN140" s="73"/>
    </row>
    <row r="141" ht="15.75" customHeight="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  <c r="AK141" s="73"/>
      <c r="AL141" s="73"/>
      <c r="AM141" s="73"/>
      <c r="AN141" s="73"/>
    </row>
    <row r="142" ht="15.75" customHeight="1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3"/>
      <c r="AL142" s="73"/>
      <c r="AM142" s="73"/>
      <c r="AN142" s="73"/>
    </row>
    <row r="143" ht="15.75" customHeight="1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  <c r="AK143" s="73"/>
      <c r="AL143" s="73"/>
      <c r="AM143" s="73"/>
      <c r="AN143" s="73"/>
    </row>
    <row r="144" ht="15.75" customHeight="1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  <c r="AK144" s="73"/>
      <c r="AL144" s="73"/>
      <c r="AM144" s="73"/>
      <c r="AN144" s="73"/>
    </row>
    <row r="145" ht="15.75" customHeight="1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  <c r="AK145" s="73"/>
      <c r="AL145" s="73"/>
      <c r="AM145" s="73"/>
      <c r="AN145" s="73"/>
    </row>
    <row r="146" ht="15.75" customHeight="1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  <c r="AK146" s="73"/>
      <c r="AL146" s="73"/>
      <c r="AM146" s="73"/>
      <c r="AN146" s="73"/>
    </row>
    <row r="147" ht="15.75" customHeight="1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  <c r="AK147" s="73"/>
      <c r="AL147" s="73"/>
      <c r="AM147" s="73"/>
      <c r="AN147" s="73"/>
    </row>
    <row r="148" ht="15.75" customHeight="1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  <c r="AK148" s="73"/>
      <c r="AL148" s="73"/>
      <c r="AM148" s="73"/>
      <c r="AN148" s="73"/>
    </row>
    <row r="149" ht="15.75" customHeight="1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  <c r="AK149" s="73"/>
      <c r="AL149" s="73"/>
      <c r="AM149" s="73"/>
      <c r="AN149" s="73"/>
    </row>
    <row r="150" ht="15.75" customHeight="1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3"/>
      <c r="AL150" s="73"/>
      <c r="AM150" s="73"/>
      <c r="AN150" s="73"/>
    </row>
    <row r="151" ht="15.75" customHeight="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  <c r="AK151" s="73"/>
      <c r="AL151" s="73"/>
      <c r="AM151" s="73"/>
      <c r="AN151" s="73"/>
    </row>
    <row r="152" ht="15.75" customHeight="1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  <c r="AK152" s="73"/>
      <c r="AL152" s="73"/>
      <c r="AM152" s="73"/>
      <c r="AN152" s="73"/>
    </row>
    <row r="153" ht="15.75" customHeight="1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  <c r="AK153" s="73"/>
      <c r="AL153" s="73"/>
      <c r="AM153" s="73"/>
      <c r="AN153" s="73"/>
    </row>
    <row r="154" ht="15.75" customHeight="1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  <c r="AK154" s="73"/>
      <c r="AL154" s="73"/>
      <c r="AM154" s="73"/>
      <c r="AN154" s="73"/>
    </row>
    <row r="155" ht="15.75" customHeight="1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  <c r="AK155" s="73"/>
      <c r="AL155" s="73"/>
      <c r="AM155" s="73"/>
      <c r="AN155" s="73"/>
    </row>
    <row r="156" ht="15.75" customHeight="1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  <c r="AK156" s="73"/>
      <c r="AL156" s="73"/>
      <c r="AM156" s="73"/>
      <c r="AN156" s="73"/>
    </row>
    <row r="157" ht="15.75" customHeight="1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  <c r="AK157" s="73"/>
      <c r="AL157" s="73"/>
      <c r="AM157" s="73"/>
      <c r="AN157" s="73"/>
    </row>
    <row r="158" ht="15.75" customHeight="1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3"/>
      <c r="AL158" s="73"/>
      <c r="AM158" s="73"/>
      <c r="AN158" s="73"/>
    </row>
    <row r="159" ht="15.75" customHeight="1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  <c r="AK159" s="73"/>
      <c r="AL159" s="73"/>
      <c r="AM159" s="73"/>
      <c r="AN159" s="73"/>
    </row>
    <row r="160" ht="15.75" customHeight="1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  <c r="AK160" s="73"/>
      <c r="AL160" s="73"/>
      <c r="AM160" s="73"/>
      <c r="AN160" s="73"/>
    </row>
    <row r="161" ht="15.75" customHeight="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  <c r="AK161" s="73"/>
      <c r="AL161" s="73"/>
      <c r="AM161" s="73"/>
      <c r="AN161" s="73"/>
    </row>
    <row r="162" ht="15.75" customHeight="1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  <c r="AK162" s="73"/>
      <c r="AL162" s="73"/>
      <c r="AM162" s="73"/>
      <c r="AN162" s="73"/>
    </row>
    <row r="163" ht="15.75" customHeight="1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  <c r="AK163" s="73"/>
      <c r="AL163" s="73"/>
      <c r="AM163" s="73"/>
      <c r="AN163" s="73"/>
    </row>
    <row r="164" ht="15.75" customHeight="1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  <c r="AK164" s="73"/>
      <c r="AL164" s="73"/>
      <c r="AM164" s="73"/>
      <c r="AN164" s="73"/>
    </row>
    <row r="165" ht="15.75" customHeight="1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  <c r="AK165" s="73"/>
      <c r="AL165" s="73"/>
      <c r="AM165" s="73"/>
      <c r="AN165" s="73"/>
    </row>
    <row r="166" ht="15.75" customHeight="1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3"/>
      <c r="AL166" s="73"/>
      <c r="AM166" s="73"/>
      <c r="AN166" s="73"/>
    </row>
    <row r="167" ht="15.75" customHeight="1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  <c r="AK167" s="73"/>
      <c r="AL167" s="73"/>
      <c r="AM167" s="73"/>
      <c r="AN167" s="73"/>
    </row>
    <row r="168" ht="15.75" customHeight="1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  <c r="AK168" s="73"/>
      <c r="AL168" s="73"/>
      <c r="AM168" s="73"/>
      <c r="AN168" s="73"/>
    </row>
    <row r="169" ht="15.75" customHeight="1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  <c r="AK169" s="73"/>
      <c r="AL169" s="73"/>
      <c r="AM169" s="73"/>
      <c r="AN169" s="73"/>
    </row>
    <row r="170" ht="15.75" customHeight="1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  <c r="AK170" s="73"/>
      <c r="AL170" s="73"/>
      <c r="AM170" s="73"/>
      <c r="AN170" s="73"/>
    </row>
    <row r="171" ht="15.75" customHeight="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  <c r="AK171" s="73"/>
      <c r="AL171" s="73"/>
      <c r="AM171" s="73"/>
      <c r="AN171" s="73"/>
    </row>
    <row r="172" ht="15.75" customHeight="1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  <c r="AK172" s="73"/>
      <c r="AL172" s="73"/>
      <c r="AM172" s="73"/>
      <c r="AN172" s="73"/>
    </row>
    <row r="173" ht="15.75" customHeight="1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  <c r="AK173" s="73"/>
      <c r="AL173" s="73"/>
      <c r="AM173" s="73"/>
      <c r="AN173" s="73"/>
    </row>
    <row r="174" ht="15.75" customHeight="1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3"/>
      <c r="AL174" s="73"/>
      <c r="AM174" s="73"/>
      <c r="AN174" s="73"/>
    </row>
    <row r="175" ht="15.75" customHeight="1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  <c r="AK175" s="73"/>
      <c r="AL175" s="73"/>
      <c r="AM175" s="73"/>
      <c r="AN175" s="73"/>
    </row>
    <row r="176" ht="15.75" customHeight="1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  <c r="AK176" s="73"/>
      <c r="AL176" s="73"/>
      <c r="AM176" s="73"/>
      <c r="AN176" s="73"/>
    </row>
    <row r="177" ht="15.75" customHeight="1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  <c r="AK177" s="73"/>
      <c r="AL177" s="73"/>
      <c r="AM177" s="73"/>
      <c r="AN177" s="73"/>
    </row>
    <row r="178" ht="15.75" customHeight="1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  <c r="AK178" s="73"/>
      <c r="AL178" s="73"/>
      <c r="AM178" s="73"/>
      <c r="AN178" s="73"/>
    </row>
    <row r="179" ht="15.75" customHeight="1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  <c r="AK179" s="73"/>
      <c r="AL179" s="73"/>
      <c r="AM179" s="73"/>
      <c r="AN179" s="73"/>
    </row>
    <row r="180" ht="15.75" customHeight="1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  <c r="AK180" s="73"/>
      <c r="AL180" s="73"/>
      <c r="AM180" s="73"/>
      <c r="AN180" s="73"/>
    </row>
    <row r="181" ht="15.75" customHeight="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  <c r="AK181" s="73"/>
      <c r="AL181" s="73"/>
      <c r="AM181" s="73"/>
      <c r="AN181" s="73"/>
    </row>
    <row r="182" ht="15.75" customHeight="1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3"/>
      <c r="AL182" s="73"/>
      <c r="AM182" s="73"/>
      <c r="AN182" s="73"/>
    </row>
    <row r="183" ht="15.75" customHeight="1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  <c r="AK183" s="73"/>
      <c r="AL183" s="73"/>
      <c r="AM183" s="73"/>
      <c r="AN183" s="73"/>
    </row>
    <row r="184" ht="15.75" customHeight="1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  <c r="AK184" s="73"/>
      <c r="AL184" s="73"/>
      <c r="AM184" s="73"/>
      <c r="AN184" s="73"/>
    </row>
    <row r="185" ht="15.75" customHeight="1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  <c r="AK185" s="73"/>
      <c r="AL185" s="73"/>
      <c r="AM185" s="73"/>
      <c r="AN185" s="73"/>
    </row>
    <row r="186" ht="15.75" customHeight="1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  <c r="AK186" s="73"/>
      <c r="AL186" s="73"/>
      <c r="AM186" s="73"/>
      <c r="AN186" s="73"/>
    </row>
    <row r="187" ht="15.75" customHeight="1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  <c r="AK187" s="73"/>
      <c r="AL187" s="73"/>
      <c r="AM187" s="73"/>
      <c r="AN187" s="73"/>
    </row>
    <row r="188" ht="15.75" customHeight="1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  <c r="AK188" s="73"/>
      <c r="AL188" s="73"/>
      <c r="AM188" s="73"/>
      <c r="AN188" s="73"/>
    </row>
    <row r="189" ht="15.75" customHeight="1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  <c r="AK189" s="73"/>
      <c r="AL189" s="73"/>
      <c r="AM189" s="73"/>
      <c r="AN189" s="73"/>
    </row>
    <row r="190" ht="15.75" customHeight="1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3"/>
      <c r="AL190" s="73"/>
      <c r="AM190" s="73"/>
      <c r="AN190" s="73"/>
    </row>
    <row r="191" ht="15.75" customHeight="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  <c r="AK191" s="73"/>
      <c r="AL191" s="73"/>
      <c r="AM191" s="73"/>
      <c r="AN191" s="73"/>
    </row>
    <row r="192" ht="15.75" customHeight="1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  <c r="AK192" s="73"/>
      <c r="AL192" s="73"/>
      <c r="AM192" s="73"/>
      <c r="AN192" s="73"/>
    </row>
    <row r="193" ht="15.75" customHeight="1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  <c r="AK193" s="73"/>
      <c r="AL193" s="73"/>
      <c r="AM193" s="73"/>
      <c r="AN193" s="73"/>
    </row>
    <row r="194" ht="15.75" customHeight="1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  <c r="AL194" s="73"/>
      <c r="AM194" s="73"/>
      <c r="AN194" s="73"/>
    </row>
    <row r="195" ht="15.75" customHeight="1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  <c r="AL195" s="73"/>
      <c r="AM195" s="73"/>
      <c r="AN195" s="73"/>
    </row>
    <row r="196" ht="15.75" customHeight="1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  <c r="AL196" s="73"/>
      <c r="AM196" s="73"/>
      <c r="AN196" s="73"/>
    </row>
    <row r="197" ht="15.75" customHeight="1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  <c r="AL197" s="73"/>
      <c r="AM197" s="73"/>
      <c r="AN197" s="73"/>
    </row>
    <row r="198" ht="15.75" customHeight="1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  <c r="AL198" s="73"/>
      <c r="AM198" s="73"/>
      <c r="AN198" s="73"/>
    </row>
    <row r="199" ht="15.75" customHeight="1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  <c r="AL199" s="73"/>
      <c r="AM199" s="73"/>
      <c r="AN199" s="73"/>
    </row>
    <row r="200" ht="15.75" customHeight="1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  <c r="AL200" s="73"/>
      <c r="AM200" s="73"/>
      <c r="AN200" s="73"/>
    </row>
    <row r="201" ht="15.75" customHeight="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  <c r="AL201" s="73"/>
      <c r="AM201" s="73"/>
      <c r="AN201" s="73"/>
    </row>
    <row r="202" ht="15.75" customHeight="1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  <c r="AL202" s="73"/>
      <c r="AM202" s="73"/>
      <c r="AN202" s="73"/>
    </row>
    <row r="203" ht="15.75" customHeight="1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  <c r="AL203" s="73"/>
      <c r="AM203" s="73"/>
      <c r="AN203" s="73"/>
    </row>
    <row r="204" ht="15.75" customHeight="1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  <c r="AL204" s="73"/>
      <c r="AM204" s="73"/>
      <c r="AN204" s="73"/>
    </row>
    <row r="205" ht="15.75" customHeight="1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  <c r="AL205" s="73"/>
      <c r="AM205" s="73"/>
      <c r="AN205" s="73"/>
    </row>
    <row r="206" ht="15.75" customHeight="1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  <c r="AL206" s="73"/>
      <c r="AM206" s="73"/>
      <c r="AN206" s="73"/>
    </row>
    <row r="207" ht="15.75" customHeight="1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  <c r="AL207" s="73"/>
      <c r="AM207" s="73"/>
      <c r="AN207" s="73"/>
    </row>
    <row r="208" ht="15.75" customHeight="1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  <c r="AL208" s="73"/>
      <c r="AM208" s="73"/>
      <c r="AN208" s="73"/>
    </row>
    <row r="209" ht="15.75" customHeight="1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  <c r="AL209" s="73"/>
      <c r="AM209" s="73"/>
      <c r="AN209" s="73"/>
    </row>
    <row r="210" ht="15.75" customHeight="1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  <c r="AL210" s="73"/>
      <c r="AM210" s="73"/>
      <c r="AN210" s="73"/>
    </row>
    <row r="211" ht="15.75" customHeight="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  <c r="AL211" s="73"/>
      <c r="AM211" s="73"/>
      <c r="AN211" s="73"/>
    </row>
    <row r="212" ht="15.75" customHeight="1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  <c r="AL212" s="73"/>
      <c r="AM212" s="73"/>
      <c r="AN212" s="73"/>
    </row>
    <row r="213" ht="15.75" customHeight="1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  <c r="AL213" s="73"/>
      <c r="AM213" s="73"/>
      <c r="AN213" s="73"/>
    </row>
    <row r="214" ht="15.75" customHeight="1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  <c r="AL214" s="73"/>
      <c r="AM214" s="73"/>
      <c r="AN214" s="73"/>
    </row>
    <row r="215" ht="15.75" customHeight="1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  <c r="AL215" s="73"/>
      <c r="AM215" s="73"/>
      <c r="AN215" s="73"/>
    </row>
    <row r="216" ht="15.75" customHeight="1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  <c r="AL216" s="73"/>
      <c r="AM216" s="73"/>
      <c r="AN216" s="73"/>
    </row>
    <row r="217" ht="15.75" customHeight="1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  <c r="AL217" s="73"/>
      <c r="AM217" s="73"/>
      <c r="AN217" s="73"/>
    </row>
    <row r="218" ht="15.7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  <c r="AL218" s="73"/>
      <c r="AM218" s="73"/>
      <c r="AN218" s="73"/>
    </row>
    <row r="219" ht="15.7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  <c r="AL219" s="73"/>
      <c r="AM219" s="73"/>
      <c r="AN219" s="73"/>
    </row>
    <row r="220" ht="15.7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  <c r="AL220" s="73"/>
      <c r="AM220" s="73"/>
      <c r="AN220" s="73"/>
    </row>
    <row r="221" ht="15.75" customHeight="1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  <c r="AL221" s="73"/>
      <c r="AM221" s="73"/>
      <c r="AN221" s="73"/>
    </row>
    <row r="222" ht="15.75" customHeight="1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  <c r="AL222" s="73"/>
      <c r="AM222" s="73"/>
      <c r="AN222" s="73"/>
    </row>
    <row r="223" ht="15.75" customHeight="1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  <c r="AL223" s="73"/>
      <c r="AM223" s="73"/>
      <c r="AN223" s="73"/>
    </row>
    <row r="224" ht="15.75" customHeight="1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  <c r="AL224" s="73"/>
      <c r="AM224" s="73"/>
      <c r="AN224" s="73"/>
    </row>
    <row r="225" ht="15.75" customHeight="1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  <c r="AL225" s="73"/>
      <c r="AM225" s="73"/>
      <c r="AN225" s="73"/>
    </row>
    <row r="226" ht="15.75" customHeight="1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  <c r="AL226" s="73"/>
      <c r="AM226" s="73"/>
      <c r="AN226" s="73"/>
    </row>
    <row r="227" ht="15.75" customHeight="1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  <c r="AL227" s="73"/>
      <c r="AM227" s="73"/>
      <c r="AN227" s="73"/>
    </row>
    <row r="228" ht="15.75" customHeight="1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  <c r="AL228" s="73"/>
      <c r="AM228" s="73"/>
      <c r="AN228" s="73"/>
    </row>
    <row r="229" ht="15.75" customHeight="1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  <c r="AL229" s="73"/>
      <c r="AM229" s="73"/>
      <c r="AN229" s="73"/>
    </row>
    <row r="230" ht="15.75" customHeight="1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  <c r="AL230" s="73"/>
      <c r="AM230" s="73"/>
      <c r="AN230" s="73"/>
    </row>
    <row r="231" ht="15.75" customHeight="1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  <c r="AL231" s="73"/>
      <c r="AM231" s="73"/>
      <c r="AN231" s="73"/>
    </row>
    <row r="232" ht="15.75" customHeight="1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  <c r="AL232" s="73"/>
      <c r="AM232" s="73"/>
      <c r="AN232" s="73"/>
    </row>
    <row r="233" ht="15.75" customHeight="1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  <c r="AL233" s="73"/>
      <c r="AM233" s="73"/>
      <c r="AN233" s="73"/>
    </row>
    <row r="234" ht="15.75" customHeight="1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  <c r="AL234" s="73"/>
      <c r="AM234" s="73"/>
      <c r="AN234" s="73"/>
    </row>
    <row r="235" ht="15.75" customHeight="1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  <c r="AL235" s="73"/>
      <c r="AM235" s="73"/>
      <c r="AN235" s="73"/>
    </row>
    <row r="236" ht="15.75" customHeight="1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  <c r="AL236" s="73"/>
      <c r="AM236" s="73"/>
      <c r="AN236" s="73"/>
    </row>
    <row r="237" ht="15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</row>
    <row r="238" ht="15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</row>
    <row r="239" ht="15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</row>
    <row r="240" ht="15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</row>
    <row r="241" ht="15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</row>
    <row r="242" ht="15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</row>
    <row r="243" ht="15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</row>
    <row r="244" ht="15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</row>
    <row r="245" ht="15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</row>
    <row r="246" ht="15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</row>
    <row r="247" ht="15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</row>
    <row r="248" ht="15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</row>
    <row r="249" ht="15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</row>
    <row r="250" ht="15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</row>
    <row r="251" ht="15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</row>
    <row r="252" ht="15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</row>
    <row r="253" ht="15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</row>
    <row r="254" ht="15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</row>
    <row r="255" ht="15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</row>
    <row r="256" ht="15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</row>
    <row r="257" ht="15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</row>
    <row r="258" ht="15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</row>
    <row r="259" ht="15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</row>
    <row r="260" ht="15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</row>
    <row r="261" ht="15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</row>
    <row r="262" ht="15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</row>
    <row r="263" ht="15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</row>
    <row r="264" ht="15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</row>
    <row r="265" ht="15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</row>
    <row r="266" ht="15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</row>
    <row r="267" ht="15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</row>
    <row r="268" ht="15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</row>
    <row r="269" ht="15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</row>
    <row r="270" ht="15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</row>
    <row r="271" ht="15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</row>
    <row r="272" ht="15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</row>
    <row r="273" ht="15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</row>
    <row r="274" ht="15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</row>
    <row r="275" ht="15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</row>
    <row r="276" ht="15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</row>
    <row r="277" ht="15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</row>
    <row r="278" ht="15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</row>
    <row r="279" ht="15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</row>
    <row r="280" ht="15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</row>
    <row r="281" ht="15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</row>
    <row r="282" ht="15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</row>
    <row r="283" ht="15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</row>
    <row r="284" ht="15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</row>
    <row r="285" ht="15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</row>
    <row r="286" ht="15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</row>
    <row r="287" ht="15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</row>
    <row r="288" ht="15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</row>
    <row r="289" ht="15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</row>
    <row r="290" ht="15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</row>
    <row r="291" ht="15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</row>
    <row r="292" ht="15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</row>
    <row r="293" ht="15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</row>
    <row r="294" ht="15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</row>
    <row r="295" ht="15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</row>
    <row r="296" ht="15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</row>
    <row r="297" ht="15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</row>
    <row r="298" ht="15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</row>
    <row r="299" ht="15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</row>
    <row r="300" ht="15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</row>
    <row r="301" ht="15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</row>
    <row r="302" ht="15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</row>
    <row r="303" ht="15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</row>
    <row r="304" ht="15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</row>
    <row r="305" ht="15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</row>
    <row r="306" ht="15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</row>
    <row r="307" ht="15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</row>
    <row r="308" ht="15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</row>
    <row r="309" ht="15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</row>
    <row r="310" ht="15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</row>
    <row r="311" ht="15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</row>
    <row r="312" ht="15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</row>
    <row r="313" ht="15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</row>
    <row r="314" ht="15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</row>
    <row r="315" ht="15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</row>
    <row r="316" ht="15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</row>
    <row r="317" ht="15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</row>
    <row r="318" ht="15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</row>
    <row r="319" ht="15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</row>
    <row r="320" ht="15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</row>
    <row r="321" ht="15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</row>
    <row r="322" ht="15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</row>
    <row r="323" ht="15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</row>
    <row r="324" ht="15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</row>
    <row r="325" ht="15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</row>
    <row r="326" ht="15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</row>
    <row r="327" ht="15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</row>
    <row r="328" ht="15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</row>
    <row r="329" ht="15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</row>
    <row r="330" ht="15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</row>
    <row r="331" ht="15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</row>
    <row r="332" ht="15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</row>
    <row r="333" ht="15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</row>
    <row r="334" ht="15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</row>
    <row r="335" ht="15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</row>
    <row r="336" ht="15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</row>
    <row r="337" ht="15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</row>
    <row r="338" ht="15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</row>
    <row r="339" ht="15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</row>
    <row r="340" ht="15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</row>
    <row r="341" ht="15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</row>
    <row r="342" ht="15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</row>
    <row r="343" ht="15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</row>
    <row r="344" ht="15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</row>
    <row r="345" ht="15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</row>
    <row r="346" ht="15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</row>
    <row r="347" ht="15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</row>
    <row r="348" ht="15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</row>
    <row r="349" ht="15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</row>
    <row r="350" ht="15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</row>
    <row r="351" ht="15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</row>
    <row r="352" ht="15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</row>
    <row r="353" ht="15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</row>
    <row r="354" ht="15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</row>
    <row r="355" ht="15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</row>
    <row r="356" ht="15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</row>
    <row r="357" ht="15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</row>
    <row r="358" ht="15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</row>
    <row r="359" ht="15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</row>
    <row r="360" ht="15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</row>
    <row r="361" ht="15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</row>
    <row r="362" ht="15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</row>
    <row r="363" ht="15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</row>
    <row r="364" ht="15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</row>
    <row r="365" ht="15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</row>
    <row r="366" ht="15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</row>
    <row r="367" ht="15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</row>
    <row r="368" ht="15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</row>
    <row r="369" ht="15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</row>
    <row r="370" ht="15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</row>
    <row r="371" ht="15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</row>
    <row r="372" ht="15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</row>
    <row r="373" ht="15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</row>
    <row r="374" ht="15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</row>
    <row r="375" ht="15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</row>
    <row r="376" ht="15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</row>
    <row r="377" ht="15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</row>
    <row r="378" ht="15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</row>
    <row r="379" ht="15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</row>
    <row r="380" ht="15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</row>
    <row r="381" ht="15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</row>
    <row r="382" ht="15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</row>
    <row r="383" ht="15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</row>
    <row r="384" ht="15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</row>
    <row r="385" ht="15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</row>
    <row r="386" ht="15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</row>
    <row r="387" ht="15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</row>
    <row r="388" ht="15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</row>
    <row r="389" ht="15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</row>
    <row r="390" ht="15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</row>
    <row r="391" ht="15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</row>
    <row r="392" ht="15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</row>
    <row r="393" ht="15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</row>
    <row r="394" ht="15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</row>
    <row r="395" ht="15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</row>
    <row r="396" ht="15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</row>
    <row r="397" ht="15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</row>
    <row r="398" ht="15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</row>
    <row r="399" ht="15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</row>
    <row r="400" ht="15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</row>
    <row r="401" ht="15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</row>
    <row r="402" ht="15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</row>
    <row r="403" ht="15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</row>
    <row r="404" ht="15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</row>
    <row r="405" ht="15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</row>
    <row r="406" ht="15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</row>
    <row r="407" ht="15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</row>
    <row r="408" ht="15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</row>
    <row r="409" ht="15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</row>
    <row r="410" ht="15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</row>
    <row r="411" ht="15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</row>
    <row r="412" ht="15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</row>
    <row r="413" ht="15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</row>
    <row r="414" ht="15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</row>
    <row r="415" ht="15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</row>
    <row r="416" ht="15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</row>
    <row r="417" ht="15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</row>
    <row r="418" ht="15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</row>
    <row r="419" ht="15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</row>
    <row r="420" ht="15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</row>
    <row r="421" ht="15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</row>
    <row r="422" ht="15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</row>
    <row r="423" ht="15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</row>
    <row r="424" ht="15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</row>
    <row r="425" ht="15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</row>
    <row r="426" ht="15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</row>
    <row r="427" ht="15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</row>
    <row r="428" ht="15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</row>
    <row r="429" ht="15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</row>
    <row r="430" ht="15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</row>
    <row r="431" ht="15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</row>
    <row r="432" ht="15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</row>
    <row r="433" ht="15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</row>
    <row r="434" ht="15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</row>
    <row r="435" ht="15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</row>
    <row r="436" ht="15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</row>
    <row r="437" ht="15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</row>
    <row r="438" ht="15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</row>
    <row r="439" ht="15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</row>
    <row r="440" ht="15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</row>
    <row r="441" ht="15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</row>
    <row r="442" ht="15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</row>
    <row r="443" ht="15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</row>
    <row r="444" ht="15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</row>
    <row r="445" ht="15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</row>
    <row r="446" ht="15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</row>
    <row r="447" ht="15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</row>
    <row r="448" ht="15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</row>
    <row r="449" ht="15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</row>
    <row r="450" ht="15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</row>
    <row r="451" ht="15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</row>
    <row r="452" ht="15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</row>
    <row r="453" ht="15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</row>
    <row r="454" ht="15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</row>
    <row r="455" ht="15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</row>
    <row r="456" ht="15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</row>
    <row r="457" ht="15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</row>
    <row r="458" ht="15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</row>
    <row r="459" ht="15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</row>
    <row r="460" ht="15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</row>
    <row r="461" ht="15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</row>
    <row r="462" ht="15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</row>
    <row r="463" ht="15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</row>
    <row r="464" ht="15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</row>
    <row r="465" ht="15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</row>
    <row r="466" ht="15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</row>
    <row r="467" ht="15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</row>
    <row r="468" ht="15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</row>
    <row r="469" ht="15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</row>
    <row r="470" ht="15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</row>
    <row r="471" ht="15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</row>
    <row r="472" ht="15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</row>
    <row r="473" ht="15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</row>
    <row r="474" ht="15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</row>
    <row r="475" ht="15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</row>
    <row r="476" ht="15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</row>
    <row r="477" ht="15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</row>
    <row r="478" ht="15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</row>
    <row r="479" ht="15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</row>
    <row r="480" ht="15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</row>
    <row r="481" ht="15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</row>
    <row r="482" ht="15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</row>
    <row r="483" ht="15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</row>
    <row r="484" ht="15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</row>
    <row r="485" ht="15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</row>
    <row r="486" ht="15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</row>
    <row r="487" ht="15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</row>
    <row r="488" ht="15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</row>
    <row r="489" ht="15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</row>
    <row r="490" ht="15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</row>
    <row r="491" ht="15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</row>
    <row r="492" ht="15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</row>
    <row r="493" ht="15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</row>
    <row r="494" ht="15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</row>
    <row r="495" ht="15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</row>
    <row r="496" ht="15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</row>
    <row r="497" ht="15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</row>
    <row r="498" ht="15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</row>
    <row r="499" ht="15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</row>
    <row r="500" ht="15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</row>
    <row r="501" ht="15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</row>
    <row r="502" ht="15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</row>
    <row r="503" ht="15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</row>
    <row r="504" ht="15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</row>
    <row r="505" ht="15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</row>
    <row r="506" ht="15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</row>
    <row r="507" ht="15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</row>
    <row r="508" ht="15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</row>
    <row r="509" ht="15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</row>
    <row r="510" ht="15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</row>
    <row r="511" ht="15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</row>
    <row r="512" ht="15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</row>
    <row r="513" ht="15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</row>
    <row r="514" ht="15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</row>
    <row r="515" ht="15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</row>
    <row r="516" ht="15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</row>
    <row r="517" ht="15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</row>
    <row r="518" ht="15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</row>
    <row r="519" ht="15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</row>
    <row r="520" ht="15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</row>
    <row r="521" ht="15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</row>
    <row r="522" ht="15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</row>
    <row r="523" ht="15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</row>
    <row r="524" ht="15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</row>
    <row r="525" ht="15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</row>
    <row r="526" ht="15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</row>
    <row r="527" ht="15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</row>
    <row r="528" ht="15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</row>
    <row r="529" ht="15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</row>
    <row r="530" ht="15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</row>
    <row r="531" ht="15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</row>
    <row r="532" ht="15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</row>
    <row r="533" ht="15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</row>
    <row r="534" ht="15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</row>
    <row r="535" ht="15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</row>
    <row r="536" ht="15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</row>
    <row r="537" ht="15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</row>
    <row r="538" ht="15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</row>
    <row r="539" ht="15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</row>
    <row r="540" ht="15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</row>
    <row r="541" ht="15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</row>
    <row r="542" ht="15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</row>
    <row r="543" ht="15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</row>
    <row r="544" ht="15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</row>
    <row r="545" ht="15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</row>
    <row r="546" ht="15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</row>
    <row r="547" ht="15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</row>
    <row r="548" ht="15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</row>
    <row r="549" ht="15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</row>
    <row r="550" ht="15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</row>
    <row r="551" ht="15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</row>
    <row r="552" ht="15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</row>
    <row r="553" ht="15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</row>
    <row r="554" ht="15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</row>
    <row r="555" ht="15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</row>
    <row r="556" ht="15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</row>
    <row r="557" ht="15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</row>
    <row r="558" ht="15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</row>
    <row r="559" ht="15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</row>
    <row r="560" ht="15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</row>
    <row r="561" ht="15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</row>
    <row r="562" ht="15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</row>
    <row r="563" ht="15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</row>
    <row r="564" ht="15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</row>
    <row r="565" ht="15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</row>
    <row r="566" ht="15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</row>
    <row r="567" ht="15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</row>
    <row r="568" ht="15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</row>
    <row r="569" ht="15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</row>
    <row r="570" ht="15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</row>
    <row r="571" ht="15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</row>
    <row r="572" ht="15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</row>
    <row r="573" ht="15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</row>
    <row r="574" ht="15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</row>
    <row r="575" ht="15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</row>
    <row r="576" ht="15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</row>
    <row r="577" ht="15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</row>
    <row r="578" ht="15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</row>
    <row r="579" ht="15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</row>
    <row r="580" ht="15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</row>
    <row r="581" ht="15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</row>
    <row r="582" ht="15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</row>
    <row r="583" ht="15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</row>
    <row r="584" ht="15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</row>
    <row r="585" ht="15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</row>
    <row r="586" ht="15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</row>
    <row r="587" ht="15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</row>
    <row r="588" ht="15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</row>
    <row r="589" ht="15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</row>
    <row r="590" ht="15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</row>
    <row r="591" ht="15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</row>
    <row r="592" ht="15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</row>
    <row r="593" ht="15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</row>
    <row r="594" ht="15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</row>
    <row r="595" ht="15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</row>
    <row r="596" ht="15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</row>
    <row r="597" ht="15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</row>
    <row r="598" ht="15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</row>
    <row r="599" ht="15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</row>
    <row r="600" ht="15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</row>
    <row r="601" ht="15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</row>
    <row r="602" ht="15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</row>
    <row r="603" ht="15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</row>
    <row r="604" ht="15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</row>
    <row r="605" ht="15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</row>
    <row r="606" ht="15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</row>
    <row r="607" ht="15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</row>
    <row r="608" ht="15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</row>
    <row r="609" ht="15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</row>
    <row r="610" ht="15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</row>
    <row r="611" ht="15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</row>
    <row r="612" ht="15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</row>
    <row r="613" ht="15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</row>
    <row r="614" ht="15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</row>
    <row r="615" ht="15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</row>
    <row r="616" ht="15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</row>
    <row r="617" ht="15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</row>
    <row r="618" ht="15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</row>
    <row r="619" ht="15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</row>
    <row r="620" ht="15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</row>
    <row r="621" ht="15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</row>
    <row r="622" ht="15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</row>
    <row r="623" ht="15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</row>
    <row r="624" ht="15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</row>
    <row r="625" ht="15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</row>
    <row r="626" ht="15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</row>
    <row r="627" ht="15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</row>
    <row r="628" ht="15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</row>
    <row r="629" ht="15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</row>
    <row r="630" ht="15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</row>
    <row r="631" ht="15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</row>
    <row r="632" ht="15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</row>
    <row r="633" ht="15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</row>
    <row r="634" ht="15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</row>
    <row r="635" ht="15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</row>
    <row r="636" ht="15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</row>
    <row r="637" ht="15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</row>
    <row r="638" ht="15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</row>
    <row r="639" ht="15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</row>
    <row r="640" ht="15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</row>
    <row r="641" ht="15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</row>
    <row r="642" ht="15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</row>
    <row r="643" ht="15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</row>
    <row r="644" ht="15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</row>
    <row r="645" ht="15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</row>
    <row r="646" ht="15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</row>
    <row r="647" ht="15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</row>
    <row r="648" ht="15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</row>
    <row r="649" ht="15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</row>
    <row r="650" ht="15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</row>
    <row r="651" ht="15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</row>
    <row r="652" ht="15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</row>
    <row r="653" ht="15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</row>
    <row r="654" ht="15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</row>
    <row r="655" ht="15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</row>
    <row r="656" ht="15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</row>
    <row r="657" ht="15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</row>
    <row r="658" ht="15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</row>
    <row r="659" ht="15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</row>
    <row r="660" ht="15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</row>
    <row r="661" ht="15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</row>
    <row r="662" ht="15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</row>
    <row r="663" ht="15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</row>
    <row r="664" ht="15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</row>
    <row r="665" ht="15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</row>
    <row r="666" ht="15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</row>
    <row r="667" ht="15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</row>
    <row r="668" ht="15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</row>
    <row r="669" ht="15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</row>
    <row r="670" ht="15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</row>
    <row r="671" ht="15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</row>
    <row r="672" ht="15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</row>
    <row r="673" ht="15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</row>
    <row r="674" ht="15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</row>
    <row r="675" ht="15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</row>
    <row r="676" ht="15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</row>
    <row r="677" ht="15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</row>
    <row r="678" ht="15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</row>
    <row r="679" ht="15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</row>
    <row r="680" ht="15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</row>
    <row r="681" ht="15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</row>
    <row r="682" ht="15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</row>
    <row r="683" ht="15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</row>
    <row r="684" ht="15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</row>
    <row r="685" ht="15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</row>
    <row r="686" ht="15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</row>
    <row r="687" ht="15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</row>
    <row r="688" ht="15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</row>
    <row r="689" ht="15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</row>
    <row r="690" ht="15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</row>
    <row r="691" ht="15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</row>
    <row r="692" ht="15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</row>
    <row r="693" ht="15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</row>
    <row r="694" ht="15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</row>
    <row r="695" ht="15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</row>
    <row r="696" ht="15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</row>
    <row r="697" ht="15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</row>
    <row r="698" ht="15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</row>
    <row r="699" ht="15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</row>
    <row r="700" ht="15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</row>
    <row r="701" ht="15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</row>
    <row r="702" ht="15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</row>
    <row r="703" ht="15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</row>
    <row r="704" ht="15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</row>
    <row r="705" ht="15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</row>
    <row r="706" ht="15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</row>
    <row r="707" ht="15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</row>
    <row r="708" ht="15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</row>
    <row r="709" ht="15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</row>
    <row r="710" ht="15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</row>
    <row r="711" ht="15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</row>
    <row r="712" ht="15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</row>
    <row r="713" ht="15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</row>
    <row r="714" ht="15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</row>
    <row r="715" ht="15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</row>
    <row r="716" ht="15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</row>
    <row r="717" ht="15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</row>
    <row r="718" ht="15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</row>
    <row r="719" ht="15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</row>
    <row r="720" ht="15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</row>
    <row r="721" ht="15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</row>
    <row r="722" ht="15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</row>
    <row r="723" ht="15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</row>
    <row r="724" ht="15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</row>
    <row r="725" ht="15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</row>
    <row r="726" ht="15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</row>
    <row r="727" ht="15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</row>
    <row r="728" ht="15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</row>
    <row r="729" ht="15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</row>
    <row r="730" ht="15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</row>
    <row r="731" ht="15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</row>
    <row r="732" ht="15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</row>
    <row r="733" ht="15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</row>
    <row r="734" ht="15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</row>
    <row r="735" ht="15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</row>
    <row r="736" ht="15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</row>
    <row r="737" ht="15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</row>
    <row r="738" ht="15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</row>
    <row r="739" ht="15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</row>
    <row r="740" ht="15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</row>
    <row r="741" ht="15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</row>
    <row r="742" ht="15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</row>
    <row r="743" ht="15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</row>
    <row r="744" ht="15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</row>
    <row r="745" ht="15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</row>
    <row r="746" ht="15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</row>
    <row r="747" ht="15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</row>
    <row r="748" ht="15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</row>
    <row r="749" ht="15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</row>
    <row r="750" ht="15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</row>
    <row r="751" ht="15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</row>
    <row r="752" ht="15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</row>
    <row r="753" ht="15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</row>
    <row r="754" ht="15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</row>
    <row r="755" ht="15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</row>
    <row r="756" ht="15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</row>
    <row r="757" ht="15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</row>
    <row r="758" ht="15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</row>
    <row r="759" ht="15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</row>
    <row r="760" ht="15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</row>
    <row r="761" ht="15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</row>
    <row r="762" ht="15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</row>
    <row r="763" ht="15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</row>
    <row r="764" ht="15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</row>
    <row r="765" ht="15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</row>
    <row r="766" ht="15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</row>
    <row r="767" ht="15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</row>
    <row r="768" ht="15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</row>
    <row r="769" ht="15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</row>
    <row r="770" ht="15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</row>
    <row r="771" ht="15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</row>
    <row r="772" ht="15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</row>
    <row r="773" ht="15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</row>
    <row r="774" ht="15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</row>
    <row r="775" ht="15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</row>
    <row r="776" ht="15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</row>
    <row r="777" ht="15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</row>
    <row r="778" ht="15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</row>
    <row r="779" ht="15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</row>
    <row r="780" ht="15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</row>
    <row r="781" ht="15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</row>
    <row r="782" ht="15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</row>
    <row r="783" ht="15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</row>
    <row r="784" ht="15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</row>
    <row r="785" ht="15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</row>
    <row r="786" ht="15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</row>
    <row r="787" ht="15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</row>
    <row r="788" ht="15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</row>
    <row r="789" ht="15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</row>
    <row r="790" ht="15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</row>
    <row r="791" ht="15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</row>
    <row r="792" ht="15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</row>
    <row r="793" ht="15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</row>
    <row r="794" ht="15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</row>
    <row r="795" ht="15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</row>
    <row r="796" ht="15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</row>
    <row r="797" ht="15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</row>
    <row r="798" ht="15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</row>
    <row r="799" ht="15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</row>
    <row r="800" ht="15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</row>
    <row r="801" ht="15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</row>
    <row r="802" ht="15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</row>
    <row r="803" ht="15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</row>
    <row r="804" ht="15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</row>
    <row r="805" ht="15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</row>
    <row r="806" ht="15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</row>
    <row r="807" ht="15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</row>
    <row r="808" ht="15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</row>
    <row r="809" ht="15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</row>
    <row r="810" ht="15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</row>
    <row r="811" ht="15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</row>
    <row r="812" ht="15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</row>
    <row r="813" ht="15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</row>
    <row r="814" ht="15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</row>
    <row r="815" ht="15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</row>
    <row r="816" ht="15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</row>
    <row r="817" ht="15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</row>
    <row r="818" ht="15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</row>
    <row r="819" ht="15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</row>
    <row r="820" ht="15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</row>
    <row r="821" ht="15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</row>
    <row r="822" ht="15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</row>
    <row r="823" ht="15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</row>
    <row r="824" ht="15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</row>
    <row r="825" ht="15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</row>
    <row r="826" ht="15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</row>
    <row r="827" ht="15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</row>
    <row r="828" ht="15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</row>
    <row r="829" ht="15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</row>
    <row r="830" ht="15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</row>
    <row r="831" ht="15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</row>
    <row r="832" ht="15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</row>
    <row r="833" ht="15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</row>
    <row r="834" ht="15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</row>
    <row r="835" ht="15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</row>
    <row r="836" ht="15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</row>
    <row r="837" ht="15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</row>
    <row r="838" ht="15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</row>
    <row r="839" ht="15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</row>
    <row r="840" ht="15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</row>
    <row r="841" ht="15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</row>
    <row r="842" ht="15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</row>
    <row r="843" ht="15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</row>
    <row r="844" ht="15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</row>
    <row r="845" ht="15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</row>
    <row r="846" ht="15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</row>
    <row r="847" ht="15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</row>
    <row r="848" ht="15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</row>
    <row r="849" ht="15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</row>
    <row r="850" ht="15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</row>
    <row r="851" ht="15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</row>
    <row r="852" ht="15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</row>
    <row r="853" ht="15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</row>
    <row r="854" ht="15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</row>
    <row r="855" ht="15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</row>
    <row r="856" ht="15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</row>
    <row r="857" ht="15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</row>
    <row r="858" ht="15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</row>
    <row r="859" ht="15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</row>
    <row r="860" ht="15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</row>
    <row r="861" ht="15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</row>
    <row r="862" ht="15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</row>
    <row r="863" ht="15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</row>
    <row r="864" ht="15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</row>
    <row r="865" ht="15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</row>
    <row r="866" ht="15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</row>
    <row r="867" ht="15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</row>
    <row r="868" ht="15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</row>
    <row r="869" ht="15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</row>
    <row r="870" ht="15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</row>
    <row r="871" ht="15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</row>
    <row r="872" ht="15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</row>
    <row r="873" ht="15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</row>
    <row r="874" ht="15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</row>
    <row r="875" ht="15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</row>
    <row r="876" ht="15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</row>
    <row r="877" ht="15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</row>
    <row r="878" ht="15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</row>
    <row r="879" ht="15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</row>
    <row r="880" ht="15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</row>
    <row r="881" ht="15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</row>
    <row r="882" ht="15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</row>
    <row r="883" ht="15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</row>
    <row r="884" ht="15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</row>
    <row r="885" ht="15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</row>
    <row r="886" ht="15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</row>
    <row r="887" ht="15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</row>
    <row r="888" ht="15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</row>
    <row r="889" ht="15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</row>
    <row r="890" ht="15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</row>
    <row r="891" ht="15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</row>
    <row r="892" ht="15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</row>
    <row r="893" ht="15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</row>
    <row r="894" ht="15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</row>
    <row r="895" ht="15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</row>
    <row r="896" ht="15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</row>
    <row r="897" ht="15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</row>
    <row r="898" ht="15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</row>
    <row r="899" ht="15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</row>
    <row r="900" ht="15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</row>
    <row r="901" ht="15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</row>
    <row r="902" ht="15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</row>
    <row r="903" ht="15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</row>
    <row r="904" ht="15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</row>
    <row r="905" ht="15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</row>
    <row r="906" ht="15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</row>
    <row r="907" ht="15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</row>
    <row r="908" ht="15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</row>
    <row r="909" ht="15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</row>
    <row r="910" ht="15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</row>
    <row r="911" ht="15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</row>
    <row r="912" ht="15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</row>
    <row r="913" ht="15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</row>
    <row r="914" ht="15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</row>
    <row r="915" ht="15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</row>
    <row r="916" ht="15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</row>
    <row r="917" ht="15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</row>
    <row r="918" ht="15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</row>
    <row r="919" ht="15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</row>
    <row r="920" ht="15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</row>
    <row r="921" ht="15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</row>
    <row r="922" ht="15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</row>
    <row r="923" ht="15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</row>
    <row r="924" ht="15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</row>
    <row r="925" ht="15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</row>
    <row r="926" ht="15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</row>
    <row r="927" ht="15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</row>
    <row r="928" ht="15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</row>
    <row r="929" ht="15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</row>
    <row r="930" ht="15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</row>
    <row r="931" ht="15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</row>
    <row r="932" ht="15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</row>
    <row r="933" ht="15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</row>
    <row r="934" ht="15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</row>
    <row r="935" ht="15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</row>
    <row r="936" ht="15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</row>
    <row r="937" ht="15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</row>
    <row r="938" ht="15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</row>
    <row r="939" ht="15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</row>
    <row r="940" ht="15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</row>
    <row r="941" ht="15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</row>
    <row r="942" ht="15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</row>
    <row r="943" ht="15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</row>
    <row r="944" ht="15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</row>
    <row r="945" ht="15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</row>
    <row r="946" ht="15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</row>
    <row r="947" ht="15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</row>
    <row r="948" ht="15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</row>
    <row r="949" ht="15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</row>
    <row r="950" ht="15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</row>
    <row r="951" ht="15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</row>
    <row r="952" ht="15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</row>
    <row r="953" ht="15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</row>
    <row r="954" ht="15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</row>
    <row r="955" ht="15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</row>
    <row r="956" ht="15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</row>
    <row r="957" ht="15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</row>
    <row r="958" ht="15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</row>
    <row r="959" ht="15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</row>
    <row r="960" ht="15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</row>
    <row r="961" ht="15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</row>
    <row r="962" ht="15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</row>
    <row r="963" ht="15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</row>
    <row r="964" ht="15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</row>
    <row r="965" ht="15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</row>
    <row r="966" ht="15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</row>
    <row r="967" ht="15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</row>
    <row r="968" ht="15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</row>
    <row r="969" ht="15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</row>
    <row r="970" ht="15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</row>
    <row r="971" ht="15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</row>
    <row r="972" ht="15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</row>
    <row r="973" ht="15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</row>
    <row r="974" ht="15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</row>
    <row r="975" ht="15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</row>
    <row r="976" ht="15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</row>
    <row r="977" ht="15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</row>
    <row r="978" ht="15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</row>
    <row r="979" ht="15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</row>
    <row r="980" ht="15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</row>
    <row r="981" ht="15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</row>
    <row r="982" ht="15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</row>
    <row r="983" ht="15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</row>
    <row r="984" ht="15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</row>
    <row r="985" ht="15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</row>
    <row r="986" ht="15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</row>
    <row r="987" ht="15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</row>
    <row r="988" ht="15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</row>
    <row r="989" ht="15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</row>
    <row r="990" ht="15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</row>
    <row r="991" ht="15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</row>
    <row r="992" ht="15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</row>
    <row r="993" ht="15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</row>
    <row r="994" ht="15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</row>
    <row r="995" ht="15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</row>
    <row r="996" ht="15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</row>
    <row r="997" ht="15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</row>
    <row r="998" ht="15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</row>
    <row r="999" ht="15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</row>
    <row r="1000" ht="15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</row>
    <row r="1001" ht="15.75" customHeight="1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</row>
    <row r="1002" ht="15.75" customHeight="1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</row>
    <row r="1003" ht="15.75" customHeight="1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</row>
    <row r="1004" ht="15.75" customHeight="1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</row>
    <row r="1005" ht="15.75" customHeight="1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</row>
    <row r="1006" ht="15.75" customHeight="1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</row>
    <row r="1007" ht="15.75" customHeight="1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</row>
  </sheetData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15.71"/>
    <col customWidth="1" min="3" max="14" width="5.43"/>
    <col customWidth="1" min="15" max="21" width="8.14"/>
    <col customWidth="1" min="22" max="26" width="12.57"/>
  </cols>
  <sheetData>
    <row r="1">
      <c r="A1" s="177" t="s">
        <v>120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>
      <c r="A3" s="178" t="s">
        <v>54</v>
      </c>
      <c r="B3" s="179" t="s">
        <v>76</v>
      </c>
      <c r="C3" s="180" t="s">
        <v>121</v>
      </c>
      <c r="D3" s="181"/>
      <c r="E3" s="181"/>
      <c r="F3" s="182"/>
      <c r="G3" s="180" t="s">
        <v>122</v>
      </c>
      <c r="H3" s="181"/>
      <c r="I3" s="181"/>
      <c r="J3" s="182"/>
      <c r="K3" s="180" t="s">
        <v>123</v>
      </c>
      <c r="L3" s="181"/>
      <c r="M3" s="181"/>
      <c r="N3" s="182"/>
      <c r="O3" s="183"/>
      <c r="P3" s="183"/>
      <c r="Q3" s="34"/>
      <c r="R3" s="34"/>
      <c r="S3" s="34"/>
      <c r="T3" s="34"/>
      <c r="U3" s="34"/>
      <c r="V3" s="34"/>
      <c r="W3" s="34"/>
      <c r="X3" s="34"/>
      <c r="Y3" s="34"/>
      <c r="Z3" s="34"/>
    </row>
    <row r="4">
      <c r="A4" s="184"/>
      <c r="B4" s="184"/>
      <c r="C4" s="185" t="s">
        <v>124</v>
      </c>
      <c r="D4" s="185" t="s">
        <v>125</v>
      </c>
      <c r="E4" s="185" t="s">
        <v>126</v>
      </c>
      <c r="F4" s="185" t="s">
        <v>127</v>
      </c>
      <c r="G4" s="185" t="s">
        <v>124</v>
      </c>
      <c r="H4" s="185" t="s">
        <v>125</v>
      </c>
      <c r="I4" s="185" t="s">
        <v>126</v>
      </c>
      <c r="J4" s="185" t="s">
        <v>127</v>
      </c>
      <c r="K4" s="185" t="s">
        <v>124</v>
      </c>
      <c r="L4" s="185" t="s">
        <v>125</v>
      </c>
      <c r="M4" s="185" t="s">
        <v>126</v>
      </c>
      <c r="N4" s="185" t="s">
        <v>127</v>
      </c>
      <c r="O4" s="186" t="s">
        <v>57</v>
      </c>
      <c r="P4" s="186" t="s">
        <v>44</v>
      </c>
      <c r="Q4" s="187"/>
      <c r="R4" s="187"/>
      <c r="S4" s="187"/>
      <c r="T4" s="187"/>
      <c r="U4" s="187"/>
      <c r="V4" s="34"/>
      <c r="W4" s="34"/>
      <c r="X4" s="34"/>
      <c r="Y4" s="34"/>
      <c r="Z4" s="34"/>
    </row>
    <row r="5">
      <c r="A5" s="188" t="s">
        <v>49</v>
      </c>
      <c r="B5" s="189" t="s">
        <v>65</v>
      </c>
      <c r="C5" s="190"/>
      <c r="D5" s="190"/>
      <c r="E5" s="190"/>
      <c r="F5" s="190"/>
      <c r="G5" s="190"/>
      <c r="H5" s="190"/>
      <c r="I5" s="190"/>
      <c r="J5" s="190"/>
      <c r="K5" s="190"/>
      <c r="L5" s="190"/>
      <c r="M5" s="190"/>
      <c r="N5" s="190"/>
      <c r="O5" s="191">
        <f t="shared" ref="O5:O7" si="1">SUM(C5:N5)</f>
        <v>0</v>
      </c>
      <c r="P5" s="192">
        <f t="shared" ref="P5:P7" si="2">O5*5</f>
        <v>0</v>
      </c>
      <c r="Q5" s="34"/>
      <c r="R5" s="34"/>
      <c r="S5" s="34"/>
      <c r="T5" s="34"/>
      <c r="U5" s="34"/>
      <c r="V5" s="34"/>
      <c r="W5" s="34"/>
      <c r="X5" s="34"/>
      <c r="Y5" s="34"/>
      <c r="Z5" s="34"/>
    </row>
    <row r="6">
      <c r="A6" s="193"/>
      <c r="B6" s="189" t="s">
        <v>66</v>
      </c>
      <c r="C6" s="194"/>
      <c r="D6" s="194"/>
      <c r="E6" s="194"/>
      <c r="F6" s="194"/>
      <c r="G6" s="190"/>
      <c r="H6" s="190"/>
      <c r="I6" s="190"/>
      <c r="J6" s="190"/>
      <c r="K6" s="192"/>
      <c r="L6" s="192"/>
      <c r="M6" s="192"/>
      <c r="N6" s="192"/>
      <c r="O6" s="191">
        <f t="shared" si="1"/>
        <v>0</v>
      </c>
      <c r="P6" s="192">
        <f t="shared" si="2"/>
        <v>0</v>
      </c>
      <c r="Q6" s="34"/>
      <c r="R6" s="34"/>
      <c r="S6" s="34"/>
      <c r="T6" s="34"/>
      <c r="U6" s="34"/>
      <c r="V6" s="34"/>
      <c r="W6" s="34"/>
      <c r="X6" s="34"/>
      <c r="Y6" s="34"/>
      <c r="Z6" s="34"/>
    </row>
    <row r="7">
      <c r="A7" s="184"/>
      <c r="B7" s="189" t="s">
        <v>73</v>
      </c>
      <c r="C7" s="195">
        <f>1*0</f>
        <v>0</v>
      </c>
      <c r="D7" s="183">
        <f t="shared" ref="D7:N7" si="3">C7</f>
        <v>0</v>
      </c>
      <c r="E7" s="192">
        <f t="shared" si="3"/>
        <v>0</v>
      </c>
      <c r="F7" s="192">
        <f t="shared" si="3"/>
        <v>0</v>
      </c>
      <c r="G7" s="192">
        <f t="shared" si="3"/>
        <v>0</v>
      </c>
      <c r="H7" s="192">
        <f t="shared" si="3"/>
        <v>0</v>
      </c>
      <c r="I7" s="192">
        <f t="shared" si="3"/>
        <v>0</v>
      </c>
      <c r="J7" s="192">
        <f t="shared" si="3"/>
        <v>0</v>
      </c>
      <c r="K7" s="192">
        <f t="shared" si="3"/>
        <v>0</v>
      </c>
      <c r="L7" s="192">
        <f t="shared" si="3"/>
        <v>0</v>
      </c>
      <c r="M7" s="192">
        <f t="shared" si="3"/>
        <v>0</v>
      </c>
      <c r="N7" s="192">
        <f t="shared" si="3"/>
        <v>0</v>
      </c>
      <c r="O7" s="191">
        <f t="shared" si="1"/>
        <v>0</v>
      </c>
      <c r="P7" s="192">
        <f t="shared" si="2"/>
        <v>0</v>
      </c>
      <c r="Q7" s="34"/>
      <c r="R7" s="34"/>
      <c r="S7" s="34"/>
      <c r="T7" s="34"/>
      <c r="U7" s="34"/>
      <c r="V7" s="34"/>
      <c r="W7" s="34"/>
      <c r="X7" s="34"/>
      <c r="Y7" s="34"/>
      <c r="Z7" s="34"/>
    </row>
    <row r="8">
      <c r="A8" s="196" t="s">
        <v>118</v>
      </c>
      <c r="B8" s="189"/>
      <c r="C8" s="197">
        <f t="shared" ref="C8:J8" si="4">SUM(C5:C7)</f>
        <v>0</v>
      </c>
      <c r="D8" s="197">
        <f t="shared" si="4"/>
        <v>0</v>
      </c>
      <c r="E8" s="197">
        <f t="shared" si="4"/>
        <v>0</v>
      </c>
      <c r="F8" s="197">
        <f t="shared" si="4"/>
        <v>0</v>
      </c>
      <c r="G8" s="197">
        <f t="shared" si="4"/>
        <v>0</v>
      </c>
      <c r="H8" s="197">
        <f t="shared" si="4"/>
        <v>0</v>
      </c>
      <c r="I8" s="197">
        <f t="shared" si="4"/>
        <v>0</v>
      </c>
      <c r="J8" s="197">
        <f t="shared" si="4"/>
        <v>0</v>
      </c>
      <c r="K8" s="197">
        <f t="shared" ref="K8:N8" si="5">SUM(K6:K7)</f>
        <v>0</v>
      </c>
      <c r="L8" s="197">
        <f t="shared" si="5"/>
        <v>0</v>
      </c>
      <c r="M8" s="197">
        <f t="shared" si="5"/>
        <v>0</v>
      </c>
      <c r="N8" s="197">
        <f t="shared" si="5"/>
        <v>0</v>
      </c>
      <c r="O8" s="198">
        <f t="shared" ref="O8:P8" si="6">SUM(O5:O7)</f>
        <v>0</v>
      </c>
      <c r="P8" s="198">
        <f t="shared" si="6"/>
        <v>0</v>
      </c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15.7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15.75" customHeight="1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15.75" customHeight="1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15.75" customHeight="1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ht="15.75" customHeight="1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15.7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15.75" customHeight="1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15.75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15.75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15.75" customHeight="1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15.75" customHeight="1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15.75" customHeight="1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15.75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15.75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15.7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15.7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ht="15.7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ht="15.7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ht="15.7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5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ht="15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5.75" customHeight="1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ht="15.75" customHeight="1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ht="15.75" customHeight="1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ht="15.75" customHeight="1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ht="15.75" customHeight="1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ht="15.75" customHeight="1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ht="15.75" customHeight="1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ht="15.75" customHeight="1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5.75" customHeight="1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ht="15.75" customHeight="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ht="15.75" customHeight="1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ht="15.7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ht="15.7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ht="15.75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5.75" customHeight="1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ht="15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ht="15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ht="15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ht="15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ht="15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ht="15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ht="15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ht="15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ht="15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ht="15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ht="15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ht="15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5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ht="15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ht="15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ht="15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ht="15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ht="15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ht="15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ht="15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ht="15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ht="15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ht="15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ht="15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ht="15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5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ht="15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ht="15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ht="15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ht="15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ht="15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ht="15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ht="15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ht="15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ht="15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ht="15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ht="15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ht="15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ht="15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ht="15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ht="15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ht="15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ht="15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ht="15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5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ht="15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ht="15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ht="15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ht="15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ht="15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5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ht="15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ht="15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ht="15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ht="15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ht="15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ht="15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ht="15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ht="15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ht="15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ht="15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ht="15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ht="15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ht="15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ht="15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ht="15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ht="15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ht="15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ht="15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ht="15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ht="15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ht="15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ht="15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ht="15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ht="15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ht="15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ht="15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ht="15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ht="15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ht="15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ht="15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ht="15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ht="15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ht="15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ht="15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ht="15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ht="15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ht="15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ht="15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ht="15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ht="15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ht="15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ht="15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ht="15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ht="15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ht="15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ht="15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ht="15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ht="15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ht="15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ht="15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ht="15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ht="15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ht="15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ht="15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ht="15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ht="15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ht="15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ht="15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ht="15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ht="15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ht="15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ht="15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ht="15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ht="15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ht="15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ht="15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ht="15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ht="15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ht="15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ht="15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ht="15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ht="15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ht="15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ht="15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ht="15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ht="15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ht="15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ht="15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ht="15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ht="15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ht="15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ht="15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ht="15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ht="15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ht="15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ht="15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ht="15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ht="15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ht="15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ht="15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ht="15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ht="15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ht="15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ht="15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ht="15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ht="15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ht="15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ht="15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ht="15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ht="15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ht="15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ht="15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ht="15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ht="15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ht="15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ht="15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ht="15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ht="15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ht="15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ht="15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ht="15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ht="15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ht="15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ht="15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ht="15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ht="15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ht="15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ht="15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ht="15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ht="15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ht="15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ht="15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ht="15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ht="15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ht="15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ht="15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ht="15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ht="15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ht="15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ht="15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ht="15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ht="15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ht="15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ht="15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ht="15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ht="15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ht="15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ht="15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ht="15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ht="15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ht="15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ht="15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ht="15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ht="15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ht="15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ht="15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ht="15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ht="15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ht="15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ht="15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ht="15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ht="15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ht="15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ht="15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ht="15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ht="15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ht="15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ht="15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ht="15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ht="15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ht="15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ht="15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ht="15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ht="15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ht="15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ht="15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ht="15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ht="15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ht="15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ht="15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ht="15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ht="15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ht="15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ht="15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ht="15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ht="15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ht="15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ht="15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ht="15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ht="15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ht="15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ht="15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ht="15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ht="15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ht="15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ht="15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ht="15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ht="15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ht="15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ht="15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ht="15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ht="15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ht="15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ht="15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ht="15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ht="15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ht="15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ht="15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ht="15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ht="15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ht="15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ht="15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ht="15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ht="15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ht="15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ht="15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ht="15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ht="15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ht="15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ht="15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ht="15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ht="15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ht="15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ht="15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ht="15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ht="15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ht="15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ht="15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ht="15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ht="15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ht="15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ht="15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ht="15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ht="15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ht="15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ht="15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ht="15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ht="15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ht="15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ht="15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ht="15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ht="15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ht="15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ht="15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ht="15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ht="15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ht="15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ht="15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ht="15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ht="15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ht="15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ht="15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ht="15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ht="15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ht="15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ht="15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ht="15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ht="15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ht="15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ht="15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ht="15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ht="15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ht="15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ht="15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ht="15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ht="15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ht="15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ht="15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ht="15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ht="15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ht="15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ht="15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ht="15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ht="15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ht="15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ht="15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ht="15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ht="15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ht="15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ht="15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ht="15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ht="15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ht="15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ht="15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ht="15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ht="15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ht="15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ht="15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ht="15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ht="15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ht="15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ht="15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ht="15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ht="15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ht="15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ht="15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ht="15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ht="15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ht="15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ht="15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ht="15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ht="15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ht="15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ht="15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ht="15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ht="15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ht="15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ht="15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ht="15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ht="15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ht="15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ht="15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ht="15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ht="15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ht="15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ht="15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ht="15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ht="15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ht="15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ht="15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ht="15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ht="15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ht="15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ht="15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ht="15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ht="15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ht="15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ht="15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ht="15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ht="15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ht="15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ht="15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ht="15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ht="15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ht="15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ht="15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ht="15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ht="15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ht="15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ht="15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ht="15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ht="15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ht="15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ht="15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ht="15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ht="15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ht="15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ht="15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ht="15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ht="15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ht="15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ht="15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ht="15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ht="15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ht="15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ht="15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ht="15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ht="15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ht="15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ht="15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ht="15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ht="15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ht="15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ht="15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ht="15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ht="15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ht="15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ht="15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ht="15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ht="15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ht="15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ht="15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ht="15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ht="15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ht="15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ht="15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ht="15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ht="15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ht="15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ht="15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ht="15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ht="15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ht="15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ht="15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ht="15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ht="15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ht="15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ht="15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ht="15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ht="15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ht="15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ht="15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ht="15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ht="15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ht="15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ht="15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ht="15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ht="15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ht="15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ht="15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ht="15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ht="15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ht="15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ht="15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ht="15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ht="15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ht="15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ht="15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ht="15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ht="15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ht="15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ht="15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ht="15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ht="15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ht="15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ht="15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ht="15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ht="15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ht="15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ht="15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ht="15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ht="15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ht="15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ht="15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ht="15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ht="15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ht="15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ht="15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ht="15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ht="15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ht="15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ht="15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ht="15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ht="15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ht="15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ht="15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ht="15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ht="15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ht="15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ht="15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ht="15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ht="15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ht="15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ht="15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ht="15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ht="15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ht="15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ht="15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ht="15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ht="15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ht="15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ht="15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ht="15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ht="15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ht="15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ht="15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ht="15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ht="15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ht="15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ht="15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ht="15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ht="15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ht="15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ht="15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ht="15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ht="15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ht="15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ht="15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ht="15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ht="15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ht="15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ht="15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ht="15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ht="15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ht="15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ht="15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ht="15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ht="15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ht="15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ht="15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ht="15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ht="15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ht="15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ht="15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ht="15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ht="15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ht="15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ht="15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ht="15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ht="15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ht="15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ht="15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ht="15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ht="15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ht="15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ht="15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ht="15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ht="15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ht="15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ht="15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ht="15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ht="15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ht="15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ht="15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ht="15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ht="15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ht="15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ht="15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ht="15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ht="15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ht="15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ht="15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ht="15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ht="15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ht="15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ht="15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ht="15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ht="15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ht="15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ht="15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ht="15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ht="15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ht="15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ht="15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ht="15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ht="15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ht="15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ht="15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ht="15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ht="15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ht="15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ht="15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ht="15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ht="15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ht="15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ht="15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ht="15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ht="15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ht="15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ht="15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ht="15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ht="15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ht="15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ht="15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ht="15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ht="15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ht="15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ht="15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ht="15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ht="15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ht="15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ht="15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ht="15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ht="15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ht="15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ht="15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ht="15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ht="15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ht="15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ht="15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ht="15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ht="15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ht="15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ht="15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ht="15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ht="15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ht="15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ht="15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ht="15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ht="15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ht="15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ht="15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ht="15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ht="15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ht="15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ht="15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ht="15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ht="15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ht="15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ht="15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ht="15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ht="15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ht="15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ht="15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ht="15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ht="15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ht="15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ht="15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ht="15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ht="15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ht="15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ht="15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ht="15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ht="15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ht="15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ht="15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ht="15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ht="15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ht="15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ht="15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ht="15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ht="15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ht="15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ht="15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ht="15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ht="15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ht="15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ht="15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ht="15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ht="15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ht="15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ht="15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ht="15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ht="15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ht="15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ht="15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ht="15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ht="15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ht="15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ht="15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ht="15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ht="15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ht="15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ht="15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ht="15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ht="15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ht="15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ht="15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ht="15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ht="15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ht="15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ht="15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ht="15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ht="15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ht="15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ht="15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ht="15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ht="15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ht="15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ht="15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ht="15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ht="15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ht="15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ht="15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ht="15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ht="15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ht="15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ht="15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ht="15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ht="15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ht="15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ht="15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ht="15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ht="15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ht="15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ht="15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ht="15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ht="15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ht="15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ht="15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ht="15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ht="15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ht="15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ht="15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ht="15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ht="15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ht="15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ht="15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ht="15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ht="15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ht="15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ht="15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ht="15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ht="15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ht="15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ht="15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ht="15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ht="15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ht="15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ht="15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ht="15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ht="15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ht="15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ht="15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ht="15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ht="15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ht="15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ht="15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ht="15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ht="15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ht="15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ht="15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ht="15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ht="15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ht="15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ht="15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ht="15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ht="15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ht="15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ht="15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ht="15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ht="15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ht="15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ht="15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ht="15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ht="15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ht="15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ht="15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ht="15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ht="15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ht="15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ht="15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ht="15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ht="15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ht="15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ht="15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ht="15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ht="15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ht="15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ht="15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ht="15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ht="15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ht="15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ht="15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ht="15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ht="15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ht="15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ht="15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ht="15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ht="15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ht="15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ht="15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ht="15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ht="15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ht="15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ht="15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ht="15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ht="15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ht="15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ht="15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ht="15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ht="15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ht="15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ht="15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ht="15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ht="15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ht="15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ht="15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ht="15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ht="15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ht="15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ht="15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ht="15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ht="15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ht="15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ht="15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ht="15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ht="15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ht="15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ht="15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ht="15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ht="15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ht="15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ht="15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ht="15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ht="15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ht="15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ht="15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ht="15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ht="15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ht="15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ht="15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ht="15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ht="15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ht="15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ht="15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ht="15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ht="15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ht="15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ht="15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ht="15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ht="15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ht="15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ht="15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ht="15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ht="15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ht="15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ht="15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ht="15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ht="15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ht="15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ht="15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ht="15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ht="15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ht="15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ht="15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ht="15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ht="15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ht="15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ht="15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ht="15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ht="15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ht="15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ht="15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ht="15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ht="15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ht="15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ht="15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ht="15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ht="15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ht="15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ht="15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ht="15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ht="15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ht="15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ht="15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ht="15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ht="15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ht="15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ht="15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ht="15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ht="15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ht="15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ht="15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ht="15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ht="15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ht="15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ht="15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ht="15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ht="15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ht="15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ht="15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ht="15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ht="15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ht="15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ht="15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ht="15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ht="15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ht="15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ht="15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ht="15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ht="15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ht="15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ht="15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ht="15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ht="15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ht="15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ht="15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ht="15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ht="15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ht="15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ht="15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ht="15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ht="15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ht="15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ht="15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ht="15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ht="15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ht="15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ht="15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ht="15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ht="15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ht="15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ht="15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ht="15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ht="15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ht="15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ht="15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ht="15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ht="15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ht="15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ht="15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ht="15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ht="15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ht="15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ht="15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ht="15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ht="15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ht="15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ht="15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ht="15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ht="15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ht="15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ht="15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ht="15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ht="15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ht="15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ht="15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ht="15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ht="15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ht="15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ht="15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ht="15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ht="15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ht="15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ht="15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ht="15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ht="15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ht="15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ht="15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ht="15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ht="15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ht="15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6">
    <mergeCell ref="A3:A4"/>
    <mergeCell ref="B3:B4"/>
    <mergeCell ref="C3:F3"/>
    <mergeCell ref="G3:J3"/>
    <mergeCell ref="K3:N3"/>
    <mergeCell ref="A5:A7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43"/>
    <col customWidth="1" min="2" max="2" width="6.86"/>
    <col customWidth="1" min="3" max="3" width="44.14"/>
    <col customWidth="1" min="4" max="5" width="17.29"/>
    <col customWidth="1" min="6" max="6" width="18.29"/>
    <col customWidth="1" min="7" max="7" width="18.57"/>
    <col customWidth="1" min="8" max="9" width="14.14"/>
    <col customWidth="1" min="10" max="10" width="11.57"/>
    <col customWidth="1" min="11" max="12" width="10.43"/>
    <col customWidth="1" min="13" max="13" width="12.57"/>
    <col customWidth="1" min="14" max="14" width="10.43"/>
    <col customWidth="1" min="15" max="15" width="19.86"/>
    <col customWidth="1" min="16" max="27" width="10.43"/>
  </cols>
  <sheetData>
    <row r="1">
      <c r="A1" s="26"/>
      <c r="B1" s="26"/>
      <c r="C1" s="71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0" customHeight="1">
      <c r="A2" s="26"/>
      <c r="B2" s="199" t="s">
        <v>128</v>
      </c>
      <c r="C2" s="200"/>
      <c r="D2" s="200"/>
      <c r="E2" s="200"/>
      <c r="F2" s="200"/>
      <c r="G2" s="200"/>
      <c r="H2" s="200"/>
      <c r="I2" s="200"/>
      <c r="J2" s="200"/>
      <c r="K2" s="201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>
      <c r="A3" s="26"/>
      <c r="B3" s="202"/>
      <c r="C3" s="203"/>
      <c r="D3" s="204"/>
      <c r="E3" s="204"/>
      <c r="F3" s="204"/>
      <c r="G3" s="204"/>
      <c r="H3" s="204"/>
      <c r="I3" s="205">
        <v>0.0</v>
      </c>
      <c r="J3" s="29"/>
      <c r="K3" s="20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>
      <c r="A4" s="26"/>
      <c r="B4" s="207" t="s">
        <v>129</v>
      </c>
      <c r="C4" s="208" t="s">
        <v>55</v>
      </c>
      <c r="D4" s="207"/>
      <c r="E4" s="207" t="s">
        <v>130</v>
      </c>
      <c r="F4" s="207" t="s">
        <v>131</v>
      </c>
      <c r="G4" s="207" t="s">
        <v>132</v>
      </c>
      <c r="H4" s="207" t="s">
        <v>133</v>
      </c>
      <c r="I4" s="207" t="s">
        <v>134</v>
      </c>
      <c r="J4" s="207" t="s">
        <v>135</v>
      </c>
      <c r="K4" s="209" t="s">
        <v>136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>
      <c r="A5" s="26"/>
      <c r="B5" s="210">
        <v>1.0</v>
      </c>
      <c r="C5" s="54" t="s">
        <v>137</v>
      </c>
      <c r="D5" s="210" t="s">
        <v>65</v>
      </c>
      <c r="E5" s="210" t="s">
        <v>138</v>
      </c>
      <c r="F5" s="210" t="s">
        <v>139</v>
      </c>
      <c r="G5" s="210" t="s">
        <v>140</v>
      </c>
      <c r="H5" s="211">
        <v>3000000.0</v>
      </c>
      <c r="I5" s="211">
        <f t="shared" ref="I5:I18" si="1">(H5*$I$3)+H5</f>
        <v>3000000</v>
      </c>
      <c r="J5" s="212">
        <f t="shared" ref="J5:J18" si="2">I5/12</f>
        <v>250000</v>
      </c>
      <c r="K5" s="213">
        <f t="shared" ref="K5:K18" si="3">J5/22</f>
        <v>11363.63636</v>
      </c>
      <c r="L5" s="26">
        <v>3500000.0</v>
      </c>
      <c r="M5" s="32">
        <v>3000000.0</v>
      </c>
      <c r="N5" s="26"/>
      <c r="O5" s="26" t="s">
        <v>141</v>
      </c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>
      <c r="A6" s="26"/>
      <c r="B6" s="210">
        <v>2.0</v>
      </c>
      <c r="C6" s="54" t="s">
        <v>142</v>
      </c>
      <c r="D6" s="210" t="s">
        <v>66</v>
      </c>
      <c r="E6" s="210" t="s">
        <v>138</v>
      </c>
      <c r="F6" s="210" t="s">
        <v>143</v>
      </c>
      <c r="G6" s="210" t="s">
        <v>140</v>
      </c>
      <c r="H6" s="211">
        <v>2000000.0</v>
      </c>
      <c r="I6" s="211">
        <f t="shared" si="1"/>
        <v>2000000</v>
      </c>
      <c r="J6" s="212">
        <f t="shared" si="2"/>
        <v>166666.6667</v>
      </c>
      <c r="K6" s="213">
        <f t="shared" si="3"/>
        <v>7575.757576</v>
      </c>
      <c r="L6" s="26">
        <v>2000000.0</v>
      </c>
      <c r="M6" s="32">
        <v>2000000.0</v>
      </c>
      <c r="N6" s="26"/>
      <c r="O6" s="26" t="s">
        <v>141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>
      <c r="A7" s="26"/>
      <c r="B7" s="210">
        <v>3.0</v>
      </c>
      <c r="C7" s="54" t="s">
        <v>144</v>
      </c>
      <c r="D7" s="210" t="s">
        <v>145</v>
      </c>
      <c r="E7" s="210" t="s">
        <v>146</v>
      </c>
      <c r="F7" s="210" t="s">
        <v>143</v>
      </c>
      <c r="G7" s="210" t="s">
        <v>140</v>
      </c>
      <c r="H7" s="211">
        <v>3000000.0</v>
      </c>
      <c r="I7" s="211">
        <f t="shared" si="1"/>
        <v>3000000</v>
      </c>
      <c r="J7" s="212">
        <f t="shared" si="2"/>
        <v>250000</v>
      </c>
      <c r="K7" s="213">
        <f t="shared" si="3"/>
        <v>11363.63636</v>
      </c>
      <c r="L7" s="26">
        <v>2500000.0</v>
      </c>
      <c r="M7" s="32">
        <v>3000000.0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>
      <c r="A8" s="26"/>
      <c r="B8" s="210">
        <v>4.0</v>
      </c>
      <c r="C8" s="54" t="s">
        <v>147</v>
      </c>
      <c r="D8" s="210" t="s">
        <v>148</v>
      </c>
      <c r="E8" s="210" t="s">
        <v>138</v>
      </c>
      <c r="F8" s="210" t="s">
        <v>149</v>
      </c>
      <c r="G8" s="210" t="s">
        <v>140</v>
      </c>
      <c r="H8" s="211">
        <v>6000000.0</v>
      </c>
      <c r="I8" s="211">
        <f t="shared" si="1"/>
        <v>6000000</v>
      </c>
      <c r="J8" s="212">
        <f t="shared" si="2"/>
        <v>500000</v>
      </c>
      <c r="K8" s="213">
        <f t="shared" si="3"/>
        <v>22727.27273</v>
      </c>
      <c r="L8" s="26">
        <v>3000000.0</v>
      </c>
      <c r="M8" s="32">
        <v>6000000.0</v>
      </c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>
      <c r="A9" s="26"/>
      <c r="B9" s="210">
        <v>5.0</v>
      </c>
      <c r="C9" s="54" t="s">
        <v>150</v>
      </c>
      <c r="D9" s="210" t="s">
        <v>114</v>
      </c>
      <c r="E9" s="210" t="s">
        <v>146</v>
      </c>
      <c r="F9" s="210" t="s">
        <v>143</v>
      </c>
      <c r="G9" s="210" t="s">
        <v>140</v>
      </c>
      <c r="H9" s="211">
        <v>3000000.0</v>
      </c>
      <c r="I9" s="211">
        <f t="shared" si="1"/>
        <v>3000000</v>
      </c>
      <c r="J9" s="212">
        <f t="shared" si="2"/>
        <v>250000</v>
      </c>
      <c r="K9" s="213">
        <f t="shared" si="3"/>
        <v>11363.63636</v>
      </c>
      <c r="L9" s="26">
        <v>2500000.0</v>
      </c>
      <c r="M9" s="32">
        <v>3000000.0</v>
      </c>
      <c r="N9" s="26"/>
      <c r="O9" s="26" t="s">
        <v>141</v>
      </c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>
      <c r="A10" s="26"/>
      <c r="B10" s="210">
        <v>6.0</v>
      </c>
      <c r="C10" s="54" t="s">
        <v>151</v>
      </c>
      <c r="D10" s="210" t="s">
        <v>111</v>
      </c>
      <c r="E10" s="210" t="s">
        <v>152</v>
      </c>
      <c r="F10" s="210" t="s">
        <v>143</v>
      </c>
      <c r="G10" s="210" t="s">
        <v>140</v>
      </c>
      <c r="H10" s="211">
        <v>2000000.0</v>
      </c>
      <c r="I10" s="214">
        <f t="shared" si="1"/>
        <v>2000000</v>
      </c>
      <c r="J10" s="215">
        <f t="shared" si="2"/>
        <v>166666.6667</v>
      </c>
      <c r="K10" s="213">
        <f t="shared" si="3"/>
        <v>7575.757576</v>
      </c>
      <c r="L10" s="26">
        <v>1500000.0</v>
      </c>
      <c r="M10" s="32">
        <v>2000000.0</v>
      </c>
      <c r="N10" s="26"/>
      <c r="O10" s="26" t="s">
        <v>141</v>
      </c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>
      <c r="A11" s="26"/>
      <c r="B11" s="204">
        <v>7.0</v>
      </c>
      <c r="C11" s="203" t="s">
        <v>153</v>
      </c>
      <c r="D11" s="204" t="s">
        <v>108</v>
      </c>
      <c r="E11" s="204" t="s">
        <v>146</v>
      </c>
      <c r="F11" s="204" t="s">
        <v>143</v>
      </c>
      <c r="G11" s="210" t="s">
        <v>140</v>
      </c>
      <c r="H11" s="216">
        <v>2500000.0</v>
      </c>
      <c r="I11" s="211">
        <f t="shared" si="1"/>
        <v>2500000</v>
      </c>
      <c r="J11" s="212">
        <f t="shared" si="2"/>
        <v>208333.3333</v>
      </c>
      <c r="K11" s="217">
        <f t="shared" si="3"/>
        <v>9469.69697</v>
      </c>
      <c r="L11" s="216">
        <v>2500000.0</v>
      </c>
      <c r="M11" s="218">
        <f t="shared" ref="M11:M18" si="4">L11/12</f>
        <v>208333.3333</v>
      </c>
      <c r="N11" s="218">
        <f t="shared" ref="N11:N18" si="5">M11/22</f>
        <v>9469.69697</v>
      </c>
      <c r="O11" s="26" t="s">
        <v>141</v>
      </c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>
      <c r="A12" s="26"/>
      <c r="B12" s="204">
        <v>8.0</v>
      </c>
      <c r="C12" s="203" t="s">
        <v>154</v>
      </c>
      <c r="D12" s="204" t="s">
        <v>107</v>
      </c>
      <c r="E12" s="204" t="s">
        <v>155</v>
      </c>
      <c r="F12" s="204" t="s">
        <v>156</v>
      </c>
      <c r="G12" s="210" t="s">
        <v>140</v>
      </c>
      <c r="H12" s="216">
        <v>1000000.0</v>
      </c>
      <c r="I12" s="211">
        <f t="shared" si="1"/>
        <v>1000000</v>
      </c>
      <c r="J12" s="212">
        <f t="shared" si="2"/>
        <v>83333.33333</v>
      </c>
      <c r="K12" s="217">
        <f t="shared" si="3"/>
        <v>3787.878788</v>
      </c>
      <c r="L12" s="216">
        <v>1000000.0</v>
      </c>
      <c r="M12" s="218">
        <f t="shared" si="4"/>
        <v>83333.33333</v>
      </c>
      <c r="N12" s="218">
        <f t="shared" si="5"/>
        <v>3787.878788</v>
      </c>
      <c r="O12" s="26" t="s">
        <v>141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>
      <c r="A13" s="26"/>
      <c r="B13" s="204">
        <v>9.0</v>
      </c>
      <c r="C13" s="203" t="s">
        <v>157</v>
      </c>
      <c r="D13" s="204" t="s">
        <v>105</v>
      </c>
      <c r="E13" s="204" t="s">
        <v>155</v>
      </c>
      <c r="F13" s="204" t="s">
        <v>158</v>
      </c>
      <c r="G13" s="210" t="s">
        <v>140</v>
      </c>
      <c r="H13" s="216">
        <v>800000.0</v>
      </c>
      <c r="I13" s="211">
        <f t="shared" si="1"/>
        <v>800000</v>
      </c>
      <c r="J13" s="212">
        <f t="shared" si="2"/>
        <v>66666.66667</v>
      </c>
      <c r="K13" s="217">
        <f t="shared" si="3"/>
        <v>3030.30303</v>
      </c>
      <c r="L13" s="216">
        <v>800000.0</v>
      </c>
      <c r="M13" s="218">
        <f t="shared" si="4"/>
        <v>66666.66667</v>
      </c>
      <c r="N13" s="218">
        <f t="shared" si="5"/>
        <v>3030.30303</v>
      </c>
      <c r="O13" s="26" t="s">
        <v>141</v>
      </c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>
      <c r="A14" s="26"/>
      <c r="B14" s="204">
        <v>10.0</v>
      </c>
      <c r="C14" s="203" t="s">
        <v>159</v>
      </c>
      <c r="D14" s="204" t="s">
        <v>106</v>
      </c>
      <c r="E14" s="204" t="s">
        <v>138</v>
      </c>
      <c r="F14" s="204" t="s">
        <v>160</v>
      </c>
      <c r="G14" s="210" t="s">
        <v>140</v>
      </c>
      <c r="H14" s="216">
        <v>1800000.0</v>
      </c>
      <c r="I14" s="211">
        <f t="shared" si="1"/>
        <v>1800000</v>
      </c>
      <c r="J14" s="212">
        <f t="shared" si="2"/>
        <v>150000</v>
      </c>
      <c r="K14" s="217">
        <f t="shared" si="3"/>
        <v>6818.181818</v>
      </c>
      <c r="L14" s="216">
        <v>1800000.0</v>
      </c>
      <c r="M14" s="218">
        <f t="shared" si="4"/>
        <v>150000</v>
      </c>
      <c r="N14" s="218">
        <f t="shared" si="5"/>
        <v>6818.181818</v>
      </c>
      <c r="O14" s="26" t="s">
        <v>141</v>
      </c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>
      <c r="A15" s="26"/>
      <c r="B15" s="204">
        <v>11.0</v>
      </c>
      <c r="C15" s="54" t="s">
        <v>161</v>
      </c>
      <c r="D15" s="204" t="s">
        <v>162</v>
      </c>
      <c r="E15" s="204" t="s">
        <v>146</v>
      </c>
      <c r="F15" s="204" t="s">
        <v>163</v>
      </c>
      <c r="G15" s="210" t="s">
        <v>140</v>
      </c>
      <c r="H15" s="216">
        <v>2200000.0</v>
      </c>
      <c r="I15" s="211">
        <f t="shared" si="1"/>
        <v>2200000</v>
      </c>
      <c r="J15" s="212">
        <f t="shared" si="2"/>
        <v>183333.3333</v>
      </c>
      <c r="K15" s="217">
        <f t="shared" si="3"/>
        <v>8333.333333</v>
      </c>
      <c r="L15" s="216">
        <v>2200000.0</v>
      </c>
      <c r="M15" s="218">
        <f t="shared" si="4"/>
        <v>183333.3333</v>
      </c>
      <c r="N15" s="218">
        <f t="shared" si="5"/>
        <v>8333.333333</v>
      </c>
      <c r="O15" s="26" t="s">
        <v>141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>
      <c r="A16" s="26"/>
      <c r="B16" s="204">
        <v>12.0</v>
      </c>
      <c r="C16" s="54" t="s">
        <v>164</v>
      </c>
      <c r="D16" s="204" t="s">
        <v>165</v>
      </c>
      <c r="E16" s="204" t="s">
        <v>155</v>
      </c>
      <c r="F16" s="204" t="s">
        <v>156</v>
      </c>
      <c r="G16" s="210" t="s">
        <v>140</v>
      </c>
      <c r="H16" s="216">
        <v>1400000.0</v>
      </c>
      <c r="I16" s="211">
        <f t="shared" si="1"/>
        <v>1400000</v>
      </c>
      <c r="J16" s="212">
        <f t="shared" si="2"/>
        <v>116666.6667</v>
      </c>
      <c r="K16" s="217">
        <f t="shared" si="3"/>
        <v>5303.030303</v>
      </c>
      <c r="L16" s="216">
        <v>1400000.0</v>
      </c>
      <c r="M16" s="218">
        <f t="shared" si="4"/>
        <v>116666.6667</v>
      </c>
      <c r="N16" s="218">
        <f t="shared" si="5"/>
        <v>5303.030303</v>
      </c>
      <c r="O16" s="26" t="s">
        <v>141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>
      <c r="B17" s="219">
        <v>13.0</v>
      </c>
      <c r="C17" s="220" t="s">
        <v>112</v>
      </c>
      <c r="D17" s="219" t="s">
        <v>112</v>
      </c>
      <c r="E17" s="219" t="s">
        <v>155</v>
      </c>
      <c r="F17" s="219" t="s">
        <v>158</v>
      </c>
      <c r="G17" s="210" t="s">
        <v>140</v>
      </c>
      <c r="H17" s="221">
        <v>650000.0</v>
      </c>
      <c r="I17" s="211">
        <f t="shared" si="1"/>
        <v>650000</v>
      </c>
      <c r="J17" s="212">
        <f t="shared" si="2"/>
        <v>54166.66667</v>
      </c>
      <c r="K17" s="217">
        <f t="shared" si="3"/>
        <v>2462.121212</v>
      </c>
      <c r="L17" s="221">
        <v>650000.0</v>
      </c>
      <c r="M17" s="218">
        <f t="shared" si="4"/>
        <v>54166.66667</v>
      </c>
      <c r="N17" s="218">
        <f t="shared" si="5"/>
        <v>2462.121212</v>
      </c>
      <c r="O17" s="26" t="s">
        <v>141</v>
      </c>
    </row>
    <row r="18">
      <c r="B18" s="219">
        <v>14.0</v>
      </c>
      <c r="C18" s="220" t="s">
        <v>166</v>
      </c>
      <c r="D18" s="219" t="s">
        <v>67</v>
      </c>
      <c r="E18" s="219" t="s">
        <v>138</v>
      </c>
      <c r="F18" s="219" t="s">
        <v>167</v>
      </c>
      <c r="G18" s="210" t="s">
        <v>140</v>
      </c>
      <c r="H18" s="221">
        <v>3000000.0</v>
      </c>
      <c r="I18" s="211">
        <f t="shared" si="1"/>
        <v>3000000</v>
      </c>
      <c r="J18" s="212">
        <f t="shared" si="2"/>
        <v>250000</v>
      </c>
      <c r="K18" s="217">
        <f t="shared" si="3"/>
        <v>11363.63636</v>
      </c>
      <c r="L18" s="221">
        <v>3000000.0</v>
      </c>
      <c r="M18" s="218">
        <f t="shared" si="4"/>
        <v>250000</v>
      </c>
      <c r="N18" s="218">
        <f t="shared" si="5"/>
        <v>11363.63636</v>
      </c>
      <c r="O18" s="222" t="s">
        <v>141</v>
      </c>
    </row>
    <row r="19">
      <c r="A19" s="26"/>
      <c r="B19" s="202"/>
      <c r="C19" s="203"/>
      <c r="D19" s="204"/>
      <c r="E19" s="204"/>
      <c r="F19" s="204"/>
      <c r="G19" s="204"/>
      <c r="H19" s="204"/>
      <c r="I19" s="223">
        <v>0.0</v>
      </c>
      <c r="J19" s="224"/>
      <c r="K19" s="20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>
      <c r="A20" s="26"/>
      <c r="B20" s="202"/>
      <c r="C20" s="203"/>
      <c r="D20" s="204"/>
      <c r="E20" s="204"/>
      <c r="F20" s="204"/>
      <c r="G20" s="204"/>
      <c r="H20" s="204"/>
      <c r="I20" s="205"/>
      <c r="J20" s="29"/>
      <c r="K20" s="20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>
      <c r="A21" s="26"/>
      <c r="B21" s="225" t="s">
        <v>129</v>
      </c>
      <c r="C21" s="208" t="s">
        <v>55</v>
      </c>
      <c r="D21" s="207"/>
      <c r="E21" s="207" t="s">
        <v>130</v>
      </c>
      <c r="F21" s="207" t="s">
        <v>131</v>
      </c>
      <c r="G21" s="207" t="s">
        <v>132</v>
      </c>
      <c r="H21" s="207" t="s">
        <v>133</v>
      </c>
      <c r="I21" s="207" t="s">
        <v>134</v>
      </c>
      <c r="J21" s="207" t="s">
        <v>135</v>
      </c>
      <c r="K21" s="209" t="s">
        <v>136</v>
      </c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>
      <c r="A22" s="26"/>
      <c r="B22" s="226">
        <v>1.0</v>
      </c>
      <c r="C22" s="54" t="s">
        <v>168</v>
      </c>
      <c r="D22" s="210"/>
      <c r="E22" s="210" t="s">
        <v>138</v>
      </c>
      <c r="F22" s="210" t="s">
        <v>139</v>
      </c>
      <c r="G22" s="210" t="s">
        <v>140</v>
      </c>
      <c r="H22" s="211">
        <v>3000000.0</v>
      </c>
      <c r="I22" s="211">
        <f t="shared" ref="I22:I27" si="6">(H22*$I$19)+H22</f>
        <v>3000000</v>
      </c>
      <c r="J22" s="212">
        <f t="shared" ref="J22:J27" si="7">I22/12</f>
        <v>250000</v>
      </c>
      <c r="K22" s="227">
        <f t="shared" ref="K22:K27" si="8">J22/22</f>
        <v>11363.63636</v>
      </c>
      <c r="L22" s="26">
        <v>2500000.0</v>
      </c>
      <c r="M22" s="218">
        <f t="shared" ref="M22:M23" si="9">L22/12</f>
        <v>208333.3333</v>
      </c>
      <c r="N22" s="218">
        <f t="shared" ref="N22:N23" si="10">M22/22</f>
        <v>9469.69697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>
      <c r="A23" s="26"/>
      <c r="B23" s="226">
        <v>2.0</v>
      </c>
      <c r="C23" s="54" t="s">
        <v>169</v>
      </c>
      <c r="D23" s="210"/>
      <c r="E23" s="210" t="s">
        <v>138</v>
      </c>
      <c r="F23" s="210" t="s">
        <v>143</v>
      </c>
      <c r="G23" s="210" t="s">
        <v>140</v>
      </c>
      <c r="H23" s="211">
        <v>2000000.0</v>
      </c>
      <c r="I23" s="211">
        <f t="shared" si="6"/>
        <v>2000000</v>
      </c>
      <c r="J23" s="212">
        <f t="shared" si="7"/>
        <v>166666.6667</v>
      </c>
      <c r="K23" s="227">
        <f t="shared" si="8"/>
        <v>7575.757576</v>
      </c>
      <c r="L23" s="26">
        <v>1700000.0</v>
      </c>
      <c r="M23" s="218">
        <f t="shared" si="9"/>
        <v>141666.6667</v>
      </c>
      <c r="N23" s="218">
        <f t="shared" si="10"/>
        <v>6439.393939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>
      <c r="A24" s="26"/>
      <c r="B24" s="226">
        <v>3.0</v>
      </c>
      <c r="C24" s="54" t="s">
        <v>170</v>
      </c>
      <c r="D24" s="210"/>
      <c r="E24" s="210" t="s">
        <v>146</v>
      </c>
      <c r="F24" s="210" t="s">
        <v>143</v>
      </c>
      <c r="G24" s="210" t="s">
        <v>140</v>
      </c>
      <c r="H24" s="211">
        <v>3000000.0</v>
      </c>
      <c r="I24" s="211">
        <f t="shared" si="6"/>
        <v>3000000</v>
      </c>
      <c r="J24" s="212">
        <f t="shared" si="7"/>
        <v>250000</v>
      </c>
      <c r="K24" s="227">
        <f t="shared" si="8"/>
        <v>11363.63636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>
      <c r="A25" s="26"/>
      <c r="B25" s="226">
        <v>4.0</v>
      </c>
      <c r="C25" s="54" t="s">
        <v>171</v>
      </c>
      <c r="D25" s="210"/>
      <c r="E25" s="210" t="s">
        <v>138</v>
      </c>
      <c r="F25" s="210" t="s">
        <v>149</v>
      </c>
      <c r="G25" s="210" t="s">
        <v>140</v>
      </c>
      <c r="H25" s="211">
        <v>6000000.0</v>
      </c>
      <c r="I25" s="211">
        <f t="shared" si="6"/>
        <v>6000000</v>
      </c>
      <c r="J25" s="212">
        <f t="shared" si="7"/>
        <v>500000</v>
      </c>
      <c r="K25" s="227">
        <f t="shared" si="8"/>
        <v>22727.27273</v>
      </c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>
      <c r="A26" s="26"/>
      <c r="B26" s="226">
        <v>5.0</v>
      </c>
      <c r="C26" s="54" t="s">
        <v>172</v>
      </c>
      <c r="D26" s="210"/>
      <c r="E26" s="210" t="s">
        <v>146</v>
      </c>
      <c r="F26" s="210" t="s">
        <v>143</v>
      </c>
      <c r="G26" s="210" t="s">
        <v>140</v>
      </c>
      <c r="H26" s="211">
        <v>3000000.0</v>
      </c>
      <c r="I26" s="211">
        <f t="shared" si="6"/>
        <v>3000000</v>
      </c>
      <c r="J26" s="212">
        <f t="shared" si="7"/>
        <v>250000</v>
      </c>
      <c r="K26" s="227">
        <f t="shared" si="8"/>
        <v>11363.63636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26"/>
      <c r="B27" s="228">
        <v>6.0</v>
      </c>
      <c r="C27" s="229" t="s">
        <v>173</v>
      </c>
      <c r="D27" s="230"/>
      <c r="E27" s="230" t="s">
        <v>152</v>
      </c>
      <c r="F27" s="230" t="s">
        <v>143</v>
      </c>
      <c r="G27" s="230" t="s">
        <v>140</v>
      </c>
      <c r="H27" s="231">
        <v>2000000.0</v>
      </c>
      <c r="I27" s="211">
        <f t="shared" si="6"/>
        <v>2000000</v>
      </c>
      <c r="J27" s="232">
        <f t="shared" si="7"/>
        <v>166666.6667</v>
      </c>
      <c r="K27" s="233">
        <f t="shared" si="8"/>
        <v>7575.757576</v>
      </c>
      <c r="L27" s="26">
        <v>1500000.0</v>
      </c>
      <c r="M27" s="218">
        <f>L27/12</f>
        <v>125000</v>
      </c>
      <c r="N27" s="218">
        <f>M27/22</f>
        <v>5681.818182</v>
      </c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26"/>
      <c r="B28" s="26"/>
      <c r="C28" s="71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26"/>
      <c r="B29" s="26"/>
      <c r="C29" s="71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26"/>
      <c r="B30" s="26"/>
      <c r="C30" s="71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26"/>
      <c r="B31" s="26"/>
      <c r="C31" s="71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26"/>
      <c r="B32" s="26"/>
      <c r="C32" s="71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26"/>
      <c r="B33" s="26"/>
      <c r="C33" s="71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26"/>
      <c r="B34" s="26"/>
      <c r="C34" s="71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26"/>
      <c r="B35" s="26"/>
      <c r="C35" s="71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26"/>
      <c r="B36" s="26"/>
      <c r="C36" s="71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26"/>
      <c r="B37" s="26"/>
      <c r="C37" s="71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26"/>
      <c r="B38" s="26"/>
      <c r="C38" s="71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26"/>
      <c r="B39" s="26"/>
      <c r="C39" s="71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26"/>
      <c r="B40" s="26"/>
      <c r="C40" s="71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26"/>
      <c r="B41" s="26"/>
      <c r="C41" s="71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26"/>
      <c r="B42" s="26"/>
      <c r="C42" s="71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26"/>
      <c r="B43" s="26"/>
      <c r="C43" s="71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26"/>
      <c r="B44" s="26"/>
      <c r="C44" s="71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26"/>
      <c r="B45" s="26"/>
      <c r="C45" s="71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26"/>
      <c r="B46" s="26"/>
      <c r="C46" s="71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26"/>
      <c r="B47" s="26"/>
      <c r="C47" s="71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26"/>
      <c r="B48" s="26"/>
      <c r="C48" s="71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26"/>
      <c r="B49" s="26"/>
      <c r="C49" s="71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26"/>
      <c r="B50" s="26"/>
      <c r="C50" s="71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t="15.75" customHeight="1">
      <c r="A51" s="26"/>
      <c r="B51" s="26"/>
      <c r="C51" s="71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t="15.75" customHeight="1">
      <c r="A52" s="26"/>
      <c r="B52" s="26"/>
      <c r="C52" s="71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26"/>
      <c r="B53" s="26"/>
      <c r="C53" s="71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26"/>
      <c r="B54" s="26"/>
      <c r="C54" s="71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26"/>
      <c r="B55" s="26"/>
      <c r="C55" s="71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26"/>
      <c r="B56" s="26"/>
      <c r="C56" s="71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26"/>
      <c r="B57" s="26"/>
      <c r="C57" s="71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26"/>
      <c r="B58" s="26"/>
      <c r="C58" s="71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26"/>
      <c r="B59" s="26"/>
      <c r="C59" s="71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26"/>
      <c r="B60" s="26"/>
      <c r="C60" s="71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26"/>
      <c r="B61" s="26"/>
      <c r="C61" s="71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26"/>
      <c r="B62" s="26"/>
      <c r="C62" s="71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26"/>
      <c r="B63" s="26"/>
      <c r="C63" s="71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26"/>
      <c r="B64" s="26"/>
      <c r="C64" s="71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26"/>
      <c r="B65" s="26"/>
      <c r="C65" s="71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26"/>
      <c r="B66" s="26"/>
      <c r="C66" s="71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26"/>
      <c r="B67" s="26"/>
      <c r="C67" s="71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26"/>
      <c r="B68" s="26"/>
      <c r="C68" s="71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26"/>
      <c r="B69" s="26"/>
      <c r="C69" s="71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26"/>
      <c r="B70" s="26"/>
      <c r="C70" s="71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26"/>
      <c r="B71" s="26"/>
      <c r="C71" s="71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26"/>
      <c r="B72" s="26"/>
      <c r="C72" s="71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26"/>
      <c r="B73" s="26"/>
      <c r="C73" s="71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26"/>
      <c r="B74" s="26"/>
      <c r="C74" s="71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26"/>
      <c r="B75" s="26"/>
      <c r="C75" s="71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26"/>
      <c r="B76" s="26"/>
      <c r="C76" s="71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26"/>
      <c r="B77" s="26"/>
      <c r="C77" s="71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26"/>
      <c r="B78" s="26"/>
      <c r="C78" s="71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26"/>
      <c r="B79" s="26"/>
      <c r="C79" s="71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26"/>
      <c r="B80" s="26"/>
      <c r="C80" s="71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26"/>
      <c r="B81" s="26"/>
      <c r="C81" s="71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26"/>
      <c r="B82" s="26"/>
      <c r="C82" s="71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26"/>
      <c r="B83" s="26"/>
      <c r="C83" s="71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26"/>
      <c r="B84" s="26"/>
      <c r="C84" s="71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26"/>
      <c r="B85" s="26"/>
      <c r="C85" s="71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26"/>
      <c r="B86" s="26"/>
      <c r="C86" s="71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26"/>
      <c r="B87" s="26"/>
      <c r="C87" s="71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26"/>
      <c r="B88" s="26"/>
      <c r="C88" s="71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26"/>
      <c r="B89" s="26"/>
      <c r="C89" s="71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26"/>
      <c r="B90" s="26"/>
      <c r="C90" s="71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26"/>
      <c r="B91" s="26"/>
      <c r="C91" s="71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26"/>
      <c r="B92" s="26"/>
      <c r="C92" s="71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26"/>
      <c r="B93" s="26"/>
      <c r="C93" s="71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26"/>
      <c r="B94" s="26"/>
      <c r="C94" s="71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26"/>
      <c r="B95" s="26"/>
      <c r="C95" s="71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26"/>
      <c r="B96" s="26"/>
      <c r="C96" s="71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26"/>
      <c r="B97" s="26"/>
      <c r="C97" s="71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26"/>
      <c r="B98" s="26"/>
      <c r="C98" s="71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26"/>
      <c r="B99" s="26"/>
      <c r="C99" s="71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26"/>
      <c r="B100" s="26"/>
      <c r="C100" s="71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26"/>
      <c r="B101" s="26"/>
      <c r="C101" s="71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26"/>
      <c r="B102" s="26"/>
      <c r="C102" s="71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26"/>
      <c r="B103" s="26"/>
      <c r="C103" s="71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26"/>
      <c r="B104" s="26"/>
      <c r="C104" s="71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26"/>
      <c r="B105" s="26"/>
      <c r="C105" s="71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26"/>
      <c r="B106" s="26"/>
      <c r="C106" s="71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26"/>
      <c r="B107" s="26"/>
      <c r="C107" s="71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26"/>
      <c r="B108" s="26"/>
      <c r="C108" s="71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26"/>
      <c r="B109" s="26"/>
      <c r="C109" s="71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26"/>
      <c r="B110" s="26"/>
      <c r="C110" s="71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26"/>
      <c r="B111" s="26"/>
      <c r="C111" s="71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26"/>
      <c r="B112" s="26"/>
      <c r="C112" s="71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26"/>
      <c r="B113" s="26"/>
      <c r="C113" s="71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26"/>
      <c r="B114" s="26"/>
      <c r="C114" s="71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26"/>
      <c r="B115" s="26"/>
      <c r="C115" s="71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26"/>
      <c r="B116" s="26"/>
      <c r="C116" s="71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26"/>
      <c r="B117" s="26"/>
      <c r="C117" s="71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26"/>
      <c r="B118" s="26"/>
      <c r="C118" s="71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26"/>
      <c r="B119" s="26"/>
      <c r="C119" s="71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26"/>
      <c r="B120" s="26"/>
      <c r="C120" s="71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26"/>
      <c r="B121" s="26"/>
      <c r="C121" s="71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26"/>
      <c r="B122" s="26"/>
      <c r="C122" s="71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26"/>
      <c r="B123" s="26"/>
      <c r="C123" s="71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26"/>
      <c r="B124" s="26"/>
      <c r="C124" s="71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26"/>
      <c r="B125" s="26"/>
      <c r="C125" s="71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26"/>
      <c r="B126" s="26"/>
      <c r="C126" s="71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26"/>
      <c r="B127" s="26"/>
      <c r="C127" s="71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26"/>
      <c r="B128" s="26"/>
      <c r="C128" s="71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26"/>
      <c r="B129" s="26"/>
      <c r="C129" s="71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26"/>
      <c r="B130" s="26"/>
      <c r="C130" s="71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26"/>
      <c r="B131" s="26"/>
      <c r="C131" s="71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26"/>
      <c r="B132" s="26"/>
      <c r="C132" s="71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26"/>
      <c r="B133" s="26"/>
      <c r="C133" s="71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26"/>
      <c r="B134" s="26"/>
      <c r="C134" s="71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26"/>
      <c r="B135" s="26"/>
      <c r="C135" s="71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26"/>
      <c r="B136" s="26"/>
      <c r="C136" s="71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26"/>
      <c r="B137" s="26"/>
      <c r="C137" s="71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26"/>
      <c r="B138" s="26"/>
      <c r="C138" s="71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26"/>
      <c r="B139" s="26"/>
      <c r="C139" s="71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26"/>
      <c r="B140" s="26"/>
      <c r="C140" s="71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26"/>
      <c r="B141" s="26"/>
      <c r="C141" s="71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26"/>
      <c r="B142" s="26"/>
      <c r="C142" s="71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26"/>
      <c r="B143" s="26"/>
      <c r="C143" s="71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26"/>
      <c r="B144" s="26"/>
      <c r="C144" s="71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26"/>
      <c r="B145" s="26"/>
      <c r="C145" s="71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26"/>
      <c r="B146" s="26"/>
      <c r="C146" s="71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26"/>
      <c r="B147" s="26"/>
      <c r="C147" s="71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26"/>
      <c r="B148" s="26"/>
      <c r="C148" s="71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26"/>
      <c r="B149" s="26"/>
      <c r="C149" s="71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26"/>
      <c r="B150" s="26"/>
      <c r="C150" s="71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26"/>
      <c r="B151" s="26"/>
      <c r="C151" s="71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26"/>
      <c r="B152" s="26"/>
      <c r="C152" s="71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26"/>
      <c r="B153" s="26"/>
      <c r="C153" s="71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26"/>
      <c r="B154" s="26"/>
      <c r="C154" s="71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26"/>
      <c r="B155" s="26"/>
      <c r="C155" s="71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26"/>
      <c r="B156" s="26"/>
      <c r="C156" s="71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26"/>
      <c r="B157" s="26"/>
      <c r="C157" s="71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26"/>
      <c r="B158" s="26"/>
      <c r="C158" s="71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26"/>
      <c r="B159" s="26"/>
      <c r="C159" s="71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26"/>
      <c r="B160" s="26"/>
      <c r="C160" s="71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26"/>
      <c r="B161" s="26"/>
      <c r="C161" s="71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26"/>
      <c r="B162" s="26"/>
      <c r="C162" s="71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26"/>
      <c r="B163" s="26"/>
      <c r="C163" s="71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26"/>
      <c r="B164" s="26"/>
      <c r="C164" s="71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26"/>
      <c r="B165" s="26"/>
      <c r="C165" s="71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26"/>
      <c r="B166" s="26"/>
      <c r="C166" s="71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26"/>
      <c r="B167" s="26"/>
      <c r="C167" s="71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26"/>
      <c r="B168" s="26"/>
      <c r="C168" s="71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26"/>
      <c r="B169" s="26"/>
      <c r="C169" s="71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26"/>
      <c r="B170" s="26"/>
      <c r="C170" s="71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26"/>
      <c r="B171" s="26"/>
      <c r="C171" s="71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26"/>
      <c r="B172" s="26"/>
      <c r="C172" s="71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26"/>
      <c r="B173" s="26"/>
      <c r="C173" s="71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26"/>
      <c r="B174" s="26"/>
      <c r="C174" s="71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26"/>
      <c r="B175" s="26"/>
      <c r="C175" s="71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26"/>
      <c r="B176" s="26"/>
      <c r="C176" s="71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26"/>
      <c r="B177" s="26"/>
      <c r="C177" s="71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26"/>
      <c r="B178" s="26"/>
      <c r="C178" s="71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26"/>
      <c r="B179" s="26"/>
      <c r="C179" s="71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26"/>
      <c r="B180" s="26"/>
      <c r="C180" s="71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26"/>
      <c r="B181" s="26"/>
      <c r="C181" s="71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26"/>
      <c r="B182" s="26"/>
      <c r="C182" s="71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26"/>
      <c r="B183" s="26"/>
      <c r="C183" s="71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26"/>
      <c r="B184" s="26"/>
      <c r="C184" s="71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26"/>
      <c r="B185" s="26"/>
      <c r="C185" s="71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26"/>
      <c r="B186" s="26"/>
      <c r="C186" s="71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26"/>
      <c r="B187" s="26"/>
      <c r="C187" s="71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26"/>
      <c r="B188" s="26"/>
      <c r="C188" s="71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26"/>
      <c r="B189" s="26"/>
      <c r="C189" s="71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26"/>
      <c r="B190" s="26"/>
      <c r="C190" s="71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26"/>
      <c r="B191" s="26"/>
      <c r="C191" s="71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26"/>
      <c r="B192" s="26"/>
      <c r="C192" s="71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26"/>
      <c r="B193" s="26"/>
      <c r="C193" s="71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26"/>
      <c r="B194" s="26"/>
      <c r="C194" s="71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26"/>
      <c r="B195" s="26"/>
      <c r="C195" s="71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26"/>
      <c r="B196" s="26"/>
      <c r="C196" s="71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26"/>
      <c r="B197" s="26"/>
      <c r="C197" s="71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26"/>
      <c r="B198" s="26"/>
      <c r="C198" s="71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26"/>
      <c r="B199" s="26"/>
      <c r="C199" s="71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26"/>
      <c r="B200" s="26"/>
      <c r="C200" s="71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26"/>
      <c r="B201" s="26"/>
      <c r="C201" s="71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26"/>
      <c r="B202" s="26"/>
      <c r="C202" s="71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26"/>
      <c r="B203" s="26"/>
      <c r="C203" s="71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26"/>
      <c r="B204" s="26"/>
      <c r="C204" s="71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26"/>
      <c r="B205" s="26"/>
      <c r="C205" s="71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26"/>
      <c r="B206" s="26"/>
      <c r="C206" s="71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26"/>
      <c r="B207" s="26"/>
      <c r="C207" s="71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26"/>
      <c r="B208" s="26"/>
      <c r="C208" s="71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26"/>
      <c r="B209" s="26"/>
      <c r="C209" s="71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26"/>
      <c r="B210" s="26"/>
      <c r="C210" s="71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26"/>
      <c r="B211" s="26"/>
      <c r="C211" s="71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26"/>
      <c r="B212" s="26"/>
      <c r="C212" s="71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26"/>
      <c r="B213" s="26"/>
      <c r="C213" s="71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26"/>
      <c r="B214" s="26"/>
      <c r="C214" s="71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26"/>
      <c r="B215" s="26"/>
      <c r="C215" s="71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26"/>
      <c r="B216" s="26"/>
      <c r="C216" s="71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26"/>
      <c r="B217" s="26"/>
      <c r="C217" s="71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26"/>
      <c r="B218" s="26"/>
      <c r="C218" s="71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26"/>
      <c r="B219" s="26"/>
      <c r="C219" s="71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26"/>
      <c r="B220" s="26"/>
      <c r="C220" s="71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26"/>
      <c r="B221" s="26"/>
      <c r="C221" s="71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26"/>
      <c r="B222" s="26"/>
      <c r="C222" s="71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26"/>
      <c r="B223" s="26"/>
      <c r="C223" s="71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26"/>
      <c r="B224" s="26"/>
      <c r="C224" s="71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26"/>
      <c r="B225" s="26"/>
      <c r="C225" s="71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26"/>
      <c r="B226" s="26"/>
      <c r="C226" s="71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26"/>
      <c r="B227" s="26"/>
      <c r="C227" s="71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26"/>
      <c r="B228" s="26"/>
      <c r="C228" s="71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26"/>
      <c r="B229" s="26"/>
      <c r="C229" s="71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26"/>
      <c r="B230" s="26"/>
      <c r="C230" s="71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26"/>
      <c r="B231" s="26"/>
      <c r="C231" s="71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26"/>
      <c r="B232" s="26"/>
      <c r="C232" s="71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26"/>
      <c r="B233" s="26"/>
      <c r="C233" s="71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26"/>
      <c r="B234" s="26"/>
      <c r="C234" s="71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26"/>
      <c r="B235" s="26"/>
      <c r="C235" s="71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ht="15.75" customHeight="1">
      <c r="A236" s="26"/>
      <c r="B236" s="26"/>
      <c r="C236" s="71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ht="15.75" customHeight="1">
      <c r="A237" s="26"/>
      <c r="B237" s="26"/>
      <c r="C237" s="71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ht="15.75" customHeight="1">
      <c r="A238" s="26"/>
      <c r="B238" s="26"/>
      <c r="C238" s="71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ht="15.75" customHeight="1">
      <c r="A239" s="26"/>
      <c r="B239" s="26"/>
      <c r="C239" s="71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ht="15.75" customHeight="1">
      <c r="A240" s="26"/>
      <c r="B240" s="26"/>
      <c r="C240" s="71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ht="15.75" customHeight="1">
      <c r="A241" s="26"/>
      <c r="B241" s="26"/>
      <c r="C241" s="71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ht="15.75" customHeight="1">
      <c r="A242" s="26"/>
      <c r="B242" s="26"/>
      <c r="C242" s="71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 ht="15.75" customHeight="1">
      <c r="A243" s="26"/>
      <c r="B243" s="26"/>
      <c r="C243" s="71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 ht="15.75" customHeight="1">
      <c r="A244" s="26"/>
      <c r="B244" s="26"/>
      <c r="C244" s="71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 ht="15.75" customHeight="1">
      <c r="A245" s="26"/>
      <c r="B245" s="26"/>
      <c r="C245" s="71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 ht="15.75" customHeight="1">
      <c r="A246" s="26"/>
      <c r="B246" s="26"/>
      <c r="C246" s="71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</row>
    <row r="247" ht="15.75" customHeight="1">
      <c r="A247" s="26"/>
      <c r="B247" s="26"/>
      <c r="C247" s="71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</row>
    <row r="248" ht="15.75" customHeight="1">
      <c r="A248" s="26"/>
      <c r="B248" s="26"/>
      <c r="C248" s="71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</row>
    <row r="249" ht="15.75" customHeight="1">
      <c r="A249" s="26"/>
      <c r="B249" s="26"/>
      <c r="C249" s="71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</row>
    <row r="250" ht="15.75" customHeight="1">
      <c r="A250" s="26"/>
      <c r="B250" s="26"/>
      <c r="C250" s="71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</row>
    <row r="251" ht="15.75" customHeight="1">
      <c r="A251" s="26"/>
      <c r="B251" s="26"/>
      <c r="C251" s="71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  <row r="252" ht="15.75" customHeight="1">
      <c r="A252" s="26"/>
      <c r="B252" s="26"/>
      <c r="C252" s="71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</row>
    <row r="253" ht="15.75" customHeight="1">
      <c r="A253" s="26"/>
      <c r="B253" s="26"/>
      <c r="C253" s="71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</row>
    <row r="254" ht="15.75" customHeight="1">
      <c r="A254" s="26"/>
      <c r="B254" s="26"/>
      <c r="C254" s="71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</row>
    <row r="255" ht="15.75" customHeight="1">
      <c r="A255" s="26"/>
      <c r="B255" s="26"/>
      <c r="C255" s="71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</row>
    <row r="256" ht="15.75" customHeight="1">
      <c r="A256" s="26"/>
      <c r="B256" s="26"/>
      <c r="C256" s="71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</row>
    <row r="257" ht="15.75" customHeight="1">
      <c r="A257" s="26"/>
      <c r="B257" s="26"/>
      <c r="C257" s="71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</row>
    <row r="258" ht="15.75" customHeight="1">
      <c r="A258" s="26"/>
      <c r="B258" s="26"/>
      <c r="C258" s="71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</row>
    <row r="259" ht="15.75" customHeight="1">
      <c r="A259" s="26"/>
      <c r="B259" s="26"/>
      <c r="C259" s="71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</row>
    <row r="260" ht="15.75" customHeight="1">
      <c r="A260" s="26"/>
      <c r="B260" s="26"/>
      <c r="C260" s="71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</row>
    <row r="261" ht="15.75" customHeight="1">
      <c r="A261" s="26"/>
      <c r="B261" s="26"/>
      <c r="C261" s="71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</row>
    <row r="262" ht="15.75" customHeight="1">
      <c r="A262" s="26"/>
      <c r="B262" s="26"/>
      <c r="C262" s="71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</row>
    <row r="263" ht="15.75" customHeight="1">
      <c r="A263" s="26"/>
      <c r="B263" s="26"/>
      <c r="C263" s="71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</row>
    <row r="264" ht="15.75" customHeight="1">
      <c r="A264" s="26"/>
      <c r="B264" s="26"/>
      <c r="C264" s="71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</row>
    <row r="265" ht="15.75" customHeight="1">
      <c r="A265" s="26"/>
      <c r="B265" s="26"/>
      <c r="C265" s="71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</row>
    <row r="266" ht="15.75" customHeight="1">
      <c r="A266" s="26"/>
      <c r="B266" s="26"/>
      <c r="C266" s="71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</row>
    <row r="267" ht="15.75" customHeight="1">
      <c r="A267" s="26"/>
      <c r="B267" s="26"/>
      <c r="C267" s="71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</row>
    <row r="268" ht="15.75" customHeight="1">
      <c r="A268" s="26"/>
      <c r="B268" s="26"/>
      <c r="C268" s="71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</row>
    <row r="269" ht="15.75" customHeight="1">
      <c r="A269" s="26"/>
      <c r="B269" s="26"/>
      <c r="C269" s="71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</row>
    <row r="270" ht="15.75" customHeight="1">
      <c r="A270" s="26"/>
      <c r="B270" s="26"/>
      <c r="C270" s="71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</row>
    <row r="271" ht="15.75" customHeight="1">
      <c r="A271" s="26"/>
      <c r="B271" s="26"/>
      <c r="C271" s="71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</row>
    <row r="272" ht="15.75" customHeight="1">
      <c r="A272" s="26"/>
      <c r="B272" s="26"/>
      <c r="C272" s="71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</row>
    <row r="273" ht="15.75" customHeight="1">
      <c r="A273" s="26"/>
      <c r="B273" s="26"/>
      <c r="C273" s="71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</row>
    <row r="274" ht="15.75" customHeight="1">
      <c r="A274" s="26"/>
      <c r="B274" s="26"/>
      <c r="C274" s="71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</row>
    <row r="275" ht="15.75" customHeight="1">
      <c r="A275" s="26"/>
      <c r="B275" s="26"/>
      <c r="C275" s="71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</row>
    <row r="276" ht="15.75" customHeight="1">
      <c r="A276" s="26"/>
      <c r="B276" s="26"/>
      <c r="C276" s="71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</row>
    <row r="277" ht="15.75" customHeight="1">
      <c r="A277" s="26"/>
      <c r="B277" s="26"/>
      <c r="C277" s="71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</row>
    <row r="278" ht="15.75" customHeight="1">
      <c r="A278" s="26"/>
      <c r="B278" s="26"/>
      <c r="C278" s="71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</row>
    <row r="279" ht="15.75" customHeight="1">
      <c r="A279" s="26"/>
      <c r="B279" s="26"/>
      <c r="C279" s="71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</row>
    <row r="280" ht="15.75" customHeight="1">
      <c r="A280" s="26"/>
      <c r="B280" s="26"/>
      <c r="C280" s="71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</row>
    <row r="281" ht="15.75" customHeight="1">
      <c r="A281" s="26"/>
      <c r="B281" s="26"/>
      <c r="C281" s="71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</row>
    <row r="282" ht="15.75" customHeight="1">
      <c r="A282" s="26"/>
      <c r="B282" s="26"/>
      <c r="C282" s="71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</row>
    <row r="283" ht="15.75" customHeight="1">
      <c r="A283" s="26"/>
      <c r="B283" s="26"/>
      <c r="C283" s="71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</row>
    <row r="284" ht="15.75" customHeight="1">
      <c r="A284" s="26"/>
      <c r="B284" s="26"/>
      <c r="C284" s="71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</row>
    <row r="285" ht="15.75" customHeight="1">
      <c r="A285" s="26"/>
      <c r="B285" s="26"/>
      <c r="C285" s="71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</row>
    <row r="286" ht="15.75" customHeight="1">
      <c r="A286" s="26"/>
      <c r="B286" s="26"/>
      <c r="C286" s="71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</row>
    <row r="287" ht="15.75" customHeight="1">
      <c r="A287" s="26"/>
      <c r="B287" s="26"/>
      <c r="C287" s="71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</row>
    <row r="288" ht="15.75" customHeight="1">
      <c r="A288" s="26"/>
      <c r="B288" s="26"/>
      <c r="C288" s="71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</row>
    <row r="289" ht="15.75" customHeight="1">
      <c r="A289" s="26"/>
      <c r="B289" s="26"/>
      <c r="C289" s="71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</row>
    <row r="290" ht="15.75" customHeight="1">
      <c r="A290" s="26"/>
      <c r="B290" s="26"/>
      <c r="C290" s="71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</row>
    <row r="291" ht="15.75" customHeight="1">
      <c r="A291" s="26"/>
      <c r="B291" s="26"/>
      <c r="C291" s="71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</row>
    <row r="292" ht="15.75" customHeight="1">
      <c r="A292" s="26"/>
      <c r="B292" s="26"/>
      <c r="C292" s="71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</row>
    <row r="293" ht="15.75" customHeight="1">
      <c r="A293" s="26"/>
      <c r="B293" s="26"/>
      <c r="C293" s="71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</row>
    <row r="294" ht="15.75" customHeight="1">
      <c r="A294" s="26"/>
      <c r="B294" s="26"/>
      <c r="C294" s="71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</row>
    <row r="295" ht="15.75" customHeight="1">
      <c r="A295" s="26"/>
      <c r="B295" s="26"/>
      <c r="C295" s="71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</row>
    <row r="296" ht="15.75" customHeight="1">
      <c r="A296" s="26"/>
      <c r="B296" s="26"/>
      <c r="C296" s="71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</row>
    <row r="297" ht="15.75" customHeight="1">
      <c r="A297" s="26"/>
      <c r="B297" s="26"/>
      <c r="C297" s="71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</row>
    <row r="298" ht="15.75" customHeight="1">
      <c r="A298" s="26"/>
      <c r="B298" s="26"/>
      <c r="C298" s="71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</row>
    <row r="299" ht="15.75" customHeight="1">
      <c r="A299" s="26"/>
      <c r="B299" s="26"/>
      <c r="C299" s="71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</row>
    <row r="300" ht="15.75" customHeight="1">
      <c r="A300" s="26"/>
      <c r="B300" s="26"/>
      <c r="C300" s="71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</row>
    <row r="301" ht="15.75" customHeight="1">
      <c r="A301" s="26"/>
      <c r="B301" s="26"/>
      <c r="C301" s="71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</row>
    <row r="302" ht="15.75" customHeight="1">
      <c r="A302" s="26"/>
      <c r="B302" s="26"/>
      <c r="C302" s="71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</row>
    <row r="303" ht="15.75" customHeight="1">
      <c r="A303" s="26"/>
      <c r="B303" s="26"/>
      <c r="C303" s="71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</row>
    <row r="304" ht="15.75" customHeight="1">
      <c r="A304" s="26"/>
      <c r="B304" s="26"/>
      <c r="C304" s="71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</row>
    <row r="305" ht="15.75" customHeight="1">
      <c r="A305" s="26"/>
      <c r="B305" s="26"/>
      <c r="C305" s="71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</row>
    <row r="306" ht="15.75" customHeight="1">
      <c r="A306" s="26"/>
      <c r="B306" s="26"/>
      <c r="C306" s="71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</row>
    <row r="307" ht="15.75" customHeight="1">
      <c r="A307" s="26"/>
      <c r="B307" s="26"/>
      <c r="C307" s="71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</row>
    <row r="308" ht="15.75" customHeight="1">
      <c r="A308" s="26"/>
      <c r="B308" s="26"/>
      <c r="C308" s="71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</row>
    <row r="309" ht="15.75" customHeight="1">
      <c r="A309" s="26"/>
      <c r="B309" s="26"/>
      <c r="C309" s="71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</row>
    <row r="310" ht="15.75" customHeight="1">
      <c r="A310" s="26"/>
      <c r="B310" s="26"/>
      <c r="C310" s="71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</row>
    <row r="311" ht="15.75" customHeight="1">
      <c r="A311" s="26"/>
      <c r="B311" s="26"/>
      <c r="C311" s="71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</row>
    <row r="312" ht="15.75" customHeight="1">
      <c r="A312" s="26"/>
      <c r="B312" s="26"/>
      <c r="C312" s="71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</row>
    <row r="313" ht="15.75" customHeight="1">
      <c r="A313" s="26"/>
      <c r="B313" s="26"/>
      <c r="C313" s="71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</row>
    <row r="314" ht="15.75" customHeight="1">
      <c r="A314" s="26"/>
      <c r="B314" s="26"/>
      <c r="C314" s="71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</row>
    <row r="315" ht="15.75" customHeight="1">
      <c r="A315" s="26"/>
      <c r="B315" s="26"/>
      <c r="C315" s="71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</row>
    <row r="316" ht="15.75" customHeight="1">
      <c r="A316" s="26"/>
      <c r="B316" s="26"/>
      <c r="C316" s="71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</row>
    <row r="317" ht="15.75" customHeight="1">
      <c r="A317" s="26"/>
      <c r="B317" s="26"/>
      <c r="C317" s="71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</row>
    <row r="318" ht="15.75" customHeight="1">
      <c r="A318" s="26"/>
      <c r="B318" s="26"/>
      <c r="C318" s="71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</row>
    <row r="319" ht="15.75" customHeight="1">
      <c r="A319" s="26"/>
      <c r="B319" s="26"/>
      <c r="C319" s="71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</row>
    <row r="320" ht="15.75" customHeight="1">
      <c r="A320" s="26"/>
      <c r="B320" s="26"/>
      <c r="C320" s="71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</row>
    <row r="321" ht="15.75" customHeight="1">
      <c r="A321" s="26"/>
      <c r="B321" s="26"/>
      <c r="C321" s="71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</row>
    <row r="322" ht="15.75" customHeight="1">
      <c r="A322" s="26"/>
      <c r="B322" s="26"/>
      <c r="C322" s="71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</row>
    <row r="323" ht="15.75" customHeight="1">
      <c r="A323" s="26"/>
      <c r="B323" s="26"/>
      <c r="C323" s="71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</row>
    <row r="324" ht="15.75" customHeight="1">
      <c r="A324" s="26"/>
      <c r="B324" s="26"/>
      <c r="C324" s="71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</row>
    <row r="325" ht="15.75" customHeight="1">
      <c r="A325" s="26"/>
      <c r="B325" s="26"/>
      <c r="C325" s="71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</row>
    <row r="326" ht="15.75" customHeight="1">
      <c r="A326" s="26"/>
      <c r="B326" s="26"/>
      <c r="C326" s="71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</row>
    <row r="327" ht="15.75" customHeight="1">
      <c r="A327" s="26"/>
      <c r="B327" s="26"/>
      <c r="C327" s="71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</row>
    <row r="328" ht="15.75" customHeight="1">
      <c r="A328" s="26"/>
      <c r="B328" s="26"/>
      <c r="C328" s="71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</row>
    <row r="329" ht="15.75" customHeight="1">
      <c r="A329" s="26"/>
      <c r="B329" s="26"/>
      <c r="C329" s="71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</row>
    <row r="330" ht="15.75" customHeight="1">
      <c r="A330" s="26"/>
      <c r="B330" s="26"/>
      <c r="C330" s="71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</row>
    <row r="331" ht="15.75" customHeight="1">
      <c r="A331" s="26"/>
      <c r="B331" s="26"/>
      <c r="C331" s="71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</row>
    <row r="332" ht="15.75" customHeight="1">
      <c r="A332" s="26"/>
      <c r="B332" s="26"/>
      <c r="C332" s="71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</row>
    <row r="333" ht="15.75" customHeight="1">
      <c r="A333" s="26"/>
      <c r="B333" s="26"/>
      <c r="C333" s="71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</row>
    <row r="334" ht="15.75" customHeight="1">
      <c r="A334" s="26"/>
      <c r="B334" s="26"/>
      <c r="C334" s="71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</row>
    <row r="335" ht="15.75" customHeight="1">
      <c r="A335" s="26"/>
      <c r="B335" s="26"/>
      <c r="C335" s="71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</row>
    <row r="336" ht="15.75" customHeight="1">
      <c r="A336" s="26"/>
      <c r="B336" s="26"/>
      <c r="C336" s="71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</row>
    <row r="337" ht="15.75" customHeight="1">
      <c r="A337" s="26"/>
      <c r="B337" s="26"/>
      <c r="C337" s="71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</row>
    <row r="338" ht="15.75" customHeight="1">
      <c r="A338" s="26"/>
      <c r="B338" s="26"/>
      <c r="C338" s="71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</row>
    <row r="339" ht="15.75" customHeight="1">
      <c r="A339" s="26"/>
      <c r="B339" s="26"/>
      <c r="C339" s="71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</row>
    <row r="340" ht="15.75" customHeight="1">
      <c r="A340" s="26"/>
      <c r="B340" s="26"/>
      <c r="C340" s="71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</row>
    <row r="341" ht="15.75" customHeight="1">
      <c r="A341" s="26"/>
      <c r="B341" s="26"/>
      <c r="C341" s="71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</row>
    <row r="342" ht="15.75" customHeight="1">
      <c r="A342" s="26"/>
      <c r="B342" s="26"/>
      <c r="C342" s="71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</row>
    <row r="343" ht="15.75" customHeight="1">
      <c r="A343" s="26"/>
      <c r="B343" s="26"/>
      <c r="C343" s="71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</row>
    <row r="344" ht="15.75" customHeight="1">
      <c r="A344" s="26"/>
      <c r="B344" s="26"/>
      <c r="C344" s="71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</row>
    <row r="345" ht="15.75" customHeight="1">
      <c r="A345" s="26"/>
      <c r="B345" s="26"/>
      <c r="C345" s="71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</row>
    <row r="346" ht="15.75" customHeight="1">
      <c r="A346" s="26"/>
      <c r="B346" s="26"/>
      <c r="C346" s="71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</row>
    <row r="347" ht="15.75" customHeight="1">
      <c r="A347" s="26"/>
      <c r="B347" s="26"/>
      <c r="C347" s="71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</row>
    <row r="348" ht="15.75" customHeight="1">
      <c r="A348" s="26"/>
      <c r="B348" s="26"/>
      <c r="C348" s="71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</row>
    <row r="349" ht="15.75" customHeight="1">
      <c r="A349" s="26"/>
      <c r="B349" s="26"/>
      <c r="C349" s="71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</row>
    <row r="350" ht="15.75" customHeight="1">
      <c r="A350" s="26"/>
      <c r="B350" s="26"/>
      <c r="C350" s="71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</row>
    <row r="351" ht="15.75" customHeight="1">
      <c r="A351" s="26"/>
      <c r="B351" s="26"/>
      <c r="C351" s="71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</row>
    <row r="352" ht="15.75" customHeight="1">
      <c r="A352" s="26"/>
      <c r="B352" s="26"/>
      <c r="C352" s="71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</row>
    <row r="353" ht="15.75" customHeight="1">
      <c r="A353" s="26"/>
      <c r="B353" s="26"/>
      <c r="C353" s="71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</row>
    <row r="354" ht="15.75" customHeight="1">
      <c r="A354" s="26"/>
      <c r="B354" s="26"/>
      <c r="C354" s="71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</row>
    <row r="355" ht="15.75" customHeight="1">
      <c r="A355" s="26"/>
      <c r="B355" s="26"/>
      <c r="C355" s="71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</row>
    <row r="356" ht="15.75" customHeight="1">
      <c r="A356" s="26"/>
      <c r="B356" s="26"/>
      <c r="C356" s="71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</row>
    <row r="357" ht="15.75" customHeight="1">
      <c r="A357" s="26"/>
      <c r="B357" s="26"/>
      <c r="C357" s="71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</row>
    <row r="358" ht="15.75" customHeight="1">
      <c r="A358" s="26"/>
      <c r="B358" s="26"/>
      <c r="C358" s="71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</row>
    <row r="359" ht="15.75" customHeight="1">
      <c r="A359" s="26"/>
      <c r="B359" s="26"/>
      <c r="C359" s="71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</row>
    <row r="360" ht="15.75" customHeight="1">
      <c r="A360" s="26"/>
      <c r="B360" s="26"/>
      <c r="C360" s="71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</row>
    <row r="361" ht="15.75" customHeight="1">
      <c r="A361" s="26"/>
      <c r="B361" s="26"/>
      <c r="C361" s="71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</row>
    <row r="362" ht="15.75" customHeight="1">
      <c r="A362" s="26"/>
      <c r="B362" s="26"/>
      <c r="C362" s="71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</row>
    <row r="363" ht="15.75" customHeight="1">
      <c r="A363" s="26"/>
      <c r="B363" s="26"/>
      <c r="C363" s="71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</row>
    <row r="364" ht="15.75" customHeight="1">
      <c r="A364" s="26"/>
      <c r="B364" s="26"/>
      <c r="C364" s="71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</row>
    <row r="365" ht="15.75" customHeight="1">
      <c r="A365" s="26"/>
      <c r="B365" s="26"/>
      <c r="C365" s="71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</row>
    <row r="366" ht="15.75" customHeight="1">
      <c r="A366" s="26"/>
      <c r="B366" s="26"/>
      <c r="C366" s="71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</row>
    <row r="367" ht="15.75" customHeight="1">
      <c r="A367" s="26"/>
      <c r="B367" s="26"/>
      <c r="C367" s="71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</row>
    <row r="368" ht="15.75" customHeight="1">
      <c r="A368" s="26"/>
      <c r="B368" s="26"/>
      <c r="C368" s="71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</row>
    <row r="369" ht="15.75" customHeight="1">
      <c r="A369" s="26"/>
      <c r="B369" s="26"/>
      <c r="C369" s="71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</row>
    <row r="370" ht="15.75" customHeight="1">
      <c r="A370" s="26"/>
      <c r="B370" s="26"/>
      <c r="C370" s="71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</row>
    <row r="371" ht="15.75" customHeight="1">
      <c r="A371" s="26"/>
      <c r="B371" s="26"/>
      <c r="C371" s="71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</row>
    <row r="372" ht="15.75" customHeight="1">
      <c r="A372" s="26"/>
      <c r="B372" s="26"/>
      <c r="C372" s="71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</row>
    <row r="373" ht="15.75" customHeight="1">
      <c r="A373" s="26"/>
      <c r="B373" s="26"/>
      <c r="C373" s="71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</row>
    <row r="374" ht="15.75" customHeight="1">
      <c r="A374" s="26"/>
      <c r="B374" s="26"/>
      <c r="C374" s="71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</row>
    <row r="375" ht="15.75" customHeight="1">
      <c r="A375" s="26"/>
      <c r="B375" s="26"/>
      <c r="C375" s="71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</row>
    <row r="376" ht="15.75" customHeight="1">
      <c r="A376" s="26"/>
      <c r="B376" s="26"/>
      <c r="C376" s="71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</row>
    <row r="377" ht="15.75" customHeight="1">
      <c r="A377" s="26"/>
      <c r="B377" s="26"/>
      <c r="C377" s="71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</row>
    <row r="378" ht="15.75" customHeight="1">
      <c r="A378" s="26"/>
      <c r="B378" s="26"/>
      <c r="C378" s="71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</row>
    <row r="379" ht="15.75" customHeight="1">
      <c r="A379" s="26"/>
      <c r="B379" s="26"/>
      <c r="C379" s="71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</row>
    <row r="380" ht="15.75" customHeight="1">
      <c r="A380" s="26"/>
      <c r="B380" s="26"/>
      <c r="C380" s="71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</row>
    <row r="381" ht="15.75" customHeight="1">
      <c r="A381" s="26"/>
      <c r="B381" s="26"/>
      <c r="C381" s="71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</row>
    <row r="382" ht="15.75" customHeight="1">
      <c r="A382" s="26"/>
      <c r="B382" s="26"/>
      <c r="C382" s="71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</row>
    <row r="383" ht="15.75" customHeight="1">
      <c r="A383" s="26"/>
      <c r="B383" s="26"/>
      <c r="C383" s="71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</row>
    <row r="384" ht="15.75" customHeight="1">
      <c r="A384" s="26"/>
      <c r="B384" s="26"/>
      <c r="C384" s="71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</row>
    <row r="385" ht="15.75" customHeight="1">
      <c r="A385" s="26"/>
      <c r="B385" s="26"/>
      <c r="C385" s="71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</row>
    <row r="386" ht="15.75" customHeight="1">
      <c r="A386" s="26"/>
      <c r="B386" s="26"/>
      <c r="C386" s="71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</row>
    <row r="387" ht="15.75" customHeight="1">
      <c r="A387" s="26"/>
      <c r="B387" s="26"/>
      <c r="C387" s="71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</row>
    <row r="388" ht="15.75" customHeight="1">
      <c r="A388" s="26"/>
      <c r="B388" s="26"/>
      <c r="C388" s="71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</row>
    <row r="389" ht="15.75" customHeight="1">
      <c r="A389" s="26"/>
      <c r="B389" s="26"/>
      <c r="C389" s="71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</row>
    <row r="390" ht="15.75" customHeight="1">
      <c r="A390" s="26"/>
      <c r="B390" s="26"/>
      <c r="C390" s="71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</row>
    <row r="391" ht="15.75" customHeight="1">
      <c r="A391" s="26"/>
      <c r="B391" s="26"/>
      <c r="C391" s="71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</row>
    <row r="392" ht="15.75" customHeight="1">
      <c r="A392" s="26"/>
      <c r="B392" s="26"/>
      <c r="C392" s="71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</row>
    <row r="393" ht="15.75" customHeight="1">
      <c r="A393" s="26"/>
      <c r="B393" s="26"/>
      <c r="C393" s="71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</row>
    <row r="394" ht="15.75" customHeight="1">
      <c r="A394" s="26"/>
      <c r="B394" s="26"/>
      <c r="C394" s="71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</row>
    <row r="395" ht="15.75" customHeight="1">
      <c r="A395" s="26"/>
      <c r="B395" s="26"/>
      <c r="C395" s="71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</row>
    <row r="396" ht="15.75" customHeight="1">
      <c r="A396" s="26"/>
      <c r="B396" s="26"/>
      <c r="C396" s="71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</row>
    <row r="397" ht="15.75" customHeight="1">
      <c r="A397" s="26"/>
      <c r="B397" s="26"/>
      <c r="C397" s="71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</row>
    <row r="398" ht="15.75" customHeight="1">
      <c r="A398" s="26"/>
      <c r="B398" s="26"/>
      <c r="C398" s="71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</row>
    <row r="399" ht="15.75" customHeight="1">
      <c r="A399" s="26"/>
      <c r="B399" s="26"/>
      <c r="C399" s="71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</row>
    <row r="400" ht="15.75" customHeight="1">
      <c r="A400" s="26"/>
      <c r="B400" s="26"/>
      <c r="C400" s="71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</row>
    <row r="401" ht="15.75" customHeight="1">
      <c r="A401" s="26"/>
      <c r="B401" s="26"/>
      <c r="C401" s="71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</row>
    <row r="402" ht="15.75" customHeight="1">
      <c r="A402" s="26"/>
      <c r="B402" s="26"/>
      <c r="C402" s="71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</row>
    <row r="403" ht="15.75" customHeight="1">
      <c r="A403" s="26"/>
      <c r="B403" s="26"/>
      <c r="C403" s="71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</row>
    <row r="404" ht="15.75" customHeight="1">
      <c r="A404" s="26"/>
      <c r="B404" s="26"/>
      <c r="C404" s="71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</row>
    <row r="405" ht="15.75" customHeight="1">
      <c r="A405" s="26"/>
      <c r="B405" s="26"/>
      <c r="C405" s="71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</row>
    <row r="406" ht="15.75" customHeight="1">
      <c r="A406" s="26"/>
      <c r="B406" s="26"/>
      <c r="C406" s="71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</row>
    <row r="407" ht="15.75" customHeight="1">
      <c r="A407" s="26"/>
      <c r="B407" s="26"/>
      <c r="C407" s="71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</row>
    <row r="408" ht="15.75" customHeight="1">
      <c r="A408" s="26"/>
      <c r="B408" s="26"/>
      <c r="C408" s="71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</row>
    <row r="409" ht="15.75" customHeight="1">
      <c r="A409" s="26"/>
      <c r="B409" s="26"/>
      <c r="C409" s="71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</row>
    <row r="410" ht="15.75" customHeight="1">
      <c r="A410" s="26"/>
      <c r="B410" s="26"/>
      <c r="C410" s="71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</row>
    <row r="411" ht="15.75" customHeight="1">
      <c r="A411" s="26"/>
      <c r="B411" s="26"/>
      <c r="C411" s="71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</row>
    <row r="412" ht="15.75" customHeight="1">
      <c r="A412" s="26"/>
      <c r="B412" s="26"/>
      <c r="C412" s="71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</row>
    <row r="413" ht="15.75" customHeight="1">
      <c r="A413" s="26"/>
      <c r="B413" s="26"/>
      <c r="C413" s="71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</row>
    <row r="414" ht="15.75" customHeight="1">
      <c r="A414" s="26"/>
      <c r="B414" s="26"/>
      <c r="C414" s="71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</row>
    <row r="415" ht="15.75" customHeight="1">
      <c r="A415" s="26"/>
      <c r="B415" s="26"/>
      <c r="C415" s="71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</row>
    <row r="416" ht="15.75" customHeight="1">
      <c r="A416" s="26"/>
      <c r="B416" s="26"/>
      <c r="C416" s="71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</row>
    <row r="417" ht="15.75" customHeight="1">
      <c r="A417" s="26"/>
      <c r="B417" s="26"/>
      <c r="C417" s="71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</row>
    <row r="418" ht="15.75" customHeight="1">
      <c r="A418" s="26"/>
      <c r="B418" s="26"/>
      <c r="C418" s="71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</row>
    <row r="419" ht="15.75" customHeight="1">
      <c r="A419" s="26"/>
      <c r="B419" s="26"/>
      <c r="C419" s="71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</row>
    <row r="420" ht="15.75" customHeight="1">
      <c r="A420" s="26"/>
      <c r="B420" s="26"/>
      <c r="C420" s="71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</row>
    <row r="421" ht="15.75" customHeight="1">
      <c r="A421" s="26"/>
      <c r="B421" s="26"/>
      <c r="C421" s="71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</row>
    <row r="422" ht="15.75" customHeight="1">
      <c r="A422" s="26"/>
      <c r="B422" s="26"/>
      <c r="C422" s="71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</row>
    <row r="423" ht="15.75" customHeight="1">
      <c r="A423" s="26"/>
      <c r="B423" s="26"/>
      <c r="C423" s="71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</row>
    <row r="424" ht="15.75" customHeight="1">
      <c r="A424" s="26"/>
      <c r="B424" s="26"/>
      <c r="C424" s="71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</row>
    <row r="425" ht="15.75" customHeight="1">
      <c r="A425" s="26"/>
      <c r="B425" s="26"/>
      <c r="C425" s="71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</row>
    <row r="426" ht="15.75" customHeight="1">
      <c r="A426" s="26"/>
      <c r="B426" s="26"/>
      <c r="C426" s="71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</row>
    <row r="427" ht="15.75" customHeight="1">
      <c r="A427" s="26"/>
      <c r="B427" s="26"/>
      <c r="C427" s="71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</row>
    <row r="428" ht="15.75" customHeight="1">
      <c r="A428" s="26"/>
      <c r="B428" s="26"/>
      <c r="C428" s="71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</row>
    <row r="429" ht="15.75" customHeight="1">
      <c r="A429" s="26"/>
      <c r="B429" s="26"/>
      <c r="C429" s="71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</row>
    <row r="430" ht="15.75" customHeight="1">
      <c r="A430" s="26"/>
      <c r="B430" s="26"/>
      <c r="C430" s="71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</row>
    <row r="431" ht="15.75" customHeight="1">
      <c r="A431" s="26"/>
      <c r="B431" s="26"/>
      <c r="C431" s="71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</row>
    <row r="432" ht="15.75" customHeight="1">
      <c r="A432" s="26"/>
      <c r="B432" s="26"/>
      <c r="C432" s="71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</row>
    <row r="433" ht="15.75" customHeight="1">
      <c r="A433" s="26"/>
      <c r="B433" s="26"/>
      <c r="C433" s="71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</row>
    <row r="434" ht="15.75" customHeight="1">
      <c r="A434" s="26"/>
      <c r="B434" s="26"/>
      <c r="C434" s="71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</row>
    <row r="435" ht="15.75" customHeight="1">
      <c r="A435" s="26"/>
      <c r="B435" s="26"/>
      <c r="C435" s="71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</row>
    <row r="436" ht="15.75" customHeight="1">
      <c r="A436" s="26"/>
      <c r="B436" s="26"/>
      <c r="C436" s="71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</row>
    <row r="437" ht="15.75" customHeight="1">
      <c r="A437" s="26"/>
      <c r="B437" s="26"/>
      <c r="C437" s="71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</row>
    <row r="438" ht="15.75" customHeight="1">
      <c r="A438" s="26"/>
      <c r="B438" s="26"/>
      <c r="C438" s="71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</row>
    <row r="439" ht="15.75" customHeight="1">
      <c r="A439" s="26"/>
      <c r="B439" s="26"/>
      <c r="C439" s="71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</row>
    <row r="440" ht="15.75" customHeight="1">
      <c r="A440" s="26"/>
      <c r="B440" s="26"/>
      <c r="C440" s="71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</row>
    <row r="441" ht="15.75" customHeight="1">
      <c r="A441" s="26"/>
      <c r="B441" s="26"/>
      <c r="C441" s="71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</row>
    <row r="442" ht="15.75" customHeight="1">
      <c r="A442" s="26"/>
      <c r="B442" s="26"/>
      <c r="C442" s="71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</row>
    <row r="443" ht="15.75" customHeight="1">
      <c r="A443" s="26"/>
      <c r="B443" s="26"/>
      <c r="C443" s="71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</row>
    <row r="444" ht="15.75" customHeight="1">
      <c r="A444" s="26"/>
      <c r="B444" s="26"/>
      <c r="C444" s="71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</row>
    <row r="445" ht="15.75" customHeight="1">
      <c r="A445" s="26"/>
      <c r="B445" s="26"/>
      <c r="C445" s="71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</row>
    <row r="446" ht="15.75" customHeight="1">
      <c r="A446" s="26"/>
      <c r="B446" s="26"/>
      <c r="C446" s="71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</row>
    <row r="447" ht="15.75" customHeight="1">
      <c r="A447" s="26"/>
      <c r="B447" s="26"/>
      <c r="C447" s="71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</row>
    <row r="448" ht="15.75" customHeight="1">
      <c r="A448" s="26"/>
      <c r="B448" s="26"/>
      <c r="C448" s="71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</row>
    <row r="449" ht="15.75" customHeight="1">
      <c r="A449" s="26"/>
      <c r="B449" s="26"/>
      <c r="C449" s="71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</row>
    <row r="450" ht="15.75" customHeight="1">
      <c r="A450" s="26"/>
      <c r="B450" s="26"/>
      <c r="C450" s="71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</row>
    <row r="451" ht="15.75" customHeight="1">
      <c r="A451" s="26"/>
      <c r="B451" s="26"/>
      <c r="C451" s="71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</row>
    <row r="452" ht="15.75" customHeight="1">
      <c r="A452" s="26"/>
      <c r="B452" s="26"/>
      <c r="C452" s="71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</row>
    <row r="453" ht="15.75" customHeight="1">
      <c r="A453" s="26"/>
      <c r="B453" s="26"/>
      <c r="C453" s="71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</row>
    <row r="454" ht="15.75" customHeight="1">
      <c r="A454" s="26"/>
      <c r="B454" s="26"/>
      <c r="C454" s="71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</row>
    <row r="455" ht="15.75" customHeight="1">
      <c r="A455" s="26"/>
      <c r="B455" s="26"/>
      <c r="C455" s="71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</row>
    <row r="456" ht="15.75" customHeight="1">
      <c r="A456" s="26"/>
      <c r="B456" s="26"/>
      <c r="C456" s="71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</row>
    <row r="457" ht="15.75" customHeight="1">
      <c r="A457" s="26"/>
      <c r="B457" s="26"/>
      <c r="C457" s="71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</row>
    <row r="458" ht="15.75" customHeight="1">
      <c r="A458" s="26"/>
      <c r="B458" s="26"/>
      <c r="C458" s="71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</row>
    <row r="459" ht="15.75" customHeight="1">
      <c r="A459" s="26"/>
      <c r="B459" s="26"/>
      <c r="C459" s="71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</row>
    <row r="460" ht="15.75" customHeight="1">
      <c r="A460" s="26"/>
      <c r="B460" s="26"/>
      <c r="C460" s="71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</row>
    <row r="461" ht="15.75" customHeight="1">
      <c r="A461" s="26"/>
      <c r="B461" s="26"/>
      <c r="C461" s="71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</row>
    <row r="462" ht="15.75" customHeight="1">
      <c r="A462" s="26"/>
      <c r="B462" s="26"/>
      <c r="C462" s="71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</row>
    <row r="463" ht="15.75" customHeight="1">
      <c r="A463" s="26"/>
      <c r="B463" s="26"/>
      <c r="C463" s="71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</row>
    <row r="464" ht="15.75" customHeight="1">
      <c r="A464" s="26"/>
      <c r="B464" s="26"/>
      <c r="C464" s="71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</row>
    <row r="465" ht="15.75" customHeight="1">
      <c r="A465" s="26"/>
      <c r="B465" s="26"/>
      <c r="C465" s="71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</row>
    <row r="466" ht="15.75" customHeight="1">
      <c r="A466" s="26"/>
      <c r="B466" s="26"/>
      <c r="C466" s="71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</row>
    <row r="467" ht="15.75" customHeight="1">
      <c r="A467" s="26"/>
      <c r="B467" s="26"/>
      <c r="C467" s="71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</row>
    <row r="468" ht="15.75" customHeight="1">
      <c r="A468" s="26"/>
      <c r="B468" s="26"/>
      <c r="C468" s="71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</row>
    <row r="469" ht="15.75" customHeight="1">
      <c r="A469" s="26"/>
      <c r="B469" s="26"/>
      <c r="C469" s="71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</row>
    <row r="470" ht="15.75" customHeight="1">
      <c r="A470" s="26"/>
      <c r="B470" s="26"/>
      <c r="C470" s="71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</row>
    <row r="471" ht="15.75" customHeight="1">
      <c r="A471" s="26"/>
      <c r="B471" s="26"/>
      <c r="C471" s="71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</row>
    <row r="472" ht="15.75" customHeight="1">
      <c r="A472" s="26"/>
      <c r="B472" s="26"/>
      <c r="C472" s="71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</row>
    <row r="473" ht="15.75" customHeight="1">
      <c r="A473" s="26"/>
      <c r="B473" s="26"/>
      <c r="C473" s="71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</row>
    <row r="474" ht="15.75" customHeight="1">
      <c r="A474" s="26"/>
      <c r="B474" s="26"/>
      <c r="C474" s="71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</row>
    <row r="475" ht="15.75" customHeight="1">
      <c r="A475" s="26"/>
      <c r="B475" s="26"/>
      <c r="C475" s="71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</row>
    <row r="476" ht="15.75" customHeight="1">
      <c r="A476" s="26"/>
      <c r="B476" s="26"/>
      <c r="C476" s="71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</row>
    <row r="477" ht="15.75" customHeight="1">
      <c r="A477" s="26"/>
      <c r="B477" s="26"/>
      <c r="C477" s="71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</row>
    <row r="478" ht="15.75" customHeight="1">
      <c r="A478" s="26"/>
      <c r="B478" s="26"/>
      <c r="C478" s="71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</row>
    <row r="479" ht="15.75" customHeight="1">
      <c r="A479" s="26"/>
      <c r="B479" s="26"/>
      <c r="C479" s="71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</row>
    <row r="480" ht="15.75" customHeight="1">
      <c r="A480" s="26"/>
      <c r="B480" s="26"/>
      <c r="C480" s="71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</row>
    <row r="481" ht="15.75" customHeight="1">
      <c r="A481" s="26"/>
      <c r="B481" s="26"/>
      <c r="C481" s="71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</row>
    <row r="482" ht="15.75" customHeight="1">
      <c r="A482" s="26"/>
      <c r="B482" s="26"/>
      <c r="C482" s="71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</row>
    <row r="483" ht="15.75" customHeight="1">
      <c r="A483" s="26"/>
      <c r="B483" s="26"/>
      <c r="C483" s="71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</row>
    <row r="484" ht="15.75" customHeight="1">
      <c r="A484" s="26"/>
      <c r="B484" s="26"/>
      <c r="C484" s="71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</row>
    <row r="485" ht="15.75" customHeight="1">
      <c r="A485" s="26"/>
      <c r="B485" s="26"/>
      <c r="C485" s="71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</row>
    <row r="486" ht="15.75" customHeight="1">
      <c r="A486" s="26"/>
      <c r="B486" s="26"/>
      <c r="C486" s="71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</row>
    <row r="487" ht="15.75" customHeight="1">
      <c r="A487" s="26"/>
      <c r="B487" s="26"/>
      <c r="C487" s="71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</row>
    <row r="488" ht="15.75" customHeight="1">
      <c r="A488" s="26"/>
      <c r="B488" s="26"/>
      <c r="C488" s="71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</row>
    <row r="489" ht="15.75" customHeight="1">
      <c r="A489" s="26"/>
      <c r="B489" s="26"/>
      <c r="C489" s="71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</row>
    <row r="490" ht="15.75" customHeight="1">
      <c r="A490" s="26"/>
      <c r="B490" s="26"/>
      <c r="C490" s="71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</row>
    <row r="491" ht="15.75" customHeight="1">
      <c r="A491" s="26"/>
      <c r="B491" s="26"/>
      <c r="C491" s="71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</row>
    <row r="492" ht="15.75" customHeight="1">
      <c r="A492" s="26"/>
      <c r="B492" s="26"/>
      <c r="C492" s="71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</row>
    <row r="493" ht="15.75" customHeight="1">
      <c r="A493" s="26"/>
      <c r="B493" s="26"/>
      <c r="C493" s="71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</row>
    <row r="494" ht="15.75" customHeight="1">
      <c r="A494" s="26"/>
      <c r="B494" s="26"/>
      <c r="C494" s="71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</row>
    <row r="495" ht="15.75" customHeight="1">
      <c r="A495" s="26"/>
      <c r="B495" s="26"/>
      <c r="C495" s="71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</row>
    <row r="496" ht="15.75" customHeight="1">
      <c r="A496" s="26"/>
      <c r="B496" s="26"/>
      <c r="C496" s="71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</row>
    <row r="497" ht="15.75" customHeight="1">
      <c r="A497" s="26"/>
      <c r="B497" s="26"/>
      <c r="C497" s="71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</row>
    <row r="498" ht="15.75" customHeight="1">
      <c r="A498" s="26"/>
      <c r="B498" s="26"/>
      <c r="C498" s="71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</row>
    <row r="499" ht="15.75" customHeight="1">
      <c r="A499" s="26"/>
      <c r="B499" s="26"/>
      <c r="C499" s="71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</row>
    <row r="500" ht="15.75" customHeight="1">
      <c r="A500" s="26"/>
      <c r="B500" s="26"/>
      <c r="C500" s="71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</row>
    <row r="501" ht="15.75" customHeight="1">
      <c r="A501" s="26"/>
      <c r="B501" s="26"/>
      <c r="C501" s="71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</row>
    <row r="502" ht="15.75" customHeight="1">
      <c r="A502" s="26"/>
      <c r="B502" s="26"/>
      <c r="C502" s="71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</row>
    <row r="503" ht="15.75" customHeight="1">
      <c r="A503" s="26"/>
      <c r="B503" s="26"/>
      <c r="C503" s="71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</row>
    <row r="504" ht="15.75" customHeight="1">
      <c r="A504" s="26"/>
      <c r="B504" s="26"/>
      <c r="C504" s="71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</row>
    <row r="505" ht="15.75" customHeight="1">
      <c r="A505" s="26"/>
      <c r="B505" s="26"/>
      <c r="C505" s="71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</row>
    <row r="506" ht="15.75" customHeight="1">
      <c r="A506" s="26"/>
      <c r="B506" s="26"/>
      <c r="C506" s="71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</row>
    <row r="507" ht="15.75" customHeight="1">
      <c r="A507" s="26"/>
      <c r="B507" s="26"/>
      <c r="C507" s="71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</row>
    <row r="508" ht="15.75" customHeight="1">
      <c r="A508" s="26"/>
      <c r="B508" s="26"/>
      <c r="C508" s="71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</row>
    <row r="509" ht="15.75" customHeight="1">
      <c r="A509" s="26"/>
      <c r="B509" s="26"/>
      <c r="C509" s="71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</row>
    <row r="510" ht="15.75" customHeight="1">
      <c r="A510" s="26"/>
      <c r="B510" s="26"/>
      <c r="C510" s="71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</row>
    <row r="511" ht="15.75" customHeight="1">
      <c r="A511" s="26"/>
      <c r="B511" s="26"/>
      <c r="C511" s="71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</row>
    <row r="512" ht="15.75" customHeight="1">
      <c r="A512" s="26"/>
      <c r="B512" s="26"/>
      <c r="C512" s="71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</row>
    <row r="513" ht="15.75" customHeight="1">
      <c r="A513" s="26"/>
      <c r="B513" s="26"/>
      <c r="C513" s="71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</row>
    <row r="514" ht="15.75" customHeight="1">
      <c r="A514" s="26"/>
      <c r="B514" s="26"/>
      <c r="C514" s="71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</row>
    <row r="515" ht="15.75" customHeight="1">
      <c r="A515" s="26"/>
      <c r="B515" s="26"/>
      <c r="C515" s="71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</row>
    <row r="516" ht="15.75" customHeight="1">
      <c r="A516" s="26"/>
      <c r="B516" s="26"/>
      <c r="C516" s="71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</row>
    <row r="517" ht="15.75" customHeight="1">
      <c r="A517" s="26"/>
      <c r="B517" s="26"/>
      <c r="C517" s="71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</row>
    <row r="518" ht="15.75" customHeight="1">
      <c r="A518" s="26"/>
      <c r="B518" s="26"/>
      <c r="C518" s="71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</row>
    <row r="519" ht="15.75" customHeight="1">
      <c r="A519" s="26"/>
      <c r="B519" s="26"/>
      <c r="C519" s="71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</row>
    <row r="520" ht="15.75" customHeight="1">
      <c r="A520" s="26"/>
      <c r="B520" s="26"/>
      <c r="C520" s="71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</row>
    <row r="521" ht="15.75" customHeight="1">
      <c r="A521" s="26"/>
      <c r="B521" s="26"/>
      <c r="C521" s="71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</row>
    <row r="522" ht="15.75" customHeight="1">
      <c r="A522" s="26"/>
      <c r="B522" s="26"/>
      <c r="C522" s="71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</row>
    <row r="523" ht="15.75" customHeight="1">
      <c r="A523" s="26"/>
      <c r="B523" s="26"/>
      <c r="C523" s="71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</row>
    <row r="524" ht="15.75" customHeight="1">
      <c r="A524" s="26"/>
      <c r="B524" s="26"/>
      <c r="C524" s="71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</row>
    <row r="525" ht="15.75" customHeight="1">
      <c r="A525" s="26"/>
      <c r="B525" s="26"/>
      <c r="C525" s="71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</row>
    <row r="526" ht="15.75" customHeight="1">
      <c r="A526" s="26"/>
      <c r="B526" s="26"/>
      <c r="C526" s="71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</row>
    <row r="527" ht="15.75" customHeight="1">
      <c r="A527" s="26"/>
      <c r="B527" s="26"/>
      <c r="C527" s="71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</row>
    <row r="528" ht="15.75" customHeight="1">
      <c r="A528" s="26"/>
      <c r="B528" s="26"/>
      <c r="C528" s="71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</row>
    <row r="529" ht="15.75" customHeight="1">
      <c r="A529" s="26"/>
      <c r="B529" s="26"/>
      <c r="C529" s="71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</row>
    <row r="530" ht="15.75" customHeight="1">
      <c r="A530" s="26"/>
      <c r="B530" s="26"/>
      <c r="C530" s="71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</row>
    <row r="531" ht="15.75" customHeight="1">
      <c r="A531" s="26"/>
      <c r="B531" s="26"/>
      <c r="C531" s="71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</row>
    <row r="532" ht="15.75" customHeight="1">
      <c r="A532" s="26"/>
      <c r="B532" s="26"/>
      <c r="C532" s="71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</row>
    <row r="533" ht="15.75" customHeight="1">
      <c r="A533" s="26"/>
      <c r="B533" s="26"/>
      <c r="C533" s="71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</row>
    <row r="534" ht="15.75" customHeight="1">
      <c r="A534" s="26"/>
      <c r="B534" s="26"/>
      <c r="C534" s="71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</row>
    <row r="535" ht="15.75" customHeight="1">
      <c r="A535" s="26"/>
      <c r="B535" s="26"/>
      <c r="C535" s="71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</row>
    <row r="536" ht="15.75" customHeight="1">
      <c r="A536" s="26"/>
      <c r="B536" s="26"/>
      <c r="C536" s="71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</row>
    <row r="537" ht="15.75" customHeight="1">
      <c r="A537" s="26"/>
      <c r="B537" s="26"/>
      <c r="C537" s="71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</row>
    <row r="538" ht="15.75" customHeight="1">
      <c r="A538" s="26"/>
      <c r="B538" s="26"/>
      <c r="C538" s="71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</row>
    <row r="539" ht="15.75" customHeight="1">
      <c r="A539" s="26"/>
      <c r="B539" s="26"/>
      <c r="C539" s="71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</row>
    <row r="540" ht="15.75" customHeight="1">
      <c r="A540" s="26"/>
      <c r="B540" s="26"/>
      <c r="C540" s="71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</row>
    <row r="541" ht="15.75" customHeight="1">
      <c r="A541" s="26"/>
      <c r="B541" s="26"/>
      <c r="C541" s="71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</row>
    <row r="542" ht="15.75" customHeight="1">
      <c r="A542" s="26"/>
      <c r="B542" s="26"/>
      <c r="C542" s="71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</row>
    <row r="543" ht="15.75" customHeight="1">
      <c r="A543" s="26"/>
      <c r="B543" s="26"/>
      <c r="C543" s="71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</row>
    <row r="544" ht="15.75" customHeight="1">
      <c r="A544" s="26"/>
      <c r="B544" s="26"/>
      <c r="C544" s="71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</row>
    <row r="545" ht="15.75" customHeight="1">
      <c r="A545" s="26"/>
      <c r="B545" s="26"/>
      <c r="C545" s="71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</row>
    <row r="546" ht="15.75" customHeight="1">
      <c r="A546" s="26"/>
      <c r="B546" s="26"/>
      <c r="C546" s="71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</row>
    <row r="547" ht="15.75" customHeight="1">
      <c r="A547" s="26"/>
      <c r="B547" s="26"/>
      <c r="C547" s="71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</row>
    <row r="548" ht="15.75" customHeight="1">
      <c r="A548" s="26"/>
      <c r="B548" s="26"/>
      <c r="C548" s="71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</row>
    <row r="549" ht="15.75" customHeight="1">
      <c r="A549" s="26"/>
      <c r="B549" s="26"/>
      <c r="C549" s="71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</row>
    <row r="550" ht="15.75" customHeight="1">
      <c r="A550" s="26"/>
      <c r="B550" s="26"/>
      <c r="C550" s="71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</row>
    <row r="551" ht="15.75" customHeight="1">
      <c r="A551" s="26"/>
      <c r="B551" s="26"/>
      <c r="C551" s="71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</row>
    <row r="552" ht="15.75" customHeight="1">
      <c r="A552" s="26"/>
      <c r="B552" s="26"/>
      <c r="C552" s="71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</row>
    <row r="553" ht="15.75" customHeight="1">
      <c r="A553" s="26"/>
      <c r="B553" s="26"/>
      <c r="C553" s="71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</row>
    <row r="554" ht="15.75" customHeight="1">
      <c r="A554" s="26"/>
      <c r="B554" s="26"/>
      <c r="C554" s="71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</row>
    <row r="555" ht="15.75" customHeight="1">
      <c r="A555" s="26"/>
      <c r="B555" s="26"/>
      <c r="C555" s="71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</row>
    <row r="556" ht="15.75" customHeight="1">
      <c r="A556" s="26"/>
      <c r="B556" s="26"/>
      <c r="C556" s="71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</row>
    <row r="557" ht="15.75" customHeight="1">
      <c r="A557" s="26"/>
      <c r="B557" s="26"/>
      <c r="C557" s="71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</row>
    <row r="558" ht="15.75" customHeight="1">
      <c r="A558" s="26"/>
      <c r="B558" s="26"/>
      <c r="C558" s="71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</row>
    <row r="559" ht="15.75" customHeight="1">
      <c r="A559" s="26"/>
      <c r="B559" s="26"/>
      <c r="C559" s="71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</row>
    <row r="560" ht="15.75" customHeight="1">
      <c r="A560" s="26"/>
      <c r="B560" s="26"/>
      <c r="C560" s="71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</row>
    <row r="561" ht="15.75" customHeight="1">
      <c r="A561" s="26"/>
      <c r="B561" s="26"/>
      <c r="C561" s="71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</row>
    <row r="562" ht="15.75" customHeight="1">
      <c r="A562" s="26"/>
      <c r="B562" s="26"/>
      <c r="C562" s="71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</row>
    <row r="563" ht="15.75" customHeight="1">
      <c r="A563" s="26"/>
      <c r="B563" s="26"/>
      <c r="C563" s="71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</row>
    <row r="564" ht="15.75" customHeight="1">
      <c r="A564" s="26"/>
      <c r="B564" s="26"/>
      <c r="C564" s="71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</row>
    <row r="565" ht="15.75" customHeight="1">
      <c r="A565" s="26"/>
      <c r="B565" s="26"/>
      <c r="C565" s="71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</row>
    <row r="566" ht="15.75" customHeight="1">
      <c r="A566" s="26"/>
      <c r="B566" s="26"/>
      <c r="C566" s="71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</row>
    <row r="567" ht="15.75" customHeight="1">
      <c r="A567" s="26"/>
      <c r="B567" s="26"/>
      <c r="C567" s="71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</row>
    <row r="568" ht="15.75" customHeight="1">
      <c r="A568" s="26"/>
      <c r="B568" s="26"/>
      <c r="C568" s="71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</row>
    <row r="569" ht="15.75" customHeight="1">
      <c r="A569" s="26"/>
      <c r="B569" s="26"/>
      <c r="C569" s="71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</row>
    <row r="570" ht="15.75" customHeight="1">
      <c r="A570" s="26"/>
      <c r="B570" s="26"/>
      <c r="C570" s="71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</row>
    <row r="571" ht="15.75" customHeight="1">
      <c r="A571" s="26"/>
      <c r="B571" s="26"/>
      <c r="C571" s="71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</row>
    <row r="572" ht="15.75" customHeight="1">
      <c r="A572" s="26"/>
      <c r="B572" s="26"/>
      <c r="C572" s="71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</row>
    <row r="573" ht="15.75" customHeight="1">
      <c r="A573" s="26"/>
      <c r="B573" s="26"/>
      <c r="C573" s="71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</row>
    <row r="574" ht="15.75" customHeight="1">
      <c r="A574" s="26"/>
      <c r="B574" s="26"/>
      <c r="C574" s="71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</row>
    <row r="575" ht="15.75" customHeight="1">
      <c r="A575" s="26"/>
      <c r="B575" s="26"/>
      <c r="C575" s="71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</row>
    <row r="576" ht="15.75" customHeight="1">
      <c r="A576" s="26"/>
      <c r="B576" s="26"/>
      <c r="C576" s="71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</row>
    <row r="577" ht="15.75" customHeight="1">
      <c r="A577" s="26"/>
      <c r="B577" s="26"/>
      <c r="C577" s="71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</row>
    <row r="578" ht="15.75" customHeight="1">
      <c r="A578" s="26"/>
      <c r="B578" s="26"/>
      <c r="C578" s="71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</row>
    <row r="579" ht="15.75" customHeight="1">
      <c r="A579" s="26"/>
      <c r="B579" s="26"/>
      <c r="C579" s="71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</row>
    <row r="580" ht="15.75" customHeight="1">
      <c r="A580" s="26"/>
      <c r="B580" s="26"/>
      <c r="C580" s="71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</row>
    <row r="581" ht="15.75" customHeight="1">
      <c r="A581" s="26"/>
      <c r="B581" s="26"/>
      <c r="C581" s="71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</row>
    <row r="582" ht="15.75" customHeight="1">
      <c r="A582" s="26"/>
      <c r="B582" s="26"/>
      <c r="C582" s="71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</row>
    <row r="583" ht="15.75" customHeight="1">
      <c r="A583" s="26"/>
      <c r="B583" s="26"/>
      <c r="C583" s="71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</row>
    <row r="584" ht="15.75" customHeight="1">
      <c r="A584" s="26"/>
      <c r="B584" s="26"/>
      <c r="C584" s="71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</row>
    <row r="585" ht="15.75" customHeight="1">
      <c r="A585" s="26"/>
      <c r="B585" s="26"/>
      <c r="C585" s="71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</row>
    <row r="586" ht="15.75" customHeight="1">
      <c r="A586" s="26"/>
      <c r="B586" s="26"/>
      <c r="C586" s="71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</row>
    <row r="587" ht="15.75" customHeight="1">
      <c r="A587" s="26"/>
      <c r="B587" s="26"/>
      <c r="C587" s="71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</row>
    <row r="588" ht="15.75" customHeight="1">
      <c r="A588" s="26"/>
      <c r="B588" s="26"/>
      <c r="C588" s="71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</row>
    <row r="589" ht="15.75" customHeight="1">
      <c r="A589" s="26"/>
      <c r="B589" s="26"/>
      <c r="C589" s="71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</row>
    <row r="590" ht="15.75" customHeight="1">
      <c r="A590" s="26"/>
      <c r="B590" s="26"/>
      <c r="C590" s="71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</row>
    <row r="591" ht="15.75" customHeight="1">
      <c r="A591" s="26"/>
      <c r="B591" s="26"/>
      <c r="C591" s="71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</row>
    <row r="592" ht="15.75" customHeight="1">
      <c r="A592" s="26"/>
      <c r="B592" s="26"/>
      <c r="C592" s="71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</row>
    <row r="593" ht="15.75" customHeight="1">
      <c r="A593" s="26"/>
      <c r="B593" s="26"/>
      <c r="C593" s="71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</row>
    <row r="594" ht="15.75" customHeight="1">
      <c r="A594" s="26"/>
      <c r="B594" s="26"/>
      <c r="C594" s="71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</row>
    <row r="595" ht="15.75" customHeight="1">
      <c r="A595" s="26"/>
      <c r="B595" s="26"/>
      <c r="C595" s="71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</row>
    <row r="596" ht="15.75" customHeight="1">
      <c r="A596" s="26"/>
      <c r="B596" s="26"/>
      <c r="C596" s="71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</row>
    <row r="597" ht="15.75" customHeight="1">
      <c r="A597" s="26"/>
      <c r="B597" s="26"/>
      <c r="C597" s="71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</row>
    <row r="598" ht="15.75" customHeight="1">
      <c r="A598" s="26"/>
      <c r="B598" s="26"/>
      <c r="C598" s="71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</row>
    <row r="599" ht="15.75" customHeight="1">
      <c r="A599" s="26"/>
      <c r="B599" s="26"/>
      <c r="C599" s="71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</row>
    <row r="600" ht="15.75" customHeight="1">
      <c r="A600" s="26"/>
      <c r="B600" s="26"/>
      <c r="C600" s="71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</row>
    <row r="601" ht="15.75" customHeight="1">
      <c r="A601" s="26"/>
      <c r="B601" s="26"/>
      <c r="C601" s="71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</row>
    <row r="602" ht="15.75" customHeight="1">
      <c r="A602" s="26"/>
      <c r="B602" s="26"/>
      <c r="C602" s="71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</row>
    <row r="603" ht="15.75" customHeight="1">
      <c r="A603" s="26"/>
      <c r="B603" s="26"/>
      <c r="C603" s="71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</row>
    <row r="604" ht="15.75" customHeight="1">
      <c r="A604" s="26"/>
      <c r="B604" s="26"/>
      <c r="C604" s="71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</row>
    <row r="605" ht="15.75" customHeight="1">
      <c r="A605" s="26"/>
      <c r="B605" s="26"/>
      <c r="C605" s="71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</row>
    <row r="606" ht="15.75" customHeight="1">
      <c r="A606" s="26"/>
      <c r="B606" s="26"/>
      <c r="C606" s="71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</row>
    <row r="607" ht="15.75" customHeight="1">
      <c r="A607" s="26"/>
      <c r="B607" s="26"/>
      <c r="C607" s="71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</row>
    <row r="608" ht="15.75" customHeight="1">
      <c r="A608" s="26"/>
      <c r="B608" s="26"/>
      <c r="C608" s="71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</row>
    <row r="609" ht="15.75" customHeight="1">
      <c r="A609" s="26"/>
      <c r="B609" s="26"/>
      <c r="C609" s="71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</row>
    <row r="610" ht="15.75" customHeight="1">
      <c r="A610" s="26"/>
      <c r="B610" s="26"/>
      <c r="C610" s="71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</row>
    <row r="611" ht="15.75" customHeight="1">
      <c r="A611" s="26"/>
      <c r="B611" s="26"/>
      <c r="C611" s="71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</row>
    <row r="612" ht="15.75" customHeight="1">
      <c r="A612" s="26"/>
      <c r="B612" s="26"/>
      <c r="C612" s="71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</row>
    <row r="613" ht="15.75" customHeight="1">
      <c r="A613" s="26"/>
      <c r="B613" s="26"/>
      <c r="C613" s="71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</row>
    <row r="614" ht="15.75" customHeight="1">
      <c r="A614" s="26"/>
      <c r="B614" s="26"/>
      <c r="C614" s="71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</row>
    <row r="615" ht="15.75" customHeight="1">
      <c r="A615" s="26"/>
      <c r="B615" s="26"/>
      <c r="C615" s="71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</row>
    <row r="616" ht="15.75" customHeight="1">
      <c r="A616" s="26"/>
      <c r="B616" s="26"/>
      <c r="C616" s="71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</row>
    <row r="617" ht="15.75" customHeight="1">
      <c r="A617" s="26"/>
      <c r="B617" s="26"/>
      <c r="C617" s="71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</row>
    <row r="618" ht="15.75" customHeight="1">
      <c r="A618" s="26"/>
      <c r="B618" s="26"/>
      <c r="C618" s="71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</row>
    <row r="619" ht="15.75" customHeight="1">
      <c r="A619" s="26"/>
      <c r="B619" s="26"/>
      <c r="C619" s="71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</row>
    <row r="620" ht="15.75" customHeight="1">
      <c r="A620" s="26"/>
      <c r="B620" s="26"/>
      <c r="C620" s="71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</row>
    <row r="621" ht="15.75" customHeight="1">
      <c r="A621" s="26"/>
      <c r="B621" s="26"/>
      <c r="C621" s="71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</row>
    <row r="622" ht="15.75" customHeight="1">
      <c r="A622" s="26"/>
      <c r="B622" s="26"/>
      <c r="C622" s="71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</row>
    <row r="623" ht="15.75" customHeight="1">
      <c r="A623" s="26"/>
      <c r="B623" s="26"/>
      <c r="C623" s="71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</row>
    <row r="624" ht="15.75" customHeight="1">
      <c r="A624" s="26"/>
      <c r="B624" s="26"/>
      <c r="C624" s="71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</row>
    <row r="625" ht="15.75" customHeight="1">
      <c r="A625" s="26"/>
      <c r="B625" s="26"/>
      <c r="C625" s="71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</row>
    <row r="626" ht="15.75" customHeight="1">
      <c r="A626" s="26"/>
      <c r="B626" s="26"/>
      <c r="C626" s="71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</row>
    <row r="627" ht="15.75" customHeight="1">
      <c r="A627" s="26"/>
      <c r="B627" s="26"/>
      <c r="C627" s="71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</row>
    <row r="628" ht="15.75" customHeight="1">
      <c r="A628" s="26"/>
      <c r="B628" s="26"/>
      <c r="C628" s="71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</row>
    <row r="629" ht="15.75" customHeight="1">
      <c r="A629" s="26"/>
      <c r="B629" s="26"/>
      <c r="C629" s="71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</row>
    <row r="630" ht="15.75" customHeight="1">
      <c r="A630" s="26"/>
      <c r="B630" s="26"/>
      <c r="C630" s="71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</row>
    <row r="631" ht="15.75" customHeight="1">
      <c r="A631" s="26"/>
      <c r="B631" s="26"/>
      <c r="C631" s="71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</row>
    <row r="632" ht="15.75" customHeight="1">
      <c r="A632" s="26"/>
      <c r="B632" s="26"/>
      <c r="C632" s="71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</row>
    <row r="633" ht="15.75" customHeight="1">
      <c r="A633" s="26"/>
      <c r="B633" s="26"/>
      <c r="C633" s="71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</row>
    <row r="634" ht="15.75" customHeight="1">
      <c r="A634" s="26"/>
      <c r="B634" s="26"/>
      <c r="C634" s="71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</row>
    <row r="635" ht="15.75" customHeight="1">
      <c r="A635" s="26"/>
      <c r="B635" s="26"/>
      <c r="C635" s="71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</row>
    <row r="636" ht="15.75" customHeight="1">
      <c r="A636" s="26"/>
      <c r="B636" s="26"/>
      <c r="C636" s="71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</row>
    <row r="637" ht="15.75" customHeight="1">
      <c r="A637" s="26"/>
      <c r="B637" s="26"/>
      <c r="C637" s="71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</row>
    <row r="638" ht="15.75" customHeight="1">
      <c r="A638" s="26"/>
      <c r="B638" s="26"/>
      <c r="C638" s="71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</row>
    <row r="639" ht="15.75" customHeight="1">
      <c r="A639" s="26"/>
      <c r="B639" s="26"/>
      <c r="C639" s="71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</row>
    <row r="640" ht="15.75" customHeight="1">
      <c r="A640" s="26"/>
      <c r="B640" s="26"/>
      <c r="C640" s="71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</row>
    <row r="641" ht="15.75" customHeight="1">
      <c r="A641" s="26"/>
      <c r="B641" s="26"/>
      <c r="C641" s="71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</row>
    <row r="642" ht="15.75" customHeight="1">
      <c r="A642" s="26"/>
      <c r="B642" s="26"/>
      <c r="C642" s="71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</row>
    <row r="643" ht="15.75" customHeight="1">
      <c r="A643" s="26"/>
      <c r="B643" s="26"/>
      <c r="C643" s="71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</row>
    <row r="644" ht="15.75" customHeight="1">
      <c r="A644" s="26"/>
      <c r="B644" s="26"/>
      <c r="C644" s="71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</row>
    <row r="645" ht="15.75" customHeight="1">
      <c r="A645" s="26"/>
      <c r="B645" s="26"/>
      <c r="C645" s="71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</row>
    <row r="646" ht="15.75" customHeight="1">
      <c r="A646" s="26"/>
      <c r="B646" s="26"/>
      <c r="C646" s="71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</row>
    <row r="647" ht="15.75" customHeight="1">
      <c r="A647" s="26"/>
      <c r="B647" s="26"/>
      <c r="C647" s="71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</row>
    <row r="648" ht="15.75" customHeight="1">
      <c r="A648" s="26"/>
      <c r="B648" s="26"/>
      <c r="C648" s="71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</row>
    <row r="649" ht="15.75" customHeight="1">
      <c r="A649" s="26"/>
      <c r="B649" s="26"/>
      <c r="C649" s="71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</row>
    <row r="650" ht="15.75" customHeight="1">
      <c r="A650" s="26"/>
      <c r="B650" s="26"/>
      <c r="C650" s="71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</row>
    <row r="651" ht="15.75" customHeight="1">
      <c r="A651" s="26"/>
      <c r="B651" s="26"/>
      <c r="C651" s="71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</row>
    <row r="652" ht="15.75" customHeight="1">
      <c r="A652" s="26"/>
      <c r="B652" s="26"/>
      <c r="C652" s="71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</row>
    <row r="653" ht="15.75" customHeight="1">
      <c r="A653" s="26"/>
      <c r="B653" s="26"/>
      <c r="C653" s="71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</row>
    <row r="654" ht="15.75" customHeight="1">
      <c r="A654" s="26"/>
      <c r="B654" s="26"/>
      <c r="C654" s="71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</row>
    <row r="655" ht="15.75" customHeight="1">
      <c r="A655" s="26"/>
      <c r="B655" s="26"/>
      <c r="C655" s="71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</row>
    <row r="656" ht="15.75" customHeight="1">
      <c r="A656" s="26"/>
      <c r="B656" s="26"/>
      <c r="C656" s="71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</row>
    <row r="657" ht="15.75" customHeight="1">
      <c r="A657" s="26"/>
      <c r="B657" s="26"/>
      <c r="C657" s="71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</row>
    <row r="658" ht="15.75" customHeight="1">
      <c r="A658" s="26"/>
      <c r="B658" s="26"/>
      <c r="C658" s="71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</row>
    <row r="659" ht="15.75" customHeight="1">
      <c r="A659" s="26"/>
      <c r="B659" s="26"/>
      <c r="C659" s="71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</row>
    <row r="660" ht="15.75" customHeight="1">
      <c r="A660" s="26"/>
      <c r="B660" s="26"/>
      <c r="C660" s="71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</row>
    <row r="661" ht="15.75" customHeight="1">
      <c r="A661" s="26"/>
      <c r="B661" s="26"/>
      <c r="C661" s="71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</row>
    <row r="662" ht="15.75" customHeight="1">
      <c r="A662" s="26"/>
      <c r="B662" s="26"/>
      <c r="C662" s="71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</row>
    <row r="663" ht="15.75" customHeight="1">
      <c r="A663" s="26"/>
      <c r="B663" s="26"/>
      <c r="C663" s="71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</row>
    <row r="664" ht="15.75" customHeight="1">
      <c r="A664" s="26"/>
      <c r="B664" s="26"/>
      <c r="C664" s="71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</row>
    <row r="665" ht="15.75" customHeight="1">
      <c r="A665" s="26"/>
      <c r="B665" s="26"/>
      <c r="C665" s="71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</row>
    <row r="666" ht="15.75" customHeight="1">
      <c r="A666" s="26"/>
      <c r="B666" s="26"/>
      <c r="C666" s="71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</row>
    <row r="667" ht="15.75" customHeight="1">
      <c r="A667" s="26"/>
      <c r="B667" s="26"/>
      <c r="C667" s="71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</row>
    <row r="668" ht="15.75" customHeight="1">
      <c r="A668" s="26"/>
      <c r="B668" s="26"/>
      <c r="C668" s="71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</row>
    <row r="669" ht="15.75" customHeight="1">
      <c r="A669" s="26"/>
      <c r="B669" s="26"/>
      <c r="C669" s="71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</row>
    <row r="670" ht="15.75" customHeight="1">
      <c r="A670" s="26"/>
      <c r="B670" s="26"/>
      <c r="C670" s="71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</row>
    <row r="671" ht="15.75" customHeight="1">
      <c r="A671" s="26"/>
      <c r="B671" s="26"/>
      <c r="C671" s="71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</row>
    <row r="672" ht="15.75" customHeight="1">
      <c r="A672" s="26"/>
      <c r="B672" s="26"/>
      <c r="C672" s="71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</row>
    <row r="673" ht="15.75" customHeight="1">
      <c r="A673" s="26"/>
      <c r="B673" s="26"/>
      <c r="C673" s="71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</row>
    <row r="674" ht="15.75" customHeight="1">
      <c r="A674" s="26"/>
      <c r="B674" s="26"/>
      <c r="C674" s="71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</row>
    <row r="675" ht="15.75" customHeight="1">
      <c r="A675" s="26"/>
      <c r="B675" s="26"/>
      <c r="C675" s="71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</row>
    <row r="676" ht="15.75" customHeight="1">
      <c r="A676" s="26"/>
      <c r="B676" s="26"/>
      <c r="C676" s="71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</row>
    <row r="677" ht="15.75" customHeight="1">
      <c r="A677" s="26"/>
      <c r="B677" s="26"/>
      <c r="C677" s="71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</row>
    <row r="678" ht="15.75" customHeight="1">
      <c r="A678" s="26"/>
      <c r="B678" s="26"/>
      <c r="C678" s="71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</row>
    <row r="679" ht="15.75" customHeight="1">
      <c r="A679" s="26"/>
      <c r="B679" s="26"/>
      <c r="C679" s="71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</row>
    <row r="680" ht="15.75" customHeight="1">
      <c r="A680" s="26"/>
      <c r="B680" s="26"/>
      <c r="C680" s="71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</row>
    <row r="681" ht="15.75" customHeight="1">
      <c r="A681" s="26"/>
      <c r="B681" s="26"/>
      <c r="C681" s="71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</row>
    <row r="682" ht="15.75" customHeight="1">
      <c r="A682" s="26"/>
      <c r="B682" s="26"/>
      <c r="C682" s="71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</row>
    <row r="683" ht="15.75" customHeight="1">
      <c r="A683" s="26"/>
      <c r="B683" s="26"/>
      <c r="C683" s="71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</row>
    <row r="684" ht="15.75" customHeight="1">
      <c r="A684" s="26"/>
      <c r="B684" s="26"/>
      <c r="C684" s="71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</row>
    <row r="685" ht="15.75" customHeight="1">
      <c r="A685" s="26"/>
      <c r="B685" s="26"/>
      <c r="C685" s="71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</row>
    <row r="686" ht="15.75" customHeight="1">
      <c r="A686" s="26"/>
      <c r="B686" s="26"/>
      <c r="C686" s="71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</row>
    <row r="687" ht="15.75" customHeight="1">
      <c r="A687" s="26"/>
      <c r="B687" s="26"/>
      <c r="C687" s="71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</row>
    <row r="688" ht="15.75" customHeight="1">
      <c r="A688" s="26"/>
      <c r="B688" s="26"/>
      <c r="C688" s="71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</row>
    <row r="689" ht="15.75" customHeight="1">
      <c r="A689" s="26"/>
      <c r="B689" s="26"/>
      <c r="C689" s="71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</row>
    <row r="690" ht="15.75" customHeight="1">
      <c r="A690" s="26"/>
      <c r="B690" s="26"/>
      <c r="C690" s="71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</row>
    <row r="691" ht="15.75" customHeight="1">
      <c r="A691" s="26"/>
      <c r="B691" s="26"/>
      <c r="C691" s="71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</row>
    <row r="692" ht="15.75" customHeight="1">
      <c r="A692" s="26"/>
      <c r="B692" s="26"/>
      <c r="C692" s="71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</row>
    <row r="693" ht="15.75" customHeight="1">
      <c r="A693" s="26"/>
      <c r="B693" s="26"/>
      <c r="C693" s="71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</row>
    <row r="694" ht="15.75" customHeight="1">
      <c r="A694" s="26"/>
      <c r="B694" s="26"/>
      <c r="C694" s="71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</row>
    <row r="695" ht="15.75" customHeight="1">
      <c r="A695" s="26"/>
      <c r="B695" s="26"/>
      <c r="C695" s="71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</row>
    <row r="696" ht="15.75" customHeight="1">
      <c r="A696" s="26"/>
      <c r="B696" s="26"/>
      <c r="C696" s="71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</row>
    <row r="697" ht="15.75" customHeight="1">
      <c r="A697" s="26"/>
      <c r="B697" s="26"/>
      <c r="C697" s="71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</row>
    <row r="698" ht="15.75" customHeight="1">
      <c r="A698" s="26"/>
      <c r="B698" s="26"/>
      <c r="C698" s="71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</row>
    <row r="699" ht="15.75" customHeight="1">
      <c r="A699" s="26"/>
      <c r="B699" s="26"/>
      <c r="C699" s="71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</row>
    <row r="700" ht="15.75" customHeight="1">
      <c r="A700" s="26"/>
      <c r="B700" s="26"/>
      <c r="C700" s="71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</row>
    <row r="701" ht="15.75" customHeight="1">
      <c r="A701" s="26"/>
      <c r="B701" s="26"/>
      <c r="C701" s="71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</row>
    <row r="702" ht="15.75" customHeight="1">
      <c r="A702" s="26"/>
      <c r="B702" s="26"/>
      <c r="C702" s="71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</row>
    <row r="703" ht="15.75" customHeight="1">
      <c r="A703" s="26"/>
      <c r="B703" s="26"/>
      <c r="C703" s="71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</row>
    <row r="704" ht="15.75" customHeight="1">
      <c r="A704" s="26"/>
      <c r="B704" s="26"/>
      <c r="C704" s="71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</row>
    <row r="705" ht="15.75" customHeight="1">
      <c r="A705" s="26"/>
      <c r="B705" s="26"/>
      <c r="C705" s="71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</row>
    <row r="706" ht="15.75" customHeight="1">
      <c r="A706" s="26"/>
      <c r="B706" s="26"/>
      <c r="C706" s="71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</row>
    <row r="707" ht="15.75" customHeight="1">
      <c r="A707" s="26"/>
      <c r="B707" s="26"/>
      <c r="C707" s="71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</row>
    <row r="708" ht="15.75" customHeight="1">
      <c r="A708" s="26"/>
      <c r="B708" s="26"/>
      <c r="C708" s="71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</row>
    <row r="709" ht="15.75" customHeight="1">
      <c r="A709" s="26"/>
      <c r="B709" s="26"/>
      <c r="C709" s="71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</row>
    <row r="710" ht="15.75" customHeight="1">
      <c r="A710" s="26"/>
      <c r="B710" s="26"/>
      <c r="C710" s="71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</row>
    <row r="711" ht="15.75" customHeight="1">
      <c r="A711" s="26"/>
      <c r="B711" s="26"/>
      <c r="C711" s="71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</row>
    <row r="712" ht="15.75" customHeight="1">
      <c r="A712" s="26"/>
      <c r="B712" s="26"/>
      <c r="C712" s="71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</row>
    <row r="713" ht="15.75" customHeight="1">
      <c r="A713" s="26"/>
      <c r="B713" s="26"/>
      <c r="C713" s="71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</row>
    <row r="714" ht="15.75" customHeight="1">
      <c r="A714" s="26"/>
      <c r="B714" s="26"/>
      <c r="C714" s="71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</row>
    <row r="715" ht="15.75" customHeight="1">
      <c r="A715" s="26"/>
      <c r="B715" s="26"/>
      <c r="C715" s="71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</row>
    <row r="716" ht="15.75" customHeight="1">
      <c r="A716" s="26"/>
      <c r="B716" s="26"/>
      <c r="C716" s="71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</row>
    <row r="717" ht="15.75" customHeight="1">
      <c r="A717" s="26"/>
      <c r="B717" s="26"/>
      <c r="C717" s="71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</row>
    <row r="718" ht="15.75" customHeight="1">
      <c r="A718" s="26"/>
      <c r="B718" s="26"/>
      <c r="C718" s="71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</row>
    <row r="719" ht="15.75" customHeight="1">
      <c r="A719" s="26"/>
      <c r="B719" s="26"/>
      <c r="C719" s="71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</row>
    <row r="720" ht="15.75" customHeight="1">
      <c r="A720" s="26"/>
      <c r="B720" s="26"/>
      <c r="C720" s="71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</row>
    <row r="721" ht="15.75" customHeight="1">
      <c r="A721" s="26"/>
      <c r="B721" s="26"/>
      <c r="C721" s="71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</row>
    <row r="722" ht="15.75" customHeight="1">
      <c r="A722" s="26"/>
      <c r="B722" s="26"/>
      <c r="C722" s="71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</row>
    <row r="723" ht="15.75" customHeight="1">
      <c r="A723" s="26"/>
      <c r="B723" s="26"/>
      <c r="C723" s="71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</row>
    <row r="724" ht="15.75" customHeight="1">
      <c r="A724" s="26"/>
      <c r="B724" s="26"/>
      <c r="C724" s="71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</row>
    <row r="725" ht="15.75" customHeight="1">
      <c r="A725" s="26"/>
      <c r="B725" s="26"/>
      <c r="C725" s="71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</row>
    <row r="726" ht="15.75" customHeight="1">
      <c r="A726" s="26"/>
      <c r="B726" s="26"/>
      <c r="C726" s="71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</row>
    <row r="727" ht="15.75" customHeight="1">
      <c r="A727" s="26"/>
      <c r="B727" s="26"/>
      <c r="C727" s="71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</row>
    <row r="728" ht="15.75" customHeight="1">
      <c r="A728" s="26"/>
      <c r="B728" s="26"/>
      <c r="C728" s="71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</row>
    <row r="729" ht="15.75" customHeight="1">
      <c r="A729" s="26"/>
      <c r="B729" s="26"/>
      <c r="C729" s="71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</row>
    <row r="730" ht="15.75" customHeight="1">
      <c r="A730" s="26"/>
      <c r="B730" s="26"/>
      <c r="C730" s="71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</row>
    <row r="731" ht="15.75" customHeight="1">
      <c r="A731" s="26"/>
      <c r="B731" s="26"/>
      <c r="C731" s="71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</row>
    <row r="732" ht="15.75" customHeight="1">
      <c r="A732" s="26"/>
      <c r="B732" s="26"/>
      <c r="C732" s="71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</row>
    <row r="733" ht="15.75" customHeight="1">
      <c r="A733" s="26"/>
      <c r="B733" s="26"/>
      <c r="C733" s="71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</row>
    <row r="734" ht="15.75" customHeight="1">
      <c r="A734" s="26"/>
      <c r="B734" s="26"/>
      <c r="C734" s="71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</row>
    <row r="735" ht="15.75" customHeight="1">
      <c r="A735" s="26"/>
      <c r="B735" s="26"/>
      <c r="C735" s="71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</row>
    <row r="736" ht="15.75" customHeight="1">
      <c r="A736" s="26"/>
      <c r="B736" s="26"/>
      <c r="C736" s="71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</row>
    <row r="737" ht="15.75" customHeight="1">
      <c r="A737" s="26"/>
      <c r="B737" s="26"/>
      <c r="C737" s="71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</row>
    <row r="738" ht="15.75" customHeight="1">
      <c r="A738" s="26"/>
      <c r="B738" s="26"/>
      <c r="C738" s="71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</row>
    <row r="739" ht="15.75" customHeight="1">
      <c r="A739" s="26"/>
      <c r="B739" s="26"/>
      <c r="C739" s="71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</row>
    <row r="740" ht="15.75" customHeight="1">
      <c r="A740" s="26"/>
      <c r="B740" s="26"/>
      <c r="C740" s="71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</row>
    <row r="741" ht="15.75" customHeight="1">
      <c r="A741" s="26"/>
      <c r="B741" s="26"/>
      <c r="C741" s="71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</row>
    <row r="742" ht="15.75" customHeight="1">
      <c r="A742" s="26"/>
      <c r="B742" s="26"/>
      <c r="C742" s="71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</row>
    <row r="743" ht="15.75" customHeight="1">
      <c r="A743" s="26"/>
      <c r="B743" s="26"/>
      <c r="C743" s="71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</row>
    <row r="744" ht="15.75" customHeight="1">
      <c r="A744" s="26"/>
      <c r="B744" s="26"/>
      <c r="C744" s="71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</row>
    <row r="745" ht="15.75" customHeight="1">
      <c r="A745" s="26"/>
      <c r="B745" s="26"/>
      <c r="C745" s="71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</row>
    <row r="746" ht="15.75" customHeight="1">
      <c r="A746" s="26"/>
      <c r="B746" s="26"/>
      <c r="C746" s="71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</row>
    <row r="747" ht="15.75" customHeight="1">
      <c r="A747" s="26"/>
      <c r="B747" s="26"/>
      <c r="C747" s="71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</row>
    <row r="748" ht="15.75" customHeight="1">
      <c r="A748" s="26"/>
      <c r="B748" s="26"/>
      <c r="C748" s="71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</row>
    <row r="749" ht="15.75" customHeight="1">
      <c r="A749" s="26"/>
      <c r="B749" s="26"/>
      <c r="C749" s="71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</row>
    <row r="750" ht="15.75" customHeight="1">
      <c r="A750" s="26"/>
      <c r="B750" s="26"/>
      <c r="C750" s="71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</row>
    <row r="751" ht="15.75" customHeight="1">
      <c r="A751" s="26"/>
      <c r="B751" s="26"/>
      <c r="C751" s="71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</row>
    <row r="752" ht="15.75" customHeight="1">
      <c r="A752" s="26"/>
      <c r="B752" s="26"/>
      <c r="C752" s="71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</row>
    <row r="753" ht="15.75" customHeight="1">
      <c r="A753" s="26"/>
      <c r="B753" s="26"/>
      <c r="C753" s="71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</row>
    <row r="754" ht="15.75" customHeight="1">
      <c r="A754" s="26"/>
      <c r="B754" s="26"/>
      <c r="C754" s="71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</row>
    <row r="755" ht="15.75" customHeight="1">
      <c r="A755" s="26"/>
      <c r="B755" s="26"/>
      <c r="C755" s="71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</row>
    <row r="756" ht="15.75" customHeight="1">
      <c r="A756" s="26"/>
      <c r="B756" s="26"/>
      <c r="C756" s="71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</row>
    <row r="757" ht="15.75" customHeight="1">
      <c r="A757" s="26"/>
      <c r="B757" s="26"/>
      <c r="C757" s="71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</row>
    <row r="758" ht="15.75" customHeight="1">
      <c r="A758" s="26"/>
      <c r="B758" s="26"/>
      <c r="C758" s="71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</row>
    <row r="759" ht="15.75" customHeight="1">
      <c r="A759" s="26"/>
      <c r="B759" s="26"/>
      <c r="C759" s="71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</row>
    <row r="760" ht="15.75" customHeight="1">
      <c r="A760" s="26"/>
      <c r="B760" s="26"/>
      <c r="C760" s="71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</row>
    <row r="761" ht="15.75" customHeight="1">
      <c r="A761" s="26"/>
      <c r="B761" s="26"/>
      <c r="C761" s="71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</row>
    <row r="762" ht="15.75" customHeight="1">
      <c r="A762" s="26"/>
      <c r="B762" s="26"/>
      <c r="C762" s="71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</row>
    <row r="763" ht="15.75" customHeight="1">
      <c r="A763" s="26"/>
      <c r="B763" s="26"/>
      <c r="C763" s="71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</row>
    <row r="764" ht="15.75" customHeight="1">
      <c r="A764" s="26"/>
      <c r="B764" s="26"/>
      <c r="C764" s="71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</row>
    <row r="765" ht="15.75" customHeight="1">
      <c r="A765" s="26"/>
      <c r="B765" s="26"/>
      <c r="C765" s="71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</row>
    <row r="766" ht="15.75" customHeight="1">
      <c r="A766" s="26"/>
      <c r="B766" s="26"/>
      <c r="C766" s="71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</row>
    <row r="767" ht="15.75" customHeight="1">
      <c r="A767" s="26"/>
      <c r="B767" s="26"/>
      <c r="C767" s="71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</row>
    <row r="768" ht="15.75" customHeight="1">
      <c r="A768" s="26"/>
      <c r="B768" s="26"/>
      <c r="C768" s="71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</row>
    <row r="769" ht="15.75" customHeight="1">
      <c r="A769" s="26"/>
      <c r="B769" s="26"/>
      <c r="C769" s="71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</row>
    <row r="770" ht="15.75" customHeight="1">
      <c r="A770" s="26"/>
      <c r="B770" s="26"/>
      <c r="C770" s="71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</row>
    <row r="771" ht="15.75" customHeight="1">
      <c r="A771" s="26"/>
      <c r="B771" s="26"/>
      <c r="C771" s="71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</row>
    <row r="772" ht="15.75" customHeight="1">
      <c r="A772" s="26"/>
      <c r="B772" s="26"/>
      <c r="C772" s="71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</row>
    <row r="773" ht="15.75" customHeight="1">
      <c r="A773" s="26"/>
      <c r="B773" s="26"/>
      <c r="C773" s="71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</row>
    <row r="774" ht="15.75" customHeight="1">
      <c r="A774" s="26"/>
      <c r="B774" s="26"/>
      <c r="C774" s="71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</row>
    <row r="775" ht="15.75" customHeight="1">
      <c r="A775" s="26"/>
      <c r="B775" s="26"/>
      <c r="C775" s="71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</row>
    <row r="776" ht="15.75" customHeight="1">
      <c r="A776" s="26"/>
      <c r="B776" s="26"/>
      <c r="C776" s="71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</row>
    <row r="777" ht="15.75" customHeight="1">
      <c r="A777" s="26"/>
      <c r="B777" s="26"/>
      <c r="C777" s="71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</row>
    <row r="778" ht="15.75" customHeight="1">
      <c r="A778" s="26"/>
      <c r="B778" s="26"/>
      <c r="C778" s="71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</row>
    <row r="779" ht="15.75" customHeight="1">
      <c r="A779" s="26"/>
      <c r="B779" s="26"/>
      <c r="C779" s="71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</row>
    <row r="780" ht="15.75" customHeight="1">
      <c r="A780" s="26"/>
      <c r="B780" s="26"/>
      <c r="C780" s="71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</row>
    <row r="781" ht="15.75" customHeight="1">
      <c r="A781" s="26"/>
      <c r="B781" s="26"/>
      <c r="C781" s="71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</row>
    <row r="782" ht="15.75" customHeight="1">
      <c r="A782" s="26"/>
      <c r="B782" s="26"/>
      <c r="C782" s="71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</row>
    <row r="783" ht="15.75" customHeight="1">
      <c r="A783" s="26"/>
      <c r="B783" s="26"/>
      <c r="C783" s="71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</row>
    <row r="784" ht="15.75" customHeight="1">
      <c r="A784" s="26"/>
      <c r="B784" s="26"/>
      <c r="C784" s="71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</row>
    <row r="785" ht="15.75" customHeight="1">
      <c r="A785" s="26"/>
      <c r="B785" s="26"/>
      <c r="C785" s="71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</row>
    <row r="786" ht="15.75" customHeight="1">
      <c r="A786" s="26"/>
      <c r="B786" s="26"/>
      <c r="C786" s="71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</row>
    <row r="787" ht="15.75" customHeight="1">
      <c r="A787" s="26"/>
      <c r="B787" s="26"/>
      <c r="C787" s="71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</row>
    <row r="788" ht="15.75" customHeight="1">
      <c r="A788" s="26"/>
      <c r="B788" s="26"/>
      <c r="C788" s="71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</row>
    <row r="789" ht="15.75" customHeight="1">
      <c r="A789" s="26"/>
      <c r="B789" s="26"/>
      <c r="C789" s="71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</row>
    <row r="790" ht="15.75" customHeight="1">
      <c r="A790" s="26"/>
      <c r="B790" s="26"/>
      <c r="C790" s="71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</row>
    <row r="791" ht="15.75" customHeight="1">
      <c r="A791" s="26"/>
      <c r="B791" s="26"/>
      <c r="C791" s="71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</row>
    <row r="792" ht="15.75" customHeight="1">
      <c r="A792" s="26"/>
      <c r="B792" s="26"/>
      <c r="C792" s="71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</row>
    <row r="793" ht="15.75" customHeight="1">
      <c r="A793" s="26"/>
      <c r="B793" s="26"/>
      <c r="C793" s="71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</row>
    <row r="794" ht="15.75" customHeight="1">
      <c r="A794" s="26"/>
      <c r="B794" s="26"/>
      <c r="C794" s="71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</row>
    <row r="795" ht="15.75" customHeight="1">
      <c r="A795" s="26"/>
      <c r="B795" s="26"/>
      <c r="C795" s="71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</row>
    <row r="796" ht="15.75" customHeight="1">
      <c r="A796" s="26"/>
      <c r="B796" s="26"/>
      <c r="C796" s="71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</row>
    <row r="797" ht="15.75" customHeight="1">
      <c r="A797" s="26"/>
      <c r="B797" s="26"/>
      <c r="C797" s="71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</row>
    <row r="798" ht="15.75" customHeight="1">
      <c r="A798" s="26"/>
      <c r="B798" s="26"/>
      <c r="C798" s="71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</row>
    <row r="799" ht="15.75" customHeight="1">
      <c r="A799" s="26"/>
      <c r="B799" s="26"/>
      <c r="C799" s="71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</row>
    <row r="800" ht="15.75" customHeight="1">
      <c r="A800" s="26"/>
      <c r="B800" s="26"/>
      <c r="C800" s="71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</row>
    <row r="801" ht="15.75" customHeight="1">
      <c r="A801" s="26"/>
      <c r="B801" s="26"/>
      <c r="C801" s="71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</row>
    <row r="802" ht="15.75" customHeight="1">
      <c r="A802" s="26"/>
      <c r="B802" s="26"/>
      <c r="C802" s="71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</row>
    <row r="803" ht="15.75" customHeight="1">
      <c r="A803" s="26"/>
      <c r="B803" s="26"/>
      <c r="C803" s="71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</row>
    <row r="804" ht="15.75" customHeight="1">
      <c r="A804" s="26"/>
      <c r="B804" s="26"/>
      <c r="C804" s="71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</row>
    <row r="805" ht="15.75" customHeight="1">
      <c r="A805" s="26"/>
      <c r="B805" s="26"/>
      <c r="C805" s="71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</row>
    <row r="806" ht="15.75" customHeight="1">
      <c r="A806" s="26"/>
      <c r="B806" s="26"/>
      <c r="C806" s="71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</row>
    <row r="807" ht="15.75" customHeight="1">
      <c r="A807" s="26"/>
      <c r="B807" s="26"/>
      <c r="C807" s="71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</row>
    <row r="808" ht="15.75" customHeight="1">
      <c r="A808" s="26"/>
      <c r="B808" s="26"/>
      <c r="C808" s="71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</row>
    <row r="809" ht="15.75" customHeight="1">
      <c r="A809" s="26"/>
      <c r="B809" s="26"/>
      <c r="C809" s="71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</row>
    <row r="810" ht="15.75" customHeight="1">
      <c r="A810" s="26"/>
      <c r="B810" s="26"/>
      <c r="C810" s="71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</row>
    <row r="811" ht="15.75" customHeight="1">
      <c r="A811" s="26"/>
      <c r="B811" s="26"/>
      <c r="C811" s="71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</row>
    <row r="812" ht="15.75" customHeight="1">
      <c r="A812" s="26"/>
      <c r="B812" s="26"/>
      <c r="C812" s="71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</row>
    <row r="813" ht="15.75" customHeight="1">
      <c r="A813" s="26"/>
      <c r="B813" s="26"/>
      <c r="C813" s="71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</row>
    <row r="814" ht="15.75" customHeight="1">
      <c r="A814" s="26"/>
      <c r="B814" s="26"/>
      <c r="C814" s="71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</row>
    <row r="815" ht="15.75" customHeight="1">
      <c r="A815" s="26"/>
      <c r="B815" s="26"/>
      <c r="C815" s="71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</row>
    <row r="816" ht="15.75" customHeight="1">
      <c r="A816" s="26"/>
      <c r="B816" s="26"/>
      <c r="C816" s="71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</row>
    <row r="817" ht="15.75" customHeight="1">
      <c r="A817" s="26"/>
      <c r="B817" s="26"/>
      <c r="C817" s="71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</row>
    <row r="818" ht="15.75" customHeight="1">
      <c r="A818" s="26"/>
      <c r="B818" s="26"/>
      <c r="C818" s="71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</row>
    <row r="819" ht="15.75" customHeight="1">
      <c r="A819" s="26"/>
      <c r="B819" s="26"/>
      <c r="C819" s="71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</row>
    <row r="820" ht="15.75" customHeight="1">
      <c r="A820" s="26"/>
      <c r="B820" s="26"/>
      <c r="C820" s="71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</row>
    <row r="821" ht="15.75" customHeight="1">
      <c r="A821" s="26"/>
      <c r="B821" s="26"/>
      <c r="C821" s="71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</row>
    <row r="822" ht="15.75" customHeight="1">
      <c r="A822" s="26"/>
      <c r="B822" s="26"/>
      <c r="C822" s="71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</row>
    <row r="823" ht="15.75" customHeight="1">
      <c r="A823" s="26"/>
      <c r="B823" s="26"/>
      <c r="C823" s="71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</row>
    <row r="824" ht="15.75" customHeight="1">
      <c r="A824" s="26"/>
      <c r="B824" s="26"/>
      <c r="C824" s="71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</row>
    <row r="825" ht="15.75" customHeight="1">
      <c r="A825" s="26"/>
      <c r="B825" s="26"/>
      <c r="C825" s="71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</row>
    <row r="826" ht="15.75" customHeight="1">
      <c r="A826" s="26"/>
      <c r="B826" s="26"/>
      <c r="C826" s="71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</row>
    <row r="827" ht="15.75" customHeight="1">
      <c r="A827" s="26"/>
      <c r="B827" s="26"/>
      <c r="C827" s="71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</row>
    <row r="828" ht="15.75" customHeight="1">
      <c r="A828" s="26"/>
      <c r="B828" s="26"/>
      <c r="C828" s="71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</row>
    <row r="829" ht="15.75" customHeight="1">
      <c r="A829" s="26"/>
      <c r="B829" s="26"/>
      <c r="C829" s="71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</row>
    <row r="830" ht="15.75" customHeight="1">
      <c r="A830" s="26"/>
      <c r="B830" s="26"/>
      <c r="C830" s="71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</row>
    <row r="831" ht="15.75" customHeight="1">
      <c r="A831" s="26"/>
      <c r="B831" s="26"/>
      <c r="C831" s="71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</row>
    <row r="832" ht="15.75" customHeight="1">
      <c r="A832" s="26"/>
      <c r="B832" s="26"/>
      <c r="C832" s="71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</row>
    <row r="833" ht="15.75" customHeight="1">
      <c r="A833" s="26"/>
      <c r="B833" s="26"/>
      <c r="C833" s="71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</row>
    <row r="834" ht="15.75" customHeight="1">
      <c r="A834" s="26"/>
      <c r="B834" s="26"/>
      <c r="C834" s="71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</row>
    <row r="835" ht="15.75" customHeight="1">
      <c r="A835" s="26"/>
      <c r="B835" s="26"/>
      <c r="C835" s="71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</row>
    <row r="836" ht="15.75" customHeight="1">
      <c r="A836" s="26"/>
      <c r="B836" s="26"/>
      <c r="C836" s="71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</row>
    <row r="837" ht="15.75" customHeight="1">
      <c r="A837" s="26"/>
      <c r="B837" s="26"/>
      <c r="C837" s="71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</row>
    <row r="838" ht="15.75" customHeight="1">
      <c r="A838" s="26"/>
      <c r="B838" s="26"/>
      <c r="C838" s="71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</row>
    <row r="839" ht="15.75" customHeight="1">
      <c r="A839" s="26"/>
      <c r="B839" s="26"/>
      <c r="C839" s="71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</row>
    <row r="840" ht="15.75" customHeight="1">
      <c r="A840" s="26"/>
      <c r="B840" s="26"/>
      <c r="C840" s="71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</row>
    <row r="841" ht="15.75" customHeight="1">
      <c r="A841" s="26"/>
      <c r="B841" s="26"/>
      <c r="C841" s="71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</row>
    <row r="842" ht="15.75" customHeight="1">
      <c r="A842" s="26"/>
      <c r="B842" s="26"/>
      <c r="C842" s="71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</row>
    <row r="843" ht="15.75" customHeight="1">
      <c r="A843" s="26"/>
      <c r="B843" s="26"/>
      <c r="C843" s="71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</row>
    <row r="844" ht="15.75" customHeight="1">
      <c r="A844" s="26"/>
      <c r="B844" s="26"/>
      <c r="C844" s="71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</row>
    <row r="845" ht="15.75" customHeight="1">
      <c r="A845" s="26"/>
      <c r="B845" s="26"/>
      <c r="C845" s="71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</row>
    <row r="846" ht="15.75" customHeight="1">
      <c r="A846" s="26"/>
      <c r="B846" s="26"/>
      <c r="C846" s="71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</row>
    <row r="847" ht="15.75" customHeight="1">
      <c r="A847" s="26"/>
      <c r="B847" s="26"/>
      <c r="C847" s="71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</row>
    <row r="848" ht="15.75" customHeight="1">
      <c r="A848" s="26"/>
      <c r="B848" s="26"/>
      <c r="C848" s="71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</row>
    <row r="849" ht="15.75" customHeight="1">
      <c r="A849" s="26"/>
      <c r="B849" s="26"/>
      <c r="C849" s="71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</row>
    <row r="850" ht="15.75" customHeight="1">
      <c r="A850" s="26"/>
      <c r="B850" s="26"/>
      <c r="C850" s="71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</row>
    <row r="851" ht="15.75" customHeight="1">
      <c r="A851" s="26"/>
      <c r="B851" s="26"/>
      <c r="C851" s="71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</row>
    <row r="852" ht="15.75" customHeight="1">
      <c r="A852" s="26"/>
      <c r="B852" s="26"/>
      <c r="C852" s="71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</row>
    <row r="853" ht="15.75" customHeight="1">
      <c r="A853" s="26"/>
      <c r="B853" s="26"/>
      <c r="C853" s="71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</row>
    <row r="854" ht="15.75" customHeight="1">
      <c r="A854" s="26"/>
      <c r="B854" s="26"/>
      <c r="C854" s="71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</row>
    <row r="855" ht="15.75" customHeight="1">
      <c r="A855" s="26"/>
      <c r="B855" s="26"/>
      <c r="C855" s="71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</row>
    <row r="856" ht="15.75" customHeight="1">
      <c r="A856" s="26"/>
      <c r="B856" s="26"/>
      <c r="C856" s="71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</row>
    <row r="857" ht="15.75" customHeight="1">
      <c r="A857" s="26"/>
      <c r="B857" s="26"/>
      <c r="C857" s="71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</row>
    <row r="858" ht="15.75" customHeight="1">
      <c r="A858" s="26"/>
      <c r="B858" s="26"/>
      <c r="C858" s="71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</row>
    <row r="859" ht="15.75" customHeight="1">
      <c r="A859" s="26"/>
      <c r="B859" s="26"/>
      <c r="C859" s="71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</row>
    <row r="860" ht="15.75" customHeight="1">
      <c r="A860" s="26"/>
      <c r="B860" s="26"/>
      <c r="C860" s="71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</row>
    <row r="861" ht="15.75" customHeight="1">
      <c r="A861" s="26"/>
      <c r="B861" s="26"/>
      <c r="C861" s="71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</row>
    <row r="862" ht="15.75" customHeight="1">
      <c r="A862" s="26"/>
      <c r="B862" s="26"/>
      <c r="C862" s="71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</row>
    <row r="863" ht="15.75" customHeight="1">
      <c r="A863" s="26"/>
      <c r="B863" s="26"/>
      <c r="C863" s="71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</row>
    <row r="864" ht="15.75" customHeight="1">
      <c r="A864" s="26"/>
      <c r="B864" s="26"/>
      <c r="C864" s="71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</row>
    <row r="865" ht="15.75" customHeight="1">
      <c r="A865" s="26"/>
      <c r="B865" s="26"/>
      <c r="C865" s="71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</row>
    <row r="866" ht="15.75" customHeight="1">
      <c r="A866" s="26"/>
      <c r="B866" s="26"/>
      <c r="C866" s="71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</row>
    <row r="867" ht="15.75" customHeight="1">
      <c r="A867" s="26"/>
      <c r="B867" s="26"/>
      <c r="C867" s="71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</row>
    <row r="868" ht="15.75" customHeight="1">
      <c r="A868" s="26"/>
      <c r="B868" s="26"/>
      <c r="C868" s="71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</row>
    <row r="869" ht="15.75" customHeight="1">
      <c r="A869" s="26"/>
      <c r="B869" s="26"/>
      <c r="C869" s="71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</row>
    <row r="870" ht="15.75" customHeight="1">
      <c r="A870" s="26"/>
      <c r="B870" s="26"/>
      <c r="C870" s="71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</row>
    <row r="871" ht="15.75" customHeight="1">
      <c r="A871" s="26"/>
      <c r="B871" s="26"/>
      <c r="C871" s="71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</row>
    <row r="872" ht="15.75" customHeight="1">
      <c r="A872" s="26"/>
      <c r="B872" s="26"/>
      <c r="C872" s="71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</row>
    <row r="873" ht="15.75" customHeight="1">
      <c r="A873" s="26"/>
      <c r="B873" s="26"/>
      <c r="C873" s="71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</row>
    <row r="874" ht="15.75" customHeight="1">
      <c r="A874" s="26"/>
      <c r="B874" s="26"/>
      <c r="C874" s="71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</row>
    <row r="875" ht="15.75" customHeight="1">
      <c r="A875" s="26"/>
      <c r="B875" s="26"/>
      <c r="C875" s="71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</row>
    <row r="876" ht="15.75" customHeight="1">
      <c r="A876" s="26"/>
      <c r="B876" s="26"/>
      <c r="C876" s="71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</row>
    <row r="877" ht="15.75" customHeight="1">
      <c r="A877" s="26"/>
      <c r="B877" s="26"/>
      <c r="C877" s="71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</row>
    <row r="878" ht="15.75" customHeight="1">
      <c r="A878" s="26"/>
      <c r="B878" s="26"/>
      <c r="C878" s="71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</row>
    <row r="879" ht="15.75" customHeight="1">
      <c r="A879" s="26"/>
      <c r="B879" s="26"/>
      <c r="C879" s="71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</row>
    <row r="880" ht="15.75" customHeight="1">
      <c r="A880" s="26"/>
      <c r="B880" s="26"/>
      <c r="C880" s="71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</row>
    <row r="881" ht="15.75" customHeight="1">
      <c r="A881" s="26"/>
      <c r="B881" s="26"/>
      <c r="C881" s="71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</row>
    <row r="882" ht="15.75" customHeight="1">
      <c r="A882" s="26"/>
      <c r="B882" s="26"/>
      <c r="C882" s="71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</row>
    <row r="883" ht="15.75" customHeight="1">
      <c r="A883" s="26"/>
      <c r="B883" s="26"/>
      <c r="C883" s="71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</row>
    <row r="884" ht="15.75" customHeight="1">
      <c r="A884" s="26"/>
      <c r="B884" s="26"/>
      <c r="C884" s="71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</row>
    <row r="885" ht="15.75" customHeight="1">
      <c r="A885" s="26"/>
      <c r="B885" s="26"/>
      <c r="C885" s="71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</row>
    <row r="886" ht="15.75" customHeight="1">
      <c r="A886" s="26"/>
      <c r="B886" s="26"/>
      <c r="C886" s="71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</row>
    <row r="887" ht="15.75" customHeight="1">
      <c r="A887" s="26"/>
      <c r="B887" s="26"/>
      <c r="C887" s="71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</row>
    <row r="888" ht="15.75" customHeight="1">
      <c r="A888" s="26"/>
      <c r="B888" s="26"/>
      <c r="C888" s="71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</row>
    <row r="889" ht="15.75" customHeight="1">
      <c r="A889" s="26"/>
      <c r="B889" s="26"/>
      <c r="C889" s="71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</row>
    <row r="890" ht="15.75" customHeight="1">
      <c r="A890" s="26"/>
      <c r="B890" s="26"/>
      <c r="C890" s="71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</row>
    <row r="891" ht="15.75" customHeight="1">
      <c r="A891" s="26"/>
      <c r="B891" s="26"/>
      <c r="C891" s="71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</row>
    <row r="892" ht="15.75" customHeight="1">
      <c r="A892" s="26"/>
      <c r="B892" s="26"/>
      <c r="C892" s="71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</row>
    <row r="893" ht="15.75" customHeight="1">
      <c r="A893" s="26"/>
      <c r="B893" s="26"/>
      <c r="C893" s="71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</row>
    <row r="894" ht="15.75" customHeight="1">
      <c r="A894" s="26"/>
      <c r="B894" s="26"/>
      <c r="C894" s="71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</row>
    <row r="895" ht="15.75" customHeight="1">
      <c r="A895" s="26"/>
      <c r="B895" s="26"/>
      <c r="C895" s="71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</row>
    <row r="896" ht="15.75" customHeight="1">
      <c r="A896" s="26"/>
      <c r="B896" s="26"/>
      <c r="C896" s="71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</row>
    <row r="897" ht="15.75" customHeight="1">
      <c r="A897" s="26"/>
      <c r="B897" s="26"/>
      <c r="C897" s="71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</row>
    <row r="898" ht="15.75" customHeight="1">
      <c r="A898" s="26"/>
      <c r="B898" s="26"/>
      <c r="C898" s="71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</row>
    <row r="899" ht="15.75" customHeight="1">
      <c r="A899" s="26"/>
      <c r="B899" s="26"/>
      <c r="C899" s="71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</row>
    <row r="900" ht="15.75" customHeight="1">
      <c r="A900" s="26"/>
      <c r="B900" s="26"/>
      <c r="C900" s="71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</row>
    <row r="901" ht="15.75" customHeight="1">
      <c r="A901" s="26"/>
      <c r="B901" s="26"/>
      <c r="C901" s="71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</row>
    <row r="902" ht="15.75" customHeight="1">
      <c r="A902" s="26"/>
      <c r="B902" s="26"/>
      <c r="C902" s="71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</row>
    <row r="903" ht="15.75" customHeight="1">
      <c r="A903" s="26"/>
      <c r="B903" s="26"/>
      <c r="C903" s="71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</row>
    <row r="904" ht="15.75" customHeight="1">
      <c r="A904" s="26"/>
      <c r="B904" s="26"/>
      <c r="C904" s="71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</row>
    <row r="905" ht="15.75" customHeight="1">
      <c r="A905" s="26"/>
      <c r="B905" s="26"/>
      <c r="C905" s="71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</row>
    <row r="906" ht="15.75" customHeight="1">
      <c r="A906" s="26"/>
      <c r="B906" s="26"/>
      <c r="C906" s="71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</row>
    <row r="907" ht="15.75" customHeight="1">
      <c r="A907" s="26"/>
      <c r="B907" s="26"/>
      <c r="C907" s="71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</row>
    <row r="908" ht="15.75" customHeight="1">
      <c r="A908" s="26"/>
      <c r="B908" s="26"/>
      <c r="C908" s="71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</row>
    <row r="909" ht="15.75" customHeight="1">
      <c r="A909" s="26"/>
      <c r="B909" s="26"/>
      <c r="C909" s="71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</row>
    <row r="910" ht="15.75" customHeight="1">
      <c r="A910" s="26"/>
      <c r="B910" s="26"/>
      <c r="C910" s="71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</row>
    <row r="911" ht="15.75" customHeight="1">
      <c r="A911" s="26"/>
      <c r="B911" s="26"/>
      <c r="C911" s="71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</row>
    <row r="912" ht="15.75" customHeight="1">
      <c r="A912" s="26"/>
      <c r="B912" s="26"/>
      <c r="C912" s="71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</row>
    <row r="913" ht="15.75" customHeight="1">
      <c r="A913" s="26"/>
      <c r="B913" s="26"/>
      <c r="C913" s="71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</row>
    <row r="914" ht="15.75" customHeight="1">
      <c r="A914" s="26"/>
      <c r="B914" s="26"/>
      <c r="C914" s="71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</row>
    <row r="915" ht="15.75" customHeight="1">
      <c r="A915" s="26"/>
      <c r="B915" s="26"/>
      <c r="C915" s="71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</row>
    <row r="916" ht="15.75" customHeight="1">
      <c r="A916" s="26"/>
      <c r="B916" s="26"/>
      <c r="C916" s="71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</row>
    <row r="917" ht="15.75" customHeight="1">
      <c r="A917" s="26"/>
      <c r="B917" s="26"/>
      <c r="C917" s="71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</row>
    <row r="918" ht="15.75" customHeight="1">
      <c r="A918" s="26"/>
      <c r="B918" s="26"/>
      <c r="C918" s="71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</row>
    <row r="919" ht="15.75" customHeight="1">
      <c r="A919" s="26"/>
      <c r="B919" s="26"/>
      <c r="C919" s="71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</row>
    <row r="920" ht="15.75" customHeight="1">
      <c r="A920" s="26"/>
      <c r="B920" s="26"/>
      <c r="C920" s="71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</row>
    <row r="921" ht="15.75" customHeight="1">
      <c r="A921" s="26"/>
      <c r="B921" s="26"/>
      <c r="C921" s="71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</row>
    <row r="922" ht="15.75" customHeight="1">
      <c r="A922" s="26"/>
      <c r="B922" s="26"/>
      <c r="C922" s="71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</row>
    <row r="923" ht="15.75" customHeight="1">
      <c r="A923" s="26"/>
      <c r="B923" s="26"/>
      <c r="C923" s="71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</row>
    <row r="924" ht="15.75" customHeight="1">
      <c r="A924" s="26"/>
      <c r="B924" s="26"/>
      <c r="C924" s="71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</row>
    <row r="925" ht="15.75" customHeight="1">
      <c r="A925" s="26"/>
      <c r="B925" s="26"/>
      <c r="C925" s="71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</row>
    <row r="926" ht="15.75" customHeight="1">
      <c r="A926" s="26"/>
      <c r="B926" s="26"/>
      <c r="C926" s="71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</row>
    <row r="927" ht="15.75" customHeight="1">
      <c r="A927" s="26"/>
      <c r="B927" s="26"/>
      <c r="C927" s="71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</row>
    <row r="928" ht="15.75" customHeight="1">
      <c r="A928" s="26"/>
      <c r="B928" s="26"/>
      <c r="C928" s="71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</row>
    <row r="929" ht="15.75" customHeight="1">
      <c r="A929" s="26"/>
      <c r="B929" s="26"/>
      <c r="C929" s="71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</row>
    <row r="930" ht="15.75" customHeight="1">
      <c r="A930" s="26"/>
      <c r="B930" s="26"/>
      <c r="C930" s="71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</row>
    <row r="931" ht="15.75" customHeight="1">
      <c r="A931" s="26"/>
      <c r="B931" s="26"/>
      <c r="C931" s="71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</row>
    <row r="932" ht="15.75" customHeight="1">
      <c r="A932" s="26"/>
      <c r="B932" s="26"/>
      <c r="C932" s="71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</row>
    <row r="933" ht="15.75" customHeight="1">
      <c r="A933" s="26"/>
      <c r="B933" s="26"/>
      <c r="C933" s="71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</row>
    <row r="934" ht="15.75" customHeight="1">
      <c r="A934" s="26"/>
      <c r="B934" s="26"/>
      <c r="C934" s="71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</row>
    <row r="935" ht="15.75" customHeight="1">
      <c r="A935" s="26"/>
      <c r="B935" s="26"/>
      <c r="C935" s="71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</row>
    <row r="936" ht="15.75" customHeight="1">
      <c r="A936" s="26"/>
      <c r="B936" s="26"/>
      <c r="C936" s="71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</row>
    <row r="937" ht="15.75" customHeight="1">
      <c r="A937" s="26"/>
      <c r="B937" s="26"/>
      <c r="C937" s="71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</row>
    <row r="938" ht="15.75" customHeight="1">
      <c r="A938" s="26"/>
      <c r="B938" s="26"/>
      <c r="C938" s="71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</row>
    <row r="939" ht="15.75" customHeight="1">
      <c r="A939" s="26"/>
      <c r="B939" s="26"/>
      <c r="C939" s="71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</row>
    <row r="940" ht="15.75" customHeight="1">
      <c r="A940" s="26"/>
      <c r="B940" s="26"/>
      <c r="C940" s="71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</row>
    <row r="941" ht="15.75" customHeight="1">
      <c r="A941" s="26"/>
      <c r="B941" s="26"/>
      <c r="C941" s="71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</row>
    <row r="942" ht="15.75" customHeight="1">
      <c r="A942" s="26"/>
      <c r="B942" s="26"/>
      <c r="C942" s="71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</row>
    <row r="943" ht="15.75" customHeight="1">
      <c r="A943" s="26"/>
      <c r="B943" s="26"/>
      <c r="C943" s="71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</row>
    <row r="944" ht="15.75" customHeight="1">
      <c r="A944" s="26"/>
      <c r="B944" s="26"/>
      <c r="C944" s="71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</row>
    <row r="945" ht="15.75" customHeight="1">
      <c r="A945" s="26"/>
      <c r="B945" s="26"/>
      <c r="C945" s="71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</row>
    <row r="946" ht="15.75" customHeight="1">
      <c r="A946" s="26"/>
      <c r="B946" s="26"/>
      <c r="C946" s="71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</row>
    <row r="947" ht="15.75" customHeight="1">
      <c r="A947" s="26"/>
      <c r="B947" s="26"/>
      <c r="C947" s="71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</row>
    <row r="948" ht="15.75" customHeight="1">
      <c r="A948" s="26"/>
      <c r="B948" s="26"/>
      <c r="C948" s="71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</row>
    <row r="949" ht="15.75" customHeight="1">
      <c r="A949" s="26"/>
      <c r="B949" s="26"/>
      <c r="C949" s="71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</row>
    <row r="950" ht="15.75" customHeight="1">
      <c r="A950" s="26"/>
      <c r="B950" s="26"/>
      <c r="C950" s="71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</row>
    <row r="951" ht="15.75" customHeight="1">
      <c r="A951" s="26"/>
      <c r="B951" s="26"/>
      <c r="C951" s="71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</row>
    <row r="952" ht="15.75" customHeight="1">
      <c r="A952" s="26"/>
      <c r="B952" s="26"/>
      <c r="C952" s="71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</row>
    <row r="953" ht="15.75" customHeight="1">
      <c r="A953" s="26"/>
      <c r="B953" s="26"/>
      <c r="C953" s="71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</row>
    <row r="954" ht="15.75" customHeight="1">
      <c r="A954" s="26"/>
      <c r="B954" s="26"/>
      <c r="C954" s="71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</row>
    <row r="955" ht="15.75" customHeight="1">
      <c r="A955" s="26"/>
      <c r="B955" s="26"/>
      <c r="C955" s="71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</row>
    <row r="956" ht="15.75" customHeight="1">
      <c r="A956" s="26"/>
      <c r="B956" s="26"/>
      <c r="C956" s="71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</row>
    <row r="957" ht="15.75" customHeight="1">
      <c r="A957" s="26"/>
      <c r="B957" s="26"/>
      <c r="C957" s="71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</row>
    <row r="958" ht="15.75" customHeight="1">
      <c r="A958" s="26"/>
      <c r="B958" s="26"/>
      <c r="C958" s="71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</row>
    <row r="959" ht="15.75" customHeight="1">
      <c r="A959" s="26"/>
      <c r="B959" s="26"/>
      <c r="C959" s="71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</row>
    <row r="960" ht="15.75" customHeight="1">
      <c r="A960" s="26"/>
      <c r="B960" s="26"/>
      <c r="C960" s="71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</row>
    <row r="961" ht="15.75" customHeight="1">
      <c r="A961" s="26"/>
      <c r="B961" s="26"/>
      <c r="C961" s="71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</row>
    <row r="962" ht="15.75" customHeight="1">
      <c r="A962" s="26"/>
      <c r="B962" s="26"/>
      <c r="C962" s="71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</row>
    <row r="963" ht="15.75" customHeight="1">
      <c r="A963" s="26"/>
      <c r="B963" s="26"/>
      <c r="C963" s="71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</row>
    <row r="964" ht="15.75" customHeight="1">
      <c r="A964" s="26"/>
      <c r="B964" s="26"/>
      <c r="C964" s="71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</row>
    <row r="965" ht="15.75" customHeight="1">
      <c r="A965" s="26"/>
      <c r="B965" s="26"/>
      <c r="C965" s="71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</row>
    <row r="966" ht="15.75" customHeight="1">
      <c r="A966" s="26"/>
      <c r="B966" s="26"/>
      <c r="C966" s="71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</row>
    <row r="967" ht="15.75" customHeight="1">
      <c r="A967" s="26"/>
      <c r="B967" s="26"/>
      <c r="C967" s="71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</row>
    <row r="968" ht="15.75" customHeight="1">
      <c r="A968" s="26"/>
      <c r="B968" s="26"/>
      <c r="C968" s="71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</row>
    <row r="969" ht="15.75" customHeight="1">
      <c r="A969" s="26"/>
      <c r="B969" s="26"/>
      <c r="C969" s="71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</row>
    <row r="970" ht="15.75" customHeight="1">
      <c r="A970" s="26"/>
      <c r="B970" s="26"/>
      <c r="C970" s="71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</row>
    <row r="971" ht="15.75" customHeight="1">
      <c r="A971" s="26"/>
      <c r="B971" s="26"/>
      <c r="C971" s="71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</row>
    <row r="972" ht="15.75" customHeight="1">
      <c r="A972" s="26"/>
      <c r="B972" s="26"/>
      <c r="C972" s="71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</row>
    <row r="973" ht="15.75" customHeight="1">
      <c r="A973" s="26"/>
      <c r="B973" s="26"/>
      <c r="C973" s="71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</row>
    <row r="974" ht="15.75" customHeight="1">
      <c r="A974" s="26"/>
      <c r="B974" s="26"/>
      <c r="C974" s="71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</row>
    <row r="975" ht="15.75" customHeight="1">
      <c r="A975" s="26"/>
      <c r="B975" s="26"/>
      <c r="C975" s="71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</row>
    <row r="976" ht="15.75" customHeight="1">
      <c r="A976" s="26"/>
      <c r="B976" s="26"/>
      <c r="C976" s="71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</row>
    <row r="977" ht="15.75" customHeight="1">
      <c r="A977" s="26"/>
      <c r="B977" s="26"/>
      <c r="C977" s="71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</row>
    <row r="978" ht="15.75" customHeight="1">
      <c r="A978" s="26"/>
      <c r="B978" s="26"/>
      <c r="C978" s="71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</row>
    <row r="979" ht="15.75" customHeight="1">
      <c r="A979" s="26"/>
      <c r="B979" s="26"/>
      <c r="C979" s="71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</row>
    <row r="980" ht="15.75" customHeight="1">
      <c r="A980" s="26"/>
      <c r="B980" s="26"/>
      <c r="C980" s="71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</row>
    <row r="981" ht="15.75" customHeight="1">
      <c r="A981" s="26"/>
      <c r="B981" s="26"/>
      <c r="C981" s="71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</row>
    <row r="982" ht="15.75" customHeight="1">
      <c r="A982" s="26"/>
      <c r="B982" s="26"/>
      <c r="C982" s="71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</row>
    <row r="983" ht="15.75" customHeight="1">
      <c r="A983" s="26"/>
      <c r="B983" s="26"/>
      <c r="C983" s="71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</row>
    <row r="984" ht="15.75" customHeight="1">
      <c r="A984" s="26"/>
      <c r="B984" s="26"/>
      <c r="C984" s="71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</row>
    <row r="985" ht="15.75" customHeight="1">
      <c r="A985" s="26"/>
      <c r="B985" s="26"/>
      <c r="C985" s="71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</row>
    <row r="986" ht="15.75" customHeight="1">
      <c r="A986" s="26"/>
      <c r="B986" s="26"/>
      <c r="C986" s="71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</row>
    <row r="987" ht="15.75" customHeight="1">
      <c r="A987" s="26"/>
      <c r="B987" s="26"/>
      <c r="C987" s="71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</row>
    <row r="988" ht="15.75" customHeight="1">
      <c r="A988" s="26"/>
      <c r="B988" s="26"/>
      <c r="C988" s="71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</row>
    <row r="989" ht="15.75" customHeight="1">
      <c r="A989" s="26"/>
      <c r="B989" s="26"/>
      <c r="C989" s="71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</row>
    <row r="990" ht="15.75" customHeight="1">
      <c r="A990" s="26"/>
      <c r="B990" s="26"/>
      <c r="C990" s="71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</row>
    <row r="991" ht="15.75" customHeight="1">
      <c r="A991" s="26"/>
      <c r="B991" s="26"/>
      <c r="C991" s="71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</row>
    <row r="992" ht="15.75" customHeight="1">
      <c r="A992" s="26"/>
      <c r="B992" s="26"/>
      <c r="C992" s="71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</row>
    <row r="993" ht="15.75" customHeight="1">
      <c r="A993" s="26"/>
      <c r="B993" s="26"/>
      <c r="C993" s="71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</row>
    <row r="994" ht="15.75" customHeight="1">
      <c r="A994" s="26"/>
      <c r="B994" s="26"/>
      <c r="C994" s="71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</row>
    <row r="995" ht="15.75" customHeight="1">
      <c r="A995" s="26"/>
      <c r="B995" s="26"/>
      <c r="C995" s="71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</row>
    <row r="996" ht="15.75" customHeight="1">
      <c r="A996" s="26"/>
      <c r="B996" s="26"/>
      <c r="C996" s="71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</row>
    <row r="997" ht="15.75" customHeight="1">
      <c r="A997" s="26"/>
      <c r="B997" s="26"/>
      <c r="C997" s="71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</row>
    <row r="998" ht="15.75" customHeight="1">
      <c r="A998" s="26"/>
      <c r="B998" s="26"/>
      <c r="C998" s="71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</row>
    <row r="999" ht="15.75" customHeight="1">
      <c r="A999" s="26"/>
      <c r="B999" s="26"/>
      <c r="C999" s="71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</row>
    <row r="1000" ht="15.75" customHeight="1">
      <c r="A1000" s="26"/>
      <c r="B1000" s="26"/>
      <c r="C1000" s="71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</row>
    <row r="1001" ht="15.75" customHeight="1">
      <c r="A1001" s="26"/>
      <c r="B1001" s="26"/>
      <c r="C1001" s="71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</row>
    <row r="1002" ht="15.75" customHeight="1">
      <c r="A1002" s="26"/>
      <c r="B1002" s="26"/>
      <c r="C1002" s="71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</row>
    <row r="1003" ht="15.75" customHeight="1">
      <c r="A1003" s="26"/>
      <c r="B1003" s="26"/>
      <c r="C1003" s="71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</row>
    <row r="1004" ht="15.75" customHeight="1">
      <c r="A1004" s="26"/>
      <c r="B1004" s="26"/>
      <c r="C1004" s="71"/>
      <c r="D1004" s="26"/>
      <c r="E1004" s="26"/>
      <c r="F1004" s="26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</row>
    <row r="1005" ht="15.75" customHeight="1">
      <c r="A1005" s="26"/>
      <c r="B1005" s="26"/>
      <c r="C1005" s="71"/>
      <c r="D1005" s="26"/>
      <c r="E1005" s="26"/>
      <c r="F1005" s="26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</row>
    <row r="1006" ht="15.75" customHeight="1">
      <c r="A1006" s="26"/>
      <c r="B1006" s="26"/>
      <c r="C1006" s="71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</row>
  </sheetData>
  <mergeCells count="1">
    <mergeCell ref="B2:K2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0.29"/>
    <col customWidth="1" min="2" max="2" width="27.29"/>
    <col customWidth="1" min="3" max="3" width="35.71"/>
    <col customWidth="1" min="5" max="5" width="40.0"/>
    <col customWidth="1" min="6" max="6" width="26.86"/>
    <col customWidth="1" min="7" max="7" width="20.71"/>
  </cols>
  <sheetData>
    <row r="2">
      <c r="A2" s="234" t="s">
        <v>174</v>
      </c>
      <c r="B2" s="234" t="s">
        <v>175</v>
      </c>
      <c r="C2" s="234" t="s">
        <v>176</v>
      </c>
      <c r="D2" s="235"/>
      <c r="E2" s="234" t="s">
        <v>177</v>
      </c>
    </row>
    <row r="3">
      <c r="A3" s="236" t="s">
        <v>178</v>
      </c>
      <c r="B3" s="237" t="s">
        <v>179</v>
      </c>
      <c r="C3" s="237" t="s">
        <v>180</v>
      </c>
      <c r="D3" s="237"/>
      <c r="E3" s="237" t="s">
        <v>181</v>
      </c>
    </row>
    <row r="4">
      <c r="A4" s="236"/>
      <c r="B4" s="237" t="s">
        <v>182</v>
      </c>
      <c r="C4" s="237" t="s">
        <v>180</v>
      </c>
      <c r="D4" s="237"/>
      <c r="E4" s="237" t="s">
        <v>183</v>
      </c>
    </row>
    <row r="5">
      <c r="A5" s="236"/>
      <c r="B5" s="237"/>
      <c r="C5" s="237"/>
      <c r="D5" s="237"/>
      <c r="E5" s="237"/>
    </row>
    <row r="6">
      <c r="A6" s="236" t="s">
        <v>184</v>
      </c>
      <c r="B6" s="237" t="s">
        <v>179</v>
      </c>
      <c r="C6" s="237" t="s">
        <v>180</v>
      </c>
      <c r="D6" s="237"/>
      <c r="E6" s="237" t="s">
        <v>181</v>
      </c>
    </row>
    <row r="7">
      <c r="A7" s="236"/>
      <c r="B7" s="237" t="s">
        <v>182</v>
      </c>
      <c r="C7" s="237" t="s">
        <v>180</v>
      </c>
      <c r="D7" s="237"/>
      <c r="E7" s="237" t="s">
        <v>183</v>
      </c>
    </row>
    <row r="8">
      <c r="A8" s="236"/>
      <c r="B8" s="237"/>
      <c r="C8" s="237"/>
      <c r="D8" s="237"/>
      <c r="E8" s="237"/>
    </row>
    <row r="9">
      <c r="A9" s="236" t="s">
        <v>185</v>
      </c>
      <c r="B9" s="237" t="s">
        <v>179</v>
      </c>
      <c r="C9" s="237" t="s">
        <v>186</v>
      </c>
      <c r="D9" s="237"/>
      <c r="E9" s="237" t="s">
        <v>181</v>
      </c>
    </row>
    <row r="10">
      <c r="A10" s="236"/>
      <c r="B10" s="237" t="s">
        <v>182</v>
      </c>
      <c r="C10" s="237" t="s">
        <v>186</v>
      </c>
      <c r="D10" s="237"/>
      <c r="E10" s="237" t="s">
        <v>183</v>
      </c>
    </row>
    <row r="11">
      <c r="A11" s="236"/>
      <c r="B11" s="237"/>
      <c r="C11" s="237"/>
      <c r="D11" s="237"/>
      <c r="E11" s="237"/>
    </row>
    <row r="12">
      <c r="A12" s="236" t="s">
        <v>187</v>
      </c>
      <c r="B12" s="237" t="s">
        <v>188</v>
      </c>
      <c r="C12" s="237"/>
      <c r="D12" s="237"/>
      <c r="E12" s="237"/>
    </row>
    <row r="13">
      <c r="A13" s="236"/>
      <c r="B13" s="237" t="s">
        <v>189</v>
      </c>
      <c r="C13" s="237"/>
      <c r="D13" s="237"/>
      <c r="E13" s="237"/>
    </row>
    <row r="14">
      <c r="A14" s="238"/>
      <c r="B14" s="238"/>
      <c r="C14" s="238"/>
      <c r="D14" s="238"/>
      <c r="E14" s="238"/>
    </row>
    <row r="17">
      <c r="A17" s="238" t="s">
        <v>190</v>
      </c>
      <c r="B17" s="238"/>
      <c r="C17" s="238"/>
      <c r="D17" s="238"/>
      <c r="E17" s="238"/>
      <c r="F17" s="238"/>
      <c r="G17" s="238"/>
      <c r="H17" s="238"/>
    </row>
    <row r="18">
      <c r="A18" s="234" t="s">
        <v>174</v>
      </c>
      <c r="B18" s="234" t="s">
        <v>175</v>
      </c>
      <c r="C18" s="234" t="s">
        <v>176</v>
      </c>
      <c r="D18" s="235"/>
      <c r="E18" s="234" t="s">
        <v>177</v>
      </c>
      <c r="F18" s="239" t="s">
        <v>191</v>
      </c>
      <c r="G18" s="239" t="s">
        <v>192</v>
      </c>
      <c r="H18" s="239" t="s">
        <v>193</v>
      </c>
    </row>
    <row r="19">
      <c r="A19" s="236" t="s">
        <v>194</v>
      </c>
      <c r="B19" s="237" t="s">
        <v>195</v>
      </c>
      <c r="C19" s="237" t="s">
        <v>196</v>
      </c>
      <c r="D19" s="237"/>
      <c r="E19" s="237" t="s">
        <v>181</v>
      </c>
      <c r="F19" s="240">
        <v>8.6</v>
      </c>
      <c r="G19" s="240">
        <v>86.0</v>
      </c>
      <c r="H19" s="240">
        <f>G19*3</f>
        <v>258</v>
      </c>
    </row>
    <row r="20">
      <c r="A20" s="236" t="s">
        <v>197</v>
      </c>
      <c r="B20" s="237" t="s">
        <v>198</v>
      </c>
      <c r="C20" s="237" t="s">
        <v>196</v>
      </c>
      <c r="D20" s="237"/>
      <c r="E20" s="237" t="s">
        <v>183</v>
      </c>
      <c r="F20" s="240">
        <v>4.0</v>
      </c>
      <c r="G20" s="240">
        <v>40.0</v>
      </c>
      <c r="H20" s="240">
        <v>120.0</v>
      </c>
    </row>
    <row r="21">
      <c r="A21" s="238"/>
      <c r="B21" s="238"/>
      <c r="C21" s="238"/>
      <c r="D21" s="238"/>
      <c r="E21" s="238"/>
      <c r="F21" s="238"/>
      <c r="G21" s="241" t="s">
        <v>18</v>
      </c>
      <c r="H21" s="242">
        <f>SUM(H19:H20)</f>
        <v>378</v>
      </c>
    </row>
    <row r="22">
      <c r="A22" s="238"/>
      <c r="B22" s="238"/>
      <c r="C22" s="238"/>
      <c r="D22" s="238"/>
      <c r="E22" s="238"/>
      <c r="F22" s="238"/>
      <c r="G22" s="238"/>
      <c r="H22" s="238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29"/>
    <col customWidth="1" min="2" max="14" width="8.0"/>
    <col customWidth="1" min="15" max="15" width="10.71"/>
    <col customWidth="1" min="16" max="16" width="14.0"/>
    <col customWidth="1" min="17" max="17" width="11.71"/>
    <col customWidth="1" min="18" max="26" width="8.86"/>
  </cols>
  <sheetData>
    <row r="1">
      <c r="A1" s="36" t="s">
        <v>199</v>
      </c>
    </row>
    <row r="2">
      <c r="Q2" s="243" t="s">
        <v>200</v>
      </c>
    </row>
    <row r="3">
      <c r="A3" s="244" t="s">
        <v>1</v>
      </c>
      <c r="B3" s="245" t="s">
        <v>201</v>
      </c>
      <c r="C3" s="245" t="s">
        <v>202</v>
      </c>
      <c r="D3" s="245" t="s">
        <v>203</v>
      </c>
      <c r="E3" s="245" t="s">
        <v>204</v>
      </c>
      <c r="F3" s="245" t="s">
        <v>205</v>
      </c>
      <c r="G3" s="245" t="s">
        <v>206</v>
      </c>
      <c r="H3" s="245" t="s">
        <v>207</v>
      </c>
      <c r="I3" s="245" t="s">
        <v>208</v>
      </c>
      <c r="J3" s="245" t="s">
        <v>209</v>
      </c>
      <c r="K3" s="245" t="s">
        <v>210</v>
      </c>
      <c r="L3" s="245" t="s">
        <v>211</v>
      </c>
      <c r="M3" s="245" t="s">
        <v>212</v>
      </c>
      <c r="N3" s="245" t="s">
        <v>213</v>
      </c>
      <c r="O3" s="245" t="s">
        <v>122</v>
      </c>
      <c r="P3" s="245" t="s">
        <v>123</v>
      </c>
      <c r="Q3" s="245" t="s">
        <v>18</v>
      </c>
    </row>
    <row r="4">
      <c r="A4" s="183" t="s">
        <v>214</v>
      </c>
      <c r="B4" s="30">
        <v>0.0</v>
      </c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>
        <f>SUM(B4:P4)</f>
        <v>0</v>
      </c>
    </row>
    <row r="5">
      <c r="A5" s="183" t="s">
        <v>215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</row>
    <row r="6">
      <c r="A6" s="246" t="s">
        <v>18</v>
      </c>
      <c r="B6" s="247">
        <f t="shared" ref="B6:Q6" si="1">B4+B5</f>
        <v>0</v>
      </c>
      <c r="C6" s="247">
        <f t="shared" si="1"/>
        <v>0</v>
      </c>
      <c r="D6" s="247">
        <f t="shared" si="1"/>
        <v>0</v>
      </c>
      <c r="E6" s="247">
        <f t="shared" si="1"/>
        <v>0</v>
      </c>
      <c r="F6" s="247">
        <f t="shared" si="1"/>
        <v>0</v>
      </c>
      <c r="G6" s="247">
        <f t="shared" si="1"/>
        <v>0</v>
      </c>
      <c r="H6" s="247">
        <f t="shared" si="1"/>
        <v>0</v>
      </c>
      <c r="I6" s="247">
        <f t="shared" si="1"/>
        <v>0</v>
      </c>
      <c r="J6" s="247">
        <f t="shared" si="1"/>
        <v>0</v>
      </c>
      <c r="K6" s="247">
        <f t="shared" si="1"/>
        <v>0</v>
      </c>
      <c r="L6" s="247">
        <f t="shared" si="1"/>
        <v>0</v>
      </c>
      <c r="M6" s="247">
        <f t="shared" si="1"/>
        <v>0</v>
      </c>
      <c r="N6" s="247">
        <f t="shared" si="1"/>
        <v>0</v>
      </c>
      <c r="O6" s="247">
        <f t="shared" si="1"/>
        <v>0</v>
      </c>
      <c r="P6" s="247">
        <f t="shared" si="1"/>
        <v>0</v>
      </c>
      <c r="Q6" s="247">
        <f t="shared" si="1"/>
        <v>0</v>
      </c>
    </row>
    <row r="7">
      <c r="A7" s="183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183"/>
      <c r="P7" s="183"/>
      <c r="Q7" s="30"/>
    </row>
    <row r="8">
      <c r="A8" s="248" t="s">
        <v>216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183"/>
      <c r="P8" s="183"/>
      <c r="Q8" s="30"/>
    </row>
    <row r="9">
      <c r="A9" s="183" t="str">
        <f>Summary!B4</f>
        <v>BOQ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>
        <f t="shared" ref="Q9:Q17" si="3">SUM(B9:P9)</f>
        <v>0</v>
      </c>
    </row>
    <row r="10">
      <c r="A10" s="183" t="s">
        <v>215</v>
      </c>
      <c r="B10" s="30"/>
      <c r="C10" s="30" t="str">
        <f>'Customer Quote Price'!E12/7/10^5</f>
        <v>#REF!</v>
      </c>
      <c r="D10" s="30" t="str">
        <f t="shared" ref="D10:I10" si="2">C10</f>
        <v>#REF!</v>
      </c>
      <c r="E10" s="30" t="str">
        <f t="shared" si="2"/>
        <v>#REF!</v>
      </c>
      <c r="F10" s="30" t="str">
        <f t="shared" si="2"/>
        <v>#REF!</v>
      </c>
      <c r="G10" s="30" t="str">
        <f t="shared" si="2"/>
        <v>#REF!</v>
      </c>
      <c r="H10" s="30" t="str">
        <f t="shared" si="2"/>
        <v>#REF!</v>
      </c>
      <c r="I10" s="30" t="str">
        <f t="shared" si="2"/>
        <v>#REF!</v>
      </c>
      <c r="J10" s="30"/>
      <c r="K10" s="30"/>
      <c r="L10" s="30"/>
      <c r="M10" s="30"/>
      <c r="N10" s="30"/>
      <c r="O10" s="30"/>
      <c r="P10" s="30"/>
      <c r="Q10" s="30" t="str">
        <f t="shared" si="3"/>
        <v>#REF!</v>
      </c>
    </row>
    <row r="11">
      <c r="A11" s="183" t="str">
        <f>Summary!B5</f>
        <v>Travel</v>
      </c>
      <c r="B11" s="30"/>
      <c r="C11" s="30">
        <f>'Other Costs'!C6/6/10^5</f>
        <v>0</v>
      </c>
      <c r="D11" s="30">
        <f t="shared" ref="D11:H11" si="4">C11</f>
        <v>0</v>
      </c>
      <c r="E11" s="30">
        <f t="shared" si="4"/>
        <v>0</v>
      </c>
      <c r="F11" s="30">
        <f t="shared" si="4"/>
        <v>0</v>
      </c>
      <c r="G11" s="30">
        <f t="shared" si="4"/>
        <v>0</v>
      </c>
      <c r="H11" s="30">
        <f t="shared" si="4"/>
        <v>0</v>
      </c>
      <c r="I11" s="30"/>
      <c r="J11" s="30"/>
      <c r="K11" s="30"/>
      <c r="L11" s="30"/>
      <c r="M11" s="30"/>
      <c r="N11" s="30"/>
      <c r="O11" s="30"/>
      <c r="P11" s="30"/>
      <c r="Q11" s="30">
        <f t="shared" si="3"/>
        <v>0</v>
      </c>
    </row>
    <row r="12">
      <c r="A12" s="183" t="str">
        <f>Summary!B6</f>
        <v>Installation Charges</v>
      </c>
      <c r="B12" s="30">
        <f>Summary!D6/3</f>
        <v>0</v>
      </c>
      <c r="C12" s="30">
        <f>Summary!D6/3</f>
        <v>0</v>
      </c>
      <c r="D12" s="30">
        <f>Summary!D6/3</f>
        <v>0</v>
      </c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>
        <f t="shared" si="3"/>
        <v>0</v>
      </c>
    </row>
    <row r="13">
      <c r="A13" s="183" t="str">
        <f>Summary!B7</f>
        <v>PBG Charges</v>
      </c>
      <c r="B13" s="30">
        <f>Summary!D7</f>
        <v>0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>
        <f t="shared" si="3"/>
        <v>0</v>
      </c>
    </row>
    <row r="14">
      <c r="A14" s="183" t="str">
        <f>Summary!B8</f>
        <v>Contingency/Penalties</v>
      </c>
      <c r="B14" s="30"/>
      <c r="C14" s="30"/>
      <c r="D14" s="30"/>
      <c r="E14" s="30"/>
      <c r="F14" s="30"/>
      <c r="G14" s="30"/>
      <c r="H14" s="30"/>
      <c r="I14" s="30">
        <f>Summary!D8</f>
        <v>0</v>
      </c>
      <c r="J14" s="30"/>
      <c r="K14" s="30"/>
      <c r="L14" s="30"/>
      <c r="M14" s="30"/>
      <c r="N14" s="30"/>
      <c r="O14" s="30"/>
      <c r="P14" s="30"/>
      <c r="Q14" s="30">
        <f t="shared" si="3"/>
        <v>0</v>
      </c>
    </row>
    <row r="15">
      <c r="A15" s="183" t="str">
        <f>Summary!B9</f>
        <v>Project Management Costs</v>
      </c>
      <c r="B15" s="30">
        <f>Summary!D9</f>
        <v>0.3402</v>
      </c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>
        <f t="shared" si="3"/>
        <v>0.3402</v>
      </c>
    </row>
    <row r="16" ht="15.0" customHeight="1">
      <c r="A16" s="183" t="str">
        <f>Summary!B10</f>
        <v>Misc Costs (Out of pocket)</v>
      </c>
      <c r="B16" s="30"/>
      <c r="C16" s="30"/>
      <c r="D16" s="30"/>
      <c r="E16" s="30">
        <f>Summary!D10</f>
        <v>0</v>
      </c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>
        <f t="shared" si="3"/>
        <v>0</v>
      </c>
    </row>
    <row r="17">
      <c r="A17" s="183" t="str">
        <f>Summary!B11</f>
        <v>SG&amp;A</v>
      </c>
      <c r="B17" s="30"/>
      <c r="C17" s="30" t="str">
        <f>Summary!D11/7</f>
        <v>#REF!</v>
      </c>
      <c r="D17" s="30" t="str">
        <f t="shared" ref="D17:I17" si="5">C17</f>
        <v>#REF!</v>
      </c>
      <c r="E17" s="30" t="str">
        <f t="shared" si="5"/>
        <v>#REF!</v>
      </c>
      <c r="F17" s="30" t="str">
        <f t="shared" si="5"/>
        <v>#REF!</v>
      </c>
      <c r="G17" s="30" t="str">
        <f t="shared" si="5"/>
        <v>#REF!</v>
      </c>
      <c r="H17" s="30" t="str">
        <f t="shared" si="5"/>
        <v>#REF!</v>
      </c>
      <c r="I17" s="30" t="str">
        <f t="shared" si="5"/>
        <v>#REF!</v>
      </c>
      <c r="J17" s="30"/>
      <c r="K17" s="30"/>
      <c r="L17" s="30"/>
      <c r="M17" s="30"/>
      <c r="N17" s="30"/>
      <c r="O17" s="30"/>
      <c r="P17" s="30"/>
      <c r="Q17" s="30" t="str">
        <f t="shared" si="3"/>
        <v>#REF!</v>
      </c>
    </row>
    <row r="18">
      <c r="A18" s="183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</row>
    <row r="19">
      <c r="A19" s="246" t="s">
        <v>18</v>
      </c>
      <c r="B19" s="247">
        <f t="shared" ref="B19:Q19" si="6">SUM(B9:B18)</f>
        <v>0.3402</v>
      </c>
      <c r="C19" s="247" t="str">
        <f t="shared" si="6"/>
        <v>#REF!</v>
      </c>
      <c r="D19" s="247" t="str">
        <f t="shared" si="6"/>
        <v>#REF!</v>
      </c>
      <c r="E19" s="247" t="str">
        <f t="shared" si="6"/>
        <v>#REF!</v>
      </c>
      <c r="F19" s="247" t="str">
        <f t="shared" si="6"/>
        <v>#REF!</v>
      </c>
      <c r="G19" s="247" t="str">
        <f t="shared" si="6"/>
        <v>#REF!</v>
      </c>
      <c r="H19" s="247" t="str">
        <f t="shared" si="6"/>
        <v>#REF!</v>
      </c>
      <c r="I19" s="247" t="str">
        <f t="shared" si="6"/>
        <v>#REF!</v>
      </c>
      <c r="J19" s="247">
        <f t="shared" si="6"/>
        <v>0</v>
      </c>
      <c r="K19" s="247">
        <f t="shared" si="6"/>
        <v>0</v>
      </c>
      <c r="L19" s="247">
        <f t="shared" si="6"/>
        <v>0</v>
      </c>
      <c r="M19" s="247">
        <f t="shared" si="6"/>
        <v>0</v>
      </c>
      <c r="N19" s="247">
        <f t="shared" si="6"/>
        <v>0</v>
      </c>
      <c r="O19" s="247">
        <f t="shared" si="6"/>
        <v>0</v>
      </c>
      <c r="P19" s="247">
        <f t="shared" si="6"/>
        <v>0</v>
      </c>
      <c r="Q19" s="247" t="str">
        <f t="shared" si="6"/>
        <v>#REF!</v>
      </c>
    </row>
    <row r="20">
      <c r="A20" s="183"/>
      <c r="B20" s="183"/>
      <c r="C20" s="183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</row>
    <row r="21" ht="15.75" customHeight="1">
      <c r="A21" s="249" t="s">
        <v>217</v>
      </c>
      <c r="B21" s="250">
        <f t="shared" ref="B21:Q21" si="7">B6-B19</f>
        <v>-0.3402</v>
      </c>
      <c r="C21" s="250" t="str">
        <f t="shared" si="7"/>
        <v>#REF!</v>
      </c>
      <c r="D21" s="250" t="str">
        <f t="shared" si="7"/>
        <v>#REF!</v>
      </c>
      <c r="E21" s="250" t="str">
        <f t="shared" si="7"/>
        <v>#REF!</v>
      </c>
      <c r="F21" s="250" t="str">
        <f t="shared" si="7"/>
        <v>#REF!</v>
      </c>
      <c r="G21" s="250" t="str">
        <f t="shared" si="7"/>
        <v>#REF!</v>
      </c>
      <c r="H21" s="250" t="str">
        <f t="shared" si="7"/>
        <v>#REF!</v>
      </c>
      <c r="I21" s="250" t="str">
        <f t="shared" si="7"/>
        <v>#REF!</v>
      </c>
      <c r="J21" s="250">
        <f t="shared" si="7"/>
        <v>0</v>
      </c>
      <c r="K21" s="250">
        <f t="shared" si="7"/>
        <v>0</v>
      </c>
      <c r="L21" s="250">
        <f t="shared" si="7"/>
        <v>0</v>
      </c>
      <c r="M21" s="250">
        <f t="shared" si="7"/>
        <v>0</v>
      </c>
      <c r="N21" s="250">
        <f t="shared" si="7"/>
        <v>0</v>
      </c>
      <c r="O21" s="250">
        <f t="shared" si="7"/>
        <v>0</v>
      </c>
      <c r="P21" s="250">
        <f t="shared" si="7"/>
        <v>0</v>
      </c>
      <c r="Q21" s="250" t="str">
        <f t="shared" si="7"/>
        <v>#REF!</v>
      </c>
    </row>
    <row r="22" ht="15.75" customHeight="1">
      <c r="A22" s="246" t="s">
        <v>218</v>
      </c>
      <c r="B22" s="251">
        <f>IFERROR(B21/B6,0)</f>
        <v>0</v>
      </c>
      <c r="C22" s="251"/>
      <c r="D22" s="251"/>
      <c r="E22" s="251"/>
      <c r="F22" s="251"/>
      <c r="G22" s="251"/>
      <c r="H22" s="251"/>
      <c r="I22" s="251"/>
      <c r="J22" s="251"/>
      <c r="K22" s="251"/>
      <c r="L22" s="251"/>
      <c r="M22" s="251"/>
      <c r="N22" s="251"/>
      <c r="O22" s="251">
        <f t="shared" ref="O22:Q22" si="8">IFERROR(O21/O6,0)</f>
        <v>0</v>
      </c>
      <c r="P22" s="251">
        <f t="shared" si="8"/>
        <v>0</v>
      </c>
      <c r="Q22" s="251">
        <f t="shared" si="8"/>
        <v>0</v>
      </c>
    </row>
    <row r="23" ht="15.75" customHeight="1">
      <c r="A23" s="248"/>
      <c r="B23" s="252"/>
      <c r="C23" s="252"/>
      <c r="D23" s="252"/>
      <c r="E23" s="252"/>
      <c r="F23" s="252"/>
      <c r="G23" s="252"/>
      <c r="H23" s="252"/>
      <c r="I23" s="252"/>
      <c r="J23" s="252"/>
      <c r="K23" s="252"/>
      <c r="L23" s="252"/>
      <c r="M23" s="252"/>
      <c r="N23" s="252"/>
      <c r="O23" s="252"/>
      <c r="P23" s="252"/>
      <c r="Q23" s="252"/>
    </row>
    <row r="24" ht="15.75" customHeight="1">
      <c r="A24" s="248" t="s">
        <v>19</v>
      </c>
      <c r="B24" s="28">
        <f>'Cash Flow'!C28</f>
        <v>0.1333333333</v>
      </c>
      <c r="C24" s="28">
        <f>'Cash Flow'!D28</f>
        <v>0.1733333333</v>
      </c>
      <c r="D24" s="28">
        <f>'Cash Flow'!E28</f>
        <v>0.2333333333</v>
      </c>
      <c r="E24" s="28">
        <f>'Cash Flow'!F28</f>
        <v>0.2333333333</v>
      </c>
      <c r="F24" s="28">
        <f>'Cash Flow'!G28</f>
        <v>0.26</v>
      </c>
      <c r="G24" s="28">
        <f>'Cash Flow'!H28</f>
        <v>0.3133333333</v>
      </c>
      <c r="H24" s="28">
        <f>'Cash Flow'!I28</f>
        <v>0.3466666667</v>
      </c>
      <c r="I24" s="28">
        <f>'Cash Flow'!J28</f>
        <v>0.2266666667</v>
      </c>
      <c r="J24" s="28">
        <f>'Cash Flow'!K28</f>
        <v>0.06</v>
      </c>
      <c r="K24" s="28">
        <f>'Cash Flow'!L28</f>
        <v>0.06</v>
      </c>
      <c r="L24" s="28">
        <f>'Cash Flow'!M28</f>
        <v>0.06</v>
      </c>
      <c r="M24" s="28">
        <f>'Cash Flow'!N28</f>
        <v>0.06</v>
      </c>
      <c r="N24" s="28">
        <f>'Cash Flow'!O28</f>
        <v>0.06</v>
      </c>
      <c r="O24" s="28">
        <f>'Cash Flow'!P28</f>
        <v>0.06</v>
      </c>
      <c r="P24" s="28">
        <f>'Cash Flow'!Q28</f>
        <v>0</v>
      </c>
      <c r="Q24" s="28">
        <f>SUM(B24:P24)</f>
        <v>2.28</v>
      </c>
    </row>
    <row r="25" ht="15.75" customHeight="1">
      <c r="A25" s="24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52"/>
      <c r="P25" s="252"/>
      <c r="Q25" s="28"/>
    </row>
    <row r="26" ht="15.75" customHeight="1">
      <c r="A26" s="248" t="s">
        <v>20</v>
      </c>
      <c r="B26" s="28">
        <f t="shared" ref="B26:Q26" si="9">B21-B24</f>
        <v>-0.4735333333</v>
      </c>
      <c r="C26" s="28" t="str">
        <f t="shared" si="9"/>
        <v>#REF!</v>
      </c>
      <c r="D26" s="28" t="str">
        <f t="shared" si="9"/>
        <v>#REF!</v>
      </c>
      <c r="E26" s="28" t="str">
        <f t="shared" si="9"/>
        <v>#REF!</v>
      </c>
      <c r="F26" s="28" t="str">
        <f t="shared" si="9"/>
        <v>#REF!</v>
      </c>
      <c r="G26" s="28" t="str">
        <f t="shared" si="9"/>
        <v>#REF!</v>
      </c>
      <c r="H26" s="28" t="str">
        <f t="shared" si="9"/>
        <v>#REF!</v>
      </c>
      <c r="I26" s="28" t="str">
        <f t="shared" si="9"/>
        <v>#REF!</v>
      </c>
      <c r="J26" s="28">
        <f t="shared" si="9"/>
        <v>-0.06</v>
      </c>
      <c r="K26" s="28">
        <f t="shared" si="9"/>
        <v>-0.06</v>
      </c>
      <c r="L26" s="28">
        <f t="shared" si="9"/>
        <v>-0.06</v>
      </c>
      <c r="M26" s="28">
        <f t="shared" si="9"/>
        <v>-0.06</v>
      </c>
      <c r="N26" s="28">
        <f t="shared" si="9"/>
        <v>-0.06</v>
      </c>
      <c r="O26" s="28">
        <f t="shared" si="9"/>
        <v>-0.06</v>
      </c>
      <c r="P26" s="28">
        <f t="shared" si="9"/>
        <v>0</v>
      </c>
      <c r="Q26" s="28" t="str">
        <f t="shared" si="9"/>
        <v>#REF!</v>
      </c>
    </row>
    <row r="27" ht="15.75" customHeight="1">
      <c r="A27" s="183" t="s">
        <v>219</v>
      </c>
      <c r="B27" s="253" t="str">
        <f>B26/B6</f>
        <v>#DIV/0!</v>
      </c>
      <c r="C27" s="253"/>
      <c r="D27" s="253"/>
      <c r="E27" s="253"/>
      <c r="F27" s="253"/>
      <c r="G27" s="253"/>
      <c r="H27" s="253"/>
      <c r="I27" s="253"/>
      <c r="J27" s="253"/>
      <c r="K27" s="253"/>
      <c r="L27" s="253"/>
      <c r="M27" s="253"/>
      <c r="N27" s="253"/>
      <c r="O27" s="253" t="str">
        <f t="shared" ref="O27:Q27" si="10">O26/O6</f>
        <v>#DIV/0!</v>
      </c>
      <c r="P27" s="253" t="str">
        <f t="shared" si="10"/>
        <v>#DIV/0!</v>
      </c>
      <c r="Q27" s="253" t="str">
        <f t="shared" si="10"/>
        <v>#REF!</v>
      </c>
    </row>
    <row r="28" ht="15.75" customHeight="1">
      <c r="A28" s="183"/>
      <c r="B28" s="183"/>
      <c r="C28" s="183"/>
      <c r="D28" s="183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</row>
    <row r="29" ht="15.75" customHeight="1">
      <c r="A29" s="248" t="s">
        <v>21</v>
      </c>
      <c r="B29" s="28">
        <f t="shared" ref="B29:P29" si="11">B26*25.168%</f>
        <v>-0.1191788693</v>
      </c>
      <c r="C29" s="28" t="str">
        <f t="shared" si="11"/>
        <v>#REF!</v>
      </c>
      <c r="D29" s="28" t="str">
        <f t="shared" si="11"/>
        <v>#REF!</v>
      </c>
      <c r="E29" s="28" t="str">
        <f t="shared" si="11"/>
        <v>#REF!</v>
      </c>
      <c r="F29" s="28" t="str">
        <f t="shared" si="11"/>
        <v>#REF!</v>
      </c>
      <c r="G29" s="28" t="str">
        <f t="shared" si="11"/>
        <v>#REF!</v>
      </c>
      <c r="H29" s="28" t="str">
        <f t="shared" si="11"/>
        <v>#REF!</v>
      </c>
      <c r="I29" s="28" t="str">
        <f t="shared" si="11"/>
        <v>#REF!</v>
      </c>
      <c r="J29" s="28">
        <f t="shared" si="11"/>
        <v>-0.0151008</v>
      </c>
      <c r="K29" s="28">
        <f t="shared" si="11"/>
        <v>-0.0151008</v>
      </c>
      <c r="L29" s="28">
        <f t="shared" si="11"/>
        <v>-0.0151008</v>
      </c>
      <c r="M29" s="28">
        <f t="shared" si="11"/>
        <v>-0.0151008</v>
      </c>
      <c r="N29" s="28">
        <f t="shared" si="11"/>
        <v>-0.0151008</v>
      </c>
      <c r="O29" s="28">
        <f t="shared" si="11"/>
        <v>-0.0151008</v>
      </c>
      <c r="P29" s="28">
        <f t="shared" si="11"/>
        <v>0</v>
      </c>
      <c r="Q29" s="30" t="str">
        <f>SUM(B29:P29)</f>
        <v>#REF!</v>
      </c>
      <c r="R29" s="254" t="str">
        <f>Q26*27.82%</f>
        <v>#REF!</v>
      </c>
    </row>
    <row r="30" ht="15.75" customHeight="1">
      <c r="A30" s="183"/>
      <c r="B30" s="183"/>
      <c r="C30" s="183"/>
      <c r="D30" s="183"/>
      <c r="E30" s="183"/>
      <c r="F30" s="183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30"/>
    </row>
    <row r="31" ht="15.75" customHeight="1">
      <c r="A31" s="249" t="s">
        <v>22</v>
      </c>
      <c r="B31" s="250">
        <f t="shared" ref="B31:Q31" si="12">B26-B29</f>
        <v>-0.354354464</v>
      </c>
      <c r="C31" s="250" t="str">
        <f t="shared" si="12"/>
        <v>#REF!</v>
      </c>
      <c r="D31" s="250" t="str">
        <f t="shared" si="12"/>
        <v>#REF!</v>
      </c>
      <c r="E31" s="250" t="str">
        <f t="shared" si="12"/>
        <v>#REF!</v>
      </c>
      <c r="F31" s="250" t="str">
        <f t="shared" si="12"/>
        <v>#REF!</v>
      </c>
      <c r="G31" s="250" t="str">
        <f t="shared" si="12"/>
        <v>#REF!</v>
      </c>
      <c r="H31" s="250" t="str">
        <f t="shared" si="12"/>
        <v>#REF!</v>
      </c>
      <c r="I31" s="250" t="str">
        <f t="shared" si="12"/>
        <v>#REF!</v>
      </c>
      <c r="J31" s="250">
        <f t="shared" si="12"/>
        <v>-0.0448992</v>
      </c>
      <c r="K31" s="250">
        <f t="shared" si="12"/>
        <v>-0.0448992</v>
      </c>
      <c r="L31" s="250">
        <f t="shared" si="12"/>
        <v>-0.0448992</v>
      </c>
      <c r="M31" s="250">
        <f t="shared" si="12"/>
        <v>-0.0448992</v>
      </c>
      <c r="N31" s="250">
        <f t="shared" si="12"/>
        <v>-0.0448992</v>
      </c>
      <c r="O31" s="250">
        <f t="shared" si="12"/>
        <v>-0.0448992</v>
      </c>
      <c r="P31" s="250">
        <f t="shared" si="12"/>
        <v>0</v>
      </c>
      <c r="Q31" s="250" t="str">
        <f t="shared" si="12"/>
        <v>#REF!</v>
      </c>
    </row>
    <row r="32" ht="15.75" customHeight="1">
      <c r="A32" s="248" t="s">
        <v>220</v>
      </c>
      <c r="B32" s="253">
        <f t="shared" ref="B32:Q32" si="13">IFERROR(B31/B6,0)</f>
        <v>0</v>
      </c>
      <c r="C32" s="253">
        <f t="shared" si="13"/>
        <v>0</v>
      </c>
      <c r="D32" s="253">
        <f t="shared" si="13"/>
        <v>0</v>
      </c>
      <c r="E32" s="253">
        <f t="shared" si="13"/>
        <v>0</v>
      </c>
      <c r="F32" s="253">
        <f t="shared" si="13"/>
        <v>0</v>
      </c>
      <c r="G32" s="253">
        <f t="shared" si="13"/>
        <v>0</v>
      </c>
      <c r="H32" s="253">
        <f t="shared" si="13"/>
        <v>0</v>
      </c>
      <c r="I32" s="253">
        <f t="shared" si="13"/>
        <v>0</v>
      </c>
      <c r="J32" s="253">
        <f t="shared" si="13"/>
        <v>0</v>
      </c>
      <c r="K32" s="253">
        <f t="shared" si="13"/>
        <v>0</v>
      </c>
      <c r="L32" s="253">
        <f t="shared" si="13"/>
        <v>0</v>
      </c>
      <c r="M32" s="253">
        <f t="shared" si="13"/>
        <v>0</v>
      </c>
      <c r="N32" s="253">
        <f t="shared" si="13"/>
        <v>0</v>
      </c>
      <c r="O32" s="253">
        <f t="shared" si="13"/>
        <v>0</v>
      </c>
      <c r="P32" s="253">
        <f t="shared" si="13"/>
        <v>0</v>
      </c>
      <c r="Q32" s="253">
        <f t="shared" si="13"/>
        <v>0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9.0"/>
    <col customWidth="1" min="2" max="2" width="36.86"/>
    <col customWidth="1" min="3" max="3" width="8.14"/>
    <col customWidth="1" min="4" max="5" width="8.86"/>
    <col customWidth="1" min="6" max="7" width="7.29"/>
    <col customWidth="1" min="8" max="8" width="8.57"/>
    <col customWidth="1" min="9" max="9" width="8.0"/>
    <col customWidth="1" min="10" max="10" width="9.86"/>
    <col customWidth="1" min="11" max="11" width="8.86"/>
    <col customWidth="1" min="12" max="16" width="9.43"/>
    <col customWidth="1" min="17" max="17" width="8.0"/>
    <col customWidth="1" min="18" max="18" width="15.29"/>
    <col customWidth="1" min="19" max="19" width="10.57"/>
    <col customWidth="1" min="20" max="26" width="9.0"/>
  </cols>
  <sheetData>
    <row r="1">
      <c r="B1" s="255" t="s">
        <v>221</v>
      </c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6"/>
    </row>
    <row r="2">
      <c r="B2" s="244" t="s">
        <v>1</v>
      </c>
      <c r="C2" s="245" t="s">
        <v>201</v>
      </c>
      <c r="D2" s="245" t="s">
        <v>202</v>
      </c>
      <c r="E2" s="245" t="s">
        <v>203</v>
      </c>
      <c r="F2" s="245" t="s">
        <v>204</v>
      </c>
      <c r="G2" s="245" t="s">
        <v>205</v>
      </c>
      <c r="H2" s="245" t="s">
        <v>206</v>
      </c>
      <c r="I2" s="245" t="s">
        <v>207</v>
      </c>
      <c r="J2" s="245" t="s">
        <v>208</v>
      </c>
      <c r="K2" s="245" t="s">
        <v>209</v>
      </c>
      <c r="L2" s="245" t="s">
        <v>210</v>
      </c>
      <c r="M2" s="245" t="s">
        <v>211</v>
      </c>
      <c r="N2" s="245" t="s">
        <v>212</v>
      </c>
      <c r="O2" s="245" t="s">
        <v>213</v>
      </c>
      <c r="P2" s="245" t="s">
        <v>122</v>
      </c>
      <c r="Q2" s="245" t="s">
        <v>123</v>
      </c>
      <c r="R2" s="245" t="s">
        <v>18</v>
      </c>
    </row>
    <row r="3">
      <c r="B3" s="27" t="s">
        <v>222</v>
      </c>
      <c r="C3" s="257"/>
      <c r="D3" s="257"/>
      <c r="E3" s="257"/>
      <c r="F3" s="257"/>
      <c r="G3" s="257"/>
      <c r="H3" s="257"/>
      <c r="I3" s="257"/>
      <c r="J3" s="257"/>
      <c r="K3" s="257"/>
      <c r="L3" s="257"/>
      <c r="M3" s="257"/>
      <c r="N3" s="257"/>
      <c r="O3" s="257"/>
      <c r="P3" s="257"/>
      <c r="Q3" s="257"/>
      <c r="R3" s="257"/>
    </row>
    <row r="4">
      <c r="B4" s="29" t="s">
        <v>223</v>
      </c>
      <c r="C4" s="258"/>
      <c r="D4" s="258"/>
      <c r="E4" s="258"/>
      <c r="F4" s="259" t="str">
        <f>'P&amp;L'!D4</f>
        <v/>
      </c>
      <c r="G4" s="259" t="str">
        <f>'P&amp;L'!E4</f>
        <v/>
      </c>
      <c r="H4" s="259" t="str">
        <f>'P&amp;L'!F4</f>
        <v/>
      </c>
      <c r="I4" s="259" t="str">
        <f>'P&amp;L'!G4</f>
        <v/>
      </c>
      <c r="J4" s="259" t="str">
        <f>'P&amp;L'!H4</f>
        <v/>
      </c>
      <c r="K4" s="259" t="str">
        <f>'P&amp;L'!I4</f>
        <v/>
      </c>
      <c r="L4" s="259" t="str">
        <f>'P&amp;L'!J4</f>
        <v/>
      </c>
      <c r="M4" s="259" t="str">
        <f>'P&amp;L'!K4</f>
        <v/>
      </c>
      <c r="N4" s="259" t="str">
        <f>'P&amp;L'!L4</f>
        <v/>
      </c>
      <c r="O4" s="259" t="str">
        <f>'P&amp;L'!M4</f>
        <v/>
      </c>
      <c r="P4" s="259" t="str">
        <f>'P&amp;L'!O4</f>
        <v/>
      </c>
      <c r="Q4" s="259"/>
      <c r="R4" s="258">
        <f t="shared" ref="R4:R10" si="1">SUM(C4:Q4)</f>
        <v>0</v>
      </c>
    </row>
    <row r="5">
      <c r="B5" s="29" t="s">
        <v>224</v>
      </c>
      <c r="C5" s="258"/>
      <c r="D5" s="258"/>
      <c r="E5" s="258"/>
      <c r="F5" s="259"/>
      <c r="G5" s="259"/>
      <c r="H5" s="259"/>
      <c r="I5" s="259"/>
      <c r="J5" s="259"/>
      <c r="K5" s="259"/>
      <c r="L5" s="259"/>
      <c r="M5" s="259"/>
      <c r="N5" s="259"/>
      <c r="O5" s="259"/>
      <c r="P5" s="259"/>
      <c r="Q5" s="259"/>
      <c r="R5" s="258">
        <f t="shared" si="1"/>
        <v>0</v>
      </c>
    </row>
    <row r="6">
      <c r="B6" s="29" t="s">
        <v>225</v>
      </c>
      <c r="C6" s="258"/>
      <c r="D6" s="258"/>
      <c r="E6" s="258"/>
      <c r="F6" s="258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8">
        <f t="shared" si="1"/>
        <v>0</v>
      </c>
    </row>
    <row r="7">
      <c r="B7" s="29" t="s">
        <v>226</v>
      </c>
      <c r="C7" s="258"/>
      <c r="D7" s="258"/>
      <c r="E7" s="258"/>
      <c r="F7" s="258"/>
      <c r="G7" s="258"/>
      <c r="H7" s="258"/>
      <c r="I7" s="259"/>
      <c r="J7" s="259"/>
      <c r="K7" s="259"/>
      <c r="L7" s="259"/>
      <c r="M7" s="259"/>
      <c r="N7" s="259"/>
      <c r="O7" s="259"/>
      <c r="P7" s="258"/>
      <c r="Q7" s="258"/>
      <c r="R7" s="258">
        <f t="shared" si="1"/>
        <v>0</v>
      </c>
    </row>
    <row r="8">
      <c r="B8" s="29" t="s">
        <v>227</v>
      </c>
      <c r="C8" s="258"/>
      <c r="D8" s="258"/>
      <c r="E8" s="258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8">
        <f t="shared" si="1"/>
        <v>0</v>
      </c>
    </row>
    <row r="9">
      <c r="B9" s="29" t="s">
        <v>228</v>
      </c>
      <c r="C9" s="258"/>
      <c r="D9" s="258"/>
      <c r="E9" s="258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8">
        <f t="shared" si="1"/>
        <v>0</v>
      </c>
    </row>
    <row r="10">
      <c r="B10" s="29" t="s">
        <v>229</v>
      </c>
      <c r="C10" s="258"/>
      <c r="D10" s="258"/>
      <c r="E10" s="258"/>
      <c r="F10" s="259"/>
      <c r="G10" s="259"/>
      <c r="H10" s="259"/>
      <c r="I10" s="259"/>
      <c r="J10" s="259"/>
      <c r="K10" s="259"/>
      <c r="L10" s="259" t="str">
        <f>I10</f>
        <v/>
      </c>
      <c r="M10" s="259"/>
      <c r="N10" s="259"/>
      <c r="O10" s="259"/>
      <c r="P10" s="259"/>
      <c r="Q10" s="259"/>
      <c r="R10" s="258">
        <f t="shared" si="1"/>
        <v>0</v>
      </c>
    </row>
    <row r="11">
      <c r="B11" s="260" t="s">
        <v>18</v>
      </c>
      <c r="C11" s="261">
        <f t="shared" ref="C11:M11" si="2">SUM(C4:C10)</f>
        <v>0</v>
      </c>
      <c r="D11" s="261">
        <f t="shared" si="2"/>
        <v>0</v>
      </c>
      <c r="E11" s="261">
        <f t="shared" si="2"/>
        <v>0</v>
      </c>
      <c r="F11" s="261">
        <f t="shared" si="2"/>
        <v>0</v>
      </c>
      <c r="G11" s="261">
        <f t="shared" si="2"/>
        <v>0</v>
      </c>
      <c r="H11" s="261">
        <f t="shared" si="2"/>
        <v>0</v>
      </c>
      <c r="I11" s="261">
        <f t="shared" si="2"/>
        <v>0</v>
      </c>
      <c r="J11" s="261">
        <f t="shared" si="2"/>
        <v>0</v>
      </c>
      <c r="K11" s="261">
        <f t="shared" si="2"/>
        <v>0</v>
      </c>
      <c r="L11" s="261">
        <f t="shared" si="2"/>
        <v>0</v>
      </c>
      <c r="M11" s="261">
        <f t="shared" si="2"/>
        <v>0</v>
      </c>
      <c r="N11" s="261"/>
      <c r="O11" s="261">
        <f t="shared" ref="O11:R11" si="3">SUM(O4:O10)</f>
        <v>0</v>
      </c>
      <c r="P11" s="261">
        <f t="shared" si="3"/>
        <v>0</v>
      </c>
      <c r="Q11" s="261">
        <f t="shared" si="3"/>
        <v>0</v>
      </c>
      <c r="R11" s="261">
        <f t="shared" si="3"/>
        <v>0</v>
      </c>
    </row>
    <row r="12">
      <c r="B12" s="27"/>
      <c r="C12" s="262"/>
      <c r="D12" s="262"/>
      <c r="E12" s="262"/>
      <c r="F12" s="263"/>
      <c r="G12" s="263"/>
      <c r="H12" s="263"/>
      <c r="I12" s="263"/>
      <c r="J12" s="263"/>
      <c r="K12" s="263"/>
      <c r="L12" s="263"/>
      <c r="M12" s="263"/>
      <c r="N12" s="263"/>
      <c r="O12" s="263"/>
      <c r="P12" s="263"/>
      <c r="Q12" s="263"/>
      <c r="R12" s="262"/>
    </row>
    <row r="13">
      <c r="B13" s="27" t="s">
        <v>230</v>
      </c>
      <c r="C13" s="264"/>
      <c r="D13" s="264"/>
      <c r="E13" s="264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64"/>
    </row>
    <row r="14">
      <c r="B14" s="265" t="s">
        <v>224</v>
      </c>
      <c r="C14" s="258"/>
      <c r="D14" s="258"/>
      <c r="E14" s="258"/>
      <c r="F14" s="259"/>
      <c r="G14" s="259"/>
      <c r="H14" s="259"/>
      <c r="I14" s="259"/>
      <c r="J14" s="259"/>
      <c r="K14" s="259"/>
      <c r="L14" s="259"/>
      <c r="M14" s="259"/>
      <c r="N14" s="259"/>
      <c r="O14" s="259"/>
      <c r="P14" s="259"/>
      <c r="Q14" s="259"/>
      <c r="R14" s="258">
        <f t="shared" ref="R14:R23" si="4">SUM(C14:Q14)</f>
        <v>0</v>
      </c>
    </row>
    <row r="15">
      <c r="B15" s="265" t="s">
        <v>225</v>
      </c>
      <c r="C15" s="258"/>
      <c r="D15" s="258"/>
      <c r="E15" s="258"/>
      <c r="F15" s="258"/>
      <c r="G15" s="259"/>
      <c r="H15" s="259"/>
      <c r="I15" s="259"/>
      <c r="J15" s="259"/>
      <c r="K15" s="259"/>
      <c r="L15" s="259"/>
      <c r="M15" s="259"/>
      <c r="N15" s="259"/>
      <c r="O15" s="259"/>
      <c r="P15" s="259"/>
      <c r="Q15" s="259"/>
      <c r="R15" s="258">
        <f t="shared" si="4"/>
        <v>0</v>
      </c>
    </row>
    <row r="16">
      <c r="B16" s="29" t="s">
        <v>226</v>
      </c>
      <c r="C16" s="258"/>
      <c r="D16" s="258"/>
      <c r="E16" s="258"/>
      <c r="F16" s="258"/>
      <c r="G16" s="258"/>
      <c r="H16" s="259"/>
      <c r="I16" s="259"/>
      <c r="J16" s="259"/>
      <c r="K16" s="259"/>
      <c r="L16" s="259"/>
      <c r="M16" s="259"/>
      <c r="N16" s="259"/>
      <c r="O16" s="259"/>
      <c r="P16" s="266"/>
      <c r="Q16" s="266"/>
      <c r="R16" s="258">
        <f t="shared" si="4"/>
        <v>0</v>
      </c>
    </row>
    <row r="17">
      <c r="B17" s="38" t="s">
        <v>215</v>
      </c>
      <c r="C17" s="258"/>
      <c r="D17" s="258" t="str">
        <f>'P&amp;L'!C10</f>
        <v>#REF!</v>
      </c>
      <c r="E17" s="258" t="str">
        <f>'P&amp;L'!D10</f>
        <v>#REF!</v>
      </c>
      <c r="F17" s="258" t="str">
        <f>'P&amp;L'!E10</f>
        <v>#REF!</v>
      </c>
      <c r="G17" s="258" t="str">
        <f>'P&amp;L'!F10</f>
        <v>#REF!</v>
      </c>
      <c r="H17" s="258" t="str">
        <f>'P&amp;L'!G10</f>
        <v>#REF!</v>
      </c>
      <c r="I17" s="258" t="str">
        <f>'P&amp;L'!H10</f>
        <v>#REF!</v>
      </c>
      <c r="J17" s="258" t="str">
        <f>'P&amp;L'!I10</f>
        <v>#REF!</v>
      </c>
      <c r="K17" s="258" t="str">
        <f>'P&amp;L'!J10</f>
        <v/>
      </c>
      <c r="L17" s="258" t="str">
        <f>'P&amp;L'!K10</f>
        <v/>
      </c>
      <c r="M17" s="258" t="str">
        <f>'P&amp;L'!L10</f>
        <v/>
      </c>
      <c r="N17" s="259"/>
      <c r="O17" s="259"/>
      <c r="P17" s="259"/>
      <c r="Q17" s="259" t="str">
        <f>L17</f>
        <v/>
      </c>
      <c r="R17" s="258" t="str">
        <f t="shared" si="4"/>
        <v>#REF!</v>
      </c>
    </row>
    <row r="18">
      <c r="B18" s="29" t="s">
        <v>10</v>
      </c>
      <c r="C18" s="258">
        <f>'P&amp;L'!B12</f>
        <v>0</v>
      </c>
      <c r="D18" s="258">
        <f>'P&amp;L'!C11</f>
        <v>0</v>
      </c>
      <c r="E18" s="258">
        <f>'P&amp;L'!D11</f>
        <v>0</v>
      </c>
      <c r="F18" s="258">
        <f>'P&amp;L'!E11</f>
        <v>0</v>
      </c>
      <c r="G18" s="258">
        <f>'P&amp;L'!F11</f>
        <v>0</v>
      </c>
      <c r="H18" s="258">
        <f>'P&amp;L'!G11</f>
        <v>0</v>
      </c>
      <c r="I18" s="258">
        <f>'P&amp;L'!H11</f>
        <v>0</v>
      </c>
      <c r="J18" s="258" t="str">
        <f>'P&amp;L'!I11</f>
        <v/>
      </c>
      <c r="K18" s="259"/>
      <c r="L18" s="259"/>
      <c r="M18" s="259"/>
      <c r="N18" s="259"/>
      <c r="O18" s="259"/>
      <c r="P18" s="259"/>
      <c r="Q18" s="259"/>
      <c r="R18" s="258">
        <f t="shared" si="4"/>
        <v>0</v>
      </c>
    </row>
    <row r="19">
      <c r="B19" s="29" t="s">
        <v>231</v>
      </c>
      <c r="C19" s="258"/>
      <c r="D19" s="258"/>
      <c r="E19" s="258">
        <f>'P&amp;L'!E16</f>
        <v>0</v>
      </c>
      <c r="F19" s="259"/>
      <c r="G19" s="259"/>
      <c r="H19" s="259"/>
      <c r="I19" s="259"/>
      <c r="J19" s="259"/>
      <c r="K19" s="259"/>
      <c r="L19" s="259"/>
      <c r="M19" s="259"/>
      <c r="N19" s="259"/>
      <c r="O19" s="259"/>
      <c r="P19" s="259"/>
      <c r="Q19" s="259"/>
      <c r="R19" s="258">
        <f t="shared" si="4"/>
        <v>0</v>
      </c>
    </row>
    <row r="20">
      <c r="B20" s="29" t="s">
        <v>232</v>
      </c>
      <c r="C20" s="258">
        <f>Summary!D7</f>
        <v>0</v>
      </c>
      <c r="D20" s="258"/>
      <c r="E20" s="258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259"/>
      <c r="R20" s="258">
        <f t="shared" si="4"/>
        <v>0</v>
      </c>
    </row>
    <row r="21" ht="15.75" customHeight="1">
      <c r="B21" s="29" t="str">
        <f>'P&amp;L'!A14</f>
        <v>Contingency/Penalties</v>
      </c>
      <c r="C21" s="258"/>
      <c r="D21" s="258"/>
      <c r="E21" s="258"/>
      <c r="F21" s="259"/>
      <c r="G21" s="259"/>
      <c r="H21" s="259"/>
      <c r="I21" s="259"/>
      <c r="J21" s="259"/>
      <c r="K21" s="259">
        <f>'P&amp;L'!I14</f>
        <v>0</v>
      </c>
      <c r="L21" s="259"/>
      <c r="M21" s="259"/>
      <c r="N21" s="259"/>
      <c r="O21" s="259"/>
      <c r="P21" s="259"/>
      <c r="Q21" s="259"/>
      <c r="R21" s="258">
        <f t="shared" si="4"/>
        <v>0</v>
      </c>
    </row>
    <row r="22" ht="15.75" customHeight="1">
      <c r="B22" s="29" t="s">
        <v>39</v>
      </c>
      <c r="C22" s="258"/>
      <c r="D22" s="258" t="str">
        <f>'P&amp;L'!C17</f>
        <v>#REF!</v>
      </c>
      <c r="E22" s="258" t="str">
        <f>'P&amp;L'!D17</f>
        <v>#REF!</v>
      </c>
      <c r="F22" s="258" t="str">
        <f>'P&amp;L'!E17</f>
        <v>#REF!</v>
      </c>
      <c r="G22" s="258" t="str">
        <f>'P&amp;L'!F17</f>
        <v>#REF!</v>
      </c>
      <c r="H22" s="258" t="str">
        <f>'P&amp;L'!G17</f>
        <v>#REF!</v>
      </c>
      <c r="I22" s="258" t="str">
        <f>'P&amp;L'!H17</f>
        <v>#REF!</v>
      </c>
      <c r="J22" s="258" t="str">
        <f>'P&amp;L'!I17</f>
        <v>#REF!</v>
      </c>
      <c r="K22" s="258" t="str">
        <f>'P&amp;L'!J17</f>
        <v/>
      </c>
      <c r="L22" s="258" t="str">
        <f>'P&amp;L'!L17</f>
        <v/>
      </c>
      <c r="M22" s="258" t="str">
        <f>'P&amp;L'!M17</f>
        <v/>
      </c>
      <c r="N22" s="258" t="str">
        <f>'P&amp;L'!N17</f>
        <v/>
      </c>
      <c r="O22" s="258" t="str">
        <f>'P&amp;L'!N17</f>
        <v/>
      </c>
      <c r="P22" s="258" t="str">
        <f>'P&amp;L'!O17</f>
        <v/>
      </c>
      <c r="Q22" s="258" t="str">
        <f>'P&amp;L'!P17</f>
        <v/>
      </c>
      <c r="R22" s="258" t="str">
        <f t="shared" si="4"/>
        <v>#REF!</v>
      </c>
    </row>
    <row r="23" ht="15.75" customHeight="1">
      <c r="B23" s="29" t="s">
        <v>233</v>
      </c>
      <c r="C23" s="258">
        <f t="shared" ref="C23:L23" si="5">-C46</f>
        <v>0</v>
      </c>
      <c r="D23" s="258">
        <f t="shared" si="5"/>
        <v>0</v>
      </c>
      <c r="E23" s="258">
        <f t="shared" si="5"/>
        <v>0</v>
      </c>
      <c r="F23" s="259">
        <f t="shared" si="5"/>
        <v>0</v>
      </c>
      <c r="G23" s="259">
        <f t="shared" si="5"/>
        <v>0</v>
      </c>
      <c r="H23" s="259">
        <f t="shared" si="5"/>
        <v>0</v>
      </c>
      <c r="I23" s="259">
        <f t="shared" si="5"/>
        <v>0</v>
      </c>
      <c r="J23" s="259">
        <f t="shared" si="5"/>
        <v>0</v>
      </c>
      <c r="K23" s="259">
        <f t="shared" si="5"/>
        <v>0</v>
      </c>
      <c r="L23" s="259">
        <f t="shared" si="5"/>
        <v>0</v>
      </c>
      <c r="M23" s="259"/>
      <c r="N23" s="259"/>
      <c r="O23" s="259"/>
      <c r="P23" s="259"/>
      <c r="Q23" s="259">
        <f>-Q46</f>
        <v>0</v>
      </c>
      <c r="R23" s="258">
        <f t="shared" si="4"/>
        <v>0</v>
      </c>
    </row>
    <row r="24" ht="15.75" customHeight="1">
      <c r="B24" s="267" t="s">
        <v>234</v>
      </c>
      <c r="C24" s="268">
        <f t="shared" ref="C24:M24" si="6">SUM(C14:C23)</f>
        <v>0</v>
      </c>
      <c r="D24" s="268" t="str">
        <f t="shared" si="6"/>
        <v>#REF!</v>
      </c>
      <c r="E24" s="268" t="str">
        <f t="shared" si="6"/>
        <v>#REF!</v>
      </c>
      <c r="F24" s="269" t="str">
        <f t="shared" si="6"/>
        <v>#REF!</v>
      </c>
      <c r="G24" s="269" t="str">
        <f t="shared" si="6"/>
        <v>#REF!</v>
      </c>
      <c r="H24" s="269" t="str">
        <f t="shared" si="6"/>
        <v>#REF!</v>
      </c>
      <c r="I24" s="269" t="str">
        <f t="shared" si="6"/>
        <v>#REF!</v>
      </c>
      <c r="J24" s="269" t="str">
        <f t="shared" si="6"/>
        <v>#REF!</v>
      </c>
      <c r="K24" s="269">
        <f t="shared" si="6"/>
        <v>0</v>
      </c>
      <c r="L24" s="269">
        <f t="shared" si="6"/>
        <v>0</v>
      </c>
      <c r="M24" s="269">
        <f t="shared" si="6"/>
        <v>0</v>
      </c>
      <c r="N24" s="269"/>
      <c r="O24" s="269">
        <f t="shared" ref="O24:R24" si="7">SUM(O14:O23)</f>
        <v>0</v>
      </c>
      <c r="P24" s="269">
        <f t="shared" si="7"/>
        <v>0</v>
      </c>
      <c r="Q24" s="269">
        <f t="shared" si="7"/>
        <v>0</v>
      </c>
      <c r="R24" s="268" t="str">
        <f t="shared" si="7"/>
        <v>#REF!</v>
      </c>
    </row>
    <row r="25" ht="15.75" customHeight="1">
      <c r="B25" s="29"/>
      <c r="C25" s="258"/>
      <c r="D25" s="258"/>
      <c r="E25" s="258"/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259"/>
      <c r="R25" s="258">
        <f t="shared" ref="R25:R26" si="8">SUM(C25:Q25)</f>
        <v>0</v>
      </c>
    </row>
    <row r="26" ht="15.75" customHeight="1">
      <c r="B26" s="29" t="s">
        <v>235</v>
      </c>
      <c r="C26" s="258" t="str">
        <f>'Other Costs'!C10/10^5</f>
        <v>#REF!</v>
      </c>
      <c r="D26" s="258"/>
      <c r="E26" s="258"/>
      <c r="F26" s="259"/>
      <c r="G26" s="259"/>
      <c r="H26" s="259"/>
      <c r="I26" s="259"/>
      <c r="J26" s="259"/>
      <c r="K26" s="259"/>
      <c r="L26" s="259"/>
      <c r="M26" s="259"/>
      <c r="N26" s="259"/>
      <c r="O26" s="259"/>
      <c r="P26" s="259"/>
      <c r="Q26" s="259" t="str">
        <f>-'Other Costs'!C10/10^5</f>
        <v>#REF!</v>
      </c>
      <c r="R26" s="258" t="str">
        <f t="shared" si="8"/>
        <v>#REF!</v>
      </c>
    </row>
    <row r="27" ht="15.75" customHeight="1">
      <c r="B27" s="29"/>
      <c r="C27" s="258"/>
      <c r="D27" s="258"/>
      <c r="E27" s="258"/>
      <c r="F27" s="259"/>
      <c r="G27" s="259"/>
      <c r="H27" s="259"/>
      <c r="I27" s="259"/>
      <c r="J27" s="259"/>
      <c r="K27" s="259"/>
      <c r="L27" s="259"/>
      <c r="M27" s="259"/>
      <c r="N27" s="259"/>
      <c r="O27" s="259"/>
      <c r="P27" s="259"/>
      <c r="Q27" s="259"/>
      <c r="R27" s="258"/>
    </row>
    <row r="28" ht="15.75" customHeight="1">
      <c r="A28" s="270">
        <v>0.08</v>
      </c>
      <c r="B28" s="29" t="s">
        <v>19</v>
      </c>
      <c r="C28" s="258">
        <f>C33*$A$28/12</f>
        <v>0.1333333333</v>
      </c>
      <c r="D28" s="258">
        <f t="shared" ref="D28:Q28" si="9">SUM($C31:D31)*$A$28/12</f>
        <v>0.1733333333</v>
      </c>
      <c r="E28" s="258">
        <f t="shared" si="9"/>
        <v>0.2333333333</v>
      </c>
      <c r="F28" s="258">
        <f t="shared" si="9"/>
        <v>0.2333333333</v>
      </c>
      <c r="G28" s="258">
        <f t="shared" si="9"/>
        <v>0.26</v>
      </c>
      <c r="H28" s="258">
        <f t="shared" si="9"/>
        <v>0.3133333333</v>
      </c>
      <c r="I28" s="258">
        <f t="shared" si="9"/>
        <v>0.3466666667</v>
      </c>
      <c r="J28" s="258">
        <f t="shared" si="9"/>
        <v>0.2266666667</v>
      </c>
      <c r="K28" s="258">
        <f t="shared" si="9"/>
        <v>0.06</v>
      </c>
      <c r="L28" s="258">
        <f t="shared" si="9"/>
        <v>0.06</v>
      </c>
      <c r="M28" s="258">
        <f t="shared" si="9"/>
        <v>0.06</v>
      </c>
      <c r="N28" s="258">
        <f t="shared" si="9"/>
        <v>0.06</v>
      </c>
      <c r="O28" s="258">
        <f t="shared" si="9"/>
        <v>0.06</v>
      </c>
      <c r="P28" s="258">
        <f t="shared" si="9"/>
        <v>0.06</v>
      </c>
      <c r="Q28" s="258">
        <f t="shared" si="9"/>
        <v>0</v>
      </c>
      <c r="R28" s="258">
        <f>SUM(C28:Q28)</f>
        <v>2.28</v>
      </c>
    </row>
    <row r="29" ht="15.75" customHeight="1">
      <c r="B29" s="29"/>
      <c r="C29" s="258"/>
      <c r="D29" s="258"/>
      <c r="E29" s="258"/>
      <c r="F29" s="259"/>
      <c r="G29" s="259"/>
      <c r="H29" s="259"/>
      <c r="I29" s="259"/>
      <c r="J29" s="259"/>
      <c r="K29" s="259"/>
      <c r="L29" s="259"/>
      <c r="M29" s="259"/>
      <c r="N29" s="259"/>
      <c r="O29" s="259"/>
      <c r="P29" s="259"/>
      <c r="Q29" s="259"/>
      <c r="R29" s="258"/>
    </row>
    <row r="30" ht="15.75" customHeight="1">
      <c r="B30" s="271" t="s">
        <v>236</v>
      </c>
      <c r="C30" s="258"/>
      <c r="D30" s="258"/>
      <c r="E30" s="258"/>
      <c r="F30" s="259"/>
      <c r="G30" s="259"/>
      <c r="H30" s="259"/>
      <c r="I30" s="259"/>
      <c r="J30" s="259"/>
      <c r="K30" s="259"/>
      <c r="L30" s="259"/>
      <c r="M30" s="259"/>
      <c r="N30" s="259"/>
      <c r="O30" s="259"/>
      <c r="P30" s="259"/>
      <c r="Q30" s="259"/>
      <c r="R30" s="258">
        <f t="shared" ref="R30:R32" si="10">SUM(C30:Q30)</f>
        <v>0</v>
      </c>
    </row>
    <row r="31" ht="15.75" customHeight="1">
      <c r="B31" s="29" t="s">
        <v>237</v>
      </c>
      <c r="C31" s="258">
        <v>20.0</v>
      </c>
      <c r="D31" s="258">
        <v>6.0</v>
      </c>
      <c r="E31" s="258">
        <v>9.0</v>
      </c>
      <c r="F31" s="259"/>
      <c r="G31" s="259">
        <v>4.0</v>
      </c>
      <c r="H31" s="259">
        <v>8.0</v>
      </c>
      <c r="I31" s="259">
        <v>5.0</v>
      </c>
      <c r="J31" s="259">
        <v>-18.0</v>
      </c>
      <c r="K31" s="259">
        <v>-25.0</v>
      </c>
      <c r="L31" s="259"/>
      <c r="M31" s="259"/>
      <c r="N31" s="259"/>
      <c r="O31" s="259"/>
      <c r="P31" s="259"/>
      <c r="Q31" s="259">
        <v>-9.0</v>
      </c>
      <c r="R31" s="258">
        <f t="shared" si="10"/>
        <v>0</v>
      </c>
    </row>
    <row r="32" ht="15.75" customHeight="1">
      <c r="B32" s="29" t="s">
        <v>238</v>
      </c>
      <c r="C32" s="258"/>
      <c r="D32" s="258"/>
      <c r="E32" s="258"/>
      <c r="F32" s="259"/>
      <c r="G32" s="259"/>
      <c r="H32" s="259"/>
      <c r="I32" s="259"/>
      <c r="J32" s="259"/>
      <c r="K32" s="259"/>
      <c r="L32" s="259"/>
      <c r="M32" s="259"/>
      <c r="N32" s="259"/>
      <c r="O32" s="259"/>
      <c r="P32" s="259"/>
      <c r="Q32" s="259"/>
      <c r="R32" s="258">
        <f t="shared" si="10"/>
        <v>0</v>
      </c>
    </row>
    <row r="33" ht="15.75" customHeight="1">
      <c r="B33" s="29" t="s">
        <v>239</v>
      </c>
      <c r="C33" s="258">
        <f t="shared" ref="C33:M33" si="11">C31-C32</f>
        <v>20</v>
      </c>
      <c r="D33" s="258">
        <f t="shared" si="11"/>
        <v>6</v>
      </c>
      <c r="E33" s="258">
        <f t="shared" si="11"/>
        <v>9</v>
      </c>
      <c r="F33" s="258">
        <f t="shared" si="11"/>
        <v>0</v>
      </c>
      <c r="G33" s="258">
        <f t="shared" si="11"/>
        <v>4</v>
      </c>
      <c r="H33" s="258">
        <f t="shared" si="11"/>
        <v>8</v>
      </c>
      <c r="I33" s="258">
        <f t="shared" si="11"/>
        <v>5</v>
      </c>
      <c r="J33" s="258">
        <f t="shared" si="11"/>
        <v>-18</v>
      </c>
      <c r="K33" s="258">
        <f t="shared" si="11"/>
        <v>-25</v>
      </c>
      <c r="L33" s="258">
        <f t="shared" si="11"/>
        <v>0</v>
      </c>
      <c r="M33" s="258">
        <f t="shared" si="11"/>
        <v>0</v>
      </c>
      <c r="N33" s="258"/>
      <c r="O33" s="258">
        <f t="shared" ref="O33:Q33" si="12">O31-O32</f>
        <v>0</v>
      </c>
      <c r="P33" s="258">
        <f t="shared" si="12"/>
        <v>0</v>
      </c>
      <c r="Q33" s="258">
        <f t="shared" si="12"/>
        <v>-9</v>
      </c>
      <c r="R33" s="258"/>
    </row>
    <row r="34" ht="15.75" customHeight="1">
      <c r="B34" s="29"/>
      <c r="C34" s="259"/>
      <c r="D34" s="259"/>
      <c r="E34" s="259"/>
      <c r="F34" s="259"/>
      <c r="G34" s="259"/>
      <c r="H34" s="259"/>
      <c r="I34" s="259"/>
      <c r="J34" s="259"/>
      <c r="K34" s="259"/>
      <c r="L34" s="259"/>
      <c r="M34" s="259"/>
      <c r="N34" s="259"/>
      <c r="O34" s="259"/>
      <c r="P34" s="259"/>
      <c r="Q34" s="259"/>
      <c r="R34" s="258"/>
    </row>
    <row r="35" ht="15.75" customHeight="1">
      <c r="B35" s="29" t="s">
        <v>21</v>
      </c>
      <c r="C35" s="259">
        <f>'P&amp;L'!B29</f>
        <v>-0.1191788693</v>
      </c>
      <c r="D35" s="259" t="str">
        <f>'P&amp;L'!C29</f>
        <v>#REF!</v>
      </c>
      <c r="E35" s="259" t="str">
        <f>'P&amp;L'!D29</f>
        <v>#REF!</v>
      </c>
      <c r="F35" s="259" t="str">
        <f>'P&amp;L'!E29</f>
        <v>#REF!</v>
      </c>
      <c r="G35" s="259" t="str">
        <f>'P&amp;L'!F29</f>
        <v>#REF!</v>
      </c>
      <c r="H35" s="259" t="str">
        <f>'P&amp;L'!G29</f>
        <v>#REF!</v>
      </c>
      <c r="I35" s="259" t="str">
        <f>'P&amp;L'!H29</f>
        <v>#REF!</v>
      </c>
      <c r="J35" s="259" t="str">
        <f>'P&amp;L'!I29</f>
        <v>#REF!</v>
      </c>
      <c r="K35" s="259">
        <f>'P&amp;L'!J29</f>
        <v>-0.0151008</v>
      </c>
      <c r="L35" s="259">
        <f>'P&amp;L'!K29</f>
        <v>-0.0151008</v>
      </c>
      <c r="M35" s="259">
        <f>'P&amp;L'!L29</f>
        <v>-0.0151008</v>
      </c>
      <c r="N35" s="259">
        <f>'P&amp;L'!M29</f>
        <v>-0.0151008</v>
      </c>
      <c r="O35" s="259">
        <f>'P&amp;L'!N29</f>
        <v>-0.0151008</v>
      </c>
      <c r="P35" s="259">
        <f>'P&amp;L'!O29</f>
        <v>-0.0151008</v>
      </c>
      <c r="Q35" s="259">
        <f>'P&amp;L'!P29</f>
        <v>0</v>
      </c>
      <c r="R35" s="258" t="str">
        <f t="shared" ref="R35:R36" si="13">SUM(C35:Q35)</f>
        <v>#REF!</v>
      </c>
    </row>
    <row r="36" ht="15.75" customHeight="1">
      <c r="B36" s="29"/>
      <c r="C36" s="259"/>
      <c r="D36" s="259"/>
      <c r="E36" s="25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259"/>
      <c r="R36" s="258">
        <f t="shared" si="13"/>
        <v>0</v>
      </c>
    </row>
    <row r="37" ht="15.75" customHeight="1">
      <c r="B37" s="29" t="s">
        <v>240</v>
      </c>
      <c r="C37" s="272" t="str">
        <f t="shared" ref="C37:M37" si="14">C11-C24-C26+C31-C32-C28-C35</f>
        <v>#REF!</v>
      </c>
      <c r="D37" s="272" t="str">
        <f t="shared" si="14"/>
        <v>#REF!</v>
      </c>
      <c r="E37" s="272" t="str">
        <f t="shared" si="14"/>
        <v>#REF!</v>
      </c>
      <c r="F37" s="272" t="str">
        <f t="shared" si="14"/>
        <v>#REF!</v>
      </c>
      <c r="G37" s="272" t="str">
        <f t="shared" si="14"/>
        <v>#REF!</v>
      </c>
      <c r="H37" s="272" t="str">
        <f t="shared" si="14"/>
        <v>#REF!</v>
      </c>
      <c r="I37" s="272" t="str">
        <f t="shared" si="14"/>
        <v>#REF!</v>
      </c>
      <c r="J37" s="272" t="str">
        <f t="shared" si="14"/>
        <v>#REF!</v>
      </c>
      <c r="K37" s="272">
        <f t="shared" si="14"/>
        <v>-25.0448992</v>
      </c>
      <c r="L37" s="272">
        <f t="shared" si="14"/>
        <v>-0.0448992</v>
      </c>
      <c r="M37" s="272">
        <f t="shared" si="14"/>
        <v>-0.0448992</v>
      </c>
      <c r="N37" s="272"/>
      <c r="O37" s="272">
        <f t="shared" ref="O37:R37" si="15">O11-O24-O26+O31-O32-O28-O35</f>
        <v>-0.0448992</v>
      </c>
      <c r="P37" s="272">
        <f t="shared" si="15"/>
        <v>-0.0448992</v>
      </c>
      <c r="Q37" s="272" t="str">
        <f t="shared" si="15"/>
        <v>#REF!</v>
      </c>
      <c r="R37" s="258" t="str">
        <f t="shared" si="15"/>
        <v>#REF!</v>
      </c>
    </row>
    <row r="38" ht="15.75" customHeight="1">
      <c r="A38" s="34"/>
      <c r="B38" s="267" t="s">
        <v>241</v>
      </c>
      <c r="C38" s="273" t="str">
        <f>C37</f>
        <v>#REF!</v>
      </c>
      <c r="D38" s="273" t="str">
        <f t="shared" ref="D38:M38" si="16">C38+D37</f>
        <v>#REF!</v>
      </c>
      <c r="E38" s="273" t="str">
        <f t="shared" si="16"/>
        <v>#REF!</v>
      </c>
      <c r="F38" s="273" t="str">
        <f t="shared" si="16"/>
        <v>#REF!</v>
      </c>
      <c r="G38" s="273" t="str">
        <f t="shared" si="16"/>
        <v>#REF!</v>
      </c>
      <c r="H38" s="273" t="str">
        <f t="shared" si="16"/>
        <v>#REF!</v>
      </c>
      <c r="I38" s="273" t="str">
        <f t="shared" si="16"/>
        <v>#REF!</v>
      </c>
      <c r="J38" s="273" t="str">
        <f t="shared" si="16"/>
        <v>#REF!</v>
      </c>
      <c r="K38" s="273" t="str">
        <f t="shared" si="16"/>
        <v>#REF!</v>
      </c>
      <c r="L38" s="273" t="str">
        <f t="shared" si="16"/>
        <v>#REF!</v>
      </c>
      <c r="M38" s="273" t="str">
        <f t="shared" si="16"/>
        <v>#REF!</v>
      </c>
      <c r="N38" s="273"/>
      <c r="O38" s="273" t="str">
        <f>M38+O37</f>
        <v>#REF!</v>
      </c>
      <c r="P38" s="273" t="str">
        <f t="shared" ref="P38:Q38" si="17">O38+P37</f>
        <v>#REF!</v>
      </c>
      <c r="Q38" s="273" t="str">
        <f t="shared" si="17"/>
        <v>#REF!</v>
      </c>
      <c r="R38" s="268" t="str">
        <f>R37</f>
        <v>#REF!</v>
      </c>
      <c r="S38" s="274"/>
      <c r="T38" s="34"/>
      <c r="U38" s="34"/>
      <c r="V38" s="34"/>
      <c r="W38" s="34"/>
      <c r="X38" s="34"/>
      <c r="Y38" s="34"/>
      <c r="Z38" s="34"/>
    </row>
    <row r="39" ht="15.75" customHeight="1"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75"/>
    </row>
    <row r="40" ht="15.75" customHeight="1"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76"/>
    </row>
    <row r="41" ht="15.75" customHeight="1">
      <c r="B41" s="255" t="s">
        <v>242</v>
      </c>
      <c r="C41" s="26"/>
      <c r="D41" s="26"/>
      <c r="E41" s="26"/>
      <c r="F41" s="26"/>
      <c r="G41" s="26"/>
      <c r="H41" s="26"/>
      <c r="I41" s="26"/>
      <c r="J41" s="277"/>
      <c r="K41" s="26"/>
      <c r="L41" s="34"/>
      <c r="M41" s="34"/>
      <c r="N41" s="34"/>
      <c r="O41" s="34"/>
      <c r="P41" s="34"/>
      <c r="Q41" s="26"/>
      <c r="R41" s="26"/>
    </row>
    <row r="42" ht="15.75" customHeight="1">
      <c r="B42" s="26" t="s">
        <v>243</v>
      </c>
      <c r="C42" s="277">
        <f t="shared" ref="C42:L42" si="18">C11*18%</f>
        <v>0</v>
      </c>
      <c r="D42" s="277">
        <f t="shared" si="18"/>
        <v>0</v>
      </c>
      <c r="E42" s="277">
        <f t="shared" si="18"/>
        <v>0</v>
      </c>
      <c r="F42" s="277">
        <f t="shared" si="18"/>
        <v>0</v>
      </c>
      <c r="G42" s="277">
        <f t="shared" si="18"/>
        <v>0</v>
      </c>
      <c r="H42" s="277">
        <f t="shared" si="18"/>
        <v>0</v>
      </c>
      <c r="I42" s="277">
        <f t="shared" si="18"/>
        <v>0</v>
      </c>
      <c r="J42" s="277">
        <f t="shared" si="18"/>
        <v>0</v>
      </c>
      <c r="K42" s="277">
        <f t="shared" si="18"/>
        <v>0</v>
      </c>
      <c r="L42" s="277">
        <f t="shared" si="18"/>
        <v>0</v>
      </c>
      <c r="M42" s="277"/>
      <c r="N42" s="277"/>
      <c r="O42" s="277"/>
      <c r="P42" s="277"/>
      <c r="Q42" s="277">
        <f>Q11*18%</f>
        <v>0</v>
      </c>
      <c r="R42" s="277">
        <f t="shared" ref="R42:R46" si="20">SUM(C42:Q42)</f>
        <v>0</v>
      </c>
    </row>
    <row r="43" ht="15.75" customHeight="1">
      <c r="B43" s="26" t="s">
        <v>244</v>
      </c>
      <c r="C43" s="277">
        <f t="shared" ref="C43:L43" si="19">SUM(C14:C16)*18%</f>
        <v>0</v>
      </c>
      <c r="D43" s="277">
        <f t="shared" si="19"/>
        <v>0</v>
      </c>
      <c r="E43" s="277">
        <f t="shared" si="19"/>
        <v>0</v>
      </c>
      <c r="F43" s="277">
        <f t="shared" si="19"/>
        <v>0</v>
      </c>
      <c r="G43" s="277">
        <f t="shared" si="19"/>
        <v>0</v>
      </c>
      <c r="H43" s="277">
        <f t="shared" si="19"/>
        <v>0</v>
      </c>
      <c r="I43" s="277">
        <f t="shared" si="19"/>
        <v>0</v>
      </c>
      <c r="J43" s="277">
        <f t="shared" si="19"/>
        <v>0</v>
      </c>
      <c r="K43" s="277">
        <f t="shared" si="19"/>
        <v>0</v>
      </c>
      <c r="L43" s="277">
        <f t="shared" si="19"/>
        <v>0</v>
      </c>
      <c r="M43" s="277"/>
      <c r="N43" s="277"/>
      <c r="O43" s="277"/>
      <c r="P43" s="277"/>
      <c r="Q43" s="277">
        <f>SUM(Q14:Q16)*18%</f>
        <v>0</v>
      </c>
      <c r="R43" s="277">
        <f t="shared" si="20"/>
        <v>0</v>
      </c>
      <c r="S43" s="278"/>
    </row>
    <row r="44" ht="15.75" customHeight="1">
      <c r="B44" s="26" t="s">
        <v>245</v>
      </c>
      <c r="C44" s="277">
        <f t="shared" ref="C44:L44" si="21">C11*18%</f>
        <v>0</v>
      </c>
      <c r="D44" s="277">
        <f t="shared" si="21"/>
        <v>0</v>
      </c>
      <c r="E44" s="277">
        <f t="shared" si="21"/>
        <v>0</v>
      </c>
      <c r="F44" s="277">
        <f t="shared" si="21"/>
        <v>0</v>
      </c>
      <c r="G44" s="277">
        <f t="shared" si="21"/>
        <v>0</v>
      </c>
      <c r="H44" s="277">
        <f t="shared" si="21"/>
        <v>0</v>
      </c>
      <c r="I44" s="277">
        <f t="shared" si="21"/>
        <v>0</v>
      </c>
      <c r="J44" s="277">
        <f t="shared" si="21"/>
        <v>0</v>
      </c>
      <c r="K44" s="277">
        <f t="shared" si="21"/>
        <v>0</v>
      </c>
      <c r="L44" s="277">
        <f t="shared" si="21"/>
        <v>0</v>
      </c>
      <c r="M44" s="277"/>
      <c r="N44" s="277"/>
      <c r="O44" s="277"/>
      <c r="P44" s="277"/>
      <c r="Q44" s="277">
        <f>Q11*18%</f>
        <v>0</v>
      </c>
      <c r="R44" s="277">
        <f t="shared" si="20"/>
        <v>0</v>
      </c>
    </row>
    <row r="45" ht="15.75" customHeight="1">
      <c r="B45" s="26" t="s">
        <v>246</v>
      </c>
      <c r="C45" s="277">
        <f>MIN(C43,C44)</f>
        <v>0</v>
      </c>
      <c r="D45" s="277">
        <f>MIN($C43:D43,$C44:D44)-C45</f>
        <v>0</v>
      </c>
      <c r="E45" s="277">
        <f>MIN(SUM($C43:E43),SUM($C44:E44))-SUM($C45-D45)</f>
        <v>0</v>
      </c>
      <c r="F45" s="277">
        <f t="shared" ref="F45:L45" si="22">MIN(SUM($C43:F43),SUM($C44:F44))-SUM($C45:E45)</f>
        <v>0</v>
      </c>
      <c r="G45" s="277">
        <f t="shared" si="22"/>
        <v>0</v>
      </c>
      <c r="H45" s="277">
        <f t="shared" si="22"/>
        <v>0</v>
      </c>
      <c r="I45" s="277">
        <f t="shared" si="22"/>
        <v>0</v>
      </c>
      <c r="J45" s="277">
        <f t="shared" si="22"/>
        <v>0</v>
      </c>
      <c r="K45" s="277">
        <f t="shared" si="22"/>
        <v>0</v>
      </c>
      <c r="L45" s="277">
        <f t="shared" si="22"/>
        <v>0</v>
      </c>
      <c r="M45" s="277"/>
      <c r="N45" s="277"/>
      <c r="O45" s="277"/>
      <c r="P45" s="277"/>
      <c r="Q45" s="277">
        <f>MIN(SUM($C43:Q43),SUM($C44:Q44))-SUM($C45:L45)</f>
        <v>0</v>
      </c>
      <c r="R45" s="277">
        <f t="shared" si="20"/>
        <v>0</v>
      </c>
    </row>
    <row r="46" ht="15.75" customHeight="1">
      <c r="B46" s="26" t="s">
        <v>247</v>
      </c>
      <c r="C46" s="277">
        <f t="shared" ref="C46:L46" si="23">C42-C43-C44+C45</f>
        <v>0</v>
      </c>
      <c r="D46" s="277">
        <f t="shared" si="23"/>
        <v>0</v>
      </c>
      <c r="E46" s="277">
        <f t="shared" si="23"/>
        <v>0</v>
      </c>
      <c r="F46" s="277">
        <f t="shared" si="23"/>
        <v>0</v>
      </c>
      <c r="G46" s="277">
        <f t="shared" si="23"/>
        <v>0</v>
      </c>
      <c r="H46" s="277">
        <f t="shared" si="23"/>
        <v>0</v>
      </c>
      <c r="I46" s="277">
        <f t="shared" si="23"/>
        <v>0</v>
      </c>
      <c r="J46" s="277">
        <f t="shared" si="23"/>
        <v>0</v>
      </c>
      <c r="K46" s="277">
        <f t="shared" si="23"/>
        <v>0</v>
      </c>
      <c r="L46" s="277">
        <f t="shared" si="23"/>
        <v>0</v>
      </c>
      <c r="M46" s="277"/>
      <c r="N46" s="277"/>
      <c r="O46" s="277"/>
      <c r="P46" s="277"/>
      <c r="Q46" s="277">
        <f>Q42-Q43-Q44+Q45</f>
        <v>0</v>
      </c>
      <c r="R46" s="277">
        <f t="shared" si="20"/>
        <v>0</v>
      </c>
    </row>
    <row r="47" ht="15.75" customHeight="1"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</row>
    <row r="48" ht="15.75" customHeight="1"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</row>
    <row r="49" ht="15.75" customHeight="1"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</row>
    <row r="50" ht="15.75" customHeight="1"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</row>
    <row r="51" ht="15.75" customHeight="1"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</row>
    <row r="52" ht="15.75" customHeight="1"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</row>
    <row r="53" ht="15.75" customHeight="1"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</row>
    <row r="54" ht="15.75" customHeight="1"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</row>
    <row r="55" ht="15.75" customHeight="1"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</row>
    <row r="56" ht="15.75" customHeight="1"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</row>
    <row r="57" ht="15.75" customHeight="1"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</row>
    <row r="58" ht="15.75" customHeight="1"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</row>
    <row r="59" ht="15.75" customHeight="1"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</row>
    <row r="60" ht="15.75" customHeight="1"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</row>
    <row r="61" ht="15.75" customHeight="1"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</row>
    <row r="62" ht="15.75" customHeight="1"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</row>
    <row r="63" ht="15.75" customHeight="1"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</row>
    <row r="64" ht="15.75" customHeight="1"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</row>
    <row r="65" ht="15.75" customHeight="1"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</row>
    <row r="66" ht="15.75" customHeight="1"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</row>
    <row r="67" ht="15.75" customHeight="1"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</row>
    <row r="68" ht="15.75" customHeight="1"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</row>
    <row r="69" ht="15.75" customHeight="1"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</row>
    <row r="70" ht="15.75" customHeight="1"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</row>
    <row r="71" ht="15.75" customHeight="1"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</row>
    <row r="72" ht="15.75" customHeight="1"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</row>
    <row r="73" ht="15.75" customHeight="1"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</row>
    <row r="74" ht="15.75" customHeight="1"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</row>
    <row r="75" ht="15.75" customHeight="1"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</row>
    <row r="76" ht="15.75" customHeight="1"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</row>
    <row r="77" ht="15.75" customHeight="1"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</row>
    <row r="78" ht="15.75" customHeight="1"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</row>
    <row r="79" ht="15.75" customHeight="1"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</row>
    <row r="80" ht="15.75" customHeight="1"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</row>
    <row r="81" ht="15.75" customHeight="1"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</row>
    <row r="82" ht="15.75" customHeight="1"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</row>
    <row r="83" ht="15.75" customHeight="1"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</row>
    <row r="84" ht="15.75" customHeight="1"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</row>
    <row r="85" ht="15.75" customHeight="1"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</row>
    <row r="86" ht="15.75" customHeight="1"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</row>
    <row r="87" ht="15.75" customHeight="1"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</row>
    <row r="88" ht="15.75" customHeight="1"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</row>
    <row r="89" ht="15.75" customHeight="1"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</row>
    <row r="90" ht="15.75" customHeight="1"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</row>
    <row r="91" ht="15.75" customHeight="1"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</row>
    <row r="92" ht="15.75" customHeight="1"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</row>
    <row r="93" ht="15.75" customHeight="1"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</row>
    <row r="94" ht="15.75" customHeight="1"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</row>
    <row r="95" ht="15.75" customHeight="1"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</row>
    <row r="96" ht="15.75" customHeight="1"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</row>
    <row r="97" ht="15.75" customHeight="1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</row>
    <row r="98" ht="15.75" customHeight="1"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</row>
    <row r="99" ht="15.75" customHeight="1"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</row>
    <row r="100" ht="15.75" customHeight="1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</row>
    <row r="101" ht="15.75" customHeight="1"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</row>
    <row r="102" ht="15.75" customHeight="1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</row>
    <row r="103" ht="15.75" customHeight="1"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</row>
    <row r="104" ht="15.75" customHeight="1"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</row>
    <row r="105" ht="15.75" customHeight="1"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</row>
    <row r="106" ht="15.75" customHeight="1"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</row>
    <row r="107" ht="15.75" customHeight="1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</row>
    <row r="108" ht="15.75" customHeight="1"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</row>
    <row r="109" ht="15.75" customHeight="1"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</row>
    <row r="110" ht="15.75" customHeight="1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</row>
    <row r="111" ht="15.75" customHeight="1"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</row>
    <row r="112" ht="15.75" customHeight="1"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</row>
    <row r="113" ht="15.75" customHeight="1"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</row>
    <row r="114" ht="15.75" customHeight="1"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</row>
    <row r="115" ht="15.75" customHeight="1"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</row>
    <row r="116" ht="15.75" customHeight="1"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</row>
    <row r="117" ht="15.75" customHeight="1"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</row>
    <row r="118" ht="15.75" customHeight="1"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</row>
    <row r="119" ht="15.75" customHeight="1"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</row>
    <row r="120" ht="15.75" customHeight="1"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</row>
    <row r="121" ht="15.75" customHeight="1"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</row>
    <row r="122" ht="15.75" customHeight="1"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</row>
    <row r="123" ht="15.75" customHeight="1"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</row>
    <row r="124" ht="15.75" customHeight="1"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</row>
    <row r="125" ht="15.75" customHeight="1"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</row>
    <row r="126" ht="15.75" customHeight="1"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</row>
    <row r="127" ht="15.75" customHeight="1"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</row>
    <row r="128" ht="15.75" customHeight="1"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</row>
    <row r="129" ht="15.75" customHeight="1"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</row>
    <row r="130" ht="15.75" customHeight="1"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</row>
    <row r="131" ht="15.75" customHeight="1"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</row>
    <row r="132" ht="15.75" customHeight="1"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</row>
    <row r="133" ht="15.75" customHeight="1"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</row>
    <row r="134" ht="15.75" customHeight="1"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</row>
    <row r="135" ht="15.75" customHeight="1"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</row>
    <row r="136" ht="15.75" customHeight="1"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</row>
    <row r="137" ht="15.75" customHeight="1"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</row>
    <row r="138" ht="15.75" customHeight="1"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</row>
    <row r="139" ht="15.75" customHeight="1"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</row>
    <row r="140" ht="15.75" customHeight="1"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</row>
    <row r="141" ht="15.75" customHeight="1"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</row>
    <row r="142" ht="15.75" customHeight="1"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</row>
    <row r="143" ht="15.75" customHeight="1"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</row>
    <row r="144" ht="15.75" customHeight="1"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</row>
    <row r="145" ht="15.75" customHeight="1"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</row>
    <row r="146" ht="15.75" customHeight="1"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</row>
    <row r="147" ht="15.75" customHeight="1"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</row>
    <row r="148" ht="15.75" customHeight="1"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</row>
    <row r="149" ht="15.75" customHeight="1"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</row>
    <row r="150" ht="15.75" customHeight="1"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</row>
    <row r="151" ht="15.75" customHeight="1"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</row>
    <row r="152" ht="15.75" customHeight="1"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</row>
    <row r="153" ht="15.75" customHeight="1"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</row>
    <row r="154" ht="15.75" customHeight="1"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</row>
    <row r="155" ht="15.75" customHeight="1"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</row>
    <row r="156" ht="15.75" customHeight="1"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</row>
    <row r="157" ht="15.75" customHeight="1"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</row>
    <row r="158" ht="15.75" customHeight="1"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</row>
    <row r="159" ht="15.75" customHeight="1"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</row>
    <row r="160" ht="15.75" customHeight="1"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</row>
    <row r="161" ht="15.75" customHeight="1"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</row>
    <row r="162" ht="15.75" customHeight="1"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</row>
    <row r="163" ht="15.75" customHeight="1"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</row>
    <row r="164" ht="15.75" customHeight="1"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</row>
    <row r="165" ht="15.75" customHeight="1"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</row>
    <row r="166" ht="15.75" customHeight="1"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</row>
    <row r="167" ht="15.75" customHeight="1"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</row>
    <row r="168" ht="15.75" customHeight="1"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</row>
    <row r="169" ht="15.75" customHeight="1"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</row>
    <row r="170" ht="15.75" customHeight="1"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</row>
    <row r="171" ht="15.75" customHeight="1"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</row>
    <row r="172" ht="15.75" customHeight="1"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</row>
    <row r="173" ht="15.75" customHeight="1"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</row>
    <row r="174" ht="15.75" customHeight="1"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</row>
    <row r="175" ht="15.75" customHeight="1"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</row>
    <row r="176" ht="15.75" customHeight="1"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</row>
    <row r="177" ht="15.75" customHeight="1"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</row>
    <row r="178" ht="15.75" customHeight="1"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</row>
    <row r="179" ht="15.75" customHeight="1"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</row>
    <row r="180" ht="15.75" customHeight="1"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</row>
    <row r="181" ht="15.75" customHeight="1"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</row>
    <row r="182" ht="15.75" customHeight="1"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</row>
    <row r="183" ht="15.75" customHeight="1"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</row>
    <row r="184" ht="15.75" customHeight="1"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</row>
    <row r="185" ht="15.75" customHeight="1"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</row>
    <row r="186" ht="15.75" customHeight="1"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</row>
    <row r="187" ht="15.75" customHeight="1"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</row>
    <row r="188" ht="15.75" customHeight="1"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</row>
    <row r="189" ht="15.75" customHeight="1"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</row>
    <row r="190" ht="15.75" customHeight="1"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</row>
    <row r="191" ht="15.75" customHeight="1"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</row>
    <row r="192" ht="15.75" customHeight="1"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</row>
    <row r="193" ht="15.75" customHeight="1"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</row>
    <row r="194" ht="15.75" customHeight="1"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</row>
    <row r="195" ht="15.75" customHeight="1"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</row>
    <row r="196" ht="15.75" customHeight="1"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</row>
    <row r="197" ht="15.75" customHeight="1"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</row>
    <row r="198" ht="15.75" customHeight="1"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</row>
    <row r="199" ht="15.75" customHeight="1"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</row>
    <row r="200" ht="15.75" customHeight="1"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</row>
    <row r="201" ht="15.75" customHeight="1"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</row>
    <row r="202" ht="15.75" customHeight="1"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</row>
    <row r="203" ht="15.75" customHeight="1"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</row>
    <row r="204" ht="15.75" customHeight="1"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</row>
    <row r="205" ht="15.75" customHeight="1"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</row>
    <row r="206" ht="15.75" customHeight="1"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</row>
    <row r="207" ht="15.75" customHeight="1"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</row>
    <row r="208" ht="15.75" customHeight="1"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</row>
    <row r="209" ht="15.75" customHeight="1"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</row>
    <row r="210" ht="15.75" customHeight="1"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</row>
    <row r="211" ht="15.75" customHeight="1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</row>
    <row r="212" ht="15.75" customHeight="1"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</row>
    <row r="213" ht="15.75" customHeight="1"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</row>
    <row r="214" ht="15.75" customHeight="1"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</row>
    <row r="215" ht="15.75" customHeight="1"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</row>
    <row r="216" ht="15.75" customHeight="1"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</row>
    <row r="217" ht="15.75" customHeight="1"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</row>
    <row r="218" ht="15.75" customHeight="1"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</row>
    <row r="219" ht="15.75" customHeight="1"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</row>
    <row r="220" ht="15.75" customHeight="1"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</row>
    <row r="221" ht="15.75" customHeight="1"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</row>
    <row r="222" ht="15.75" customHeight="1"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</row>
    <row r="223" ht="15.75" customHeight="1"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</row>
    <row r="224" ht="15.75" customHeight="1"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</row>
    <row r="225" ht="15.75" customHeight="1"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</row>
    <row r="226" ht="15.75" customHeight="1"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</row>
    <row r="227" ht="15.75" customHeight="1"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</row>
    <row r="228" ht="15.75" customHeight="1"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</row>
    <row r="229" ht="15.75" customHeight="1"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</row>
    <row r="230" ht="15.75" customHeight="1"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</row>
    <row r="231" ht="15.75" customHeight="1"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</row>
    <row r="232" ht="15.75" customHeight="1"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</row>
    <row r="233" ht="15.75" customHeight="1"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</row>
    <row r="234" ht="15.75" customHeight="1"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</row>
    <row r="235" ht="15.75" customHeight="1"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</row>
    <row r="236" ht="15.75" customHeight="1"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</row>
    <row r="237" ht="15.75" customHeight="1"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</row>
    <row r="238" ht="15.75" customHeight="1"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</row>
    <row r="239" ht="15.75" customHeight="1"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</row>
    <row r="240" ht="15.75" customHeight="1"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</row>
    <row r="241" ht="15.75" customHeight="1"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</row>
    <row r="242" ht="15.75" customHeight="1"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</row>
    <row r="243" ht="15.75" customHeight="1"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</row>
    <row r="244" ht="15.75" customHeight="1"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</row>
    <row r="245" ht="15.75" customHeight="1"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</row>
    <row r="246" ht="15.75" customHeight="1"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</row>
    <row r="247" ht="15.75" customHeight="1"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</row>
    <row r="248" ht="15.75" customHeight="1"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</row>
    <row r="249" ht="15.75" customHeight="1"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</row>
    <row r="250" ht="15.75" customHeight="1"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</row>
    <row r="251" ht="15.75" customHeight="1"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</row>
    <row r="252" ht="15.75" customHeight="1"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</row>
    <row r="253" ht="15.75" customHeight="1"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</row>
    <row r="254" ht="15.75" customHeight="1"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</row>
    <row r="255" ht="15.75" customHeight="1"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</row>
    <row r="256" ht="15.75" customHeight="1"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</row>
    <row r="257" ht="15.75" customHeight="1"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</row>
    <row r="258" ht="15.75" customHeight="1"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</row>
    <row r="259" ht="15.75" customHeight="1"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</row>
    <row r="260" ht="15.75" customHeight="1"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</row>
    <row r="261" ht="15.75" customHeight="1"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</row>
    <row r="262" ht="15.75" customHeight="1"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</row>
    <row r="263" ht="15.75" customHeight="1"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</row>
    <row r="264" ht="15.75" customHeight="1"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</row>
    <row r="265" ht="15.75" customHeight="1"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</row>
    <row r="266" ht="15.75" customHeight="1"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</row>
    <row r="267" ht="15.75" customHeight="1"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</row>
    <row r="268" ht="15.75" customHeight="1"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</row>
    <row r="269" ht="15.75" customHeight="1"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</row>
    <row r="270" ht="15.75" customHeight="1"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</row>
    <row r="271" ht="15.75" customHeight="1"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</row>
    <row r="272" ht="15.75" customHeight="1"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</row>
    <row r="273" ht="15.75" customHeight="1"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</row>
    <row r="274" ht="15.75" customHeight="1"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</row>
    <row r="275" ht="15.75" customHeight="1"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</row>
    <row r="276" ht="15.75" customHeight="1"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</row>
    <row r="277" ht="15.75" customHeight="1"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</row>
    <row r="278" ht="15.75" customHeight="1"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</row>
    <row r="279" ht="15.75" customHeight="1"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</row>
    <row r="280" ht="15.75" customHeight="1"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</row>
    <row r="281" ht="15.75" customHeight="1"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</row>
    <row r="282" ht="15.75" customHeight="1"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</row>
    <row r="283" ht="15.75" customHeight="1"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</row>
    <row r="284" ht="15.75" customHeight="1"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</row>
    <row r="285" ht="15.75" customHeight="1"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</row>
    <row r="286" ht="15.75" customHeight="1"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</row>
    <row r="287" ht="15.75" customHeight="1"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</row>
    <row r="288" ht="15.75" customHeight="1"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</row>
    <row r="289" ht="15.75" customHeight="1"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</row>
    <row r="290" ht="15.75" customHeight="1"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</row>
    <row r="291" ht="15.75" customHeight="1"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</row>
    <row r="292" ht="15.75" customHeight="1"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</row>
    <row r="293" ht="15.75" customHeight="1"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</row>
    <row r="294" ht="15.75" customHeight="1"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</row>
    <row r="295" ht="15.75" customHeight="1"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</row>
    <row r="296" ht="15.75" customHeight="1"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</row>
    <row r="297" ht="15.75" customHeight="1"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</row>
    <row r="298" ht="15.75" customHeight="1"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</row>
    <row r="299" ht="15.75" customHeight="1"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</row>
    <row r="300" ht="15.75" customHeight="1"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</row>
    <row r="301" ht="15.75" customHeight="1"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</row>
    <row r="302" ht="15.75" customHeight="1"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</row>
    <row r="303" ht="15.75" customHeight="1"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</row>
    <row r="304" ht="15.75" customHeight="1"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</row>
    <row r="305" ht="15.75" customHeight="1"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</row>
    <row r="306" ht="15.75" customHeight="1"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</row>
    <row r="307" ht="15.75" customHeight="1"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</row>
    <row r="308" ht="15.75" customHeight="1"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</row>
    <row r="309" ht="15.75" customHeight="1"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</row>
    <row r="310" ht="15.75" customHeight="1"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</row>
    <row r="311" ht="15.75" customHeight="1"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</row>
    <row r="312" ht="15.75" customHeight="1"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</row>
    <row r="313" ht="15.75" customHeight="1"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</row>
    <row r="314" ht="15.75" customHeight="1"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</row>
    <row r="315" ht="15.75" customHeight="1"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</row>
    <row r="316" ht="15.75" customHeight="1"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</row>
    <row r="317" ht="15.75" customHeight="1"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</row>
    <row r="318" ht="15.75" customHeight="1"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</row>
    <row r="319" ht="15.75" customHeight="1"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</row>
    <row r="320" ht="15.75" customHeight="1"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</row>
    <row r="321" ht="15.75" customHeight="1"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</row>
    <row r="322" ht="15.75" customHeight="1"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</row>
    <row r="323" ht="15.75" customHeight="1"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</row>
    <row r="324" ht="15.75" customHeight="1"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</row>
    <row r="325" ht="15.75" customHeight="1"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</row>
    <row r="326" ht="15.75" customHeight="1"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</row>
    <row r="327" ht="15.75" customHeight="1"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</row>
    <row r="328" ht="15.75" customHeight="1"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</row>
    <row r="329" ht="15.75" customHeight="1"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</row>
    <row r="330" ht="15.75" customHeight="1"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</row>
    <row r="331" ht="15.75" customHeight="1"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</row>
    <row r="332" ht="15.75" customHeight="1"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</row>
    <row r="333" ht="15.75" customHeight="1"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</row>
    <row r="334" ht="15.75" customHeight="1"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</row>
    <row r="335" ht="15.75" customHeight="1"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</row>
    <row r="336" ht="15.75" customHeight="1"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</row>
    <row r="337" ht="15.75" customHeight="1"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</row>
    <row r="338" ht="15.75" customHeight="1"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</row>
    <row r="339" ht="15.75" customHeight="1"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</row>
    <row r="340" ht="15.75" customHeight="1"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</row>
    <row r="341" ht="15.75" customHeight="1"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</row>
    <row r="342" ht="15.75" customHeight="1"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</row>
    <row r="343" ht="15.75" customHeight="1"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</row>
    <row r="344" ht="15.75" customHeight="1"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</row>
    <row r="345" ht="15.75" customHeight="1"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</row>
    <row r="346" ht="15.75" customHeight="1"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</row>
    <row r="347" ht="15.75" customHeight="1"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</row>
    <row r="348" ht="15.75" customHeight="1"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</row>
    <row r="349" ht="15.75" customHeight="1"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</row>
    <row r="350" ht="15.75" customHeight="1"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</row>
    <row r="351" ht="15.75" customHeight="1"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</row>
    <row r="352" ht="15.75" customHeight="1"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</row>
    <row r="353" ht="15.75" customHeight="1"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</row>
    <row r="354" ht="15.75" customHeight="1"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</row>
    <row r="355" ht="15.75" customHeight="1"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</row>
    <row r="356" ht="15.75" customHeight="1"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</row>
    <row r="357" ht="15.75" customHeight="1"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</row>
    <row r="358" ht="15.75" customHeight="1"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</row>
    <row r="359" ht="15.75" customHeight="1"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</row>
    <row r="360" ht="15.75" customHeight="1"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</row>
    <row r="361" ht="15.75" customHeight="1"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</row>
    <row r="362" ht="15.75" customHeight="1"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</row>
    <row r="363" ht="15.75" customHeight="1"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</row>
    <row r="364" ht="15.75" customHeight="1"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</row>
    <row r="365" ht="15.75" customHeight="1"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</row>
    <row r="366" ht="15.75" customHeight="1"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</row>
    <row r="367" ht="15.75" customHeight="1"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</row>
    <row r="368" ht="15.75" customHeight="1"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</row>
    <row r="369" ht="15.75" customHeight="1"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</row>
    <row r="370" ht="15.75" customHeight="1"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</row>
    <row r="371" ht="15.75" customHeight="1"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</row>
    <row r="372" ht="15.75" customHeight="1"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</row>
    <row r="373" ht="15.75" customHeight="1"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</row>
    <row r="374" ht="15.75" customHeight="1"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</row>
    <row r="375" ht="15.75" customHeight="1"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</row>
    <row r="376" ht="15.75" customHeight="1"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</row>
    <row r="377" ht="15.75" customHeight="1"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</row>
    <row r="378" ht="15.75" customHeight="1"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</row>
    <row r="379" ht="15.75" customHeight="1"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</row>
    <row r="380" ht="15.75" customHeight="1"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</row>
    <row r="381" ht="15.75" customHeight="1"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</row>
    <row r="382" ht="15.75" customHeight="1"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</row>
    <row r="383" ht="15.75" customHeight="1"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</row>
    <row r="384" ht="15.75" customHeight="1"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</row>
    <row r="385" ht="15.75" customHeight="1"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</row>
    <row r="386" ht="15.75" customHeight="1"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</row>
    <row r="387" ht="15.75" customHeight="1"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</row>
    <row r="388" ht="15.75" customHeight="1"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</row>
    <row r="389" ht="15.75" customHeight="1"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</row>
    <row r="390" ht="15.75" customHeight="1"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</row>
    <row r="391" ht="15.75" customHeight="1"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</row>
    <row r="392" ht="15.75" customHeight="1"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</row>
    <row r="393" ht="15.75" customHeight="1"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</row>
    <row r="394" ht="15.75" customHeight="1"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</row>
    <row r="395" ht="15.75" customHeight="1"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</row>
    <row r="396" ht="15.75" customHeight="1"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</row>
    <row r="397" ht="15.75" customHeight="1"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</row>
    <row r="398" ht="15.75" customHeight="1"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</row>
    <row r="399" ht="15.75" customHeight="1"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</row>
    <row r="400" ht="15.75" customHeight="1"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</row>
    <row r="401" ht="15.75" customHeight="1"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</row>
    <row r="402" ht="15.75" customHeight="1"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</row>
    <row r="403" ht="15.75" customHeight="1"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</row>
    <row r="404" ht="15.75" customHeight="1"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</row>
    <row r="405" ht="15.75" customHeight="1"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</row>
    <row r="406" ht="15.75" customHeight="1"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</row>
    <row r="407" ht="15.75" customHeight="1"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</row>
    <row r="408" ht="15.75" customHeight="1"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</row>
    <row r="409" ht="15.75" customHeight="1"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</row>
    <row r="410" ht="15.75" customHeight="1"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</row>
    <row r="411" ht="15.75" customHeight="1"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</row>
    <row r="412" ht="15.75" customHeight="1"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</row>
    <row r="413" ht="15.75" customHeight="1"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</row>
    <row r="414" ht="15.75" customHeight="1"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</row>
    <row r="415" ht="15.75" customHeight="1"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</row>
    <row r="416" ht="15.75" customHeight="1"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</row>
    <row r="417" ht="15.75" customHeight="1"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</row>
    <row r="418" ht="15.75" customHeight="1"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</row>
    <row r="419" ht="15.75" customHeight="1"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</row>
    <row r="420" ht="15.75" customHeight="1"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</row>
    <row r="421" ht="15.75" customHeight="1"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</row>
    <row r="422" ht="15.75" customHeight="1"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</row>
    <row r="423" ht="15.75" customHeight="1"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</row>
    <row r="424" ht="15.75" customHeight="1"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</row>
    <row r="425" ht="15.75" customHeight="1"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</row>
    <row r="426" ht="15.75" customHeight="1"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</row>
    <row r="427" ht="15.75" customHeight="1"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</row>
    <row r="428" ht="15.75" customHeight="1"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</row>
    <row r="429" ht="15.75" customHeight="1"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</row>
    <row r="430" ht="15.75" customHeight="1"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</row>
    <row r="431" ht="15.75" customHeight="1"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</row>
    <row r="432" ht="15.75" customHeight="1"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</row>
    <row r="433" ht="15.75" customHeight="1"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</row>
    <row r="434" ht="15.75" customHeight="1"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</row>
    <row r="435" ht="15.75" customHeight="1"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</row>
    <row r="436" ht="15.75" customHeight="1"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</row>
    <row r="437" ht="15.75" customHeight="1"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</row>
    <row r="438" ht="15.75" customHeight="1"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</row>
    <row r="439" ht="15.75" customHeight="1"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</row>
    <row r="440" ht="15.75" customHeight="1"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</row>
    <row r="441" ht="15.75" customHeight="1"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</row>
    <row r="442" ht="15.75" customHeight="1"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</row>
    <row r="443" ht="15.75" customHeight="1"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</row>
    <row r="444" ht="15.75" customHeight="1"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</row>
    <row r="445" ht="15.75" customHeight="1"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</row>
    <row r="446" ht="15.75" customHeight="1"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</row>
    <row r="447" ht="15.75" customHeight="1"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</row>
    <row r="448" ht="15.75" customHeight="1"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</row>
    <row r="449" ht="15.75" customHeight="1"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</row>
    <row r="450" ht="15.75" customHeight="1"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</row>
    <row r="451" ht="15.75" customHeight="1"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</row>
    <row r="452" ht="15.75" customHeight="1"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</row>
    <row r="453" ht="15.75" customHeight="1"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</row>
    <row r="454" ht="15.75" customHeight="1"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</row>
    <row r="455" ht="15.75" customHeight="1"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</row>
    <row r="456" ht="15.75" customHeight="1"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</row>
    <row r="457" ht="15.75" customHeight="1"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</row>
    <row r="458" ht="15.75" customHeight="1"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</row>
    <row r="459" ht="15.75" customHeight="1"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</row>
    <row r="460" ht="15.75" customHeight="1"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</row>
    <row r="461" ht="15.75" customHeight="1"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</row>
    <row r="462" ht="15.75" customHeight="1"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</row>
    <row r="463" ht="15.75" customHeight="1"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</row>
    <row r="464" ht="15.75" customHeight="1"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</row>
    <row r="465" ht="15.75" customHeight="1"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</row>
    <row r="466" ht="15.75" customHeight="1"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</row>
    <row r="467" ht="15.75" customHeight="1"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</row>
    <row r="468" ht="15.75" customHeight="1"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</row>
    <row r="469" ht="15.75" customHeight="1"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</row>
    <row r="470" ht="15.75" customHeight="1"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</row>
    <row r="471" ht="15.75" customHeight="1"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</row>
    <row r="472" ht="15.75" customHeight="1"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</row>
    <row r="473" ht="15.75" customHeight="1"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</row>
    <row r="474" ht="15.75" customHeight="1"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</row>
    <row r="475" ht="15.75" customHeight="1"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</row>
    <row r="476" ht="15.75" customHeight="1"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</row>
    <row r="477" ht="15.75" customHeight="1"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</row>
    <row r="478" ht="15.75" customHeight="1"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</row>
    <row r="479" ht="15.75" customHeight="1"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</row>
    <row r="480" ht="15.75" customHeight="1"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</row>
    <row r="481" ht="15.75" customHeight="1"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</row>
    <row r="482" ht="15.75" customHeight="1"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</row>
    <row r="483" ht="15.75" customHeight="1"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</row>
    <row r="484" ht="15.75" customHeight="1"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</row>
    <row r="485" ht="15.75" customHeight="1"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</row>
    <row r="486" ht="15.75" customHeight="1"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</row>
    <row r="487" ht="15.75" customHeight="1"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</row>
    <row r="488" ht="15.75" customHeight="1"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</row>
    <row r="489" ht="15.75" customHeight="1"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</row>
    <row r="490" ht="15.75" customHeight="1"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</row>
    <row r="491" ht="15.75" customHeight="1"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</row>
    <row r="492" ht="15.75" customHeight="1"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</row>
    <row r="493" ht="15.75" customHeight="1"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</row>
    <row r="494" ht="15.75" customHeight="1"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</row>
    <row r="495" ht="15.75" customHeight="1"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</row>
    <row r="496" ht="15.75" customHeight="1"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</row>
    <row r="497" ht="15.75" customHeight="1"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</row>
    <row r="498" ht="15.75" customHeight="1"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</row>
    <row r="499" ht="15.75" customHeight="1"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</row>
    <row r="500" ht="15.75" customHeight="1"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</row>
    <row r="501" ht="15.75" customHeight="1"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</row>
    <row r="502" ht="15.75" customHeight="1"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</row>
    <row r="503" ht="15.75" customHeight="1"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</row>
    <row r="504" ht="15.75" customHeight="1"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</row>
    <row r="505" ht="15.75" customHeight="1"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</row>
    <row r="506" ht="15.75" customHeight="1"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</row>
    <row r="507" ht="15.75" customHeight="1"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</row>
    <row r="508" ht="15.75" customHeight="1"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</row>
    <row r="509" ht="15.75" customHeight="1"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</row>
    <row r="510" ht="15.75" customHeight="1"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</row>
    <row r="511" ht="15.75" customHeight="1"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</row>
    <row r="512" ht="15.75" customHeight="1"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</row>
    <row r="513" ht="15.75" customHeight="1"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</row>
    <row r="514" ht="15.75" customHeight="1"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</row>
    <row r="515" ht="15.75" customHeight="1"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</row>
    <row r="516" ht="15.75" customHeight="1"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</row>
    <row r="517" ht="15.75" customHeight="1"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</row>
    <row r="518" ht="15.75" customHeight="1"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</row>
    <row r="519" ht="15.75" customHeight="1"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</row>
    <row r="520" ht="15.75" customHeight="1"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</row>
    <row r="521" ht="15.75" customHeight="1"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</row>
    <row r="522" ht="15.75" customHeight="1"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</row>
    <row r="523" ht="15.75" customHeight="1"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</row>
    <row r="524" ht="15.75" customHeight="1"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</row>
    <row r="525" ht="15.75" customHeight="1"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</row>
    <row r="526" ht="15.75" customHeight="1"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</row>
    <row r="527" ht="15.75" customHeight="1"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</row>
    <row r="528" ht="15.75" customHeight="1"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</row>
    <row r="529" ht="15.75" customHeight="1"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</row>
    <row r="530" ht="15.75" customHeight="1"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</row>
    <row r="531" ht="15.75" customHeight="1"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</row>
    <row r="532" ht="15.75" customHeight="1"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</row>
    <row r="533" ht="15.75" customHeight="1"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</row>
    <row r="534" ht="15.75" customHeight="1"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</row>
    <row r="535" ht="15.75" customHeight="1"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</row>
    <row r="536" ht="15.75" customHeight="1"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</row>
    <row r="537" ht="15.75" customHeight="1"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</row>
    <row r="538" ht="15.75" customHeight="1"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</row>
    <row r="539" ht="15.75" customHeight="1"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</row>
    <row r="540" ht="15.75" customHeight="1"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</row>
    <row r="541" ht="15.75" customHeight="1"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</row>
    <row r="542" ht="15.75" customHeight="1"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</row>
    <row r="543" ht="15.75" customHeight="1"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</row>
    <row r="544" ht="15.75" customHeight="1"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</row>
    <row r="545" ht="15.75" customHeight="1"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</row>
    <row r="546" ht="15.75" customHeight="1"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</row>
    <row r="547" ht="15.75" customHeight="1"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</row>
    <row r="548" ht="15.75" customHeight="1"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</row>
    <row r="549" ht="15.75" customHeight="1"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</row>
    <row r="550" ht="15.75" customHeight="1"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</row>
    <row r="551" ht="15.75" customHeight="1"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</row>
    <row r="552" ht="15.75" customHeight="1"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</row>
    <row r="553" ht="15.75" customHeight="1"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</row>
    <row r="554" ht="15.75" customHeight="1"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</row>
    <row r="555" ht="15.75" customHeight="1"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</row>
    <row r="556" ht="15.75" customHeight="1"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</row>
    <row r="557" ht="15.75" customHeight="1"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</row>
    <row r="558" ht="15.75" customHeight="1"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</row>
    <row r="559" ht="15.75" customHeight="1"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</row>
    <row r="560" ht="15.75" customHeight="1"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</row>
    <row r="561" ht="15.75" customHeight="1"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</row>
    <row r="562" ht="15.75" customHeight="1"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</row>
    <row r="563" ht="15.75" customHeight="1"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</row>
    <row r="564" ht="15.75" customHeight="1"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</row>
    <row r="565" ht="15.75" customHeight="1"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</row>
    <row r="566" ht="15.75" customHeight="1"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</row>
    <row r="567" ht="15.75" customHeight="1"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</row>
    <row r="568" ht="15.75" customHeight="1"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</row>
    <row r="569" ht="15.75" customHeight="1"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</row>
    <row r="570" ht="15.75" customHeight="1"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</row>
    <row r="571" ht="15.75" customHeight="1"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</row>
    <row r="572" ht="15.75" customHeight="1"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</row>
    <row r="573" ht="15.75" customHeight="1"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</row>
    <row r="574" ht="15.75" customHeight="1"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</row>
    <row r="575" ht="15.75" customHeight="1"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</row>
    <row r="576" ht="15.75" customHeight="1"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</row>
    <row r="577" ht="15.75" customHeight="1"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</row>
    <row r="578" ht="15.75" customHeight="1"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</row>
    <row r="579" ht="15.75" customHeight="1"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</row>
    <row r="580" ht="15.75" customHeight="1"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</row>
    <row r="581" ht="15.75" customHeight="1"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</row>
    <row r="582" ht="15.75" customHeight="1"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</row>
    <row r="583" ht="15.75" customHeight="1"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</row>
    <row r="584" ht="15.75" customHeight="1"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</row>
    <row r="585" ht="15.75" customHeight="1"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</row>
    <row r="586" ht="15.75" customHeight="1"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</row>
    <row r="587" ht="15.75" customHeight="1"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</row>
    <row r="588" ht="15.75" customHeight="1"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</row>
    <row r="589" ht="15.75" customHeight="1"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</row>
    <row r="590" ht="15.75" customHeight="1"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</row>
    <row r="591" ht="15.75" customHeight="1"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</row>
    <row r="592" ht="15.75" customHeight="1"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</row>
    <row r="593" ht="15.75" customHeight="1"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</row>
    <row r="594" ht="15.75" customHeight="1"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</row>
    <row r="595" ht="15.75" customHeight="1"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</row>
    <row r="596" ht="15.75" customHeight="1"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</row>
    <row r="597" ht="15.75" customHeight="1"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</row>
    <row r="598" ht="15.75" customHeight="1"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</row>
    <row r="599" ht="15.75" customHeight="1"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</row>
    <row r="600" ht="15.75" customHeight="1"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</row>
    <row r="601" ht="15.75" customHeight="1"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</row>
    <row r="602" ht="15.75" customHeight="1"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</row>
    <row r="603" ht="15.75" customHeight="1"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</row>
    <row r="604" ht="15.75" customHeight="1"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</row>
    <row r="605" ht="15.75" customHeight="1"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</row>
    <row r="606" ht="15.75" customHeight="1"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</row>
    <row r="607" ht="15.75" customHeight="1"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</row>
    <row r="608" ht="15.75" customHeight="1"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</row>
    <row r="609" ht="15.75" customHeight="1"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</row>
    <row r="610" ht="15.75" customHeight="1"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</row>
    <row r="611" ht="15.75" customHeight="1"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</row>
    <row r="612" ht="15.75" customHeight="1"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</row>
    <row r="613" ht="15.75" customHeight="1"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</row>
    <row r="614" ht="15.75" customHeight="1"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</row>
    <row r="615" ht="15.75" customHeight="1"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</row>
    <row r="616" ht="15.75" customHeight="1"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</row>
    <row r="617" ht="15.75" customHeight="1"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</row>
    <row r="618" ht="15.75" customHeight="1"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</row>
    <row r="619" ht="15.75" customHeight="1"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</row>
    <row r="620" ht="15.75" customHeight="1"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</row>
    <row r="621" ht="15.75" customHeight="1"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</row>
    <row r="622" ht="15.75" customHeight="1"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</row>
    <row r="623" ht="15.75" customHeight="1"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</row>
    <row r="624" ht="15.75" customHeight="1"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</row>
    <row r="625" ht="15.75" customHeight="1"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</row>
    <row r="626" ht="15.75" customHeight="1"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</row>
    <row r="627" ht="15.75" customHeight="1"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</row>
    <row r="628" ht="15.75" customHeight="1"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</row>
    <row r="629" ht="15.75" customHeight="1"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</row>
    <row r="630" ht="15.75" customHeight="1"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</row>
    <row r="631" ht="15.75" customHeight="1"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</row>
    <row r="632" ht="15.75" customHeight="1"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</row>
    <row r="633" ht="15.75" customHeight="1"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</row>
    <row r="634" ht="15.75" customHeight="1"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</row>
    <row r="635" ht="15.75" customHeight="1"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</row>
    <row r="636" ht="15.75" customHeight="1"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</row>
    <row r="637" ht="15.75" customHeight="1"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</row>
    <row r="638" ht="15.75" customHeight="1"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</row>
    <row r="639" ht="15.75" customHeight="1"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</row>
    <row r="640" ht="15.75" customHeight="1"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</row>
    <row r="641" ht="15.75" customHeight="1"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</row>
    <row r="642" ht="15.75" customHeight="1"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</row>
    <row r="643" ht="15.75" customHeight="1"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</row>
    <row r="644" ht="15.75" customHeight="1"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</row>
    <row r="645" ht="15.75" customHeight="1"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</row>
    <row r="646" ht="15.75" customHeight="1"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</row>
    <row r="647" ht="15.75" customHeight="1"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</row>
    <row r="648" ht="15.75" customHeight="1"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</row>
    <row r="649" ht="15.75" customHeight="1"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</row>
    <row r="650" ht="15.75" customHeight="1"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</row>
    <row r="651" ht="15.75" customHeight="1"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</row>
    <row r="652" ht="15.75" customHeight="1"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</row>
    <row r="653" ht="15.75" customHeight="1"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</row>
    <row r="654" ht="15.75" customHeight="1"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</row>
    <row r="655" ht="15.75" customHeight="1"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</row>
    <row r="656" ht="15.75" customHeight="1"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</row>
    <row r="657" ht="15.75" customHeight="1"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</row>
    <row r="658" ht="15.75" customHeight="1"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</row>
    <row r="659" ht="15.75" customHeight="1"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</row>
    <row r="660" ht="15.75" customHeight="1"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</row>
    <row r="661" ht="15.75" customHeight="1"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</row>
    <row r="662" ht="15.75" customHeight="1"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</row>
    <row r="663" ht="15.75" customHeight="1"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</row>
    <row r="664" ht="15.75" customHeight="1"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</row>
    <row r="665" ht="15.75" customHeight="1"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</row>
    <row r="666" ht="15.75" customHeight="1"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</row>
    <row r="667" ht="15.75" customHeight="1"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</row>
    <row r="668" ht="15.75" customHeight="1"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</row>
    <row r="669" ht="15.75" customHeight="1"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</row>
    <row r="670" ht="15.75" customHeight="1"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</row>
    <row r="671" ht="15.75" customHeight="1"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</row>
    <row r="672" ht="15.75" customHeight="1"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</row>
    <row r="673" ht="15.75" customHeight="1"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</row>
    <row r="674" ht="15.75" customHeight="1"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</row>
    <row r="675" ht="15.75" customHeight="1"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</row>
    <row r="676" ht="15.75" customHeight="1"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</row>
    <row r="677" ht="15.75" customHeight="1"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</row>
    <row r="678" ht="15.75" customHeight="1"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</row>
    <row r="679" ht="15.75" customHeight="1"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</row>
    <row r="680" ht="15.75" customHeight="1"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</row>
    <row r="681" ht="15.75" customHeight="1"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</row>
    <row r="682" ht="15.75" customHeight="1"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</row>
    <row r="683" ht="15.75" customHeight="1"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</row>
    <row r="684" ht="15.75" customHeight="1"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</row>
    <row r="685" ht="15.75" customHeight="1"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</row>
    <row r="686" ht="15.75" customHeight="1"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</row>
    <row r="687" ht="15.75" customHeight="1"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</row>
    <row r="688" ht="15.75" customHeight="1"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</row>
    <row r="689" ht="15.75" customHeight="1"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</row>
    <row r="690" ht="15.75" customHeight="1"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</row>
    <row r="691" ht="15.75" customHeight="1"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</row>
    <row r="692" ht="15.75" customHeight="1"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</row>
    <row r="693" ht="15.75" customHeight="1"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</row>
    <row r="694" ht="15.75" customHeight="1"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</row>
    <row r="695" ht="15.75" customHeight="1"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</row>
    <row r="696" ht="15.75" customHeight="1"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</row>
    <row r="697" ht="15.75" customHeight="1"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</row>
    <row r="698" ht="15.75" customHeight="1"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</row>
    <row r="699" ht="15.75" customHeight="1"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</row>
    <row r="700" ht="15.75" customHeight="1"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</row>
    <row r="701" ht="15.75" customHeight="1"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</row>
    <row r="702" ht="15.75" customHeight="1"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</row>
    <row r="703" ht="15.75" customHeight="1"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</row>
    <row r="704" ht="15.75" customHeight="1"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</row>
    <row r="705" ht="15.75" customHeight="1"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</row>
    <row r="706" ht="15.75" customHeight="1"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</row>
    <row r="707" ht="15.75" customHeight="1"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</row>
    <row r="708" ht="15.75" customHeight="1"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</row>
    <row r="709" ht="15.75" customHeight="1"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</row>
    <row r="710" ht="15.75" customHeight="1"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</row>
    <row r="711" ht="15.75" customHeight="1"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</row>
    <row r="712" ht="15.75" customHeight="1"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</row>
    <row r="713" ht="15.75" customHeight="1"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</row>
    <row r="714" ht="15.75" customHeight="1"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</row>
    <row r="715" ht="15.75" customHeight="1"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</row>
    <row r="716" ht="15.75" customHeight="1"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</row>
    <row r="717" ht="15.75" customHeight="1"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</row>
    <row r="718" ht="15.75" customHeight="1"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</row>
    <row r="719" ht="15.75" customHeight="1"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</row>
    <row r="720" ht="15.75" customHeight="1"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</row>
    <row r="721" ht="15.75" customHeight="1"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</row>
    <row r="722" ht="15.75" customHeight="1"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</row>
    <row r="723" ht="15.75" customHeight="1"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</row>
    <row r="724" ht="15.75" customHeight="1"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</row>
    <row r="725" ht="15.75" customHeight="1"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</row>
    <row r="726" ht="15.75" customHeight="1"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</row>
    <row r="727" ht="15.75" customHeight="1"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</row>
    <row r="728" ht="15.75" customHeight="1"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</row>
    <row r="729" ht="15.75" customHeight="1"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</row>
    <row r="730" ht="15.75" customHeight="1"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</row>
    <row r="731" ht="15.75" customHeight="1"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</row>
    <row r="732" ht="15.75" customHeight="1"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</row>
    <row r="733" ht="15.75" customHeight="1"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</row>
    <row r="734" ht="15.75" customHeight="1"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</row>
    <row r="735" ht="15.75" customHeight="1"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</row>
    <row r="736" ht="15.75" customHeight="1"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</row>
    <row r="737" ht="15.75" customHeight="1"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</row>
    <row r="738" ht="15.75" customHeight="1"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</row>
    <row r="739" ht="15.75" customHeight="1"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</row>
    <row r="740" ht="15.75" customHeight="1"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</row>
    <row r="741" ht="15.75" customHeight="1"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</row>
    <row r="742" ht="15.75" customHeight="1"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</row>
    <row r="743" ht="15.75" customHeight="1"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</row>
    <row r="744" ht="15.75" customHeight="1"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</row>
    <row r="745" ht="15.75" customHeight="1"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</row>
    <row r="746" ht="15.75" customHeight="1"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</row>
    <row r="747" ht="15.75" customHeight="1"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</row>
    <row r="748" ht="15.75" customHeight="1"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</row>
    <row r="749" ht="15.75" customHeight="1"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</row>
    <row r="750" ht="15.75" customHeight="1"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</row>
    <row r="751" ht="15.75" customHeight="1"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</row>
    <row r="752" ht="15.75" customHeight="1"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</row>
    <row r="753" ht="15.75" customHeight="1"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</row>
    <row r="754" ht="15.75" customHeight="1"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</row>
    <row r="755" ht="15.75" customHeight="1"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</row>
    <row r="756" ht="15.75" customHeight="1"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</row>
    <row r="757" ht="15.75" customHeight="1"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</row>
    <row r="758" ht="15.75" customHeight="1"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</row>
    <row r="759" ht="15.75" customHeight="1"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</row>
    <row r="760" ht="15.75" customHeight="1"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</row>
    <row r="761" ht="15.75" customHeight="1"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</row>
    <row r="762" ht="15.75" customHeight="1"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</row>
    <row r="763" ht="15.75" customHeight="1"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</row>
    <row r="764" ht="15.75" customHeight="1"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</row>
    <row r="765" ht="15.75" customHeight="1"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</row>
    <row r="766" ht="15.75" customHeight="1"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</row>
    <row r="767" ht="15.75" customHeight="1"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</row>
    <row r="768" ht="15.75" customHeight="1"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</row>
    <row r="769" ht="15.75" customHeight="1"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</row>
    <row r="770" ht="15.75" customHeight="1"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</row>
    <row r="771" ht="15.75" customHeight="1"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</row>
    <row r="772" ht="15.75" customHeight="1"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</row>
    <row r="773" ht="15.75" customHeight="1"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</row>
    <row r="774" ht="15.75" customHeight="1"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</row>
    <row r="775" ht="15.75" customHeight="1"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</row>
    <row r="776" ht="15.75" customHeight="1"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</row>
    <row r="777" ht="15.75" customHeight="1"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</row>
    <row r="778" ht="15.75" customHeight="1"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</row>
    <row r="779" ht="15.75" customHeight="1"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</row>
    <row r="780" ht="15.75" customHeight="1"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</row>
    <row r="781" ht="15.75" customHeight="1"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</row>
    <row r="782" ht="15.75" customHeight="1"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</row>
    <row r="783" ht="15.75" customHeight="1"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</row>
    <row r="784" ht="15.75" customHeight="1"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</row>
    <row r="785" ht="15.75" customHeight="1"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</row>
    <row r="786" ht="15.75" customHeight="1"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</row>
    <row r="787" ht="15.75" customHeight="1"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</row>
    <row r="788" ht="15.75" customHeight="1"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</row>
    <row r="789" ht="15.75" customHeight="1"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</row>
    <row r="790" ht="15.75" customHeight="1"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</row>
    <row r="791" ht="15.75" customHeight="1"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</row>
    <row r="792" ht="15.75" customHeight="1"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</row>
    <row r="793" ht="15.75" customHeight="1"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</row>
    <row r="794" ht="15.75" customHeight="1"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</row>
    <row r="795" ht="15.75" customHeight="1"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</row>
    <row r="796" ht="15.75" customHeight="1"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</row>
    <row r="797" ht="15.75" customHeight="1"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</row>
    <row r="798" ht="15.75" customHeight="1"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</row>
    <row r="799" ht="15.75" customHeight="1"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</row>
    <row r="800" ht="15.75" customHeight="1"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</row>
    <row r="801" ht="15.75" customHeight="1"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</row>
    <row r="802" ht="15.75" customHeight="1"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</row>
    <row r="803" ht="15.75" customHeight="1"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</row>
    <row r="804" ht="15.75" customHeight="1"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</row>
    <row r="805" ht="15.75" customHeight="1"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</row>
    <row r="806" ht="15.75" customHeight="1"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</row>
    <row r="807" ht="15.75" customHeight="1"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</row>
    <row r="808" ht="15.75" customHeight="1"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</row>
    <row r="809" ht="15.75" customHeight="1"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</row>
    <row r="810" ht="15.75" customHeight="1"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</row>
    <row r="811" ht="15.75" customHeight="1"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</row>
    <row r="812" ht="15.75" customHeight="1"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</row>
    <row r="813" ht="15.75" customHeight="1"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</row>
    <row r="814" ht="15.75" customHeight="1"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</row>
    <row r="815" ht="15.75" customHeight="1"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</row>
    <row r="816" ht="15.75" customHeight="1"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</row>
    <row r="817" ht="15.75" customHeight="1"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</row>
    <row r="818" ht="15.75" customHeight="1"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</row>
    <row r="819" ht="15.75" customHeight="1"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</row>
    <row r="820" ht="15.75" customHeight="1"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</row>
    <row r="821" ht="15.75" customHeight="1"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</row>
    <row r="822" ht="15.75" customHeight="1"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</row>
    <row r="823" ht="15.75" customHeight="1"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</row>
    <row r="824" ht="15.75" customHeight="1"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</row>
    <row r="825" ht="15.75" customHeight="1"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</row>
    <row r="826" ht="15.75" customHeight="1"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</row>
    <row r="827" ht="15.75" customHeight="1"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</row>
    <row r="828" ht="15.75" customHeight="1"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</row>
    <row r="829" ht="15.75" customHeight="1"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</row>
    <row r="830" ht="15.75" customHeight="1"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</row>
    <row r="831" ht="15.75" customHeight="1"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</row>
    <row r="832" ht="15.75" customHeight="1"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</row>
    <row r="833" ht="15.75" customHeight="1"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</row>
    <row r="834" ht="15.75" customHeight="1"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</row>
    <row r="835" ht="15.75" customHeight="1"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</row>
    <row r="836" ht="15.75" customHeight="1"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</row>
    <row r="837" ht="15.75" customHeight="1"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</row>
    <row r="838" ht="15.75" customHeight="1"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</row>
    <row r="839" ht="15.75" customHeight="1"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</row>
    <row r="840" ht="15.75" customHeight="1"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</row>
    <row r="841" ht="15.75" customHeight="1"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</row>
    <row r="842" ht="15.75" customHeight="1"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</row>
    <row r="843" ht="15.75" customHeight="1"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</row>
    <row r="844" ht="15.75" customHeight="1"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</row>
    <row r="845" ht="15.75" customHeight="1"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</row>
    <row r="846" ht="15.75" customHeight="1"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</row>
    <row r="847" ht="15.75" customHeight="1"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</row>
    <row r="848" ht="15.75" customHeight="1"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</row>
    <row r="849" ht="15.75" customHeight="1"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</row>
    <row r="850" ht="15.75" customHeight="1"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</row>
    <row r="851" ht="15.75" customHeight="1"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</row>
    <row r="852" ht="15.75" customHeight="1"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</row>
    <row r="853" ht="15.75" customHeight="1"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</row>
    <row r="854" ht="15.75" customHeight="1"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</row>
    <row r="855" ht="15.75" customHeight="1"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</row>
    <row r="856" ht="15.75" customHeight="1"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</row>
    <row r="857" ht="15.75" customHeight="1"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</row>
    <row r="858" ht="15.75" customHeight="1"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</row>
    <row r="859" ht="15.75" customHeight="1"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</row>
    <row r="860" ht="15.75" customHeight="1"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</row>
    <row r="861" ht="15.75" customHeight="1"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</row>
    <row r="862" ht="15.75" customHeight="1"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</row>
    <row r="863" ht="15.75" customHeight="1"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</row>
    <row r="864" ht="15.75" customHeight="1"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</row>
    <row r="865" ht="15.75" customHeight="1"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</row>
    <row r="866" ht="15.75" customHeight="1"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</row>
    <row r="867" ht="15.75" customHeight="1"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</row>
    <row r="868" ht="15.75" customHeight="1"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</row>
    <row r="869" ht="15.75" customHeight="1"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</row>
    <row r="870" ht="15.75" customHeight="1"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</row>
    <row r="871" ht="15.75" customHeight="1"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</row>
    <row r="872" ht="15.75" customHeight="1"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</row>
    <row r="873" ht="15.75" customHeight="1"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</row>
    <row r="874" ht="15.75" customHeight="1"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</row>
    <row r="875" ht="15.75" customHeight="1"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</row>
    <row r="876" ht="15.75" customHeight="1"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</row>
    <row r="877" ht="15.75" customHeight="1"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</row>
    <row r="878" ht="15.75" customHeight="1"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</row>
    <row r="879" ht="15.75" customHeight="1"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</row>
    <row r="880" ht="15.75" customHeight="1"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</row>
    <row r="881" ht="15.75" customHeight="1"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</row>
    <row r="882" ht="15.75" customHeight="1"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</row>
    <row r="883" ht="15.75" customHeight="1"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</row>
    <row r="884" ht="15.75" customHeight="1"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</row>
    <row r="885" ht="15.75" customHeight="1"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</row>
    <row r="886" ht="15.75" customHeight="1"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</row>
    <row r="887" ht="15.75" customHeight="1"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</row>
    <row r="888" ht="15.75" customHeight="1"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</row>
    <row r="889" ht="15.75" customHeight="1"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</row>
    <row r="890" ht="15.75" customHeight="1"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</row>
    <row r="891" ht="15.75" customHeight="1"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</row>
    <row r="892" ht="15.75" customHeight="1"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</row>
    <row r="893" ht="15.75" customHeight="1"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</row>
    <row r="894" ht="15.75" customHeight="1"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</row>
    <row r="895" ht="15.75" customHeight="1"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</row>
    <row r="896" ht="15.75" customHeight="1"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</row>
    <row r="897" ht="15.75" customHeight="1"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</row>
    <row r="898" ht="15.75" customHeight="1"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</row>
    <row r="899" ht="15.75" customHeight="1"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</row>
    <row r="900" ht="15.75" customHeight="1"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</row>
    <row r="901" ht="15.75" customHeight="1"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</row>
    <row r="902" ht="15.75" customHeight="1"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</row>
    <row r="903" ht="15.75" customHeight="1"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</row>
    <row r="904" ht="15.75" customHeight="1"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</row>
    <row r="905" ht="15.75" customHeight="1"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</row>
    <row r="906" ht="15.75" customHeight="1"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</row>
    <row r="907" ht="15.75" customHeight="1"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</row>
    <row r="908" ht="15.75" customHeight="1"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</row>
    <row r="909" ht="15.75" customHeight="1"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</row>
    <row r="910" ht="15.75" customHeight="1"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</row>
    <row r="911" ht="15.75" customHeight="1"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</row>
    <row r="912" ht="15.75" customHeight="1"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</row>
    <row r="913" ht="15.75" customHeight="1"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</row>
    <row r="914" ht="15.75" customHeight="1"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</row>
    <row r="915" ht="15.75" customHeight="1"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</row>
    <row r="916" ht="15.75" customHeight="1"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</row>
    <row r="917" ht="15.75" customHeight="1"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</row>
    <row r="918" ht="15.75" customHeight="1"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</row>
    <row r="919" ht="15.75" customHeight="1"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</row>
    <row r="920" ht="15.75" customHeight="1"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</row>
    <row r="921" ht="15.75" customHeight="1"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</row>
    <row r="922" ht="15.75" customHeight="1"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</row>
    <row r="923" ht="15.75" customHeight="1"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</row>
    <row r="924" ht="15.75" customHeight="1"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</row>
    <row r="925" ht="15.75" customHeight="1"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</row>
    <row r="926" ht="15.75" customHeight="1"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</row>
    <row r="927" ht="15.75" customHeight="1"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</row>
    <row r="928" ht="15.75" customHeight="1"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</row>
    <row r="929" ht="15.75" customHeight="1"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</row>
    <row r="930" ht="15.75" customHeight="1"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</row>
    <row r="931" ht="15.75" customHeight="1"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</row>
    <row r="932" ht="15.75" customHeight="1"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</row>
    <row r="933" ht="15.75" customHeight="1"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</row>
    <row r="934" ht="15.75" customHeight="1"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</row>
    <row r="935" ht="15.75" customHeight="1"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</row>
    <row r="936" ht="15.75" customHeight="1"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</row>
    <row r="937" ht="15.75" customHeight="1"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</row>
    <row r="938" ht="15.75" customHeight="1"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</row>
    <row r="939" ht="15.75" customHeight="1"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</row>
    <row r="940" ht="15.75" customHeight="1"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</row>
    <row r="941" ht="15.75" customHeight="1"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</row>
    <row r="942" ht="15.75" customHeight="1"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</row>
    <row r="943" ht="15.75" customHeight="1"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</row>
    <row r="944" ht="15.75" customHeight="1"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</row>
    <row r="945" ht="15.75" customHeight="1"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</row>
    <row r="946" ht="15.75" customHeight="1"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</row>
    <row r="947" ht="15.75" customHeight="1"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</row>
    <row r="948" ht="15.75" customHeight="1"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</row>
    <row r="949" ht="15.75" customHeight="1"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</row>
    <row r="950" ht="15.75" customHeight="1"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</row>
    <row r="951" ht="15.75" customHeight="1"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</row>
    <row r="952" ht="15.75" customHeight="1"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</row>
    <row r="953" ht="15.75" customHeight="1"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</row>
    <row r="954" ht="15.75" customHeight="1"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</row>
    <row r="955" ht="15.75" customHeight="1"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</row>
    <row r="956" ht="15.75" customHeight="1"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</row>
    <row r="957" ht="15.75" customHeight="1"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</row>
    <row r="958" ht="15.75" customHeight="1"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</row>
    <row r="959" ht="15.75" customHeight="1"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</row>
    <row r="960" ht="15.75" customHeight="1"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</row>
    <row r="961" ht="15.75" customHeight="1"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</row>
    <row r="962" ht="15.75" customHeight="1"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</row>
    <row r="963" ht="15.75" customHeight="1"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</row>
    <row r="964" ht="15.75" customHeight="1"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</row>
    <row r="965" ht="15.75" customHeight="1"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</row>
    <row r="966" ht="15.75" customHeight="1"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</row>
    <row r="967" ht="15.75" customHeight="1"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</row>
    <row r="968" ht="15.75" customHeight="1"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</row>
    <row r="969" ht="15.75" customHeight="1"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</row>
    <row r="970" ht="15.75" customHeight="1"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</row>
    <row r="971" ht="15.75" customHeight="1"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</row>
    <row r="972" ht="15.75" customHeight="1"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</row>
    <row r="973" ht="15.75" customHeight="1"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</row>
    <row r="974" ht="15.75" customHeight="1"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</row>
    <row r="975" ht="15.75" customHeight="1"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</row>
    <row r="976" ht="15.75" customHeight="1"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</row>
    <row r="977" ht="15.75" customHeight="1"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</row>
    <row r="978" ht="15.75" customHeight="1"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</row>
    <row r="979" ht="15.75" customHeight="1"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</row>
    <row r="980" ht="15.75" customHeight="1"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</row>
    <row r="981" ht="15.75" customHeight="1"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</row>
    <row r="982" ht="15.75" customHeight="1"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</row>
    <row r="983" ht="15.75" customHeight="1"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</row>
    <row r="984" ht="15.75" customHeight="1"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</row>
    <row r="985" ht="15.75" customHeight="1"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</row>
    <row r="986" ht="15.75" customHeight="1"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</row>
    <row r="987" ht="15.75" customHeight="1"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</row>
    <row r="988" ht="15.75" customHeight="1"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</row>
    <row r="989" ht="15.75" customHeight="1"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</row>
    <row r="990" ht="15.75" customHeight="1"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</row>
    <row r="991" ht="15.75" customHeight="1"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</row>
    <row r="992" ht="15.75" customHeight="1"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</row>
    <row r="993" ht="15.75" customHeight="1"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</row>
    <row r="994" ht="15.75" customHeight="1"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</row>
    <row r="995" ht="15.75" customHeight="1"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</row>
    <row r="996" ht="15.75" customHeight="1"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</row>
    <row r="997" ht="15.75" customHeight="1"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</row>
    <row r="998" ht="15.75" customHeight="1"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</row>
    <row r="999" ht="15.75" customHeight="1"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</row>
    <row r="1000" ht="15.75" customHeight="1"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</row>
  </sheetData>
  <printOptions/>
  <pageMargins bottom="0.75" footer="0.0" header="0.0" left="0.7" right="0.7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57"/>
    <col customWidth="1" min="2" max="2" width="9.0"/>
    <col customWidth="1" min="3" max="3" width="77.0"/>
    <col customWidth="1" min="4" max="4" width="19.0"/>
    <col customWidth="1" min="5" max="5" width="12.43"/>
    <col customWidth="1" min="6" max="26" width="9.0"/>
  </cols>
  <sheetData>
    <row r="1">
      <c r="B1" s="66"/>
      <c r="D1" s="26"/>
    </row>
    <row r="2">
      <c r="B2" s="66"/>
      <c r="D2" s="26"/>
    </row>
    <row r="3">
      <c r="B3" s="279">
        <v>4.0</v>
      </c>
      <c r="C3" s="167" t="s">
        <v>248</v>
      </c>
      <c r="D3" s="280"/>
    </row>
    <row r="4">
      <c r="B4" s="281"/>
      <c r="C4" s="26" t="s">
        <v>249</v>
      </c>
      <c r="D4" s="282"/>
    </row>
    <row r="5">
      <c r="B5" s="281"/>
      <c r="C5" s="34"/>
      <c r="D5" s="282"/>
    </row>
    <row r="6">
      <c r="B6" s="281"/>
      <c r="C6" s="26" t="s">
        <v>250</v>
      </c>
      <c r="D6" s="282"/>
    </row>
    <row r="7" ht="45.0" customHeight="1">
      <c r="B7" s="281"/>
      <c r="C7" s="26" t="s">
        <v>251</v>
      </c>
      <c r="D7" s="282"/>
    </row>
    <row r="8">
      <c r="B8" s="281"/>
      <c r="C8" s="26" t="s">
        <v>252</v>
      </c>
      <c r="D8" s="282"/>
    </row>
    <row r="9">
      <c r="B9" s="281"/>
      <c r="C9" s="34"/>
      <c r="D9" s="282"/>
    </row>
    <row r="10">
      <c r="B10" s="283"/>
      <c r="C10" s="284" t="s">
        <v>253</v>
      </c>
      <c r="D10" s="285"/>
    </row>
    <row r="11">
      <c r="B11" s="66"/>
      <c r="D11" s="26"/>
    </row>
    <row r="12">
      <c r="B12" s="286">
        <v>4.1</v>
      </c>
      <c r="C12" s="36" t="s">
        <v>254</v>
      </c>
      <c r="D12" s="26"/>
    </row>
    <row r="13" ht="30.0" customHeight="1">
      <c r="B13" s="66"/>
      <c r="C13" s="71" t="s">
        <v>255</v>
      </c>
    </row>
    <row r="14">
      <c r="B14" s="287" t="s">
        <v>256</v>
      </c>
      <c r="C14" s="287" t="s">
        <v>257</v>
      </c>
      <c r="D14" s="257" t="s">
        <v>258</v>
      </c>
    </row>
    <row r="15">
      <c r="B15" s="288" t="s">
        <v>259</v>
      </c>
      <c r="C15" s="220" t="s">
        <v>260</v>
      </c>
      <c r="D15" s="204"/>
    </row>
    <row r="16">
      <c r="B16" s="288">
        <v>1.0</v>
      </c>
      <c r="C16" s="220" t="s">
        <v>261</v>
      </c>
      <c r="D16" s="219" t="s">
        <v>262</v>
      </c>
    </row>
    <row r="17">
      <c r="B17" s="288">
        <v>1.1</v>
      </c>
      <c r="C17" s="220" t="s">
        <v>263</v>
      </c>
      <c r="D17" s="204" t="s">
        <v>264</v>
      </c>
    </row>
    <row r="18">
      <c r="B18" s="288">
        <v>1.2</v>
      </c>
      <c r="C18" s="220" t="s">
        <v>265</v>
      </c>
      <c r="D18" s="204" t="s">
        <v>266</v>
      </c>
    </row>
    <row r="19">
      <c r="B19" s="288">
        <v>1.3</v>
      </c>
      <c r="C19" s="220" t="s">
        <v>267</v>
      </c>
      <c r="D19" s="204" t="s">
        <v>268</v>
      </c>
    </row>
    <row r="20">
      <c r="B20" s="288">
        <v>1.4</v>
      </c>
      <c r="C20" s="220" t="s">
        <v>269</v>
      </c>
      <c r="D20" s="219" t="s">
        <v>270</v>
      </c>
    </row>
    <row r="21" ht="15.75" customHeight="1">
      <c r="B21" s="288"/>
      <c r="C21" s="220" t="s">
        <v>271</v>
      </c>
      <c r="D21" s="204"/>
    </row>
    <row r="22" ht="15.75" customHeight="1">
      <c r="B22" s="288">
        <v>1.5</v>
      </c>
      <c r="C22" s="220" t="s">
        <v>272</v>
      </c>
      <c r="D22" s="219" t="s">
        <v>262</v>
      </c>
    </row>
    <row r="23" ht="15.75" customHeight="1">
      <c r="B23" s="288"/>
      <c r="C23" s="220" t="s">
        <v>273</v>
      </c>
      <c r="D23" s="204"/>
    </row>
    <row r="24" ht="15.75" customHeight="1">
      <c r="B24" s="288">
        <v>1.6</v>
      </c>
      <c r="C24" s="220" t="s">
        <v>274</v>
      </c>
      <c r="D24" s="219" t="s">
        <v>275</v>
      </c>
    </row>
    <row r="25" ht="15.75" customHeight="1">
      <c r="B25" s="66"/>
      <c r="D25" s="26"/>
    </row>
    <row r="26" ht="15.75" customHeight="1">
      <c r="B26" s="286" t="s">
        <v>276</v>
      </c>
      <c r="C26" s="36" t="s">
        <v>277</v>
      </c>
      <c r="D26" s="26"/>
    </row>
    <row r="27" ht="15.75" customHeight="1">
      <c r="B27" s="289"/>
      <c r="C27" s="82"/>
      <c r="D27" s="280"/>
    </row>
    <row r="28" ht="15.75" customHeight="1">
      <c r="B28" s="290">
        <v>5.2</v>
      </c>
      <c r="C28" s="36" t="s">
        <v>278</v>
      </c>
      <c r="D28" s="282"/>
    </row>
    <row r="29" ht="15.75" customHeight="1">
      <c r="B29" s="281"/>
      <c r="C29" s="34" t="s">
        <v>279</v>
      </c>
      <c r="D29" s="282"/>
    </row>
    <row r="30" ht="15.75" customHeight="1">
      <c r="B30" s="183" t="s">
        <v>280</v>
      </c>
      <c r="C30" s="183" t="s">
        <v>281</v>
      </c>
      <c r="D30" s="183" t="s">
        <v>282</v>
      </c>
    </row>
    <row r="31" ht="15.75" customHeight="1">
      <c r="B31" s="183">
        <v>1.0</v>
      </c>
      <c r="C31" s="183" t="s">
        <v>283</v>
      </c>
      <c r="D31" s="253">
        <v>0.01</v>
      </c>
    </row>
    <row r="32" ht="15.75" customHeight="1">
      <c r="B32" s="183">
        <v>2.0</v>
      </c>
      <c r="C32" s="183" t="s">
        <v>284</v>
      </c>
      <c r="D32" s="253">
        <v>0.02</v>
      </c>
    </row>
    <row r="33" ht="15.75" customHeight="1">
      <c r="B33" s="183">
        <v>3.0</v>
      </c>
      <c r="C33" s="183" t="s">
        <v>285</v>
      </c>
      <c r="D33" s="253">
        <v>0.04</v>
      </c>
    </row>
    <row r="34" ht="15.75" customHeight="1">
      <c r="B34" s="281"/>
      <c r="C34" s="34"/>
      <c r="D34" s="282"/>
    </row>
    <row r="35" ht="15.75" customHeight="1">
      <c r="B35" s="291" t="s">
        <v>286</v>
      </c>
      <c r="C35" s="292" t="s">
        <v>287</v>
      </c>
      <c r="D35" s="285"/>
    </row>
    <row r="36" ht="15.75" customHeight="1">
      <c r="B36" s="66"/>
      <c r="D36" s="26"/>
    </row>
    <row r="37" ht="15.75" customHeight="1">
      <c r="B37" s="286" t="s">
        <v>288</v>
      </c>
      <c r="C37" s="36" t="s">
        <v>289</v>
      </c>
      <c r="D37" s="26"/>
    </row>
    <row r="38" ht="15.75" customHeight="1">
      <c r="B38" s="248" t="s">
        <v>280</v>
      </c>
      <c r="C38" s="248" t="s">
        <v>290</v>
      </c>
      <c r="D38" s="248" t="s">
        <v>291</v>
      </c>
      <c r="E38" s="248" t="s">
        <v>292</v>
      </c>
      <c r="F38" s="248" t="s">
        <v>282</v>
      </c>
    </row>
    <row r="39" ht="15.75" customHeight="1">
      <c r="B39" s="293">
        <v>1.0</v>
      </c>
      <c r="C39" s="294" t="s">
        <v>293</v>
      </c>
      <c r="D39" s="183" t="s">
        <v>294</v>
      </c>
      <c r="E39" s="183" t="s">
        <v>295</v>
      </c>
      <c r="F39" s="295">
        <v>0.01</v>
      </c>
    </row>
    <row r="40" ht="15.75" customHeight="1">
      <c r="B40" s="193"/>
      <c r="C40" s="193"/>
      <c r="D40" s="183" t="s">
        <v>296</v>
      </c>
      <c r="E40" s="183" t="s">
        <v>297</v>
      </c>
      <c r="F40" s="193"/>
    </row>
    <row r="41" ht="15.75" customHeight="1">
      <c r="B41" s="184"/>
      <c r="C41" s="184"/>
      <c r="D41" s="183" t="s">
        <v>298</v>
      </c>
      <c r="E41" s="183" t="s">
        <v>299</v>
      </c>
      <c r="F41" s="184"/>
    </row>
    <row r="42" ht="15.75" customHeight="1">
      <c r="B42" s="219">
        <v>2.0</v>
      </c>
      <c r="C42" s="183" t="s">
        <v>300</v>
      </c>
      <c r="D42" s="29"/>
      <c r="E42" s="183" t="s">
        <v>301</v>
      </c>
      <c r="F42" s="296">
        <v>0.01</v>
      </c>
    </row>
    <row r="43" ht="15.75" customHeight="1">
      <c r="B43" s="66"/>
      <c r="D43" s="26"/>
      <c r="F43" s="297"/>
    </row>
    <row r="44" ht="15.75" customHeight="1">
      <c r="B44" s="298" t="s">
        <v>302</v>
      </c>
      <c r="C44" s="299" t="s">
        <v>303</v>
      </c>
      <c r="D44" s="300"/>
      <c r="E44" s="299"/>
      <c r="F44" s="301"/>
    </row>
    <row r="45" ht="15.75" customHeight="1">
      <c r="B45" s="66"/>
      <c r="D45" s="26"/>
    </row>
    <row r="46" ht="15.75" customHeight="1">
      <c r="B46" s="298" t="s">
        <v>304</v>
      </c>
      <c r="C46" s="299" t="s">
        <v>305</v>
      </c>
      <c r="D46" s="300"/>
      <c r="E46" s="299"/>
      <c r="F46" s="302"/>
    </row>
    <row r="47" ht="15.75" customHeight="1">
      <c r="B47" s="286"/>
      <c r="D47" s="26"/>
    </row>
    <row r="48" ht="15.75" customHeight="1">
      <c r="B48" s="303" t="s">
        <v>306</v>
      </c>
      <c r="C48" s="167" t="s">
        <v>307</v>
      </c>
      <c r="D48" s="83"/>
      <c r="E48" s="82"/>
      <c r="F48" s="129"/>
    </row>
    <row r="49" ht="15.75" customHeight="1">
      <c r="B49" s="281"/>
      <c r="C49" s="34" t="s">
        <v>308</v>
      </c>
      <c r="D49" s="26"/>
      <c r="E49" s="34"/>
      <c r="F49" s="304"/>
    </row>
    <row r="50" ht="15.75" customHeight="1">
      <c r="B50" s="283"/>
      <c r="C50" s="92" t="s">
        <v>309</v>
      </c>
      <c r="D50" s="284"/>
      <c r="E50" s="92"/>
      <c r="F50" s="305"/>
    </row>
    <row r="51" ht="15.75" customHeight="1">
      <c r="B51" s="66"/>
      <c r="D51" s="26"/>
    </row>
    <row r="52" ht="15.75" customHeight="1">
      <c r="B52" s="66"/>
      <c r="D52" s="26"/>
    </row>
    <row r="53" ht="15.75" customHeight="1">
      <c r="B53" s="66"/>
      <c r="D53" s="26"/>
    </row>
    <row r="54" ht="15.75" customHeight="1">
      <c r="B54" s="66"/>
      <c r="D54" s="26"/>
    </row>
    <row r="55" ht="15.75" customHeight="1">
      <c r="B55" s="66"/>
      <c r="C55" s="72"/>
      <c r="D55" s="26"/>
    </row>
    <row r="56" ht="15.75" customHeight="1">
      <c r="B56" s="66"/>
      <c r="D56" s="26"/>
    </row>
    <row r="57" ht="15.75" customHeight="1">
      <c r="B57" s="66"/>
      <c r="D57" s="26"/>
    </row>
    <row r="58" ht="15.75" customHeight="1">
      <c r="B58" s="66"/>
      <c r="D58" s="26"/>
    </row>
    <row r="59" ht="15.75" customHeight="1">
      <c r="B59" s="66"/>
      <c r="D59" s="26"/>
    </row>
    <row r="60" ht="15.75" customHeight="1">
      <c r="B60" s="66"/>
      <c r="D60" s="26"/>
    </row>
    <row r="61" ht="15.75" customHeight="1">
      <c r="B61" s="66"/>
      <c r="D61" s="26"/>
    </row>
    <row r="62" ht="15.75" customHeight="1">
      <c r="B62" s="66"/>
      <c r="D62" s="26"/>
    </row>
    <row r="63" ht="15.75" customHeight="1">
      <c r="B63" s="66"/>
      <c r="D63" s="26"/>
    </row>
    <row r="64" ht="15.75" customHeight="1">
      <c r="B64" s="66"/>
      <c r="D64" s="26"/>
    </row>
    <row r="65" ht="15.75" customHeight="1">
      <c r="B65" s="66"/>
      <c r="D65" s="26"/>
    </row>
    <row r="66" ht="15.75" customHeight="1">
      <c r="B66" s="66"/>
      <c r="D66" s="26"/>
    </row>
    <row r="67" ht="15.75" customHeight="1">
      <c r="B67" s="66"/>
      <c r="D67" s="26"/>
    </row>
    <row r="68" ht="15.75" customHeight="1">
      <c r="B68" s="66"/>
      <c r="D68" s="26"/>
    </row>
    <row r="69" ht="15.75" customHeight="1">
      <c r="B69" s="66"/>
      <c r="D69" s="26"/>
    </row>
    <row r="70" ht="15.75" customHeight="1">
      <c r="B70" s="66"/>
      <c r="D70" s="26"/>
    </row>
    <row r="71" ht="15.75" customHeight="1">
      <c r="B71" s="66"/>
      <c r="D71" s="26"/>
    </row>
    <row r="72" ht="15.75" customHeight="1">
      <c r="B72" s="66"/>
      <c r="D72" s="26"/>
    </row>
    <row r="73" ht="15.75" customHeight="1">
      <c r="B73" s="66"/>
      <c r="D73" s="26"/>
    </row>
    <row r="74" ht="15.75" customHeight="1">
      <c r="B74" s="66"/>
      <c r="D74" s="26"/>
    </row>
    <row r="75" ht="15.75" customHeight="1">
      <c r="B75" s="66"/>
      <c r="D75" s="26"/>
    </row>
    <row r="76" ht="15.75" customHeight="1">
      <c r="B76" s="66"/>
      <c r="D76" s="26"/>
    </row>
    <row r="77" ht="15.75" customHeight="1">
      <c r="B77" s="66"/>
      <c r="D77" s="26"/>
    </row>
    <row r="78" ht="15.75" customHeight="1">
      <c r="B78" s="66"/>
      <c r="D78" s="26"/>
    </row>
    <row r="79" ht="15.75" customHeight="1">
      <c r="B79" s="66"/>
      <c r="D79" s="26"/>
    </row>
    <row r="80" ht="15.75" customHeight="1">
      <c r="B80" s="66"/>
      <c r="D80" s="26"/>
    </row>
    <row r="81" ht="15.75" customHeight="1">
      <c r="B81" s="66"/>
      <c r="D81" s="26"/>
    </row>
    <row r="82" ht="15.75" customHeight="1">
      <c r="B82" s="66"/>
      <c r="D82" s="26"/>
    </row>
    <row r="83" ht="15.75" customHeight="1">
      <c r="B83" s="66"/>
      <c r="D83" s="26"/>
    </row>
    <row r="84" ht="15.75" customHeight="1">
      <c r="B84" s="66"/>
      <c r="D84" s="26"/>
    </row>
    <row r="85" ht="15.75" customHeight="1">
      <c r="B85" s="66"/>
      <c r="D85" s="26"/>
    </row>
    <row r="86" ht="15.75" customHeight="1">
      <c r="B86" s="66"/>
      <c r="D86" s="26"/>
    </row>
    <row r="87" ht="15.75" customHeight="1">
      <c r="B87" s="66"/>
      <c r="D87" s="26"/>
    </row>
    <row r="88" ht="15.75" customHeight="1">
      <c r="B88" s="66"/>
      <c r="D88" s="26"/>
    </row>
    <row r="89" ht="15.75" customHeight="1">
      <c r="B89" s="66"/>
      <c r="D89" s="26"/>
    </row>
    <row r="90" ht="15.75" customHeight="1">
      <c r="B90" s="66"/>
      <c r="D90" s="26"/>
    </row>
    <row r="91" ht="15.75" customHeight="1">
      <c r="B91" s="66"/>
      <c r="D91" s="26"/>
    </row>
    <row r="92" ht="15.75" customHeight="1">
      <c r="B92" s="66"/>
      <c r="D92" s="26"/>
    </row>
    <row r="93" ht="15.75" customHeight="1">
      <c r="B93" s="66"/>
      <c r="D93" s="26"/>
    </row>
    <row r="94" ht="15.75" customHeight="1">
      <c r="B94" s="66"/>
      <c r="D94" s="26"/>
    </row>
    <row r="95" ht="15.75" customHeight="1">
      <c r="B95" s="66"/>
      <c r="D95" s="26"/>
    </row>
    <row r="96" ht="15.75" customHeight="1">
      <c r="B96" s="66"/>
      <c r="D96" s="26"/>
    </row>
    <row r="97" ht="15.75" customHeight="1">
      <c r="B97" s="66"/>
      <c r="D97" s="26"/>
    </row>
    <row r="98" ht="15.75" customHeight="1">
      <c r="B98" s="66"/>
      <c r="D98" s="26"/>
    </row>
    <row r="99" ht="15.75" customHeight="1">
      <c r="B99" s="66"/>
      <c r="D99" s="26"/>
    </row>
    <row r="100" ht="15.75" customHeight="1">
      <c r="B100" s="66"/>
      <c r="D100" s="26"/>
    </row>
    <row r="101" ht="15.75" customHeight="1">
      <c r="B101" s="66"/>
      <c r="D101" s="26"/>
    </row>
    <row r="102" ht="15.75" customHeight="1">
      <c r="B102" s="66"/>
      <c r="D102" s="26"/>
    </row>
    <row r="103" ht="15.75" customHeight="1">
      <c r="B103" s="66"/>
      <c r="D103" s="26"/>
    </row>
    <row r="104" ht="15.75" customHeight="1">
      <c r="B104" s="66"/>
      <c r="D104" s="26"/>
    </row>
    <row r="105" ht="15.75" customHeight="1">
      <c r="B105" s="66"/>
      <c r="D105" s="26"/>
    </row>
    <row r="106" ht="15.75" customHeight="1">
      <c r="B106" s="66"/>
      <c r="D106" s="26"/>
    </row>
    <row r="107" ht="15.75" customHeight="1">
      <c r="B107" s="66"/>
      <c r="D107" s="26"/>
    </row>
    <row r="108" ht="15.75" customHeight="1">
      <c r="B108" s="66"/>
      <c r="D108" s="26"/>
    </row>
    <row r="109" ht="15.75" customHeight="1">
      <c r="B109" s="66"/>
      <c r="D109" s="26"/>
    </row>
    <row r="110" ht="15.75" customHeight="1">
      <c r="B110" s="66"/>
      <c r="D110" s="26"/>
    </row>
    <row r="111" ht="15.75" customHeight="1">
      <c r="B111" s="66"/>
      <c r="D111" s="26"/>
    </row>
    <row r="112" ht="15.75" customHeight="1">
      <c r="B112" s="66"/>
      <c r="D112" s="26"/>
    </row>
    <row r="113" ht="15.75" customHeight="1">
      <c r="B113" s="66"/>
      <c r="D113" s="26"/>
    </row>
    <row r="114" ht="15.75" customHeight="1">
      <c r="B114" s="66"/>
      <c r="D114" s="26"/>
    </row>
    <row r="115" ht="15.75" customHeight="1">
      <c r="B115" s="66"/>
      <c r="D115" s="26"/>
    </row>
    <row r="116" ht="15.75" customHeight="1">
      <c r="B116" s="66"/>
      <c r="D116" s="26"/>
    </row>
    <row r="117" ht="15.75" customHeight="1">
      <c r="B117" s="66"/>
      <c r="D117" s="26"/>
    </row>
    <row r="118" ht="15.75" customHeight="1">
      <c r="B118" s="66"/>
      <c r="D118" s="26"/>
    </row>
    <row r="119" ht="15.75" customHeight="1">
      <c r="B119" s="66"/>
      <c r="D119" s="26"/>
    </row>
    <row r="120" ht="15.75" customHeight="1">
      <c r="B120" s="66"/>
      <c r="D120" s="26"/>
    </row>
    <row r="121" ht="15.75" customHeight="1">
      <c r="B121" s="66"/>
      <c r="D121" s="26"/>
    </row>
    <row r="122" ht="15.75" customHeight="1">
      <c r="B122" s="66"/>
      <c r="D122" s="26"/>
    </row>
    <row r="123" ht="15.75" customHeight="1">
      <c r="B123" s="66"/>
      <c r="D123" s="26"/>
    </row>
    <row r="124" ht="15.75" customHeight="1">
      <c r="B124" s="66"/>
      <c r="D124" s="26"/>
    </row>
    <row r="125" ht="15.75" customHeight="1">
      <c r="B125" s="66"/>
      <c r="D125" s="26"/>
    </row>
    <row r="126" ht="15.75" customHeight="1">
      <c r="B126" s="66"/>
      <c r="D126" s="26"/>
    </row>
    <row r="127" ht="15.75" customHeight="1">
      <c r="B127" s="66"/>
      <c r="D127" s="26"/>
    </row>
    <row r="128" ht="15.75" customHeight="1">
      <c r="B128" s="66"/>
      <c r="D128" s="26"/>
    </row>
    <row r="129" ht="15.75" customHeight="1">
      <c r="B129" s="66"/>
      <c r="D129" s="26"/>
    </row>
    <row r="130" ht="15.75" customHeight="1">
      <c r="B130" s="66"/>
      <c r="D130" s="26"/>
    </row>
    <row r="131" ht="15.75" customHeight="1">
      <c r="B131" s="66"/>
      <c r="D131" s="26"/>
    </row>
    <row r="132" ht="15.75" customHeight="1">
      <c r="B132" s="66"/>
      <c r="D132" s="26"/>
    </row>
    <row r="133" ht="15.75" customHeight="1">
      <c r="B133" s="66"/>
      <c r="D133" s="26"/>
    </row>
    <row r="134" ht="15.75" customHeight="1">
      <c r="B134" s="66"/>
      <c r="D134" s="26"/>
    </row>
    <row r="135" ht="15.75" customHeight="1">
      <c r="B135" s="66"/>
      <c r="D135" s="26"/>
    </row>
    <row r="136" ht="15.75" customHeight="1">
      <c r="B136" s="66"/>
      <c r="D136" s="26"/>
    </row>
    <row r="137" ht="15.75" customHeight="1">
      <c r="B137" s="66"/>
      <c r="D137" s="26"/>
    </row>
    <row r="138" ht="15.75" customHeight="1">
      <c r="B138" s="66"/>
      <c r="D138" s="26"/>
    </row>
    <row r="139" ht="15.75" customHeight="1">
      <c r="B139" s="66"/>
      <c r="D139" s="26"/>
    </row>
    <row r="140" ht="15.75" customHeight="1">
      <c r="B140" s="66"/>
      <c r="D140" s="26"/>
    </row>
    <row r="141" ht="15.75" customHeight="1">
      <c r="B141" s="66"/>
      <c r="D141" s="26"/>
    </row>
    <row r="142" ht="15.75" customHeight="1">
      <c r="B142" s="66"/>
      <c r="D142" s="26"/>
    </row>
    <row r="143" ht="15.75" customHeight="1">
      <c r="B143" s="66"/>
      <c r="D143" s="26"/>
    </row>
    <row r="144" ht="15.75" customHeight="1">
      <c r="B144" s="66"/>
      <c r="D144" s="26"/>
    </row>
    <row r="145" ht="15.75" customHeight="1">
      <c r="B145" s="66"/>
      <c r="D145" s="26"/>
    </row>
    <row r="146" ht="15.75" customHeight="1">
      <c r="B146" s="66"/>
      <c r="D146" s="26"/>
    </row>
    <row r="147" ht="15.75" customHeight="1">
      <c r="B147" s="66"/>
      <c r="D147" s="26"/>
    </row>
    <row r="148" ht="15.75" customHeight="1">
      <c r="B148" s="66"/>
      <c r="D148" s="26"/>
    </row>
    <row r="149" ht="15.75" customHeight="1">
      <c r="B149" s="66"/>
      <c r="D149" s="26"/>
    </row>
    <row r="150" ht="15.75" customHeight="1">
      <c r="B150" s="66"/>
      <c r="D150" s="26"/>
    </row>
    <row r="151" ht="15.75" customHeight="1">
      <c r="B151" s="66"/>
      <c r="D151" s="26"/>
    </row>
    <row r="152" ht="15.75" customHeight="1">
      <c r="B152" s="66"/>
      <c r="D152" s="26"/>
    </row>
    <row r="153" ht="15.75" customHeight="1">
      <c r="B153" s="66"/>
      <c r="D153" s="26"/>
    </row>
    <row r="154" ht="15.75" customHeight="1">
      <c r="B154" s="66"/>
      <c r="D154" s="26"/>
    </row>
    <row r="155" ht="15.75" customHeight="1">
      <c r="B155" s="66"/>
      <c r="D155" s="26"/>
    </row>
    <row r="156" ht="15.75" customHeight="1">
      <c r="B156" s="66"/>
      <c r="D156" s="26"/>
    </row>
    <row r="157" ht="15.75" customHeight="1">
      <c r="B157" s="66"/>
      <c r="D157" s="26"/>
    </row>
    <row r="158" ht="15.75" customHeight="1">
      <c r="B158" s="66"/>
      <c r="D158" s="26"/>
    </row>
    <row r="159" ht="15.75" customHeight="1">
      <c r="B159" s="66"/>
      <c r="D159" s="26"/>
    </row>
    <row r="160" ht="15.75" customHeight="1">
      <c r="B160" s="66"/>
      <c r="D160" s="26"/>
    </row>
    <row r="161" ht="15.75" customHeight="1">
      <c r="B161" s="66"/>
      <c r="D161" s="26"/>
    </row>
    <row r="162" ht="15.75" customHeight="1">
      <c r="B162" s="66"/>
      <c r="D162" s="26"/>
    </row>
    <row r="163" ht="15.75" customHeight="1">
      <c r="B163" s="66"/>
      <c r="D163" s="26"/>
    </row>
    <row r="164" ht="15.75" customHeight="1">
      <c r="B164" s="66"/>
      <c r="D164" s="26"/>
    </row>
    <row r="165" ht="15.75" customHeight="1">
      <c r="B165" s="66"/>
      <c r="D165" s="26"/>
    </row>
    <row r="166" ht="15.75" customHeight="1">
      <c r="B166" s="66"/>
      <c r="D166" s="26"/>
    </row>
    <row r="167" ht="15.75" customHeight="1">
      <c r="B167" s="66"/>
      <c r="D167" s="26"/>
    </row>
    <row r="168" ht="15.75" customHeight="1">
      <c r="B168" s="66"/>
      <c r="D168" s="26"/>
    </row>
    <row r="169" ht="15.75" customHeight="1">
      <c r="B169" s="66"/>
      <c r="D169" s="26"/>
    </row>
    <row r="170" ht="15.75" customHeight="1">
      <c r="B170" s="66"/>
      <c r="D170" s="26"/>
    </row>
    <row r="171" ht="15.75" customHeight="1">
      <c r="B171" s="66"/>
      <c r="D171" s="26"/>
    </row>
    <row r="172" ht="15.75" customHeight="1">
      <c r="B172" s="66"/>
      <c r="D172" s="26"/>
    </row>
    <row r="173" ht="15.75" customHeight="1">
      <c r="B173" s="66"/>
      <c r="D173" s="26"/>
    </row>
    <row r="174" ht="15.75" customHeight="1">
      <c r="B174" s="66"/>
      <c r="D174" s="26"/>
    </row>
    <row r="175" ht="15.75" customHeight="1">
      <c r="B175" s="66"/>
      <c r="D175" s="26"/>
    </row>
    <row r="176" ht="15.75" customHeight="1">
      <c r="B176" s="66"/>
      <c r="D176" s="26"/>
    </row>
    <row r="177" ht="15.75" customHeight="1">
      <c r="B177" s="66"/>
      <c r="D177" s="26"/>
    </row>
    <row r="178" ht="15.75" customHeight="1">
      <c r="B178" s="66"/>
      <c r="D178" s="26"/>
    </row>
    <row r="179" ht="15.75" customHeight="1">
      <c r="B179" s="66"/>
      <c r="D179" s="26"/>
    </row>
    <row r="180" ht="15.75" customHeight="1">
      <c r="B180" s="66"/>
      <c r="D180" s="26"/>
    </row>
    <row r="181" ht="15.75" customHeight="1">
      <c r="B181" s="66"/>
      <c r="D181" s="26"/>
    </row>
    <row r="182" ht="15.75" customHeight="1">
      <c r="B182" s="66"/>
      <c r="D182" s="26"/>
    </row>
    <row r="183" ht="15.75" customHeight="1">
      <c r="B183" s="66"/>
      <c r="D183" s="26"/>
    </row>
    <row r="184" ht="15.75" customHeight="1">
      <c r="B184" s="66"/>
      <c r="D184" s="26"/>
    </row>
    <row r="185" ht="15.75" customHeight="1">
      <c r="B185" s="66"/>
      <c r="D185" s="26"/>
    </row>
    <row r="186" ht="15.75" customHeight="1">
      <c r="B186" s="66"/>
      <c r="D186" s="26"/>
    </row>
    <row r="187" ht="15.75" customHeight="1">
      <c r="B187" s="66"/>
      <c r="D187" s="26"/>
    </row>
    <row r="188" ht="15.75" customHeight="1">
      <c r="B188" s="66"/>
      <c r="D188" s="26"/>
    </row>
    <row r="189" ht="15.75" customHeight="1">
      <c r="B189" s="66"/>
      <c r="D189" s="26"/>
    </row>
    <row r="190" ht="15.75" customHeight="1">
      <c r="B190" s="66"/>
      <c r="D190" s="26"/>
    </row>
    <row r="191" ht="15.75" customHeight="1">
      <c r="B191" s="66"/>
      <c r="D191" s="26"/>
    </row>
    <row r="192" ht="15.75" customHeight="1">
      <c r="B192" s="66"/>
      <c r="D192" s="26"/>
    </row>
    <row r="193" ht="15.75" customHeight="1">
      <c r="B193" s="66"/>
      <c r="D193" s="26"/>
    </row>
    <row r="194" ht="15.75" customHeight="1">
      <c r="B194" s="66"/>
      <c r="D194" s="26"/>
    </row>
    <row r="195" ht="15.75" customHeight="1">
      <c r="B195" s="66"/>
      <c r="D195" s="26"/>
    </row>
    <row r="196" ht="15.75" customHeight="1">
      <c r="B196" s="66"/>
      <c r="D196" s="26"/>
    </row>
    <row r="197" ht="15.75" customHeight="1">
      <c r="B197" s="66"/>
      <c r="D197" s="26"/>
    </row>
    <row r="198" ht="15.75" customHeight="1">
      <c r="B198" s="66"/>
      <c r="D198" s="26"/>
    </row>
    <row r="199" ht="15.75" customHeight="1">
      <c r="B199" s="66"/>
      <c r="D199" s="26"/>
    </row>
    <row r="200" ht="15.75" customHeight="1">
      <c r="B200" s="66"/>
      <c r="D200" s="26"/>
    </row>
    <row r="201" ht="15.75" customHeight="1">
      <c r="B201" s="66"/>
      <c r="D201" s="26"/>
    </row>
    <row r="202" ht="15.75" customHeight="1">
      <c r="B202" s="66"/>
      <c r="D202" s="26"/>
    </row>
    <row r="203" ht="15.75" customHeight="1">
      <c r="B203" s="66"/>
      <c r="D203" s="26"/>
    </row>
    <row r="204" ht="15.75" customHeight="1">
      <c r="B204" s="66"/>
      <c r="D204" s="26"/>
    </row>
    <row r="205" ht="15.75" customHeight="1">
      <c r="B205" s="66"/>
      <c r="D205" s="26"/>
    </row>
    <row r="206" ht="15.75" customHeight="1">
      <c r="B206" s="66"/>
      <c r="D206" s="26"/>
    </row>
    <row r="207" ht="15.75" customHeight="1">
      <c r="B207" s="66"/>
      <c r="D207" s="26"/>
    </row>
    <row r="208" ht="15.75" customHeight="1">
      <c r="B208" s="66"/>
      <c r="D208" s="26"/>
    </row>
    <row r="209" ht="15.75" customHeight="1">
      <c r="B209" s="66"/>
      <c r="D209" s="26"/>
    </row>
    <row r="210" ht="15.75" customHeight="1">
      <c r="B210" s="66"/>
      <c r="D210" s="26"/>
    </row>
    <row r="211" ht="15.75" customHeight="1">
      <c r="B211" s="66"/>
      <c r="D211" s="26"/>
    </row>
    <row r="212" ht="15.75" customHeight="1">
      <c r="B212" s="66"/>
      <c r="D212" s="26"/>
    </row>
    <row r="213" ht="15.75" customHeight="1">
      <c r="B213" s="66"/>
      <c r="D213" s="26"/>
    </row>
    <row r="214" ht="15.75" customHeight="1">
      <c r="B214" s="66"/>
      <c r="D214" s="26"/>
    </row>
    <row r="215" ht="15.75" customHeight="1">
      <c r="B215" s="66"/>
      <c r="D215" s="26"/>
    </row>
    <row r="216" ht="15.75" customHeight="1">
      <c r="B216" s="66"/>
      <c r="D216" s="26"/>
    </row>
    <row r="217" ht="15.75" customHeight="1">
      <c r="B217" s="66"/>
      <c r="D217" s="26"/>
    </row>
    <row r="218" ht="15.75" customHeight="1">
      <c r="B218" s="66"/>
      <c r="D218" s="26"/>
    </row>
    <row r="219" ht="15.75" customHeight="1">
      <c r="B219" s="66"/>
      <c r="D219" s="26"/>
    </row>
    <row r="220" ht="15.75" customHeight="1">
      <c r="B220" s="66"/>
      <c r="D220" s="26"/>
    </row>
    <row r="221" ht="15.75" customHeight="1">
      <c r="B221" s="66"/>
      <c r="D221" s="26"/>
    </row>
    <row r="222" ht="15.75" customHeight="1">
      <c r="B222" s="66"/>
      <c r="D222" s="26"/>
    </row>
    <row r="223" ht="15.75" customHeight="1">
      <c r="B223" s="66"/>
      <c r="D223" s="26"/>
    </row>
    <row r="224" ht="15.75" customHeight="1">
      <c r="B224" s="66"/>
      <c r="D224" s="26"/>
    </row>
    <row r="225" ht="15.75" customHeight="1">
      <c r="B225" s="66"/>
      <c r="D225" s="26"/>
    </row>
    <row r="226" ht="15.75" customHeight="1">
      <c r="B226" s="66"/>
      <c r="D226" s="26"/>
    </row>
    <row r="227" ht="15.75" customHeight="1">
      <c r="B227" s="66"/>
      <c r="D227" s="26"/>
    </row>
    <row r="228" ht="15.75" customHeight="1">
      <c r="B228" s="66"/>
      <c r="D228" s="26"/>
    </row>
    <row r="229" ht="15.75" customHeight="1">
      <c r="B229" s="66"/>
      <c r="D229" s="26"/>
    </row>
    <row r="230" ht="15.75" customHeight="1">
      <c r="B230" s="66"/>
      <c r="D230" s="26"/>
    </row>
    <row r="231" ht="15.75" customHeight="1">
      <c r="B231" s="66"/>
      <c r="D231" s="26"/>
    </row>
    <row r="232" ht="15.75" customHeight="1">
      <c r="B232" s="66"/>
      <c r="D232" s="26"/>
    </row>
    <row r="233" ht="15.75" customHeight="1">
      <c r="B233" s="66"/>
      <c r="D233" s="26"/>
    </row>
    <row r="234" ht="15.75" customHeight="1">
      <c r="B234" s="66"/>
      <c r="D234" s="26"/>
    </row>
    <row r="235" ht="15.75" customHeight="1">
      <c r="B235" s="66"/>
      <c r="D235" s="26"/>
    </row>
    <row r="236" ht="15.75" customHeight="1">
      <c r="B236" s="66"/>
      <c r="D236" s="26"/>
    </row>
    <row r="237" ht="15.75" customHeight="1">
      <c r="B237" s="66"/>
      <c r="D237" s="26"/>
    </row>
    <row r="238" ht="15.75" customHeight="1">
      <c r="B238" s="66"/>
      <c r="D238" s="26"/>
    </row>
    <row r="239" ht="15.75" customHeight="1">
      <c r="B239" s="66"/>
      <c r="D239" s="26"/>
    </row>
    <row r="240" ht="15.75" customHeight="1">
      <c r="B240" s="66"/>
      <c r="D240" s="26"/>
    </row>
    <row r="241" ht="15.75" customHeight="1">
      <c r="B241" s="66"/>
      <c r="D241" s="26"/>
    </row>
    <row r="242" ht="15.75" customHeight="1">
      <c r="B242" s="66"/>
      <c r="D242" s="26"/>
    </row>
    <row r="243" ht="15.75" customHeight="1">
      <c r="B243" s="66"/>
      <c r="D243" s="26"/>
    </row>
    <row r="244" ht="15.75" customHeight="1">
      <c r="B244" s="66"/>
      <c r="D244" s="26"/>
    </row>
    <row r="245" ht="15.75" customHeight="1">
      <c r="B245" s="66"/>
      <c r="D245" s="26"/>
    </row>
    <row r="246" ht="15.75" customHeight="1">
      <c r="B246" s="66"/>
      <c r="D246" s="26"/>
    </row>
    <row r="247" ht="15.75" customHeight="1">
      <c r="B247" s="66"/>
      <c r="D247" s="26"/>
    </row>
    <row r="248" ht="15.75" customHeight="1">
      <c r="B248" s="66"/>
      <c r="D248" s="26"/>
    </row>
    <row r="249" ht="15.75" customHeight="1">
      <c r="B249" s="66"/>
      <c r="D249" s="26"/>
    </row>
    <row r="250" ht="15.75" customHeight="1">
      <c r="B250" s="66"/>
      <c r="D250" s="26"/>
    </row>
    <row r="251" ht="15.75" customHeight="1">
      <c r="B251" s="66"/>
      <c r="D251" s="26"/>
    </row>
    <row r="252" ht="15.75" customHeight="1">
      <c r="B252" s="66"/>
      <c r="D252" s="26"/>
    </row>
    <row r="253" ht="15.75" customHeight="1">
      <c r="B253" s="66"/>
      <c r="D253" s="26"/>
    </row>
    <row r="254" ht="15.75" customHeight="1">
      <c r="B254" s="66"/>
      <c r="D254" s="26"/>
    </row>
    <row r="255" ht="15.75" customHeight="1">
      <c r="B255" s="66"/>
      <c r="D255" s="26"/>
    </row>
    <row r="256" ht="15.75" customHeight="1">
      <c r="B256" s="66"/>
      <c r="D256" s="26"/>
    </row>
    <row r="257" ht="15.75" customHeight="1">
      <c r="B257" s="66"/>
      <c r="D257" s="26"/>
    </row>
    <row r="258" ht="15.75" customHeight="1">
      <c r="B258" s="66"/>
      <c r="D258" s="26"/>
    </row>
    <row r="259" ht="15.75" customHeight="1">
      <c r="B259" s="66"/>
      <c r="D259" s="26"/>
    </row>
    <row r="260" ht="15.75" customHeight="1">
      <c r="B260" s="66"/>
      <c r="D260" s="26"/>
    </row>
    <row r="261" ht="15.75" customHeight="1">
      <c r="B261" s="66"/>
      <c r="D261" s="26"/>
    </row>
    <row r="262" ht="15.75" customHeight="1">
      <c r="B262" s="66"/>
      <c r="D262" s="26"/>
    </row>
    <row r="263" ht="15.75" customHeight="1">
      <c r="B263" s="66"/>
      <c r="D263" s="26"/>
    </row>
    <row r="264" ht="15.75" customHeight="1">
      <c r="B264" s="66"/>
      <c r="D264" s="26"/>
    </row>
    <row r="265" ht="15.75" customHeight="1">
      <c r="B265" s="66"/>
      <c r="D265" s="26"/>
    </row>
    <row r="266" ht="15.75" customHeight="1">
      <c r="B266" s="66"/>
      <c r="D266" s="26"/>
    </row>
    <row r="267" ht="15.75" customHeight="1">
      <c r="B267" s="66"/>
      <c r="D267" s="26"/>
    </row>
    <row r="268" ht="15.75" customHeight="1">
      <c r="B268" s="66"/>
      <c r="D268" s="26"/>
    </row>
    <row r="269" ht="15.75" customHeight="1">
      <c r="B269" s="66"/>
      <c r="D269" s="26"/>
    </row>
    <row r="270" ht="15.75" customHeight="1">
      <c r="B270" s="66"/>
      <c r="D270" s="26"/>
    </row>
    <row r="271" ht="15.75" customHeight="1">
      <c r="B271" s="66"/>
      <c r="D271" s="26"/>
    </row>
    <row r="272" ht="15.75" customHeight="1">
      <c r="B272" s="66"/>
      <c r="D272" s="26"/>
    </row>
    <row r="273" ht="15.75" customHeight="1">
      <c r="B273" s="66"/>
      <c r="D273" s="26"/>
    </row>
    <row r="274" ht="15.75" customHeight="1">
      <c r="B274" s="66"/>
      <c r="D274" s="26"/>
    </row>
    <row r="275" ht="15.75" customHeight="1">
      <c r="B275" s="66"/>
      <c r="D275" s="26"/>
    </row>
    <row r="276" ht="15.75" customHeight="1">
      <c r="B276" s="66"/>
      <c r="D276" s="26"/>
    </row>
    <row r="277" ht="15.75" customHeight="1">
      <c r="B277" s="66"/>
      <c r="D277" s="26"/>
    </row>
    <row r="278" ht="15.75" customHeight="1">
      <c r="B278" s="66"/>
      <c r="D278" s="26"/>
    </row>
    <row r="279" ht="15.75" customHeight="1">
      <c r="B279" s="66"/>
      <c r="D279" s="26"/>
    </row>
    <row r="280" ht="15.75" customHeight="1">
      <c r="B280" s="66"/>
      <c r="D280" s="26"/>
    </row>
    <row r="281" ht="15.75" customHeight="1">
      <c r="B281" s="66"/>
      <c r="D281" s="26"/>
    </row>
    <row r="282" ht="15.75" customHeight="1">
      <c r="B282" s="66"/>
      <c r="D282" s="26"/>
    </row>
    <row r="283" ht="15.75" customHeight="1">
      <c r="B283" s="66"/>
      <c r="D283" s="26"/>
    </row>
    <row r="284" ht="15.75" customHeight="1">
      <c r="B284" s="66"/>
      <c r="D284" s="26"/>
    </row>
    <row r="285" ht="15.75" customHeight="1">
      <c r="B285" s="66"/>
      <c r="D285" s="26"/>
    </row>
    <row r="286" ht="15.75" customHeight="1">
      <c r="B286" s="66"/>
      <c r="D286" s="26"/>
    </row>
    <row r="287" ht="15.75" customHeight="1">
      <c r="B287" s="66"/>
      <c r="D287" s="26"/>
    </row>
    <row r="288" ht="15.75" customHeight="1">
      <c r="B288" s="66"/>
      <c r="D288" s="26"/>
    </row>
    <row r="289" ht="15.75" customHeight="1">
      <c r="B289" s="66"/>
      <c r="D289" s="26"/>
    </row>
    <row r="290" ht="15.75" customHeight="1">
      <c r="B290" s="66"/>
      <c r="D290" s="26"/>
    </row>
    <row r="291" ht="15.75" customHeight="1">
      <c r="B291" s="66"/>
      <c r="D291" s="26"/>
    </row>
    <row r="292" ht="15.75" customHeight="1">
      <c r="B292" s="66"/>
      <c r="D292" s="26"/>
    </row>
    <row r="293" ht="15.75" customHeight="1">
      <c r="B293" s="66"/>
      <c r="D293" s="26"/>
    </row>
    <row r="294" ht="15.75" customHeight="1">
      <c r="B294" s="66"/>
      <c r="D294" s="26"/>
    </row>
    <row r="295" ht="15.75" customHeight="1">
      <c r="B295" s="66"/>
      <c r="D295" s="26"/>
    </row>
    <row r="296" ht="15.75" customHeight="1">
      <c r="B296" s="66"/>
      <c r="D296" s="26"/>
    </row>
    <row r="297" ht="15.75" customHeight="1">
      <c r="B297" s="66"/>
      <c r="D297" s="26"/>
    </row>
    <row r="298" ht="15.75" customHeight="1">
      <c r="B298" s="66"/>
      <c r="D298" s="26"/>
    </row>
    <row r="299" ht="15.75" customHeight="1">
      <c r="B299" s="66"/>
      <c r="D299" s="26"/>
    </row>
    <row r="300" ht="15.75" customHeight="1">
      <c r="B300" s="66"/>
      <c r="D300" s="26"/>
    </row>
    <row r="301" ht="15.75" customHeight="1">
      <c r="B301" s="66"/>
      <c r="D301" s="26"/>
    </row>
    <row r="302" ht="15.75" customHeight="1">
      <c r="B302" s="66"/>
      <c r="D302" s="26"/>
    </row>
    <row r="303" ht="15.75" customHeight="1">
      <c r="B303" s="66"/>
      <c r="D303" s="26"/>
    </row>
    <row r="304" ht="15.75" customHeight="1">
      <c r="B304" s="66"/>
      <c r="D304" s="26"/>
    </row>
    <row r="305" ht="15.75" customHeight="1">
      <c r="B305" s="66"/>
      <c r="D305" s="26"/>
    </row>
    <row r="306" ht="15.75" customHeight="1">
      <c r="B306" s="66"/>
      <c r="D306" s="26"/>
    </row>
    <row r="307" ht="15.75" customHeight="1">
      <c r="B307" s="66"/>
      <c r="D307" s="26"/>
    </row>
    <row r="308" ht="15.75" customHeight="1">
      <c r="B308" s="66"/>
      <c r="D308" s="26"/>
    </row>
    <row r="309" ht="15.75" customHeight="1">
      <c r="B309" s="66"/>
      <c r="D309" s="26"/>
    </row>
    <row r="310" ht="15.75" customHeight="1">
      <c r="B310" s="66"/>
      <c r="D310" s="26"/>
    </row>
    <row r="311" ht="15.75" customHeight="1">
      <c r="B311" s="66"/>
      <c r="D311" s="26"/>
    </row>
    <row r="312" ht="15.75" customHeight="1">
      <c r="B312" s="66"/>
      <c r="D312" s="26"/>
    </row>
    <row r="313" ht="15.75" customHeight="1">
      <c r="B313" s="66"/>
      <c r="D313" s="26"/>
    </row>
    <row r="314" ht="15.75" customHeight="1">
      <c r="B314" s="66"/>
      <c r="D314" s="26"/>
    </row>
    <row r="315" ht="15.75" customHeight="1">
      <c r="B315" s="66"/>
      <c r="D315" s="26"/>
    </row>
    <row r="316" ht="15.75" customHeight="1">
      <c r="B316" s="66"/>
      <c r="D316" s="26"/>
    </row>
    <row r="317" ht="15.75" customHeight="1">
      <c r="B317" s="66"/>
      <c r="D317" s="26"/>
    </row>
    <row r="318" ht="15.75" customHeight="1">
      <c r="B318" s="66"/>
      <c r="D318" s="26"/>
    </row>
    <row r="319" ht="15.75" customHeight="1">
      <c r="B319" s="66"/>
      <c r="D319" s="26"/>
    </row>
    <row r="320" ht="15.75" customHeight="1">
      <c r="B320" s="66"/>
      <c r="D320" s="26"/>
    </row>
    <row r="321" ht="15.75" customHeight="1">
      <c r="B321" s="66"/>
      <c r="D321" s="26"/>
    </row>
    <row r="322" ht="15.75" customHeight="1">
      <c r="B322" s="66"/>
      <c r="D322" s="26"/>
    </row>
    <row r="323" ht="15.75" customHeight="1">
      <c r="B323" s="66"/>
      <c r="D323" s="26"/>
    </row>
    <row r="324" ht="15.75" customHeight="1">
      <c r="B324" s="66"/>
      <c r="D324" s="26"/>
    </row>
    <row r="325" ht="15.75" customHeight="1">
      <c r="B325" s="66"/>
      <c r="D325" s="26"/>
    </row>
    <row r="326" ht="15.75" customHeight="1">
      <c r="B326" s="66"/>
      <c r="D326" s="26"/>
    </row>
    <row r="327" ht="15.75" customHeight="1">
      <c r="B327" s="66"/>
      <c r="D327" s="26"/>
    </row>
    <row r="328" ht="15.75" customHeight="1">
      <c r="B328" s="66"/>
      <c r="D328" s="26"/>
    </row>
    <row r="329" ht="15.75" customHeight="1">
      <c r="B329" s="66"/>
      <c r="D329" s="26"/>
    </row>
    <row r="330" ht="15.75" customHeight="1">
      <c r="B330" s="66"/>
      <c r="D330" s="26"/>
    </row>
    <row r="331" ht="15.75" customHeight="1">
      <c r="B331" s="66"/>
      <c r="D331" s="26"/>
    </row>
    <row r="332" ht="15.75" customHeight="1">
      <c r="B332" s="66"/>
      <c r="D332" s="26"/>
    </row>
    <row r="333" ht="15.75" customHeight="1">
      <c r="B333" s="66"/>
      <c r="D333" s="26"/>
    </row>
    <row r="334" ht="15.75" customHeight="1">
      <c r="B334" s="66"/>
      <c r="D334" s="26"/>
    </row>
    <row r="335" ht="15.75" customHeight="1">
      <c r="B335" s="66"/>
      <c r="D335" s="26"/>
    </row>
    <row r="336" ht="15.75" customHeight="1">
      <c r="B336" s="66"/>
      <c r="D336" s="26"/>
    </row>
    <row r="337" ht="15.75" customHeight="1">
      <c r="B337" s="66"/>
      <c r="D337" s="26"/>
    </row>
    <row r="338" ht="15.75" customHeight="1">
      <c r="B338" s="66"/>
      <c r="D338" s="26"/>
    </row>
    <row r="339" ht="15.75" customHeight="1">
      <c r="B339" s="66"/>
      <c r="D339" s="26"/>
    </row>
    <row r="340" ht="15.75" customHeight="1">
      <c r="B340" s="66"/>
      <c r="D340" s="26"/>
    </row>
    <row r="341" ht="15.75" customHeight="1">
      <c r="B341" s="66"/>
      <c r="D341" s="26"/>
    </row>
    <row r="342" ht="15.75" customHeight="1">
      <c r="B342" s="66"/>
      <c r="D342" s="26"/>
    </row>
    <row r="343" ht="15.75" customHeight="1">
      <c r="B343" s="66"/>
      <c r="D343" s="26"/>
    </row>
    <row r="344" ht="15.75" customHeight="1">
      <c r="B344" s="66"/>
      <c r="D344" s="26"/>
    </row>
    <row r="345" ht="15.75" customHeight="1">
      <c r="B345" s="66"/>
      <c r="D345" s="26"/>
    </row>
    <row r="346" ht="15.75" customHeight="1">
      <c r="B346" s="66"/>
      <c r="D346" s="26"/>
    </row>
    <row r="347" ht="15.75" customHeight="1">
      <c r="B347" s="66"/>
      <c r="D347" s="26"/>
    </row>
    <row r="348" ht="15.75" customHeight="1">
      <c r="B348" s="66"/>
      <c r="D348" s="26"/>
    </row>
    <row r="349" ht="15.75" customHeight="1">
      <c r="B349" s="66"/>
      <c r="D349" s="26"/>
    </row>
    <row r="350" ht="15.75" customHeight="1">
      <c r="B350" s="66"/>
      <c r="D350" s="26"/>
    </row>
    <row r="351" ht="15.75" customHeight="1">
      <c r="B351" s="66"/>
      <c r="D351" s="26"/>
    </row>
    <row r="352" ht="15.75" customHeight="1">
      <c r="B352" s="66"/>
      <c r="D352" s="26"/>
    </row>
    <row r="353" ht="15.75" customHeight="1">
      <c r="B353" s="66"/>
      <c r="D353" s="26"/>
    </row>
    <row r="354" ht="15.75" customHeight="1">
      <c r="B354" s="66"/>
      <c r="D354" s="26"/>
    </row>
    <row r="355" ht="15.75" customHeight="1">
      <c r="B355" s="66"/>
      <c r="D355" s="26"/>
    </row>
    <row r="356" ht="15.75" customHeight="1">
      <c r="B356" s="66"/>
      <c r="D356" s="26"/>
    </row>
    <row r="357" ht="15.75" customHeight="1">
      <c r="B357" s="66"/>
      <c r="D357" s="26"/>
    </row>
    <row r="358" ht="15.75" customHeight="1">
      <c r="B358" s="66"/>
      <c r="D358" s="26"/>
    </row>
    <row r="359" ht="15.75" customHeight="1">
      <c r="B359" s="66"/>
      <c r="D359" s="26"/>
    </row>
    <row r="360" ht="15.75" customHeight="1">
      <c r="B360" s="66"/>
      <c r="D360" s="26"/>
    </row>
    <row r="361" ht="15.75" customHeight="1">
      <c r="B361" s="66"/>
      <c r="D361" s="26"/>
    </row>
    <row r="362" ht="15.75" customHeight="1">
      <c r="B362" s="66"/>
      <c r="D362" s="26"/>
    </row>
    <row r="363" ht="15.75" customHeight="1">
      <c r="B363" s="66"/>
      <c r="D363" s="26"/>
    </row>
    <row r="364" ht="15.75" customHeight="1">
      <c r="B364" s="66"/>
      <c r="D364" s="26"/>
    </row>
    <row r="365" ht="15.75" customHeight="1">
      <c r="B365" s="66"/>
      <c r="D365" s="26"/>
    </row>
    <row r="366" ht="15.75" customHeight="1">
      <c r="B366" s="66"/>
      <c r="D366" s="26"/>
    </row>
    <row r="367" ht="15.75" customHeight="1">
      <c r="B367" s="66"/>
      <c r="D367" s="26"/>
    </row>
    <row r="368" ht="15.75" customHeight="1">
      <c r="B368" s="66"/>
      <c r="D368" s="26"/>
    </row>
    <row r="369" ht="15.75" customHeight="1">
      <c r="B369" s="66"/>
      <c r="D369" s="26"/>
    </row>
    <row r="370" ht="15.75" customHeight="1">
      <c r="B370" s="66"/>
      <c r="D370" s="26"/>
    </row>
    <row r="371" ht="15.75" customHeight="1">
      <c r="B371" s="66"/>
      <c r="D371" s="26"/>
    </row>
    <row r="372" ht="15.75" customHeight="1">
      <c r="B372" s="66"/>
      <c r="D372" s="26"/>
    </row>
    <row r="373" ht="15.75" customHeight="1">
      <c r="B373" s="66"/>
      <c r="D373" s="26"/>
    </row>
    <row r="374" ht="15.75" customHeight="1">
      <c r="B374" s="66"/>
      <c r="D374" s="26"/>
    </row>
    <row r="375" ht="15.75" customHeight="1">
      <c r="B375" s="66"/>
      <c r="D375" s="26"/>
    </row>
    <row r="376" ht="15.75" customHeight="1">
      <c r="B376" s="66"/>
      <c r="D376" s="26"/>
    </row>
    <row r="377" ht="15.75" customHeight="1">
      <c r="B377" s="66"/>
      <c r="D377" s="26"/>
    </row>
    <row r="378" ht="15.75" customHeight="1">
      <c r="B378" s="66"/>
      <c r="D378" s="26"/>
    </row>
    <row r="379" ht="15.75" customHeight="1">
      <c r="B379" s="66"/>
      <c r="D379" s="26"/>
    </row>
    <row r="380" ht="15.75" customHeight="1">
      <c r="B380" s="66"/>
      <c r="D380" s="26"/>
    </row>
    <row r="381" ht="15.75" customHeight="1">
      <c r="B381" s="66"/>
      <c r="D381" s="26"/>
    </row>
    <row r="382" ht="15.75" customHeight="1">
      <c r="B382" s="66"/>
      <c r="D382" s="26"/>
    </row>
    <row r="383" ht="15.75" customHeight="1">
      <c r="B383" s="66"/>
      <c r="D383" s="26"/>
    </row>
    <row r="384" ht="15.75" customHeight="1">
      <c r="B384" s="66"/>
      <c r="D384" s="26"/>
    </row>
    <row r="385" ht="15.75" customHeight="1">
      <c r="B385" s="66"/>
      <c r="D385" s="26"/>
    </row>
    <row r="386" ht="15.75" customHeight="1">
      <c r="B386" s="66"/>
      <c r="D386" s="26"/>
    </row>
    <row r="387" ht="15.75" customHeight="1">
      <c r="B387" s="66"/>
      <c r="D387" s="26"/>
    </row>
    <row r="388" ht="15.75" customHeight="1">
      <c r="B388" s="66"/>
      <c r="D388" s="26"/>
    </row>
    <row r="389" ht="15.75" customHeight="1">
      <c r="B389" s="66"/>
      <c r="D389" s="26"/>
    </row>
    <row r="390" ht="15.75" customHeight="1">
      <c r="B390" s="66"/>
      <c r="D390" s="26"/>
    </row>
    <row r="391" ht="15.75" customHeight="1">
      <c r="B391" s="66"/>
      <c r="D391" s="26"/>
    </row>
    <row r="392" ht="15.75" customHeight="1">
      <c r="B392" s="66"/>
      <c r="D392" s="26"/>
    </row>
    <row r="393" ht="15.75" customHeight="1">
      <c r="B393" s="66"/>
      <c r="D393" s="26"/>
    </row>
    <row r="394" ht="15.75" customHeight="1">
      <c r="B394" s="66"/>
      <c r="D394" s="26"/>
    </row>
    <row r="395" ht="15.75" customHeight="1">
      <c r="B395" s="66"/>
      <c r="D395" s="26"/>
    </row>
    <row r="396" ht="15.75" customHeight="1">
      <c r="B396" s="66"/>
      <c r="D396" s="26"/>
    </row>
    <row r="397" ht="15.75" customHeight="1">
      <c r="B397" s="66"/>
      <c r="D397" s="26"/>
    </row>
    <row r="398" ht="15.75" customHeight="1">
      <c r="B398" s="66"/>
      <c r="D398" s="26"/>
    </row>
    <row r="399" ht="15.75" customHeight="1">
      <c r="B399" s="66"/>
      <c r="D399" s="26"/>
    </row>
    <row r="400" ht="15.75" customHeight="1">
      <c r="B400" s="66"/>
      <c r="D400" s="26"/>
    </row>
    <row r="401" ht="15.75" customHeight="1">
      <c r="B401" s="66"/>
      <c r="D401" s="26"/>
    </row>
    <row r="402" ht="15.75" customHeight="1">
      <c r="B402" s="66"/>
      <c r="D402" s="26"/>
    </row>
    <row r="403" ht="15.75" customHeight="1">
      <c r="B403" s="66"/>
      <c r="D403" s="26"/>
    </row>
    <row r="404" ht="15.75" customHeight="1">
      <c r="B404" s="66"/>
      <c r="D404" s="26"/>
    </row>
    <row r="405" ht="15.75" customHeight="1">
      <c r="B405" s="66"/>
      <c r="D405" s="26"/>
    </row>
    <row r="406" ht="15.75" customHeight="1">
      <c r="B406" s="66"/>
      <c r="D406" s="26"/>
    </row>
    <row r="407" ht="15.75" customHeight="1">
      <c r="B407" s="66"/>
      <c r="D407" s="26"/>
    </row>
    <row r="408" ht="15.75" customHeight="1">
      <c r="B408" s="66"/>
      <c r="D408" s="26"/>
    </row>
    <row r="409" ht="15.75" customHeight="1">
      <c r="B409" s="66"/>
      <c r="D409" s="26"/>
    </row>
    <row r="410" ht="15.75" customHeight="1">
      <c r="B410" s="66"/>
      <c r="D410" s="26"/>
    </row>
    <row r="411" ht="15.75" customHeight="1">
      <c r="B411" s="66"/>
      <c r="D411" s="26"/>
    </row>
    <row r="412" ht="15.75" customHeight="1">
      <c r="B412" s="66"/>
      <c r="D412" s="26"/>
    </row>
    <row r="413" ht="15.75" customHeight="1">
      <c r="B413" s="66"/>
      <c r="D413" s="26"/>
    </row>
    <row r="414" ht="15.75" customHeight="1">
      <c r="B414" s="66"/>
      <c r="D414" s="26"/>
    </row>
    <row r="415" ht="15.75" customHeight="1">
      <c r="B415" s="66"/>
      <c r="D415" s="26"/>
    </row>
    <row r="416" ht="15.75" customHeight="1">
      <c r="B416" s="66"/>
      <c r="D416" s="26"/>
    </row>
    <row r="417" ht="15.75" customHeight="1">
      <c r="B417" s="66"/>
      <c r="D417" s="26"/>
    </row>
    <row r="418" ht="15.75" customHeight="1">
      <c r="B418" s="66"/>
      <c r="D418" s="26"/>
    </row>
    <row r="419" ht="15.75" customHeight="1">
      <c r="B419" s="66"/>
      <c r="D419" s="26"/>
    </row>
    <row r="420" ht="15.75" customHeight="1">
      <c r="B420" s="66"/>
      <c r="D420" s="26"/>
    </row>
    <row r="421" ht="15.75" customHeight="1">
      <c r="B421" s="66"/>
      <c r="D421" s="26"/>
    </row>
    <row r="422" ht="15.75" customHeight="1">
      <c r="B422" s="66"/>
      <c r="D422" s="26"/>
    </row>
    <row r="423" ht="15.75" customHeight="1">
      <c r="B423" s="66"/>
      <c r="D423" s="26"/>
    </row>
    <row r="424" ht="15.75" customHeight="1">
      <c r="B424" s="66"/>
      <c r="D424" s="26"/>
    </row>
    <row r="425" ht="15.75" customHeight="1">
      <c r="B425" s="66"/>
      <c r="D425" s="26"/>
    </row>
    <row r="426" ht="15.75" customHeight="1">
      <c r="B426" s="66"/>
      <c r="D426" s="26"/>
    </row>
    <row r="427" ht="15.75" customHeight="1">
      <c r="B427" s="66"/>
      <c r="D427" s="26"/>
    </row>
    <row r="428" ht="15.75" customHeight="1">
      <c r="B428" s="66"/>
      <c r="D428" s="26"/>
    </row>
    <row r="429" ht="15.75" customHeight="1">
      <c r="B429" s="66"/>
      <c r="D429" s="26"/>
    </row>
    <row r="430" ht="15.75" customHeight="1">
      <c r="B430" s="66"/>
      <c r="D430" s="26"/>
    </row>
    <row r="431" ht="15.75" customHeight="1">
      <c r="B431" s="66"/>
      <c r="D431" s="26"/>
    </row>
    <row r="432" ht="15.75" customHeight="1">
      <c r="B432" s="66"/>
      <c r="D432" s="26"/>
    </row>
    <row r="433" ht="15.75" customHeight="1">
      <c r="B433" s="66"/>
      <c r="D433" s="26"/>
    </row>
    <row r="434" ht="15.75" customHeight="1">
      <c r="B434" s="66"/>
      <c r="D434" s="26"/>
    </row>
    <row r="435" ht="15.75" customHeight="1">
      <c r="B435" s="66"/>
      <c r="D435" s="26"/>
    </row>
    <row r="436" ht="15.75" customHeight="1">
      <c r="B436" s="66"/>
      <c r="D436" s="26"/>
    </row>
    <row r="437" ht="15.75" customHeight="1">
      <c r="B437" s="66"/>
      <c r="D437" s="26"/>
    </row>
    <row r="438" ht="15.75" customHeight="1">
      <c r="B438" s="66"/>
      <c r="D438" s="26"/>
    </row>
    <row r="439" ht="15.75" customHeight="1">
      <c r="B439" s="66"/>
      <c r="D439" s="26"/>
    </row>
    <row r="440" ht="15.75" customHeight="1">
      <c r="B440" s="66"/>
      <c r="D440" s="26"/>
    </row>
    <row r="441" ht="15.75" customHeight="1">
      <c r="B441" s="66"/>
      <c r="D441" s="26"/>
    </row>
    <row r="442" ht="15.75" customHeight="1">
      <c r="B442" s="66"/>
      <c r="D442" s="26"/>
    </row>
    <row r="443" ht="15.75" customHeight="1">
      <c r="B443" s="66"/>
      <c r="D443" s="26"/>
    </row>
    <row r="444" ht="15.75" customHeight="1">
      <c r="B444" s="66"/>
      <c r="D444" s="26"/>
    </row>
    <row r="445" ht="15.75" customHeight="1">
      <c r="B445" s="66"/>
      <c r="D445" s="26"/>
    </row>
    <row r="446" ht="15.75" customHeight="1">
      <c r="B446" s="66"/>
      <c r="D446" s="26"/>
    </row>
    <row r="447" ht="15.75" customHeight="1">
      <c r="B447" s="66"/>
      <c r="D447" s="26"/>
    </row>
    <row r="448" ht="15.75" customHeight="1">
      <c r="B448" s="66"/>
      <c r="D448" s="26"/>
    </row>
    <row r="449" ht="15.75" customHeight="1">
      <c r="B449" s="66"/>
      <c r="D449" s="26"/>
    </row>
    <row r="450" ht="15.75" customHeight="1">
      <c r="B450" s="66"/>
      <c r="D450" s="26"/>
    </row>
    <row r="451" ht="15.75" customHeight="1">
      <c r="B451" s="66"/>
      <c r="D451" s="26"/>
    </row>
    <row r="452" ht="15.75" customHeight="1">
      <c r="B452" s="66"/>
      <c r="D452" s="26"/>
    </row>
    <row r="453" ht="15.75" customHeight="1">
      <c r="B453" s="66"/>
      <c r="D453" s="26"/>
    </row>
    <row r="454" ht="15.75" customHeight="1">
      <c r="B454" s="66"/>
      <c r="D454" s="26"/>
    </row>
    <row r="455" ht="15.75" customHeight="1">
      <c r="B455" s="66"/>
      <c r="D455" s="26"/>
    </row>
    <row r="456" ht="15.75" customHeight="1">
      <c r="B456" s="66"/>
      <c r="D456" s="26"/>
    </row>
    <row r="457" ht="15.75" customHeight="1">
      <c r="B457" s="66"/>
      <c r="D457" s="26"/>
    </row>
    <row r="458" ht="15.75" customHeight="1">
      <c r="B458" s="66"/>
      <c r="D458" s="26"/>
    </row>
    <row r="459" ht="15.75" customHeight="1">
      <c r="B459" s="66"/>
      <c r="D459" s="26"/>
    </row>
    <row r="460" ht="15.75" customHeight="1">
      <c r="B460" s="66"/>
      <c r="D460" s="26"/>
    </row>
    <row r="461" ht="15.75" customHeight="1">
      <c r="B461" s="66"/>
      <c r="D461" s="26"/>
    </row>
    <row r="462" ht="15.75" customHeight="1">
      <c r="B462" s="66"/>
      <c r="D462" s="26"/>
    </row>
    <row r="463" ht="15.75" customHeight="1">
      <c r="B463" s="66"/>
      <c r="D463" s="26"/>
    </row>
    <row r="464" ht="15.75" customHeight="1">
      <c r="B464" s="66"/>
      <c r="D464" s="26"/>
    </row>
    <row r="465" ht="15.75" customHeight="1">
      <c r="B465" s="66"/>
      <c r="D465" s="26"/>
    </row>
    <row r="466" ht="15.75" customHeight="1">
      <c r="B466" s="66"/>
      <c r="D466" s="26"/>
    </row>
    <row r="467" ht="15.75" customHeight="1">
      <c r="B467" s="66"/>
      <c r="D467" s="26"/>
    </row>
    <row r="468" ht="15.75" customHeight="1">
      <c r="B468" s="66"/>
      <c r="D468" s="26"/>
    </row>
    <row r="469" ht="15.75" customHeight="1">
      <c r="B469" s="66"/>
      <c r="D469" s="26"/>
    </row>
    <row r="470" ht="15.75" customHeight="1">
      <c r="B470" s="66"/>
      <c r="D470" s="26"/>
    </row>
    <row r="471" ht="15.75" customHeight="1">
      <c r="B471" s="66"/>
      <c r="D471" s="26"/>
    </row>
    <row r="472" ht="15.75" customHeight="1">
      <c r="B472" s="66"/>
      <c r="D472" s="26"/>
    </row>
    <row r="473" ht="15.75" customHeight="1">
      <c r="B473" s="66"/>
      <c r="D473" s="26"/>
    </row>
    <row r="474" ht="15.75" customHeight="1">
      <c r="B474" s="66"/>
      <c r="D474" s="26"/>
    </row>
    <row r="475" ht="15.75" customHeight="1">
      <c r="B475" s="66"/>
      <c r="D475" s="26"/>
    </row>
    <row r="476" ht="15.75" customHeight="1">
      <c r="B476" s="66"/>
      <c r="D476" s="26"/>
    </row>
    <row r="477" ht="15.75" customHeight="1">
      <c r="B477" s="66"/>
      <c r="D477" s="26"/>
    </row>
    <row r="478" ht="15.75" customHeight="1">
      <c r="B478" s="66"/>
      <c r="D478" s="26"/>
    </row>
    <row r="479" ht="15.75" customHeight="1">
      <c r="B479" s="66"/>
      <c r="D479" s="26"/>
    </row>
    <row r="480" ht="15.75" customHeight="1">
      <c r="B480" s="66"/>
      <c r="D480" s="26"/>
    </row>
    <row r="481" ht="15.75" customHeight="1">
      <c r="B481" s="66"/>
      <c r="D481" s="26"/>
    </row>
    <row r="482" ht="15.75" customHeight="1">
      <c r="B482" s="66"/>
      <c r="D482" s="26"/>
    </row>
    <row r="483" ht="15.75" customHeight="1">
      <c r="B483" s="66"/>
      <c r="D483" s="26"/>
    </row>
    <row r="484" ht="15.75" customHeight="1">
      <c r="B484" s="66"/>
      <c r="D484" s="26"/>
    </row>
    <row r="485" ht="15.75" customHeight="1">
      <c r="B485" s="66"/>
      <c r="D485" s="26"/>
    </row>
    <row r="486" ht="15.75" customHeight="1">
      <c r="B486" s="66"/>
      <c r="D486" s="26"/>
    </row>
    <row r="487" ht="15.75" customHeight="1">
      <c r="B487" s="66"/>
      <c r="D487" s="26"/>
    </row>
    <row r="488" ht="15.75" customHeight="1">
      <c r="B488" s="66"/>
      <c r="D488" s="26"/>
    </row>
    <row r="489" ht="15.75" customHeight="1">
      <c r="B489" s="66"/>
      <c r="D489" s="26"/>
    </row>
    <row r="490" ht="15.75" customHeight="1">
      <c r="B490" s="66"/>
      <c r="D490" s="26"/>
    </row>
    <row r="491" ht="15.75" customHeight="1">
      <c r="B491" s="66"/>
      <c r="D491" s="26"/>
    </row>
    <row r="492" ht="15.75" customHeight="1">
      <c r="B492" s="66"/>
      <c r="D492" s="26"/>
    </row>
    <row r="493" ht="15.75" customHeight="1">
      <c r="B493" s="66"/>
      <c r="D493" s="26"/>
    </row>
    <row r="494" ht="15.75" customHeight="1">
      <c r="B494" s="66"/>
      <c r="D494" s="26"/>
    </row>
    <row r="495" ht="15.75" customHeight="1">
      <c r="B495" s="66"/>
      <c r="D495" s="26"/>
    </row>
    <row r="496" ht="15.75" customHeight="1">
      <c r="B496" s="66"/>
      <c r="D496" s="26"/>
    </row>
    <row r="497" ht="15.75" customHeight="1">
      <c r="B497" s="66"/>
      <c r="D497" s="26"/>
    </row>
    <row r="498" ht="15.75" customHeight="1">
      <c r="B498" s="66"/>
      <c r="D498" s="26"/>
    </row>
    <row r="499" ht="15.75" customHeight="1">
      <c r="B499" s="66"/>
      <c r="D499" s="26"/>
    </row>
    <row r="500" ht="15.75" customHeight="1">
      <c r="B500" s="66"/>
      <c r="D500" s="26"/>
    </row>
    <row r="501" ht="15.75" customHeight="1">
      <c r="B501" s="66"/>
      <c r="D501" s="26"/>
    </row>
    <row r="502" ht="15.75" customHeight="1">
      <c r="B502" s="66"/>
      <c r="D502" s="26"/>
    </row>
    <row r="503" ht="15.75" customHeight="1">
      <c r="B503" s="66"/>
      <c r="D503" s="26"/>
    </row>
    <row r="504" ht="15.75" customHeight="1">
      <c r="B504" s="66"/>
      <c r="D504" s="26"/>
    </row>
    <row r="505" ht="15.75" customHeight="1">
      <c r="B505" s="66"/>
      <c r="D505" s="26"/>
    </row>
    <row r="506" ht="15.75" customHeight="1">
      <c r="B506" s="66"/>
      <c r="D506" s="26"/>
    </row>
    <row r="507" ht="15.75" customHeight="1">
      <c r="B507" s="66"/>
      <c r="D507" s="26"/>
    </row>
    <row r="508" ht="15.75" customHeight="1">
      <c r="B508" s="66"/>
      <c r="D508" s="26"/>
    </row>
    <row r="509" ht="15.75" customHeight="1">
      <c r="B509" s="66"/>
      <c r="D509" s="26"/>
    </row>
    <row r="510" ht="15.75" customHeight="1">
      <c r="B510" s="66"/>
      <c r="D510" s="26"/>
    </row>
    <row r="511" ht="15.75" customHeight="1">
      <c r="B511" s="66"/>
      <c r="D511" s="26"/>
    </row>
    <row r="512" ht="15.75" customHeight="1">
      <c r="B512" s="66"/>
      <c r="D512" s="26"/>
    </row>
    <row r="513" ht="15.75" customHeight="1">
      <c r="B513" s="66"/>
      <c r="D513" s="26"/>
    </row>
    <row r="514" ht="15.75" customHeight="1">
      <c r="B514" s="66"/>
      <c r="D514" s="26"/>
    </row>
    <row r="515" ht="15.75" customHeight="1">
      <c r="B515" s="66"/>
      <c r="D515" s="26"/>
    </row>
    <row r="516" ht="15.75" customHeight="1">
      <c r="B516" s="66"/>
      <c r="D516" s="26"/>
    </row>
    <row r="517" ht="15.75" customHeight="1">
      <c r="B517" s="66"/>
      <c r="D517" s="26"/>
    </row>
    <row r="518" ht="15.75" customHeight="1">
      <c r="B518" s="66"/>
      <c r="D518" s="26"/>
    </row>
    <row r="519" ht="15.75" customHeight="1">
      <c r="B519" s="66"/>
      <c r="D519" s="26"/>
    </row>
    <row r="520" ht="15.75" customHeight="1">
      <c r="B520" s="66"/>
      <c r="D520" s="26"/>
    </row>
    <row r="521" ht="15.75" customHeight="1">
      <c r="B521" s="66"/>
      <c r="D521" s="26"/>
    </row>
    <row r="522" ht="15.75" customHeight="1">
      <c r="B522" s="66"/>
      <c r="D522" s="26"/>
    </row>
    <row r="523" ht="15.75" customHeight="1">
      <c r="B523" s="66"/>
      <c r="D523" s="26"/>
    </row>
    <row r="524" ht="15.75" customHeight="1">
      <c r="B524" s="66"/>
      <c r="D524" s="26"/>
    </row>
    <row r="525" ht="15.75" customHeight="1">
      <c r="B525" s="66"/>
      <c r="D525" s="26"/>
    </row>
    <row r="526" ht="15.75" customHeight="1">
      <c r="B526" s="66"/>
      <c r="D526" s="26"/>
    </row>
    <row r="527" ht="15.75" customHeight="1">
      <c r="B527" s="66"/>
      <c r="D527" s="26"/>
    </row>
    <row r="528" ht="15.75" customHeight="1">
      <c r="B528" s="66"/>
      <c r="D528" s="26"/>
    </row>
    <row r="529" ht="15.75" customHeight="1">
      <c r="B529" s="66"/>
      <c r="D529" s="26"/>
    </row>
    <row r="530" ht="15.75" customHeight="1">
      <c r="B530" s="66"/>
      <c r="D530" s="26"/>
    </row>
    <row r="531" ht="15.75" customHeight="1">
      <c r="B531" s="66"/>
      <c r="D531" s="26"/>
    </row>
    <row r="532" ht="15.75" customHeight="1">
      <c r="B532" s="66"/>
      <c r="D532" s="26"/>
    </row>
    <row r="533" ht="15.75" customHeight="1">
      <c r="B533" s="66"/>
      <c r="D533" s="26"/>
    </row>
    <row r="534" ht="15.75" customHeight="1">
      <c r="B534" s="66"/>
      <c r="D534" s="26"/>
    </row>
    <row r="535" ht="15.75" customHeight="1">
      <c r="B535" s="66"/>
      <c r="D535" s="26"/>
    </row>
    <row r="536" ht="15.75" customHeight="1">
      <c r="B536" s="66"/>
      <c r="D536" s="26"/>
    </row>
    <row r="537" ht="15.75" customHeight="1">
      <c r="B537" s="66"/>
      <c r="D537" s="26"/>
    </row>
    <row r="538" ht="15.75" customHeight="1">
      <c r="B538" s="66"/>
      <c r="D538" s="26"/>
    </row>
    <row r="539" ht="15.75" customHeight="1">
      <c r="B539" s="66"/>
      <c r="D539" s="26"/>
    </row>
    <row r="540" ht="15.75" customHeight="1">
      <c r="B540" s="66"/>
      <c r="D540" s="26"/>
    </row>
    <row r="541" ht="15.75" customHeight="1">
      <c r="B541" s="66"/>
      <c r="D541" s="26"/>
    </row>
    <row r="542" ht="15.75" customHeight="1">
      <c r="B542" s="66"/>
      <c r="D542" s="26"/>
    </row>
    <row r="543" ht="15.75" customHeight="1">
      <c r="B543" s="66"/>
      <c r="D543" s="26"/>
    </row>
    <row r="544" ht="15.75" customHeight="1">
      <c r="B544" s="66"/>
      <c r="D544" s="26"/>
    </row>
    <row r="545" ht="15.75" customHeight="1">
      <c r="B545" s="66"/>
      <c r="D545" s="26"/>
    </row>
    <row r="546" ht="15.75" customHeight="1">
      <c r="B546" s="66"/>
      <c r="D546" s="26"/>
    </row>
    <row r="547" ht="15.75" customHeight="1">
      <c r="B547" s="66"/>
      <c r="D547" s="26"/>
    </row>
    <row r="548" ht="15.75" customHeight="1">
      <c r="B548" s="66"/>
      <c r="D548" s="26"/>
    </row>
    <row r="549" ht="15.75" customHeight="1">
      <c r="B549" s="66"/>
      <c r="D549" s="26"/>
    </row>
    <row r="550" ht="15.75" customHeight="1">
      <c r="B550" s="66"/>
      <c r="D550" s="26"/>
    </row>
    <row r="551" ht="15.75" customHeight="1">
      <c r="B551" s="66"/>
      <c r="D551" s="26"/>
    </row>
    <row r="552" ht="15.75" customHeight="1">
      <c r="B552" s="66"/>
      <c r="D552" s="26"/>
    </row>
    <row r="553" ht="15.75" customHeight="1">
      <c r="B553" s="66"/>
      <c r="D553" s="26"/>
    </row>
    <row r="554" ht="15.75" customHeight="1">
      <c r="B554" s="66"/>
      <c r="D554" s="26"/>
    </row>
    <row r="555" ht="15.75" customHeight="1">
      <c r="B555" s="66"/>
      <c r="D555" s="26"/>
    </row>
    <row r="556" ht="15.75" customHeight="1">
      <c r="B556" s="66"/>
      <c r="D556" s="26"/>
    </row>
    <row r="557" ht="15.75" customHeight="1">
      <c r="B557" s="66"/>
      <c r="D557" s="26"/>
    </row>
    <row r="558" ht="15.75" customHeight="1">
      <c r="B558" s="66"/>
      <c r="D558" s="26"/>
    </row>
    <row r="559" ht="15.75" customHeight="1">
      <c r="B559" s="66"/>
      <c r="D559" s="26"/>
    </row>
    <row r="560" ht="15.75" customHeight="1">
      <c r="B560" s="66"/>
      <c r="D560" s="26"/>
    </row>
    <row r="561" ht="15.75" customHeight="1">
      <c r="B561" s="66"/>
      <c r="D561" s="26"/>
    </row>
    <row r="562" ht="15.75" customHeight="1">
      <c r="B562" s="66"/>
      <c r="D562" s="26"/>
    </row>
    <row r="563" ht="15.75" customHeight="1">
      <c r="B563" s="66"/>
      <c r="D563" s="26"/>
    </row>
    <row r="564" ht="15.75" customHeight="1">
      <c r="B564" s="66"/>
      <c r="D564" s="26"/>
    </row>
    <row r="565" ht="15.75" customHeight="1">
      <c r="B565" s="66"/>
      <c r="D565" s="26"/>
    </row>
    <row r="566" ht="15.75" customHeight="1">
      <c r="B566" s="66"/>
      <c r="D566" s="26"/>
    </row>
    <row r="567" ht="15.75" customHeight="1">
      <c r="B567" s="66"/>
      <c r="D567" s="26"/>
    </row>
    <row r="568" ht="15.75" customHeight="1">
      <c r="B568" s="66"/>
      <c r="D568" s="26"/>
    </row>
    <row r="569" ht="15.75" customHeight="1">
      <c r="B569" s="66"/>
      <c r="D569" s="26"/>
    </row>
    <row r="570" ht="15.75" customHeight="1">
      <c r="B570" s="66"/>
      <c r="D570" s="26"/>
    </row>
    <row r="571" ht="15.75" customHeight="1">
      <c r="B571" s="66"/>
      <c r="D571" s="26"/>
    </row>
    <row r="572" ht="15.75" customHeight="1">
      <c r="B572" s="66"/>
      <c r="D572" s="26"/>
    </row>
    <row r="573" ht="15.75" customHeight="1">
      <c r="B573" s="66"/>
      <c r="D573" s="26"/>
    </row>
    <row r="574" ht="15.75" customHeight="1">
      <c r="B574" s="66"/>
      <c r="D574" s="26"/>
    </row>
    <row r="575" ht="15.75" customHeight="1">
      <c r="B575" s="66"/>
      <c r="D575" s="26"/>
    </row>
    <row r="576" ht="15.75" customHeight="1">
      <c r="B576" s="66"/>
      <c r="D576" s="26"/>
    </row>
    <row r="577" ht="15.75" customHeight="1">
      <c r="B577" s="66"/>
      <c r="D577" s="26"/>
    </row>
    <row r="578" ht="15.75" customHeight="1">
      <c r="B578" s="66"/>
      <c r="D578" s="26"/>
    </row>
    <row r="579" ht="15.75" customHeight="1">
      <c r="B579" s="66"/>
      <c r="D579" s="26"/>
    </row>
    <row r="580" ht="15.75" customHeight="1">
      <c r="B580" s="66"/>
      <c r="D580" s="26"/>
    </row>
    <row r="581" ht="15.75" customHeight="1">
      <c r="B581" s="66"/>
      <c r="D581" s="26"/>
    </row>
    <row r="582" ht="15.75" customHeight="1">
      <c r="B582" s="66"/>
      <c r="D582" s="26"/>
    </row>
    <row r="583" ht="15.75" customHeight="1">
      <c r="B583" s="66"/>
      <c r="D583" s="26"/>
    </row>
    <row r="584" ht="15.75" customHeight="1">
      <c r="B584" s="66"/>
      <c r="D584" s="26"/>
    </row>
    <row r="585" ht="15.75" customHeight="1">
      <c r="B585" s="66"/>
      <c r="D585" s="26"/>
    </row>
    <row r="586" ht="15.75" customHeight="1">
      <c r="B586" s="66"/>
      <c r="D586" s="26"/>
    </row>
    <row r="587" ht="15.75" customHeight="1">
      <c r="B587" s="66"/>
      <c r="D587" s="26"/>
    </row>
    <row r="588" ht="15.75" customHeight="1">
      <c r="B588" s="66"/>
      <c r="D588" s="26"/>
    </row>
    <row r="589" ht="15.75" customHeight="1">
      <c r="B589" s="66"/>
      <c r="D589" s="26"/>
    </row>
    <row r="590" ht="15.75" customHeight="1">
      <c r="B590" s="66"/>
      <c r="D590" s="26"/>
    </row>
    <row r="591" ht="15.75" customHeight="1">
      <c r="B591" s="66"/>
      <c r="D591" s="26"/>
    </row>
    <row r="592" ht="15.75" customHeight="1">
      <c r="B592" s="66"/>
      <c r="D592" s="26"/>
    </row>
    <row r="593" ht="15.75" customHeight="1">
      <c r="B593" s="66"/>
      <c r="D593" s="26"/>
    </row>
    <row r="594" ht="15.75" customHeight="1">
      <c r="B594" s="66"/>
      <c r="D594" s="26"/>
    </row>
    <row r="595" ht="15.75" customHeight="1">
      <c r="B595" s="66"/>
      <c r="D595" s="26"/>
    </row>
    <row r="596" ht="15.75" customHeight="1">
      <c r="B596" s="66"/>
      <c r="D596" s="26"/>
    </row>
    <row r="597" ht="15.75" customHeight="1">
      <c r="B597" s="66"/>
      <c r="D597" s="26"/>
    </row>
    <row r="598" ht="15.75" customHeight="1">
      <c r="B598" s="66"/>
      <c r="D598" s="26"/>
    </row>
    <row r="599" ht="15.75" customHeight="1">
      <c r="B599" s="66"/>
      <c r="D599" s="26"/>
    </row>
    <row r="600" ht="15.75" customHeight="1">
      <c r="B600" s="66"/>
      <c r="D600" s="26"/>
    </row>
    <row r="601" ht="15.75" customHeight="1">
      <c r="B601" s="66"/>
      <c r="D601" s="26"/>
    </row>
    <row r="602" ht="15.75" customHeight="1">
      <c r="B602" s="66"/>
      <c r="D602" s="26"/>
    </row>
    <row r="603" ht="15.75" customHeight="1">
      <c r="B603" s="66"/>
      <c r="D603" s="26"/>
    </row>
    <row r="604" ht="15.75" customHeight="1">
      <c r="B604" s="66"/>
      <c r="D604" s="26"/>
    </row>
    <row r="605" ht="15.75" customHeight="1">
      <c r="B605" s="66"/>
      <c r="D605" s="26"/>
    </row>
    <row r="606" ht="15.75" customHeight="1">
      <c r="B606" s="66"/>
      <c r="D606" s="26"/>
    </row>
    <row r="607" ht="15.75" customHeight="1">
      <c r="B607" s="66"/>
      <c r="D607" s="26"/>
    </row>
    <row r="608" ht="15.75" customHeight="1">
      <c r="B608" s="66"/>
      <c r="D608" s="26"/>
    </row>
    <row r="609" ht="15.75" customHeight="1">
      <c r="B609" s="66"/>
      <c r="D609" s="26"/>
    </row>
    <row r="610" ht="15.75" customHeight="1">
      <c r="B610" s="66"/>
      <c r="D610" s="26"/>
    </row>
    <row r="611" ht="15.75" customHeight="1">
      <c r="B611" s="66"/>
      <c r="D611" s="26"/>
    </row>
    <row r="612" ht="15.75" customHeight="1">
      <c r="B612" s="66"/>
      <c r="D612" s="26"/>
    </row>
    <row r="613" ht="15.75" customHeight="1">
      <c r="B613" s="66"/>
      <c r="D613" s="26"/>
    </row>
    <row r="614" ht="15.75" customHeight="1">
      <c r="B614" s="66"/>
      <c r="D614" s="26"/>
    </row>
    <row r="615" ht="15.75" customHeight="1">
      <c r="B615" s="66"/>
      <c r="D615" s="26"/>
    </row>
    <row r="616" ht="15.75" customHeight="1">
      <c r="B616" s="66"/>
      <c r="D616" s="26"/>
    </row>
    <row r="617" ht="15.75" customHeight="1">
      <c r="B617" s="66"/>
      <c r="D617" s="26"/>
    </row>
    <row r="618" ht="15.75" customHeight="1">
      <c r="B618" s="66"/>
      <c r="D618" s="26"/>
    </row>
    <row r="619" ht="15.75" customHeight="1">
      <c r="B619" s="66"/>
      <c r="D619" s="26"/>
    </row>
    <row r="620" ht="15.75" customHeight="1">
      <c r="B620" s="66"/>
      <c r="D620" s="26"/>
    </row>
    <row r="621" ht="15.75" customHeight="1">
      <c r="B621" s="66"/>
      <c r="D621" s="26"/>
    </row>
    <row r="622" ht="15.75" customHeight="1">
      <c r="B622" s="66"/>
      <c r="D622" s="26"/>
    </row>
    <row r="623" ht="15.75" customHeight="1">
      <c r="B623" s="66"/>
      <c r="D623" s="26"/>
    </row>
    <row r="624" ht="15.75" customHeight="1">
      <c r="B624" s="66"/>
      <c r="D624" s="26"/>
    </row>
    <row r="625" ht="15.75" customHeight="1">
      <c r="B625" s="66"/>
      <c r="D625" s="26"/>
    </row>
    <row r="626" ht="15.75" customHeight="1">
      <c r="B626" s="66"/>
      <c r="D626" s="26"/>
    </row>
    <row r="627" ht="15.75" customHeight="1">
      <c r="B627" s="66"/>
      <c r="D627" s="26"/>
    </row>
    <row r="628" ht="15.75" customHeight="1">
      <c r="B628" s="66"/>
      <c r="D628" s="26"/>
    </row>
    <row r="629" ht="15.75" customHeight="1">
      <c r="B629" s="66"/>
      <c r="D629" s="26"/>
    </row>
    <row r="630" ht="15.75" customHeight="1">
      <c r="B630" s="66"/>
      <c r="D630" s="26"/>
    </row>
    <row r="631" ht="15.75" customHeight="1">
      <c r="B631" s="66"/>
      <c r="D631" s="26"/>
    </row>
    <row r="632" ht="15.75" customHeight="1">
      <c r="B632" s="66"/>
      <c r="D632" s="26"/>
    </row>
    <row r="633" ht="15.75" customHeight="1">
      <c r="B633" s="66"/>
      <c r="D633" s="26"/>
    </row>
    <row r="634" ht="15.75" customHeight="1">
      <c r="B634" s="66"/>
      <c r="D634" s="26"/>
    </row>
    <row r="635" ht="15.75" customHeight="1">
      <c r="B635" s="66"/>
      <c r="D635" s="26"/>
    </row>
    <row r="636" ht="15.75" customHeight="1">
      <c r="B636" s="66"/>
      <c r="D636" s="26"/>
    </row>
    <row r="637" ht="15.75" customHeight="1">
      <c r="B637" s="66"/>
      <c r="D637" s="26"/>
    </row>
    <row r="638" ht="15.75" customHeight="1">
      <c r="B638" s="66"/>
      <c r="D638" s="26"/>
    </row>
    <row r="639" ht="15.75" customHeight="1">
      <c r="B639" s="66"/>
      <c r="D639" s="26"/>
    </row>
    <row r="640" ht="15.75" customHeight="1">
      <c r="B640" s="66"/>
      <c r="D640" s="26"/>
    </row>
    <row r="641" ht="15.75" customHeight="1">
      <c r="B641" s="66"/>
      <c r="D641" s="26"/>
    </row>
    <row r="642" ht="15.75" customHeight="1">
      <c r="B642" s="66"/>
      <c r="D642" s="26"/>
    </row>
    <row r="643" ht="15.75" customHeight="1">
      <c r="B643" s="66"/>
      <c r="D643" s="26"/>
    </row>
    <row r="644" ht="15.75" customHeight="1">
      <c r="B644" s="66"/>
      <c r="D644" s="26"/>
    </row>
    <row r="645" ht="15.75" customHeight="1">
      <c r="B645" s="66"/>
      <c r="D645" s="26"/>
    </row>
    <row r="646" ht="15.75" customHeight="1">
      <c r="B646" s="66"/>
      <c r="D646" s="26"/>
    </row>
    <row r="647" ht="15.75" customHeight="1">
      <c r="B647" s="66"/>
      <c r="D647" s="26"/>
    </row>
    <row r="648" ht="15.75" customHeight="1">
      <c r="B648" s="66"/>
      <c r="D648" s="26"/>
    </row>
    <row r="649" ht="15.75" customHeight="1">
      <c r="B649" s="66"/>
      <c r="D649" s="26"/>
    </row>
    <row r="650" ht="15.75" customHeight="1">
      <c r="B650" s="66"/>
      <c r="D650" s="26"/>
    </row>
    <row r="651" ht="15.75" customHeight="1">
      <c r="B651" s="66"/>
      <c r="D651" s="26"/>
    </row>
    <row r="652" ht="15.75" customHeight="1">
      <c r="B652" s="66"/>
      <c r="D652" s="26"/>
    </row>
    <row r="653" ht="15.75" customHeight="1">
      <c r="B653" s="66"/>
      <c r="D653" s="26"/>
    </row>
    <row r="654" ht="15.75" customHeight="1">
      <c r="B654" s="66"/>
      <c r="D654" s="26"/>
    </row>
    <row r="655" ht="15.75" customHeight="1">
      <c r="B655" s="66"/>
      <c r="D655" s="26"/>
    </row>
    <row r="656" ht="15.75" customHeight="1">
      <c r="B656" s="66"/>
      <c r="D656" s="26"/>
    </row>
    <row r="657" ht="15.75" customHeight="1">
      <c r="B657" s="66"/>
      <c r="D657" s="26"/>
    </row>
    <row r="658" ht="15.75" customHeight="1">
      <c r="B658" s="66"/>
      <c r="D658" s="26"/>
    </row>
    <row r="659" ht="15.75" customHeight="1">
      <c r="B659" s="66"/>
      <c r="D659" s="26"/>
    </row>
    <row r="660" ht="15.75" customHeight="1">
      <c r="B660" s="66"/>
      <c r="D660" s="26"/>
    </row>
    <row r="661" ht="15.75" customHeight="1">
      <c r="B661" s="66"/>
      <c r="D661" s="26"/>
    </row>
    <row r="662" ht="15.75" customHeight="1">
      <c r="B662" s="66"/>
      <c r="D662" s="26"/>
    </row>
    <row r="663" ht="15.75" customHeight="1">
      <c r="B663" s="66"/>
      <c r="D663" s="26"/>
    </row>
    <row r="664" ht="15.75" customHeight="1">
      <c r="B664" s="66"/>
      <c r="D664" s="26"/>
    </row>
    <row r="665" ht="15.75" customHeight="1">
      <c r="B665" s="66"/>
      <c r="D665" s="26"/>
    </row>
    <row r="666" ht="15.75" customHeight="1">
      <c r="B666" s="66"/>
      <c r="D666" s="26"/>
    </row>
    <row r="667" ht="15.75" customHeight="1">
      <c r="B667" s="66"/>
      <c r="D667" s="26"/>
    </row>
    <row r="668" ht="15.75" customHeight="1">
      <c r="B668" s="66"/>
      <c r="D668" s="26"/>
    </row>
    <row r="669" ht="15.75" customHeight="1">
      <c r="B669" s="66"/>
      <c r="D669" s="26"/>
    </row>
    <row r="670" ht="15.75" customHeight="1">
      <c r="B670" s="66"/>
      <c r="D670" s="26"/>
    </row>
    <row r="671" ht="15.75" customHeight="1">
      <c r="B671" s="66"/>
      <c r="D671" s="26"/>
    </row>
    <row r="672" ht="15.75" customHeight="1">
      <c r="B672" s="66"/>
      <c r="D672" s="26"/>
    </row>
    <row r="673" ht="15.75" customHeight="1">
      <c r="B673" s="66"/>
      <c r="D673" s="26"/>
    </row>
    <row r="674" ht="15.75" customHeight="1">
      <c r="B674" s="66"/>
      <c r="D674" s="26"/>
    </row>
    <row r="675" ht="15.75" customHeight="1">
      <c r="B675" s="66"/>
      <c r="D675" s="26"/>
    </row>
    <row r="676" ht="15.75" customHeight="1">
      <c r="B676" s="66"/>
      <c r="D676" s="26"/>
    </row>
    <row r="677" ht="15.75" customHeight="1">
      <c r="B677" s="66"/>
      <c r="D677" s="26"/>
    </row>
    <row r="678" ht="15.75" customHeight="1">
      <c r="B678" s="66"/>
      <c r="D678" s="26"/>
    </row>
    <row r="679" ht="15.75" customHeight="1">
      <c r="B679" s="66"/>
      <c r="D679" s="26"/>
    </row>
    <row r="680" ht="15.75" customHeight="1">
      <c r="B680" s="66"/>
      <c r="D680" s="26"/>
    </row>
    <row r="681" ht="15.75" customHeight="1">
      <c r="B681" s="66"/>
      <c r="D681" s="26"/>
    </row>
    <row r="682" ht="15.75" customHeight="1">
      <c r="B682" s="66"/>
      <c r="D682" s="26"/>
    </row>
    <row r="683" ht="15.75" customHeight="1">
      <c r="B683" s="66"/>
      <c r="D683" s="26"/>
    </row>
    <row r="684" ht="15.75" customHeight="1">
      <c r="B684" s="66"/>
      <c r="D684" s="26"/>
    </row>
    <row r="685" ht="15.75" customHeight="1">
      <c r="B685" s="66"/>
      <c r="D685" s="26"/>
    </row>
    <row r="686" ht="15.75" customHeight="1">
      <c r="B686" s="66"/>
      <c r="D686" s="26"/>
    </row>
    <row r="687" ht="15.75" customHeight="1">
      <c r="B687" s="66"/>
      <c r="D687" s="26"/>
    </row>
    <row r="688" ht="15.75" customHeight="1">
      <c r="B688" s="66"/>
      <c r="D688" s="26"/>
    </row>
    <row r="689" ht="15.75" customHeight="1">
      <c r="B689" s="66"/>
      <c r="D689" s="26"/>
    </row>
    <row r="690" ht="15.75" customHeight="1">
      <c r="B690" s="66"/>
      <c r="D690" s="26"/>
    </row>
    <row r="691" ht="15.75" customHeight="1">
      <c r="B691" s="66"/>
      <c r="D691" s="26"/>
    </row>
    <row r="692" ht="15.75" customHeight="1">
      <c r="B692" s="66"/>
      <c r="D692" s="26"/>
    </row>
    <row r="693" ht="15.75" customHeight="1">
      <c r="B693" s="66"/>
      <c r="D693" s="26"/>
    </row>
    <row r="694" ht="15.75" customHeight="1">
      <c r="B694" s="66"/>
      <c r="D694" s="26"/>
    </row>
    <row r="695" ht="15.75" customHeight="1">
      <c r="B695" s="66"/>
      <c r="D695" s="26"/>
    </row>
    <row r="696" ht="15.75" customHeight="1">
      <c r="B696" s="66"/>
      <c r="D696" s="26"/>
    </row>
    <row r="697" ht="15.75" customHeight="1">
      <c r="B697" s="66"/>
      <c r="D697" s="26"/>
    </row>
    <row r="698" ht="15.75" customHeight="1">
      <c r="B698" s="66"/>
      <c r="D698" s="26"/>
    </row>
    <row r="699" ht="15.75" customHeight="1">
      <c r="B699" s="66"/>
      <c r="D699" s="26"/>
    </row>
    <row r="700" ht="15.75" customHeight="1">
      <c r="B700" s="66"/>
      <c r="D700" s="26"/>
    </row>
    <row r="701" ht="15.75" customHeight="1">
      <c r="B701" s="66"/>
      <c r="D701" s="26"/>
    </row>
    <row r="702" ht="15.75" customHeight="1">
      <c r="B702" s="66"/>
      <c r="D702" s="26"/>
    </row>
    <row r="703" ht="15.75" customHeight="1">
      <c r="B703" s="66"/>
      <c r="D703" s="26"/>
    </row>
    <row r="704" ht="15.75" customHeight="1">
      <c r="B704" s="66"/>
      <c r="D704" s="26"/>
    </row>
    <row r="705" ht="15.75" customHeight="1">
      <c r="B705" s="66"/>
      <c r="D705" s="26"/>
    </row>
    <row r="706" ht="15.75" customHeight="1">
      <c r="B706" s="66"/>
      <c r="D706" s="26"/>
    </row>
    <row r="707" ht="15.75" customHeight="1">
      <c r="B707" s="66"/>
      <c r="D707" s="26"/>
    </row>
    <row r="708" ht="15.75" customHeight="1">
      <c r="B708" s="66"/>
      <c r="D708" s="26"/>
    </row>
    <row r="709" ht="15.75" customHeight="1">
      <c r="B709" s="66"/>
      <c r="D709" s="26"/>
    </row>
    <row r="710" ht="15.75" customHeight="1">
      <c r="B710" s="66"/>
      <c r="D710" s="26"/>
    </row>
    <row r="711" ht="15.75" customHeight="1">
      <c r="B711" s="66"/>
      <c r="D711" s="26"/>
    </row>
    <row r="712" ht="15.75" customHeight="1">
      <c r="B712" s="66"/>
      <c r="D712" s="26"/>
    </row>
    <row r="713" ht="15.75" customHeight="1">
      <c r="B713" s="66"/>
      <c r="D713" s="26"/>
    </row>
    <row r="714" ht="15.75" customHeight="1">
      <c r="B714" s="66"/>
      <c r="D714" s="26"/>
    </row>
    <row r="715" ht="15.75" customHeight="1">
      <c r="B715" s="66"/>
      <c r="D715" s="26"/>
    </row>
    <row r="716" ht="15.75" customHeight="1">
      <c r="B716" s="66"/>
      <c r="D716" s="26"/>
    </row>
    <row r="717" ht="15.75" customHeight="1">
      <c r="B717" s="66"/>
      <c r="D717" s="26"/>
    </row>
    <row r="718" ht="15.75" customHeight="1">
      <c r="B718" s="66"/>
      <c r="D718" s="26"/>
    </row>
    <row r="719" ht="15.75" customHeight="1">
      <c r="B719" s="66"/>
      <c r="D719" s="26"/>
    </row>
    <row r="720" ht="15.75" customHeight="1">
      <c r="B720" s="66"/>
      <c r="D720" s="26"/>
    </row>
    <row r="721" ht="15.75" customHeight="1">
      <c r="B721" s="66"/>
      <c r="D721" s="26"/>
    </row>
    <row r="722" ht="15.75" customHeight="1">
      <c r="B722" s="66"/>
      <c r="D722" s="26"/>
    </row>
    <row r="723" ht="15.75" customHeight="1">
      <c r="B723" s="66"/>
      <c r="D723" s="26"/>
    </row>
    <row r="724" ht="15.75" customHeight="1">
      <c r="B724" s="66"/>
      <c r="D724" s="26"/>
    </row>
    <row r="725" ht="15.75" customHeight="1">
      <c r="B725" s="66"/>
      <c r="D725" s="26"/>
    </row>
    <row r="726" ht="15.75" customHeight="1">
      <c r="B726" s="66"/>
      <c r="D726" s="26"/>
    </row>
    <row r="727" ht="15.75" customHeight="1">
      <c r="B727" s="66"/>
      <c r="D727" s="26"/>
    </row>
    <row r="728" ht="15.75" customHeight="1">
      <c r="B728" s="66"/>
      <c r="D728" s="26"/>
    </row>
    <row r="729" ht="15.75" customHeight="1">
      <c r="B729" s="66"/>
      <c r="D729" s="26"/>
    </row>
    <row r="730" ht="15.75" customHeight="1">
      <c r="B730" s="66"/>
      <c r="D730" s="26"/>
    </row>
    <row r="731" ht="15.75" customHeight="1">
      <c r="B731" s="66"/>
      <c r="D731" s="26"/>
    </row>
    <row r="732" ht="15.75" customHeight="1">
      <c r="B732" s="66"/>
      <c r="D732" s="26"/>
    </row>
    <row r="733" ht="15.75" customHeight="1">
      <c r="B733" s="66"/>
      <c r="D733" s="26"/>
    </row>
    <row r="734" ht="15.75" customHeight="1">
      <c r="B734" s="66"/>
      <c r="D734" s="26"/>
    </row>
    <row r="735" ht="15.75" customHeight="1">
      <c r="B735" s="66"/>
      <c r="D735" s="26"/>
    </row>
    <row r="736" ht="15.75" customHeight="1">
      <c r="B736" s="66"/>
      <c r="D736" s="26"/>
    </row>
    <row r="737" ht="15.75" customHeight="1">
      <c r="B737" s="66"/>
      <c r="D737" s="26"/>
    </row>
    <row r="738" ht="15.75" customHeight="1">
      <c r="B738" s="66"/>
      <c r="D738" s="26"/>
    </row>
    <row r="739" ht="15.75" customHeight="1">
      <c r="B739" s="66"/>
      <c r="D739" s="26"/>
    </row>
    <row r="740" ht="15.75" customHeight="1">
      <c r="B740" s="66"/>
      <c r="D740" s="26"/>
    </row>
    <row r="741" ht="15.75" customHeight="1">
      <c r="B741" s="66"/>
      <c r="D741" s="26"/>
    </row>
    <row r="742" ht="15.75" customHeight="1">
      <c r="B742" s="66"/>
      <c r="D742" s="26"/>
    </row>
    <row r="743" ht="15.75" customHeight="1">
      <c r="B743" s="66"/>
      <c r="D743" s="26"/>
    </row>
    <row r="744" ht="15.75" customHeight="1">
      <c r="B744" s="66"/>
      <c r="D744" s="26"/>
    </row>
    <row r="745" ht="15.75" customHeight="1">
      <c r="B745" s="66"/>
      <c r="D745" s="26"/>
    </row>
    <row r="746" ht="15.75" customHeight="1">
      <c r="B746" s="66"/>
      <c r="D746" s="26"/>
    </row>
    <row r="747" ht="15.75" customHeight="1">
      <c r="B747" s="66"/>
      <c r="D747" s="26"/>
    </row>
    <row r="748" ht="15.75" customHeight="1">
      <c r="B748" s="66"/>
      <c r="D748" s="26"/>
    </row>
    <row r="749" ht="15.75" customHeight="1">
      <c r="B749" s="66"/>
      <c r="D749" s="26"/>
    </row>
    <row r="750" ht="15.75" customHeight="1">
      <c r="B750" s="66"/>
      <c r="D750" s="26"/>
    </row>
    <row r="751" ht="15.75" customHeight="1">
      <c r="B751" s="66"/>
      <c r="D751" s="26"/>
    </row>
    <row r="752" ht="15.75" customHeight="1">
      <c r="B752" s="66"/>
      <c r="D752" s="26"/>
    </row>
    <row r="753" ht="15.75" customHeight="1">
      <c r="B753" s="66"/>
      <c r="D753" s="26"/>
    </row>
    <row r="754" ht="15.75" customHeight="1">
      <c r="B754" s="66"/>
      <c r="D754" s="26"/>
    </row>
    <row r="755" ht="15.75" customHeight="1">
      <c r="B755" s="66"/>
      <c r="D755" s="26"/>
    </row>
    <row r="756" ht="15.75" customHeight="1">
      <c r="B756" s="66"/>
      <c r="D756" s="26"/>
    </row>
    <row r="757" ht="15.75" customHeight="1">
      <c r="B757" s="66"/>
      <c r="D757" s="26"/>
    </row>
    <row r="758" ht="15.75" customHeight="1">
      <c r="B758" s="66"/>
      <c r="D758" s="26"/>
    </row>
    <row r="759" ht="15.75" customHeight="1">
      <c r="B759" s="66"/>
      <c r="D759" s="26"/>
    </row>
    <row r="760" ht="15.75" customHeight="1">
      <c r="B760" s="66"/>
      <c r="D760" s="26"/>
    </row>
    <row r="761" ht="15.75" customHeight="1">
      <c r="B761" s="66"/>
      <c r="D761" s="26"/>
    </row>
    <row r="762" ht="15.75" customHeight="1">
      <c r="B762" s="66"/>
      <c r="D762" s="26"/>
    </row>
    <row r="763" ht="15.75" customHeight="1">
      <c r="B763" s="66"/>
      <c r="D763" s="26"/>
    </row>
    <row r="764" ht="15.75" customHeight="1">
      <c r="B764" s="66"/>
      <c r="D764" s="26"/>
    </row>
    <row r="765" ht="15.75" customHeight="1">
      <c r="B765" s="66"/>
      <c r="D765" s="26"/>
    </row>
    <row r="766" ht="15.75" customHeight="1">
      <c r="B766" s="66"/>
      <c r="D766" s="26"/>
    </row>
    <row r="767" ht="15.75" customHeight="1">
      <c r="B767" s="66"/>
      <c r="D767" s="26"/>
    </row>
    <row r="768" ht="15.75" customHeight="1">
      <c r="B768" s="66"/>
      <c r="D768" s="26"/>
    </row>
    <row r="769" ht="15.75" customHeight="1">
      <c r="B769" s="66"/>
      <c r="D769" s="26"/>
    </row>
    <row r="770" ht="15.75" customHeight="1">
      <c r="B770" s="66"/>
      <c r="D770" s="26"/>
    </row>
    <row r="771" ht="15.75" customHeight="1">
      <c r="B771" s="66"/>
      <c r="D771" s="26"/>
    </row>
    <row r="772" ht="15.75" customHeight="1">
      <c r="B772" s="66"/>
      <c r="D772" s="26"/>
    </row>
    <row r="773" ht="15.75" customHeight="1">
      <c r="B773" s="66"/>
      <c r="D773" s="26"/>
    </row>
    <row r="774" ht="15.75" customHeight="1">
      <c r="B774" s="66"/>
      <c r="D774" s="26"/>
    </row>
    <row r="775" ht="15.75" customHeight="1">
      <c r="B775" s="66"/>
      <c r="D775" s="26"/>
    </row>
    <row r="776" ht="15.75" customHeight="1">
      <c r="B776" s="66"/>
      <c r="D776" s="26"/>
    </row>
    <row r="777" ht="15.75" customHeight="1">
      <c r="B777" s="66"/>
      <c r="D777" s="26"/>
    </row>
    <row r="778" ht="15.75" customHeight="1">
      <c r="B778" s="66"/>
      <c r="D778" s="26"/>
    </row>
    <row r="779" ht="15.75" customHeight="1">
      <c r="B779" s="66"/>
      <c r="D779" s="26"/>
    </row>
    <row r="780" ht="15.75" customHeight="1">
      <c r="B780" s="66"/>
      <c r="D780" s="26"/>
    </row>
    <row r="781" ht="15.75" customHeight="1">
      <c r="B781" s="66"/>
      <c r="D781" s="26"/>
    </row>
    <row r="782" ht="15.75" customHeight="1">
      <c r="B782" s="66"/>
      <c r="D782" s="26"/>
    </row>
    <row r="783" ht="15.75" customHeight="1">
      <c r="B783" s="66"/>
      <c r="D783" s="26"/>
    </row>
    <row r="784" ht="15.75" customHeight="1">
      <c r="B784" s="66"/>
      <c r="D784" s="26"/>
    </row>
    <row r="785" ht="15.75" customHeight="1">
      <c r="B785" s="66"/>
      <c r="D785" s="26"/>
    </row>
    <row r="786" ht="15.75" customHeight="1">
      <c r="B786" s="66"/>
      <c r="D786" s="26"/>
    </row>
    <row r="787" ht="15.75" customHeight="1">
      <c r="B787" s="66"/>
      <c r="D787" s="26"/>
    </row>
    <row r="788" ht="15.75" customHeight="1">
      <c r="B788" s="66"/>
      <c r="D788" s="26"/>
    </row>
    <row r="789" ht="15.75" customHeight="1">
      <c r="B789" s="66"/>
      <c r="D789" s="26"/>
    </row>
    <row r="790" ht="15.75" customHeight="1">
      <c r="B790" s="66"/>
      <c r="D790" s="26"/>
    </row>
    <row r="791" ht="15.75" customHeight="1">
      <c r="B791" s="66"/>
      <c r="D791" s="26"/>
    </row>
    <row r="792" ht="15.75" customHeight="1">
      <c r="B792" s="66"/>
      <c r="D792" s="26"/>
    </row>
    <row r="793" ht="15.75" customHeight="1">
      <c r="B793" s="66"/>
      <c r="D793" s="26"/>
    </row>
    <row r="794" ht="15.75" customHeight="1">
      <c r="B794" s="66"/>
      <c r="D794" s="26"/>
    </row>
    <row r="795" ht="15.75" customHeight="1">
      <c r="B795" s="66"/>
      <c r="D795" s="26"/>
    </row>
    <row r="796" ht="15.75" customHeight="1">
      <c r="B796" s="66"/>
      <c r="D796" s="26"/>
    </row>
    <row r="797" ht="15.75" customHeight="1">
      <c r="B797" s="66"/>
      <c r="D797" s="26"/>
    </row>
    <row r="798" ht="15.75" customHeight="1">
      <c r="B798" s="66"/>
      <c r="D798" s="26"/>
    </row>
    <row r="799" ht="15.75" customHeight="1">
      <c r="B799" s="66"/>
      <c r="D799" s="26"/>
    </row>
    <row r="800" ht="15.75" customHeight="1">
      <c r="B800" s="66"/>
      <c r="D800" s="26"/>
    </row>
    <row r="801" ht="15.75" customHeight="1">
      <c r="B801" s="66"/>
      <c r="D801" s="26"/>
    </row>
    <row r="802" ht="15.75" customHeight="1">
      <c r="B802" s="66"/>
      <c r="D802" s="26"/>
    </row>
    <row r="803" ht="15.75" customHeight="1">
      <c r="B803" s="66"/>
      <c r="D803" s="26"/>
    </row>
    <row r="804" ht="15.75" customHeight="1">
      <c r="B804" s="66"/>
      <c r="D804" s="26"/>
    </row>
    <row r="805" ht="15.75" customHeight="1">
      <c r="B805" s="66"/>
      <c r="D805" s="26"/>
    </row>
    <row r="806" ht="15.75" customHeight="1">
      <c r="B806" s="66"/>
      <c r="D806" s="26"/>
    </row>
    <row r="807" ht="15.75" customHeight="1">
      <c r="B807" s="66"/>
      <c r="D807" s="26"/>
    </row>
    <row r="808" ht="15.75" customHeight="1">
      <c r="B808" s="66"/>
      <c r="D808" s="26"/>
    </row>
    <row r="809" ht="15.75" customHeight="1">
      <c r="B809" s="66"/>
      <c r="D809" s="26"/>
    </row>
    <row r="810" ht="15.75" customHeight="1">
      <c r="B810" s="66"/>
      <c r="D810" s="26"/>
    </row>
    <row r="811" ht="15.75" customHeight="1">
      <c r="B811" s="66"/>
      <c r="D811" s="26"/>
    </row>
    <row r="812" ht="15.75" customHeight="1">
      <c r="B812" s="66"/>
      <c r="D812" s="26"/>
    </row>
    <row r="813" ht="15.75" customHeight="1">
      <c r="B813" s="66"/>
      <c r="D813" s="26"/>
    </row>
    <row r="814" ht="15.75" customHeight="1">
      <c r="B814" s="66"/>
      <c r="D814" s="26"/>
    </row>
    <row r="815" ht="15.75" customHeight="1">
      <c r="B815" s="66"/>
      <c r="D815" s="26"/>
    </row>
    <row r="816" ht="15.75" customHeight="1">
      <c r="B816" s="66"/>
      <c r="D816" s="26"/>
    </row>
    <row r="817" ht="15.75" customHeight="1">
      <c r="B817" s="66"/>
      <c r="D817" s="26"/>
    </row>
    <row r="818" ht="15.75" customHeight="1">
      <c r="B818" s="66"/>
      <c r="D818" s="26"/>
    </row>
    <row r="819" ht="15.75" customHeight="1">
      <c r="B819" s="66"/>
      <c r="D819" s="26"/>
    </row>
    <row r="820" ht="15.75" customHeight="1">
      <c r="B820" s="66"/>
      <c r="D820" s="26"/>
    </row>
    <row r="821" ht="15.75" customHeight="1">
      <c r="B821" s="66"/>
      <c r="D821" s="26"/>
    </row>
    <row r="822" ht="15.75" customHeight="1">
      <c r="B822" s="66"/>
      <c r="D822" s="26"/>
    </row>
    <row r="823" ht="15.75" customHeight="1">
      <c r="B823" s="66"/>
      <c r="D823" s="26"/>
    </row>
    <row r="824" ht="15.75" customHeight="1">
      <c r="B824" s="66"/>
      <c r="D824" s="26"/>
    </row>
    <row r="825" ht="15.75" customHeight="1">
      <c r="B825" s="66"/>
      <c r="D825" s="26"/>
    </row>
    <row r="826" ht="15.75" customHeight="1">
      <c r="B826" s="66"/>
      <c r="D826" s="26"/>
    </row>
    <row r="827" ht="15.75" customHeight="1">
      <c r="B827" s="66"/>
      <c r="D827" s="26"/>
    </row>
    <row r="828" ht="15.75" customHeight="1">
      <c r="B828" s="66"/>
      <c r="D828" s="26"/>
    </row>
    <row r="829" ht="15.75" customHeight="1">
      <c r="B829" s="66"/>
      <c r="D829" s="26"/>
    </row>
    <row r="830" ht="15.75" customHeight="1">
      <c r="B830" s="66"/>
      <c r="D830" s="26"/>
    </row>
    <row r="831" ht="15.75" customHeight="1">
      <c r="B831" s="66"/>
      <c r="D831" s="26"/>
    </row>
    <row r="832" ht="15.75" customHeight="1">
      <c r="B832" s="66"/>
      <c r="D832" s="26"/>
    </row>
    <row r="833" ht="15.75" customHeight="1">
      <c r="B833" s="66"/>
      <c r="D833" s="26"/>
    </row>
    <row r="834" ht="15.75" customHeight="1">
      <c r="B834" s="66"/>
      <c r="D834" s="26"/>
    </row>
    <row r="835" ht="15.75" customHeight="1">
      <c r="B835" s="66"/>
      <c r="D835" s="26"/>
    </row>
    <row r="836" ht="15.75" customHeight="1">
      <c r="B836" s="66"/>
      <c r="D836" s="26"/>
    </row>
    <row r="837" ht="15.75" customHeight="1">
      <c r="B837" s="66"/>
      <c r="D837" s="26"/>
    </row>
    <row r="838" ht="15.75" customHeight="1">
      <c r="B838" s="66"/>
      <c r="D838" s="26"/>
    </row>
    <row r="839" ht="15.75" customHeight="1">
      <c r="B839" s="66"/>
      <c r="D839" s="26"/>
    </row>
    <row r="840" ht="15.75" customHeight="1">
      <c r="B840" s="66"/>
      <c r="D840" s="26"/>
    </row>
    <row r="841" ht="15.75" customHeight="1">
      <c r="B841" s="66"/>
      <c r="D841" s="26"/>
    </row>
    <row r="842" ht="15.75" customHeight="1">
      <c r="B842" s="66"/>
      <c r="D842" s="26"/>
    </row>
    <row r="843" ht="15.75" customHeight="1">
      <c r="B843" s="66"/>
      <c r="D843" s="26"/>
    </row>
    <row r="844" ht="15.75" customHeight="1">
      <c r="B844" s="66"/>
      <c r="D844" s="26"/>
    </row>
    <row r="845" ht="15.75" customHeight="1">
      <c r="B845" s="66"/>
      <c r="D845" s="26"/>
    </row>
    <row r="846" ht="15.75" customHeight="1">
      <c r="B846" s="66"/>
      <c r="D846" s="26"/>
    </row>
    <row r="847" ht="15.75" customHeight="1">
      <c r="B847" s="66"/>
      <c r="D847" s="26"/>
    </row>
    <row r="848" ht="15.75" customHeight="1">
      <c r="B848" s="66"/>
      <c r="D848" s="26"/>
    </row>
    <row r="849" ht="15.75" customHeight="1">
      <c r="B849" s="66"/>
      <c r="D849" s="26"/>
    </row>
    <row r="850" ht="15.75" customHeight="1">
      <c r="B850" s="66"/>
      <c r="D850" s="26"/>
    </row>
    <row r="851" ht="15.75" customHeight="1">
      <c r="B851" s="66"/>
      <c r="D851" s="26"/>
    </row>
    <row r="852" ht="15.75" customHeight="1">
      <c r="B852" s="66"/>
      <c r="D852" s="26"/>
    </row>
    <row r="853" ht="15.75" customHeight="1">
      <c r="B853" s="66"/>
      <c r="D853" s="26"/>
    </row>
    <row r="854" ht="15.75" customHeight="1">
      <c r="B854" s="66"/>
      <c r="D854" s="26"/>
    </row>
    <row r="855" ht="15.75" customHeight="1">
      <c r="B855" s="66"/>
      <c r="D855" s="26"/>
    </row>
    <row r="856" ht="15.75" customHeight="1">
      <c r="B856" s="66"/>
      <c r="D856" s="26"/>
    </row>
    <row r="857" ht="15.75" customHeight="1">
      <c r="B857" s="66"/>
      <c r="D857" s="26"/>
    </row>
    <row r="858" ht="15.75" customHeight="1">
      <c r="B858" s="66"/>
      <c r="D858" s="26"/>
    </row>
    <row r="859" ht="15.75" customHeight="1">
      <c r="B859" s="66"/>
      <c r="D859" s="26"/>
    </row>
    <row r="860" ht="15.75" customHeight="1">
      <c r="B860" s="66"/>
      <c r="D860" s="26"/>
    </row>
    <row r="861" ht="15.75" customHeight="1">
      <c r="B861" s="66"/>
      <c r="D861" s="26"/>
    </row>
    <row r="862" ht="15.75" customHeight="1">
      <c r="B862" s="66"/>
      <c r="D862" s="26"/>
    </row>
    <row r="863" ht="15.75" customHeight="1">
      <c r="B863" s="66"/>
      <c r="D863" s="26"/>
    </row>
    <row r="864" ht="15.75" customHeight="1">
      <c r="B864" s="66"/>
      <c r="D864" s="26"/>
    </row>
    <row r="865" ht="15.75" customHeight="1">
      <c r="B865" s="66"/>
      <c r="D865" s="26"/>
    </row>
    <row r="866" ht="15.75" customHeight="1">
      <c r="B866" s="66"/>
      <c r="D866" s="26"/>
    </row>
    <row r="867" ht="15.75" customHeight="1">
      <c r="B867" s="66"/>
      <c r="D867" s="26"/>
    </row>
    <row r="868" ht="15.75" customHeight="1">
      <c r="B868" s="66"/>
      <c r="D868" s="26"/>
    </row>
    <row r="869" ht="15.75" customHeight="1">
      <c r="B869" s="66"/>
      <c r="D869" s="26"/>
    </row>
    <row r="870" ht="15.75" customHeight="1">
      <c r="B870" s="66"/>
      <c r="D870" s="26"/>
    </row>
    <row r="871" ht="15.75" customHeight="1">
      <c r="B871" s="66"/>
      <c r="D871" s="26"/>
    </row>
    <row r="872" ht="15.75" customHeight="1">
      <c r="B872" s="66"/>
      <c r="D872" s="26"/>
    </row>
    <row r="873" ht="15.75" customHeight="1">
      <c r="B873" s="66"/>
      <c r="D873" s="26"/>
    </row>
    <row r="874" ht="15.75" customHeight="1">
      <c r="B874" s="66"/>
      <c r="D874" s="26"/>
    </row>
    <row r="875" ht="15.75" customHeight="1">
      <c r="B875" s="66"/>
      <c r="D875" s="26"/>
    </row>
    <row r="876" ht="15.75" customHeight="1">
      <c r="B876" s="66"/>
      <c r="D876" s="26"/>
    </row>
    <row r="877" ht="15.75" customHeight="1">
      <c r="B877" s="66"/>
      <c r="D877" s="26"/>
    </row>
    <row r="878" ht="15.75" customHeight="1">
      <c r="B878" s="66"/>
      <c r="D878" s="26"/>
    </row>
    <row r="879" ht="15.75" customHeight="1">
      <c r="B879" s="66"/>
      <c r="D879" s="26"/>
    </row>
    <row r="880" ht="15.75" customHeight="1">
      <c r="B880" s="66"/>
      <c r="D880" s="26"/>
    </row>
    <row r="881" ht="15.75" customHeight="1">
      <c r="B881" s="66"/>
      <c r="D881" s="26"/>
    </row>
    <row r="882" ht="15.75" customHeight="1">
      <c r="B882" s="66"/>
      <c r="D882" s="26"/>
    </row>
    <row r="883" ht="15.75" customHeight="1">
      <c r="B883" s="66"/>
      <c r="D883" s="26"/>
    </row>
    <row r="884" ht="15.75" customHeight="1">
      <c r="B884" s="66"/>
      <c r="D884" s="26"/>
    </row>
    <row r="885" ht="15.75" customHeight="1">
      <c r="B885" s="66"/>
      <c r="D885" s="26"/>
    </row>
    <row r="886" ht="15.75" customHeight="1">
      <c r="B886" s="66"/>
      <c r="D886" s="26"/>
    </row>
    <row r="887" ht="15.75" customHeight="1">
      <c r="B887" s="66"/>
      <c r="D887" s="26"/>
    </row>
    <row r="888" ht="15.75" customHeight="1">
      <c r="B888" s="66"/>
      <c r="D888" s="26"/>
    </row>
    <row r="889" ht="15.75" customHeight="1">
      <c r="B889" s="66"/>
      <c r="D889" s="26"/>
    </row>
    <row r="890" ht="15.75" customHeight="1">
      <c r="B890" s="66"/>
      <c r="D890" s="26"/>
    </row>
    <row r="891" ht="15.75" customHeight="1">
      <c r="B891" s="66"/>
      <c r="D891" s="26"/>
    </row>
    <row r="892" ht="15.75" customHeight="1">
      <c r="B892" s="66"/>
      <c r="D892" s="26"/>
    </row>
    <row r="893" ht="15.75" customHeight="1">
      <c r="B893" s="66"/>
      <c r="D893" s="26"/>
    </row>
    <row r="894" ht="15.75" customHeight="1">
      <c r="B894" s="66"/>
      <c r="D894" s="26"/>
    </row>
    <row r="895" ht="15.75" customHeight="1">
      <c r="B895" s="66"/>
      <c r="D895" s="26"/>
    </row>
    <row r="896" ht="15.75" customHeight="1">
      <c r="B896" s="66"/>
      <c r="D896" s="26"/>
    </row>
    <row r="897" ht="15.75" customHeight="1">
      <c r="B897" s="66"/>
      <c r="D897" s="26"/>
    </row>
    <row r="898" ht="15.75" customHeight="1">
      <c r="B898" s="66"/>
      <c r="D898" s="26"/>
    </row>
    <row r="899" ht="15.75" customHeight="1">
      <c r="B899" s="66"/>
      <c r="D899" s="26"/>
    </row>
    <row r="900" ht="15.75" customHeight="1">
      <c r="B900" s="66"/>
      <c r="D900" s="26"/>
    </row>
    <row r="901" ht="15.75" customHeight="1">
      <c r="B901" s="66"/>
      <c r="D901" s="26"/>
    </row>
    <row r="902" ht="15.75" customHeight="1">
      <c r="B902" s="66"/>
      <c r="D902" s="26"/>
    </row>
    <row r="903" ht="15.75" customHeight="1">
      <c r="B903" s="66"/>
      <c r="D903" s="26"/>
    </row>
    <row r="904" ht="15.75" customHeight="1">
      <c r="B904" s="66"/>
      <c r="D904" s="26"/>
    </row>
    <row r="905" ht="15.75" customHeight="1">
      <c r="B905" s="66"/>
      <c r="D905" s="26"/>
    </row>
    <row r="906" ht="15.75" customHeight="1">
      <c r="B906" s="66"/>
      <c r="D906" s="26"/>
    </row>
    <row r="907" ht="15.75" customHeight="1">
      <c r="B907" s="66"/>
      <c r="D907" s="26"/>
    </row>
    <row r="908" ht="15.75" customHeight="1">
      <c r="B908" s="66"/>
      <c r="D908" s="26"/>
    </row>
    <row r="909" ht="15.75" customHeight="1">
      <c r="B909" s="66"/>
      <c r="D909" s="26"/>
    </row>
    <row r="910" ht="15.75" customHeight="1">
      <c r="B910" s="66"/>
      <c r="D910" s="26"/>
    </row>
    <row r="911" ht="15.75" customHeight="1">
      <c r="B911" s="66"/>
      <c r="D911" s="26"/>
    </row>
    <row r="912" ht="15.75" customHeight="1">
      <c r="B912" s="66"/>
      <c r="D912" s="26"/>
    </row>
    <row r="913" ht="15.75" customHeight="1">
      <c r="B913" s="66"/>
      <c r="D913" s="26"/>
    </row>
    <row r="914" ht="15.75" customHeight="1">
      <c r="B914" s="66"/>
      <c r="D914" s="26"/>
    </row>
    <row r="915" ht="15.75" customHeight="1">
      <c r="B915" s="66"/>
      <c r="D915" s="26"/>
    </row>
    <row r="916" ht="15.75" customHeight="1">
      <c r="B916" s="66"/>
      <c r="D916" s="26"/>
    </row>
    <row r="917" ht="15.75" customHeight="1">
      <c r="B917" s="66"/>
      <c r="D917" s="26"/>
    </row>
    <row r="918" ht="15.75" customHeight="1">
      <c r="B918" s="66"/>
      <c r="D918" s="26"/>
    </row>
    <row r="919" ht="15.75" customHeight="1">
      <c r="B919" s="66"/>
      <c r="D919" s="26"/>
    </row>
    <row r="920" ht="15.75" customHeight="1">
      <c r="B920" s="66"/>
      <c r="D920" s="26"/>
    </row>
    <row r="921" ht="15.75" customHeight="1">
      <c r="B921" s="66"/>
      <c r="D921" s="26"/>
    </row>
    <row r="922" ht="15.75" customHeight="1">
      <c r="B922" s="66"/>
      <c r="D922" s="26"/>
    </row>
    <row r="923" ht="15.75" customHeight="1">
      <c r="B923" s="66"/>
      <c r="D923" s="26"/>
    </row>
    <row r="924" ht="15.75" customHeight="1">
      <c r="B924" s="66"/>
      <c r="D924" s="26"/>
    </row>
    <row r="925" ht="15.75" customHeight="1">
      <c r="B925" s="66"/>
      <c r="D925" s="26"/>
    </row>
    <row r="926" ht="15.75" customHeight="1">
      <c r="B926" s="66"/>
      <c r="D926" s="26"/>
    </row>
    <row r="927" ht="15.75" customHeight="1">
      <c r="B927" s="66"/>
      <c r="D927" s="26"/>
    </row>
    <row r="928" ht="15.75" customHeight="1">
      <c r="B928" s="66"/>
      <c r="D928" s="26"/>
    </row>
    <row r="929" ht="15.75" customHeight="1">
      <c r="B929" s="66"/>
      <c r="D929" s="26"/>
    </row>
    <row r="930" ht="15.75" customHeight="1">
      <c r="B930" s="66"/>
      <c r="D930" s="26"/>
    </row>
    <row r="931" ht="15.75" customHeight="1">
      <c r="B931" s="66"/>
      <c r="D931" s="26"/>
    </row>
    <row r="932" ht="15.75" customHeight="1">
      <c r="B932" s="66"/>
      <c r="D932" s="26"/>
    </row>
    <row r="933" ht="15.75" customHeight="1">
      <c r="B933" s="66"/>
      <c r="D933" s="26"/>
    </row>
    <row r="934" ht="15.75" customHeight="1">
      <c r="B934" s="66"/>
      <c r="D934" s="26"/>
    </row>
    <row r="935" ht="15.75" customHeight="1">
      <c r="B935" s="66"/>
      <c r="D935" s="26"/>
    </row>
    <row r="936" ht="15.75" customHeight="1">
      <c r="B936" s="66"/>
      <c r="D936" s="26"/>
    </row>
    <row r="937" ht="15.75" customHeight="1">
      <c r="B937" s="66"/>
      <c r="D937" s="26"/>
    </row>
    <row r="938" ht="15.75" customHeight="1">
      <c r="B938" s="66"/>
      <c r="D938" s="26"/>
    </row>
    <row r="939" ht="15.75" customHeight="1">
      <c r="B939" s="66"/>
      <c r="D939" s="26"/>
    </row>
    <row r="940" ht="15.75" customHeight="1">
      <c r="B940" s="66"/>
      <c r="D940" s="26"/>
    </row>
    <row r="941" ht="15.75" customHeight="1">
      <c r="B941" s="66"/>
      <c r="D941" s="26"/>
    </row>
    <row r="942" ht="15.75" customHeight="1">
      <c r="B942" s="66"/>
      <c r="D942" s="26"/>
    </row>
    <row r="943" ht="15.75" customHeight="1">
      <c r="B943" s="66"/>
      <c r="D943" s="26"/>
    </row>
    <row r="944" ht="15.75" customHeight="1">
      <c r="B944" s="66"/>
      <c r="D944" s="26"/>
    </row>
    <row r="945" ht="15.75" customHeight="1">
      <c r="B945" s="66"/>
      <c r="D945" s="26"/>
    </row>
    <row r="946" ht="15.75" customHeight="1">
      <c r="B946" s="66"/>
      <c r="D946" s="26"/>
    </row>
    <row r="947" ht="15.75" customHeight="1">
      <c r="B947" s="66"/>
      <c r="D947" s="26"/>
    </row>
    <row r="948" ht="15.75" customHeight="1">
      <c r="B948" s="66"/>
      <c r="D948" s="26"/>
    </row>
    <row r="949" ht="15.75" customHeight="1">
      <c r="B949" s="66"/>
      <c r="D949" s="26"/>
    </row>
    <row r="950" ht="15.75" customHeight="1">
      <c r="B950" s="66"/>
      <c r="D950" s="26"/>
    </row>
    <row r="951" ht="15.75" customHeight="1">
      <c r="B951" s="66"/>
      <c r="D951" s="26"/>
    </row>
    <row r="952" ht="15.75" customHeight="1">
      <c r="B952" s="66"/>
      <c r="D952" s="26"/>
    </row>
    <row r="953" ht="15.75" customHeight="1">
      <c r="B953" s="66"/>
      <c r="D953" s="26"/>
    </row>
    <row r="954" ht="15.75" customHeight="1">
      <c r="B954" s="66"/>
      <c r="D954" s="26"/>
    </row>
    <row r="955" ht="15.75" customHeight="1">
      <c r="B955" s="66"/>
      <c r="D955" s="26"/>
    </row>
    <row r="956" ht="15.75" customHeight="1">
      <c r="B956" s="66"/>
      <c r="D956" s="26"/>
    </row>
    <row r="957" ht="15.75" customHeight="1">
      <c r="B957" s="66"/>
      <c r="D957" s="26"/>
    </row>
    <row r="958" ht="15.75" customHeight="1">
      <c r="B958" s="66"/>
      <c r="D958" s="26"/>
    </row>
    <row r="959" ht="15.75" customHeight="1">
      <c r="B959" s="66"/>
      <c r="D959" s="26"/>
    </row>
    <row r="960" ht="15.75" customHeight="1">
      <c r="B960" s="66"/>
      <c r="D960" s="26"/>
    </row>
    <row r="961" ht="15.75" customHeight="1">
      <c r="B961" s="66"/>
      <c r="D961" s="26"/>
    </row>
    <row r="962" ht="15.75" customHeight="1">
      <c r="B962" s="66"/>
      <c r="D962" s="26"/>
    </row>
    <row r="963" ht="15.75" customHeight="1">
      <c r="B963" s="66"/>
      <c r="D963" s="26"/>
    </row>
    <row r="964" ht="15.75" customHeight="1">
      <c r="B964" s="66"/>
      <c r="D964" s="26"/>
    </row>
    <row r="965" ht="15.75" customHeight="1">
      <c r="B965" s="66"/>
      <c r="D965" s="26"/>
    </row>
    <row r="966" ht="15.75" customHeight="1">
      <c r="B966" s="66"/>
      <c r="D966" s="26"/>
    </row>
    <row r="967" ht="15.75" customHeight="1">
      <c r="B967" s="66"/>
      <c r="D967" s="26"/>
    </row>
    <row r="968" ht="15.75" customHeight="1">
      <c r="B968" s="66"/>
      <c r="D968" s="26"/>
    </row>
    <row r="969" ht="15.75" customHeight="1">
      <c r="B969" s="66"/>
      <c r="D969" s="26"/>
    </row>
    <row r="970" ht="15.75" customHeight="1">
      <c r="B970" s="66"/>
      <c r="D970" s="26"/>
    </row>
    <row r="971" ht="15.75" customHeight="1">
      <c r="B971" s="66"/>
      <c r="D971" s="26"/>
    </row>
    <row r="972" ht="15.75" customHeight="1">
      <c r="B972" s="66"/>
      <c r="D972" s="26"/>
    </row>
    <row r="973" ht="15.75" customHeight="1">
      <c r="B973" s="66"/>
      <c r="D973" s="26"/>
    </row>
    <row r="974" ht="15.75" customHeight="1">
      <c r="B974" s="66"/>
      <c r="D974" s="26"/>
    </row>
    <row r="975" ht="15.75" customHeight="1">
      <c r="B975" s="66"/>
      <c r="D975" s="26"/>
    </row>
    <row r="976" ht="15.75" customHeight="1">
      <c r="B976" s="66"/>
      <c r="D976" s="26"/>
    </row>
    <row r="977" ht="15.75" customHeight="1">
      <c r="B977" s="66"/>
      <c r="D977" s="26"/>
    </row>
    <row r="978" ht="15.75" customHeight="1">
      <c r="B978" s="66"/>
      <c r="D978" s="26"/>
    </row>
    <row r="979" ht="15.75" customHeight="1">
      <c r="B979" s="66"/>
      <c r="D979" s="26"/>
    </row>
    <row r="980" ht="15.75" customHeight="1">
      <c r="B980" s="66"/>
      <c r="D980" s="26"/>
    </row>
    <row r="981" ht="15.75" customHeight="1">
      <c r="B981" s="66"/>
      <c r="D981" s="26"/>
    </row>
    <row r="982" ht="15.75" customHeight="1">
      <c r="B982" s="66"/>
      <c r="D982" s="26"/>
    </row>
    <row r="983" ht="15.75" customHeight="1">
      <c r="B983" s="66"/>
      <c r="D983" s="26"/>
    </row>
    <row r="984" ht="15.75" customHeight="1">
      <c r="B984" s="66"/>
      <c r="D984" s="26"/>
    </row>
    <row r="985" ht="15.75" customHeight="1">
      <c r="B985" s="66"/>
      <c r="D985" s="26"/>
    </row>
    <row r="986" ht="15.75" customHeight="1">
      <c r="B986" s="66"/>
      <c r="D986" s="26"/>
    </row>
    <row r="987" ht="15.75" customHeight="1">
      <c r="B987" s="66"/>
      <c r="D987" s="26"/>
    </row>
    <row r="988" ht="15.75" customHeight="1">
      <c r="B988" s="66"/>
      <c r="D988" s="26"/>
    </row>
    <row r="989" ht="15.75" customHeight="1">
      <c r="B989" s="66"/>
      <c r="D989" s="26"/>
    </row>
    <row r="990" ht="15.75" customHeight="1">
      <c r="B990" s="66"/>
      <c r="D990" s="26"/>
    </row>
    <row r="991" ht="15.75" customHeight="1">
      <c r="B991" s="66"/>
      <c r="D991" s="26"/>
    </row>
    <row r="992" ht="15.75" customHeight="1">
      <c r="B992" s="66"/>
      <c r="D992" s="26"/>
    </row>
    <row r="993" ht="15.75" customHeight="1">
      <c r="B993" s="66"/>
      <c r="D993" s="26"/>
    </row>
    <row r="994" ht="15.75" customHeight="1">
      <c r="B994" s="66"/>
      <c r="D994" s="26"/>
    </row>
    <row r="995" ht="15.75" customHeight="1">
      <c r="B995" s="66"/>
      <c r="D995" s="26"/>
    </row>
    <row r="996" ht="15.75" customHeight="1">
      <c r="B996" s="66"/>
      <c r="D996" s="26"/>
    </row>
    <row r="997" ht="15.75" customHeight="1">
      <c r="B997" s="66"/>
      <c r="D997" s="26"/>
    </row>
    <row r="998" ht="15.75" customHeight="1">
      <c r="B998" s="66"/>
      <c r="D998" s="26"/>
    </row>
    <row r="999" ht="15.75" customHeight="1">
      <c r="B999" s="66"/>
      <c r="D999" s="26"/>
    </row>
    <row r="1000" ht="15.75" customHeight="1">
      <c r="B1000" s="66"/>
      <c r="D1000" s="26"/>
    </row>
  </sheetData>
  <mergeCells count="4">
    <mergeCell ref="C13:D13"/>
    <mergeCell ref="B39:B41"/>
    <mergeCell ref="C39:C41"/>
    <mergeCell ref="F39:F41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10.57"/>
    <col customWidth="1" min="3" max="3" width="19.29"/>
    <col customWidth="1" min="4" max="4" width="12.14"/>
    <col customWidth="1" min="5" max="5" width="15.71"/>
    <col customWidth="1" min="6" max="6" width="10.86"/>
    <col customWidth="1" min="7" max="7" width="12.0"/>
    <col customWidth="1" min="8" max="26" width="9.0"/>
  </cols>
  <sheetData>
    <row r="3" ht="44.25" customHeight="1">
      <c r="B3" s="306" t="s">
        <v>310</v>
      </c>
      <c r="C3" s="306" t="s">
        <v>311</v>
      </c>
      <c r="D3" s="306" t="s">
        <v>312</v>
      </c>
      <c r="E3" s="306" t="s">
        <v>313</v>
      </c>
      <c r="F3" s="306" t="s">
        <v>135</v>
      </c>
      <c r="G3" s="306" t="s">
        <v>136</v>
      </c>
    </row>
    <row r="4">
      <c r="B4" s="34" t="s">
        <v>314</v>
      </c>
      <c r="D4" s="37">
        <v>3500000.0</v>
      </c>
      <c r="E4" s="307">
        <v>0.0</v>
      </c>
      <c r="F4" s="32">
        <f t="shared" ref="F4:F11" si="1">D4/12</f>
        <v>291666.6667</v>
      </c>
      <c r="G4" s="37">
        <f t="shared" ref="G4:G11" si="2">F4/22</f>
        <v>13257.57576</v>
      </c>
      <c r="H4" s="117"/>
    </row>
    <row r="5">
      <c r="B5" s="34" t="s">
        <v>69</v>
      </c>
      <c r="D5" s="37">
        <v>2500000.0</v>
      </c>
      <c r="E5" s="307">
        <v>0.0</v>
      </c>
      <c r="F5" s="32">
        <f t="shared" si="1"/>
        <v>208333.3333</v>
      </c>
      <c r="G5" s="37">
        <f t="shared" si="2"/>
        <v>9469.69697</v>
      </c>
      <c r="H5" s="117"/>
    </row>
    <row r="6">
      <c r="B6" s="34" t="s">
        <v>69</v>
      </c>
      <c r="D6" s="37">
        <v>2000000.0</v>
      </c>
      <c r="E6" s="307">
        <v>0.0</v>
      </c>
      <c r="F6" s="32">
        <f t="shared" si="1"/>
        <v>166666.6667</v>
      </c>
      <c r="G6" s="37">
        <f t="shared" si="2"/>
        <v>7575.757576</v>
      </c>
      <c r="H6" s="117"/>
    </row>
    <row r="7">
      <c r="B7" s="34" t="s">
        <v>315</v>
      </c>
      <c r="D7" s="37">
        <v>1900000.0</v>
      </c>
      <c r="E7" s="307">
        <v>0.0</v>
      </c>
      <c r="F7" s="32">
        <f t="shared" si="1"/>
        <v>158333.3333</v>
      </c>
      <c r="G7" s="37">
        <f t="shared" si="2"/>
        <v>7196.969697</v>
      </c>
      <c r="H7" s="117"/>
    </row>
    <row r="8">
      <c r="B8" s="34" t="s">
        <v>316</v>
      </c>
      <c r="D8" s="37">
        <v>1000000.0</v>
      </c>
      <c r="E8" s="307">
        <v>0.0</v>
      </c>
      <c r="F8" s="32">
        <f t="shared" si="1"/>
        <v>83333.33333</v>
      </c>
      <c r="G8" s="37">
        <f t="shared" si="2"/>
        <v>3787.878788</v>
      </c>
      <c r="H8" s="117"/>
    </row>
    <row r="9">
      <c r="B9" s="34" t="s">
        <v>317</v>
      </c>
      <c r="D9" s="37">
        <v>900000.0</v>
      </c>
      <c r="E9" s="307">
        <v>0.0</v>
      </c>
      <c r="F9" s="32">
        <f t="shared" si="1"/>
        <v>75000</v>
      </c>
      <c r="G9" s="37">
        <f t="shared" si="2"/>
        <v>3409.090909</v>
      </c>
      <c r="H9" s="117"/>
    </row>
    <row r="10">
      <c r="B10" s="71" t="s">
        <v>318</v>
      </c>
      <c r="C10" s="71"/>
      <c r="D10" s="32">
        <v>600000.0</v>
      </c>
      <c r="E10" s="307">
        <v>0.0</v>
      </c>
      <c r="F10" s="32">
        <f t="shared" si="1"/>
        <v>50000</v>
      </c>
      <c r="G10" s="37">
        <f t="shared" si="2"/>
        <v>2272.727273</v>
      </c>
      <c r="H10" s="117"/>
    </row>
    <row r="11">
      <c r="B11" s="34" t="s">
        <v>319</v>
      </c>
      <c r="D11" s="37">
        <v>500000.0</v>
      </c>
      <c r="E11" s="307">
        <v>0.0</v>
      </c>
      <c r="F11" s="32">
        <f t="shared" si="1"/>
        <v>41666.66667</v>
      </c>
      <c r="G11" s="37">
        <f t="shared" si="2"/>
        <v>1893.939394</v>
      </c>
    </row>
    <row r="12">
      <c r="B12" s="308" t="s">
        <v>18</v>
      </c>
      <c r="C12" s="308"/>
      <c r="D12" s="309">
        <f t="shared" ref="D12:G12" si="3">SUM(D4:D11)</f>
        <v>12900000</v>
      </c>
      <c r="E12" s="309">
        <f t="shared" si="3"/>
        <v>0</v>
      </c>
      <c r="F12" s="309">
        <f t="shared" si="3"/>
        <v>1075000</v>
      </c>
      <c r="G12" s="309">
        <f t="shared" si="3"/>
        <v>48863.63636</v>
      </c>
    </row>
    <row r="15">
      <c r="A15" s="34" t="s">
        <v>320</v>
      </c>
      <c r="B15" s="34" t="s">
        <v>321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16.0"/>
    <col customWidth="1" min="2" max="2" width="9.43"/>
    <col customWidth="1" min="3" max="3" width="8.14"/>
    <col customWidth="1" min="4" max="5" width="4.86"/>
    <col customWidth="1" min="6" max="6" width="10.14"/>
    <col customWidth="1" min="7" max="7" width="12.86"/>
    <col customWidth="1" min="8" max="8" width="13.0"/>
    <col customWidth="1" min="9" max="19" width="13.29"/>
    <col customWidth="1" min="20" max="22" width="12.86"/>
    <col customWidth="1" min="23" max="39" width="12.57"/>
  </cols>
  <sheetData>
    <row r="1">
      <c r="A1" s="73"/>
      <c r="B1" s="34"/>
      <c r="C1" s="34"/>
      <c r="D1" s="34"/>
      <c r="E1" s="34"/>
      <c r="F1" s="34"/>
      <c r="G1" s="74">
        <v>0.3</v>
      </c>
      <c r="H1" s="72"/>
      <c r="I1" s="74">
        <v>0.4</v>
      </c>
      <c r="J1" s="37"/>
      <c r="K1" s="310" t="s">
        <v>322</v>
      </c>
      <c r="L1" s="311"/>
      <c r="M1" s="311"/>
      <c r="N1" s="312">
        <v>0.6</v>
      </c>
      <c r="O1" s="313" t="s">
        <v>323</v>
      </c>
      <c r="P1" s="311"/>
      <c r="Q1" s="311"/>
      <c r="R1" s="311"/>
      <c r="S1" s="314" t="s">
        <v>324</v>
      </c>
      <c r="T1" s="182"/>
      <c r="U1" s="315"/>
      <c r="V1" s="315"/>
      <c r="W1" s="75" t="s">
        <v>51</v>
      </c>
      <c r="X1" s="75" t="s">
        <v>52</v>
      </c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</row>
    <row r="2">
      <c r="A2" s="76" t="s">
        <v>54</v>
      </c>
      <c r="B2" s="77" t="s">
        <v>55</v>
      </c>
      <c r="C2" s="77" t="s">
        <v>56</v>
      </c>
      <c r="D2" s="77" t="s">
        <v>57</v>
      </c>
      <c r="E2" s="77" t="s">
        <v>44</v>
      </c>
      <c r="F2" s="77" t="s">
        <v>58</v>
      </c>
      <c r="G2" s="77" t="s">
        <v>59</v>
      </c>
      <c r="H2" s="77" t="s">
        <v>60</v>
      </c>
      <c r="I2" s="77" t="s">
        <v>61</v>
      </c>
      <c r="J2" s="316"/>
      <c r="K2" s="317" t="s">
        <v>58</v>
      </c>
      <c r="L2" s="317" t="s">
        <v>59</v>
      </c>
      <c r="M2" s="318" t="s">
        <v>63</v>
      </c>
      <c r="N2" s="318" t="s">
        <v>61</v>
      </c>
      <c r="O2" s="319" t="s">
        <v>58</v>
      </c>
      <c r="P2" s="319" t="s">
        <v>59</v>
      </c>
      <c r="Q2" s="320" t="s">
        <v>63</v>
      </c>
      <c r="R2" s="321" t="s">
        <v>61</v>
      </c>
      <c r="S2" s="322" t="s">
        <v>58</v>
      </c>
      <c r="T2" s="322" t="s">
        <v>61</v>
      </c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79"/>
      <c r="AL2" s="79"/>
      <c r="AM2" s="79"/>
    </row>
    <row r="3">
      <c r="A3" s="81" t="s">
        <v>64</v>
      </c>
      <c r="B3" s="82" t="s">
        <v>65</v>
      </c>
      <c r="C3" s="82" t="s">
        <v>69</v>
      </c>
      <c r="D3" s="84">
        <f>'Elapse sheet_Development'!AH2</f>
        <v>3</v>
      </c>
      <c r="E3" s="82">
        <f>'Elapse sheet_Development'!AI2</f>
        <v>15</v>
      </c>
      <c r="F3" s="85">
        <f>'As per HR'!K5</f>
        <v>11363.63636</v>
      </c>
      <c r="G3" s="85">
        <f t="shared" ref="G3:G22" si="1">F3*(1+$G$1)</f>
        <v>14772.72727</v>
      </c>
      <c r="H3" s="85">
        <f t="shared" ref="H3:H22" si="2">G3*E3</f>
        <v>221590.9091</v>
      </c>
      <c r="I3" s="85">
        <f t="shared" ref="I3:I22" si="3">H3/(1-$I$1)</f>
        <v>369318.1818</v>
      </c>
      <c r="J3" s="110"/>
      <c r="K3" s="323" t="str">
        <f t="shared" ref="K3:K22" si="4">X3</f>
        <v>#ERROR!</v>
      </c>
      <c r="L3" s="324" t="str">
        <f t="shared" ref="L3:L22" si="5">K3*(1+$G$1)</f>
        <v>#ERROR!</v>
      </c>
      <c r="M3" s="324" t="str">
        <f t="shared" ref="M3:M22" si="6">L3*E3</f>
        <v>#ERROR!</v>
      </c>
      <c r="N3" s="325" t="str">
        <f t="shared" ref="N3:N22" si="7">M3/(1-$N$1)</f>
        <v>#ERROR!</v>
      </c>
      <c r="O3" s="326">
        <f t="shared" ref="O3:O22" si="8">W3</f>
        <v>12637.36264</v>
      </c>
      <c r="P3" s="326">
        <f t="shared" ref="P3:P22" si="9">O3*(1+$G$1)</f>
        <v>16428.57143</v>
      </c>
      <c r="Q3" s="327">
        <f t="shared" ref="Q3:Q22" si="10">P3*E3</f>
        <v>246428.5714</v>
      </c>
      <c r="R3" s="326">
        <f t="shared" ref="R3:R22" si="11">Q3+(Q3*40%)</f>
        <v>345000</v>
      </c>
      <c r="S3" s="328">
        <f>44*85*8</f>
        <v>29920</v>
      </c>
      <c r="T3" s="329">
        <f t="shared" ref="T3:T22" si="12">S3*E3</f>
        <v>448800</v>
      </c>
      <c r="U3" s="37"/>
      <c r="V3" s="37"/>
      <c r="W3" s="37">
        <f>AB3</f>
        <v>12637.36264</v>
      </c>
      <c r="X3" s="87" t="str">
        <f>[2]Costing!$F$3</f>
        <v>#ERROR!</v>
      </c>
      <c r="Y3" s="34"/>
      <c r="Z3" s="34">
        <f>23000</f>
        <v>23000</v>
      </c>
      <c r="AA3" s="34">
        <f>Z3/140*100</f>
        <v>16428.57143</v>
      </c>
      <c r="AB3" s="34">
        <f>AA3/130*100</f>
        <v>12637.36264</v>
      </c>
      <c r="AC3" s="34"/>
      <c r="AD3" s="73"/>
      <c r="AE3" s="73"/>
      <c r="AF3" s="73"/>
      <c r="AG3" s="73"/>
      <c r="AH3" s="73"/>
      <c r="AI3" s="73"/>
      <c r="AJ3" s="73"/>
      <c r="AK3" s="73"/>
      <c r="AL3" s="73"/>
      <c r="AM3" s="73"/>
    </row>
    <row r="4">
      <c r="A4" s="88"/>
      <c r="B4" s="34" t="s">
        <v>66</v>
      </c>
      <c r="C4" s="34" t="s">
        <v>69</v>
      </c>
      <c r="D4" s="87">
        <f>'Elapse sheet_Development'!AH3</f>
        <v>3</v>
      </c>
      <c r="E4" s="34">
        <f>'Elapse sheet_Development'!AI3</f>
        <v>15</v>
      </c>
      <c r="F4" s="89">
        <f>'As per HR'!K6</f>
        <v>7575.757576</v>
      </c>
      <c r="G4" s="89">
        <f t="shared" si="1"/>
        <v>9848.484848</v>
      </c>
      <c r="H4" s="89">
        <f t="shared" si="2"/>
        <v>147727.2727</v>
      </c>
      <c r="I4" s="89">
        <f t="shared" si="3"/>
        <v>246212.1212</v>
      </c>
      <c r="J4" s="37"/>
      <c r="K4" s="330" t="str">
        <f t="shared" si="4"/>
        <v>#ERROR!</v>
      </c>
      <c r="L4" s="331" t="str">
        <f t="shared" si="5"/>
        <v>#ERROR!</v>
      </c>
      <c r="M4" s="331" t="str">
        <f t="shared" si="6"/>
        <v>#ERROR!</v>
      </c>
      <c r="N4" s="325" t="str">
        <f t="shared" si="7"/>
        <v>#ERROR!</v>
      </c>
      <c r="O4" s="326">
        <f t="shared" si="8"/>
        <v>12637.36264</v>
      </c>
      <c r="P4" s="326">
        <f t="shared" si="9"/>
        <v>16428.57143</v>
      </c>
      <c r="Q4" s="327">
        <f t="shared" si="10"/>
        <v>246428.5714</v>
      </c>
      <c r="R4" s="326">
        <f t="shared" si="11"/>
        <v>345000</v>
      </c>
      <c r="S4" s="328">
        <f>32*85*8</f>
        <v>21760</v>
      </c>
      <c r="T4" s="329">
        <f t="shared" si="12"/>
        <v>326400</v>
      </c>
      <c r="U4" s="37"/>
      <c r="V4" s="37"/>
      <c r="W4" s="37">
        <f t="shared" ref="W4:W22" si="14">W3</f>
        <v>12637.36264</v>
      </c>
      <c r="X4" s="87" t="str">
        <f>[2]Costing!$F$3</f>
        <v>#ERROR!</v>
      </c>
      <c r="Y4" s="34"/>
      <c r="Z4" s="34"/>
      <c r="AA4" s="34"/>
      <c r="AB4" s="34">
        <f>AB3*100/130</f>
        <v>9721.048183</v>
      </c>
      <c r="AC4" s="34">
        <f>AB3*130%</f>
        <v>16428.57143</v>
      </c>
      <c r="AD4" s="34"/>
      <c r="AE4" s="34"/>
      <c r="AF4" s="34"/>
      <c r="AG4" s="34"/>
      <c r="AH4" s="34"/>
      <c r="AI4" s="34"/>
      <c r="AJ4" s="34"/>
      <c r="AK4" s="34"/>
      <c r="AL4" s="34"/>
      <c r="AM4" s="34"/>
    </row>
    <row r="5">
      <c r="A5" s="91"/>
      <c r="B5" s="92" t="s">
        <v>73</v>
      </c>
      <c r="C5" s="92" t="s">
        <v>69</v>
      </c>
      <c r="D5" s="101" t="str">
        <f t="shared" ref="D5:E5" si="13">#REF!</f>
        <v>#REF!</v>
      </c>
      <c r="E5" s="92" t="str">
        <f t="shared" si="13"/>
        <v>#REF!</v>
      </c>
      <c r="F5" s="93">
        <f>'As per HR'!K7</f>
        <v>11363.63636</v>
      </c>
      <c r="G5" s="93">
        <f t="shared" si="1"/>
        <v>14772.72727</v>
      </c>
      <c r="H5" s="94" t="str">
        <f t="shared" si="2"/>
        <v>#REF!</v>
      </c>
      <c r="I5" s="94" t="str">
        <f t="shared" si="3"/>
        <v>#REF!</v>
      </c>
      <c r="J5" s="94" t="str">
        <f>SUM(I3:I5)</f>
        <v>#REF!</v>
      </c>
      <c r="K5" s="330" t="str">
        <f t="shared" si="4"/>
        <v>#ERROR!</v>
      </c>
      <c r="L5" s="331" t="str">
        <f t="shared" si="5"/>
        <v>#ERROR!</v>
      </c>
      <c r="M5" s="331" t="str">
        <f t="shared" si="6"/>
        <v>#ERROR!</v>
      </c>
      <c r="N5" s="325" t="str">
        <f t="shared" si="7"/>
        <v>#ERROR!</v>
      </c>
      <c r="O5" s="326">
        <f t="shared" si="8"/>
        <v>12637.36264</v>
      </c>
      <c r="P5" s="326">
        <f t="shared" si="9"/>
        <v>16428.57143</v>
      </c>
      <c r="Q5" s="327" t="str">
        <f t="shared" si="10"/>
        <v>#REF!</v>
      </c>
      <c r="R5" s="326" t="str">
        <f t="shared" si="11"/>
        <v>#REF!</v>
      </c>
      <c r="S5" s="328">
        <f>S3</f>
        <v>29920</v>
      </c>
      <c r="T5" s="329" t="str">
        <f t="shared" si="12"/>
        <v>#REF!</v>
      </c>
      <c r="U5" s="37"/>
      <c r="V5" s="37"/>
      <c r="W5" s="37">
        <f t="shared" si="14"/>
        <v>12637.36264</v>
      </c>
      <c r="X5" s="87" t="str">
        <f>[2]Costing!$F$3</f>
        <v>#ERROR!</v>
      </c>
      <c r="Y5" s="34"/>
      <c r="Z5" s="34"/>
      <c r="AA5" s="34"/>
      <c r="AB5" s="34"/>
      <c r="AC5" s="34">
        <f>AC4*140%</f>
        <v>23000</v>
      </c>
      <c r="AD5" s="34"/>
      <c r="AE5" s="34"/>
      <c r="AF5" s="34"/>
      <c r="AG5" s="34"/>
      <c r="AH5" s="34"/>
      <c r="AI5" s="34"/>
      <c r="AJ5" s="34"/>
      <c r="AK5" s="34"/>
      <c r="AL5" s="34"/>
      <c r="AM5" s="34"/>
    </row>
    <row r="6">
      <c r="A6" s="81" t="s">
        <v>50</v>
      </c>
      <c r="B6" s="82" t="s">
        <v>65</v>
      </c>
      <c r="C6" s="82" t="s">
        <v>69</v>
      </c>
      <c r="D6" s="84">
        <f>'Elapse sheet_Development'!AH5</f>
        <v>18</v>
      </c>
      <c r="E6" s="82">
        <f>'Elapse sheet_Development'!AI5</f>
        <v>90</v>
      </c>
      <c r="F6" s="85">
        <f t="shared" ref="F6:F8" si="15">F3</f>
        <v>11363.63636</v>
      </c>
      <c r="G6" s="85">
        <f t="shared" si="1"/>
        <v>14772.72727</v>
      </c>
      <c r="H6" s="85">
        <f t="shared" si="2"/>
        <v>1329545.455</v>
      </c>
      <c r="I6" s="85">
        <f t="shared" si="3"/>
        <v>2215909.091</v>
      </c>
      <c r="J6" s="110"/>
      <c r="K6" s="330" t="str">
        <f t="shared" si="4"/>
        <v>#ERROR!</v>
      </c>
      <c r="L6" s="331" t="str">
        <f t="shared" si="5"/>
        <v>#ERROR!</v>
      </c>
      <c r="M6" s="331" t="str">
        <f t="shared" si="6"/>
        <v>#ERROR!</v>
      </c>
      <c r="N6" s="325" t="str">
        <f t="shared" si="7"/>
        <v>#ERROR!</v>
      </c>
      <c r="O6" s="326">
        <f t="shared" si="8"/>
        <v>12637.36264</v>
      </c>
      <c r="P6" s="326">
        <f t="shared" si="9"/>
        <v>16428.57143</v>
      </c>
      <c r="Q6" s="327">
        <f t="shared" si="10"/>
        <v>1478571.429</v>
      </c>
      <c r="R6" s="326">
        <f t="shared" si="11"/>
        <v>2070000</v>
      </c>
      <c r="S6" s="328">
        <f t="shared" ref="S6:S7" si="16">S3</f>
        <v>29920</v>
      </c>
      <c r="T6" s="329">
        <f t="shared" si="12"/>
        <v>2692800</v>
      </c>
      <c r="U6" s="37"/>
      <c r="V6" s="37"/>
      <c r="W6" s="37">
        <f t="shared" si="14"/>
        <v>12637.36264</v>
      </c>
      <c r="X6" s="87" t="str">
        <f>[2]Costing!$F$3</f>
        <v>#ERROR!</v>
      </c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</row>
    <row r="7">
      <c r="A7" s="88"/>
      <c r="B7" s="34" t="s">
        <v>66</v>
      </c>
      <c r="C7" s="34" t="s">
        <v>69</v>
      </c>
      <c r="D7" s="87">
        <f>'Elapse sheet_Development'!AH8</f>
        <v>19</v>
      </c>
      <c r="E7" s="34">
        <f>'Elapse sheet_Development'!AI8</f>
        <v>95</v>
      </c>
      <c r="F7" s="89">
        <f t="shared" si="15"/>
        <v>7575.757576</v>
      </c>
      <c r="G7" s="89">
        <f t="shared" si="1"/>
        <v>9848.484848</v>
      </c>
      <c r="H7" s="89">
        <f t="shared" si="2"/>
        <v>935606.0606</v>
      </c>
      <c r="I7" s="89">
        <f t="shared" si="3"/>
        <v>1559343.434</v>
      </c>
      <c r="J7" s="37"/>
      <c r="K7" s="330" t="str">
        <f t="shared" si="4"/>
        <v>#ERROR!</v>
      </c>
      <c r="L7" s="331" t="str">
        <f t="shared" si="5"/>
        <v>#ERROR!</v>
      </c>
      <c r="M7" s="331" t="str">
        <f t="shared" si="6"/>
        <v>#ERROR!</v>
      </c>
      <c r="N7" s="325" t="str">
        <f t="shared" si="7"/>
        <v>#ERROR!</v>
      </c>
      <c r="O7" s="326">
        <f t="shared" si="8"/>
        <v>12637.36264</v>
      </c>
      <c r="P7" s="326">
        <f t="shared" si="9"/>
        <v>16428.57143</v>
      </c>
      <c r="Q7" s="327">
        <f t="shared" si="10"/>
        <v>1560714.286</v>
      </c>
      <c r="R7" s="326">
        <f t="shared" si="11"/>
        <v>2185000</v>
      </c>
      <c r="S7" s="328">
        <f t="shared" si="16"/>
        <v>21760</v>
      </c>
      <c r="T7" s="329">
        <f t="shared" si="12"/>
        <v>2067200</v>
      </c>
      <c r="U7" s="37"/>
      <c r="V7" s="37"/>
      <c r="W7" s="37">
        <f t="shared" si="14"/>
        <v>12637.36264</v>
      </c>
      <c r="X7" s="87" t="str">
        <f>[2]Costing!$F$3</f>
        <v>#ERROR!</v>
      </c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</row>
    <row r="8">
      <c r="A8" s="88"/>
      <c r="B8" s="34" t="s">
        <v>73</v>
      </c>
      <c r="C8" s="34" t="s">
        <v>69</v>
      </c>
      <c r="D8" s="87">
        <f>'Elapse sheet_Development'!AH10</f>
        <v>49</v>
      </c>
      <c r="E8" s="34">
        <f>'Elapse sheet_Development'!AI10</f>
        <v>245</v>
      </c>
      <c r="F8" s="89">
        <f t="shared" si="15"/>
        <v>11363.63636</v>
      </c>
      <c r="G8" s="89">
        <f t="shared" si="1"/>
        <v>14772.72727</v>
      </c>
      <c r="H8" s="89">
        <f t="shared" si="2"/>
        <v>3619318.182</v>
      </c>
      <c r="I8" s="89">
        <f t="shared" si="3"/>
        <v>6032196.97</v>
      </c>
      <c r="J8" s="37"/>
      <c r="K8" s="330" t="str">
        <f t="shared" si="4"/>
        <v>#ERROR!</v>
      </c>
      <c r="L8" s="331" t="str">
        <f t="shared" si="5"/>
        <v>#ERROR!</v>
      </c>
      <c r="M8" s="331" t="str">
        <f t="shared" si="6"/>
        <v>#ERROR!</v>
      </c>
      <c r="N8" s="325" t="str">
        <f t="shared" si="7"/>
        <v>#ERROR!</v>
      </c>
      <c r="O8" s="326">
        <f t="shared" si="8"/>
        <v>12637.36264</v>
      </c>
      <c r="P8" s="326">
        <f t="shared" si="9"/>
        <v>16428.57143</v>
      </c>
      <c r="Q8" s="327">
        <f t="shared" si="10"/>
        <v>4025000</v>
      </c>
      <c r="R8" s="326">
        <f t="shared" si="11"/>
        <v>5635000</v>
      </c>
      <c r="S8" s="328">
        <f>S3</f>
        <v>29920</v>
      </c>
      <c r="T8" s="329">
        <f t="shared" si="12"/>
        <v>7330400</v>
      </c>
      <c r="U8" s="37"/>
      <c r="V8" s="37"/>
      <c r="W8" s="37">
        <f t="shared" si="14"/>
        <v>12637.36264</v>
      </c>
      <c r="X8" s="87" t="str">
        <f>[2]Costing!$F$3</f>
        <v>#ERROR!</v>
      </c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</row>
    <row r="9">
      <c r="A9" s="88"/>
      <c r="B9" s="34" t="s">
        <v>111</v>
      </c>
      <c r="C9" s="34" t="s">
        <v>316</v>
      </c>
      <c r="D9" s="87">
        <f>'Elapse sheet_Development'!AH11</f>
        <v>19</v>
      </c>
      <c r="E9" s="34">
        <f>'Elapse sheet_Development'!AI11</f>
        <v>95</v>
      </c>
      <c r="F9" s="89">
        <f>'As per HR'!K10</f>
        <v>7575.757576</v>
      </c>
      <c r="G9" s="89">
        <f t="shared" si="1"/>
        <v>9848.484848</v>
      </c>
      <c r="H9" s="89">
        <f t="shared" si="2"/>
        <v>935606.0606</v>
      </c>
      <c r="I9" s="89">
        <f t="shared" si="3"/>
        <v>1559343.434</v>
      </c>
      <c r="J9" s="89">
        <f>SUM(I6:I9)</f>
        <v>11366792.93</v>
      </c>
      <c r="K9" s="330" t="str">
        <f t="shared" si="4"/>
        <v>#REF!</v>
      </c>
      <c r="L9" s="331" t="str">
        <f t="shared" si="5"/>
        <v>#REF!</v>
      </c>
      <c r="M9" s="331" t="str">
        <f t="shared" si="6"/>
        <v>#REF!</v>
      </c>
      <c r="N9" s="325" t="str">
        <f t="shared" si="7"/>
        <v>#REF!</v>
      </c>
      <c r="O9" s="326">
        <f t="shared" si="8"/>
        <v>12637.36264</v>
      </c>
      <c r="P9" s="326">
        <f t="shared" si="9"/>
        <v>16428.57143</v>
      </c>
      <c r="Q9" s="327">
        <f t="shared" si="10"/>
        <v>1560714.286</v>
      </c>
      <c r="R9" s="326">
        <f t="shared" si="11"/>
        <v>2185000</v>
      </c>
      <c r="S9" s="328">
        <f>S3</f>
        <v>29920</v>
      </c>
      <c r="T9" s="329">
        <f t="shared" si="12"/>
        <v>2842400</v>
      </c>
      <c r="U9" s="37"/>
      <c r="V9" s="37"/>
      <c r="W9" s="37">
        <f t="shared" si="14"/>
        <v>12637.36264</v>
      </c>
      <c r="X9" s="87" t="str">
        <f>'[2]Person Day cost'!$G$8</f>
        <v>#REF!</v>
      </c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</row>
    <row r="10">
      <c r="A10" s="81" t="s">
        <v>68</v>
      </c>
      <c r="B10" s="82" t="s">
        <v>65</v>
      </c>
      <c r="C10" s="82" t="s">
        <v>69</v>
      </c>
      <c r="D10" s="84">
        <f>'Elapse sheet_Development'!AH16</f>
        <v>1</v>
      </c>
      <c r="E10" s="82">
        <f>'Elapse sheet_Development'!AI16</f>
        <v>5</v>
      </c>
      <c r="F10" s="85">
        <f>F3</f>
        <v>11363.63636</v>
      </c>
      <c r="G10" s="85">
        <f t="shared" si="1"/>
        <v>14772.72727</v>
      </c>
      <c r="H10" s="85">
        <f t="shared" si="2"/>
        <v>73863.63636</v>
      </c>
      <c r="I10" s="85">
        <f t="shared" si="3"/>
        <v>123106.0606</v>
      </c>
      <c r="J10" s="110"/>
      <c r="K10" s="330" t="str">
        <f t="shared" si="4"/>
        <v>#ERROR!</v>
      </c>
      <c r="L10" s="331" t="str">
        <f t="shared" si="5"/>
        <v>#ERROR!</v>
      </c>
      <c r="M10" s="331" t="str">
        <f t="shared" si="6"/>
        <v>#ERROR!</v>
      </c>
      <c r="N10" s="325" t="str">
        <f t="shared" si="7"/>
        <v>#ERROR!</v>
      </c>
      <c r="O10" s="326">
        <f t="shared" si="8"/>
        <v>12637.36264</v>
      </c>
      <c r="P10" s="326">
        <f t="shared" si="9"/>
        <v>16428.57143</v>
      </c>
      <c r="Q10" s="327">
        <f t="shared" si="10"/>
        <v>82142.85714</v>
      </c>
      <c r="R10" s="326">
        <f t="shared" si="11"/>
        <v>115000</v>
      </c>
      <c r="S10" s="328">
        <f t="shared" ref="S10:S11" si="17">S3</f>
        <v>29920</v>
      </c>
      <c r="T10" s="329">
        <f t="shared" si="12"/>
        <v>149600</v>
      </c>
      <c r="U10" s="37"/>
      <c r="V10" s="37"/>
      <c r="W10" s="37">
        <f t="shared" si="14"/>
        <v>12637.36264</v>
      </c>
      <c r="X10" s="87" t="str">
        <f>[2]Costing!$F$3</f>
        <v>#ERROR!</v>
      </c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</row>
    <row r="11">
      <c r="A11" s="88"/>
      <c r="B11" s="34" t="s">
        <v>66</v>
      </c>
      <c r="C11" s="34" t="s">
        <v>69</v>
      </c>
      <c r="D11" s="87">
        <f>'Elapse sheet_Development'!AH18</f>
        <v>1</v>
      </c>
      <c r="E11" s="34">
        <f>'Elapse sheet_Development'!AI18</f>
        <v>5</v>
      </c>
      <c r="F11" s="89">
        <f t="shared" ref="F11:F13" si="18">F7</f>
        <v>7575.757576</v>
      </c>
      <c r="G11" s="89">
        <f t="shared" si="1"/>
        <v>9848.484848</v>
      </c>
      <c r="H11" s="89">
        <f t="shared" si="2"/>
        <v>49242.42424</v>
      </c>
      <c r="I11" s="89">
        <f t="shared" si="3"/>
        <v>82070.70707</v>
      </c>
      <c r="J11" s="37"/>
      <c r="K11" s="330" t="str">
        <f t="shared" si="4"/>
        <v>#ERROR!</v>
      </c>
      <c r="L11" s="331" t="str">
        <f t="shared" si="5"/>
        <v>#ERROR!</v>
      </c>
      <c r="M11" s="331" t="str">
        <f t="shared" si="6"/>
        <v>#ERROR!</v>
      </c>
      <c r="N11" s="325" t="str">
        <f t="shared" si="7"/>
        <v>#ERROR!</v>
      </c>
      <c r="O11" s="326">
        <f t="shared" si="8"/>
        <v>12637.36264</v>
      </c>
      <c r="P11" s="326">
        <f t="shared" si="9"/>
        <v>16428.57143</v>
      </c>
      <c r="Q11" s="327">
        <f t="shared" si="10"/>
        <v>82142.85714</v>
      </c>
      <c r="R11" s="326">
        <f t="shared" si="11"/>
        <v>115000</v>
      </c>
      <c r="S11" s="328">
        <f t="shared" si="17"/>
        <v>21760</v>
      </c>
      <c r="T11" s="329">
        <f t="shared" si="12"/>
        <v>108800</v>
      </c>
      <c r="U11" s="37"/>
      <c r="V11" s="37"/>
      <c r="W11" s="37">
        <f t="shared" si="14"/>
        <v>12637.36264</v>
      </c>
      <c r="X11" s="87" t="str">
        <f t="shared" ref="X11:X12" si="19">X10</f>
        <v>#ERROR!</v>
      </c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</row>
    <row r="12">
      <c r="A12" s="88"/>
      <c r="B12" s="34" t="s">
        <v>73</v>
      </c>
      <c r="C12" s="34" t="s">
        <v>69</v>
      </c>
      <c r="D12" s="87">
        <f>'Elapse sheet_Development'!AH19</f>
        <v>1</v>
      </c>
      <c r="E12" s="34">
        <f>'Elapse sheet_Development'!AI19</f>
        <v>5</v>
      </c>
      <c r="F12" s="89">
        <f t="shared" si="18"/>
        <v>11363.63636</v>
      </c>
      <c r="G12" s="89">
        <f t="shared" si="1"/>
        <v>14772.72727</v>
      </c>
      <c r="H12" s="89">
        <f t="shared" si="2"/>
        <v>73863.63636</v>
      </c>
      <c r="I12" s="89">
        <f t="shared" si="3"/>
        <v>123106.0606</v>
      </c>
      <c r="J12" s="37"/>
      <c r="K12" s="330" t="str">
        <f t="shared" si="4"/>
        <v>#ERROR!</v>
      </c>
      <c r="L12" s="331" t="str">
        <f t="shared" si="5"/>
        <v>#ERROR!</v>
      </c>
      <c r="M12" s="331" t="str">
        <f t="shared" si="6"/>
        <v>#ERROR!</v>
      </c>
      <c r="N12" s="325" t="str">
        <f t="shared" si="7"/>
        <v>#ERROR!</v>
      </c>
      <c r="O12" s="326">
        <f t="shared" si="8"/>
        <v>12637.36264</v>
      </c>
      <c r="P12" s="326">
        <f t="shared" si="9"/>
        <v>16428.57143</v>
      </c>
      <c r="Q12" s="327">
        <f t="shared" si="10"/>
        <v>82142.85714</v>
      </c>
      <c r="R12" s="326">
        <f t="shared" si="11"/>
        <v>115000</v>
      </c>
      <c r="S12" s="328">
        <f>S3</f>
        <v>29920</v>
      </c>
      <c r="T12" s="329">
        <f t="shared" si="12"/>
        <v>149600</v>
      </c>
      <c r="U12" s="37"/>
      <c r="V12" s="37"/>
      <c r="W12" s="37">
        <f t="shared" si="14"/>
        <v>12637.36264</v>
      </c>
      <c r="X12" s="87" t="str">
        <f t="shared" si="19"/>
        <v>#ERROR!</v>
      </c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</row>
    <row r="13">
      <c r="A13" s="91"/>
      <c r="B13" s="92" t="s">
        <v>111</v>
      </c>
      <c r="C13" s="92" t="s">
        <v>316</v>
      </c>
      <c r="D13" s="101">
        <f>'Elapse sheet_Development'!AH21</f>
        <v>2</v>
      </c>
      <c r="E13" s="92">
        <f>'Elapse sheet_Development'!AI21</f>
        <v>10</v>
      </c>
      <c r="F13" s="94">
        <f t="shared" si="18"/>
        <v>7575.757576</v>
      </c>
      <c r="G13" s="94">
        <f t="shared" si="1"/>
        <v>9848.484848</v>
      </c>
      <c r="H13" s="94">
        <f t="shared" si="2"/>
        <v>98484.84848</v>
      </c>
      <c r="I13" s="94">
        <f t="shared" si="3"/>
        <v>164141.4141</v>
      </c>
      <c r="J13" s="94">
        <f>SUM(I10:I13)</f>
        <v>492424.2424</v>
      </c>
      <c r="K13" s="330" t="str">
        <f t="shared" si="4"/>
        <v>#REF!</v>
      </c>
      <c r="L13" s="331" t="str">
        <f t="shared" si="5"/>
        <v>#REF!</v>
      </c>
      <c r="M13" s="331" t="str">
        <f t="shared" si="6"/>
        <v>#REF!</v>
      </c>
      <c r="N13" s="325" t="str">
        <f t="shared" si="7"/>
        <v>#REF!</v>
      </c>
      <c r="O13" s="326">
        <f t="shared" si="8"/>
        <v>12637.36264</v>
      </c>
      <c r="P13" s="326">
        <f t="shared" si="9"/>
        <v>16428.57143</v>
      </c>
      <c r="Q13" s="327">
        <f t="shared" si="10"/>
        <v>164285.7143</v>
      </c>
      <c r="R13" s="326">
        <f t="shared" si="11"/>
        <v>230000</v>
      </c>
      <c r="S13" s="328">
        <f>S3</f>
        <v>29920</v>
      </c>
      <c r="T13" s="329">
        <f t="shared" si="12"/>
        <v>299200</v>
      </c>
      <c r="U13" s="37"/>
      <c r="V13" s="37"/>
      <c r="W13" s="37">
        <f t="shared" si="14"/>
        <v>12637.36264</v>
      </c>
      <c r="X13" s="87" t="str">
        <f>'[2]Person Day cost'!$G$8</f>
        <v>#REF!</v>
      </c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</row>
    <row r="14">
      <c r="A14" s="81" t="s">
        <v>184</v>
      </c>
      <c r="B14" s="82" t="s">
        <v>65</v>
      </c>
      <c r="C14" s="82" t="s">
        <v>69</v>
      </c>
      <c r="D14" s="84">
        <f>'Elapse sheet_Development'!AH22</f>
        <v>2</v>
      </c>
      <c r="E14" s="82">
        <f>'Elapse sheet_Development'!AI22</f>
        <v>10</v>
      </c>
      <c r="F14" s="85">
        <f>F3</f>
        <v>11363.63636</v>
      </c>
      <c r="G14" s="85">
        <f t="shared" si="1"/>
        <v>14772.72727</v>
      </c>
      <c r="H14" s="85">
        <f t="shared" si="2"/>
        <v>147727.2727</v>
      </c>
      <c r="I14" s="85">
        <f t="shared" si="3"/>
        <v>246212.1212</v>
      </c>
      <c r="J14" s="110"/>
      <c r="K14" s="330" t="str">
        <f t="shared" si="4"/>
        <v>#ERROR!</v>
      </c>
      <c r="L14" s="331" t="str">
        <f t="shared" si="5"/>
        <v>#ERROR!</v>
      </c>
      <c r="M14" s="331" t="str">
        <f t="shared" si="6"/>
        <v>#ERROR!</v>
      </c>
      <c r="N14" s="325" t="str">
        <f t="shared" si="7"/>
        <v>#ERROR!</v>
      </c>
      <c r="O14" s="326">
        <f t="shared" si="8"/>
        <v>12637.36264</v>
      </c>
      <c r="P14" s="326">
        <f t="shared" si="9"/>
        <v>16428.57143</v>
      </c>
      <c r="Q14" s="327">
        <f t="shared" si="10"/>
        <v>164285.7143</v>
      </c>
      <c r="R14" s="326">
        <f t="shared" si="11"/>
        <v>230000</v>
      </c>
      <c r="S14" s="328">
        <f t="shared" ref="S14:S15" si="20">S3</f>
        <v>29920</v>
      </c>
      <c r="T14" s="329">
        <f t="shared" si="12"/>
        <v>299200</v>
      </c>
      <c r="U14" s="37"/>
      <c r="V14" s="37"/>
      <c r="W14" s="37">
        <f t="shared" si="14"/>
        <v>12637.36264</v>
      </c>
      <c r="X14" s="87" t="str">
        <f>X12</f>
        <v>#ERROR!</v>
      </c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</row>
    <row r="15">
      <c r="A15" s="88"/>
      <c r="B15" s="34" t="s">
        <v>66</v>
      </c>
      <c r="C15" s="34" t="s">
        <v>69</v>
      </c>
      <c r="D15" s="87">
        <f>'Elapse sheet_Development'!AH25</f>
        <v>2</v>
      </c>
      <c r="E15" s="34">
        <f>'Elapse sheet_Development'!AI25</f>
        <v>10</v>
      </c>
      <c r="F15" s="89">
        <f t="shared" ref="F15:F18" si="21">F11</f>
        <v>7575.757576</v>
      </c>
      <c r="G15" s="89">
        <f t="shared" si="1"/>
        <v>9848.484848</v>
      </c>
      <c r="H15" s="89">
        <f t="shared" si="2"/>
        <v>98484.84848</v>
      </c>
      <c r="I15" s="89">
        <f t="shared" si="3"/>
        <v>164141.4141</v>
      </c>
      <c r="J15" s="37"/>
      <c r="K15" s="330" t="str">
        <f t="shared" si="4"/>
        <v>#ERROR!</v>
      </c>
      <c r="L15" s="331" t="str">
        <f t="shared" si="5"/>
        <v>#ERROR!</v>
      </c>
      <c r="M15" s="331" t="str">
        <f t="shared" si="6"/>
        <v>#ERROR!</v>
      </c>
      <c r="N15" s="325" t="str">
        <f t="shared" si="7"/>
        <v>#ERROR!</v>
      </c>
      <c r="O15" s="326">
        <f t="shared" si="8"/>
        <v>12637.36264</v>
      </c>
      <c r="P15" s="326">
        <f t="shared" si="9"/>
        <v>16428.57143</v>
      </c>
      <c r="Q15" s="327">
        <f t="shared" si="10"/>
        <v>164285.7143</v>
      </c>
      <c r="R15" s="326">
        <f t="shared" si="11"/>
        <v>230000</v>
      </c>
      <c r="S15" s="328">
        <f t="shared" si="20"/>
        <v>21760</v>
      </c>
      <c r="T15" s="329">
        <f t="shared" si="12"/>
        <v>217600</v>
      </c>
      <c r="U15" s="37"/>
      <c r="V15" s="37"/>
      <c r="W15" s="37">
        <f t="shared" si="14"/>
        <v>12637.36264</v>
      </c>
      <c r="X15" s="87" t="str">
        <f t="shared" ref="X15:X21" si="22">X14</f>
        <v>#ERROR!</v>
      </c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</row>
    <row r="16">
      <c r="A16" s="88"/>
      <c r="B16" s="34" t="s">
        <v>73</v>
      </c>
      <c r="C16" s="34" t="s">
        <v>69</v>
      </c>
      <c r="D16" s="87">
        <f>'Elapse sheet_Development'!AH26</f>
        <v>2</v>
      </c>
      <c r="E16" s="34">
        <f>'Elapse sheet_Development'!AI26</f>
        <v>10</v>
      </c>
      <c r="F16" s="89">
        <f t="shared" si="21"/>
        <v>11363.63636</v>
      </c>
      <c r="G16" s="89">
        <f t="shared" si="1"/>
        <v>14772.72727</v>
      </c>
      <c r="H16" s="89">
        <f t="shared" si="2"/>
        <v>147727.2727</v>
      </c>
      <c r="I16" s="89">
        <f t="shared" si="3"/>
        <v>246212.1212</v>
      </c>
      <c r="J16" s="37"/>
      <c r="K16" s="330" t="str">
        <f t="shared" si="4"/>
        <v>#ERROR!</v>
      </c>
      <c r="L16" s="331" t="str">
        <f t="shared" si="5"/>
        <v>#ERROR!</v>
      </c>
      <c r="M16" s="331" t="str">
        <f t="shared" si="6"/>
        <v>#ERROR!</v>
      </c>
      <c r="N16" s="325" t="str">
        <f t="shared" si="7"/>
        <v>#ERROR!</v>
      </c>
      <c r="O16" s="326">
        <f t="shared" si="8"/>
        <v>12637.36264</v>
      </c>
      <c r="P16" s="326">
        <f t="shared" si="9"/>
        <v>16428.57143</v>
      </c>
      <c r="Q16" s="327">
        <f t="shared" si="10"/>
        <v>164285.7143</v>
      </c>
      <c r="R16" s="326">
        <f t="shared" si="11"/>
        <v>230000</v>
      </c>
      <c r="S16" s="328">
        <f>S3</f>
        <v>29920</v>
      </c>
      <c r="T16" s="329">
        <f t="shared" si="12"/>
        <v>299200</v>
      </c>
      <c r="U16" s="37"/>
      <c r="V16" s="37"/>
      <c r="W16" s="37">
        <f t="shared" si="14"/>
        <v>12637.36264</v>
      </c>
      <c r="X16" s="87" t="str">
        <f t="shared" si="22"/>
        <v>#ERROR!</v>
      </c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</row>
    <row r="17">
      <c r="A17" s="91"/>
      <c r="B17" s="92" t="s">
        <v>111</v>
      </c>
      <c r="C17" s="92" t="s">
        <v>69</v>
      </c>
      <c r="D17" s="101">
        <f>'Elapse sheet_Development'!AH27</f>
        <v>4</v>
      </c>
      <c r="E17" s="92">
        <f>'Elapse sheet_Development'!AI27</f>
        <v>20</v>
      </c>
      <c r="F17" s="94">
        <f t="shared" si="21"/>
        <v>7575.757576</v>
      </c>
      <c r="G17" s="94">
        <f t="shared" si="1"/>
        <v>9848.484848</v>
      </c>
      <c r="H17" s="94">
        <f t="shared" si="2"/>
        <v>196969.697</v>
      </c>
      <c r="I17" s="94">
        <f t="shared" si="3"/>
        <v>328282.8283</v>
      </c>
      <c r="J17" s="94">
        <f>SUM(I14:I17)</f>
        <v>984848.4848</v>
      </c>
      <c r="K17" s="330" t="str">
        <f t="shared" si="4"/>
        <v>#ERROR!</v>
      </c>
      <c r="L17" s="331" t="str">
        <f t="shared" si="5"/>
        <v>#ERROR!</v>
      </c>
      <c r="M17" s="331" t="str">
        <f t="shared" si="6"/>
        <v>#ERROR!</v>
      </c>
      <c r="N17" s="325" t="str">
        <f t="shared" si="7"/>
        <v>#ERROR!</v>
      </c>
      <c r="O17" s="326">
        <f t="shared" si="8"/>
        <v>12637.36264</v>
      </c>
      <c r="P17" s="326">
        <f t="shared" si="9"/>
        <v>16428.57143</v>
      </c>
      <c r="Q17" s="327">
        <f t="shared" si="10"/>
        <v>328571.4286</v>
      </c>
      <c r="R17" s="326">
        <f t="shared" si="11"/>
        <v>460000</v>
      </c>
      <c r="S17" s="328">
        <f>S3</f>
        <v>29920</v>
      </c>
      <c r="T17" s="329">
        <f t="shared" si="12"/>
        <v>598400</v>
      </c>
      <c r="U17" s="37"/>
      <c r="V17" s="37"/>
      <c r="W17" s="37">
        <f t="shared" si="14"/>
        <v>12637.36264</v>
      </c>
      <c r="X17" s="87" t="str">
        <f t="shared" si="22"/>
        <v>#ERROR!</v>
      </c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</row>
    <row r="18">
      <c r="A18" s="332" t="s">
        <v>70</v>
      </c>
      <c r="B18" s="34" t="str">
        <f>'Elapse sheet_Development'!B28</f>
        <v>PM</v>
      </c>
      <c r="C18" s="34" t="s">
        <v>69</v>
      </c>
      <c r="D18" s="87">
        <f>'Elapse sheet_Development'!AH28</f>
        <v>2</v>
      </c>
      <c r="E18" s="34">
        <f>'Elapse sheet_Development'!AI28</f>
        <v>10</v>
      </c>
      <c r="F18" s="89">
        <f t="shared" si="21"/>
        <v>11363.63636</v>
      </c>
      <c r="G18" s="89">
        <f t="shared" si="1"/>
        <v>14772.72727</v>
      </c>
      <c r="H18" s="89">
        <f t="shared" si="2"/>
        <v>147727.2727</v>
      </c>
      <c r="I18" s="89">
        <f t="shared" si="3"/>
        <v>246212.1212</v>
      </c>
      <c r="J18" s="37"/>
      <c r="K18" s="330" t="str">
        <f t="shared" si="4"/>
        <v>#ERROR!</v>
      </c>
      <c r="L18" s="331" t="str">
        <f t="shared" si="5"/>
        <v>#ERROR!</v>
      </c>
      <c r="M18" s="331" t="str">
        <f t="shared" si="6"/>
        <v>#ERROR!</v>
      </c>
      <c r="N18" s="325" t="str">
        <f t="shared" si="7"/>
        <v>#ERROR!</v>
      </c>
      <c r="O18" s="326">
        <f t="shared" si="8"/>
        <v>12637.36264</v>
      </c>
      <c r="P18" s="326">
        <f t="shared" si="9"/>
        <v>16428.57143</v>
      </c>
      <c r="Q18" s="327">
        <f t="shared" si="10"/>
        <v>164285.7143</v>
      </c>
      <c r="R18" s="326">
        <f t="shared" si="11"/>
        <v>230000</v>
      </c>
      <c r="S18" s="328">
        <f>S3</f>
        <v>29920</v>
      </c>
      <c r="T18" s="329">
        <f t="shared" si="12"/>
        <v>299200</v>
      </c>
      <c r="U18" s="37"/>
      <c r="V18" s="37"/>
      <c r="W18" s="37">
        <f t="shared" si="14"/>
        <v>12637.36264</v>
      </c>
      <c r="X18" s="87" t="str">
        <f t="shared" si="22"/>
        <v>#ERROR!</v>
      </c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</row>
    <row r="19">
      <c r="A19" s="88"/>
      <c r="B19" s="34" t="str">
        <f>#REF!</f>
        <v>#REF!</v>
      </c>
      <c r="C19" s="34" t="s">
        <v>69</v>
      </c>
      <c r="D19" s="34" t="str">
        <f t="shared" ref="D19:E19" si="23">#REF!</f>
        <v>#REF!</v>
      </c>
      <c r="E19" s="34" t="str">
        <f t="shared" si="23"/>
        <v>#REF!</v>
      </c>
      <c r="F19" s="89">
        <f>F16</f>
        <v>11363.63636</v>
      </c>
      <c r="G19" s="89">
        <f t="shared" si="1"/>
        <v>14772.72727</v>
      </c>
      <c r="H19" s="89" t="str">
        <f t="shared" si="2"/>
        <v>#REF!</v>
      </c>
      <c r="I19" s="89" t="str">
        <f t="shared" si="3"/>
        <v>#REF!</v>
      </c>
      <c r="J19" s="37"/>
      <c r="K19" s="330" t="str">
        <f t="shared" si="4"/>
        <v>#ERROR!</v>
      </c>
      <c r="L19" s="331" t="str">
        <f t="shared" si="5"/>
        <v>#ERROR!</v>
      </c>
      <c r="M19" s="331" t="str">
        <f t="shared" si="6"/>
        <v>#ERROR!</v>
      </c>
      <c r="N19" s="325" t="str">
        <f t="shared" si="7"/>
        <v>#ERROR!</v>
      </c>
      <c r="O19" s="326">
        <f t="shared" si="8"/>
        <v>12637.36264</v>
      </c>
      <c r="P19" s="326">
        <f t="shared" si="9"/>
        <v>16428.57143</v>
      </c>
      <c r="Q19" s="327" t="str">
        <f t="shared" si="10"/>
        <v>#REF!</v>
      </c>
      <c r="R19" s="326" t="str">
        <f t="shared" si="11"/>
        <v>#REF!</v>
      </c>
      <c r="S19" s="328">
        <f>S3</f>
        <v>29920</v>
      </c>
      <c r="T19" s="329" t="str">
        <f t="shared" si="12"/>
        <v>#REF!</v>
      </c>
      <c r="U19" s="37"/>
      <c r="V19" s="37"/>
      <c r="W19" s="37">
        <f t="shared" si="14"/>
        <v>12637.36264</v>
      </c>
      <c r="X19" s="87" t="str">
        <f t="shared" si="22"/>
        <v>#ERROR!</v>
      </c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</row>
    <row r="20">
      <c r="A20" s="91"/>
      <c r="B20" s="92" t="str">
        <f>#REF!</f>
        <v>#REF!</v>
      </c>
      <c r="C20" s="92" t="s">
        <v>69</v>
      </c>
      <c r="D20" s="101" t="str">
        <f t="shared" ref="D20:E20" si="24">#REF!</f>
        <v>#REF!</v>
      </c>
      <c r="E20" s="92" t="str">
        <f t="shared" si="24"/>
        <v>#REF!</v>
      </c>
      <c r="F20" s="94">
        <f>'As per HR'!K9</f>
        <v>11363.63636</v>
      </c>
      <c r="G20" s="94">
        <f t="shared" si="1"/>
        <v>14772.72727</v>
      </c>
      <c r="H20" s="94" t="str">
        <f t="shared" si="2"/>
        <v>#REF!</v>
      </c>
      <c r="I20" s="94" t="str">
        <f t="shared" si="3"/>
        <v>#REF!</v>
      </c>
      <c r="J20" s="94" t="str">
        <f>SUM(I18:I20)</f>
        <v>#REF!</v>
      </c>
      <c r="K20" s="330" t="str">
        <f t="shared" si="4"/>
        <v>#ERROR!</v>
      </c>
      <c r="L20" s="331" t="str">
        <f t="shared" si="5"/>
        <v>#ERROR!</v>
      </c>
      <c r="M20" s="331" t="str">
        <f t="shared" si="6"/>
        <v>#ERROR!</v>
      </c>
      <c r="N20" s="325" t="str">
        <f t="shared" si="7"/>
        <v>#ERROR!</v>
      </c>
      <c r="O20" s="326">
        <f t="shared" si="8"/>
        <v>12637.36264</v>
      </c>
      <c r="P20" s="326">
        <f t="shared" si="9"/>
        <v>16428.57143</v>
      </c>
      <c r="Q20" s="327" t="str">
        <f t="shared" si="10"/>
        <v>#REF!</v>
      </c>
      <c r="R20" s="326" t="str">
        <f t="shared" si="11"/>
        <v>#REF!</v>
      </c>
      <c r="S20" s="328">
        <f>S3</f>
        <v>29920</v>
      </c>
      <c r="T20" s="329" t="str">
        <f t="shared" si="12"/>
        <v>#REF!</v>
      </c>
      <c r="U20" s="37"/>
      <c r="V20" s="37"/>
      <c r="W20" s="37">
        <f t="shared" si="14"/>
        <v>12637.36264</v>
      </c>
      <c r="X20" s="87" t="str">
        <f t="shared" si="22"/>
        <v>#ERROR!</v>
      </c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</row>
    <row r="21" ht="15.0" customHeight="1">
      <c r="A21" s="99" t="s">
        <v>71</v>
      </c>
      <c r="B21" s="82" t="s">
        <v>73</v>
      </c>
      <c r="C21" s="82" t="s">
        <v>69</v>
      </c>
      <c r="D21" s="84">
        <f>'Elapse sheet_Development'!AH32</f>
        <v>0</v>
      </c>
      <c r="E21" s="82">
        <f>'Elapse sheet_Development'!AI32</f>
        <v>0</v>
      </c>
      <c r="F21" s="85">
        <f>F19</f>
        <v>11363.63636</v>
      </c>
      <c r="G21" s="85">
        <f t="shared" si="1"/>
        <v>14772.72727</v>
      </c>
      <c r="H21" s="85">
        <f t="shared" si="2"/>
        <v>0</v>
      </c>
      <c r="I21" s="85">
        <f t="shared" si="3"/>
        <v>0</v>
      </c>
      <c r="J21" s="85"/>
      <c r="K21" s="330" t="str">
        <f t="shared" si="4"/>
        <v>#ERROR!</v>
      </c>
      <c r="L21" s="331" t="str">
        <f t="shared" si="5"/>
        <v>#ERROR!</v>
      </c>
      <c r="M21" s="331" t="str">
        <f t="shared" si="6"/>
        <v>#ERROR!</v>
      </c>
      <c r="N21" s="325" t="str">
        <f t="shared" si="7"/>
        <v>#ERROR!</v>
      </c>
      <c r="O21" s="326">
        <f t="shared" si="8"/>
        <v>12637.36264</v>
      </c>
      <c r="P21" s="326">
        <f t="shared" si="9"/>
        <v>16428.57143</v>
      </c>
      <c r="Q21" s="327">
        <f t="shared" si="10"/>
        <v>0</v>
      </c>
      <c r="R21" s="326">
        <f t="shared" si="11"/>
        <v>0</v>
      </c>
      <c r="S21" s="328">
        <f>S3</f>
        <v>29920</v>
      </c>
      <c r="T21" s="329">
        <f t="shared" si="12"/>
        <v>0</v>
      </c>
      <c r="U21" s="37"/>
      <c r="V21" s="37"/>
      <c r="W21" s="37">
        <f t="shared" si="14"/>
        <v>12637.36264</v>
      </c>
      <c r="X21" s="87" t="str">
        <f t="shared" si="22"/>
        <v>#ERROR!</v>
      </c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</row>
    <row r="22" ht="15.75" customHeight="1">
      <c r="A22" s="91"/>
      <c r="B22" s="92" t="s">
        <v>111</v>
      </c>
      <c r="C22" s="92" t="s">
        <v>316</v>
      </c>
      <c r="D22" s="101">
        <f>'Elapse sheet_Development'!AH35</f>
        <v>0</v>
      </c>
      <c r="E22" s="92">
        <f>'Elapse sheet_Development'!AI35</f>
        <v>0</v>
      </c>
      <c r="F22" s="94">
        <f>F17</f>
        <v>7575.757576</v>
      </c>
      <c r="G22" s="94">
        <f t="shared" si="1"/>
        <v>9848.484848</v>
      </c>
      <c r="H22" s="94">
        <f t="shared" si="2"/>
        <v>0</v>
      </c>
      <c r="I22" s="94">
        <f t="shared" si="3"/>
        <v>0</v>
      </c>
      <c r="J22" s="94">
        <f>SUM(I21:I22)</f>
        <v>0</v>
      </c>
      <c r="K22" s="330" t="str">
        <f t="shared" si="4"/>
        <v>#REF!</v>
      </c>
      <c r="L22" s="331" t="str">
        <f t="shared" si="5"/>
        <v>#REF!</v>
      </c>
      <c r="M22" s="331" t="str">
        <f t="shared" si="6"/>
        <v>#REF!</v>
      </c>
      <c r="N22" s="325" t="str">
        <f t="shared" si="7"/>
        <v>#REF!</v>
      </c>
      <c r="O22" s="326">
        <f t="shared" si="8"/>
        <v>12637.36264</v>
      </c>
      <c r="P22" s="326">
        <f t="shared" si="9"/>
        <v>16428.57143</v>
      </c>
      <c r="Q22" s="327">
        <f t="shared" si="10"/>
        <v>0</v>
      </c>
      <c r="R22" s="326">
        <f t="shared" si="11"/>
        <v>0</v>
      </c>
      <c r="S22" s="328">
        <f>S3</f>
        <v>29920</v>
      </c>
      <c r="T22" s="329">
        <f t="shared" si="12"/>
        <v>0</v>
      </c>
      <c r="U22" s="37"/>
      <c r="V22" s="37"/>
      <c r="W22" s="37">
        <f t="shared" si="14"/>
        <v>12637.36264</v>
      </c>
      <c r="X22" s="87" t="str">
        <f>X13</f>
        <v>#REF!</v>
      </c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</row>
    <row r="23" ht="15.75" customHeight="1">
      <c r="A23" s="102" t="s">
        <v>72</v>
      </c>
      <c r="B23" s="103"/>
      <c r="C23" s="103"/>
      <c r="D23" s="104" t="str">
        <f t="shared" ref="D23:E23" si="25">SUM(D3:D22)</f>
        <v>#REF!</v>
      </c>
      <c r="E23" s="103" t="str">
        <f t="shared" si="25"/>
        <v>#REF!</v>
      </c>
      <c r="F23" s="105"/>
      <c r="G23" s="105"/>
      <c r="H23" s="106" t="str">
        <f t="shared" ref="H23:I23" si="26">SUM(H3:H22)</f>
        <v>#REF!</v>
      </c>
      <c r="I23" s="106" t="str">
        <f t="shared" si="26"/>
        <v>#REF!</v>
      </c>
      <c r="J23" s="106" t="str">
        <f>SUM(J4:J22)</f>
        <v>#REF!</v>
      </c>
      <c r="K23" s="333"/>
      <c r="L23" s="334"/>
      <c r="M23" s="334" t="str">
        <f t="shared" ref="M23:N23" si="27">SUM(M3:M22)</f>
        <v>#ERROR!</v>
      </c>
      <c r="N23" s="335" t="str">
        <f t="shared" si="27"/>
        <v>#ERROR!</v>
      </c>
      <c r="O23" s="334"/>
      <c r="P23" s="334"/>
      <c r="Q23" s="334" t="str">
        <f t="shared" ref="Q23:R23" si="28">SUM(Q3:Q22)</f>
        <v>#REF!</v>
      </c>
      <c r="R23" s="334" t="str">
        <f t="shared" si="28"/>
        <v>#REF!</v>
      </c>
      <c r="S23" s="334"/>
      <c r="T23" s="334" t="str">
        <f>SUM(T3:T22)</f>
        <v>#REF!</v>
      </c>
      <c r="U23" s="37"/>
      <c r="V23" s="37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</row>
    <row r="24" ht="15.75" customHeight="1">
      <c r="A24" s="108"/>
      <c r="B24" s="82"/>
      <c r="C24" s="82"/>
      <c r="D24" s="109"/>
      <c r="E24" s="109"/>
      <c r="F24" s="110"/>
      <c r="G24" s="110"/>
      <c r="H24" s="82"/>
      <c r="I24" s="82"/>
      <c r="J24" s="82"/>
      <c r="K24" s="34"/>
      <c r="L24" s="34"/>
      <c r="M24" s="34"/>
      <c r="N24" s="34"/>
      <c r="O24" s="34"/>
      <c r="P24" s="34"/>
      <c r="Q24" s="34"/>
      <c r="R24" s="34"/>
      <c r="S24" s="34"/>
      <c r="T24" s="37"/>
      <c r="U24" s="37"/>
      <c r="V24" s="37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</row>
    <row r="25" ht="15.75" customHeight="1">
      <c r="A25" s="112" t="s">
        <v>49</v>
      </c>
      <c r="B25" s="113" t="s">
        <v>73</v>
      </c>
      <c r="C25" s="113" t="s">
        <v>69</v>
      </c>
      <c r="D25" s="113">
        <f>Support!O7</f>
        <v>0</v>
      </c>
      <c r="E25" s="113">
        <f>Support!P7</f>
        <v>0</v>
      </c>
      <c r="F25" s="114">
        <f>(1000000/12)/22</f>
        <v>3787.878788</v>
      </c>
      <c r="G25" s="114">
        <f>F25*(1+$G$1)</f>
        <v>4924.242424</v>
      </c>
      <c r="H25" s="115">
        <f>G25*E25</f>
        <v>0</v>
      </c>
      <c r="I25" s="115">
        <f>H25/(1-$I$1)</f>
        <v>0</v>
      </c>
      <c r="J25" s="115">
        <f>I25</f>
        <v>0</v>
      </c>
      <c r="K25" s="336"/>
      <c r="L25" s="336"/>
      <c r="M25" s="336"/>
      <c r="N25" s="336"/>
      <c r="O25" s="336"/>
      <c r="P25" s="336"/>
      <c r="Q25" s="336"/>
      <c r="R25" s="336"/>
      <c r="S25" s="336"/>
      <c r="T25" s="37"/>
      <c r="U25" s="37"/>
      <c r="V25" s="37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</row>
    <row r="26" ht="15.75" customHeight="1">
      <c r="A26" s="34"/>
      <c r="B26" s="34"/>
      <c r="C26" s="34"/>
      <c r="D26" s="34"/>
      <c r="E26" s="34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</row>
    <row r="27" ht="15.75" customHeight="1">
      <c r="A27" s="34"/>
      <c r="B27" s="34"/>
      <c r="C27" s="34"/>
      <c r="D27" s="34"/>
      <c r="E27" s="34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</row>
    <row r="28" ht="15.75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</row>
    <row r="29" ht="15.75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6"/>
      <c r="U29" s="36"/>
      <c r="V29" s="36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</row>
    <row r="30" ht="15.75" customHeight="1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</row>
    <row r="31" ht="15.75" customHeight="1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</row>
    <row r="32" ht="15.75" customHeight="1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</row>
    <row r="33" ht="15.75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</row>
    <row r="34" ht="15.75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</row>
    <row r="35" ht="15.7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</row>
    <row r="36" ht="15.7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</row>
    <row r="37" ht="15.7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</row>
    <row r="38" ht="15.7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</row>
    <row r="39" ht="15.7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</row>
    <row r="40" ht="15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</row>
    <row r="41" ht="15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</row>
    <row r="42" ht="15.75" customHeight="1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</row>
    <row r="43" ht="15.75" customHeight="1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</row>
    <row r="44" ht="15.75" customHeight="1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</row>
    <row r="45" ht="15.75" customHeight="1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</row>
    <row r="46" ht="15.75" customHeight="1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</row>
    <row r="47" ht="15.75" customHeight="1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</row>
    <row r="48" ht="15.75" customHeight="1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</row>
    <row r="49" ht="15.75" customHeight="1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</row>
    <row r="50" ht="15.75" customHeight="1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</row>
    <row r="51" ht="15.75" customHeight="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</row>
    <row r="52" ht="15.75" customHeight="1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</row>
    <row r="53" ht="15.7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</row>
    <row r="54" ht="15.7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</row>
    <row r="55" ht="15.75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</row>
    <row r="56" ht="15.75" customHeight="1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</row>
    <row r="57" ht="15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</row>
    <row r="58" ht="15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</row>
    <row r="59" ht="15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</row>
    <row r="60" ht="15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</row>
    <row r="61" ht="15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</row>
    <row r="62" ht="15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</row>
    <row r="63" ht="15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</row>
    <row r="64" ht="15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</row>
    <row r="65" ht="15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</row>
    <row r="66" ht="15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</row>
    <row r="67" ht="15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</row>
    <row r="68" ht="15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</row>
    <row r="69" ht="15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</row>
    <row r="70" ht="15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</row>
    <row r="71" ht="15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</row>
    <row r="72" ht="15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</row>
    <row r="73" ht="15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</row>
    <row r="74" ht="15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</row>
    <row r="75" ht="15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</row>
    <row r="76" ht="15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</row>
    <row r="77" ht="15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</row>
    <row r="78" ht="15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</row>
    <row r="79" ht="15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</row>
    <row r="80" ht="15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</row>
    <row r="81" ht="15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</row>
    <row r="82" ht="15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</row>
    <row r="83" ht="15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</row>
    <row r="84" ht="15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</row>
    <row r="85" ht="15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</row>
    <row r="86" ht="15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</row>
    <row r="87" ht="15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</row>
    <row r="88" ht="15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M88" s="34"/>
    </row>
    <row r="89" ht="15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</row>
    <row r="90" ht="15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</row>
    <row r="91" ht="15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</row>
    <row r="92" ht="15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</row>
    <row r="93" ht="15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</row>
    <row r="94" ht="15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</row>
    <row r="95" ht="15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</row>
    <row r="96" ht="15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</row>
    <row r="97" ht="15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</row>
    <row r="98" ht="15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</row>
    <row r="99" ht="15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</row>
    <row r="100" ht="15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  <c r="AM100" s="34"/>
    </row>
    <row r="101" ht="15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  <c r="AL101" s="34"/>
      <c r="AM101" s="34"/>
    </row>
    <row r="102" ht="15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</row>
    <row r="103" ht="15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</row>
    <row r="104" ht="15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</row>
    <row r="105" ht="15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</row>
    <row r="106" ht="15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</row>
    <row r="107" ht="15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</row>
    <row r="108" ht="15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</row>
    <row r="109" ht="15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</row>
    <row r="110" ht="15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</row>
    <row r="111" ht="15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</row>
    <row r="112" ht="15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</row>
    <row r="113" ht="15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</row>
    <row r="114" ht="15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  <c r="AM114" s="34"/>
    </row>
    <row r="115" ht="15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</row>
    <row r="116" ht="15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</row>
    <row r="117" ht="15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</row>
    <row r="118" ht="15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</row>
    <row r="119" ht="15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</row>
    <row r="120" ht="15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</row>
    <row r="121" ht="15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</row>
    <row r="122" ht="15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</row>
    <row r="123" ht="15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</row>
    <row r="124" ht="15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</row>
    <row r="125" ht="15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</row>
    <row r="126" ht="15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</row>
    <row r="127" ht="15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</row>
    <row r="128" ht="15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</row>
    <row r="129" ht="15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</row>
    <row r="130" ht="15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</row>
    <row r="131" ht="15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</row>
    <row r="132" ht="15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</row>
    <row r="133" ht="15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</row>
    <row r="134" ht="15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</row>
    <row r="135" ht="15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</row>
    <row r="136" ht="15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</row>
    <row r="137" ht="15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</row>
    <row r="138" ht="15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</row>
    <row r="139" ht="15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</row>
    <row r="140" ht="15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</row>
    <row r="141" ht="15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</row>
    <row r="142" ht="15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</row>
    <row r="143" ht="15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</row>
    <row r="144" ht="15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</row>
    <row r="145" ht="15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</row>
    <row r="146" ht="15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</row>
    <row r="147" ht="15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</row>
    <row r="148" ht="15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</row>
    <row r="149" ht="15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</row>
    <row r="150" ht="15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</row>
    <row r="151" ht="15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</row>
    <row r="152" ht="15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</row>
    <row r="153" ht="15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</row>
    <row r="154" ht="15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</row>
    <row r="155" ht="15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</row>
    <row r="156" ht="15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</row>
    <row r="157" ht="15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</row>
    <row r="158" ht="15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</row>
    <row r="159" ht="15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</row>
    <row r="160" ht="15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</row>
    <row r="161" ht="15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</row>
    <row r="162" ht="15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</row>
    <row r="163" ht="15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</row>
    <row r="164" ht="15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</row>
    <row r="165" ht="15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</row>
    <row r="166" ht="15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</row>
    <row r="167" ht="15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</row>
    <row r="168" ht="15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</row>
    <row r="169" ht="15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</row>
    <row r="170" ht="15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</row>
    <row r="171" ht="15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</row>
    <row r="172" ht="15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</row>
    <row r="173" ht="15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</row>
    <row r="174" ht="15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</row>
    <row r="175" ht="15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</row>
    <row r="176" ht="15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</row>
    <row r="177" ht="15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</row>
    <row r="178" ht="15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</row>
    <row r="179" ht="15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</row>
    <row r="180" ht="15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</row>
    <row r="181" ht="15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</row>
    <row r="182" ht="15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</row>
    <row r="183" ht="15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</row>
    <row r="184" ht="15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</row>
    <row r="185" ht="15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</row>
    <row r="186" ht="15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</row>
    <row r="187" ht="15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</row>
    <row r="188" ht="15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</row>
    <row r="189" ht="15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</row>
    <row r="190" ht="15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</row>
    <row r="191" ht="15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</row>
    <row r="192" ht="15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</row>
    <row r="193" ht="15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</row>
    <row r="194" ht="15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</row>
    <row r="195" ht="15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</row>
    <row r="196" ht="15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</row>
    <row r="197" ht="15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</row>
    <row r="198" ht="15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</row>
    <row r="199" ht="15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</row>
    <row r="200" ht="15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</row>
    <row r="201" ht="15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</row>
    <row r="202" ht="15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</row>
    <row r="203" ht="15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</row>
    <row r="204" ht="15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</row>
    <row r="205" ht="15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</row>
    <row r="206" ht="15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</row>
    <row r="207" ht="15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</row>
    <row r="208" ht="15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</row>
    <row r="209" ht="15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</row>
    <row r="210" ht="15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</row>
    <row r="211" ht="15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</row>
    <row r="212" ht="15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</row>
    <row r="213" ht="15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</row>
    <row r="214" ht="15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</row>
    <row r="215" ht="15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</row>
    <row r="216" ht="15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</row>
    <row r="217" ht="15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</row>
    <row r="218" ht="15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</row>
    <row r="219" ht="15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</row>
    <row r="220" ht="15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</row>
    <row r="221" ht="15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</row>
    <row r="222" ht="15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</row>
    <row r="223" ht="15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</row>
    <row r="224" ht="15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</row>
    <row r="225" ht="15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</row>
    <row r="226" ht="15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</row>
    <row r="227" ht="15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</row>
    <row r="228" ht="15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</row>
    <row r="229" ht="15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</row>
    <row r="230" ht="15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</row>
    <row r="231" ht="15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</row>
    <row r="232" ht="15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</row>
    <row r="233" ht="15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</row>
    <row r="234" ht="15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</row>
    <row r="235" ht="15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</row>
    <row r="236" ht="15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</row>
    <row r="237" ht="15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</row>
    <row r="238" ht="15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</row>
    <row r="239" ht="15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</row>
    <row r="240" ht="15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</row>
    <row r="241" ht="15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</row>
    <row r="242" ht="15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</row>
    <row r="243" ht="15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</row>
    <row r="244" ht="15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</row>
    <row r="245" ht="15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</row>
    <row r="246" ht="15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</row>
    <row r="247" ht="15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</row>
    <row r="248" ht="15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</row>
    <row r="249" ht="15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</row>
    <row r="250" ht="15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</row>
    <row r="251" ht="15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</row>
    <row r="252" ht="15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</row>
    <row r="253" ht="15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</row>
    <row r="254" ht="15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</row>
    <row r="255" ht="15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</row>
    <row r="256" ht="15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</row>
    <row r="257" ht="15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</row>
    <row r="258" ht="15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</row>
    <row r="259" ht="15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</row>
    <row r="260" ht="15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</row>
    <row r="261" ht="15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</row>
    <row r="262" ht="15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</row>
    <row r="263" ht="15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</row>
    <row r="264" ht="15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</row>
    <row r="265" ht="15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</row>
    <row r="266" ht="15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</row>
    <row r="267" ht="15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</row>
    <row r="268" ht="15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</row>
    <row r="269" ht="15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</row>
    <row r="270" ht="15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</row>
    <row r="271" ht="15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</row>
    <row r="272" ht="15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</row>
    <row r="273" ht="15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</row>
    <row r="274" ht="15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</row>
    <row r="275" ht="15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</row>
    <row r="276" ht="15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</row>
    <row r="277" ht="15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</row>
    <row r="278" ht="15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</row>
    <row r="279" ht="15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</row>
    <row r="280" ht="15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</row>
    <row r="281" ht="15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</row>
    <row r="282" ht="15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</row>
    <row r="283" ht="15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</row>
    <row r="284" ht="15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</row>
    <row r="285" ht="15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</row>
    <row r="286" ht="15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</row>
    <row r="287" ht="15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</row>
    <row r="288" ht="15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</row>
    <row r="289" ht="15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</row>
    <row r="290" ht="15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</row>
    <row r="291" ht="15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</row>
    <row r="292" ht="15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</row>
    <row r="293" ht="15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</row>
    <row r="294" ht="15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</row>
    <row r="295" ht="15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</row>
    <row r="296" ht="15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</row>
    <row r="297" ht="15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</row>
    <row r="298" ht="15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</row>
    <row r="299" ht="15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</row>
    <row r="300" ht="15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</row>
    <row r="301" ht="15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</row>
    <row r="302" ht="15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</row>
    <row r="303" ht="15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</row>
    <row r="304" ht="15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</row>
    <row r="305" ht="15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</row>
    <row r="306" ht="15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</row>
    <row r="307" ht="15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</row>
    <row r="308" ht="15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</row>
    <row r="309" ht="15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</row>
    <row r="310" ht="15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</row>
    <row r="311" ht="15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</row>
    <row r="312" ht="15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</row>
    <row r="313" ht="15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</row>
    <row r="314" ht="15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</row>
    <row r="315" ht="15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</row>
    <row r="316" ht="15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</row>
    <row r="317" ht="15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</row>
    <row r="318" ht="15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</row>
    <row r="319" ht="15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</row>
    <row r="320" ht="15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</row>
    <row r="321" ht="15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</row>
    <row r="322" ht="15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</row>
    <row r="323" ht="15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</row>
    <row r="324" ht="15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</row>
    <row r="325" ht="15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</row>
    <row r="326" ht="15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</row>
    <row r="327" ht="15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</row>
    <row r="328" ht="15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</row>
    <row r="329" ht="15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</row>
    <row r="330" ht="15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</row>
    <row r="331" ht="15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</row>
    <row r="332" ht="15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</row>
    <row r="333" ht="15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</row>
    <row r="334" ht="15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</row>
    <row r="335" ht="15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</row>
    <row r="336" ht="15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</row>
    <row r="337" ht="15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</row>
    <row r="338" ht="15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</row>
    <row r="339" ht="15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</row>
    <row r="340" ht="15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</row>
    <row r="341" ht="15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</row>
    <row r="342" ht="15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</row>
    <row r="343" ht="15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</row>
    <row r="344" ht="15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</row>
    <row r="345" ht="15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</row>
    <row r="346" ht="15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</row>
    <row r="347" ht="15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</row>
    <row r="348" ht="15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</row>
    <row r="349" ht="15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</row>
    <row r="350" ht="15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</row>
    <row r="351" ht="15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</row>
    <row r="352" ht="15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</row>
    <row r="353" ht="15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</row>
    <row r="354" ht="15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</row>
    <row r="355" ht="15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</row>
    <row r="356" ht="15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</row>
    <row r="357" ht="15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</row>
    <row r="358" ht="15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</row>
    <row r="359" ht="15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</row>
    <row r="360" ht="15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</row>
    <row r="361" ht="15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</row>
    <row r="362" ht="15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</row>
    <row r="363" ht="15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</row>
    <row r="364" ht="15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</row>
    <row r="365" ht="15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</row>
    <row r="366" ht="15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</row>
    <row r="367" ht="15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</row>
    <row r="368" ht="15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</row>
    <row r="369" ht="15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</row>
    <row r="370" ht="15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</row>
    <row r="371" ht="15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</row>
    <row r="372" ht="15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</row>
    <row r="373" ht="15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</row>
    <row r="374" ht="15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</row>
    <row r="375" ht="15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</row>
    <row r="376" ht="15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</row>
    <row r="377" ht="15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</row>
    <row r="378" ht="15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</row>
    <row r="379" ht="15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</row>
    <row r="380" ht="15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</row>
    <row r="381" ht="15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</row>
    <row r="382" ht="15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</row>
    <row r="383" ht="15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</row>
    <row r="384" ht="15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</row>
    <row r="385" ht="15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</row>
    <row r="386" ht="15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</row>
    <row r="387" ht="15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</row>
    <row r="388" ht="15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</row>
    <row r="389" ht="15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</row>
    <row r="390" ht="15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</row>
    <row r="391" ht="15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</row>
    <row r="392" ht="15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</row>
    <row r="393" ht="15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</row>
    <row r="394" ht="15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</row>
    <row r="395" ht="15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</row>
    <row r="396" ht="15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</row>
    <row r="397" ht="15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</row>
    <row r="398" ht="15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</row>
    <row r="399" ht="15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</row>
    <row r="400" ht="15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</row>
    <row r="401" ht="15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</row>
    <row r="402" ht="15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</row>
    <row r="403" ht="15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</row>
    <row r="404" ht="15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</row>
    <row r="405" ht="15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</row>
    <row r="406" ht="15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</row>
    <row r="407" ht="15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</row>
    <row r="408" ht="15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</row>
    <row r="409" ht="15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</row>
    <row r="410" ht="15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</row>
    <row r="411" ht="15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</row>
    <row r="412" ht="15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</row>
    <row r="413" ht="15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</row>
    <row r="414" ht="15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</row>
    <row r="415" ht="15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</row>
    <row r="416" ht="15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</row>
    <row r="417" ht="15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</row>
    <row r="418" ht="15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</row>
    <row r="419" ht="15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</row>
    <row r="420" ht="15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</row>
    <row r="421" ht="15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</row>
    <row r="422" ht="15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</row>
    <row r="423" ht="15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</row>
    <row r="424" ht="15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</row>
    <row r="425" ht="15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</row>
    <row r="426" ht="15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</row>
    <row r="427" ht="15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</row>
    <row r="428" ht="15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</row>
    <row r="429" ht="15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</row>
    <row r="430" ht="15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</row>
    <row r="431" ht="15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</row>
    <row r="432" ht="15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</row>
    <row r="433" ht="15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</row>
    <row r="434" ht="15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</row>
    <row r="435" ht="15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</row>
    <row r="436" ht="15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</row>
    <row r="437" ht="15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</row>
    <row r="438" ht="15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</row>
    <row r="439" ht="15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</row>
    <row r="440" ht="15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</row>
    <row r="441" ht="15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</row>
    <row r="442" ht="15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</row>
    <row r="443" ht="15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</row>
    <row r="444" ht="15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</row>
    <row r="445" ht="15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</row>
    <row r="446" ht="15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</row>
    <row r="447" ht="15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</row>
    <row r="448" ht="15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</row>
    <row r="449" ht="15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</row>
    <row r="450" ht="15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</row>
    <row r="451" ht="15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</row>
    <row r="452" ht="15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</row>
    <row r="453" ht="15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</row>
    <row r="454" ht="15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</row>
    <row r="455" ht="15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</row>
    <row r="456" ht="15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</row>
    <row r="457" ht="15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</row>
    <row r="458" ht="15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</row>
    <row r="459" ht="15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</row>
    <row r="460" ht="15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</row>
    <row r="461" ht="15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</row>
    <row r="462" ht="15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</row>
    <row r="463" ht="15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</row>
    <row r="464" ht="15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</row>
    <row r="465" ht="15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</row>
    <row r="466" ht="15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</row>
    <row r="467" ht="15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</row>
    <row r="468" ht="15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</row>
    <row r="469" ht="15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</row>
    <row r="470" ht="15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</row>
    <row r="471" ht="15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</row>
    <row r="472" ht="15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</row>
    <row r="473" ht="15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</row>
    <row r="474" ht="15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</row>
    <row r="475" ht="15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</row>
    <row r="476" ht="15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</row>
    <row r="477" ht="15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</row>
    <row r="478" ht="15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</row>
    <row r="479" ht="15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</row>
    <row r="480" ht="15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</row>
    <row r="481" ht="15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</row>
    <row r="482" ht="15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</row>
    <row r="483" ht="15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</row>
    <row r="484" ht="15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</row>
    <row r="485" ht="15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</row>
    <row r="486" ht="15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</row>
    <row r="487" ht="15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</row>
    <row r="488" ht="15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</row>
    <row r="489" ht="15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</row>
    <row r="490" ht="15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</row>
    <row r="491" ht="15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</row>
    <row r="492" ht="15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</row>
    <row r="493" ht="15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</row>
    <row r="494" ht="15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</row>
    <row r="495" ht="15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</row>
    <row r="496" ht="15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</row>
    <row r="497" ht="15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</row>
    <row r="498" ht="15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</row>
    <row r="499" ht="15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</row>
    <row r="500" ht="15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</row>
    <row r="501" ht="15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</row>
    <row r="502" ht="15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</row>
    <row r="503" ht="15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</row>
    <row r="504" ht="15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</row>
    <row r="505" ht="15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</row>
    <row r="506" ht="15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</row>
    <row r="507" ht="15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</row>
    <row r="508" ht="15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</row>
    <row r="509" ht="15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</row>
    <row r="510" ht="15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</row>
    <row r="511" ht="15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</row>
    <row r="512" ht="15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</row>
    <row r="513" ht="15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</row>
    <row r="514" ht="15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</row>
    <row r="515" ht="15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</row>
    <row r="516" ht="15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</row>
    <row r="517" ht="15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</row>
    <row r="518" ht="15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</row>
    <row r="519" ht="15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</row>
    <row r="520" ht="15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</row>
    <row r="521" ht="15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</row>
    <row r="522" ht="15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</row>
    <row r="523" ht="15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</row>
    <row r="524" ht="15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</row>
    <row r="525" ht="15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</row>
    <row r="526" ht="15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</row>
    <row r="527" ht="15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</row>
    <row r="528" ht="15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</row>
    <row r="529" ht="15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</row>
    <row r="530" ht="15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</row>
    <row r="531" ht="15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</row>
    <row r="532" ht="15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</row>
    <row r="533" ht="15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</row>
    <row r="534" ht="15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</row>
    <row r="535" ht="15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</row>
    <row r="536" ht="15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</row>
    <row r="537" ht="15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</row>
    <row r="538" ht="15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</row>
    <row r="539" ht="15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</row>
    <row r="540" ht="15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</row>
    <row r="541" ht="15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</row>
    <row r="542" ht="15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</row>
    <row r="543" ht="15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</row>
    <row r="544" ht="15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</row>
    <row r="545" ht="15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</row>
    <row r="546" ht="15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</row>
    <row r="547" ht="15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</row>
    <row r="548" ht="15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</row>
    <row r="549" ht="15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</row>
    <row r="550" ht="15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</row>
    <row r="551" ht="15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</row>
    <row r="552" ht="15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</row>
    <row r="553" ht="15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</row>
    <row r="554" ht="15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</row>
    <row r="555" ht="15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</row>
    <row r="556" ht="15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</row>
    <row r="557" ht="15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</row>
    <row r="558" ht="15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</row>
    <row r="559" ht="15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</row>
    <row r="560" ht="15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</row>
    <row r="561" ht="15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</row>
    <row r="562" ht="15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</row>
    <row r="563" ht="15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</row>
    <row r="564" ht="15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</row>
    <row r="565" ht="15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</row>
    <row r="566" ht="15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</row>
    <row r="567" ht="15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</row>
    <row r="568" ht="15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</row>
    <row r="569" ht="15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</row>
    <row r="570" ht="15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</row>
    <row r="571" ht="15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</row>
    <row r="572" ht="15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</row>
    <row r="573" ht="15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</row>
    <row r="574" ht="15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</row>
    <row r="575" ht="15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</row>
    <row r="576" ht="15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</row>
    <row r="577" ht="15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</row>
    <row r="578" ht="15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</row>
    <row r="579" ht="15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</row>
    <row r="580" ht="15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</row>
    <row r="581" ht="15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</row>
    <row r="582" ht="15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</row>
    <row r="583" ht="15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</row>
    <row r="584" ht="15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</row>
    <row r="585" ht="15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</row>
    <row r="586" ht="15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</row>
    <row r="587" ht="15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</row>
    <row r="588" ht="15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</row>
    <row r="589" ht="15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</row>
    <row r="590" ht="15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</row>
    <row r="591" ht="15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</row>
    <row r="592" ht="15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</row>
    <row r="593" ht="15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</row>
    <row r="594" ht="15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</row>
    <row r="595" ht="15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</row>
    <row r="596" ht="15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</row>
    <row r="597" ht="15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</row>
    <row r="598" ht="15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</row>
    <row r="599" ht="15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</row>
    <row r="600" ht="15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</row>
    <row r="601" ht="15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</row>
    <row r="602" ht="15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</row>
    <row r="603" ht="15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</row>
    <row r="604" ht="15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</row>
    <row r="605" ht="15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</row>
    <row r="606" ht="15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</row>
    <row r="607" ht="15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</row>
    <row r="608" ht="15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</row>
    <row r="609" ht="15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</row>
    <row r="610" ht="15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</row>
    <row r="611" ht="15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</row>
    <row r="612" ht="15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</row>
    <row r="613" ht="15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</row>
    <row r="614" ht="15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</row>
    <row r="615" ht="15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</row>
    <row r="616" ht="15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</row>
    <row r="617" ht="15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</row>
    <row r="618" ht="15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</row>
    <row r="619" ht="15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</row>
    <row r="620" ht="15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</row>
    <row r="621" ht="15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</row>
    <row r="622" ht="15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</row>
    <row r="623" ht="15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</row>
    <row r="624" ht="15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</row>
    <row r="625" ht="15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</row>
    <row r="626" ht="15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</row>
    <row r="627" ht="15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</row>
    <row r="628" ht="15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</row>
    <row r="629" ht="15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</row>
    <row r="630" ht="15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</row>
    <row r="631" ht="15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</row>
    <row r="632" ht="15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</row>
    <row r="633" ht="15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</row>
    <row r="634" ht="15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</row>
    <row r="635" ht="15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</row>
    <row r="636" ht="15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</row>
    <row r="637" ht="15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</row>
    <row r="638" ht="15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</row>
    <row r="639" ht="15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</row>
    <row r="640" ht="15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</row>
    <row r="641" ht="15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</row>
    <row r="642" ht="15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</row>
    <row r="643" ht="15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</row>
    <row r="644" ht="15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</row>
    <row r="645" ht="15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</row>
    <row r="646" ht="15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</row>
    <row r="647" ht="15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</row>
    <row r="648" ht="15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</row>
    <row r="649" ht="15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</row>
    <row r="650" ht="15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</row>
    <row r="651" ht="15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</row>
    <row r="652" ht="15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</row>
    <row r="653" ht="15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</row>
    <row r="654" ht="15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</row>
    <row r="655" ht="15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</row>
    <row r="656" ht="15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</row>
    <row r="657" ht="15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</row>
    <row r="658" ht="15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</row>
    <row r="659" ht="15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</row>
    <row r="660" ht="15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</row>
    <row r="661" ht="15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</row>
    <row r="662" ht="15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</row>
    <row r="663" ht="15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</row>
    <row r="664" ht="15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</row>
    <row r="665" ht="15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</row>
    <row r="666" ht="15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</row>
    <row r="667" ht="15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</row>
    <row r="668" ht="15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</row>
    <row r="669" ht="15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</row>
    <row r="670" ht="15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</row>
    <row r="671" ht="15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</row>
    <row r="672" ht="15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</row>
    <row r="673" ht="15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</row>
    <row r="674" ht="15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</row>
    <row r="675" ht="15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</row>
    <row r="676" ht="15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</row>
    <row r="677" ht="15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</row>
    <row r="678" ht="15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</row>
    <row r="679" ht="15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</row>
    <row r="680" ht="15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</row>
    <row r="681" ht="15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</row>
    <row r="682" ht="15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</row>
    <row r="683" ht="15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</row>
    <row r="684" ht="15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</row>
    <row r="685" ht="15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</row>
    <row r="686" ht="15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</row>
    <row r="687" ht="15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</row>
    <row r="688" ht="15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</row>
    <row r="689" ht="15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</row>
    <row r="690" ht="15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</row>
    <row r="691" ht="15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</row>
    <row r="692" ht="15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</row>
    <row r="693" ht="15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</row>
    <row r="694" ht="15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</row>
    <row r="695" ht="15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</row>
    <row r="696" ht="15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</row>
    <row r="697" ht="15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</row>
    <row r="698" ht="15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</row>
    <row r="699" ht="15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</row>
    <row r="700" ht="15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</row>
    <row r="701" ht="15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</row>
    <row r="702" ht="15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</row>
    <row r="703" ht="15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</row>
    <row r="704" ht="15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</row>
    <row r="705" ht="15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</row>
    <row r="706" ht="15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</row>
    <row r="707" ht="15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</row>
    <row r="708" ht="15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</row>
    <row r="709" ht="15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</row>
    <row r="710" ht="15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</row>
    <row r="711" ht="15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</row>
    <row r="712" ht="15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</row>
    <row r="713" ht="15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</row>
    <row r="714" ht="15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</row>
    <row r="715" ht="15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</row>
    <row r="716" ht="15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</row>
    <row r="717" ht="15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</row>
    <row r="718" ht="15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</row>
    <row r="719" ht="15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</row>
    <row r="720" ht="15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</row>
    <row r="721" ht="15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</row>
    <row r="722" ht="15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</row>
    <row r="723" ht="15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</row>
    <row r="724" ht="15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</row>
    <row r="725" ht="15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</row>
    <row r="726" ht="15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</row>
    <row r="727" ht="15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</row>
    <row r="728" ht="15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</row>
    <row r="729" ht="15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</row>
    <row r="730" ht="15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</row>
    <row r="731" ht="15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</row>
    <row r="732" ht="15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</row>
    <row r="733" ht="15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</row>
    <row r="734" ht="15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</row>
    <row r="735" ht="15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</row>
    <row r="736" ht="15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</row>
    <row r="737" ht="15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</row>
    <row r="738" ht="15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</row>
    <row r="739" ht="15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</row>
    <row r="740" ht="15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</row>
    <row r="741" ht="15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</row>
    <row r="742" ht="15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</row>
    <row r="743" ht="15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</row>
    <row r="744" ht="15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</row>
    <row r="745" ht="15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</row>
    <row r="746" ht="15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</row>
    <row r="747" ht="15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</row>
    <row r="748" ht="15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</row>
    <row r="749" ht="15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</row>
    <row r="750" ht="15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</row>
    <row r="751" ht="15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</row>
    <row r="752" ht="15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</row>
    <row r="753" ht="15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</row>
    <row r="754" ht="15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</row>
    <row r="755" ht="15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</row>
    <row r="756" ht="15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</row>
    <row r="757" ht="15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</row>
    <row r="758" ht="15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</row>
    <row r="759" ht="15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</row>
    <row r="760" ht="15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</row>
    <row r="761" ht="15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</row>
    <row r="762" ht="15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</row>
    <row r="763" ht="15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</row>
    <row r="764" ht="15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</row>
    <row r="765" ht="15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</row>
    <row r="766" ht="15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</row>
    <row r="767" ht="15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</row>
    <row r="768" ht="15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</row>
    <row r="769" ht="15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</row>
    <row r="770" ht="15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</row>
    <row r="771" ht="15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</row>
    <row r="772" ht="15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</row>
    <row r="773" ht="15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</row>
    <row r="774" ht="15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</row>
    <row r="775" ht="15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</row>
    <row r="776" ht="15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</row>
    <row r="777" ht="15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</row>
    <row r="778" ht="15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</row>
    <row r="779" ht="15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</row>
    <row r="780" ht="15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</row>
    <row r="781" ht="15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</row>
    <row r="782" ht="15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</row>
    <row r="783" ht="15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</row>
    <row r="784" ht="15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</row>
    <row r="785" ht="15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</row>
    <row r="786" ht="15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</row>
    <row r="787" ht="15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</row>
    <row r="788" ht="15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</row>
    <row r="789" ht="15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</row>
    <row r="790" ht="15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</row>
    <row r="791" ht="15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</row>
    <row r="792" ht="15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</row>
    <row r="793" ht="15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</row>
    <row r="794" ht="15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</row>
    <row r="795" ht="15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</row>
    <row r="796" ht="15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</row>
    <row r="797" ht="15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</row>
    <row r="798" ht="15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</row>
    <row r="799" ht="15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</row>
    <row r="800" ht="15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</row>
    <row r="801" ht="15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</row>
    <row r="802" ht="15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</row>
    <row r="803" ht="15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</row>
    <row r="804" ht="15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</row>
    <row r="805" ht="15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</row>
    <row r="806" ht="15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</row>
    <row r="807" ht="15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</row>
    <row r="808" ht="15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</row>
    <row r="809" ht="15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</row>
    <row r="810" ht="15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</row>
    <row r="811" ht="15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</row>
    <row r="812" ht="15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</row>
    <row r="813" ht="15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</row>
    <row r="814" ht="15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</row>
    <row r="815" ht="15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</row>
    <row r="816" ht="15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</row>
    <row r="817" ht="15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</row>
    <row r="818" ht="15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</row>
    <row r="819" ht="15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</row>
    <row r="820" ht="15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</row>
    <row r="821" ht="15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</row>
    <row r="822" ht="15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</row>
    <row r="823" ht="15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</row>
    <row r="824" ht="15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</row>
    <row r="825" ht="15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</row>
    <row r="826" ht="15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</row>
    <row r="827" ht="15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</row>
    <row r="828" ht="15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</row>
    <row r="829" ht="15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</row>
    <row r="830" ht="15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</row>
    <row r="831" ht="15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</row>
    <row r="832" ht="15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</row>
    <row r="833" ht="15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</row>
    <row r="834" ht="15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</row>
    <row r="835" ht="15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</row>
    <row r="836" ht="15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</row>
    <row r="837" ht="15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</row>
    <row r="838" ht="15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</row>
    <row r="839" ht="15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</row>
    <row r="840" ht="15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</row>
    <row r="841" ht="15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</row>
    <row r="842" ht="15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</row>
    <row r="843" ht="15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</row>
    <row r="844" ht="15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</row>
    <row r="845" ht="15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</row>
    <row r="846" ht="15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</row>
    <row r="847" ht="15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</row>
    <row r="848" ht="15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</row>
    <row r="849" ht="15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</row>
    <row r="850" ht="15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</row>
    <row r="851" ht="15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</row>
    <row r="852" ht="15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</row>
    <row r="853" ht="15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</row>
    <row r="854" ht="15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</row>
    <row r="855" ht="15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</row>
    <row r="856" ht="15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</row>
    <row r="857" ht="15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</row>
    <row r="858" ht="15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</row>
    <row r="859" ht="15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</row>
    <row r="860" ht="15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</row>
    <row r="861" ht="15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</row>
    <row r="862" ht="15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</row>
    <row r="863" ht="15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</row>
    <row r="864" ht="15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</row>
    <row r="865" ht="15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</row>
    <row r="866" ht="15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</row>
    <row r="867" ht="15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</row>
    <row r="868" ht="15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</row>
    <row r="869" ht="15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</row>
    <row r="870" ht="15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</row>
    <row r="871" ht="15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</row>
    <row r="872" ht="15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</row>
    <row r="873" ht="15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</row>
    <row r="874" ht="15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</row>
    <row r="875" ht="15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</row>
    <row r="876" ht="15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</row>
    <row r="877" ht="15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</row>
    <row r="878" ht="15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</row>
    <row r="879" ht="15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</row>
    <row r="880" ht="15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</row>
    <row r="881" ht="15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</row>
    <row r="882" ht="15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</row>
    <row r="883" ht="15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</row>
    <row r="884" ht="15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</row>
    <row r="885" ht="15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</row>
    <row r="886" ht="15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</row>
    <row r="887" ht="15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</row>
    <row r="888" ht="15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</row>
    <row r="889" ht="15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</row>
    <row r="890" ht="15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</row>
    <row r="891" ht="15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</row>
    <row r="892" ht="15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</row>
    <row r="893" ht="15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</row>
    <row r="894" ht="15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</row>
    <row r="895" ht="15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</row>
    <row r="896" ht="15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</row>
    <row r="897" ht="15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</row>
    <row r="898" ht="15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</row>
    <row r="899" ht="15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</row>
    <row r="900" ht="15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</row>
    <row r="901" ht="15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</row>
    <row r="902" ht="15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</row>
    <row r="903" ht="15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</row>
    <row r="904" ht="15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</row>
    <row r="905" ht="15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</row>
    <row r="906" ht="15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</row>
    <row r="907" ht="15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</row>
    <row r="908" ht="15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</row>
    <row r="909" ht="15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</row>
    <row r="910" ht="15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</row>
    <row r="911" ht="15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</row>
    <row r="912" ht="15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</row>
    <row r="913" ht="15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</row>
    <row r="914" ht="15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</row>
    <row r="915" ht="15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</row>
    <row r="916" ht="15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</row>
    <row r="917" ht="15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</row>
    <row r="918" ht="15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</row>
    <row r="919" ht="15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</row>
    <row r="920" ht="15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</row>
    <row r="921" ht="15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</row>
    <row r="922" ht="15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</row>
    <row r="923" ht="15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</row>
    <row r="924" ht="15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</row>
    <row r="925" ht="15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</row>
    <row r="926" ht="15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</row>
    <row r="927" ht="15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</row>
    <row r="928" ht="15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</row>
    <row r="929" ht="15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</row>
    <row r="930" ht="15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</row>
    <row r="931" ht="15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</row>
    <row r="932" ht="15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</row>
    <row r="933" ht="15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</row>
    <row r="934" ht="15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</row>
    <row r="935" ht="15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</row>
    <row r="936" ht="15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</row>
    <row r="937" ht="15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</row>
    <row r="938" ht="15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</row>
    <row r="939" ht="15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</row>
    <row r="940" ht="15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</row>
    <row r="941" ht="15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</row>
    <row r="942" ht="15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</row>
    <row r="943" ht="15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</row>
    <row r="944" ht="15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</row>
    <row r="945" ht="15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</row>
    <row r="946" ht="15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</row>
    <row r="947" ht="15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</row>
    <row r="948" ht="15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</row>
    <row r="949" ht="15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</row>
    <row r="950" ht="15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</row>
    <row r="951" ht="15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</row>
    <row r="952" ht="15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</row>
    <row r="953" ht="15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</row>
    <row r="954" ht="15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</row>
    <row r="955" ht="15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</row>
    <row r="956" ht="15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</row>
    <row r="957" ht="15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</row>
    <row r="958" ht="15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</row>
    <row r="959" ht="15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</row>
    <row r="960" ht="15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</row>
    <row r="961" ht="15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</row>
    <row r="962" ht="15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</row>
    <row r="963" ht="15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</row>
    <row r="964" ht="15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</row>
    <row r="965" ht="15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</row>
    <row r="966" ht="15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</row>
    <row r="967" ht="15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</row>
    <row r="968" ht="15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</row>
    <row r="969" ht="15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</row>
    <row r="970" ht="15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</row>
    <row r="971" ht="15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</row>
    <row r="972" ht="15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</row>
    <row r="973" ht="15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</row>
    <row r="974" ht="15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</row>
    <row r="975" ht="15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</row>
    <row r="976" ht="15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</row>
    <row r="977" ht="15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</row>
    <row r="978" ht="15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</row>
    <row r="979" ht="15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</row>
    <row r="980" ht="15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</row>
    <row r="981" ht="15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</row>
    <row r="982" ht="15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</row>
    <row r="983" ht="15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</row>
    <row r="984" ht="15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</row>
    <row r="985" ht="15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</row>
    <row r="986" ht="15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</row>
    <row r="987" ht="15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</row>
    <row r="988" ht="15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</row>
    <row r="989" ht="15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</row>
    <row r="990" ht="15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</row>
    <row r="991" ht="15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</row>
    <row r="992" ht="15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</row>
    <row r="993" ht="15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</row>
    <row r="994" ht="15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</row>
    <row r="995" ht="15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</row>
    <row r="996" ht="15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</row>
    <row r="997" ht="15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</row>
    <row r="998" ht="15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</row>
    <row r="999" ht="15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</row>
    <row r="1000" ht="15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</row>
  </sheetData>
  <mergeCells count="9">
    <mergeCell ref="A18:A20"/>
    <mergeCell ref="A21:A22"/>
    <mergeCell ref="K1:M1"/>
    <mergeCell ref="O1:R1"/>
    <mergeCell ref="S1:T1"/>
    <mergeCell ref="A3:A5"/>
    <mergeCell ref="A6:A9"/>
    <mergeCell ref="A10:A13"/>
    <mergeCell ref="A14:A17"/>
  </mergeCells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5.86"/>
    <col customWidth="1" min="2" max="2" width="45.43"/>
    <col customWidth="1" min="3" max="3" width="10.71"/>
    <col customWidth="1" min="4" max="4" width="10.86"/>
    <col customWidth="1" min="6" max="6" width="19.43"/>
    <col customWidth="1" min="7" max="7" width="13.29"/>
    <col customWidth="1" min="8" max="8" width="10.0"/>
    <col customWidth="1" min="9" max="26" width="9.14"/>
  </cols>
  <sheetData>
    <row r="1">
      <c r="A1" s="68"/>
      <c r="B1" s="337"/>
      <c r="C1" s="337"/>
      <c r="D1" s="68"/>
      <c r="E1" s="68"/>
      <c r="F1" s="337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338" t="s">
        <v>280</v>
      </c>
      <c r="B2" s="339" t="s">
        <v>325</v>
      </c>
      <c r="C2" s="340" t="s">
        <v>311</v>
      </c>
      <c r="D2" s="339" t="s">
        <v>326</v>
      </c>
      <c r="E2" s="339" t="s">
        <v>327</v>
      </c>
      <c r="F2" s="341" t="s">
        <v>328</v>
      </c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342">
        <v>1.0</v>
      </c>
      <c r="B3" s="343" t="s">
        <v>329</v>
      </c>
      <c r="C3" s="344"/>
      <c r="D3" s="342"/>
      <c r="E3" s="345">
        <f t="shared" ref="E3:F3" si="1">SUM(E4:E11)</f>
        <v>15</v>
      </c>
      <c r="F3" s="346">
        <f t="shared" si="1"/>
        <v>113636.3636</v>
      </c>
      <c r="G3" s="347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348"/>
      <c r="B4" s="70" t="s">
        <v>330</v>
      </c>
      <c r="C4" s="68" t="s">
        <v>314</v>
      </c>
      <c r="D4" s="349">
        <f>'Person Day cost'!G4</f>
        <v>13257.57576</v>
      </c>
      <c r="E4" s="350"/>
      <c r="F4" s="351">
        <f>D4*E4</f>
        <v>0</v>
      </c>
      <c r="G4" s="347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348"/>
      <c r="C5" s="68" t="s">
        <v>69</v>
      </c>
      <c r="D5" s="349">
        <f>'Person Day cost'!G5</f>
        <v>9469.69697</v>
      </c>
      <c r="E5" s="350"/>
      <c r="F5" s="351"/>
      <c r="G5" s="347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348"/>
      <c r="C6" s="68" t="s">
        <v>69</v>
      </c>
      <c r="D6" s="349">
        <f>'Person Day cost'!G6</f>
        <v>7575.757576</v>
      </c>
      <c r="E6" s="350">
        <v>15.0</v>
      </c>
      <c r="F6" s="351">
        <f t="shared" ref="F6:F11" si="2">D6*E6</f>
        <v>113636.3636</v>
      </c>
      <c r="G6" s="347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348"/>
      <c r="C7" s="68" t="s">
        <v>315</v>
      </c>
      <c r="D7" s="349">
        <f>'Person Day cost'!G7</f>
        <v>7196.969697</v>
      </c>
      <c r="E7" s="350"/>
      <c r="F7" s="351">
        <f t="shared" si="2"/>
        <v>0</v>
      </c>
      <c r="G7" s="347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348"/>
      <c r="C8" s="68" t="s">
        <v>316</v>
      </c>
      <c r="D8" s="349">
        <f>'Person Day cost'!G8</f>
        <v>3787.878788</v>
      </c>
      <c r="E8" s="350"/>
      <c r="F8" s="351">
        <f t="shared" si="2"/>
        <v>0</v>
      </c>
      <c r="G8" s="347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348"/>
      <c r="C9" s="68" t="s">
        <v>317</v>
      </c>
      <c r="D9" s="349">
        <f>'Person Day cost'!G9</f>
        <v>3409.090909</v>
      </c>
      <c r="E9" s="350"/>
      <c r="F9" s="351">
        <f t="shared" si="2"/>
        <v>0</v>
      </c>
      <c r="G9" s="347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348"/>
      <c r="C10" s="68" t="s">
        <v>318</v>
      </c>
      <c r="D10" s="349">
        <f>'Person Day cost'!G10</f>
        <v>2272.727273</v>
      </c>
      <c r="E10" s="350"/>
      <c r="F10" s="351">
        <f t="shared" si="2"/>
        <v>0</v>
      </c>
      <c r="G10" s="347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348"/>
      <c r="C11" s="68" t="s">
        <v>319</v>
      </c>
      <c r="D11" s="349">
        <f>'Person Day cost'!G11</f>
        <v>1893.939394</v>
      </c>
      <c r="E11" s="350"/>
      <c r="F11" s="351">
        <f t="shared" si="2"/>
        <v>0</v>
      </c>
      <c r="G11" s="347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352">
        <v>2.0</v>
      </c>
      <c r="B12" s="353" t="s">
        <v>331</v>
      </c>
      <c r="C12" s="354"/>
      <c r="D12" s="355"/>
      <c r="E12" s="356">
        <f t="shared" ref="E12:F12" si="3">SUM(E13:E20)</f>
        <v>245</v>
      </c>
      <c r="F12" s="357">
        <f t="shared" si="3"/>
        <v>933712.1212</v>
      </c>
      <c r="G12" s="347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348"/>
      <c r="B13" s="70" t="s">
        <v>332</v>
      </c>
      <c r="C13" s="68" t="s">
        <v>314</v>
      </c>
      <c r="D13" s="349">
        <f>D4</f>
        <v>13257.57576</v>
      </c>
      <c r="E13" s="350"/>
      <c r="F13" s="351">
        <f>D13*E13</f>
        <v>0</v>
      </c>
      <c r="G13" s="347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348"/>
      <c r="C14" s="68" t="str">
        <f t="shared" ref="C14:D14" si="4">C5</f>
        <v>G6</v>
      </c>
      <c r="D14" s="349">
        <f t="shared" si="4"/>
        <v>9469.69697</v>
      </c>
      <c r="E14" s="350"/>
      <c r="F14" s="351"/>
      <c r="G14" s="347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348"/>
      <c r="C15" s="68" t="s">
        <v>69</v>
      </c>
      <c r="D15" s="349">
        <f t="shared" ref="D15:D20" si="5">D6</f>
        <v>7575.757576</v>
      </c>
      <c r="E15" s="350">
        <v>37.5</v>
      </c>
      <c r="F15" s="351">
        <f t="shared" ref="F15:F20" si="6">D15*E15</f>
        <v>284090.9091</v>
      </c>
      <c r="G15" s="347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348"/>
      <c r="C16" s="68" t="s">
        <v>315</v>
      </c>
      <c r="D16" s="349">
        <f t="shared" si="5"/>
        <v>7196.969697</v>
      </c>
      <c r="E16" s="350"/>
      <c r="F16" s="351">
        <f t="shared" si="6"/>
        <v>0</v>
      </c>
      <c r="G16" s="347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348"/>
      <c r="C17" s="68" t="s">
        <v>316</v>
      </c>
      <c r="D17" s="349">
        <f t="shared" si="5"/>
        <v>3787.878788</v>
      </c>
      <c r="E17" s="350">
        <v>117.5</v>
      </c>
      <c r="F17" s="351">
        <f t="shared" si="6"/>
        <v>445075.7576</v>
      </c>
      <c r="G17" s="347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348"/>
      <c r="C18" s="68" t="s">
        <v>317</v>
      </c>
      <c r="D18" s="349">
        <f t="shared" si="5"/>
        <v>3409.090909</v>
      </c>
      <c r="E18" s="350"/>
      <c r="F18" s="351">
        <f t="shared" si="6"/>
        <v>0</v>
      </c>
      <c r="G18" s="347"/>
      <c r="H18" s="26">
        <v>134.0</v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348"/>
      <c r="C19" s="68" t="s">
        <v>318</v>
      </c>
      <c r="D19" s="349">
        <f t="shared" si="5"/>
        <v>2272.727273</v>
      </c>
      <c r="E19" s="350">
        <v>90.0</v>
      </c>
      <c r="F19" s="351">
        <f t="shared" si="6"/>
        <v>204545.4545</v>
      </c>
      <c r="G19" s="347"/>
      <c r="H19" s="26">
        <v>100.0</v>
      </c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358"/>
      <c r="B20" s="359"/>
      <c r="C20" s="68" t="s">
        <v>319</v>
      </c>
      <c r="D20" s="349">
        <f t="shared" si="5"/>
        <v>1893.939394</v>
      </c>
      <c r="E20" s="360"/>
      <c r="F20" s="351">
        <f t="shared" si="6"/>
        <v>0</v>
      </c>
      <c r="G20" s="347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15.75" customHeight="1">
      <c r="A21" s="352">
        <v>3.0</v>
      </c>
      <c r="B21" s="353" t="s">
        <v>333</v>
      </c>
      <c r="C21" s="354"/>
      <c r="D21" s="355"/>
      <c r="E21" s="356">
        <f t="shared" ref="E21:F21" si="7">SUM(E22:E29)</f>
        <v>50</v>
      </c>
      <c r="F21" s="357">
        <f t="shared" si="7"/>
        <v>227272.7273</v>
      </c>
      <c r="G21" s="347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ht="15.75" customHeight="1">
      <c r="A22" s="348"/>
      <c r="B22" s="70" t="s">
        <v>334</v>
      </c>
      <c r="C22" s="68" t="s">
        <v>314</v>
      </c>
      <c r="D22" s="349">
        <f t="shared" ref="D22:D29" si="8">D4</f>
        <v>13257.57576</v>
      </c>
      <c r="E22" s="350"/>
      <c r="F22" s="351">
        <f>D22*E22</f>
        <v>0</v>
      </c>
      <c r="G22" s="347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ht="15.75" customHeight="1">
      <c r="A23" s="348"/>
      <c r="C23" s="68" t="str">
        <f>C14</f>
        <v>G6</v>
      </c>
      <c r="D23" s="349">
        <f t="shared" si="8"/>
        <v>9469.69697</v>
      </c>
      <c r="E23" s="350"/>
      <c r="F23" s="351"/>
      <c r="G23" s="347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ht="15.75" customHeight="1">
      <c r="A24" s="348"/>
      <c r="C24" s="68" t="s">
        <v>69</v>
      </c>
      <c r="D24" s="349">
        <f t="shared" si="8"/>
        <v>7575.757576</v>
      </c>
      <c r="E24" s="350">
        <v>10.0</v>
      </c>
      <c r="F24" s="351">
        <f t="shared" ref="F24:F29" si="9">D24*E24</f>
        <v>75757.57576</v>
      </c>
      <c r="G24" s="347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ht="15.75" customHeight="1">
      <c r="A25" s="348"/>
      <c r="C25" s="68" t="s">
        <v>315</v>
      </c>
      <c r="D25" s="349">
        <f t="shared" si="8"/>
        <v>7196.969697</v>
      </c>
      <c r="E25" s="350"/>
      <c r="F25" s="351">
        <f t="shared" si="9"/>
        <v>0</v>
      </c>
      <c r="G25" s="347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ht="15.75" customHeight="1">
      <c r="A26" s="348"/>
      <c r="C26" s="68" t="s">
        <v>316</v>
      </c>
      <c r="D26" s="349">
        <f t="shared" si="8"/>
        <v>3787.878788</v>
      </c>
      <c r="E26" s="350">
        <v>40.0</v>
      </c>
      <c r="F26" s="351">
        <f t="shared" si="9"/>
        <v>151515.1515</v>
      </c>
      <c r="G26" s="347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ht="15.75" customHeight="1">
      <c r="A27" s="348"/>
      <c r="C27" s="68" t="s">
        <v>317</v>
      </c>
      <c r="D27" s="349">
        <f t="shared" si="8"/>
        <v>3409.090909</v>
      </c>
      <c r="E27" s="350"/>
      <c r="F27" s="351">
        <f t="shared" si="9"/>
        <v>0</v>
      </c>
      <c r="G27" s="347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ht="15.75" customHeight="1">
      <c r="A28" s="348"/>
      <c r="C28" s="68" t="s">
        <v>318</v>
      </c>
      <c r="D28" s="349">
        <f t="shared" si="8"/>
        <v>2272.727273</v>
      </c>
      <c r="E28" s="350"/>
      <c r="F28" s="351">
        <f t="shared" si="9"/>
        <v>0</v>
      </c>
      <c r="G28" s="347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15.75" customHeight="1">
      <c r="A29" s="358"/>
      <c r="B29" s="359"/>
      <c r="C29" s="68" t="s">
        <v>319</v>
      </c>
      <c r="D29" s="349">
        <f t="shared" si="8"/>
        <v>1893.939394</v>
      </c>
      <c r="E29" s="360"/>
      <c r="F29" s="351">
        <f t="shared" si="9"/>
        <v>0</v>
      </c>
      <c r="G29" s="347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ht="15.75" customHeight="1">
      <c r="A30" s="352">
        <v>4.0</v>
      </c>
      <c r="B30" s="353" t="s">
        <v>335</v>
      </c>
      <c r="C30" s="354"/>
      <c r="D30" s="355"/>
      <c r="E30" s="356">
        <f t="shared" ref="E30:F30" si="10">SUM(E31:E48)</f>
        <v>7.5</v>
      </c>
      <c r="F30" s="357">
        <f t="shared" si="10"/>
        <v>56818.18182</v>
      </c>
      <c r="G30" s="347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15.75" customHeight="1">
      <c r="A31" s="348"/>
      <c r="B31" s="68" t="s">
        <v>336</v>
      </c>
      <c r="C31" s="68" t="s">
        <v>314</v>
      </c>
      <c r="D31" s="349">
        <f>D4</f>
        <v>13257.57576</v>
      </c>
      <c r="E31" s="350"/>
      <c r="F31" s="351">
        <f>D31*E31</f>
        <v>0</v>
      </c>
      <c r="G31" s="347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15.75" customHeight="1">
      <c r="A32" s="348"/>
      <c r="C32" s="68" t="str">
        <f t="shared" ref="C32:D32" si="11">C5</f>
        <v>G6</v>
      </c>
      <c r="D32" s="349">
        <f t="shared" si="11"/>
        <v>9469.69697</v>
      </c>
      <c r="E32" s="350"/>
      <c r="F32" s="351"/>
      <c r="G32" s="347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15.75" customHeight="1">
      <c r="A33" s="348"/>
      <c r="C33" s="68" t="s">
        <v>69</v>
      </c>
      <c r="D33" s="349">
        <f t="shared" ref="D33:D38" si="12">D6</f>
        <v>7575.757576</v>
      </c>
      <c r="E33" s="350">
        <v>7.5</v>
      </c>
      <c r="F33" s="351">
        <f t="shared" ref="F33:F38" si="13">D33*E33</f>
        <v>56818.18182</v>
      </c>
      <c r="G33" s="347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15.75" customHeight="1">
      <c r="A34" s="348"/>
      <c r="C34" s="68" t="s">
        <v>315</v>
      </c>
      <c r="D34" s="349">
        <f t="shared" si="12"/>
        <v>7196.969697</v>
      </c>
      <c r="E34" s="350"/>
      <c r="F34" s="351">
        <f t="shared" si="13"/>
        <v>0</v>
      </c>
      <c r="G34" s="347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15.75" customHeight="1">
      <c r="A35" s="348"/>
      <c r="C35" s="68" t="s">
        <v>316</v>
      </c>
      <c r="D35" s="349">
        <f t="shared" si="12"/>
        <v>3787.878788</v>
      </c>
      <c r="E35" s="350"/>
      <c r="F35" s="351">
        <f t="shared" si="13"/>
        <v>0</v>
      </c>
      <c r="G35" s="347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15.75" customHeight="1">
      <c r="A36" s="348"/>
      <c r="C36" s="68" t="s">
        <v>317</v>
      </c>
      <c r="D36" s="349">
        <f t="shared" si="12"/>
        <v>3409.090909</v>
      </c>
      <c r="E36" s="350"/>
      <c r="F36" s="351">
        <f t="shared" si="13"/>
        <v>0</v>
      </c>
      <c r="G36" s="347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ht="15.75" customHeight="1">
      <c r="A37" s="348"/>
      <c r="C37" s="68" t="s">
        <v>318</v>
      </c>
      <c r="D37" s="349">
        <f t="shared" si="12"/>
        <v>2272.727273</v>
      </c>
      <c r="E37" s="350"/>
      <c r="F37" s="351">
        <f t="shared" si="13"/>
        <v>0</v>
      </c>
      <c r="G37" s="347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ht="15.75" customHeight="1">
      <c r="A38" s="348"/>
      <c r="C38" s="68" t="s">
        <v>319</v>
      </c>
      <c r="D38" s="349">
        <f t="shared" si="12"/>
        <v>1893.939394</v>
      </c>
      <c r="E38" s="350"/>
      <c r="F38" s="351">
        <f t="shared" si="13"/>
        <v>0</v>
      </c>
      <c r="G38" s="347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ht="15.75" customHeight="1">
      <c r="A39" s="352">
        <v>5.0</v>
      </c>
      <c r="B39" s="353" t="s">
        <v>337</v>
      </c>
      <c r="C39" s="354"/>
      <c r="D39" s="355"/>
      <c r="E39" s="356"/>
      <c r="F39" s="357"/>
      <c r="G39" s="347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ht="15.75" customHeight="1">
      <c r="A40" s="348"/>
      <c r="B40" s="337"/>
      <c r="C40" s="68" t="s">
        <v>314</v>
      </c>
      <c r="D40" s="349">
        <f>D13</f>
        <v>13257.57576</v>
      </c>
      <c r="E40" s="350"/>
      <c r="F40" s="351"/>
      <c r="G40" s="347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ht="15.75" customHeight="1">
      <c r="A41" s="348"/>
      <c r="B41" s="337"/>
      <c r="C41" s="68" t="str">
        <f t="shared" ref="C41:D41" si="14">C14</f>
        <v>G6</v>
      </c>
      <c r="D41" s="349">
        <f t="shared" si="14"/>
        <v>9469.69697</v>
      </c>
      <c r="E41" s="350"/>
      <c r="F41" s="351"/>
      <c r="G41" s="347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ht="15.75" customHeight="1">
      <c r="A42" s="348"/>
      <c r="B42" s="337"/>
      <c r="C42" s="68" t="s">
        <v>69</v>
      </c>
      <c r="D42" s="349">
        <f t="shared" ref="D42:D47" si="15">D15</f>
        <v>7575.757576</v>
      </c>
      <c r="E42" s="350"/>
      <c r="F42" s="351"/>
      <c r="G42" s="347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ht="15.75" customHeight="1">
      <c r="A43" s="348"/>
      <c r="B43" s="337"/>
      <c r="C43" s="68" t="s">
        <v>315</v>
      </c>
      <c r="D43" s="349">
        <f t="shared" si="15"/>
        <v>7196.969697</v>
      </c>
      <c r="E43" s="350"/>
      <c r="F43" s="351"/>
      <c r="G43" s="347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ht="15.75" customHeight="1">
      <c r="A44" s="348"/>
      <c r="B44" s="337"/>
      <c r="C44" s="68" t="s">
        <v>316</v>
      </c>
      <c r="D44" s="349">
        <f t="shared" si="15"/>
        <v>3787.878788</v>
      </c>
      <c r="E44" s="350"/>
      <c r="F44" s="351"/>
      <c r="G44" s="347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ht="15.75" customHeight="1">
      <c r="A45" s="348"/>
      <c r="B45" s="337"/>
      <c r="C45" s="68" t="s">
        <v>317</v>
      </c>
      <c r="D45" s="349">
        <f t="shared" si="15"/>
        <v>3409.090909</v>
      </c>
      <c r="E45" s="350"/>
      <c r="F45" s="351"/>
      <c r="G45" s="347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ht="15.75" customHeight="1">
      <c r="A46" s="348"/>
      <c r="B46" s="337"/>
      <c r="C46" s="68" t="s">
        <v>318</v>
      </c>
      <c r="D46" s="349">
        <f t="shared" si="15"/>
        <v>2272.727273</v>
      </c>
      <c r="E46" s="350"/>
      <c r="F46" s="351"/>
      <c r="G46" s="347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ht="15.75" customHeight="1">
      <c r="A47" s="348"/>
      <c r="B47" s="337"/>
      <c r="C47" s="68" t="s">
        <v>319</v>
      </c>
      <c r="D47" s="349">
        <f t="shared" si="15"/>
        <v>1893.939394</v>
      </c>
      <c r="E47" s="350"/>
      <c r="F47" s="351"/>
      <c r="G47" s="347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ht="15.75" customHeight="1">
      <c r="A48" s="358"/>
      <c r="B48" s="361"/>
      <c r="C48" s="68"/>
      <c r="D48" s="349"/>
      <c r="E48" s="360"/>
      <c r="F48" s="351"/>
      <c r="G48" s="347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ht="15.75" customHeight="1">
      <c r="A49" s="362"/>
      <c r="B49" s="363" t="s">
        <v>18</v>
      </c>
      <c r="C49" s="181"/>
      <c r="D49" s="181"/>
      <c r="E49" s="364">
        <f t="shared" ref="E49:F49" si="16">E3+E12+E21+E30</f>
        <v>317.5</v>
      </c>
      <c r="F49" s="365">
        <f t="shared" si="16"/>
        <v>1331439.394</v>
      </c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ht="15.75" customHeight="1">
      <c r="A50" s="68"/>
      <c r="B50" s="337"/>
      <c r="C50" s="337"/>
      <c r="D50" s="68"/>
      <c r="E50" s="68"/>
      <c r="F50" s="337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ht="15.75" customHeight="1">
      <c r="A51" s="26"/>
      <c r="B51" s="26"/>
      <c r="C51" s="26"/>
      <c r="D51" s="26"/>
      <c r="E51" s="26"/>
      <c r="F51" s="26"/>
      <c r="G51" s="64"/>
      <c r="H51" s="64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ht="15.0" customHeight="1">
      <c r="A52" s="26"/>
      <c r="B52" s="26"/>
      <c r="C52" s="26"/>
      <c r="D52" s="26"/>
      <c r="E52" s="26"/>
      <c r="F52" s="26"/>
      <c r="G52" s="64"/>
      <c r="H52" s="64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ht="15.75" customHeight="1">
      <c r="A53" s="26"/>
      <c r="B53" s="26"/>
      <c r="C53" s="26"/>
      <c r="D53" s="26"/>
      <c r="E53" s="26"/>
      <c r="F53" s="26"/>
      <c r="G53" s="64"/>
      <c r="H53" s="64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ht="15.75" customHeight="1">
      <c r="A54" s="26"/>
      <c r="B54" s="26"/>
      <c r="C54" s="26"/>
      <c r="D54" s="26"/>
      <c r="E54" s="26"/>
      <c r="F54" s="26"/>
      <c r="G54" s="64"/>
      <c r="H54" s="64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ht="15.75" customHeight="1">
      <c r="A55" s="26"/>
      <c r="B55" s="26"/>
      <c r="C55" s="26"/>
      <c r="D55" s="26"/>
      <c r="E55" s="26"/>
      <c r="F55" s="26"/>
      <c r="G55" s="64"/>
      <c r="H55" s="64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ht="15.75" customHeight="1">
      <c r="A56" s="26"/>
      <c r="B56" s="26"/>
      <c r="C56" s="26"/>
      <c r="D56" s="26"/>
      <c r="E56" s="26"/>
      <c r="F56" s="26"/>
      <c r="G56" s="64"/>
      <c r="H56" s="64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ht="15.75" customHeight="1">
      <c r="A57" s="26"/>
      <c r="B57" s="26"/>
      <c r="C57" s="26"/>
      <c r="D57" s="26"/>
      <c r="E57" s="26"/>
      <c r="F57" s="26"/>
      <c r="G57" s="64"/>
      <c r="H57" s="64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ht="15.75" customHeight="1">
      <c r="A58" s="68"/>
      <c r="B58" s="366"/>
      <c r="C58" s="366"/>
      <c r="D58" s="64"/>
      <c r="E58" s="64"/>
      <c r="F58" s="64"/>
      <c r="G58" s="64"/>
      <c r="H58" s="64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ht="15.75" customHeight="1">
      <c r="A59" s="68"/>
      <c r="B59" s="366"/>
      <c r="C59" s="366"/>
      <c r="D59" s="64"/>
      <c r="E59" s="64"/>
      <c r="F59" s="64"/>
      <c r="G59" s="64"/>
      <c r="H59" s="64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ht="15.75" customHeight="1">
      <c r="A60" s="68"/>
      <c r="B60" s="366"/>
      <c r="C60" s="366"/>
      <c r="D60" s="64"/>
      <c r="E60" s="64"/>
      <c r="F60" s="64"/>
      <c r="G60" s="64"/>
      <c r="H60" s="64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ht="15.75" customHeight="1">
      <c r="A61" s="68"/>
      <c r="B61" s="366"/>
      <c r="C61" s="366"/>
      <c r="D61" s="64"/>
      <c r="E61" s="64"/>
      <c r="F61" s="64"/>
      <c r="G61" s="64"/>
      <c r="H61" s="64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ht="15.75" customHeight="1">
      <c r="A62" s="68"/>
      <c r="B62" s="366"/>
      <c r="C62" s="366"/>
      <c r="D62" s="64"/>
      <c r="E62" s="64"/>
      <c r="F62" s="64"/>
      <c r="G62" s="64"/>
      <c r="H62" s="64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ht="15.75" customHeight="1">
      <c r="A63" s="68"/>
      <c r="B63" s="366"/>
      <c r="C63" s="366"/>
      <c r="D63" s="64"/>
      <c r="E63" s="64"/>
      <c r="F63" s="64"/>
      <c r="G63" s="64"/>
      <c r="H63" s="64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ht="15.75" customHeight="1">
      <c r="A64" s="68"/>
      <c r="B64" s="366"/>
      <c r="C64" s="366"/>
      <c r="D64" s="64"/>
      <c r="E64" s="64"/>
      <c r="F64" s="64"/>
      <c r="G64" s="64"/>
      <c r="H64" s="64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ht="15.75" customHeight="1">
      <c r="A65" s="68"/>
      <c r="B65" s="366"/>
      <c r="C65" s="366"/>
      <c r="D65" s="64"/>
      <c r="E65" s="64"/>
      <c r="F65" s="64"/>
      <c r="G65" s="64"/>
      <c r="H65" s="64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ht="15.75" customHeight="1">
      <c r="A66" s="68"/>
      <c r="B66" s="366"/>
      <c r="C66" s="366"/>
      <c r="D66" s="64"/>
      <c r="E66" s="64"/>
      <c r="F66" s="64"/>
      <c r="G66" s="64"/>
      <c r="H66" s="64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ht="15.75" customHeight="1">
      <c r="A67" s="68"/>
      <c r="B67" s="366"/>
      <c r="C67" s="366"/>
      <c r="D67" s="64"/>
      <c r="E67" s="64"/>
      <c r="F67" s="64"/>
      <c r="G67" s="64"/>
      <c r="H67" s="64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ht="15.75" customHeight="1">
      <c r="A68" s="68"/>
      <c r="B68" s="366"/>
      <c r="C68" s="366"/>
      <c r="D68" s="64"/>
      <c r="E68" s="64"/>
      <c r="F68" s="64"/>
      <c r="G68" s="64"/>
      <c r="H68" s="64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ht="15.75" customHeight="1">
      <c r="A69" s="68"/>
      <c r="B69" s="337"/>
      <c r="C69" s="337"/>
      <c r="D69" s="68"/>
      <c r="E69" s="68"/>
      <c r="F69" s="337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ht="15.75" customHeight="1">
      <c r="A70" s="68"/>
      <c r="B70" s="337"/>
      <c r="C70" s="337"/>
      <c r="D70" s="68"/>
      <c r="E70" s="68"/>
      <c r="F70" s="337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ht="15.75" customHeight="1">
      <c r="A71" s="68"/>
      <c r="B71" s="367"/>
      <c r="C71" s="367"/>
      <c r="D71" s="68"/>
      <c r="E71" s="68"/>
      <c r="F71" s="337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ht="15.75" customHeight="1">
      <c r="A72" s="68"/>
      <c r="B72" s="366"/>
      <c r="C72" s="366"/>
      <c r="D72" s="68"/>
      <c r="E72" s="68"/>
      <c r="F72" s="337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ht="15.75" customHeight="1">
      <c r="A73" s="68"/>
      <c r="B73" s="366"/>
      <c r="C73" s="366"/>
      <c r="D73" s="68"/>
      <c r="E73" s="68"/>
      <c r="F73" s="337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ht="15.75" customHeight="1">
      <c r="A74" s="68"/>
      <c r="B74" s="366"/>
      <c r="C74" s="366"/>
      <c r="D74" s="68"/>
      <c r="E74" s="68"/>
      <c r="F74" s="337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ht="15.75" customHeight="1">
      <c r="A75" s="68"/>
      <c r="B75" s="366"/>
      <c r="C75" s="366"/>
      <c r="D75" s="68"/>
      <c r="E75" s="68"/>
      <c r="F75" s="337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ht="15.75" customHeight="1">
      <c r="A76" s="68"/>
      <c r="B76" s="366"/>
      <c r="C76" s="366"/>
      <c r="D76" s="68"/>
      <c r="E76" s="68"/>
      <c r="F76" s="337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ht="15.75" customHeight="1">
      <c r="A77" s="68"/>
      <c r="B77" s="366"/>
      <c r="C77" s="366"/>
      <c r="D77" s="68"/>
      <c r="E77" s="68"/>
      <c r="F77" s="337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ht="15.75" customHeight="1">
      <c r="A78" s="68"/>
      <c r="B78" s="366"/>
      <c r="C78" s="366"/>
      <c r="D78" s="68"/>
      <c r="E78" s="68"/>
      <c r="F78" s="337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ht="15.75" customHeight="1">
      <c r="A79" s="68"/>
      <c r="B79" s="366"/>
      <c r="C79" s="366"/>
      <c r="D79" s="68"/>
      <c r="E79" s="68"/>
      <c r="F79" s="337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ht="15.75" customHeight="1">
      <c r="A80" s="68"/>
      <c r="B80" s="366"/>
      <c r="C80" s="366"/>
      <c r="D80" s="68"/>
      <c r="E80" s="68"/>
      <c r="F80" s="337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ht="15.75" customHeight="1">
      <c r="A81" s="68"/>
      <c r="B81" s="366"/>
      <c r="C81" s="366"/>
      <c r="D81" s="68"/>
      <c r="E81" s="68"/>
      <c r="F81" s="337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ht="15.75" customHeight="1">
      <c r="A82" s="68"/>
      <c r="B82" s="366"/>
      <c r="C82" s="366"/>
      <c r="D82" s="68"/>
      <c r="E82" s="68"/>
      <c r="F82" s="337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ht="15.75" customHeight="1">
      <c r="A83" s="68"/>
      <c r="B83" s="368"/>
      <c r="C83" s="368"/>
      <c r="D83" s="68"/>
      <c r="E83" s="68"/>
      <c r="F83" s="337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ht="15.75" customHeight="1">
      <c r="A84" s="68"/>
      <c r="B84" s="366"/>
      <c r="C84" s="366"/>
      <c r="D84" s="68"/>
      <c r="E84" s="68"/>
      <c r="F84" s="337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ht="15.75" customHeight="1">
      <c r="A85" s="68"/>
      <c r="B85" s="337"/>
      <c r="C85" s="337"/>
      <c r="D85" s="68"/>
      <c r="E85" s="68"/>
      <c r="F85" s="337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ht="15.75" customHeight="1">
      <c r="A86" s="68"/>
      <c r="B86" s="337"/>
      <c r="C86" s="337"/>
      <c r="D86" s="68"/>
      <c r="E86" s="68"/>
      <c r="F86" s="337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ht="15.75" customHeight="1">
      <c r="A87" s="68"/>
      <c r="B87" s="337"/>
      <c r="C87" s="337"/>
      <c r="D87" s="68"/>
      <c r="E87" s="68"/>
      <c r="F87" s="337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ht="15.75" customHeight="1">
      <c r="A88" s="68"/>
      <c r="B88" s="337"/>
      <c r="C88" s="337"/>
      <c r="D88" s="68"/>
      <c r="E88" s="68"/>
      <c r="F88" s="337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ht="15.75" customHeight="1">
      <c r="A89" s="68"/>
      <c r="B89" s="337"/>
      <c r="C89" s="337"/>
      <c r="D89" s="68"/>
      <c r="E89" s="68"/>
      <c r="F89" s="337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ht="15.75" customHeight="1">
      <c r="A90" s="68"/>
      <c r="B90" s="337"/>
      <c r="C90" s="337"/>
      <c r="D90" s="68"/>
      <c r="E90" s="68"/>
      <c r="F90" s="337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ht="15.75" customHeight="1">
      <c r="A91" s="68"/>
      <c r="B91" s="337"/>
      <c r="C91" s="337"/>
      <c r="D91" s="68"/>
      <c r="E91" s="68"/>
      <c r="F91" s="337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ht="15.75" customHeight="1">
      <c r="A92" s="68"/>
      <c r="B92" s="337"/>
      <c r="C92" s="337"/>
      <c r="D92" s="68"/>
      <c r="E92" s="68"/>
      <c r="F92" s="337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ht="15.75" customHeight="1">
      <c r="A93" s="68"/>
      <c r="B93" s="337"/>
      <c r="C93" s="337"/>
      <c r="D93" s="68"/>
      <c r="E93" s="68"/>
      <c r="F93" s="337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ht="15.75" customHeight="1">
      <c r="A94" s="68"/>
      <c r="B94" s="337"/>
      <c r="C94" s="337"/>
      <c r="D94" s="68"/>
      <c r="E94" s="68"/>
      <c r="F94" s="337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ht="15.75" customHeight="1">
      <c r="A95" s="68"/>
      <c r="B95" s="337"/>
      <c r="C95" s="337"/>
      <c r="D95" s="68"/>
      <c r="E95" s="68"/>
      <c r="F95" s="337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ht="15.75" customHeight="1">
      <c r="A96" s="68"/>
      <c r="B96" s="337"/>
      <c r="C96" s="337"/>
      <c r="D96" s="68"/>
      <c r="E96" s="68"/>
      <c r="F96" s="337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ht="15.75" customHeight="1">
      <c r="A97" s="68"/>
      <c r="B97" s="337"/>
      <c r="C97" s="337"/>
      <c r="D97" s="68"/>
      <c r="E97" s="68"/>
      <c r="F97" s="337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ht="15.75" customHeight="1">
      <c r="A98" s="68"/>
      <c r="B98" s="337"/>
      <c r="C98" s="337"/>
      <c r="D98" s="68"/>
      <c r="E98" s="68"/>
      <c r="F98" s="337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ht="15.75" customHeight="1">
      <c r="A99" s="68"/>
      <c r="B99" s="337"/>
      <c r="C99" s="337"/>
      <c r="D99" s="68"/>
      <c r="E99" s="68"/>
      <c r="F99" s="337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ht="15.75" customHeight="1">
      <c r="A100" s="68"/>
      <c r="B100" s="337"/>
      <c r="C100" s="337"/>
      <c r="D100" s="68"/>
      <c r="E100" s="68"/>
      <c r="F100" s="337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ht="15.75" customHeight="1">
      <c r="A101" s="68"/>
      <c r="B101" s="337"/>
      <c r="C101" s="337"/>
      <c r="D101" s="68"/>
      <c r="E101" s="68"/>
      <c r="F101" s="337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ht="15.75" customHeight="1">
      <c r="A102" s="68"/>
      <c r="B102" s="337"/>
      <c r="C102" s="337"/>
      <c r="D102" s="68"/>
      <c r="E102" s="68"/>
      <c r="F102" s="337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ht="15.75" customHeight="1">
      <c r="A103" s="68"/>
      <c r="B103" s="337"/>
      <c r="C103" s="337"/>
      <c r="D103" s="68"/>
      <c r="E103" s="68"/>
      <c r="F103" s="337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ht="15.75" customHeight="1">
      <c r="A104" s="68"/>
      <c r="B104" s="337"/>
      <c r="C104" s="337"/>
      <c r="D104" s="68"/>
      <c r="E104" s="68"/>
      <c r="F104" s="337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ht="15.75" customHeight="1">
      <c r="A105" s="68"/>
      <c r="B105" s="337"/>
      <c r="C105" s="337"/>
      <c r="D105" s="68"/>
      <c r="E105" s="68"/>
      <c r="F105" s="337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ht="15.75" customHeight="1">
      <c r="A106" s="68"/>
      <c r="B106" s="337"/>
      <c r="C106" s="337"/>
      <c r="D106" s="68"/>
      <c r="E106" s="68"/>
      <c r="F106" s="337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ht="15.75" customHeight="1">
      <c r="A107" s="68"/>
      <c r="B107" s="337"/>
      <c r="C107" s="337"/>
      <c r="D107" s="68"/>
      <c r="E107" s="68"/>
      <c r="F107" s="337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ht="15.75" customHeight="1">
      <c r="A108" s="68"/>
      <c r="B108" s="337"/>
      <c r="C108" s="337"/>
      <c r="D108" s="68"/>
      <c r="E108" s="68"/>
      <c r="F108" s="337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ht="15.75" customHeight="1">
      <c r="A109" s="68"/>
      <c r="B109" s="337"/>
      <c r="C109" s="337"/>
      <c r="D109" s="68"/>
      <c r="E109" s="68"/>
      <c r="F109" s="337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ht="15.75" customHeight="1">
      <c r="A110" s="68"/>
      <c r="B110" s="337"/>
      <c r="C110" s="337"/>
      <c r="D110" s="68"/>
      <c r="E110" s="68"/>
      <c r="F110" s="337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ht="15.75" customHeight="1">
      <c r="A111" s="68"/>
      <c r="B111" s="337"/>
      <c r="C111" s="337"/>
      <c r="D111" s="68"/>
      <c r="E111" s="68"/>
      <c r="F111" s="337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ht="15.75" customHeight="1">
      <c r="A112" s="68"/>
      <c r="B112" s="337"/>
      <c r="C112" s="337"/>
      <c r="D112" s="68"/>
      <c r="E112" s="68"/>
      <c r="F112" s="337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ht="15.75" customHeight="1">
      <c r="A113" s="68"/>
      <c r="B113" s="337"/>
      <c r="C113" s="337"/>
      <c r="D113" s="68"/>
      <c r="E113" s="68"/>
      <c r="F113" s="337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ht="15.75" customHeight="1">
      <c r="A114" s="68"/>
      <c r="B114" s="337"/>
      <c r="C114" s="337"/>
      <c r="D114" s="68"/>
      <c r="E114" s="68"/>
      <c r="F114" s="337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ht="15.75" customHeight="1">
      <c r="A115" s="68"/>
      <c r="B115" s="337"/>
      <c r="C115" s="337"/>
      <c r="D115" s="68"/>
      <c r="E115" s="68"/>
      <c r="F115" s="337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ht="15.75" customHeight="1">
      <c r="A116" s="68"/>
      <c r="B116" s="337"/>
      <c r="C116" s="337"/>
      <c r="D116" s="68"/>
      <c r="E116" s="68"/>
      <c r="F116" s="337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ht="15.75" customHeight="1">
      <c r="A117" s="68"/>
      <c r="B117" s="337"/>
      <c r="C117" s="337"/>
      <c r="D117" s="68"/>
      <c r="E117" s="68"/>
      <c r="F117" s="337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ht="15.75" customHeight="1">
      <c r="A118" s="68"/>
      <c r="B118" s="337"/>
      <c r="C118" s="337"/>
      <c r="D118" s="68"/>
      <c r="E118" s="68"/>
      <c r="F118" s="337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ht="15.75" customHeight="1">
      <c r="A119" s="68"/>
      <c r="B119" s="337"/>
      <c r="C119" s="337"/>
      <c r="D119" s="68"/>
      <c r="E119" s="68"/>
      <c r="F119" s="337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ht="15.75" customHeight="1">
      <c r="A120" s="68"/>
      <c r="B120" s="337"/>
      <c r="C120" s="337"/>
      <c r="D120" s="68"/>
      <c r="E120" s="68"/>
      <c r="F120" s="337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ht="15.75" customHeight="1">
      <c r="A121" s="68"/>
      <c r="B121" s="337"/>
      <c r="C121" s="337"/>
      <c r="D121" s="68"/>
      <c r="E121" s="68"/>
      <c r="F121" s="337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ht="15.75" customHeight="1">
      <c r="A122" s="68"/>
      <c r="B122" s="337"/>
      <c r="C122" s="337"/>
      <c r="D122" s="68"/>
      <c r="E122" s="68"/>
      <c r="F122" s="337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ht="15.75" customHeight="1">
      <c r="A123" s="68"/>
      <c r="B123" s="337"/>
      <c r="C123" s="337"/>
      <c r="D123" s="68"/>
      <c r="E123" s="68"/>
      <c r="F123" s="337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ht="15.75" customHeight="1">
      <c r="A124" s="68"/>
      <c r="B124" s="337"/>
      <c r="C124" s="337"/>
      <c r="D124" s="68"/>
      <c r="E124" s="68"/>
      <c r="F124" s="337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ht="15.75" customHeight="1">
      <c r="A125" s="68"/>
      <c r="B125" s="337"/>
      <c r="C125" s="337"/>
      <c r="D125" s="68"/>
      <c r="E125" s="68"/>
      <c r="F125" s="337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ht="15.75" customHeight="1">
      <c r="A126" s="68"/>
      <c r="B126" s="337"/>
      <c r="C126" s="337"/>
      <c r="D126" s="68"/>
      <c r="E126" s="68"/>
      <c r="F126" s="337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ht="15.75" customHeight="1">
      <c r="A127" s="68"/>
      <c r="B127" s="337"/>
      <c r="C127" s="337"/>
      <c r="D127" s="68"/>
      <c r="E127" s="68"/>
      <c r="F127" s="337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ht="15.75" customHeight="1">
      <c r="A128" s="68"/>
      <c r="B128" s="337"/>
      <c r="C128" s="337"/>
      <c r="D128" s="68"/>
      <c r="E128" s="68"/>
      <c r="F128" s="337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ht="15.75" customHeight="1">
      <c r="A129" s="68"/>
      <c r="B129" s="337"/>
      <c r="C129" s="337"/>
      <c r="D129" s="68"/>
      <c r="E129" s="68"/>
      <c r="F129" s="337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ht="15.75" customHeight="1">
      <c r="A130" s="68"/>
      <c r="B130" s="337"/>
      <c r="C130" s="337"/>
      <c r="D130" s="68"/>
      <c r="E130" s="68"/>
      <c r="F130" s="337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ht="15.75" customHeight="1">
      <c r="A131" s="68"/>
      <c r="B131" s="337"/>
      <c r="C131" s="337"/>
      <c r="D131" s="68"/>
      <c r="E131" s="68"/>
      <c r="F131" s="337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ht="15.75" customHeight="1">
      <c r="A132" s="68"/>
      <c r="B132" s="337"/>
      <c r="C132" s="337"/>
      <c r="D132" s="68"/>
      <c r="E132" s="68"/>
      <c r="F132" s="337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ht="15.75" customHeight="1">
      <c r="A133" s="68"/>
      <c r="B133" s="337"/>
      <c r="C133" s="337"/>
      <c r="D133" s="68"/>
      <c r="E133" s="68"/>
      <c r="F133" s="337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ht="15.75" customHeight="1">
      <c r="A134" s="68"/>
      <c r="B134" s="337"/>
      <c r="C134" s="337"/>
      <c r="D134" s="68"/>
      <c r="E134" s="68"/>
      <c r="F134" s="337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ht="15.75" customHeight="1">
      <c r="A135" s="68"/>
      <c r="B135" s="337"/>
      <c r="C135" s="337"/>
      <c r="D135" s="68"/>
      <c r="E135" s="68"/>
      <c r="F135" s="337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ht="15.75" customHeight="1">
      <c r="A136" s="68"/>
      <c r="B136" s="337"/>
      <c r="C136" s="337"/>
      <c r="D136" s="68"/>
      <c r="E136" s="68"/>
      <c r="F136" s="337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ht="15.75" customHeight="1">
      <c r="A137" s="68"/>
      <c r="B137" s="337"/>
      <c r="C137" s="337"/>
      <c r="D137" s="68"/>
      <c r="E137" s="68"/>
      <c r="F137" s="337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ht="15.75" customHeight="1">
      <c r="A138" s="68"/>
      <c r="B138" s="337"/>
      <c r="C138" s="337"/>
      <c r="D138" s="68"/>
      <c r="E138" s="68"/>
      <c r="F138" s="337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ht="15.75" customHeight="1">
      <c r="A139" s="68"/>
      <c r="B139" s="337"/>
      <c r="C139" s="337"/>
      <c r="D139" s="68"/>
      <c r="E139" s="68"/>
      <c r="F139" s="337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ht="15.75" customHeight="1">
      <c r="A140" s="68"/>
      <c r="B140" s="337"/>
      <c r="C140" s="337"/>
      <c r="D140" s="68"/>
      <c r="E140" s="68"/>
      <c r="F140" s="337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ht="15.75" customHeight="1">
      <c r="A141" s="68"/>
      <c r="B141" s="337"/>
      <c r="C141" s="337"/>
      <c r="D141" s="68"/>
      <c r="E141" s="68"/>
      <c r="F141" s="337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ht="15.75" customHeight="1">
      <c r="A142" s="68"/>
      <c r="B142" s="337"/>
      <c r="C142" s="337"/>
      <c r="D142" s="68"/>
      <c r="E142" s="68"/>
      <c r="F142" s="337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ht="15.75" customHeight="1">
      <c r="A143" s="68"/>
      <c r="B143" s="337"/>
      <c r="C143" s="337"/>
      <c r="D143" s="68"/>
      <c r="E143" s="68"/>
      <c r="F143" s="337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ht="15.75" customHeight="1">
      <c r="A144" s="68"/>
      <c r="B144" s="337"/>
      <c r="C144" s="337"/>
      <c r="D144" s="68"/>
      <c r="E144" s="68"/>
      <c r="F144" s="337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ht="15.75" customHeight="1">
      <c r="A145" s="68"/>
      <c r="B145" s="337"/>
      <c r="C145" s="337"/>
      <c r="D145" s="68"/>
      <c r="E145" s="68"/>
      <c r="F145" s="337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ht="15.75" customHeight="1">
      <c r="A146" s="68"/>
      <c r="B146" s="337"/>
      <c r="C146" s="337"/>
      <c r="D146" s="68"/>
      <c r="E146" s="68"/>
      <c r="F146" s="337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ht="15.75" customHeight="1">
      <c r="A147" s="68"/>
      <c r="B147" s="337"/>
      <c r="C147" s="337"/>
      <c r="D147" s="68"/>
      <c r="E147" s="68"/>
      <c r="F147" s="337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ht="15.75" customHeight="1">
      <c r="A148" s="68"/>
      <c r="B148" s="337"/>
      <c r="C148" s="337"/>
      <c r="D148" s="68"/>
      <c r="E148" s="68"/>
      <c r="F148" s="337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ht="15.75" customHeight="1">
      <c r="A149" s="68"/>
      <c r="B149" s="337"/>
      <c r="C149" s="337"/>
      <c r="D149" s="68"/>
      <c r="E149" s="68"/>
      <c r="F149" s="337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ht="15.75" customHeight="1">
      <c r="A150" s="68"/>
      <c r="B150" s="337"/>
      <c r="C150" s="337"/>
      <c r="D150" s="68"/>
      <c r="E150" s="68"/>
      <c r="F150" s="337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ht="15.75" customHeight="1">
      <c r="A151" s="68"/>
      <c r="B151" s="337"/>
      <c r="C151" s="337"/>
      <c r="D151" s="68"/>
      <c r="E151" s="68"/>
      <c r="F151" s="337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ht="15.75" customHeight="1">
      <c r="A152" s="68"/>
      <c r="B152" s="337"/>
      <c r="C152" s="337"/>
      <c r="D152" s="68"/>
      <c r="E152" s="68"/>
      <c r="F152" s="337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ht="15.75" customHeight="1">
      <c r="A153" s="68"/>
      <c r="B153" s="337"/>
      <c r="C153" s="337"/>
      <c r="D153" s="68"/>
      <c r="E153" s="68"/>
      <c r="F153" s="337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ht="15.75" customHeight="1">
      <c r="A154" s="68"/>
      <c r="B154" s="337"/>
      <c r="C154" s="337"/>
      <c r="D154" s="68"/>
      <c r="E154" s="68"/>
      <c r="F154" s="337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ht="15.75" customHeight="1">
      <c r="A155" s="68"/>
      <c r="B155" s="337"/>
      <c r="C155" s="337"/>
      <c r="D155" s="68"/>
      <c r="E155" s="68"/>
      <c r="F155" s="337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ht="15.75" customHeight="1">
      <c r="A156" s="68"/>
      <c r="B156" s="337"/>
      <c r="C156" s="337"/>
      <c r="D156" s="68"/>
      <c r="E156" s="68"/>
      <c r="F156" s="337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ht="15.75" customHeight="1">
      <c r="A157" s="68"/>
      <c r="B157" s="337"/>
      <c r="C157" s="337"/>
      <c r="D157" s="68"/>
      <c r="E157" s="68"/>
      <c r="F157" s="337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ht="15.75" customHeight="1">
      <c r="A158" s="68"/>
      <c r="B158" s="337"/>
      <c r="C158" s="337"/>
      <c r="D158" s="68"/>
      <c r="E158" s="68"/>
      <c r="F158" s="337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ht="15.75" customHeight="1">
      <c r="A159" s="68"/>
      <c r="B159" s="337"/>
      <c r="C159" s="337"/>
      <c r="D159" s="68"/>
      <c r="E159" s="68"/>
      <c r="F159" s="337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ht="15.75" customHeight="1">
      <c r="A160" s="68"/>
      <c r="B160" s="337"/>
      <c r="C160" s="337"/>
      <c r="D160" s="68"/>
      <c r="E160" s="68"/>
      <c r="F160" s="337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ht="15.75" customHeight="1">
      <c r="A161" s="68"/>
      <c r="B161" s="337"/>
      <c r="C161" s="337"/>
      <c r="D161" s="68"/>
      <c r="E161" s="68"/>
      <c r="F161" s="337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ht="15.75" customHeight="1">
      <c r="A162" s="68"/>
      <c r="B162" s="337"/>
      <c r="C162" s="337"/>
      <c r="D162" s="68"/>
      <c r="E162" s="68"/>
      <c r="F162" s="337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ht="15.75" customHeight="1">
      <c r="A163" s="68"/>
      <c r="B163" s="337"/>
      <c r="C163" s="337"/>
      <c r="D163" s="68"/>
      <c r="E163" s="68"/>
      <c r="F163" s="337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ht="15.75" customHeight="1">
      <c r="A164" s="68"/>
      <c r="B164" s="337"/>
      <c r="C164" s="337"/>
      <c r="D164" s="68"/>
      <c r="E164" s="68"/>
      <c r="F164" s="337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ht="15.75" customHeight="1">
      <c r="A165" s="68"/>
      <c r="B165" s="337"/>
      <c r="C165" s="337"/>
      <c r="D165" s="68"/>
      <c r="E165" s="68"/>
      <c r="F165" s="337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ht="15.75" customHeight="1">
      <c r="A166" s="68"/>
      <c r="B166" s="337"/>
      <c r="C166" s="337"/>
      <c r="D166" s="68"/>
      <c r="E166" s="68"/>
      <c r="F166" s="337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ht="15.75" customHeight="1">
      <c r="A167" s="68"/>
      <c r="B167" s="337"/>
      <c r="C167" s="337"/>
      <c r="D167" s="68"/>
      <c r="E167" s="68"/>
      <c r="F167" s="337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ht="15.75" customHeight="1">
      <c r="A168" s="68"/>
      <c r="B168" s="337"/>
      <c r="C168" s="337"/>
      <c r="D168" s="68"/>
      <c r="E168" s="68"/>
      <c r="F168" s="337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ht="15.75" customHeight="1">
      <c r="A169" s="68"/>
      <c r="B169" s="337"/>
      <c r="C169" s="337"/>
      <c r="D169" s="68"/>
      <c r="E169" s="68"/>
      <c r="F169" s="337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ht="15.75" customHeight="1">
      <c r="A170" s="68"/>
      <c r="B170" s="337"/>
      <c r="C170" s="337"/>
      <c r="D170" s="68"/>
      <c r="E170" s="68"/>
      <c r="F170" s="337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ht="15.75" customHeight="1">
      <c r="A171" s="68"/>
      <c r="B171" s="337"/>
      <c r="C171" s="337"/>
      <c r="D171" s="68"/>
      <c r="E171" s="68"/>
      <c r="F171" s="337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ht="15.75" customHeight="1">
      <c r="A172" s="68"/>
      <c r="B172" s="337"/>
      <c r="C172" s="337"/>
      <c r="D172" s="68"/>
      <c r="E172" s="68"/>
      <c r="F172" s="337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ht="15.75" customHeight="1">
      <c r="A173" s="68"/>
      <c r="B173" s="337"/>
      <c r="C173" s="337"/>
      <c r="D173" s="68"/>
      <c r="E173" s="68"/>
      <c r="F173" s="337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ht="15.75" customHeight="1">
      <c r="A174" s="68"/>
      <c r="B174" s="337"/>
      <c r="C174" s="337"/>
      <c r="D174" s="68"/>
      <c r="E174" s="68"/>
      <c r="F174" s="337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ht="15.75" customHeight="1">
      <c r="A175" s="68"/>
      <c r="B175" s="337"/>
      <c r="C175" s="337"/>
      <c r="D175" s="68"/>
      <c r="E175" s="68"/>
      <c r="F175" s="337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ht="15.75" customHeight="1">
      <c r="A176" s="68"/>
      <c r="B176" s="337"/>
      <c r="C176" s="337"/>
      <c r="D176" s="68"/>
      <c r="E176" s="68"/>
      <c r="F176" s="337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ht="15.75" customHeight="1">
      <c r="A177" s="68"/>
      <c r="B177" s="337"/>
      <c r="C177" s="337"/>
      <c r="D177" s="68"/>
      <c r="E177" s="68"/>
      <c r="F177" s="337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ht="15.75" customHeight="1">
      <c r="A178" s="68"/>
      <c r="B178" s="337"/>
      <c r="C178" s="337"/>
      <c r="D178" s="68"/>
      <c r="E178" s="68"/>
      <c r="F178" s="337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ht="15.75" customHeight="1">
      <c r="A179" s="68"/>
      <c r="B179" s="337"/>
      <c r="C179" s="337"/>
      <c r="D179" s="68"/>
      <c r="E179" s="68"/>
      <c r="F179" s="337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ht="15.75" customHeight="1">
      <c r="A180" s="68"/>
      <c r="B180" s="337"/>
      <c r="C180" s="337"/>
      <c r="D180" s="68"/>
      <c r="E180" s="68"/>
      <c r="F180" s="337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ht="15.75" customHeight="1">
      <c r="A181" s="68"/>
      <c r="B181" s="337"/>
      <c r="C181" s="337"/>
      <c r="D181" s="68"/>
      <c r="E181" s="68"/>
      <c r="F181" s="337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ht="15.75" customHeight="1">
      <c r="A182" s="68"/>
      <c r="B182" s="337"/>
      <c r="C182" s="337"/>
      <c r="D182" s="68"/>
      <c r="E182" s="68"/>
      <c r="F182" s="337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ht="15.75" customHeight="1">
      <c r="A183" s="68"/>
      <c r="B183" s="337"/>
      <c r="C183" s="337"/>
      <c r="D183" s="68"/>
      <c r="E183" s="68"/>
      <c r="F183" s="337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ht="15.75" customHeight="1">
      <c r="A184" s="68"/>
      <c r="B184" s="337"/>
      <c r="C184" s="337"/>
      <c r="D184" s="68"/>
      <c r="E184" s="68"/>
      <c r="F184" s="337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ht="15.75" customHeight="1">
      <c r="A185" s="68"/>
      <c r="B185" s="337"/>
      <c r="C185" s="337"/>
      <c r="D185" s="68"/>
      <c r="E185" s="68"/>
      <c r="F185" s="337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ht="15.75" customHeight="1">
      <c r="A186" s="68"/>
      <c r="B186" s="337"/>
      <c r="C186" s="337"/>
      <c r="D186" s="68"/>
      <c r="E186" s="68"/>
      <c r="F186" s="337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ht="15.75" customHeight="1">
      <c r="A187" s="68"/>
      <c r="B187" s="337"/>
      <c r="C187" s="337"/>
      <c r="D187" s="68"/>
      <c r="E187" s="68"/>
      <c r="F187" s="337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ht="15.75" customHeight="1">
      <c r="A188" s="68"/>
      <c r="B188" s="337"/>
      <c r="C188" s="337"/>
      <c r="D188" s="68"/>
      <c r="E188" s="68"/>
      <c r="F188" s="337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ht="15.75" customHeight="1">
      <c r="A189" s="68"/>
      <c r="B189" s="337"/>
      <c r="C189" s="337"/>
      <c r="D189" s="68"/>
      <c r="E189" s="68"/>
      <c r="F189" s="337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ht="15.75" customHeight="1">
      <c r="A190" s="68"/>
      <c r="B190" s="337"/>
      <c r="C190" s="337"/>
      <c r="D190" s="68"/>
      <c r="E190" s="68"/>
      <c r="F190" s="337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ht="15.75" customHeight="1">
      <c r="A191" s="68"/>
      <c r="B191" s="337"/>
      <c r="C191" s="337"/>
      <c r="D191" s="68"/>
      <c r="E191" s="68"/>
      <c r="F191" s="337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ht="15.75" customHeight="1">
      <c r="A192" s="68"/>
      <c r="B192" s="337"/>
      <c r="C192" s="337"/>
      <c r="D192" s="68"/>
      <c r="E192" s="68"/>
      <c r="F192" s="337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ht="15.75" customHeight="1">
      <c r="A193" s="68"/>
      <c r="B193" s="337"/>
      <c r="C193" s="337"/>
      <c r="D193" s="68"/>
      <c r="E193" s="68"/>
      <c r="F193" s="337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ht="15.75" customHeight="1">
      <c r="A194" s="68"/>
      <c r="B194" s="337"/>
      <c r="C194" s="337"/>
      <c r="D194" s="68"/>
      <c r="E194" s="68"/>
      <c r="F194" s="337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ht="15.75" customHeight="1">
      <c r="A195" s="68"/>
      <c r="B195" s="337"/>
      <c r="C195" s="337"/>
      <c r="D195" s="68"/>
      <c r="E195" s="68"/>
      <c r="F195" s="337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ht="15.75" customHeight="1">
      <c r="A196" s="68"/>
      <c r="B196" s="337"/>
      <c r="C196" s="337"/>
      <c r="D196" s="68"/>
      <c r="E196" s="68"/>
      <c r="F196" s="337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ht="15.75" customHeight="1">
      <c r="A197" s="68"/>
      <c r="B197" s="337"/>
      <c r="C197" s="337"/>
      <c r="D197" s="68"/>
      <c r="E197" s="68"/>
      <c r="F197" s="337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ht="15.75" customHeight="1">
      <c r="A198" s="68"/>
      <c r="B198" s="337"/>
      <c r="C198" s="337"/>
      <c r="D198" s="68"/>
      <c r="E198" s="68"/>
      <c r="F198" s="337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ht="15.75" customHeight="1">
      <c r="A199" s="68"/>
      <c r="B199" s="337"/>
      <c r="C199" s="337"/>
      <c r="D199" s="68"/>
      <c r="E199" s="68"/>
      <c r="F199" s="337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ht="15.75" customHeight="1">
      <c r="A200" s="68"/>
      <c r="B200" s="337"/>
      <c r="C200" s="337"/>
      <c r="D200" s="68"/>
      <c r="E200" s="68"/>
      <c r="F200" s="337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ht="15.75" customHeight="1">
      <c r="A201" s="68"/>
      <c r="B201" s="337"/>
      <c r="C201" s="337"/>
      <c r="D201" s="68"/>
      <c r="E201" s="68"/>
      <c r="F201" s="337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ht="15.75" customHeight="1">
      <c r="A202" s="68"/>
      <c r="B202" s="337"/>
      <c r="C202" s="337"/>
      <c r="D202" s="68"/>
      <c r="E202" s="68"/>
      <c r="F202" s="337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ht="15.75" customHeight="1">
      <c r="A203" s="68"/>
      <c r="B203" s="337"/>
      <c r="C203" s="337"/>
      <c r="D203" s="68"/>
      <c r="E203" s="68"/>
      <c r="F203" s="337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ht="15.75" customHeight="1">
      <c r="A204" s="68"/>
      <c r="B204" s="337"/>
      <c r="C204" s="337"/>
      <c r="D204" s="68"/>
      <c r="E204" s="68"/>
      <c r="F204" s="337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ht="15.75" customHeight="1">
      <c r="A205" s="68"/>
      <c r="B205" s="337"/>
      <c r="C205" s="337"/>
      <c r="D205" s="68"/>
      <c r="E205" s="68"/>
      <c r="F205" s="337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ht="15.75" customHeight="1">
      <c r="A206" s="68"/>
      <c r="B206" s="337"/>
      <c r="C206" s="337"/>
      <c r="D206" s="68"/>
      <c r="E206" s="68"/>
      <c r="F206" s="337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ht="15.75" customHeight="1">
      <c r="A207" s="68"/>
      <c r="B207" s="337"/>
      <c r="C207" s="337"/>
      <c r="D207" s="68"/>
      <c r="E207" s="68"/>
      <c r="F207" s="337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ht="15.75" customHeight="1">
      <c r="A208" s="68"/>
      <c r="B208" s="337"/>
      <c r="C208" s="337"/>
      <c r="D208" s="68"/>
      <c r="E208" s="68"/>
      <c r="F208" s="337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ht="15.75" customHeight="1">
      <c r="A209" s="68"/>
      <c r="B209" s="337"/>
      <c r="C209" s="337"/>
      <c r="D209" s="68"/>
      <c r="E209" s="68"/>
      <c r="F209" s="337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ht="15.75" customHeight="1">
      <c r="A210" s="68"/>
      <c r="B210" s="337"/>
      <c r="C210" s="337"/>
      <c r="D210" s="68"/>
      <c r="E210" s="68"/>
      <c r="F210" s="337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ht="15.75" customHeight="1">
      <c r="A211" s="68"/>
      <c r="B211" s="337"/>
      <c r="C211" s="337"/>
      <c r="D211" s="68"/>
      <c r="E211" s="68"/>
      <c r="F211" s="337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ht="15.75" customHeight="1">
      <c r="A212" s="68"/>
      <c r="B212" s="337"/>
      <c r="C212" s="337"/>
      <c r="D212" s="68"/>
      <c r="E212" s="68"/>
      <c r="F212" s="337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ht="15.75" customHeight="1">
      <c r="A213" s="68"/>
      <c r="B213" s="337"/>
      <c r="C213" s="337"/>
      <c r="D213" s="68"/>
      <c r="E213" s="68"/>
      <c r="F213" s="337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ht="15.75" customHeight="1">
      <c r="A214" s="68"/>
      <c r="B214" s="337"/>
      <c r="C214" s="337"/>
      <c r="D214" s="68"/>
      <c r="E214" s="68"/>
      <c r="F214" s="337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ht="15.75" customHeight="1">
      <c r="A215" s="68"/>
      <c r="B215" s="337"/>
      <c r="C215" s="337"/>
      <c r="D215" s="68"/>
      <c r="E215" s="68"/>
      <c r="F215" s="337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ht="15.75" customHeight="1">
      <c r="A216" s="68"/>
      <c r="B216" s="337"/>
      <c r="C216" s="337"/>
      <c r="D216" s="68"/>
      <c r="E216" s="68"/>
      <c r="F216" s="337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ht="15.75" customHeight="1">
      <c r="A217" s="68"/>
      <c r="B217" s="337"/>
      <c r="C217" s="337"/>
      <c r="D217" s="68"/>
      <c r="E217" s="68"/>
      <c r="F217" s="337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ht="15.75" customHeight="1">
      <c r="A218" s="68"/>
      <c r="B218" s="337"/>
      <c r="C218" s="337"/>
      <c r="D218" s="68"/>
      <c r="E218" s="68"/>
      <c r="F218" s="337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ht="15.75" customHeight="1">
      <c r="A219" s="68"/>
      <c r="B219" s="337"/>
      <c r="C219" s="337"/>
      <c r="D219" s="68"/>
      <c r="E219" s="68"/>
      <c r="F219" s="337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ht="15.75" customHeight="1">
      <c r="A220" s="68"/>
      <c r="B220" s="337"/>
      <c r="C220" s="337"/>
      <c r="D220" s="68"/>
      <c r="E220" s="68"/>
      <c r="F220" s="337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ht="15.75" customHeight="1">
      <c r="A221" s="68"/>
      <c r="B221" s="337"/>
      <c r="C221" s="337"/>
      <c r="D221" s="68"/>
      <c r="E221" s="68"/>
      <c r="F221" s="337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ht="15.75" customHeight="1">
      <c r="A222" s="68"/>
      <c r="B222" s="337"/>
      <c r="C222" s="337"/>
      <c r="D222" s="68"/>
      <c r="E222" s="68"/>
      <c r="F222" s="337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ht="15.75" customHeight="1">
      <c r="A223" s="68"/>
      <c r="B223" s="337"/>
      <c r="C223" s="337"/>
      <c r="D223" s="68"/>
      <c r="E223" s="68"/>
      <c r="F223" s="337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ht="15.75" customHeight="1">
      <c r="A224" s="68"/>
      <c r="B224" s="337"/>
      <c r="C224" s="337"/>
      <c r="D224" s="68"/>
      <c r="E224" s="68"/>
      <c r="F224" s="337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ht="15.75" customHeight="1">
      <c r="A225" s="68"/>
      <c r="B225" s="337"/>
      <c r="C225" s="337"/>
      <c r="D225" s="68"/>
      <c r="E225" s="68"/>
      <c r="F225" s="337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ht="15.75" customHeight="1">
      <c r="A226" s="68"/>
      <c r="B226" s="337"/>
      <c r="C226" s="337"/>
      <c r="D226" s="68"/>
      <c r="E226" s="68"/>
      <c r="F226" s="337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ht="15.75" customHeight="1">
      <c r="A227" s="68"/>
      <c r="B227" s="337"/>
      <c r="C227" s="337"/>
      <c r="D227" s="68"/>
      <c r="E227" s="68"/>
      <c r="F227" s="337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ht="15.75" customHeight="1">
      <c r="A228" s="68"/>
      <c r="B228" s="337"/>
      <c r="C228" s="337"/>
      <c r="D228" s="68"/>
      <c r="E228" s="68"/>
      <c r="F228" s="337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ht="15.75" customHeight="1">
      <c r="A229" s="68"/>
      <c r="B229" s="337"/>
      <c r="C229" s="337"/>
      <c r="D229" s="68"/>
      <c r="E229" s="68"/>
      <c r="F229" s="337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ht="15.75" customHeight="1">
      <c r="A230" s="68"/>
      <c r="B230" s="337"/>
      <c r="C230" s="337"/>
      <c r="D230" s="68"/>
      <c r="E230" s="68"/>
      <c r="F230" s="337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ht="15.75" customHeight="1">
      <c r="A231" s="68"/>
      <c r="B231" s="337"/>
      <c r="C231" s="337"/>
      <c r="D231" s="68"/>
      <c r="E231" s="68"/>
      <c r="F231" s="337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ht="15.75" customHeight="1">
      <c r="A232" s="68"/>
      <c r="B232" s="337"/>
      <c r="C232" s="337"/>
      <c r="D232" s="68"/>
      <c r="E232" s="68"/>
      <c r="F232" s="337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ht="15.75" customHeight="1">
      <c r="A233" s="68"/>
      <c r="B233" s="337"/>
      <c r="C233" s="337"/>
      <c r="D233" s="68"/>
      <c r="E233" s="68"/>
      <c r="F233" s="337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ht="15.75" customHeight="1">
      <c r="A234" s="68"/>
      <c r="B234" s="337"/>
      <c r="C234" s="337"/>
      <c r="D234" s="68"/>
      <c r="E234" s="68"/>
      <c r="F234" s="337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ht="15.75" customHeight="1">
      <c r="A235" s="68"/>
      <c r="B235" s="337"/>
      <c r="C235" s="337"/>
      <c r="D235" s="68"/>
      <c r="E235" s="68"/>
      <c r="F235" s="337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ht="15.75" customHeight="1">
      <c r="A236" s="68"/>
      <c r="B236" s="337"/>
      <c r="C236" s="337"/>
      <c r="D236" s="68"/>
      <c r="E236" s="68"/>
      <c r="F236" s="337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ht="15.75" customHeight="1">
      <c r="A237" s="68"/>
      <c r="B237" s="337"/>
      <c r="C237" s="337"/>
      <c r="D237" s="68"/>
      <c r="E237" s="68"/>
      <c r="F237" s="337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ht="15.75" customHeight="1">
      <c r="A238" s="68"/>
      <c r="B238" s="337"/>
      <c r="C238" s="337"/>
      <c r="D238" s="68"/>
      <c r="E238" s="68"/>
      <c r="F238" s="337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ht="15.75" customHeight="1">
      <c r="A239" s="68"/>
      <c r="B239" s="337"/>
      <c r="C239" s="337"/>
      <c r="D239" s="68"/>
      <c r="E239" s="68"/>
      <c r="F239" s="337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ht="15.75" customHeight="1">
      <c r="A240" s="68"/>
      <c r="B240" s="337"/>
      <c r="C240" s="337"/>
      <c r="D240" s="68"/>
      <c r="E240" s="68"/>
      <c r="F240" s="337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ht="15.75" customHeight="1">
      <c r="A241" s="68"/>
      <c r="B241" s="337"/>
      <c r="C241" s="337"/>
      <c r="D241" s="68"/>
      <c r="E241" s="68"/>
      <c r="F241" s="337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ht="15.75" customHeight="1">
      <c r="A242" s="68"/>
      <c r="B242" s="337"/>
      <c r="C242" s="337"/>
      <c r="D242" s="68"/>
      <c r="E242" s="68"/>
      <c r="F242" s="337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ht="15.75" customHeight="1">
      <c r="A243" s="68"/>
      <c r="B243" s="337"/>
      <c r="C243" s="337"/>
      <c r="D243" s="68"/>
      <c r="E243" s="68"/>
      <c r="F243" s="337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ht="15.75" customHeight="1">
      <c r="A244" s="68"/>
      <c r="B244" s="337"/>
      <c r="C244" s="337"/>
      <c r="D244" s="68"/>
      <c r="E244" s="68"/>
      <c r="F244" s="337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ht="15.75" customHeight="1">
      <c r="A245" s="68"/>
      <c r="B245" s="337"/>
      <c r="C245" s="337"/>
      <c r="D245" s="68"/>
      <c r="E245" s="68"/>
      <c r="F245" s="337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ht="15.75" customHeight="1">
      <c r="A246" s="68"/>
      <c r="B246" s="337"/>
      <c r="C246" s="337"/>
      <c r="D246" s="68"/>
      <c r="E246" s="68"/>
      <c r="F246" s="337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ht="15.75" customHeight="1">
      <c r="A247" s="68"/>
      <c r="B247" s="337"/>
      <c r="C247" s="337"/>
      <c r="D247" s="68"/>
      <c r="E247" s="68"/>
      <c r="F247" s="337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ht="15.75" customHeight="1">
      <c r="A248" s="68"/>
      <c r="B248" s="337"/>
      <c r="C248" s="337"/>
      <c r="D248" s="68"/>
      <c r="E248" s="68"/>
      <c r="F248" s="337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ht="15.75" customHeight="1">
      <c r="A249" s="68"/>
      <c r="B249" s="337"/>
      <c r="C249" s="337"/>
      <c r="D249" s="68"/>
      <c r="E249" s="68"/>
      <c r="F249" s="337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ht="15.75" customHeight="1">
      <c r="A250" s="68"/>
      <c r="B250" s="337"/>
      <c r="C250" s="337"/>
      <c r="D250" s="68"/>
      <c r="E250" s="68"/>
      <c r="F250" s="337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ht="15.75" customHeight="1">
      <c r="A251" s="68"/>
      <c r="B251" s="337"/>
      <c r="C251" s="337"/>
      <c r="D251" s="68"/>
      <c r="E251" s="68"/>
      <c r="F251" s="337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ht="15.75" customHeight="1">
      <c r="A252" s="68"/>
      <c r="B252" s="337"/>
      <c r="C252" s="337"/>
      <c r="D252" s="68"/>
      <c r="E252" s="68"/>
      <c r="F252" s="337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ht="15.75" customHeight="1">
      <c r="A253" s="68"/>
      <c r="B253" s="337"/>
      <c r="C253" s="337"/>
      <c r="D253" s="68"/>
      <c r="E253" s="68"/>
      <c r="F253" s="337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ht="15.75" customHeight="1">
      <c r="A254" s="68"/>
      <c r="B254" s="337"/>
      <c r="C254" s="337"/>
      <c r="D254" s="68"/>
      <c r="E254" s="68"/>
      <c r="F254" s="337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ht="15.75" customHeight="1">
      <c r="A255" s="68"/>
      <c r="B255" s="337"/>
      <c r="C255" s="337"/>
      <c r="D255" s="68"/>
      <c r="E255" s="68"/>
      <c r="F255" s="337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ht="15.75" customHeight="1">
      <c r="A256" s="68"/>
      <c r="B256" s="337"/>
      <c r="C256" s="337"/>
      <c r="D256" s="68"/>
      <c r="E256" s="68"/>
      <c r="F256" s="337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ht="15.75" customHeight="1">
      <c r="A257" s="68"/>
      <c r="B257" s="337"/>
      <c r="C257" s="337"/>
      <c r="D257" s="68"/>
      <c r="E257" s="68"/>
      <c r="F257" s="337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ht="15.75" customHeight="1">
      <c r="A258" s="68"/>
      <c r="B258" s="337"/>
      <c r="C258" s="337"/>
      <c r="D258" s="68"/>
      <c r="E258" s="68"/>
      <c r="F258" s="337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ht="15.75" customHeight="1">
      <c r="A259" s="68"/>
      <c r="B259" s="337"/>
      <c r="C259" s="337"/>
      <c r="D259" s="68"/>
      <c r="E259" s="68"/>
      <c r="F259" s="337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ht="15.75" customHeight="1">
      <c r="A260" s="68"/>
      <c r="B260" s="337"/>
      <c r="C260" s="337"/>
      <c r="D260" s="68"/>
      <c r="E260" s="68"/>
      <c r="F260" s="337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ht="15.75" customHeight="1">
      <c r="A261" s="68"/>
      <c r="B261" s="337"/>
      <c r="C261" s="337"/>
      <c r="D261" s="68"/>
      <c r="E261" s="68"/>
      <c r="F261" s="337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ht="15.75" customHeight="1">
      <c r="A262" s="68"/>
      <c r="B262" s="337"/>
      <c r="C262" s="337"/>
      <c r="D262" s="68"/>
      <c r="E262" s="68"/>
      <c r="F262" s="337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ht="15.75" customHeight="1">
      <c r="A263" s="68"/>
      <c r="B263" s="337"/>
      <c r="C263" s="337"/>
      <c r="D263" s="68"/>
      <c r="E263" s="68"/>
      <c r="F263" s="337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ht="15.75" customHeight="1">
      <c r="A264" s="68"/>
      <c r="B264" s="337"/>
      <c r="C264" s="337"/>
      <c r="D264" s="68"/>
      <c r="E264" s="68"/>
      <c r="F264" s="337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ht="15.75" customHeight="1">
      <c r="A265" s="68"/>
      <c r="B265" s="337"/>
      <c r="C265" s="337"/>
      <c r="D265" s="68"/>
      <c r="E265" s="68"/>
      <c r="F265" s="337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ht="15.75" customHeight="1">
      <c r="A266" s="68"/>
      <c r="B266" s="337"/>
      <c r="C266" s="337"/>
      <c r="D266" s="68"/>
      <c r="E266" s="68"/>
      <c r="F266" s="337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ht="15.75" customHeight="1">
      <c r="A267" s="68"/>
      <c r="B267" s="337"/>
      <c r="C267" s="337"/>
      <c r="D267" s="68"/>
      <c r="E267" s="68"/>
      <c r="F267" s="337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ht="15.75" customHeight="1">
      <c r="A268" s="68"/>
      <c r="B268" s="337"/>
      <c r="C268" s="337"/>
      <c r="D268" s="68"/>
      <c r="E268" s="68"/>
      <c r="F268" s="337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ht="15.75" customHeight="1">
      <c r="A269" s="68"/>
      <c r="B269" s="337"/>
      <c r="C269" s="337"/>
      <c r="D269" s="68"/>
      <c r="E269" s="68"/>
      <c r="F269" s="337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ht="15.75" customHeight="1">
      <c r="A270" s="68"/>
      <c r="B270" s="337"/>
      <c r="C270" s="337"/>
      <c r="D270" s="68"/>
      <c r="E270" s="68"/>
      <c r="F270" s="337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ht="15.75" customHeight="1">
      <c r="A271" s="68"/>
      <c r="B271" s="337"/>
      <c r="C271" s="337"/>
      <c r="D271" s="68"/>
      <c r="E271" s="68"/>
      <c r="F271" s="337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ht="15.75" customHeight="1">
      <c r="A272" s="68"/>
      <c r="B272" s="337"/>
      <c r="C272" s="337"/>
      <c r="D272" s="68"/>
      <c r="E272" s="68"/>
      <c r="F272" s="337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ht="15.75" customHeight="1">
      <c r="A273" s="68"/>
      <c r="B273" s="337"/>
      <c r="C273" s="337"/>
      <c r="D273" s="68"/>
      <c r="E273" s="68"/>
      <c r="F273" s="337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ht="15.75" customHeight="1">
      <c r="A274" s="68"/>
      <c r="B274" s="337"/>
      <c r="C274" s="337"/>
      <c r="D274" s="68"/>
      <c r="E274" s="68"/>
      <c r="F274" s="337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ht="15.75" customHeight="1">
      <c r="A275" s="68"/>
      <c r="B275" s="337"/>
      <c r="C275" s="337"/>
      <c r="D275" s="68"/>
      <c r="E275" s="68"/>
      <c r="F275" s="337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ht="15.75" customHeight="1">
      <c r="A276" s="68"/>
      <c r="B276" s="337"/>
      <c r="C276" s="337"/>
      <c r="D276" s="68"/>
      <c r="E276" s="68"/>
      <c r="F276" s="337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ht="15.75" customHeight="1">
      <c r="A277" s="68"/>
      <c r="B277" s="337"/>
      <c r="C277" s="337"/>
      <c r="D277" s="68"/>
      <c r="E277" s="68"/>
      <c r="F277" s="337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ht="15.75" customHeight="1">
      <c r="A278" s="68"/>
      <c r="B278" s="337"/>
      <c r="C278" s="337"/>
      <c r="D278" s="68"/>
      <c r="E278" s="68"/>
      <c r="F278" s="337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ht="15.75" customHeight="1">
      <c r="A279" s="68"/>
      <c r="B279" s="337"/>
      <c r="C279" s="337"/>
      <c r="D279" s="68"/>
      <c r="E279" s="68"/>
      <c r="F279" s="337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ht="15.75" customHeight="1">
      <c r="A280" s="68"/>
      <c r="B280" s="337"/>
      <c r="C280" s="337"/>
      <c r="D280" s="68"/>
      <c r="E280" s="68"/>
      <c r="F280" s="337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ht="15.75" customHeight="1">
      <c r="A281" s="68"/>
      <c r="B281" s="337"/>
      <c r="C281" s="337"/>
      <c r="D281" s="68"/>
      <c r="E281" s="68"/>
      <c r="F281" s="337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ht="15.75" customHeight="1">
      <c r="A282" s="68"/>
      <c r="B282" s="337"/>
      <c r="C282" s="337"/>
      <c r="D282" s="68"/>
      <c r="E282" s="68"/>
      <c r="F282" s="337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ht="15.75" customHeight="1">
      <c r="A283" s="68"/>
      <c r="B283" s="337"/>
      <c r="C283" s="337"/>
      <c r="D283" s="68"/>
      <c r="E283" s="68"/>
      <c r="F283" s="337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ht="15.75" customHeight="1">
      <c r="A284" s="68"/>
      <c r="B284" s="337"/>
      <c r="C284" s="337"/>
      <c r="D284" s="68"/>
      <c r="E284" s="68"/>
      <c r="F284" s="337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ht="15.75" customHeight="1">
      <c r="A285" s="68"/>
      <c r="B285" s="337"/>
      <c r="C285" s="337"/>
      <c r="D285" s="68"/>
      <c r="E285" s="68"/>
      <c r="F285" s="337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ht="15.75" customHeight="1">
      <c r="A286" s="68"/>
      <c r="B286" s="337"/>
      <c r="C286" s="337"/>
      <c r="D286" s="68"/>
      <c r="E286" s="68"/>
      <c r="F286" s="337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ht="15.75" customHeight="1">
      <c r="A287" s="68"/>
      <c r="B287" s="337"/>
      <c r="C287" s="337"/>
      <c r="D287" s="68"/>
      <c r="E287" s="68"/>
      <c r="F287" s="337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ht="15.75" customHeight="1">
      <c r="A288" s="68"/>
      <c r="B288" s="337"/>
      <c r="C288" s="337"/>
      <c r="D288" s="68"/>
      <c r="E288" s="68"/>
      <c r="F288" s="337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ht="15.75" customHeight="1">
      <c r="A289" s="68"/>
      <c r="B289" s="337"/>
      <c r="C289" s="337"/>
      <c r="D289" s="68"/>
      <c r="E289" s="68"/>
      <c r="F289" s="337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ht="15.75" customHeight="1">
      <c r="A290" s="68"/>
      <c r="B290" s="337"/>
      <c r="C290" s="337"/>
      <c r="D290" s="68"/>
      <c r="E290" s="68"/>
      <c r="F290" s="337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ht="15.75" customHeight="1">
      <c r="A291" s="68"/>
      <c r="B291" s="337"/>
      <c r="C291" s="337"/>
      <c r="D291" s="68"/>
      <c r="E291" s="68"/>
      <c r="F291" s="337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ht="15.75" customHeight="1">
      <c r="A292" s="68"/>
      <c r="B292" s="337"/>
      <c r="C292" s="337"/>
      <c r="D292" s="68"/>
      <c r="E292" s="68"/>
      <c r="F292" s="337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ht="15.75" customHeight="1">
      <c r="A293" s="68"/>
      <c r="B293" s="337"/>
      <c r="C293" s="337"/>
      <c r="D293" s="68"/>
      <c r="E293" s="68"/>
      <c r="F293" s="337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ht="15.75" customHeight="1">
      <c r="A294" s="68"/>
      <c r="B294" s="337"/>
      <c r="C294" s="337"/>
      <c r="D294" s="68"/>
      <c r="E294" s="68"/>
      <c r="F294" s="337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ht="15.75" customHeight="1">
      <c r="A295" s="68"/>
      <c r="B295" s="337"/>
      <c r="C295" s="337"/>
      <c r="D295" s="68"/>
      <c r="E295" s="68"/>
      <c r="F295" s="337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ht="15.75" customHeight="1">
      <c r="A296" s="68"/>
      <c r="B296" s="337"/>
      <c r="C296" s="337"/>
      <c r="D296" s="68"/>
      <c r="E296" s="68"/>
      <c r="F296" s="337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ht="15.75" customHeight="1">
      <c r="A297" s="68"/>
      <c r="B297" s="337"/>
      <c r="C297" s="337"/>
      <c r="D297" s="68"/>
      <c r="E297" s="68"/>
      <c r="F297" s="337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ht="15.75" customHeight="1">
      <c r="A298" s="68"/>
      <c r="B298" s="337"/>
      <c r="C298" s="337"/>
      <c r="D298" s="68"/>
      <c r="E298" s="68"/>
      <c r="F298" s="337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ht="15.75" customHeight="1">
      <c r="A299" s="68"/>
      <c r="B299" s="337"/>
      <c r="C299" s="337"/>
      <c r="D299" s="68"/>
      <c r="E299" s="68"/>
      <c r="F299" s="337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ht="15.75" customHeight="1">
      <c r="A300" s="68"/>
      <c r="B300" s="337"/>
      <c r="C300" s="337"/>
      <c r="D300" s="68"/>
      <c r="E300" s="68"/>
      <c r="F300" s="337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ht="15.75" customHeight="1">
      <c r="A301" s="68"/>
      <c r="B301" s="337"/>
      <c r="C301" s="337"/>
      <c r="D301" s="68"/>
      <c r="E301" s="68"/>
      <c r="F301" s="337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ht="15.75" customHeight="1">
      <c r="A302" s="68"/>
      <c r="B302" s="337"/>
      <c r="C302" s="337"/>
      <c r="D302" s="68"/>
      <c r="E302" s="68"/>
      <c r="F302" s="337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ht="15.75" customHeight="1">
      <c r="A303" s="68"/>
      <c r="B303" s="337"/>
      <c r="C303" s="337"/>
      <c r="D303" s="68"/>
      <c r="E303" s="68"/>
      <c r="F303" s="337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ht="15.75" customHeight="1">
      <c r="A304" s="68"/>
      <c r="B304" s="337"/>
      <c r="C304" s="337"/>
      <c r="D304" s="68"/>
      <c r="E304" s="68"/>
      <c r="F304" s="337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ht="15.75" customHeight="1">
      <c r="A305" s="68"/>
      <c r="B305" s="337"/>
      <c r="C305" s="337"/>
      <c r="D305" s="68"/>
      <c r="E305" s="68"/>
      <c r="F305" s="337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ht="15.75" customHeight="1">
      <c r="A306" s="68"/>
      <c r="B306" s="337"/>
      <c r="C306" s="337"/>
      <c r="D306" s="68"/>
      <c r="E306" s="68"/>
      <c r="F306" s="337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ht="15.75" customHeight="1">
      <c r="A307" s="68"/>
      <c r="B307" s="337"/>
      <c r="C307" s="337"/>
      <c r="D307" s="68"/>
      <c r="E307" s="68"/>
      <c r="F307" s="337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ht="15.75" customHeight="1">
      <c r="A308" s="68"/>
      <c r="B308" s="337"/>
      <c r="C308" s="337"/>
      <c r="D308" s="68"/>
      <c r="E308" s="68"/>
      <c r="F308" s="337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ht="15.75" customHeight="1">
      <c r="A309" s="68"/>
      <c r="B309" s="337"/>
      <c r="C309" s="337"/>
      <c r="D309" s="68"/>
      <c r="E309" s="68"/>
      <c r="F309" s="337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ht="15.75" customHeight="1">
      <c r="A310" s="68"/>
      <c r="B310" s="337"/>
      <c r="C310" s="337"/>
      <c r="D310" s="68"/>
      <c r="E310" s="68"/>
      <c r="F310" s="337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ht="15.75" customHeight="1">
      <c r="A311" s="68"/>
      <c r="B311" s="337"/>
      <c r="C311" s="337"/>
      <c r="D311" s="68"/>
      <c r="E311" s="68"/>
      <c r="F311" s="337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ht="15.75" customHeight="1">
      <c r="A312" s="68"/>
      <c r="B312" s="337"/>
      <c r="C312" s="337"/>
      <c r="D312" s="68"/>
      <c r="E312" s="68"/>
      <c r="F312" s="337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ht="15.75" customHeight="1">
      <c r="A313" s="68"/>
      <c r="B313" s="337"/>
      <c r="C313" s="337"/>
      <c r="D313" s="68"/>
      <c r="E313" s="68"/>
      <c r="F313" s="337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ht="15.75" customHeight="1">
      <c r="A314" s="68"/>
      <c r="B314" s="337"/>
      <c r="C314" s="337"/>
      <c r="D314" s="68"/>
      <c r="E314" s="68"/>
      <c r="F314" s="337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ht="15.75" customHeight="1">
      <c r="A315" s="68"/>
      <c r="B315" s="337"/>
      <c r="C315" s="337"/>
      <c r="D315" s="68"/>
      <c r="E315" s="68"/>
      <c r="F315" s="337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ht="15.75" customHeight="1">
      <c r="A316" s="68"/>
      <c r="B316" s="337"/>
      <c r="C316" s="337"/>
      <c r="D316" s="68"/>
      <c r="E316" s="68"/>
      <c r="F316" s="337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ht="15.75" customHeight="1">
      <c r="A317" s="68"/>
      <c r="B317" s="337"/>
      <c r="C317" s="337"/>
      <c r="D317" s="68"/>
      <c r="E317" s="68"/>
      <c r="F317" s="337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ht="15.75" customHeight="1">
      <c r="A318" s="68"/>
      <c r="B318" s="337"/>
      <c r="C318" s="337"/>
      <c r="D318" s="68"/>
      <c r="E318" s="68"/>
      <c r="F318" s="337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ht="15.75" customHeight="1">
      <c r="A319" s="68"/>
      <c r="B319" s="337"/>
      <c r="C319" s="337"/>
      <c r="D319" s="68"/>
      <c r="E319" s="68"/>
      <c r="F319" s="337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ht="15.75" customHeight="1">
      <c r="A320" s="68"/>
      <c r="B320" s="337"/>
      <c r="C320" s="337"/>
      <c r="D320" s="68"/>
      <c r="E320" s="68"/>
      <c r="F320" s="337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ht="15.75" customHeight="1">
      <c r="A321" s="68"/>
      <c r="B321" s="337"/>
      <c r="C321" s="337"/>
      <c r="D321" s="68"/>
      <c r="E321" s="68"/>
      <c r="F321" s="337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ht="15.75" customHeight="1">
      <c r="A322" s="68"/>
      <c r="B322" s="337"/>
      <c r="C322" s="337"/>
      <c r="D322" s="68"/>
      <c r="E322" s="68"/>
      <c r="F322" s="337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ht="15.75" customHeight="1">
      <c r="A323" s="68"/>
      <c r="B323" s="337"/>
      <c r="C323" s="337"/>
      <c r="D323" s="68"/>
      <c r="E323" s="68"/>
      <c r="F323" s="337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ht="15.75" customHeight="1">
      <c r="A324" s="68"/>
      <c r="B324" s="337"/>
      <c r="C324" s="337"/>
      <c r="D324" s="68"/>
      <c r="E324" s="68"/>
      <c r="F324" s="337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ht="15.75" customHeight="1">
      <c r="A325" s="68"/>
      <c r="B325" s="337"/>
      <c r="C325" s="337"/>
      <c r="D325" s="68"/>
      <c r="E325" s="68"/>
      <c r="F325" s="337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ht="15.75" customHeight="1">
      <c r="A326" s="68"/>
      <c r="B326" s="337"/>
      <c r="C326" s="337"/>
      <c r="D326" s="68"/>
      <c r="E326" s="68"/>
      <c r="F326" s="337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ht="15.75" customHeight="1">
      <c r="A327" s="68"/>
      <c r="B327" s="337"/>
      <c r="C327" s="337"/>
      <c r="D327" s="68"/>
      <c r="E327" s="68"/>
      <c r="F327" s="337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ht="15.75" customHeight="1">
      <c r="A328" s="68"/>
      <c r="B328" s="337"/>
      <c r="C328" s="337"/>
      <c r="D328" s="68"/>
      <c r="E328" s="68"/>
      <c r="F328" s="337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ht="15.75" customHeight="1">
      <c r="A329" s="68"/>
      <c r="B329" s="337"/>
      <c r="C329" s="337"/>
      <c r="D329" s="68"/>
      <c r="E329" s="68"/>
      <c r="F329" s="337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ht="15.75" customHeight="1">
      <c r="A330" s="68"/>
      <c r="B330" s="337"/>
      <c r="C330" s="337"/>
      <c r="D330" s="68"/>
      <c r="E330" s="68"/>
      <c r="F330" s="337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ht="15.75" customHeight="1">
      <c r="A331" s="68"/>
      <c r="B331" s="337"/>
      <c r="C331" s="337"/>
      <c r="D331" s="68"/>
      <c r="E331" s="68"/>
      <c r="F331" s="337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ht="15.75" customHeight="1">
      <c r="A332" s="68"/>
      <c r="B332" s="337"/>
      <c r="C332" s="337"/>
      <c r="D332" s="68"/>
      <c r="E332" s="68"/>
      <c r="F332" s="337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ht="15.75" customHeight="1">
      <c r="A333" s="68"/>
      <c r="B333" s="337"/>
      <c r="C333" s="337"/>
      <c r="D333" s="68"/>
      <c r="E333" s="68"/>
      <c r="F333" s="337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ht="15.75" customHeight="1">
      <c r="A334" s="68"/>
      <c r="B334" s="337"/>
      <c r="C334" s="337"/>
      <c r="D334" s="68"/>
      <c r="E334" s="68"/>
      <c r="F334" s="337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ht="15.75" customHeight="1">
      <c r="A335" s="68"/>
      <c r="B335" s="337"/>
      <c r="C335" s="337"/>
      <c r="D335" s="68"/>
      <c r="E335" s="68"/>
      <c r="F335" s="337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ht="15.75" customHeight="1">
      <c r="A336" s="68"/>
      <c r="B336" s="337"/>
      <c r="C336" s="337"/>
      <c r="D336" s="68"/>
      <c r="E336" s="68"/>
      <c r="F336" s="337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ht="15.75" customHeight="1">
      <c r="A337" s="68"/>
      <c r="B337" s="337"/>
      <c r="C337" s="337"/>
      <c r="D337" s="68"/>
      <c r="E337" s="68"/>
      <c r="F337" s="337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ht="15.75" customHeight="1">
      <c r="A338" s="68"/>
      <c r="B338" s="337"/>
      <c r="C338" s="337"/>
      <c r="D338" s="68"/>
      <c r="E338" s="68"/>
      <c r="F338" s="337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ht="15.75" customHeight="1">
      <c r="A339" s="68"/>
      <c r="B339" s="337"/>
      <c r="C339" s="337"/>
      <c r="D339" s="68"/>
      <c r="E339" s="68"/>
      <c r="F339" s="337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ht="15.75" customHeight="1">
      <c r="A340" s="68"/>
      <c r="B340" s="337"/>
      <c r="C340" s="337"/>
      <c r="D340" s="68"/>
      <c r="E340" s="68"/>
      <c r="F340" s="337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ht="15.75" customHeight="1">
      <c r="A341" s="68"/>
      <c r="B341" s="337"/>
      <c r="C341" s="337"/>
      <c r="D341" s="68"/>
      <c r="E341" s="68"/>
      <c r="F341" s="337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ht="15.75" customHeight="1">
      <c r="A342" s="68"/>
      <c r="B342" s="337"/>
      <c r="C342" s="337"/>
      <c r="D342" s="68"/>
      <c r="E342" s="68"/>
      <c r="F342" s="337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ht="15.75" customHeight="1">
      <c r="A343" s="68"/>
      <c r="B343" s="337"/>
      <c r="C343" s="337"/>
      <c r="D343" s="68"/>
      <c r="E343" s="68"/>
      <c r="F343" s="337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ht="15.75" customHeight="1">
      <c r="A344" s="68"/>
      <c r="B344" s="337"/>
      <c r="C344" s="337"/>
      <c r="D344" s="68"/>
      <c r="E344" s="68"/>
      <c r="F344" s="337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ht="15.75" customHeight="1">
      <c r="A345" s="68"/>
      <c r="B345" s="337"/>
      <c r="C345" s="337"/>
      <c r="D345" s="68"/>
      <c r="E345" s="68"/>
      <c r="F345" s="337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ht="15.75" customHeight="1">
      <c r="A346" s="68"/>
      <c r="B346" s="337"/>
      <c r="C346" s="337"/>
      <c r="D346" s="68"/>
      <c r="E346" s="68"/>
      <c r="F346" s="337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ht="15.75" customHeight="1">
      <c r="A347" s="68"/>
      <c r="B347" s="337"/>
      <c r="C347" s="337"/>
      <c r="D347" s="68"/>
      <c r="E347" s="68"/>
      <c r="F347" s="337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ht="15.75" customHeight="1">
      <c r="A348" s="68"/>
      <c r="B348" s="337"/>
      <c r="C348" s="337"/>
      <c r="D348" s="68"/>
      <c r="E348" s="68"/>
      <c r="F348" s="337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ht="15.75" customHeight="1">
      <c r="A349" s="68"/>
      <c r="B349" s="337"/>
      <c r="C349" s="337"/>
      <c r="D349" s="68"/>
      <c r="E349" s="68"/>
      <c r="F349" s="337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ht="15.75" customHeight="1">
      <c r="A350" s="68"/>
      <c r="B350" s="337"/>
      <c r="C350" s="337"/>
      <c r="D350" s="68"/>
      <c r="E350" s="68"/>
      <c r="F350" s="337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ht="15.75" customHeight="1">
      <c r="A351" s="68"/>
      <c r="B351" s="337"/>
      <c r="C351" s="337"/>
      <c r="D351" s="68"/>
      <c r="E351" s="68"/>
      <c r="F351" s="337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ht="15.75" customHeight="1">
      <c r="A352" s="68"/>
      <c r="B352" s="337"/>
      <c r="C352" s="337"/>
      <c r="D352" s="68"/>
      <c r="E352" s="68"/>
      <c r="F352" s="337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ht="15.75" customHeight="1">
      <c r="A353" s="68"/>
      <c r="B353" s="337"/>
      <c r="C353" s="337"/>
      <c r="D353" s="68"/>
      <c r="E353" s="68"/>
      <c r="F353" s="337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ht="15.75" customHeight="1">
      <c r="A354" s="68"/>
      <c r="B354" s="337"/>
      <c r="C354" s="337"/>
      <c r="D354" s="68"/>
      <c r="E354" s="68"/>
      <c r="F354" s="337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ht="15.75" customHeight="1">
      <c r="A355" s="68"/>
      <c r="B355" s="337"/>
      <c r="C355" s="337"/>
      <c r="D355" s="68"/>
      <c r="E355" s="68"/>
      <c r="F355" s="337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ht="15.75" customHeight="1">
      <c r="A356" s="68"/>
      <c r="B356" s="337"/>
      <c r="C356" s="337"/>
      <c r="D356" s="68"/>
      <c r="E356" s="68"/>
      <c r="F356" s="337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ht="15.75" customHeight="1">
      <c r="A357" s="68"/>
      <c r="B357" s="337"/>
      <c r="C357" s="337"/>
      <c r="D357" s="68"/>
      <c r="E357" s="68"/>
      <c r="F357" s="337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ht="15.75" customHeight="1">
      <c r="A358" s="68"/>
      <c r="B358" s="337"/>
      <c r="C358" s="337"/>
      <c r="D358" s="68"/>
      <c r="E358" s="68"/>
      <c r="F358" s="337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ht="15.75" customHeight="1">
      <c r="A359" s="68"/>
      <c r="B359" s="337"/>
      <c r="C359" s="337"/>
      <c r="D359" s="68"/>
      <c r="E359" s="68"/>
      <c r="F359" s="337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ht="15.75" customHeight="1">
      <c r="A360" s="68"/>
      <c r="B360" s="337"/>
      <c r="C360" s="337"/>
      <c r="D360" s="68"/>
      <c r="E360" s="68"/>
      <c r="F360" s="337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ht="15.75" customHeight="1">
      <c r="A361" s="68"/>
      <c r="B361" s="337"/>
      <c r="C361" s="337"/>
      <c r="D361" s="68"/>
      <c r="E361" s="68"/>
      <c r="F361" s="337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ht="15.75" customHeight="1">
      <c r="A362" s="68"/>
      <c r="B362" s="337"/>
      <c r="C362" s="337"/>
      <c r="D362" s="68"/>
      <c r="E362" s="68"/>
      <c r="F362" s="337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ht="15.75" customHeight="1">
      <c r="A363" s="68"/>
      <c r="B363" s="337"/>
      <c r="C363" s="337"/>
      <c r="D363" s="68"/>
      <c r="E363" s="68"/>
      <c r="F363" s="337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ht="15.75" customHeight="1">
      <c r="A364" s="68"/>
      <c r="B364" s="337"/>
      <c r="C364" s="337"/>
      <c r="D364" s="68"/>
      <c r="E364" s="68"/>
      <c r="F364" s="337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ht="15.75" customHeight="1">
      <c r="A365" s="68"/>
      <c r="B365" s="337"/>
      <c r="C365" s="337"/>
      <c r="D365" s="68"/>
      <c r="E365" s="68"/>
      <c r="F365" s="337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ht="15.75" customHeight="1">
      <c r="A366" s="68"/>
      <c r="B366" s="337"/>
      <c r="C366" s="337"/>
      <c r="D366" s="68"/>
      <c r="E366" s="68"/>
      <c r="F366" s="337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ht="15.75" customHeight="1">
      <c r="A367" s="68"/>
      <c r="B367" s="337"/>
      <c r="C367" s="337"/>
      <c r="D367" s="68"/>
      <c r="E367" s="68"/>
      <c r="F367" s="337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ht="15.75" customHeight="1">
      <c r="A368" s="68"/>
      <c r="B368" s="337"/>
      <c r="C368" s="337"/>
      <c r="D368" s="68"/>
      <c r="E368" s="68"/>
      <c r="F368" s="337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ht="15.75" customHeight="1">
      <c r="A369" s="68"/>
      <c r="B369" s="337"/>
      <c r="C369" s="337"/>
      <c r="D369" s="68"/>
      <c r="E369" s="68"/>
      <c r="F369" s="337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ht="15.75" customHeight="1">
      <c r="A370" s="68"/>
      <c r="B370" s="337"/>
      <c r="C370" s="337"/>
      <c r="D370" s="68"/>
      <c r="E370" s="68"/>
      <c r="F370" s="337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ht="15.75" customHeight="1">
      <c r="A371" s="68"/>
      <c r="B371" s="337"/>
      <c r="C371" s="337"/>
      <c r="D371" s="68"/>
      <c r="E371" s="68"/>
      <c r="F371" s="337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ht="15.75" customHeight="1">
      <c r="A372" s="68"/>
      <c r="B372" s="337"/>
      <c r="C372" s="337"/>
      <c r="D372" s="68"/>
      <c r="E372" s="68"/>
      <c r="F372" s="337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ht="15.75" customHeight="1">
      <c r="A373" s="68"/>
      <c r="B373" s="337"/>
      <c r="C373" s="337"/>
      <c r="D373" s="68"/>
      <c r="E373" s="68"/>
      <c r="F373" s="337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ht="15.75" customHeight="1">
      <c r="A374" s="68"/>
      <c r="B374" s="337"/>
      <c r="C374" s="337"/>
      <c r="D374" s="68"/>
      <c r="E374" s="68"/>
      <c r="F374" s="337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ht="15.75" customHeight="1">
      <c r="A375" s="68"/>
      <c r="B375" s="337"/>
      <c r="C375" s="337"/>
      <c r="D375" s="68"/>
      <c r="E375" s="68"/>
      <c r="F375" s="337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ht="15.75" customHeight="1">
      <c r="A376" s="68"/>
      <c r="B376" s="337"/>
      <c r="C376" s="337"/>
      <c r="D376" s="68"/>
      <c r="E376" s="68"/>
      <c r="F376" s="337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ht="15.75" customHeight="1">
      <c r="A377" s="68"/>
      <c r="B377" s="337"/>
      <c r="C377" s="337"/>
      <c r="D377" s="68"/>
      <c r="E377" s="68"/>
      <c r="F377" s="337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ht="15.75" customHeight="1">
      <c r="A378" s="68"/>
      <c r="B378" s="337"/>
      <c r="C378" s="337"/>
      <c r="D378" s="68"/>
      <c r="E378" s="68"/>
      <c r="F378" s="337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ht="15.75" customHeight="1">
      <c r="A379" s="68"/>
      <c r="B379" s="337"/>
      <c r="C379" s="337"/>
      <c r="D379" s="68"/>
      <c r="E379" s="68"/>
      <c r="F379" s="337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ht="15.75" customHeight="1">
      <c r="A380" s="68"/>
      <c r="B380" s="337"/>
      <c r="C380" s="337"/>
      <c r="D380" s="68"/>
      <c r="E380" s="68"/>
      <c r="F380" s="337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ht="15.75" customHeight="1">
      <c r="A381" s="68"/>
      <c r="B381" s="337"/>
      <c r="C381" s="337"/>
      <c r="D381" s="68"/>
      <c r="E381" s="68"/>
      <c r="F381" s="337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ht="15.75" customHeight="1">
      <c r="A382" s="68"/>
      <c r="B382" s="337"/>
      <c r="C382" s="337"/>
      <c r="D382" s="68"/>
      <c r="E382" s="68"/>
      <c r="F382" s="337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ht="15.75" customHeight="1">
      <c r="A383" s="68"/>
      <c r="B383" s="337"/>
      <c r="C383" s="337"/>
      <c r="D383" s="68"/>
      <c r="E383" s="68"/>
      <c r="F383" s="337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ht="15.75" customHeight="1">
      <c r="A384" s="68"/>
      <c r="B384" s="337"/>
      <c r="C384" s="337"/>
      <c r="D384" s="68"/>
      <c r="E384" s="68"/>
      <c r="F384" s="337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ht="15.75" customHeight="1">
      <c r="A385" s="68"/>
      <c r="B385" s="337"/>
      <c r="C385" s="337"/>
      <c r="D385" s="68"/>
      <c r="E385" s="68"/>
      <c r="F385" s="337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ht="15.75" customHeight="1">
      <c r="A386" s="68"/>
      <c r="B386" s="337"/>
      <c r="C386" s="337"/>
      <c r="D386" s="68"/>
      <c r="E386" s="68"/>
      <c r="F386" s="337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ht="15.75" customHeight="1">
      <c r="A387" s="68"/>
      <c r="B387" s="337"/>
      <c r="C387" s="337"/>
      <c r="D387" s="68"/>
      <c r="E387" s="68"/>
      <c r="F387" s="337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ht="15.75" customHeight="1">
      <c r="A388" s="68"/>
      <c r="B388" s="337"/>
      <c r="C388" s="337"/>
      <c r="D388" s="68"/>
      <c r="E388" s="68"/>
      <c r="F388" s="337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ht="15.75" customHeight="1">
      <c r="A389" s="68"/>
      <c r="B389" s="337"/>
      <c r="C389" s="337"/>
      <c r="D389" s="68"/>
      <c r="E389" s="68"/>
      <c r="F389" s="337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ht="15.75" customHeight="1">
      <c r="A390" s="68"/>
      <c r="B390" s="337"/>
      <c r="C390" s="337"/>
      <c r="D390" s="68"/>
      <c r="E390" s="68"/>
      <c r="F390" s="337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ht="15.75" customHeight="1">
      <c r="A391" s="68"/>
      <c r="B391" s="337"/>
      <c r="C391" s="337"/>
      <c r="D391" s="68"/>
      <c r="E391" s="68"/>
      <c r="F391" s="337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ht="15.75" customHeight="1">
      <c r="A392" s="68"/>
      <c r="B392" s="337"/>
      <c r="C392" s="337"/>
      <c r="D392" s="68"/>
      <c r="E392" s="68"/>
      <c r="F392" s="337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ht="15.75" customHeight="1">
      <c r="A393" s="68"/>
      <c r="B393" s="337"/>
      <c r="C393" s="337"/>
      <c r="D393" s="68"/>
      <c r="E393" s="68"/>
      <c r="F393" s="337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ht="15.75" customHeight="1">
      <c r="A394" s="68"/>
      <c r="B394" s="337"/>
      <c r="C394" s="337"/>
      <c r="D394" s="68"/>
      <c r="E394" s="68"/>
      <c r="F394" s="337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ht="15.75" customHeight="1">
      <c r="A395" s="68"/>
      <c r="B395" s="337"/>
      <c r="C395" s="337"/>
      <c r="D395" s="68"/>
      <c r="E395" s="68"/>
      <c r="F395" s="337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ht="15.75" customHeight="1">
      <c r="A396" s="68"/>
      <c r="B396" s="337"/>
      <c r="C396" s="337"/>
      <c r="D396" s="68"/>
      <c r="E396" s="68"/>
      <c r="F396" s="337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ht="15.75" customHeight="1">
      <c r="A397" s="68"/>
      <c r="B397" s="337"/>
      <c r="C397" s="337"/>
      <c r="D397" s="68"/>
      <c r="E397" s="68"/>
      <c r="F397" s="337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ht="15.75" customHeight="1">
      <c r="A398" s="68"/>
      <c r="B398" s="337"/>
      <c r="C398" s="337"/>
      <c r="D398" s="68"/>
      <c r="E398" s="68"/>
      <c r="F398" s="337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ht="15.75" customHeight="1">
      <c r="A399" s="68"/>
      <c r="B399" s="337"/>
      <c r="C399" s="337"/>
      <c r="D399" s="68"/>
      <c r="E399" s="68"/>
      <c r="F399" s="337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ht="15.75" customHeight="1">
      <c r="A400" s="68"/>
      <c r="B400" s="337"/>
      <c r="C400" s="337"/>
      <c r="D400" s="68"/>
      <c r="E400" s="68"/>
      <c r="F400" s="337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ht="15.75" customHeight="1">
      <c r="A401" s="68"/>
      <c r="B401" s="337"/>
      <c r="C401" s="337"/>
      <c r="D401" s="68"/>
      <c r="E401" s="68"/>
      <c r="F401" s="337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ht="15.75" customHeight="1">
      <c r="A402" s="68"/>
      <c r="B402" s="337"/>
      <c r="C402" s="337"/>
      <c r="D402" s="68"/>
      <c r="E402" s="68"/>
      <c r="F402" s="337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ht="15.75" customHeight="1">
      <c r="A403" s="68"/>
      <c r="B403" s="337"/>
      <c r="C403" s="337"/>
      <c r="D403" s="68"/>
      <c r="E403" s="68"/>
      <c r="F403" s="337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ht="15.75" customHeight="1">
      <c r="A404" s="68"/>
      <c r="B404" s="337"/>
      <c r="C404" s="337"/>
      <c r="D404" s="68"/>
      <c r="E404" s="68"/>
      <c r="F404" s="337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ht="15.75" customHeight="1">
      <c r="A405" s="68"/>
      <c r="B405" s="337"/>
      <c r="C405" s="337"/>
      <c r="D405" s="68"/>
      <c r="E405" s="68"/>
      <c r="F405" s="337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ht="15.75" customHeight="1">
      <c r="A406" s="68"/>
      <c r="B406" s="337"/>
      <c r="C406" s="337"/>
      <c r="D406" s="68"/>
      <c r="E406" s="68"/>
      <c r="F406" s="337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ht="15.75" customHeight="1">
      <c r="A407" s="68"/>
      <c r="B407" s="337"/>
      <c r="C407" s="337"/>
      <c r="D407" s="68"/>
      <c r="E407" s="68"/>
      <c r="F407" s="337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ht="15.75" customHeight="1">
      <c r="A408" s="68"/>
      <c r="B408" s="337"/>
      <c r="C408" s="337"/>
      <c r="D408" s="68"/>
      <c r="E408" s="68"/>
      <c r="F408" s="337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ht="15.75" customHeight="1">
      <c r="A409" s="68"/>
      <c r="B409" s="337"/>
      <c r="C409" s="337"/>
      <c r="D409" s="68"/>
      <c r="E409" s="68"/>
      <c r="F409" s="337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ht="15.75" customHeight="1">
      <c r="A410" s="68"/>
      <c r="B410" s="337"/>
      <c r="C410" s="337"/>
      <c r="D410" s="68"/>
      <c r="E410" s="68"/>
      <c r="F410" s="337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ht="15.75" customHeight="1">
      <c r="A411" s="68"/>
      <c r="B411" s="337"/>
      <c r="C411" s="337"/>
      <c r="D411" s="68"/>
      <c r="E411" s="68"/>
      <c r="F411" s="337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ht="15.75" customHeight="1">
      <c r="A412" s="68"/>
      <c r="B412" s="337"/>
      <c r="C412" s="337"/>
      <c r="D412" s="68"/>
      <c r="E412" s="68"/>
      <c r="F412" s="337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ht="15.75" customHeight="1">
      <c r="A413" s="68"/>
      <c r="B413" s="337"/>
      <c r="C413" s="337"/>
      <c r="D413" s="68"/>
      <c r="E413" s="68"/>
      <c r="F413" s="337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ht="15.75" customHeight="1">
      <c r="A414" s="68"/>
      <c r="B414" s="337"/>
      <c r="C414" s="337"/>
      <c r="D414" s="68"/>
      <c r="E414" s="68"/>
      <c r="F414" s="337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ht="15.75" customHeight="1">
      <c r="A415" s="68"/>
      <c r="B415" s="337"/>
      <c r="C415" s="337"/>
      <c r="D415" s="68"/>
      <c r="E415" s="68"/>
      <c r="F415" s="337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ht="15.75" customHeight="1">
      <c r="A416" s="68"/>
      <c r="B416" s="337"/>
      <c r="C416" s="337"/>
      <c r="D416" s="68"/>
      <c r="E416" s="68"/>
      <c r="F416" s="337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ht="15.75" customHeight="1">
      <c r="A417" s="68"/>
      <c r="B417" s="337"/>
      <c r="C417" s="337"/>
      <c r="D417" s="68"/>
      <c r="E417" s="68"/>
      <c r="F417" s="337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ht="15.75" customHeight="1">
      <c r="A418" s="68"/>
      <c r="B418" s="337"/>
      <c r="C418" s="337"/>
      <c r="D418" s="68"/>
      <c r="E418" s="68"/>
      <c r="F418" s="337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ht="15.75" customHeight="1">
      <c r="A419" s="68"/>
      <c r="B419" s="337"/>
      <c r="C419" s="337"/>
      <c r="D419" s="68"/>
      <c r="E419" s="68"/>
      <c r="F419" s="337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ht="15.75" customHeight="1">
      <c r="A420" s="68"/>
      <c r="B420" s="337"/>
      <c r="C420" s="337"/>
      <c r="D420" s="68"/>
      <c r="E420" s="68"/>
      <c r="F420" s="337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ht="15.75" customHeight="1">
      <c r="A421" s="68"/>
      <c r="B421" s="337"/>
      <c r="C421" s="337"/>
      <c r="D421" s="68"/>
      <c r="E421" s="68"/>
      <c r="F421" s="337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ht="15.75" customHeight="1">
      <c r="A422" s="68"/>
      <c r="B422" s="337"/>
      <c r="C422" s="337"/>
      <c r="D422" s="68"/>
      <c r="E422" s="68"/>
      <c r="F422" s="337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ht="15.75" customHeight="1">
      <c r="A423" s="68"/>
      <c r="B423" s="337"/>
      <c r="C423" s="337"/>
      <c r="D423" s="68"/>
      <c r="E423" s="68"/>
      <c r="F423" s="337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ht="15.75" customHeight="1">
      <c r="A424" s="68"/>
      <c r="B424" s="337"/>
      <c r="C424" s="337"/>
      <c r="D424" s="68"/>
      <c r="E424" s="68"/>
      <c r="F424" s="337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ht="15.75" customHeight="1">
      <c r="A425" s="68"/>
      <c r="B425" s="337"/>
      <c r="C425" s="337"/>
      <c r="D425" s="68"/>
      <c r="E425" s="68"/>
      <c r="F425" s="337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ht="15.75" customHeight="1">
      <c r="A426" s="68"/>
      <c r="B426" s="337"/>
      <c r="C426" s="337"/>
      <c r="D426" s="68"/>
      <c r="E426" s="68"/>
      <c r="F426" s="337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ht="15.75" customHeight="1">
      <c r="A427" s="68"/>
      <c r="B427" s="337"/>
      <c r="C427" s="337"/>
      <c r="D427" s="68"/>
      <c r="E427" s="68"/>
      <c r="F427" s="337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ht="15.75" customHeight="1">
      <c r="A428" s="68"/>
      <c r="B428" s="337"/>
      <c r="C428" s="337"/>
      <c r="D428" s="68"/>
      <c r="E428" s="68"/>
      <c r="F428" s="337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ht="15.75" customHeight="1">
      <c r="A429" s="68"/>
      <c r="B429" s="337"/>
      <c r="C429" s="337"/>
      <c r="D429" s="68"/>
      <c r="E429" s="68"/>
      <c r="F429" s="337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ht="15.75" customHeight="1">
      <c r="A430" s="68"/>
      <c r="B430" s="337"/>
      <c r="C430" s="337"/>
      <c r="D430" s="68"/>
      <c r="E430" s="68"/>
      <c r="F430" s="337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ht="15.75" customHeight="1">
      <c r="A431" s="68"/>
      <c r="B431" s="337"/>
      <c r="C431" s="337"/>
      <c r="D431" s="68"/>
      <c r="E431" s="68"/>
      <c r="F431" s="337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ht="15.75" customHeight="1">
      <c r="A432" s="68"/>
      <c r="B432" s="337"/>
      <c r="C432" s="337"/>
      <c r="D432" s="68"/>
      <c r="E432" s="68"/>
      <c r="F432" s="337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ht="15.75" customHeight="1">
      <c r="A433" s="68"/>
      <c r="B433" s="337"/>
      <c r="C433" s="337"/>
      <c r="D433" s="68"/>
      <c r="E433" s="68"/>
      <c r="F433" s="337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ht="15.75" customHeight="1">
      <c r="A434" s="68"/>
      <c r="B434" s="337"/>
      <c r="C434" s="337"/>
      <c r="D434" s="68"/>
      <c r="E434" s="68"/>
      <c r="F434" s="337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ht="15.75" customHeight="1">
      <c r="A435" s="68"/>
      <c r="B435" s="337"/>
      <c r="C435" s="337"/>
      <c r="D435" s="68"/>
      <c r="E435" s="68"/>
      <c r="F435" s="337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ht="15.75" customHeight="1">
      <c r="A436" s="68"/>
      <c r="B436" s="337"/>
      <c r="C436" s="337"/>
      <c r="D436" s="68"/>
      <c r="E436" s="68"/>
      <c r="F436" s="337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ht="15.75" customHeight="1">
      <c r="A437" s="68"/>
      <c r="B437" s="337"/>
      <c r="C437" s="337"/>
      <c r="D437" s="68"/>
      <c r="E437" s="68"/>
      <c r="F437" s="337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ht="15.75" customHeight="1">
      <c r="A438" s="68"/>
      <c r="B438" s="337"/>
      <c r="C438" s="337"/>
      <c r="D438" s="68"/>
      <c r="E438" s="68"/>
      <c r="F438" s="337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ht="15.75" customHeight="1">
      <c r="A439" s="68"/>
      <c r="B439" s="337"/>
      <c r="C439" s="337"/>
      <c r="D439" s="68"/>
      <c r="E439" s="68"/>
      <c r="F439" s="337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ht="15.75" customHeight="1">
      <c r="A440" s="68"/>
      <c r="B440" s="337"/>
      <c r="C440" s="337"/>
      <c r="D440" s="68"/>
      <c r="E440" s="68"/>
      <c r="F440" s="337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ht="15.75" customHeight="1">
      <c r="A441" s="68"/>
      <c r="B441" s="337"/>
      <c r="C441" s="337"/>
      <c r="D441" s="68"/>
      <c r="E441" s="68"/>
      <c r="F441" s="337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ht="15.75" customHeight="1">
      <c r="A442" s="68"/>
      <c r="B442" s="337"/>
      <c r="C442" s="337"/>
      <c r="D442" s="68"/>
      <c r="E442" s="68"/>
      <c r="F442" s="337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ht="15.75" customHeight="1">
      <c r="A443" s="68"/>
      <c r="B443" s="337"/>
      <c r="C443" s="337"/>
      <c r="D443" s="68"/>
      <c r="E443" s="68"/>
      <c r="F443" s="337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ht="15.75" customHeight="1">
      <c r="A444" s="68"/>
      <c r="B444" s="337"/>
      <c r="C444" s="337"/>
      <c r="D444" s="68"/>
      <c r="E444" s="68"/>
      <c r="F444" s="337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ht="15.75" customHeight="1">
      <c r="A445" s="68"/>
      <c r="B445" s="337"/>
      <c r="C445" s="337"/>
      <c r="D445" s="68"/>
      <c r="E445" s="68"/>
      <c r="F445" s="337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ht="15.75" customHeight="1">
      <c r="A446" s="68"/>
      <c r="B446" s="337"/>
      <c r="C446" s="337"/>
      <c r="D446" s="68"/>
      <c r="E446" s="68"/>
      <c r="F446" s="337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ht="15.75" customHeight="1">
      <c r="A447" s="68"/>
      <c r="B447" s="337"/>
      <c r="C447" s="337"/>
      <c r="D447" s="68"/>
      <c r="E447" s="68"/>
      <c r="F447" s="337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ht="15.75" customHeight="1">
      <c r="A448" s="68"/>
      <c r="B448" s="337"/>
      <c r="C448" s="337"/>
      <c r="D448" s="68"/>
      <c r="E448" s="68"/>
      <c r="F448" s="337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ht="15.75" customHeight="1">
      <c r="A449" s="68"/>
      <c r="B449" s="337"/>
      <c r="C449" s="337"/>
      <c r="D449" s="68"/>
      <c r="E449" s="68"/>
      <c r="F449" s="337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ht="15.75" customHeight="1">
      <c r="A450" s="68"/>
      <c r="B450" s="337"/>
      <c r="C450" s="337"/>
      <c r="D450" s="68"/>
      <c r="E450" s="68"/>
      <c r="F450" s="337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ht="15.75" customHeight="1">
      <c r="A451" s="68"/>
      <c r="B451" s="337"/>
      <c r="C451" s="337"/>
      <c r="D451" s="68"/>
      <c r="E451" s="68"/>
      <c r="F451" s="337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ht="15.75" customHeight="1">
      <c r="A452" s="68"/>
      <c r="B452" s="337"/>
      <c r="C452" s="337"/>
      <c r="D452" s="68"/>
      <c r="E452" s="68"/>
      <c r="F452" s="337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ht="15.75" customHeight="1">
      <c r="A453" s="68"/>
      <c r="B453" s="337"/>
      <c r="C453" s="337"/>
      <c r="D453" s="68"/>
      <c r="E453" s="68"/>
      <c r="F453" s="337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ht="15.75" customHeight="1">
      <c r="A454" s="68"/>
      <c r="B454" s="337"/>
      <c r="C454" s="337"/>
      <c r="D454" s="68"/>
      <c r="E454" s="68"/>
      <c r="F454" s="337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ht="15.75" customHeight="1">
      <c r="A455" s="68"/>
      <c r="B455" s="337"/>
      <c r="C455" s="337"/>
      <c r="D455" s="68"/>
      <c r="E455" s="68"/>
      <c r="F455" s="337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ht="15.75" customHeight="1">
      <c r="A456" s="68"/>
      <c r="B456" s="337"/>
      <c r="C456" s="337"/>
      <c r="D456" s="68"/>
      <c r="E456" s="68"/>
      <c r="F456" s="337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ht="15.75" customHeight="1">
      <c r="A457" s="68"/>
      <c r="B457" s="337"/>
      <c r="C457" s="337"/>
      <c r="D457" s="68"/>
      <c r="E457" s="68"/>
      <c r="F457" s="337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ht="15.75" customHeight="1">
      <c r="A458" s="68"/>
      <c r="B458" s="337"/>
      <c r="C458" s="337"/>
      <c r="D458" s="68"/>
      <c r="E458" s="68"/>
      <c r="F458" s="337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ht="15.75" customHeight="1">
      <c r="A459" s="68"/>
      <c r="B459" s="337"/>
      <c r="C459" s="337"/>
      <c r="D459" s="68"/>
      <c r="E459" s="68"/>
      <c r="F459" s="337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ht="15.75" customHeight="1">
      <c r="A460" s="68"/>
      <c r="B460" s="337"/>
      <c r="C460" s="337"/>
      <c r="D460" s="68"/>
      <c r="E460" s="68"/>
      <c r="F460" s="337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ht="15.75" customHeight="1">
      <c r="A461" s="68"/>
      <c r="B461" s="337"/>
      <c r="C461" s="337"/>
      <c r="D461" s="68"/>
      <c r="E461" s="68"/>
      <c r="F461" s="337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ht="15.75" customHeight="1">
      <c r="A462" s="68"/>
      <c r="B462" s="337"/>
      <c r="C462" s="337"/>
      <c r="D462" s="68"/>
      <c r="E462" s="68"/>
      <c r="F462" s="337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ht="15.75" customHeight="1">
      <c r="A463" s="68"/>
      <c r="B463" s="337"/>
      <c r="C463" s="337"/>
      <c r="D463" s="68"/>
      <c r="E463" s="68"/>
      <c r="F463" s="337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ht="15.75" customHeight="1">
      <c r="A464" s="68"/>
      <c r="B464" s="337"/>
      <c r="C464" s="337"/>
      <c r="D464" s="68"/>
      <c r="E464" s="68"/>
      <c r="F464" s="337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ht="15.75" customHeight="1">
      <c r="A465" s="68"/>
      <c r="B465" s="337"/>
      <c r="C465" s="337"/>
      <c r="D465" s="68"/>
      <c r="E465" s="68"/>
      <c r="F465" s="337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ht="15.75" customHeight="1">
      <c r="A466" s="68"/>
      <c r="B466" s="337"/>
      <c r="C466" s="337"/>
      <c r="D466" s="68"/>
      <c r="E466" s="68"/>
      <c r="F466" s="337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ht="15.75" customHeight="1">
      <c r="A467" s="68"/>
      <c r="B467" s="337"/>
      <c r="C467" s="337"/>
      <c r="D467" s="68"/>
      <c r="E467" s="68"/>
      <c r="F467" s="337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ht="15.75" customHeight="1">
      <c r="A468" s="68"/>
      <c r="B468" s="337"/>
      <c r="C468" s="337"/>
      <c r="D468" s="68"/>
      <c r="E468" s="68"/>
      <c r="F468" s="337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ht="15.75" customHeight="1">
      <c r="A469" s="68"/>
      <c r="B469" s="337"/>
      <c r="C469" s="337"/>
      <c r="D469" s="68"/>
      <c r="E469" s="68"/>
      <c r="F469" s="337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ht="15.75" customHeight="1">
      <c r="A470" s="68"/>
      <c r="B470" s="337"/>
      <c r="C470" s="337"/>
      <c r="D470" s="68"/>
      <c r="E470" s="68"/>
      <c r="F470" s="337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ht="15.75" customHeight="1">
      <c r="A471" s="68"/>
      <c r="B471" s="337"/>
      <c r="C471" s="337"/>
      <c r="D471" s="68"/>
      <c r="E471" s="68"/>
      <c r="F471" s="337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ht="15.75" customHeight="1">
      <c r="A472" s="68"/>
      <c r="B472" s="337"/>
      <c r="C472" s="337"/>
      <c r="D472" s="68"/>
      <c r="E472" s="68"/>
      <c r="F472" s="337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ht="15.75" customHeight="1">
      <c r="A473" s="68"/>
      <c r="B473" s="337"/>
      <c r="C473" s="337"/>
      <c r="D473" s="68"/>
      <c r="E473" s="68"/>
      <c r="F473" s="337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ht="15.75" customHeight="1">
      <c r="A474" s="68"/>
      <c r="B474" s="337"/>
      <c r="C474" s="337"/>
      <c r="D474" s="68"/>
      <c r="E474" s="68"/>
      <c r="F474" s="337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ht="15.75" customHeight="1">
      <c r="A475" s="68"/>
      <c r="B475" s="337"/>
      <c r="C475" s="337"/>
      <c r="D475" s="68"/>
      <c r="E475" s="68"/>
      <c r="F475" s="337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ht="15.75" customHeight="1">
      <c r="A476" s="68"/>
      <c r="B476" s="337"/>
      <c r="C476" s="337"/>
      <c r="D476" s="68"/>
      <c r="E476" s="68"/>
      <c r="F476" s="337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ht="15.75" customHeight="1">
      <c r="A477" s="68"/>
      <c r="B477" s="337"/>
      <c r="C477" s="337"/>
      <c r="D477" s="68"/>
      <c r="E477" s="68"/>
      <c r="F477" s="337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ht="15.75" customHeight="1">
      <c r="A478" s="68"/>
      <c r="B478" s="337"/>
      <c r="C478" s="337"/>
      <c r="D478" s="68"/>
      <c r="E478" s="68"/>
      <c r="F478" s="337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ht="15.75" customHeight="1">
      <c r="A479" s="68"/>
      <c r="B479" s="337"/>
      <c r="C479" s="337"/>
      <c r="D479" s="68"/>
      <c r="E479" s="68"/>
      <c r="F479" s="337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ht="15.75" customHeight="1">
      <c r="A480" s="68"/>
      <c r="B480" s="337"/>
      <c r="C480" s="337"/>
      <c r="D480" s="68"/>
      <c r="E480" s="68"/>
      <c r="F480" s="337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ht="15.75" customHeight="1">
      <c r="A481" s="68"/>
      <c r="B481" s="337"/>
      <c r="C481" s="337"/>
      <c r="D481" s="68"/>
      <c r="E481" s="68"/>
      <c r="F481" s="337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ht="15.75" customHeight="1">
      <c r="A482" s="68"/>
      <c r="B482" s="337"/>
      <c r="C482" s="337"/>
      <c r="D482" s="68"/>
      <c r="E482" s="68"/>
      <c r="F482" s="337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ht="15.75" customHeight="1">
      <c r="A483" s="68"/>
      <c r="B483" s="337"/>
      <c r="C483" s="337"/>
      <c r="D483" s="68"/>
      <c r="E483" s="68"/>
      <c r="F483" s="337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ht="15.75" customHeight="1">
      <c r="A484" s="68"/>
      <c r="B484" s="337"/>
      <c r="C484" s="337"/>
      <c r="D484" s="68"/>
      <c r="E484" s="68"/>
      <c r="F484" s="337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ht="15.75" customHeight="1">
      <c r="A485" s="68"/>
      <c r="B485" s="337"/>
      <c r="C485" s="337"/>
      <c r="D485" s="68"/>
      <c r="E485" s="68"/>
      <c r="F485" s="337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ht="15.75" customHeight="1">
      <c r="A486" s="68"/>
      <c r="B486" s="337"/>
      <c r="C486" s="337"/>
      <c r="D486" s="68"/>
      <c r="E486" s="68"/>
      <c r="F486" s="337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ht="15.75" customHeight="1">
      <c r="A487" s="68"/>
      <c r="B487" s="337"/>
      <c r="C487" s="337"/>
      <c r="D487" s="68"/>
      <c r="E487" s="68"/>
      <c r="F487" s="337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ht="15.75" customHeight="1">
      <c r="A488" s="68"/>
      <c r="B488" s="337"/>
      <c r="C488" s="337"/>
      <c r="D488" s="68"/>
      <c r="E488" s="68"/>
      <c r="F488" s="337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ht="15.75" customHeight="1">
      <c r="A489" s="68"/>
      <c r="B489" s="337"/>
      <c r="C489" s="337"/>
      <c r="D489" s="68"/>
      <c r="E489" s="68"/>
      <c r="F489" s="337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ht="15.75" customHeight="1">
      <c r="A490" s="68"/>
      <c r="B490" s="337"/>
      <c r="C490" s="337"/>
      <c r="D490" s="68"/>
      <c r="E490" s="68"/>
      <c r="F490" s="337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ht="15.75" customHeight="1">
      <c r="A491" s="68"/>
      <c r="B491" s="337"/>
      <c r="C491" s="337"/>
      <c r="D491" s="68"/>
      <c r="E491" s="68"/>
      <c r="F491" s="337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ht="15.75" customHeight="1">
      <c r="A492" s="68"/>
      <c r="B492" s="337"/>
      <c r="C492" s="337"/>
      <c r="D492" s="68"/>
      <c r="E492" s="68"/>
      <c r="F492" s="337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ht="15.75" customHeight="1">
      <c r="A493" s="68"/>
      <c r="B493" s="337"/>
      <c r="C493" s="337"/>
      <c r="D493" s="68"/>
      <c r="E493" s="68"/>
      <c r="F493" s="337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ht="15.75" customHeight="1">
      <c r="A494" s="68"/>
      <c r="B494" s="337"/>
      <c r="C494" s="337"/>
      <c r="D494" s="68"/>
      <c r="E494" s="68"/>
      <c r="F494" s="337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ht="15.75" customHeight="1">
      <c r="A495" s="68"/>
      <c r="B495" s="337"/>
      <c r="C495" s="337"/>
      <c r="D495" s="68"/>
      <c r="E495" s="68"/>
      <c r="F495" s="337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ht="15.75" customHeight="1">
      <c r="A496" s="68"/>
      <c r="B496" s="337"/>
      <c r="C496" s="337"/>
      <c r="D496" s="68"/>
      <c r="E496" s="68"/>
      <c r="F496" s="337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ht="15.75" customHeight="1">
      <c r="A497" s="68"/>
      <c r="B497" s="337"/>
      <c r="C497" s="337"/>
      <c r="D497" s="68"/>
      <c r="E497" s="68"/>
      <c r="F497" s="337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ht="15.75" customHeight="1">
      <c r="A498" s="68"/>
      <c r="B498" s="337"/>
      <c r="C498" s="337"/>
      <c r="D498" s="68"/>
      <c r="E498" s="68"/>
      <c r="F498" s="337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ht="15.75" customHeight="1">
      <c r="A499" s="68"/>
      <c r="B499" s="337"/>
      <c r="C499" s="337"/>
      <c r="D499" s="68"/>
      <c r="E499" s="68"/>
      <c r="F499" s="337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ht="15.75" customHeight="1">
      <c r="A500" s="68"/>
      <c r="B500" s="337"/>
      <c r="C500" s="337"/>
      <c r="D500" s="68"/>
      <c r="E500" s="68"/>
      <c r="F500" s="337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ht="15.75" customHeight="1">
      <c r="A501" s="68"/>
      <c r="B501" s="337"/>
      <c r="C501" s="337"/>
      <c r="D501" s="68"/>
      <c r="E501" s="68"/>
      <c r="F501" s="337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ht="15.75" customHeight="1">
      <c r="A502" s="68"/>
      <c r="B502" s="337"/>
      <c r="C502" s="337"/>
      <c r="D502" s="68"/>
      <c r="E502" s="68"/>
      <c r="F502" s="337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ht="15.75" customHeight="1">
      <c r="A503" s="68"/>
      <c r="B503" s="337"/>
      <c r="C503" s="337"/>
      <c r="D503" s="68"/>
      <c r="E503" s="68"/>
      <c r="F503" s="337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ht="15.75" customHeight="1">
      <c r="A504" s="68"/>
      <c r="B504" s="337"/>
      <c r="C504" s="337"/>
      <c r="D504" s="68"/>
      <c r="E504" s="68"/>
      <c r="F504" s="337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ht="15.75" customHeight="1">
      <c r="A505" s="68"/>
      <c r="B505" s="337"/>
      <c r="C505" s="337"/>
      <c r="D505" s="68"/>
      <c r="E505" s="68"/>
      <c r="F505" s="337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ht="15.75" customHeight="1">
      <c r="A506" s="68"/>
      <c r="B506" s="337"/>
      <c r="C506" s="337"/>
      <c r="D506" s="68"/>
      <c r="E506" s="68"/>
      <c r="F506" s="337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ht="15.75" customHeight="1">
      <c r="A507" s="68"/>
      <c r="B507" s="337"/>
      <c r="C507" s="337"/>
      <c r="D507" s="68"/>
      <c r="E507" s="68"/>
      <c r="F507" s="337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ht="15.75" customHeight="1">
      <c r="A508" s="68"/>
      <c r="B508" s="337"/>
      <c r="C508" s="337"/>
      <c r="D508" s="68"/>
      <c r="E508" s="68"/>
      <c r="F508" s="337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ht="15.75" customHeight="1">
      <c r="A509" s="68"/>
      <c r="B509" s="337"/>
      <c r="C509" s="337"/>
      <c r="D509" s="68"/>
      <c r="E509" s="68"/>
      <c r="F509" s="337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ht="15.75" customHeight="1">
      <c r="A510" s="68"/>
      <c r="B510" s="337"/>
      <c r="C510" s="337"/>
      <c r="D510" s="68"/>
      <c r="E510" s="68"/>
      <c r="F510" s="337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ht="15.75" customHeight="1">
      <c r="A511" s="68"/>
      <c r="B511" s="337"/>
      <c r="C511" s="337"/>
      <c r="D511" s="68"/>
      <c r="E511" s="68"/>
      <c r="F511" s="337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ht="15.75" customHeight="1">
      <c r="A512" s="68"/>
      <c r="B512" s="337"/>
      <c r="C512" s="337"/>
      <c r="D512" s="68"/>
      <c r="E512" s="68"/>
      <c r="F512" s="337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ht="15.75" customHeight="1">
      <c r="A513" s="68"/>
      <c r="B513" s="337"/>
      <c r="C513" s="337"/>
      <c r="D513" s="68"/>
      <c r="E513" s="68"/>
      <c r="F513" s="337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ht="15.75" customHeight="1">
      <c r="A514" s="68"/>
      <c r="B514" s="337"/>
      <c r="C514" s="337"/>
      <c r="D514" s="68"/>
      <c r="E514" s="68"/>
      <c r="F514" s="337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ht="15.75" customHeight="1">
      <c r="A515" s="68"/>
      <c r="B515" s="337"/>
      <c r="C515" s="337"/>
      <c r="D515" s="68"/>
      <c r="E515" s="68"/>
      <c r="F515" s="337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ht="15.75" customHeight="1">
      <c r="A516" s="68"/>
      <c r="B516" s="337"/>
      <c r="C516" s="337"/>
      <c r="D516" s="68"/>
      <c r="E516" s="68"/>
      <c r="F516" s="337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ht="15.75" customHeight="1">
      <c r="A517" s="68"/>
      <c r="B517" s="337"/>
      <c r="C517" s="337"/>
      <c r="D517" s="68"/>
      <c r="E517" s="68"/>
      <c r="F517" s="337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ht="15.75" customHeight="1">
      <c r="A518" s="68"/>
      <c r="B518" s="337"/>
      <c r="C518" s="337"/>
      <c r="D518" s="68"/>
      <c r="E518" s="68"/>
      <c r="F518" s="337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ht="15.75" customHeight="1">
      <c r="A519" s="68"/>
      <c r="B519" s="337"/>
      <c r="C519" s="337"/>
      <c r="D519" s="68"/>
      <c r="E519" s="68"/>
      <c r="F519" s="337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ht="15.75" customHeight="1">
      <c r="A520" s="68"/>
      <c r="B520" s="337"/>
      <c r="C520" s="337"/>
      <c r="D520" s="68"/>
      <c r="E520" s="68"/>
      <c r="F520" s="337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ht="15.75" customHeight="1">
      <c r="A521" s="68"/>
      <c r="B521" s="337"/>
      <c r="C521" s="337"/>
      <c r="D521" s="68"/>
      <c r="E521" s="68"/>
      <c r="F521" s="337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ht="15.75" customHeight="1">
      <c r="A522" s="68"/>
      <c r="B522" s="337"/>
      <c r="C522" s="337"/>
      <c r="D522" s="68"/>
      <c r="E522" s="68"/>
      <c r="F522" s="337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ht="15.75" customHeight="1">
      <c r="A523" s="68"/>
      <c r="B523" s="337"/>
      <c r="C523" s="337"/>
      <c r="D523" s="68"/>
      <c r="E523" s="68"/>
      <c r="F523" s="337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ht="15.75" customHeight="1">
      <c r="A524" s="68"/>
      <c r="B524" s="337"/>
      <c r="C524" s="337"/>
      <c r="D524" s="68"/>
      <c r="E524" s="68"/>
      <c r="F524" s="337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ht="15.75" customHeight="1">
      <c r="A525" s="68"/>
      <c r="B525" s="337"/>
      <c r="C525" s="337"/>
      <c r="D525" s="68"/>
      <c r="E525" s="68"/>
      <c r="F525" s="337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ht="15.75" customHeight="1">
      <c r="A526" s="68"/>
      <c r="B526" s="337"/>
      <c r="C526" s="337"/>
      <c r="D526" s="68"/>
      <c r="E526" s="68"/>
      <c r="F526" s="337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ht="15.75" customHeight="1">
      <c r="A527" s="68"/>
      <c r="B527" s="337"/>
      <c r="C527" s="337"/>
      <c r="D527" s="68"/>
      <c r="E527" s="68"/>
      <c r="F527" s="337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ht="15.75" customHeight="1">
      <c r="A528" s="68"/>
      <c r="B528" s="337"/>
      <c r="C528" s="337"/>
      <c r="D528" s="68"/>
      <c r="E528" s="68"/>
      <c r="F528" s="337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ht="15.75" customHeight="1">
      <c r="A529" s="68"/>
      <c r="B529" s="337"/>
      <c r="C529" s="337"/>
      <c r="D529" s="68"/>
      <c r="E529" s="68"/>
      <c r="F529" s="337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ht="15.75" customHeight="1">
      <c r="A530" s="68"/>
      <c r="B530" s="337"/>
      <c r="C530" s="337"/>
      <c r="D530" s="68"/>
      <c r="E530" s="68"/>
      <c r="F530" s="337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ht="15.75" customHeight="1">
      <c r="A531" s="68"/>
      <c r="B531" s="337"/>
      <c r="C531" s="337"/>
      <c r="D531" s="68"/>
      <c r="E531" s="68"/>
      <c r="F531" s="337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ht="15.75" customHeight="1">
      <c r="A532" s="68"/>
      <c r="B532" s="337"/>
      <c r="C532" s="337"/>
      <c r="D532" s="68"/>
      <c r="E532" s="68"/>
      <c r="F532" s="337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ht="15.75" customHeight="1">
      <c r="A533" s="68"/>
      <c r="B533" s="337"/>
      <c r="C533" s="337"/>
      <c r="D533" s="68"/>
      <c r="E533" s="68"/>
      <c r="F533" s="337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ht="15.75" customHeight="1">
      <c r="A534" s="68"/>
      <c r="B534" s="337"/>
      <c r="C534" s="337"/>
      <c r="D534" s="68"/>
      <c r="E534" s="68"/>
      <c r="F534" s="337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ht="15.75" customHeight="1">
      <c r="A535" s="68"/>
      <c r="B535" s="337"/>
      <c r="C535" s="337"/>
      <c r="D535" s="68"/>
      <c r="E535" s="68"/>
      <c r="F535" s="337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ht="15.75" customHeight="1">
      <c r="A536" s="68"/>
      <c r="B536" s="337"/>
      <c r="C536" s="337"/>
      <c r="D536" s="68"/>
      <c r="E536" s="68"/>
      <c r="F536" s="337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ht="15.75" customHeight="1">
      <c r="A537" s="68"/>
      <c r="B537" s="337"/>
      <c r="C537" s="337"/>
      <c r="D537" s="68"/>
      <c r="E537" s="68"/>
      <c r="F537" s="337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ht="15.75" customHeight="1">
      <c r="A538" s="68"/>
      <c r="B538" s="337"/>
      <c r="C538" s="337"/>
      <c r="D538" s="68"/>
      <c r="E538" s="68"/>
      <c r="F538" s="337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ht="15.75" customHeight="1">
      <c r="A539" s="68"/>
      <c r="B539" s="337"/>
      <c r="C539" s="337"/>
      <c r="D539" s="68"/>
      <c r="E539" s="68"/>
      <c r="F539" s="337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ht="15.75" customHeight="1">
      <c r="A540" s="68"/>
      <c r="B540" s="337"/>
      <c r="C540" s="337"/>
      <c r="D540" s="68"/>
      <c r="E540" s="68"/>
      <c r="F540" s="337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ht="15.75" customHeight="1">
      <c r="A541" s="68"/>
      <c r="B541" s="337"/>
      <c r="C541" s="337"/>
      <c r="D541" s="68"/>
      <c r="E541" s="68"/>
      <c r="F541" s="337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ht="15.75" customHeight="1">
      <c r="A542" s="68"/>
      <c r="B542" s="337"/>
      <c r="C542" s="337"/>
      <c r="D542" s="68"/>
      <c r="E542" s="68"/>
      <c r="F542" s="337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ht="15.75" customHeight="1">
      <c r="A543" s="68"/>
      <c r="B543" s="337"/>
      <c r="C543" s="337"/>
      <c r="D543" s="68"/>
      <c r="E543" s="68"/>
      <c r="F543" s="337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ht="15.75" customHeight="1">
      <c r="A544" s="68"/>
      <c r="B544" s="337"/>
      <c r="C544" s="337"/>
      <c r="D544" s="68"/>
      <c r="E544" s="68"/>
      <c r="F544" s="337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ht="15.75" customHeight="1">
      <c r="A545" s="68"/>
      <c r="B545" s="337"/>
      <c r="C545" s="337"/>
      <c r="D545" s="68"/>
      <c r="E545" s="68"/>
      <c r="F545" s="337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ht="15.75" customHeight="1">
      <c r="A546" s="68"/>
      <c r="B546" s="337"/>
      <c r="C546" s="337"/>
      <c r="D546" s="68"/>
      <c r="E546" s="68"/>
      <c r="F546" s="337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ht="15.75" customHeight="1">
      <c r="A547" s="68"/>
      <c r="B547" s="337"/>
      <c r="C547" s="337"/>
      <c r="D547" s="68"/>
      <c r="E547" s="68"/>
      <c r="F547" s="337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ht="15.75" customHeight="1">
      <c r="A548" s="68"/>
      <c r="B548" s="337"/>
      <c r="C548" s="337"/>
      <c r="D548" s="68"/>
      <c r="E548" s="68"/>
      <c r="F548" s="337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ht="15.75" customHeight="1">
      <c r="A549" s="68"/>
      <c r="B549" s="337"/>
      <c r="C549" s="337"/>
      <c r="D549" s="68"/>
      <c r="E549" s="68"/>
      <c r="F549" s="337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ht="15.75" customHeight="1">
      <c r="A550" s="68"/>
      <c r="B550" s="337"/>
      <c r="C550" s="337"/>
      <c r="D550" s="68"/>
      <c r="E550" s="68"/>
      <c r="F550" s="337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ht="15.75" customHeight="1">
      <c r="A551" s="68"/>
      <c r="B551" s="337"/>
      <c r="C551" s="337"/>
      <c r="D551" s="68"/>
      <c r="E551" s="68"/>
      <c r="F551" s="337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ht="15.75" customHeight="1">
      <c r="A552" s="68"/>
      <c r="B552" s="337"/>
      <c r="C552" s="337"/>
      <c r="D552" s="68"/>
      <c r="E552" s="68"/>
      <c r="F552" s="337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ht="15.75" customHeight="1">
      <c r="A553" s="68"/>
      <c r="B553" s="337"/>
      <c r="C553" s="337"/>
      <c r="D553" s="68"/>
      <c r="E553" s="68"/>
      <c r="F553" s="337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ht="15.75" customHeight="1">
      <c r="A554" s="68"/>
      <c r="B554" s="337"/>
      <c r="C554" s="337"/>
      <c r="D554" s="68"/>
      <c r="E554" s="68"/>
      <c r="F554" s="337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ht="15.75" customHeight="1">
      <c r="A555" s="68"/>
      <c r="B555" s="337"/>
      <c r="C555" s="337"/>
      <c r="D555" s="68"/>
      <c r="E555" s="68"/>
      <c r="F555" s="337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ht="15.75" customHeight="1">
      <c r="A556" s="68"/>
      <c r="B556" s="337"/>
      <c r="C556" s="337"/>
      <c r="D556" s="68"/>
      <c r="E556" s="68"/>
      <c r="F556" s="337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ht="15.75" customHeight="1">
      <c r="A557" s="68"/>
      <c r="B557" s="337"/>
      <c r="C557" s="337"/>
      <c r="D557" s="68"/>
      <c r="E557" s="68"/>
      <c r="F557" s="337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ht="15.75" customHeight="1">
      <c r="A558" s="68"/>
      <c r="B558" s="337"/>
      <c r="C558" s="337"/>
      <c r="D558" s="68"/>
      <c r="E558" s="68"/>
      <c r="F558" s="337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ht="15.75" customHeight="1">
      <c r="A559" s="68"/>
      <c r="B559" s="337"/>
      <c r="C559" s="337"/>
      <c r="D559" s="68"/>
      <c r="E559" s="68"/>
      <c r="F559" s="337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ht="15.75" customHeight="1">
      <c r="A560" s="68"/>
      <c r="B560" s="337"/>
      <c r="C560" s="337"/>
      <c r="D560" s="68"/>
      <c r="E560" s="68"/>
      <c r="F560" s="337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ht="15.75" customHeight="1">
      <c r="A561" s="68"/>
      <c r="B561" s="337"/>
      <c r="C561" s="337"/>
      <c r="D561" s="68"/>
      <c r="E561" s="68"/>
      <c r="F561" s="337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ht="15.75" customHeight="1">
      <c r="A562" s="68"/>
      <c r="B562" s="337"/>
      <c r="C562" s="337"/>
      <c r="D562" s="68"/>
      <c r="E562" s="68"/>
      <c r="F562" s="337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ht="15.75" customHeight="1">
      <c r="A563" s="68"/>
      <c r="B563" s="337"/>
      <c r="C563" s="337"/>
      <c r="D563" s="68"/>
      <c r="E563" s="68"/>
      <c r="F563" s="337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ht="15.75" customHeight="1">
      <c r="A564" s="68"/>
      <c r="B564" s="337"/>
      <c r="C564" s="337"/>
      <c r="D564" s="68"/>
      <c r="E564" s="68"/>
      <c r="F564" s="337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ht="15.75" customHeight="1">
      <c r="A565" s="68"/>
      <c r="B565" s="337"/>
      <c r="C565" s="337"/>
      <c r="D565" s="68"/>
      <c r="E565" s="68"/>
      <c r="F565" s="337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ht="15.75" customHeight="1">
      <c r="A566" s="68"/>
      <c r="B566" s="337"/>
      <c r="C566" s="337"/>
      <c r="D566" s="68"/>
      <c r="E566" s="68"/>
      <c r="F566" s="337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ht="15.75" customHeight="1">
      <c r="A567" s="68"/>
      <c r="B567" s="337"/>
      <c r="C567" s="337"/>
      <c r="D567" s="68"/>
      <c r="E567" s="68"/>
      <c r="F567" s="337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ht="15.75" customHeight="1">
      <c r="A568" s="68"/>
      <c r="B568" s="337"/>
      <c r="C568" s="337"/>
      <c r="D568" s="68"/>
      <c r="E568" s="68"/>
      <c r="F568" s="337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ht="15.75" customHeight="1">
      <c r="A569" s="68"/>
      <c r="B569" s="337"/>
      <c r="C569" s="337"/>
      <c r="D569" s="68"/>
      <c r="E569" s="68"/>
      <c r="F569" s="337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ht="15.75" customHeight="1">
      <c r="A570" s="68"/>
      <c r="B570" s="337"/>
      <c r="C570" s="337"/>
      <c r="D570" s="68"/>
      <c r="E570" s="68"/>
      <c r="F570" s="337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ht="15.75" customHeight="1">
      <c r="A571" s="68"/>
      <c r="B571" s="337"/>
      <c r="C571" s="337"/>
      <c r="D571" s="68"/>
      <c r="E571" s="68"/>
      <c r="F571" s="337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ht="15.75" customHeight="1">
      <c r="A572" s="68"/>
      <c r="B572" s="337"/>
      <c r="C572" s="337"/>
      <c r="D572" s="68"/>
      <c r="E572" s="68"/>
      <c r="F572" s="337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ht="15.75" customHeight="1">
      <c r="A573" s="68"/>
      <c r="B573" s="337"/>
      <c r="C573" s="337"/>
      <c r="D573" s="68"/>
      <c r="E573" s="68"/>
      <c r="F573" s="337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ht="15.75" customHeight="1">
      <c r="A574" s="68"/>
      <c r="B574" s="337"/>
      <c r="C574" s="337"/>
      <c r="D574" s="68"/>
      <c r="E574" s="68"/>
      <c r="F574" s="337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ht="15.75" customHeight="1">
      <c r="A575" s="68"/>
      <c r="B575" s="337"/>
      <c r="C575" s="337"/>
      <c r="D575" s="68"/>
      <c r="E575" s="68"/>
      <c r="F575" s="337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ht="15.75" customHeight="1">
      <c r="A576" s="68"/>
      <c r="B576" s="337"/>
      <c r="C576" s="337"/>
      <c r="D576" s="68"/>
      <c r="E576" s="68"/>
      <c r="F576" s="337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ht="15.75" customHeight="1">
      <c r="A577" s="68"/>
      <c r="B577" s="337"/>
      <c r="C577" s="337"/>
      <c r="D577" s="68"/>
      <c r="E577" s="68"/>
      <c r="F577" s="337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ht="15.75" customHeight="1">
      <c r="A578" s="68"/>
      <c r="B578" s="337"/>
      <c r="C578" s="337"/>
      <c r="D578" s="68"/>
      <c r="E578" s="68"/>
      <c r="F578" s="337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ht="15.75" customHeight="1">
      <c r="A579" s="68"/>
      <c r="B579" s="337"/>
      <c r="C579" s="337"/>
      <c r="D579" s="68"/>
      <c r="E579" s="68"/>
      <c r="F579" s="337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ht="15.75" customHeight="1">
      <c r="A580" s="68"/>
      <c r="B580" s="337"/>
      <c r="C580" s="337"/>
      <c r="D580" s="68"/>
      <c r="E580" s="68"/>
      <c r="F580" s="337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ht="15.75" customHeight="1">
      <c r="A581" s="68"/>
      <c r="B581" s="337"/>
      <c r="C581" s="337"/>
      <c r="D581" s="68"/>
      <c r="E581" s="68"/>
      <c r="F581" s="337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ht="15.75" customHeight="1">
      <c r="A582" s="68"/>
      <c r="B582" s="337"/>
      <c r="C582" s="337"/>
      <c r="D582" s="68"/>
      <c r="E582" s="68"/>
      <c r="F582" s="337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ht="15.75" customHeight="1">
      <c r="A583" s="68"/>
      <c r="B583" s="337"/>
      <c r="C583" s="337"/>
      <c r="D583" s="68"/>
      <c r="E583" s="68"/>
      <c r="F583" s="337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ht="15.75" customHeight="1">
      <c r="A584" s="68"/>
      <c r="B584" s="337"/>
      <c r="C584" s="337"/>
      <c r="D584" s="68"/>
      <c r="E584" s="68"/>
      <c r="F584" s="337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ht="15.75" customHeight="1">
      <c r="A585" s="68"/>
      <c r="B585" s="337"/>
      <c r="C585" s="337"/>
      <c r="D585" s="68"/>
      <c r="E585" s="68"/>
      <c r="F585" s="337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ht="15.75" customHeight="1">
      <c r="A586" s="68"/>
      <c r="B586" s="337"/>
      <c r="C586" s="337"/>
      <c r="D586" s="68"/>
      <c r="E586" s="68"/>
      <c r="F586" s="337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ht="15.75" customHeight="1">
      <c r="A587" s="68"/>
      <c r="B587" s="337"/>
      <c r="C587" s="337"/>
      <c r="D587" s="68"/>
      <c r="E587" s="68"/>
      <c r="F587" s="337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ht="15.75" customHeight="1">
      <c r="A588" s="68"/>
      <c r="B588" s="337"/>
      <c r="C588" s="337"/>
      <c r="D588" s="68"/>
      <c r="E588" s="68"/>
      <c r="F588" s="337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ht="15.75" customHeight="1">
      <c r="A589" s="68"/>
      <c r="B589" s="337"/>
      <c r="C589" s="337"/>
      <c r="D589" s="68"/>
      <c r="E589" s="68"/>
      <c r="F589" s="337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ht="15.75" customHeight="1">
      <c r="A590" s="68"/>
      <c r="B590" s="337"/>
      <c r="C590" s="337"/>
      <c r="D590" s="68"/>
      <c r="E590" s="68"/>
      <c r="F590" s="337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ht="15.75" customHeight="1">
      <c r="A591" s="68"/>
      <c r="B591" s="337"/>
      <c r="C591" s="337"/>
      <c r="D591" s="68"/>
      <c r="E591" s="68"/>
      <c r="F591" s="337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ht="15.75" customHeight="1">
      <c r="A592" s="68"/>
      <c r="B592" s="337"/>
      <c r="C592" s="337"/>
      <c r="D592" s="68"/>
      <c r="E592" s="68"/>
      <c r="F592" s="337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ht="15.75" customHeight="1">
      <c r="A593" s="68"/>
      <c r="B593" s="337"/>
      <c r="C593" s="337"/>
      <c r="D593" s="68"/>
      <c r="E593" s="68"/>
      <c r="F593" s="337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ht="15.75" customHeight="1">
      <c r="A594" s="68"/>
      <c r="B594" s="337"/>
      <c r="C594" s="337"/>
      <c r="D594" s="68"/>
      <c r="E594" s="68"/>
      <c r="F594" s="337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ht="15.75" customHeight="1">
      <c r="A595" s="68"/>
      <c r="B595" s="337"/>
      <c r="C595" s="337"/>
      <c r="D595" s="68"/>
      <c r="E595" s="68"/>
      <c r="F595" s="337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ht="15.75" customHeight="1">
      <c r="A596" s="68"/>
      <c r="B596" s="337"/>
      <c r="C596" s="337"/>
      <c r="D596" s="68"/>
      <c r="E596" s="68"/>
      <c r="F596" s="337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ht="15.75" customHeight="1">
      <c r="A597" s="68"/>
      <c r="B597" s="337"/>
      <c r="C597" s="337"/>
      <c r="D597" s="68"/>
      <c r="E597" s="68"/>
      <c r="F597" s="337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ht="15.75" customHeight="1">
      <c r="A598" s="68"/>
      <c r="B598" s="337"/>
      <c r="C598" s="337"/>
      <c r="D598" s="68"/>
      <c r="E598" s="68"/>
      <c r="F598" s="337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ht="15.75" customHeight="1">
      <c r="A599" s="68"/>
      <c r="B599" s="337"/>
      <c r="C599" s="337"/>
      <c r="D599" s="68"/>
      <c r="E599" s="68"/>
      <c r="F599" s="337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ht="15.75" customHeight="1">
      <c r="A600" s="68"/>
      <c r="B600" s="337"/>
      <c r="C600" s="337"/>
      <c r="D600" s="68"/>
      <c r="E600" s="68"/>
      <c r="F600" s="337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ht="15.75" customHeight="1">
      <c r="A601" s="68"/>
      <c r="B601" s="337"/>
      <c r="C601" s="337"/>
      <c r="D601" s="68"/>
      <c r="E601" s="68"/>
      <c r="F601" s="337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ht="15.75" customHeight="1">
      <c r="A602" s="68"/>
      <c r="B602" s="337"/>
      <c r="C602" s="337"/>
      <c r="D602" s="68"/>
      <c r="E602" s="68"/>
      <c r="F602" s="337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ht="15.75" customHeight="1">
      <c r="A603" s="68"/>
      <c r="B603" s="337"/>
      <c r="C603" s="337"/>
      <c r="D603" s="68"/>
      <c r="E603" s="68"/>
      <c r="F603" s="337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ht="15.75" customHeight="1">
      <c r="A604" s="68"/>
      <c r="B604" s="337"/>
      <c r="C604" s="337"/>
      <c r="D604" s="68"/>
      <c r="E604" s="68"/>
      <c r="F604" s="337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ht="15.75" customHeight="1">
      <c r="A605" s="68"/>
      <c r="B605" s="337"/>
      <c r="C605" s="337"/>
      <c r="D605" s="68"/>
      <c r="E605" s="68"/>
      <c r="F605" s="337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ht="15.75" customHeight="1">
      <c r="A606" s="68"/>
      <c r="B606" s="337"/>
      <c r="C606" s="337"/>
      <c r="D606" s="68"/>
      <c r="E606" s="68"/>
      <c r="F606" s="337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ht="15.75" customHeight="1">
      <c r="A607" s="68"/>
      <c r="B607" s="337"/>
      <c r="C607" s="337"/>
      <c r="D607" s="68"/>
      <c r="E607" s="68"/>
      <c r="F607" s="337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ht="15.75" customHeight="1">
      <c r="A608" s="68"/>
      <c r="B608" s="337"/>
      <c r="C608" s="337"/>
      <c r="D608" s="68"/>
      <c r="E608" s="68"/>
      <c r="F608" s="337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ht="15.75" customHeight="1">
      <c r="A609" s="68"/>
      <c r="B609" s="337"/>
      <c r="C609" s="337"/>
      <c r="D609" s="68"/>
      <c r="E609" s="68"/>
      <c r="F609" s="337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ht="15.75" customHeight="1">
      <c r="A610" s="68"/>
      <c r="B610" s="337"/>
      <c r="C610" s="337"/>
      <c r="D610" s="68"/>
      <c r="E610" s="68"/>
      <c r="F610" s="337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ht="15.75" customHeight="1">
      <c r="A611" s="68"/>
      <c r="B611" s="337"/>
      <c r="C611" s="337"/>
      <c r="D611" s="68"/>
      <c r="E611" s="68"/>
      <c r="F611" s="337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ht="15.75" customHeight="1">
      <c r="A612" s="68"/>
      <c r="B612" s="337"/>
      <c r="C612" s="337"/>
      <c r="D612" s="68"/>
      <c r="E612" s="68"/>
      <c r="F612" s="337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ht="15.75" customHeight="1">
      <c r="A613" s="68"/>
      <c r="B613" s="337"/>
      <c r="C613" s="337"/>
      <c r="D613" s="68"/>
      <c r="E613" s="68"/>
      <c r="F613" s="337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ht="15.75" customHeight="1">
      <c r="A614" s="68"/>
      <c r="B614" s="337"/>
      <c r="C614" s="337"/>
      <c r="D614" s="68"/>
      <c r="E614" s="68"/>
      <c r="F614" s="337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ht="15.75" customHeight="1">
      <c r="A615" s="68"/>
      <c r="B615" s="337"/>
      <c r="C615" s="337"/>
      <c r="D615" s="68"/>
      <c r="E615" s="68"/>
      <c r="F615" s="337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ht="15.75" customHeight="1">
      <c r="A616" s="68"/>
      <c r="B616" s="337"/>
      <c r="C616" s="337"/>
      <c r="D616" s="68"/>
      <c r="E616" s="68"/>
      <c r="F616" s="337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ht="15.75" customHeight="1">
      <c r="A617" s="68"/>
      <c r="B617" s="337"/>
      <c r="C617" s="337"/>
      <c r="D617" s="68"/>
      <c r="E617" s="68"/>
      <c r="F617" s="337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ht="15.75" customHeight="1">
      <c r="A618" s="68"/>
      <c r="B618" s="337"/>
      <c r="C618" s="337"/>
      <c r="D618" s="68"/>
      <c r="E618" s="68"/>
      <c r="F618" s="337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ht="15.75" customHeight="1">
      <c r="A619" s="68"/>
      <c r="B619" s="337"/>
      <c r="C619" s="337"/>
      <c r="D619" s="68"/>
      <c r="E619" s="68"/>
      <c r="F619" s="337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ht="15.75" customHeight="1">
      <c r="A620" s="68"/>
      <c r="B620" s="337"/>
      <c r="C620" s="337"/>
      <c r="D620" s="68"/>
      <c r="E620" s="68"/>
      <c r="F620" s="337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ht="15.75" customHeight="1">
      <c r="A621" s="68"/>
      <c r="B621" s="337"/>
      <c r="C621" s="337"/>
      <c r="D621" s="68"/>
      <c r="E621" s="68"/>
      <c r="F621" s="337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ht="15.75" customHeight="1">
      <c r="A622" s="68"/>
      <c r="B622" s="337"/>
      <c r="C622" s="337"/>
      <c r="D622" s="68"/>
      <c r="E622" s="68"/>
      <c r="F622" s="337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ht="15.75" customHeight="1">
      <c r="A623" s="68"/>
      <c r="B623" s="337"/>
      <c r="C623" s="337"/>
      <c r="D623" s="68"/>
      <c r="E623" s="68"/>
      <c r="F623" s="337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ht="15.75" customHeight="1">
      <c r="A624" s="68"/>
      <c r="B624" s="337"/>
      <c r="C624" s="337"/>
      <c r="D624" s="68"/>
      <c r="E624" s="68"/>
      <c r="F624" s="337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ht="15.75" customHeight="1">
      <c r="A625" s="68"/>
      <c r="B625" s="337"/>
      <c r="C625" s="337"/>
      <c r="D625" s="68"/>
      <c r="E625" s="68"/>
      <c r="F625" s="337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ht="15.75" customHeight="1">
      <c r="A626" s="68"/>
      <c r="B626" s="337"/>
      <c r="C626" s="337"/>
      <c r="D626" s="68"/>
      <c r="E626" s="68"/>
      <c r="F626" s="337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ht="15.75" customHeight="1">
      <c r="A627" s="68"/>
      <c r="B627" s="337"/>
      <c r="C627" s="337"/>
      <c r="D627" s="68"/>
      <c r="E627" s="68"/>
      <c r="F627" s="337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ht="15.75" customHeight="1">
      <c r="A628" s="68"/>
      <c r="B628" s="337"/>
      <c r="C628" s="337"/>
      <c r="D628" s="68"/>
      <c r="E628" s="68"/>
      <c r="F628" s="337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ht="15.75" customHeight="1">
      <c r="A629" s="68"/>
      <c r="B629" s="337"/>
      <c r="C629" s="337"/>
      <c r="D629" s="68"/>
      <c r="E629" s="68"/>
      <c r="F629" s="337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ht="15.75" customHeight="1">
      <c r="A630" s="68"/>
      <c r="B630" s="337"/>
      <c r="C630" s="337"/>
      <c r="D630" s="68"/>
      <c r="E630" s="68"/>
      <c r="F630" s="337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ht="15.75" customHeight="1">
      <c r="A631" s="68"/>
      <c r="B631" s="337"/>
      <c r="C631" s="337"/>
      <c r="D631" s="68"/>
      <c r="E631" s="68"/>
      <c r="F631" s="337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ht="15.75" customHeight="1">
      <c r="A632" s="68"/>
      <c r="B632" s="337"/>
      <c r="C632" s="337"/>
      <c r="D632" s="68"/>
      <c r="E632" s="68"/>
      <c r="F632" s="337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ht="15.75" customHeight="1">
      <c r="A633" s="68"/>
      <c r="B633" s="337"/>
      <c r="C633" s="337"/>
      <c r="D633" s="68"/>
      <c r="E633" s="68"/>
      <c r="F633" s="337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ht="15.75" customHeight="1">
      <c r="A634" s="68"/>
      <c r="B634" s="337"/>
      <c r="C634" s="337"/>
      <c r="D634" s="68"/>
      <c r="E634" s="68"/>
      <c r="F634" s="337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ht="15.75" customHeight="1">
      <c r="A635" s="68"/>
      <c r="B635" s="337"/>
      <c r="C635" s="337"/>
      <c r="D635" s="68"/>
      <c r="E635" s="68"/>
      <c r="F635" s="337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ht="15.75" customHeight="1">
      <c r="A636" s="68"/>
      <c r="B636" s="337"/>
      <c r="C636" s="337"/>
      <c r="D636" s="68"/>
      <c r="E636" s="68"/>
      <c r="F636" s="337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ht="15.75" customHeight="1">
      <c r="A637" s="68"/>
      <c r="B637" s="337"/>
      <c r="C637" s="337"/>
      <c r="D637" s="68"/>
      <c r="E637" s="68"/>
      <c r="F637" s="337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ht="15.75" customHeight="1">
      <c r="A638" s="68"/>
      <c r="B638" s="337"/>
      <c r="C638" s="337"/>
      <c r="D638" s="68"/>
      <c r="E638" s="68"/>
      <c r="F638" s="337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ht="15.75" customHeight="1">
      <c r="A639" s="68"/>
      <c r="B639" s="337"/>
      <c r="C639" s="337"/>
      <c r="D639" s="68"/>
      <c r="E639" s="68"/>
      <c r="F639" s="337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ht="15.75" customHeight="1">
      <c r="A640" s="68"/>
      <c r="B640" s="337"/>
      <c r="C640" s="337"/>
      <c r="D640" s="68"/>
      <c r="E640" s="68"/>
      <c r="F640" s="337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ht="15.75" customHeight="1">
      <c r="A641" s="68"/>
      <c r="B641" s="337"/>
      <c r="C641" s="337"/>
      <c r="D641" s="68"/>
      <c r="E641" s="68"/>
      <c r="F641" s="337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ht="15.75" customHeight="1">
      <c r="A642" s="68"/>
      <c r="B642" s="337"/>
      <c r="C642" s="337"/>
      <c r="D642" s="68"/>
      <c r="E642" s="68"/>
      <c r="F642" s="337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ht="15.75" customHeight="1">
      <c r="A643" s="68"/>
      <c r="B643" s="337"/>
      <c r="C643" s="337"/>
      <c r="D643" s="68"/>
      <c r="E643" s="68"/>
      <c r="F643" s="337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ht="15.75" customHeight="1">
      <c r="A644" s="68"/>
      <c r="B644" s="337"/>
      <c r="C644" s="337"/>
      <c r="D644" s="68"/>
      <c r="E644" s="68"/>
      <c r="F644" s="337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ht="15.75" customHeight="1">
      <c r="A645" s="68"/>
      <c r="B645" s="337"/>
      <c r="C645" s="337"/>
      <c r="D645" s="68"/>
      <c r="E645" s="68"/>
      <c r="F645" s="337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ht="15.75" customHeight="1">
      <c r="A646" s="68"/>
      <c r="B646" s="337"/>
      <c r="C646" s="337"/>
      <c r="D646" s="68"/>
      <c r="E646" s="68"/>
      <c r="F646" s="337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ht="15.75" customHeight="1">
      <c r="A647" s="68"/>
      <c r="B647" s="337"/>
      <c r="C647" s="337"/>
      <c r="D647" s="68"/>
      <c r="E647" s="68"/>
      <c r="F647" s="337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ht="15.75" customHeight="1">
      <c r="A648" s="68"/>
      <c r="B648" s="337"/>
      <c r="C648" s="337"/>
      <c r="D648" s="68"/>
      <c r="E648" s="68"/>
      <c r="F648" s="337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ht="15.75" customHeight="1">
      <c r="A649" s="68"/>
      <c r="B649" s="337"/>
      <c r="C649" s="337"/>
      <c r="D649" s="68"/>
      <c r="E649" s="68"/>
      <c r="F649" s="337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ht="15.75" customHeight="1">
      <c r="A650" s="68"/>
      <c r="B650" s="337"/>
      <c r="C650" s="337"/>
      <c r="D650" s="68"/>
      <c r="E650" s="68"/>
      <c r="F650" s="337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ht="15.75" customHeight="1">
      <c r="A651" s="68"/>
      <c r="B651" s="337"/>
      <c r="C651" s="337"/>
      <c r="D651" s="68"/>
      <c r="E651" s="68"/>
      <c r="F651" s="337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ht="15.75" customHeight="1">
      <c r="A652" s="68"/>
      <c r="B652" s="337"/>
      <c r="C652" s="337"/>
      <c r="D652" s="68"/>
      <c r="E652" s="68"/>
      <c r="F652" s="337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ht="15.75" customHeight="1">
      <c r="A653" s="68"/>
      <c r="B653" s="337"/>
      <c r="C653" s="337"/>
      <c r="D653" s="68"/>
      <c r="E653" s="68"/>
      <c r="F653" s="337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ht="15.75" customHeight="1">
      <c r="A654" s="68"/>
      <c r="B654" s="337"/>
      <c r="C654" s="337"/>
      <c r="D654" s="68"/>
      <c r="E654" s="68"/>
      <c r="F654" s="337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ht="15.75" customHeight="1">
      <c r="A655" s="68"/>
      <c r="B655" s="337"/>
      <c r="C655" s="337"/>
      <c r="D655" s="68"/>
      <c r="E655" s="68"/>
      <c r="F655" s="337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ht="15.75" customHeight="1">
      <c r="A656" s="68"/>
      <c r="B656" s="337"/>
      <c r="C656" s="337"/>
      <c r="D656" s="68"/>
      <c r="E656" s="68"/>
      <c r="F656" s="337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ht="15.75" customHeight="1">
      <c r="A657" s="68"/>
      <c r="B657" s="337"/>
      <c r="C657" s="337"/>
      <c r="D657" s="68"/>
      <c r="E657" s="68"/>
      <c r="F657" s="337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ht="15.75" customHeight="1">
      <c r="A658" s="68"/>
      <c r="B658" s="337"/>
      <c r="C658" s="337"/>
      <c r="D658" s="68"/>
      <c r="E658" s="68"/>
      <c r="F658" s="337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ht="15.75" customHeight="1">
      <c r="A659" s="68"/>
      <c r="B659" s="337"/>
      <c r="C659" s="337"/>
      <c r="D659" s="68"/>
      <c r="E659" s="68"/>
      <c r="F659" s="337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ht="15.75" customHeight="1">
      <c r="A660" s="68"/>
      <c r="B660" s="337"/>
      <c r="C660" s="337"/>
      <c r="D660" s="68"/>
      <c r="E660" s="68"/>
      <c r="F660" s="337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ht="15.75" customHeight="1">
      <c r="A661" s="68"/>
      <c r="B661" s="337"/>
      <c r="C661" s="337"/>
      <c r="D661" s="68"/>
      <c r="E661" s="68"/>
      <c r="F661" s="337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ht="15.75" customHeight="1">
      <c r="A662" s="68"/>
      <c r="B662" s="337"/>
      <c r="C662" s="337"/>
      <c r="D662" s="68"/>
      <c r="E662" s="68"/>
      <c r="F662" s="337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ht="15.75" customHeight="1">
      <c r="A663" s="68"/>
      <c r="B663" s="337"/>
      <c r="C663" s="337"/>
      <c r="D663" s="68"/>
      <c r="E663" s="68"/>
      <c r="F663" s="337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ht="15.75" customHeight="1">
      <c r="A664" s="68"/>
      <c r="B664" s="337"/>
      <c r="C664" s="337"/>
      <c r="D664" s="68"/>
      <c r="E664" s="68"/>
      <c r="F664" s="337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ht="15.75" customHeight="1">
      <c r="A665" s="68"/>
      <c r="B665" s="337"/>
      <c r="C665" s="337"/>
      <c r="D665" s="68"/>
      <c r="E665" s="68"/>
      <c r="F665" s="337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ht="15.75" customHeight="1">
      <c r="A666" s="68"/>
      <c r="B666" s="337"/>
      <c r="C666" s="337"/>
      <c r="D666" s="68"/>
      <c r="E666" s="68"/>
      <c r="F666" s="337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ht="15.75" customHeight="1">
      <c r="A667" s="68"/>
      <c r="B667" s="337"/>
      <c r="C667" s="337"/>
      <c r="D667" s="68"/>
      <c r="E667" s="68"/>
      <c r="F667" s="337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ht="15.75" customHeight="1">
      <c r="A668" s="68"/>
      <c r="B668" s="337"/>
      <c r="C668" s="337"/>
      <c r="D668" s="68"/>
      <c r="E668" s="68"/>
      <c r="F668" s="337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ht="15.75" customHeight="1">
      <c r="A669" s="68"/>
      <c r="B669" s="337"/>
      <c r="C669" s="337"/>
      <c r="D669" s="68"/>
      <c r="E669" s="68"/>
      <c r="F669" s="337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ht="15.75" customHeight="1">
      <c r="A670" s="68"/>
      <c r="B670" s="337"/>
      <c r="C670" s="337"/>
      <c r="D670" s="68"/>
      <c r="E670" s="68"/>
      <c r="F670" s="337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ht="15.75" customHeight="1">
      <c r="A671" s="68"/>
      <c r="B671" s="337"/>
      <c r="C671" s="337"/>
      <c r="D671" s="68"/>
      <c r="E671" s="68"/>
      <c r="F671" s="337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ht="15.75" customHeight="1">
      <c r="A672" s="68"/>
      <c r="B672" s="337"/>
      <c r="C672" s="337"/>
      <c r="D672" s="68"/>
      <c r="E672" s="68"/>
      <c r="F672" s="337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ht="15.75" customHeight="1">
      <c r="A673" s="68"/>
      <c r="B673" s="337"/>
      <c r="C673" s="337"/>
      <c r="D673" s="68"/>
      <c r="E673" s="68"/>
      <c r="F673" s="337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ht="15.75" customHeight="1">
      <c r="A674" s="68"/>
      <c r="B674" s="337"/>
      <c r="C674" s="337"/>
      <c r="D674" s="68"/>
      <c r="E674" s="68"/>
      <c r="F674" s="337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ht="15.75" customHeight="1">
      <c r="A675" s="68"/>
      <c r="B675" s="337"/>
      <c r="C675" s="337"/>
      <c r="D675" s="68"/>
      <c r="E675" s="68"/>
      <c r="F675" s="337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ht="15.75" customHeight="1">
      <c r="A676" s="68"/>
      <c r="B676" s="337"/>
      <c r="C676" s="337"/>
      <c r="D676" s="68"/>
      <c r="E676" s="68"/>
      <c r="F676" s="337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ht="15.75" customHeight="1">
      <c r="A677" s="68"/>
      <c r="B677" s="337"/>
      <c r="C677" s="337"/>
      <c r="D677" s="68"/>
      <c r="E677" s="68"/>
      <c r="F677" s="337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ht="15.75" customHeight="1">
      <c r="A678" s="68"/>
      <c r="B678" s="337"/>
      <c r="C678" s="337"/>
      <c r="D678" s="68"/>
      <c r="E678" s="68"/>
      <c r="F678" s="337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ht="15.75" customHeight="1">
      <c r="A679" s="68"/>
      <c r="B679" s="337"/>
      <c r="C679" s="337"/>
      <c r="D679" s="68"/>
      <c r="E679" s="68"/>
      <c r="F679" s="337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ht="15.75" customHeight="1">
      <c r="A680" s="68"/>
      <c r="B680" s="337"/>
      <c r="C680" s="337"/>
      <c r="D680" s="68"/>
      <c r="E680" s="68"/>
      <c r="F680" s="337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ht="15.75" customHeight="1">
      <c r="A681" s="68"/>
      <c r="B681" s="337"/>
      <c r="C681" s="337"/>
      <c r="D681" s="68"/>
      <c r="E681" s="68"/>
      <c r="F681" s="337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ht="15.75" customHeight="1">
      <c r="A682" s="68"/>
      <c r="B682" s="337"/>
      <c r="C682" s="337"/>
      <c r="D682" s="68"/>
      <c r="E682" s="68"/>
      <c r="F682" s="337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ht="15.75" customHeight="1">
      <c r="A683" s="68"/>
      <c r="B683" s="337"/>
      <c r="C683" s="337"/>
      <c r="D683" s="68"/>
      <c r="E683" s="68"/>
      <c r="F683" s="337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ht="15.75" customHeight="1">
      <c r="A684" s="68"/>
      <c r="B684" s="337"/>
      <c r="C684" s="337"/>
      <c r="D684" s="68"/>
      <c r="E684" s="68"/>
      <c r="F684" s="337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ht="15.75" customHeight="1">
      <c r="A685" s="68"/>
      <c r="B685" s="337"/>
      <c r="C685" s="337"/>
      <c r="D685" s="68"/>
      <c r="E685" s="68"/>
      <c r="F685" s="337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ht="15.75" customHeight="1">
      <c r="A686" s="68"/>
      <c r="B686" s="337"/>
      <c r="C686" s="337"/>
      <c r="D686" s="68"/>
      <c r="E686" s="68"/>
      <c r="F686" s="337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ht="15.75" customHeight="1">
      <c r="A687" s="68"/>
      <c r="B687" s="337"/>
      <c r="C687" s="337"/>
      <c r="D687" s="68"/>
      <c r="E687" s="68"/>
      <c r="F687" s="337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ht="15.75" customHeight="1">
      <c r="A688" s="68"/>
      <c r="B688" s="337"/>
      <c r="C688" s="337"/>
      <c r="D688" s="68"/>
      <c r="E688" s="68"/>
      <c r="F688" s="337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ht="15.75" customHeight="1">
      <c r="A689" s="68"/>
      <c r="B689" s="337"/>
      <c r="C689" s="337"/>
      <c r="D689" s="68"/>
      <c r="E689" s="68"/>
      <c r="F689" s="337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ht="15.75" customHeight="1">
      <c r="A690" s="68"/>
      <c r="B690" s="337"/>
      <c r="C690" s="337"/>
      <c r="D690" s="68"/>
      <c r="E690" s="68"/>
      <c r="F690" s="337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ht="15.75" customHeight="1">
      <c r="A691" s="68"/>
      <c r="B691" s="337"/>
      <c r="C691" s="337"/>
      <c r="D691" s="68"/>
      <c r="E691" s="68"/>
      <c r="F691" s="337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ht="15.75" customHeight="1">
      <c r="A692" s="68"/>
      <c r="B692" s="337"/>
      <c r="C692" s="337"/>
      <c r="D692" s="68"/>
      <c r="E692" s="68"/>
      <c r="F692" s="337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ht="15.75" customHeight="1">
      <c r="A693" s="68"/>
      <c r="B693" s="337"/>
      <c r="C693" s="337"/>
      <c r="D693" s="68"/>
      <c r="E693" s="68"/>
      <c r="F693" s="337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ht="15.75" customHeight="1">
      <c r="A694" s="68"/>
      <c r="B694" s="337"/>
      <c r="C694" s="337"/>
      <c r="D694" s="68"/>
      <c r="E694" s="68"/>
      <c r="F694" s="337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ht="15.75" customHeight="1">
      <c r="A695" s="68"/>
      <c r="B695" s="337"/>
      <c r="C695" s="337"/>
      <c r="D695" s="68"/>
      <c r="E695" s="68"/>
      <c r="F695" s="337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ht="15.75" customHeight="1">
      <c r="A696" s="68"/>
      <c r="B696" s="337"/>
      <c r="C696" s="337"/>
      <c r="D696" s="68"/>
      <c r="E696" s="68"/>
      <c r="F696" s="337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ht="15.75" customHeight="1">
      <c r="A697" s="68"/>
      <c r="B697" s="337"/>
      <c r="C697" s="337"/>
      <c r="D697" s="68"/>
      <c r="E697" s="68"/>
      <c r="F697" s="337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ht="15.75" customHeight="1">
      <c r="A698" s="68"/>
      <c r="B698" s="337"/>
      <c r="C698" s="337"/>
      <c r="D698" s="68"/>
      <c r="E698" s="68"/>
      <c r="F698" s="337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ht="15.75" customHeight="1">
      <c r="A699" s="68"/>
      <c r="B699" s="337"/>
      <c r="C699" s="337"/>
      <c r="D699" s="68"/>
      <c r="E699" s="68"/>
      <c r="F699" s="337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ht="15.75" customHeight="1">
      <c r="A700" s="68"/>
      <c r="B700" s="337"/>
      <c r="C700" s="337"/>
      <c r="D700" s="68"/>
      <c r="E700" s="68"/>
      <c r="F700" s="337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ht="15.75" customHeight="1">
      <c r="A701" s="68"/>
      <c r="B701" s="337"/>
      <c r="C701" s="337"/>
      <c r="D701" s="68"/>
      <c r="E701" s="68"/>
      <c r="F701" s="337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ht="15.75" customHeight="1">
      <c r="A702" s="68"/>
      <c r="B702" s="337"/>
      <c r="C702" s="337"/>
      <c r="D702" s="68"/>
      <c r="E702" s="68"/>
      <c r="F702" s="337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ht="15.75" customHeight="1">
      <c r="A703" s="68"/>
      <c r="B703" s="337"/>
      <c r="C703" s="337"/>
      <c r="D703" s="68"/>
      <c r="E703" s="68"/>
      <c r="F703" s="337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ht="15.75" customHeight="1">
      <c r="A704" s="68"/>
      <c r="B704" s="337"/>
      <c r="C704" s="337"/>
      <c r="D704" s="68"/>
      <c r="E704" s="68"/>
      <c r="F704" s="337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ht="15.75" customHeight="1">
      <c r="A705" s="68"/>
      <c r="B705" s="337"/>
      <c r="C705" s="337"/>
      <c r="D705" s="68"/>
      <c r="E705" s="68"/>
      <c r="F705" s="337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ht="15.75" customHeight="1">
      <c r="A706" s="68"/>
      <c r="B706" s="337"/>
      <c r="C706" s="337"/>
      <c r="D706" s="68"/>
      <c r="E706" s="68"/>
      <c r="F706" s="337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ht="15.75" customHeight="1">
      <c r="A707" s="68"/>
      <c r="B707" s="337"/>
      <c r="C707" s="337"/>
      <c r="D707" s="68"/>
      <c r="E707" s="68"/>
      <c r="F707" s="337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ht="15.75" customHeight="1">
      <c r="A708" s="68"/>
      <c r="B708" s="337"/>
      <c r="C708" s="337"/>
      <c r="D708" s="68"/>
      <c r="E708" s="68"/>
      <c r="F708" s="337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ht="15.75" customHeight="1">
      <c r="A709" s="68"/>
      <c r="B709" s="337"/>
      <c r="C709" s="337"/>
      <c r="D709" s="68"/>
      <c r="E709" s="68"/>
      <c r="F709" s="337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ht="15.75" customHeight="1">
      <c r="A710" s="68"/>
      <c r="B710" s="337"/>
      <c r="C710" s="337"/>
      <c r="D710" s="68"/>
      <c r="E710" s="68"/>
      <c r="F710" s="337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ht="15.75" customHeight="1">
      <c r="A711" s="68"/>
      <c r="B711" s="337"/>
      <c r="C711" s="337"/>
      <c r="D711" s="68"/>
      <c r="E711" s="68"/>
      <c r="F711" s="337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ht="15.75" customHeight="1">
      <c r="A712" s="68"/>
      <c r="B712" s="337"/>
      <c r="C712" s="337"/>
      <c r="D712" s="68"/>
      <c r="E712" s="68"/>
      <c r="F712" s="337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ht="15.75" customHeight="1">
      <c r="A713" s="68"/>
      <c r="B713" s="337"/>
      <c r="C713" s="337"/>
      <c r="D713" s="68"/>
      <c r="E713" s="68"/>
      <c r="F713" s="337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ht="15.75" customHeight="1">
      <c r="A714" s="68"/>
      <c r="B714" s="337"/>
      <c r="C714" s="337"/>
      <c r="D714" s="68"/>
      <c r="E714" s="68"/>
      <c r="F714" s="337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ht="15.75" customHeight="1">
      <c r="A715" s="68"/>
      <c r="B715" s="337"/>
      <c r="C715" s="337"/>
      <c r="D715" s="68"/>
      <c r="E715" s="68"/>
      <c r="F715" s="337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ht="15.75" customHeight="1">
      <c r="A716" s="68"/>
      <c r="B716" s="337"/>
      <c r="C716" s="337"/>
      <c r="D716" s="68"/>
      <c r="E716" s="68"/>
      <c r="F716" s="337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ht="15.75" customHeight="1">
      <c r="A717" s="68"/>
      <c r="B717" s="337"/>
      <c r="C717" s="337"/>
      <c r="D717" s="68"/>
      <c r="E717" s="68"/>
      <c r="F717" s="337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ht="15.75" customHeight="1">
      <c r="A718" s="68"/>
      <c r="B718" s="337"/>
      <c r="C718" s="337"/>
      <c r="D718" s="68"/>
      <c r="E718" s="68"/>
      <c r="F718" s="337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ht="15.75" customHeight="1">
      <c r="A719" s="68"/>
      <c r="B719" s="337"/>
      <c r="C719" s="337"/>
      <c r="D719" s="68"/>
      <c r="E719" s="68"/>
      <c r="F719" s="337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ht="15.75" customHeight="1">
      <c r="A720" s="68"/>
      <c r="B720" s="337"/>
      <c r="C720" s="337"/>
      <c r="D720" s="68"/>
      <c r="E720" s="68"/>
      <c r="F720" s="337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ht="15.75" customHeight="1">
      <c r="A721" s="68"/>
      <c r="B721" s="337"/>
      <c r="C721" s="337"/>
      <c r="D721" s="68"/>
      <c r="E721" s="68"/>
      <c r="F721" s="337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ht="15.75" customHeight="1">
      <c r="A722" s="68"/>
      <c r="B722" s="337"/>
      <c r="C722" s="337"/>
      <c r="D722" s="68"/>
      <c r="E722" s="68"/>
      <c r="F722" s="337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ht="15.75" customHeight="1">
      <c r="A723" s="68"/>
      <c r="B723" s="337"/>
      <c r="C723" s="337"/>
      <c r="D723" s="68"/>
      <c r="E723" s="68"/>
      <c r="F723" s="337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ht="15.75" customHeight="1">
      <c r="A724" s="68"/>
      <c r="B724" s="337"/>
      <c r="C724" s="337"/>
      <c r="D724" s="68"/>
      <c r="E724" s="68"/>
      <c r="F724" s="337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ht="15.75" customHeight="1">
      <c r="A725" s="68"/>
      <c r="B725" s="337"/>
      <c r="C725" s="337"/>
      <c r="D725" s="68"/>
      <c r="E725" s="68"/>
      <c r="F725" s="337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ht="15.75" customHeight="1">
      <c r="A726" s="68"/>
      <c r="B726" s="337"/>
      <c r="C726" s="337"/>
      <c r="D726" s="68"/>
      <c r="E726" s="68"/>
      <c r="F726" s="337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ht="15.75" customHeight="1">
      <c r="A727" s="68"/>
      <c r="B727" s="337"/>
      <c r="C727" s="337"/>
      <c r="D727" s="68"/>
      <c r="E727" s="68"/>
      <c r="F727" s="337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ht="15.75" customHeight="1">
      <c r="A728" s="68"/>
      <c r="B728" s="337"/>
      <c r="C728" s="337"/>
      <c r="D728" s="68"/>
      <c r="E728" s="68"/>
      <c r="F728" s="337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ht="15.75" customHeight="1">
      <c r="A729" s="68"/>
      <c r="B729" s="337"/>
      <c r="C729" s="337"/>
      <c r="D729" s="68"/>
      <c r="E729" s="68"/>
      <c r="F729" s="337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ht="15.75" customHeight="1">
      <c r="A730" s="68"/>
      <c r="B730" s="337"/>
      <c r="C730" s="337"/>
      <c r="D730" s="68"/>
      <c r="E730" s="68"/>
      <c r="F730" s="337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ht="15.75" customHeight="1">
      <c r="A731" s="68"/>
      <c r="B731" s="337"/>
      <c r="C731" s="337"/>
      <c r="D731" s="68"/>
      <c r="E731" s="68"/>
      <c r="F731" s="337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ht="15.75" customHeight="1">
      <c r="A732" s="68"/>
      <c r="B732" s="337"/>
      <c r="C732" s="337"/>
      <c r="D732" s="68"/>
      <c r="E732" s="68"/>
      <c r="F732" s="337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ht="15.75" customHeight="1">
      <c r="A733" s="68"/>
      <c r="B733" s="337"/>
      <c r="C733" s="337"/>
      <c r="D733" s="68"/>
      <c r="E733" s="68"/>
      <c r="F733" s="337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ht="15.75" customHeight="1">
      <c r="A734" s="68"/>
      <c r="B734" s="337"/>
      <c r="C734" s="337"/>
      <c r="D734" s="68"/>
      <c r="E734" s="68"/>
      <c r="F734" s="337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ht="15.75" customHeight="1">
      <c r="A735" s="68"/>
      <c r="B735" s="337"/>
      <c r="C735" s="337"/>
      <c r="D735" s="68"/>
      <c r="E735" s="68"/>
      <c r="F735" s="337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ht="15.75" customHeight="1">
      <c r="A736" s="68"/>
      <c r="B736" s="337"/>
      <c r="C736" s="337"/>
      <c r="D736" s="68"/>
      <c r="E736" s="68"/>
      <c r="F736" s="337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ht="15.75" customHeight="1">
      <c r="A737" s="68"/>
      <c r="B737" s="337"/>
      <c r="C737" s="337"/>
      <c r="D737" s="68"/>
      <c r="E737" s="68"/>
      <c r="F737" s="337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ht="15.75" customHeight="1">
      <c r="A738" s="68"/>
      <c r="B738" s="337"/>
      <c r="C738" s="337"/>
      <c r="D738" s="68"/>
      <c r="E738" s="68"/>
      <c r="F738" s="337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ht="15.75" customHeight="1">
      <c r="A739" s="68"/>
      <c r="B739" s="337"/>
      <c r="C739" s="337"/>
      <c r="D739" s="68"/>
      <c r="E739" s="68"/>
      <c r="F739" s="337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ht="15.75" customHeight="1">
      <c r="A740" s="68"/>
      <c r="B740" s="337"/>
      <c r="C740" s="337"/>
      <c r="D740" s="68"/>
      <c r="E740" s="68"/>
      <c r="F740" s="337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ht="15.75" customHeight="1">
      <c r="A741" s="68"/>
      <c r="B741" s="337"/>
      <c r="C741" s="337"/>
      <c r="D741" s="68"/>
      <c r="E741" s="68"/>
      <c r="F741" s="337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ht="15.75" customHeight="1">
      <c r="A742" s="68"/>
      <c r="B742" s="337"/>
      <c r="C742" s="337"/>
      <c r="D742" s="68"/>
      <c r="E742" s="68"/>
      <c r="F742" s="337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ht="15.75" customHeight="1">
      <c r="A743" s="68"/>
      <c r="B743" s="337"/>
      <c r="C743" s="337"/>
      <c r="D743" s="68"/>
      <c r="E743" s="68"/>
      <c r="F743" s="337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ht="15.75" customHeight="1">
      <c r="A744" s="68"/>
      <c r="B744" s="337"/>
      <c r="C744" s="337"/>
      <c r="D744" s="68"/>
      <c r="E744" s="68"/>
      <c r="F744" s="337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ht="15.75" customHeight="1">
      <c r="A745" s="68"/>
      <c r="B745" s="337"/>
      <c r="C745" s="337"/>
      <c r="D745" s="68"/>
      <c r="E745" s="68"/>
      <c r="F745" s="337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ht="15.75" customHeight="1">
      <c r="A746" s="68"/>
      <c r="B746" s="337"/>
      <c r="C746" s="337"/>
      <c r="D746" s="68"/>
      <c r="E746" s="68"/>
      <c r="F746" s="337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ht="15.75" customHeight="1">
      <c r="A747" s="68"/>
      <c r="B747" s="337"/>
      <c r="C747" s="337"/>
      <c r="D747" s="68"/>
      <c r="E747" s="68"/>
      <c r="F747" s="337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ht="15.75" customHeight="1">
      <c r="A748" s="68"/>
      <c r="B748" s="337"/>
      <c r="C748" s="337"/>
      <c r="D748" s="68"/>
      <c r="E748" s="68"/>
      <c r="F748" s="337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ht="15.75" customHeight="1">
      <c r="A749" s="68"/>
      <c r="B749" s="337"/>
      <c r="C749" s="337"/>
      <c r="D749" s="68"/>
      <c r="E749" s="68"/>
      <c r="F749" s="337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ht="15.75" customHeight="1">
      <c r="A750" s="68"/>
      <c r="B750" s="337"/>
      <c r="C750" s="337"/>
      <c r="D750" s="68"/>
      <c r="E750" s="68"/>
      <c r="F750" s="337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ht="15.75" customHeight="1">
      <c r="A751" s="68"/>
      <c r="B751" s="337"/>
      <c r="C751" s="337"/>
      <c r="D751" s="68"/>
      <c r="E751" s="68"/>
      <c r="F751" s="337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ht="15.75" customHeight="1">
      <c r="A752" s="68"/>
      <c r="B752" s="337"/>
      <c r="C752" s="337"/>
      <c r="D752" s="68"/>
      <c r="E752" s="68"/>
      <c r="F752" s="337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ht="15.75" customHeight="1">
      <c r="A753" s="68"/>
      <c r="B753" s="337"/>
      <c r="C753" s="337"/>
      <c r="D753" s="68"/>
      <c r="E753" s="68"/>
      <c r="F753" s="337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ht="15.75" customHeight="1">
      <c r="A754" s="68"/>
      <c r="B754" s="337"/>
      <c r="C754" s="337"/>
      <c r="D754" s="68"/>
      <c r="E754" s="68"/>
      <c r="F754" s="337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ht="15.75" customHeight="1">
      <c r="A755" s="68"/>
      <c r="B755" s="337"/>
      <c r="C755" s="337"/>
      <c r="D755" s="68"/>
      <c r="E755" s="68"/>
      <c r="F755" s="337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ht="15.75" customHeight="1">
      <c r="A756" s="68"/>
      <c r="B756" s="337"/>
      <c r="C756" s="337"/>
      <c r="D756" s="68"/>
      <c r="E756" s="68"/>
      <c r="F756" s="337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ht="15.75" customHeight="1">
      <c r="A757" s="68"/>
      <c r="B757" s="337"/>
      <c r="C757" s="337"/>
      <c r="D757" s="68"/>
      <c r="E757" s="68"/>
      <c r="F757" s="337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ht="15.75" customHeight="1">
      <c r="A758" s="68"/>
      <c r="B758" s="337"/>
      <c r="C758" s="337"/>
      <c r="D758" s="68"/>
      <c r="E758" s="68"/>
      <c r="F758" s="337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ht="15.75" customHeight="1">
      <c r="A759" s="68"/>
      <c r="B759" s="337"/>
      <c r="C759" s="337"/>
      <c r="D759" s="68"/>
      <c r="E759" s="68"/>
      <c r="F759" s="337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ht="15.75" customHeight="1">
      <c r="A760" s="68"/>
      <c r="B760" s="337"/>
      <c r="C760" s="337"/>
      <c r="D760" s="68"/>
      <c r="E760" s="68"/>
      <c r="F760" s="337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ht="15.75" customHeight="1">
      <c r="A761" s="68"/>
      <c r="B761" s="337"/>
      <c r="C761" s="337"/>
      <c r="D761" s="68"/>
      <c r="E761" s="68"/>
      <c r="F761" s="337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ht="15.75" customHeight="1">
      <c r="A762" s="68"/>
      <c r="B762" s="337"/>
      <c r="C762" s="337"/>
      <c r="D762" s="68"/>
      <c r="E762" s="68"/>
      <c r="F762" s="337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ht="15.75" customHeight="1">
      <c r="A763" s="68"/>
      <c r="B763" s="337"/>
      <c r="C763" s="337"/>
      <c r="D763" s="68"/>
      <c r="E763" s="68"/>
      <c r="F763" s="337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ht="15.75" customHeight="1">
      <c r="A764" s="68"/>
      <c r="B764" s="337"/>
      <c r="C764" s="337"/>
      <c r="D764" s="68"/>
      <c r="E764" s="68"/>
      <c r="F764" s="337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ht="15.75" customHeight="1">
      <c r="A765" s="68"/>
      <c r="B765" s="337"/>
      <c r="C765" s="337"/>
      <c r="D765" s="68"/>
      <c r="E765" s="68"/>
      <c r="F765" s="337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ht="15.75" customHeight="1">
      <c r="A766" s="68"/>
      <c r="B766" s="337"/>
      <c r="C766" s="337"/>
      <c r="D766" s="68"/>
      <c r="E766" s="68"/>
      <c r="F766" s="337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ht="15.75" customHeight="1">
      <c r="A767" s="68"/>
      <c r="B767" s="337"/>
      <c r="C767" s="337"/>
      <c r="D767" s="68"/>
      <c r="E767" s="68"/>
      <c r="F767" s="337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ht="15.75" customHeight="1">
      <c r="A768" s="68"/>
      <c r="B768" s="337"/>
      <c r="C768" s="337"/>
      <c r="D768" s="68"/>
      <c r="E768" s="68"/>
      <c r="F768" s="337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ht="15.75" customHeight="1">
      <c r="A769" s="68"/>
      <c r="B769" s="337"/>
      <c r="C769" s="337"/>
      <c r="D769" s="68"/>
      <c r="E769" s="68"/>
      <c r="F769" s="337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ht="15.75" customHeight="1">
      <c r="A770" s="68"/>
      <c r="B770" s="337"/>
      <c r="C770" s="337"/>
      <c r="D770" s="68"/>
      <c r="E770" s="68"/>
      <c r="F770" s="337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ht="15.75" customHeight="1">
      <c r="A771" s="68"/>
      <c r="B771" s="337"/>
      <c r="C771" s="337"/>
      <c r="D771" s="68"/>
      <c r="E771" s="68"/>
      <c r="F771" s="337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ht="15.75" customHeight="1">
      <c r="A772" s="68"/>
      <c r="B772" s="337"/>
      <c r="C772" s="337"/>
      <c r="D772" s="68"/>
      <c r="E772" s="68"/>
      <c r="F772" s="337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ht="15.75" customHeight="1">
      <c r="A773" s="68"/>
      <c r="B773" s="337"/>
      <c r="C773" s="337"/>
      <c r="D773" s="68"/>
      <c r="E773" s="68"/>
      <c r="F773" s="337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ht="15.75" customHeight="1">
      <c r="A774" s="68"/>
      <c r="B774" s="337"/>
      <c r="C774" s="337"/>
      <c r="D774" s="68"/>
      <c r="E774" s="68"/>
      <c r="F774" s="337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ht="15.75" customHeight="1">
      <c r="A775" s="68"/>
      <c r="B775" s="337"/>
      <c r="C775" s="337"/>
      <c r="D775" s="68"/>
      <c r="E775" s="68"/>
      <c r="F775" s="337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ht="15.75" customHeight="1">
      <c r="A776" s="68"/>
      <c r="B776" s="337"/>
      <c r="C776" s="337"/>
      <c r="D776" s="68"/>
      <c r="E776" s="68"/>
      <c r="F776" s="337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ht="15.75" customHeight="1">
      <c r="A777" s="68"/>
      <c r="B777" s="337"/>
      <c r="C777" s="337"/>
      <c r="D777" s="68"/>
      <c r="E777" s="68"/>
      <c r="F777" s="337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ht="15.75" customHeight="1">
      <c r="A778" s="68"/>
      <c r="B778" s="337"/>
      <c r="C778" s="337"/>
      <c r="D778" s="68"/>
      <c r="E778" s="68"/>
      <c r="F778" s="337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ht="15.75" customHeight="1">
      <c r="A779" s="68"/>
      <c r="B779" s="337"/>
      <c r="C779" s="337"/>
      <c r="D779" s="68"/>
      <c r="E779" s="68"/>
      <c r="F779" s="337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ht="15.75" customHeight="1">
      <c r="A780" s="68"/>
      <c r="B780" s="337"/>
      <c r="C780" s="337"/>
      <c r="D780" s="68"/>
      <c r="E780" s="68"/>
      <c r="F780" s="337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ht="15.75" customHeight="1">
      <c r="A781" s="68"/>
      <c r="B781" s="337"/>
      <c r="C781" s="337"/>
      <c r="D781" s="68"/>
      <c r="E781" s="68"/>
      <c r="F781" s="337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ht="15.75" customHeight="1">
      <c r="A782" s="68"/>
      <c r="B782" s="337"/>
      <c r="C782" s="337"/>
      <c r="D782" s="68"/>
      <c r="E782" s="68"/>
      <c r="F782" s="337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ht="15.75" customHeight="1">
      <c r="A783" s="68"/>
      <c r="B783" s="337"/>
      <c r="C783" s="337"/>
      <c r="D783" s="68"/>
      <c r="E783" s="68"/>
      <c r="F783" s="337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ht="15.75" customHeight="1">
      <c r="A784" s="68"/>
      <c r="B784" s="337"/>
      <c r="C784" s="337"/>
      <c r="D784" s="68"/>
      <c r="E784" s="68"/>
      <c r="F784" s="337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ht="15.75" customHeight="1">
      <c r="A785" s="68"/>
      <c r="B785" s="337"/>
      <c r="C785" s="337"/>
      <c r="D785" s="68"/>
      <c r="E785" s="68"/>
      <c r="F785" s="337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ht="15.75" customHeight="1">
      <c r="A786" s="68"/>
      <c r="B786" s="337"/>
      <c r="C786" s="337"/>
      <c r="D786" s="68"/>
      <c r="E786" s="68"/>
      <c r="F786" s="337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ht="15.75" customHeight="1">
      <c r="A787" s="68"/>
      <c r="B787" s="337"/>
      <c r="C787" s="337"/>
      <c r="D787" s="68"/>
      <c r="E787" s="68"/>
      <c r="F787" s="337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ht="15.75" customHeight="1">
      <c r="A788" s="68"/>
      <c r="B788" s="337"/>
      <c r="C788" s="337"/>
      <c r="D788" s="68"/>
      <c r="E788" s="68"/>
      <c r="F788" s="337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ht="15.75" customHeight="1">
      <c r="A789" s="68"/>
      <c r="B789" s="337"/>
      <c r="C789" s="337"/>
      <c r="D789" s="68"/>
      <c r="E789" s="68"/>
      <c r="F789" s="337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ht="15.75" customHeight="1">
      <c r="A790" s="68"/>
      <c r="B790" s="337"/>
      <c r="C790" s="337"/>
      <c r="D790" s="68"/>
      <c r="E790" s="68"/>
      <c r="F790" s="337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ht="15.75" customHeight="1">
      <c r="A791" s="68"/>
      <c r="B791" s="337"/>
      <c r="C791" s="337"/>
      <c r="D791" s="68"/>
      <c r="E791" s="68"/>
      <c r="F791" s="337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ht="15.75" customHeight="1">
      <c r="A792" s="68"/>
      <c r="B792" s="337"/>
      <c r="C792" s="337"/>
      <c r="D792" s="68"/>
      <c r="E792" s="68"/>
      <c r="F792" s="337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ht="15.75" customHeight="1">
      <c r="A793" s="68"/>
      <c r="B793" s="337"/>
      <c r="C793" s="337"/>
      <c r="D793" s="68"/>
      <c r="E793" s="68"/>
      <c r="F793" s="337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ht="15.75" customHeight="1">
      <c r="A794" s="68"/>
      <c r="B794" s="337"/>
      <c r="C794" s="337"/>
      <c r="D794" s="68"/>
      <c r="E794" s="68"/>
      <c r="F794" s="337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ht="15.75" customHeight="1">
      <c r="A795" s="68"/>
      <c r="B795" s="337"/>
      <c r="C795" s="337"/>
      <c r="D795" s="68"/>
      <c r="E795" s="68"/>
      <c r="F795" s="337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ht="15.75" customHeight="1">
      <c r="A796" s="68"/>
      <c r="B796" s="337"/>
      <c r="C796" s="337"/>
      <c r="D796" s="68"/>
      <c r="E796" s="68"/>
      <c r="F796" s="337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ht="15.75" customHeight="1">
      <c r="A797" s="68"/>
      <c r="B797" s="337"/>
      <c r="C797" s="337"/>
      <c r="D797" s="68"/>
      <c r="E797" s="68"/>
      <c r="F797" s="337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ht="15.75" customHeight="1">
      <c r="A798" s="68"/>
      <c r="B798" s="337"/>
      <c r="C798" s="337"/>
      <c r="D798" s="68"/>
      <c r="E798" s="68"/>
      <c r="F798" s="337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ht="15.75" customHeight="1">
      <c r="A799" s="68"/>
      <c r="B799" s="337"/>
      <c r="C799" s="337"/>
      <c r="D799" s="68"/>
      <c r="E799" s="68"/>
      <c r="F799" s="337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ht="15.75" customHeight="1">
      <c r="A800" s="68"/>
      <c r="B800" s="337"/>
      <c r="C800" s="337"/>
      <c r="D800" s="68"/>
      <c r="E800" s="68"/>
      <c r="F800" s="337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ht="15.75" customHeight="1">
      <c r="A801" s="68"/>
      <c r="B801" s="337"/>
      <c r="C801" s="337"/>
      <c r="D801" s="68"/>
      <c r="E801" s="68"/>
      <c r="F801" s="337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ht="15.75" customHeight="1">
      <c r="A802" s="68"/>
      <c r="B802" s="337"/>
      <c r="C802" s="337"/>
      <c r="D802" s="68"/>
      <c r="E802" s="68"/>
      <c r="F802" s="337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ht="15.75" customHeight="1">
      <c r="A803" s="68"/>
      <c r="B803" s="337"/>
      <c r="C803" s="337"/>
      <c r="D803" s="68"/>
      <c r="E803" s="68"/>
      <c r="F803" s="337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ht="15.75" customHeight="1">
      <c r="A804" s="68"/>
      <c r="B804" s="337"/>
      <c r="C804" s="337"/>
      <c r="D804" s="68"/>
      <c r="E804" s="68"/>
      <c r="F804" s="337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ht="15.75" customHeight="1">
      <c r="A805" s="68"/>
      <c r="B805" s="337"/>
      <c r="C805" s="337"/>
      <c r="D805" s="68"/>
      <c r="E805" s="68"/>
      <c r="F805" s="337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ht="15.75" customHeight="1">
      <c r="A806" s="68"/>
      <c r="B806" s="337"/>
      <c r="C806" s="337"/>
      <c r="D806" s="68"/>
      <c r="E806" s="68"/>
      <c r="F806" s="337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ht="15.75" customHeight="1">
      <c r="A807" s="68"/>
      <c r="B807" s="337"/>
      <c r="C807" s="337"/>
      <c r="D807" s="68"/>
      <c r="E807" s="68"/>
      <c r="F807" s="337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ht="15.75" customHeight="1">
      <c r="A808" s="68"/>
      <c r="B808" s="337"/>
      <c r="C808" s="337"/>
      <c r="D808" s="68"/>
      <c r="E808" s="68"/>
      <c r="F808" s="337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ht="15.75" customHeight="1">
      <c r="A809" s="68"/>
      <c r="B809" s="337"/>
      <c r="C809" s="337"/>
      <c r="D809" s="68"/>
      <c r="E809" s="68"/>
      <c r="F809" s="337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ht="15.75" customHeight="1">
      <c r="A810" s="68"/>
      <c r="B810" s="337"/>
      <c r="C810" s="337"/>
      <c r="D810" s="68"/>
      <c r="E810" s="68"/>
      <c r="F810" s="337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ht="15.75" customHeight="1">
      <c r="A811" s="68"/>
      <c r="B811" s="337"/>
      <c r="C811" s="337"/>
      <c r="D811" s="68"/>
      <c r="E811" s="68"/>
      <c r="F811" s="337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ht="15.75" customHeight="1">
      <c r="A812" s="68"/>
      <c r="B812" s="337"/>
      <c r="C812" s="337"/>
      <c r="D812" s="68"/>
      <c r="E812" s="68"/>
      <c r="F812" s="337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ht="15.75" customHeight="1">
      <c r="A813" s="68"/>
      <c r="B813" s="337"/>
      <c r="C813" s="337"/>
      <c r="D813" s="68"/>
      <c r="E813" s="68"/>
      <c r="F813" s="337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ht="15.75" customHeight="1">
      <c r="A814" s="68"/>
      <c r="B814" s="337"/>
      <c r="C814" s="337"/>
      <c r="D814" s="68"/>
      <c r="E814" s="68"/>
      <c r="F814" s="337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ht="15.75" customHeight="1">
      <c r="A815" s="68"/>
      <c r="B815" s="337"/>
      <c r="C815" s="337"/>
      <c r="D815" s="68"/>
      <c r="E815" s="68"/>
      <c r="F815" s="337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ht="15.75" customHeight="1">
      <c r="A816" s="68"/>
      <c r="B816" s="337"/>
      <c r="C816" s="337"/>
      <c r="D816" s="68"/>
      <c r="E816" s="68"/>
      <c r="F816" s="337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ht="15.75" customHeight="1">
      <c r="A817" s="68"/>
      <c r="B817" s="337"/>
      <c r="C817" s="337"/>
      <c r="D817" s="68"/>
      <c r="E817" s="68"/>
      <c r="F817" s="337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ht="15.75" customHeight="1">
      <c r="A818" s="68"/>
      <c r="B818" s="337"/>
      <c r="C818" s="337"/>
      <c r="D818" s="68"/>
      <c r="E818" s="68"/>
      <c r="F818" s="337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ht="15.75" customHeight="1">
      <c r="A819" s="68"/>
      <c r="B819" s="337"/>
      <c r="C819" s="337"/>
      <c r="D819" s="68"/>
      <c r="E819" s="68"/>
      <c r="F819" s="337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ht="15.75" customHeight="1">
      <c r="A820" s="68"/>
      <c r="B820" s="337"/>
      <c r="C820" s="337"/>
      <c r="D820" s="68"/>
      <c r="E820" s="68"/>
      <c r="F820" s="337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ht="15.75" customHeight="1">
      <c r="A821" s="68"/>
      <c r="B821" s="337"/>
      <c r="C821" s="337"/>
      <c r="D821" s="68"/>
      <c r="E821" s="68"/>
      <c r="F821" s="337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ht="15.75" customHeight="1">
      <c r="A822" s="68"/>
      <c r="B822" s="337"/>
      <c r="C822" s="337"/>
      <c r="D822" s="68"/>
      <c r="E822" s="68"/>
      <c r="F822" s="337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ht="15.75" customHeight="1">
      <c r="A823" s="68"/>
      <c r="B823" s="337"/>
      <c r="C823" s="337"/>
      <c r="D823" s="68"/>
      <c r="E823" s="68"/>
      <c r="F823" s="337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ht="15.75" customHeight="1">
      <c r="A824" s="68"/>
      <c r="B824" s="337"/>
      <c r="C824" s="337"/>
      <c r="D824" s="68"/>
      <c r="E824" s="68"/>
      <c r="F824" s="337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ht="15.75" customHeight="1">
      <c r="A825" s="68"/>
      <c r="B825" s="337"/>
      <c r="C825" s="337"/>
      <c r="D825" s="68"/>
      <c r="E825" s="68"/>
      <c r="F825" s="337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ht="15.75" customHeight="1">
      <c r="A826" s="68"/>
      <c r="B826" s="337"/>
      <c r="C826" s="337"/>
      <c r="D826" s="68"/>
      <c r="E826" s="68"/>
      <c r="F826" s="337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ht="15.75" customHeight="1">
      <c r="A827" s="68"/>
      <c r="B827" s="337"/>
      <c r="C827" s="337"/>
      <c r="D827" s="68"/>
      <c r="E827" s="68"/>
      <c r="F827" s="337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ht="15.75" customHeight="1">
      <c r="A828" s="68"/>
      <c r="B828" s="337"/>
      <c r="C828" s="337"/>
      <c r="D828" s="68"/>
      <c r="E828" s="68"/>
      <c r="F828" s="337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ht="15.75" customHeight="1">
      <c r="A829" s="68"/>
      <c r="B829" s="337"/>
      <c r="C829" s="337"/>
      <c r="D829" s="68"/>
      <c r="E829" s="68"/>
      <c r="F829" s="337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ht="15.75" customHeight="1">
      <c r="A830" s="68"/>
      <c r="B830" s="337"/>
      <c r="C830" s="337"/>
      <c r="D830" s="68"/>
      <c r="E830" s="68"/>
      <c r="F830" s="337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ht="15.75" customHeight="1">
      <c r="A831" s="68"/>
      <c r="B831" s="337"/>
      <c r="C831" s="337"/>
      <c r="D831" s="68"/>
      <c r="E831" s="68"/>
      <c r="F831" s="337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ht="15.75" customHeight="1">
      <c r="A832" s="68"/>
      <c r="B832" s="337"/>
      <c r="C832" s="337"/>
      <c r="D832" s="68"/>
      <c r="E832" s="68"/>
      <c r="F832" s="337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ht="15.75" customHeight="1">
      <c r="A833" s="68"/>
      <c r="B833" s="337"/>
      <c r="C833" s="337"/>
      <c r="D833" s="68"/>
      <c r="E833" s="68"/>
      <c r="F833" s="337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ht="15.75" customHeight="1">
      <c r="A834" s="68"/>
      <c r="B834" s="337"/>
      <c r="C834" s="337"/>
      <c r="D834" s="68"/>
      <c r="E834" s="68"/>
      <c r="F834" s="337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ht="15.75" customHeight="1">
      <c r="A835" s="68"/>
      <c r="B835" s="337"/>
      <c r="C835" s="337"/>
      <c r="D835" s="68"/>
      <c r="E835" s="68"/>
      <c r="F835" s="337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ht="15.75" customHeight="1">
      <c r="A836" s="68"/>
      <c r="B836" s="337"/>
      <c r="C836" s="337"/>
      <c r="D836" s="68"/>
      <c r="E836" s="68"/>
      <c r="F836" s="337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ht="15.75" customHeight="1">
      <c r="A837" s="68"/>
      <c r="B837" s="337"/>
      <c r="C837" s="337"/>
      <c r="D837" s="68"/>
      <c r="E837" s="68"/>
      <c r="F837" s="337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ht="15.75" customHeight="1">
      <c r="A838" s="68"/>
      <c r="B838" s="337"/>
      <c r="C838" s="337"/>
      <c r="D838" s="68"/>
      <c r="E838" s="68"/>
      <c r="F838" s="337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ht="15.75" customHeight="1">
      <c r="A839" s="68"/>
      <c r="B839" s="337"/>
      <c r="C839" s="337"/>
      <c r="D839" s="68"/>
      <c r="E839" s="68"/>
      <c r="F839" s="337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ht="15.75" customHeight="1">
      <c r="A840" s="68"/>
      <c r="B840" s="337"/>
      <c r="C840" s="337"/>
      <c r="D840" s="68"/>
      <c r="E840" s="68"/>
      <c r="F840" s="337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ht="15.75" customHeight="1">
      <c r="A841" s="68"/>
      <c r="B841" s="337"/>
      <c r="C841" s="337"/>
      <c r="D841" s="68"/>
      <c r="E841" s="68"/>
      <c r="F841" s="337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ht="15.75" customHeight="1">
      <c r="A842" s="68"/>
      <c r="B842" s="337"/>
      <c r="C842" s="337"/>
      <c r="D842" s="68"/>
      <c r="E842" s="68"/>
      <c r="F842" s="337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ht="15.75" customHeight="1">
      <c r="A843" s="68"/>
      <c r="B843" s="337"/>
      <c r="C843" s="337"/>
      <c r="D843" s="68"/>
      <c r="E843" s="68"/>
      <c r="F843" s="337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ht="15.75" customHeight="1">
      <c r="A844" s="68"/>
      <c r="B844" s="337"/>
      <c r="C844" s="337"/>
      <c r="D844" s="68"/>
      <c r="E844" s="68"/>
      <c r="F844" s="337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ht="15.75" customHeight="1">
      <c r="A845" s="68"/>
      <c r="B845" s="337"/>
      <c r="C845" s="337"/>
      <c r="D845" s="68"/>
      <c r="E845" s="68"/>
      <c r="F845" s="337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ht="15.75" customHeight="1">
      <c r="A846" s="68"/>
      <c r="B846" s="337"/>
      <c r="C846" s="337"/>
      <c r="D846" s="68"/>
      <c r="E846" s="68"/>
      <c r="F846" s="337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ht="15.75" customHeight="1">
      <c r="A847" s="68"/>
      <c r="B847" s="337"/>
      <c r="C847" s="337"/>
      <c r="D847" s="68"/>
      <c r="E847" s="68"/>
      <c r="F847" s="337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ht="15.75" customHeight="1">
      <c r="A848" s="68"/>
      <c r="B848" s="337"/>
      <c r="C848" s="337"/>
      <c r="D848" s="68"/>
      <c r="E848" s="68"/>
      <c r="F848" s="337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ht="15.75" customHeight="1">
      <c r="A849" s="68"/>
      <c r="B849" s="337"/>
      <c r="C849" s="337"/>
      <c r="D849" s="68"/>
      <c r="E849" s="68"/>
      <c r="F849" s="337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ht="15.75" customHeight="1">
      <c r="A850" s="68"/>
      <c r="B850" s="337"/>
      <c r="C850" s="337"/>
      <c r="D850" s="68"/>
      <c r="E850" s="68"/>
      <c r="F850" s="337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ht="15.75" customHeight="1">
      <c r="A851" s="68"/>
      <c r="B851" s="337"/>
      <c r="C851" s="337"/>
      <c r="D851" s="68"/>
      <c r="E851" s="68"/>
      <c r="F851" s="337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ht="15.75" customHeight="1">
      <c r="A852" s="68"/>
      <c r="B852" s="337"/>
      <c r="C852" s="337"/>
      <c r="D852" s="68"/>
      <c r="E852" s="68"/>
      <c r="F852" s="337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ht="15.75" customHeight="1">
      <c r="A853" s="68"/>
      <c r="B853" s="337"/>
      <c r="C853" s="337"/>
      <c r="D853" s="68"/>
      <c r="E853" s="68"/>
      <c r="F853" s="337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ht="15.75" customHeight="1">
      <c r="A854" s="68"/>
      <c r="B854" s="337"/>
      <c r="C854" s="337"/>
      <c r="D854" s="68"/>
      <c r="E854" s="68"/>
      <c r="F854" s="337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ht="15.75" customHeight="1">
      <c r="A855" s="68"/>
      <c r="B855" s="337"/>
      <c r="C855" s="337"/>
      <c r="D855" s="68"/>
      <c r="E855" s="68"/>
      <c r="F855" s="337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ht="15.75" customHeight="1">
      <c r="A856" s="68"/>
      <c r="B856" s="337"/>
      <c r="C856" s="337"/>
      <c r="D856" s="68"/>
      <c r="E856" s="68"/>
      <c r="F856" s="337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ht="15.75" customHeight="1">
      <c r="A857" s="68"/>
      <c r="B857" s="337"/>
      <c r="C857" s="337"/>
      <c r="D857" s="68"/>
      <c r="E857" s="68"/>
      <c r="F857" s="337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ht="15.75" customHeight="1">
      <c r="A858" s="68"/>
      <c r="B858" s="337"/>
      <c r="C858" s="337"/>
      <c r="D858" s="68"/>
      <c r="E858" s="68"/>
      <c r="F858" s="337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ht="15.75" customHeight="1">
      <c r="A859" s="68"/>
      <c r="B859" s="337"/>
      <c r="C859" s="337"/>
      <c r="D859" s="68"/>
      <c r="E859" s="68"/>
      <c r="F859" s="337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ht="15.75" customHeight="1">
      <c r="A860" s="68"/>
      <c r="B860" s="337"/>
      <c r="C860" s="337"/>
      <c r="D860" s="68"/>
      <c r="E860" s="68"/>
      <c r="F860" s="337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ht="15.75" customHeight="1">
      <c r="A861" s="68"/>
      <c r="B861" s="337"/>
      <c r="C861" s="337"/>
      <c r="D861" s="68"/>
      <c r="E861" s="68"/>
      <c r="F861" s="337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ht="15.75" customHeight="1">
      <c r="A862" s="68"/>
      <c r="B862" s="337"/>
      <c r="C862" s="337"/>
      <c r="D862" s="68"/>
      <c r="E862" s="68"/>
      <c r="F862" s="337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ht="15.75" customHeight="1">
      <c r="A863" s="68"/>
      <c r="B863" s="337"/>
      <c r="C863" s="337"/>
      <c r="D863" s="68"/>
      <c r="E863" s="68"/>
      <c r="F863" s="337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ht="15.75" customHeight="1">
      <c r="A864" s="68"/>
      <c r="B864" s="337"/>
      <c r="C864" s="337"/>
      <c r="D864" s="68"/>
      <c r="E864" s="68"/>
      <c r="F864" s="337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ht="15.75" customHeight="1">
      <c r="A865" s="68"/>
      <c r="B865" s="337"/>
      <c r="C865" s="337"/>
      <c r="D865" s="68"/>
      <c r="E865" s="68"/>
      <c r="F865" s="337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ht="15.75" customHeight="1">
      <c r="A866" s="68"/>
      <c r="B866" s="337"/>
      <c r="C866" s="337"/>
      <c r="D866" s="68"/>
      <c r="E866" s="68"/>
      <c r="F866" s="337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ht="15.75" customHeight="1">
      <c r="A867" s="68"/>
      <c r="B867" s="337"/>
      <c r="C867" s="337"/>
      <c r="D867" s="68"/>
      <c r="E867" s="68"/>
      <c r="F867" s="337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ht="15.75" customHeight="1">
      <c r="A868" s="68"/>
      <c r="B868" s="337"/>
      <c r="C868" s="337"/>
      <c r="D868" s="68"/>
      <c r="E868" s="68"/>
      <c r="F868" s="337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ht="15.75" customHeight="1">
      <c r="A869" s="68"/>
      <c r="B869" s="337"/>
      <c r="C869" s="337"/>
      <c r="D869" s="68"/>
      <c r="E869" s="68"/>
      <c r="F869" s="337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ht="15.75" customHeight="1">
      <c r="A870" s="68"/>
      <c r="B870" s="337"/>
      <c r="C870" s="337"/>
      <c r="D870" s="68"/>
      <c r="E870" s="68"/>
      <c r="F870" s="337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ht="15.75" customHeight="1">
      <c r="A871" s="68"/>
      <c r="B871" s="337"/>
      <c r="C871" s="337"/>
      <c r="D871" s="68"/>
      <c r="E871" s="68"/>
      <c r="F871" s="337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ht="15.75" customHeight="1">
      <c r="A872" s="68"/>
      <c r="B872" s="337"/>
      <c r="C872" s="337"/>
      <c r="D872" s="68"/>
      <c r="E872" s="68"/>
      <c r="F872" s="337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ht="15.75" customHeight="1">
      <c r="A873" s="68"/>
      <c r="B873" s="337"/>
      <c r="C873" s="337"/>
      <c r="D873" s="68"/>
      <c r="E873" s="68"/>
      <c r="F873" s="337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ht="15.75" customHeight="1">
      <c r="A874" s="68"/>
      <c r="B874" s="337"/>
      <c r="C874" s="337"/>
      <c r="D874" s="68"/>
      <c r="E874" s="68"/>
      <c r="F874" s="337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ht="15.75" customHeight="1">
      <c r="A875" s="68"/>
      <c r="B875" s="337"/>
      <c r="C875" s="337"/>
      <c r="D875" s="68"/>
      <c r="E875" s="68"/>
      <c r="F875" s="337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ht="15.75" customHeight="1">
      <c r="A876" s="68"/>
      <c r="B876" s="337"/>
      <c r="C876" s="337"/>
      <c r="D876" s="68"/>
      <c r="E876" s="68"/>
      <c r="F876" s="337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ht="15.75" customHeight="1">
      <c r="A877" s="68"/>
      <c r="B877" s="337"/>
      <c r="C877" s="337"/>
      <c r="D877" s="68"/>
      <c r="E877" s="68"/>
      <c r="F877" s="337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ht="15.75" customHeight="1">
      <c r="A878" s="68"/>
      <c r="B878" s="337"/>
      <c r="C878" s="337"/>
      <c r="D878" s="68"/>
      <c r="E878" s="68"/>
      <c r="F878" s="337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ht="15.75" customHeight="1">
      <c r="A879" s="68"/>
      <c r="B879" s="337"/>
      <c r="C879" s="337"/>
      <c r="D879" s="68"/>
      <c r="E879" s="68"/>
      <c r="F879" s="337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ht="15.75" customHeight="1">
      <c r="A880" s="68"/>
      <c r="B880" s="337"/>
      <c r="C880" s="337"/>
      <c r="D880" s="68"/>
      <c r="E880" s="68"/>
      <c r="F880" s="337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ht="15.75" customHeight="1">
      <c r="A881" s="68"/>
      <c r="B881" s="337"/>
      <c r="C881" s="337"/>
      <c r="D881" s="68"/>
      <c r="E881" s="68"/>
      <c r="F881" s="337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ht="15.75" customHeight="1">
      <c r="A882" s="68"/>
      <c r="B882" s="337"/>
      <c r="C882" s="337"/>
      <c r="D882" s="68"/>
      <c r="E882" s="68"/>
      <c r="F882" s="337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ht="15.75" customHeight="1">
      <c r="A883" s="68"/>
      <c r="B883" s="337"/>
      <c r="C883" s="337"/>
      <c r="D883" s="68"/>
      <c r="E883" s="68"/>
      <c r="F883" s="337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ht="15.75" customHeight="1">
      <c r="A884" s="68"/>
      <c r="B884" s="337"/>
      <c r="C884" s="337"/>
      <c r="D884" s="68"/>
      <c r="E884" s="68"/>
      <c r="F884" s="337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ht="15.75" customHeight="1">
      <c r="A885" s="68"/>
      <c r="B885" s="337"/>
      <c r="C885" s="337"/>
      <c r="D885" s="68"/>
      <c r="E885" s="68"/>
      <c r="F885" s="337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ht="15.75" customHeight="1">
      <c r="A886" s="68"/>
      <c r="B886" s="337"/>
      <c r="C886" s="337"/>
      <c r="D886" s="68"/>
      <c r="E886" s="68"/>
      <c r="F886" s="337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ht="15.75" customHeight="1">
      <c r="A887" s="68"/>
      <c r="B887" s="337"/>
      <c r="C887" s="337"/>
      <c r="D887" s="68"/>
      <c r="E887" s="68"/>
      <c r="F887" s="337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ht="15.75" customHeight="1">
      <c r="A888" s="68"/>
      <c r="B888" s="337"/>
      <c r="C888" s="337"/>
      <c r="D888" s="68"/>
      <c r="E888" s="68"/>
      <c r="F888" s="337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ht="15.75" customHeight="1">
      <c r="A889" s="68"/>
      <c r="B889" s="337"/>
      <c r="C889" s="337"/>
      <c r="D889" s="68"/>
      <c r="E889" s="68"/>
      <c r="F889" s="337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ht="15.75" customHeight="1">
      <c r="A890" s="68"/>
      <c r="B890" s="337"/>
      <c r="C890" s="337"/>
      <c r="D890" s="68"/>
      <c r="E890" s="68"/>
      <c r="F890" s="337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ht="15.75" customHeight="1">
      <c r="A891" s="68"/>
      <c r="B891" s="337"/>
      <c r="C891" s="337"/>
      <c r="D891" s="68"/>
      <c r="E891" s="68"/>
      <c r="F891" s="337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ht="15.75" customHeight="1">
      <c r="A892" s="68"/>
      <c r="B892" s="337"/>
      <c r="C892" s="337"/>
      <c r="D892" s="68"/>
      <c r="E892" s="68"/>
      <c r="F892" s="337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ht="15.75" customHeight="1">
      <c r="A893" s="68"/>
      <c r="B893" s="337"/>
      <c r="C893" s="337"/>
      <c r="D893" s="68"/>
      <c r="E893" s="68"/>
      <c r="F893" s="337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ht="15.75" customHeight="1">
      <c r="A894" s="68"/>
      <c r="B894" s="337"/>
      <c r="C894" s="337"/>
      <c r="D894" s="68"/>
      <c r="E894" s="68"/>
      <c r="F894" s="337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ht="15.75" customHeight="1">
      <c r="A895" s="68"/>
      <c r="B895" s="337"/>
      <c r="C895" s="337"/>
      <c r="D895" s="68"/>
      <c r="E895" s="68"/>
      <c r="F895" s="337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ht="15.75" customHeight="1">
      <c r="A896" s="68"/>
      <c r="B896" s="337"/>
      <c r="C896" s="337"/>
      <c r="D896" s="68"/>
      <c r="E896" s="68"/>
      <c r="F896" s="337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ht="15.75" customHeight="1">
      <c r="A897" s="68"/>
      <c r="B897" s="337"/>
      <c r="C897" s="337"/>
      <c r="D897" s="68"/>
      <c r="E897" s="68"/>
      <c r="F897" s="337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ht="15.75" customHeight="1">
      <c r="A898" s="68"/>
      <c r="B898" s="337"/>
      <c r="C898" s="337"/>
      <c r="D898" s="68"/>
      <c r="E898" s="68"/>
      <c r="F898" s="337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ht="15.75" customHeight="1">
      <c r="A899" s="68"/>
      <c r="B899" s="337"/>
      <c r="C899" s="337"/>
      <c r="D899" s="68"/>
      <c r="E899" s="68"/>
      <c r="F899" s="337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ht="15.75" customHeight="1">
      <c r="A900" s="68"/>
      <c r="B900" s="337"/>
      <c r="C900" s="337"/>
      <c r="D900" s="68"/>
      <c r="E900" s="68"/>
      <c r="F900" s="337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ht="15.75" customHeight="1">
      <c r="A901" s="68"/>
      <c r="B901" s="337"/>
      <c r="C901" s="337"/>
      <c r="D901" s="68"/>
      <c r="E901" s="68"/>
      <c r="F901" s="337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ht="15.75" customHeight="1">
      <c r="A902" s="68"/>
      <c r="B902" s="337"/>
      <c r="C902" s="337"/>
      <c r="D902" s="68"/>
      <c r="E902" s="68"/>
      <c r="F902" s="337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ht="15.75" customHeight="1">
      <c r="A903" s="68"/>
      <c r="B903" s="337"/>
      <c r="C903" s="337"/>
      <c r="D903" s="68"/>
      <c r="E903" s="68"/>
      <c r="F903" s="337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ht="15.75" customHeight="1">
      <c r="A904" s="68"/>
      <c r="B904" s="337"/>
      <c r="C904" s="337"/>
      <c r="D904" s="68"/>
      <c r="E904" s="68"/>
      <c r="F904" s="337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ht="15.75" customHeight="1">
      <c r="A905" s="68"/>
      <c r="B905" s="337"/>
      <c r="C905" s="337"/>
      <c r="D905" s="68"/>
      <c r="E905" s="68"/>
      <c r="F905" s="337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ht="15.75" customHeight="1">
      <c r="A906" s="68"/>
      <c r="B906" s="337"/>
      <c r="C906" s="337"/>
      <c r="D906" s="68"/>
      <c r="E906" s="68"/>
      <c r="F906" s="337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ht="15.75" customHeight="1">
      <c r="A907" s="68"/>
      <c r="B907" s="337"/>
      <c r="C907" s="337"/>
      <c r="D907" s="68"/>
      <c r="E907" s="68"/>
      <c r="F907" s="337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ht="15.75" customHeight="1">
      <c r="A908" s="68"/>
      <c r="B908" s="337"/>
      <c r="C908" s="337"/>
      <c r="D908" s="68"/>
      <c r="E908" s="68"/>
      <c r="F908" s="337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ht="15.75" customHeight="1">
      <c r="A909" s="68"/>
      <c r="B909" s="337"/>
      <c r="C909" s="337"/>
      <c r="D909" s="68"/>
      <c r="E909" s="68"/>
      <c r="F909" s="337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ht="15.75" customHeight="1">
      <c r="A910" s="68"/>
      <c r="B910" s="337"/>
      <c r="C910" s="337"/>
      <c r="D910" s="68"/>
      <c r="E910" s="68"/>
      <c r="F910" s="337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ht="15.75" customHeight="1">
      <c r="A911" s="68"/>
      <c r="B911" s="337"/>
      <c r="C911" s="337"/>
      <c r="D911" s="68"/>
      <c r="E911" s="68"/>
      <c r="F911" s="337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ht="15.75" customHeight="1">
      <c r="A912" s="68"/>
      <c r="B912" s="337"/>
      <c r="C912" s="337"/>
      <c r="D912" s="68"/>
      <c r="E912" s="68"/>
      <c r="F912" s="337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ht="15.75" customHeight="1">
      <c r="A913" s="68"/>
      <c r="B913" s="337"/>
      <c r="C913" s="337"/>
      <c r="D913" s="68"/>
      <c r="E913" s="68"/>
      <c r="F913" s="337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ht="15.75" customHeight="1">
      <c r="A914" s="68"/>
      <c r="B914" s="337"/>
      <c r="C914" s="337"/>
      <c r="D914" s="68"/>
      <c r="E914" s="68"/>
      <c r="F914" s="337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ht="15.75" customHeight="1">
      <c r="A915" s="68"/>
      <c r="B915" s="337"/>
      <c r="C915" s="337"/>
      <c r="D915" s="68"/>
      <c r="E915" s="68"/>
      <c r="F915" s="337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ht="15.75" customHeight="1">
      <c r="A916" s="68"/>
      <c r="B916" s="337"/>
      <c r="C916" s="337"/>
      <c r="D916" s="68"/>
      <c r="E916" s="68"/>
      <c r="F916" s="337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ht="15.75" customHeight="1">
      <c r="A917" s="68"/>
      <c r="B917" s="337"/>
      <c r="C917" s="337"/>
      <c r="D917" s="68"/>
      <c r="E917" s="68"/>
      <c r="F917" s="337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ht="15.75" customHeight="1">
      <c r="A918" s="68"/>
      <c r="B918" s="337"/>
      <c r="C918" s="337"/>
      <c r="D918" s="68"/>
      <c r="E918" s="68"/>
      <c r="F918" s="337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ht="15.75" customHeight="1">
      <c r="A919" s="68"/>
      <c r="B919" s="337"/>
      <c r="C919" s="337"/>
      <c r="D919" s="68"/>
      <c r="E919" s="68"/>
      <c r="F919" s="337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ht="15.75" customHeight="1">
      <c r="A920" s="68"/>
      <c r="B920" s="337"/>
      <c r="C920" s="337"/>
      <c r="D920" s="68"/>
      <c r="E920" s="68"/>
      <c r="F920" s="337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ht="15.75" customHeight="1">
      <c r="A921" s="68"/>
      <c r="B921" s="337"/>
      <c r="C921" s="337"/>
      <c r="D921" s="68"/>
      <c r="E921" s="68"/>
      <c r="F921" s="337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ht="15.75" customHeight="1">
      <c r="A922" s="68"/>
      <c r="B922" s="337"/>
      <c r="C922" s="337"/>
      <c r="D922" s="68"/>
      <c r="E922" s="68"/>
      <c r="F922" s="337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ht="15.75" customHeight="1">
      <c r="A923" s="68"/>
      <c r="B923" s="337"/>
      <c r="C923" s="337"/>
      <c r="D923" s="68"/>
      <c r="E923" s="68"/>
      <c r="F923" s="337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ht="15.75" customHeight="1">
      <c r="A924" s="68"/>
      <c r="B924" s="337"/>
      <c r="C924" s="337"/>
      <c r="D924" s="68"/>
      <c r="E924" s="68"/>
      <c r="F924" s="337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ht="15.75" customHeight="1">
      <c r="A925" s="68"/>
      <c r="B925" s="337"/>
      <c r="C925" s="337"/>
      <c r="D925" s="68"/>
      <c r="E925" s="68"/>
      <c r="F925" s="337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ht="15.75" customHeight="1">
      <c r="A926" s="68"/>
      <c r="B926" s="337"/>
      <c r="C926" s="337"/>
      <c r="D926" s="68"/>
      <c r="E926" s="68"/>
      <c r="F926" s="337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ht="15.75" customHeight="1">
      <c r="A927" s="68"/>
      <c r="B927" s="337"/>
      <c r="C927" s="337"/>
      <c r="D927" s="68"/>
      <c r="E927" s="68"/>
      <c r="F927" s="337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ht="15.75" customHeight="1">
      <c r="A928" s="68"/>
      <c r="B928" s="337"/>
      <c r="C928" s="337"/>
      <c r="D928" s="68"/>
      <c r="E928" s="68"/>
      <c r="F928" s="337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ht="15.75" customHeight="1">
      <c r="A929" s="68"/>
      <c r="B929" s="337"/>
      <c r="C929" s="337"/>
      <c r="D929" s="68"/>
      <c r="E929" s="68"/>
      <c r="F929" s="337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ht="15.75" customHeight="1">
      <c r="A930" s="68"/>
      <c r="B930" s="337"/>
      <c r="C930" s="337"/>
      <c r="D930" s="68"/>
      <c r="E930" s="68"/>
      <c r="F930" s="337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ht="15.75" customHeight="1">
      <c r="A931" s="68"/>
      <c r="B931" s="337"/>
      <c r="C931" s="337"/>
      <c r="D931" s="68"/>
      <c r="E931" s="68"/>
      <c r="F931" s="337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ht="15.75" customHeight="1">
      <c r="A932" s="68"/>
      <c r="B932" s="337"/>
      <c r="C932" s="337"/>
      <c r="D932" s="68"/>
      <c r="E932" s="68"/>
      <c r="F932" s="337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ht="15.75" customHeight="1">
      <c r="A933" s="68"/>
      <c r="B933" s="337"/>
      <c r="C933" s="337"/>
      <c r="D933" s="68"/>
      <c r="E933" s="68"/>
      <c r="F933" s="337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ht="15.75" customHeight="1">
      <c r="A934" s="68"/>
      <c r="B934" s="337"/>
      <c r="C934" s="337"/>
      <c r="D934" s="68"/>
      <c r="E934" s="68"/>
      <c r="F934" s="337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ht="15.75" customHeight="1">
      <c r="A935" s="68"/>
      <c r="B935" s="337"/>
      <c r="C935" s="337"/>
      <c r="D935" s="68"/>
      <c r="E935" s="68"/>
      <c r="F935" s="337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ht="15.75" customHeight="1">
      <c r="A936" s="68"/>
      <c r="B936" s="337"/>
      <c r="C936" s="337"/>
      <c r="D936" s="68"/>
      <c r="E936" s="68"/>
      <c r="F936" s="337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ht="15.75" customHeight="1">
      <c r="A937" s="68"/>
      <c r="B937" s="337"/>
      <c r="C937" s="337"/>
      <c r="D937" s="68"/>
      <c r="E937" s="68"/>
      <c r="F937" s="337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ht="15.75" customHeight="1">
      <c r="A938" s="68"/>
      <c r="B938" s="337"/>
      <c r="C938" s="337"/>
      <c r="D938" s="68"/>
      <c r="E938" s="68"/>
      <c r="F938" s="337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ht="15.75" customHeight="1">
      <c r="A939" s="68"/>
      <c r="B939" s="337"/>
      <c r="C939" s="337"/>
      <c r="D939" s="68"/>
      <c r="E939" s="68"/>
      <c r="F939" s="337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ht="15.75" customHeight="1">
      <c r="A940" s="68"/>
      <c r="B940" s="337"/>
      <c r="C940" s="337"/>
      <c r="D940" s="68"/>
      <c r="E940" s="68"/>
      <c r="F940" s="337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ht="15.75" customHeight="1">
      <c r="A941" s="68"/>
      <c r="B941" s="337"/>
      <c r="C941" s="337"/>
      <c r="D941" s="68"/>
      <c r="E941" s="68"/>
      <c r="F941" s="337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ht="15.75" customHeight="1">
      <c r="A942" s="68"/>
      <c r="B942" s="337"/>
      <c r="C942" s="337"/>
      <c r="D942" s="68"/>
      <c r="E942" s="68"/>
      <c r="F942" s="337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ht="15.75" customHeight="1">
      <c r="A943" s="68"/>
      <c r="B943" s="337"/>
      <c r="C943" s="337"/>
      <c r="D943" s="68"/>
      <c r="E943" s="68"/>
      <c r="F943" s="337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ht="15.75" customHeight="1">
      <c r="A944" s="68"/>
      <c r="B944" s="337"/>
      <c r="C944" s="337"/>
      <c r="D944" s="68"/>
      <c r="E944" s="68"/>
      <c r="F944" s="337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ht="15.75" customHeight="1">
      <c r="A945" s="68"/>
      <c r="B945" s="337"/>
      <c r="C945" s="337"/>
      <c r="D945" s="68"/>
      <c r="E945" s="68"/>
      <c r="F945" s="337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ht="15.75" customHeight="1">
      <c r="A946" s="68"/>
      <c r="B946" s="337"/>
      <c r="C946" s="337"/>
      <c r="D946" s="68"/>
      <c r="E946" s="68"/>
      <c r="F946" s="337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ht="15.75" customHeight="1">
      <c r="A947" s="68"/>
      <c r="B947" s="337"/>
      <c r="C947" s="337"/>
      <c r="D947" s="68"/>
      <c r="E947" s="68"/>
      <c r="F947" s="337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ht="15.75" customHeight="1">
      <c r="A948" s="68"/>
      <c r="B948" s="337"/>
      <c r="C948" s="337"/>
      <c r="D948" s="68"/>
      <c r="E948" s="68"/>
      <c r="F948" s="337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ht="15.75" customHeight="1">
      <c r="A949" s="68"/>
      <c r="B949" s="337"/>
      <c r="C949" s="337"/>
      <c r="D949" s="68"/>
      <c r="E949" s="68"/>
      <c r="F949" s="337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ht="15.75" customHeight="1">
      <c r="A950" s="68"/>
      <c r="B950" s="337"/>
      <c r="C950" s="337"/>
      <c r="D950" s="68"/>
      <c r="E950" s="68"/>
      <c r="F950" s="337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ht="15.75" customHeight="1">
      <c r="A951" s="68"/>
      <c r="B951" s="337"/>
      <c r="C951" s="337"/>
      <c r="D951" s="68"/>
      <c r="E951" s="68"/>
      <c r="F951" s="337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ht="15.75" customHeight="1">
      <c r="A952" s="68"/>
      <c r="B952" s="337"/>
      <c r="C952" s="337"/>
      <c r="D952" s="68"/>
      <c r="E952" s="68"/>
      <c r="F952" s="337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ht="15.75" customHeight="1">
      <c r="A953" s="68"/>
      <c r="B953" s="337"/>
      <c r="C953" s="337"/>
      <c r="D953" s="68"/>
      <c r="E953" s="68"/>
      <c r="F953" s="337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ht="15.75" customHeight="1">
      <c r="A954" s="68"/>
      <c r="B954" s="337"/>
      <c r="C954" s="337"/>
      <c r="D954" s="68"/>
      <c r="E954" s="68"/>
      <c r="F954" s="337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ht="15.75" customHeight="1">
      <c r="A955" s="68"/>
      <c r="B955" s="337"/>
      <c r="C955" s="337"/>
      <c r="D955" s="68"/>
      <c r="E955" s="68"/>
      <c r="F955" s="337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ht="15.75" customHeight="1">
      <c r="A956" s="68"/>
      <c r="B956" s="337"/>
      <c r="C956" s="337"/>
      <c r="D956" s="68"/>
      <c r="E956" s="68"/>
      <c r="F956" s="337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ht="15.75" customHeight="1">
      <c r="A957" s="68"/>
      <c r="B957" s="337"/>
      <c r="C957" s="337"/>
      <c r="D957" s="68"/>
      <c r="E957" s="68"/>
      <c r="F957" s="337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ht="15.75" customHeight="1">
      <c r="A958" s="68"/>
      <c r="B958" s="337"/>
      <c r="C958" s="337"/>
      <c r="D958" s="68"/>
      <c r="E958" s="68"/>
      <c r="F958" s="337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ht="15.75" customHeight="1">
      <c r="A959" s="68"/>
      <c r="B959" s="337"/>
      <c r="C959" s="337"/>
      <c r="D959" s="68"/>
      <c r="E959" s="68"/>
      <c r="F959" s="337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ht="15.75" customHeight="1">
      <c r="A960" s="68"/>
      <c r="B960" s="337"/>
      <c r="C960" s="337"/>
      <c r="D960" s="68"/>
      <c r="E960" s="68"/>
      <c r="F960" s="337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ht="15.75" customHeight="1">
      <c r="A961" s="68"/>
      <c r="B961" s="337"/>
      <c r="C961" s="337"/>
      <c r="D961" s="68"/>
      <c r="E961" s="68"/>
      <c r="F961" s="337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ht="15.75" customHeight="1">
      <c r="A962" s="68"/>
      <c r="B962" s="337"/>
      <c r="C962" s="337"/>
      <c r="D962" s="68"/>
      <c r="E962" s="68"/>
      <c r="F962" s="337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ht="15.75" customHeight="1">
      <c r="A963" s="68"/>
      <c r="B963" s="337"/>
      <c r="C963" s="337"/>
      <c r="D963" s="68"/>
      <c r="E963" s="68"/>
      <c r="F963" s="337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ht="15.75" customHeight="1">
      <c r="A964" s="68"/>
      <c r="B964" s="337"/>
      <c r="C964" s="337"/>
      <c r="D964" s="68"/>
      <c r="E964" s="68"/>
      <c r="F964" s="337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ht="15.75" customHeight="1">
      <c r="A965" s="68"/>
      <c r="B965" s="337"/>
      <c r="C965" s="337"/>
      <c r="D965" s="68"/>
      <c r="E965" s="68"/>
      <c r="F965" s="337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ht="15.75" customHeight="1">
      <c r="A966" s="68"/>
      <c r="B966" s="337"/>
      <c r="C966" s="337"/>
      <c r="D966" s="68"/>
      <c r="E966" s="68"/>
      <c r="F966" s="337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ht="15.75" customHeight="1">
      <c r="A967" s="68"/>
      <c r="B967" s="337"/>
      <c r="C967" s="337"/>
      <c r="D967" s="68"/>
      <c r="E967" s="68"/>
      <c r="F967" s="337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ht="15.75" customHeight="1">
      <c r="A968" s="68"/>
      <c r="B968" s="337"/>
      <c r="C968" s="337"/>
      <c r="D968" s="68"/>
      <c r="E968" s="68"/>
      <c r="F968" s="337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ht="15.75" customHeight="1">
      <c r="A969" s="68"/>
      <c r="B969" s="337"/>
      <c r="C969" s="337"/>
      <c r="D969" s="68"/>
      <c r="E969" s="68"/>
      <c r="F969" s="337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ht="15.75" customHeight="1">
      <c r="A970" s="68"/>
      <c r="B970" s="337"/>
      <c r="C970" s="337"/>
      <c r="D970" s="68"/>
      <c r="E970" s="68"/>
      <c r="F970" s="337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ht="15.75" customHeight="1">
      <c r="A971" s="68"/>
      <c r="B971" s="337"/>
      <c r="C971" s="337"/>
      <c r="D971" s="68"/>
      <c r="E971" s="68"/>
      <c r="F971" s="337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ht="15.75" customHeight="1">
      <c r="A972" s="68"/>
      <c r="B972" s="337"/>
      <c r="C972" s="337"/>
      <c r="D972" s="68"/>
      <c r="E972" s="68"/>
      <c r="F972" s="337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ht="15.75" customHeight="1">
      <c r="A973" s="68"/>
      <c r="B973" s="337"/>
      <c r="C973" s="337"/>
      <c r="D973" s="68"/>
      <c r="E973" s="68"/>
      <c r="F973" s="337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ht="15.75" customHeight="1">
      <c r="A974" s="68"/>
      <c r="B974" s="337"/>
      <c r="C974" s="337"/>
      <c r="D974" s="68"/>
      <c r="E974" s="68"/>
      <c r="F974" s="337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ht="15.75" customHeight="1">
      <c r="A975" s="68"/>
      <c r="B975" s="337"/>
      <c r="C975" s="337"/>
      <c r="D975" s="68"/>
      <c r="E975" s="68"/>
      <c r="F975" s="337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ht="15.75" customHeight="1">
      <c r="A976" s="68"/>
      <c r="B976" s="337"/>
      <c r="C976" s="337"/>
      <c r="D976" s="68"/>
      <c r="E976" s="68"/>
      <c r="F976" s="337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ht="15.75" customHeight="1">
      <c r="A977" s="68"/>
      <c r="B977" s="337"/>
      <c r="C977" s="337"/>
      <c r="D977" s="68"/>
      <c r="E977" s="68"/>
      <c r="F977" s="337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ht="15.75" customHeight="1">
      <c r="A978" s="68"/>
      <c r="B978" s="337"/>
      <c r="C978" s="337"/>
      <c r="D978" s="68"/>
      <c r="E978" s="68"/>
      <c r="F978" s="337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ht="15.75" customHeight="1">
      <c r="A979" s="68"/>
      <c r="B979" s="337"/>
      <c r="C979" s="337"/>
      <c r="D979" s="68"/>
      <c r="E979" s="68"/>
      <c r="F979" s="337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ht="15.75" customHeight="1">
      <c r="A980" s="68"/>
      <c r="B980" s="337"/>
      <c r="C980" s="337"/>
      <c r="D980" s="68"/>
      <c r="E980" s="68"/>
      <c r="F980" s="337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ht="15.75" customHeight="1">
      <c r="A981" s="68"/>
      <c r="B981" s="337"/>
      <c r="C981" s="337"/>
      <c r="D981" s="68"/>
      <c r="E981" s="68"/>
      <c r="F981" s="337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ht="15.75" customHeight="1">
      <c r="A982" s="68"/>
      <c r="B982" s="337"/>
      <c r="C982" s="337"/>
      <c r="D982" s="68"/>
      <c r="E982" s="68"/>
      <c r="F982" s="337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ht="15.75" customHeight="1">
      <c r="A983" s="68"/>
      <c r="B983" s="337"/>
      <c r="C983" s="337"/>
      <c r="D983" s="68"/>
      <c r="E983" s="68"/>
      <c r="F983" s="337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ht="15.75" customHeight="1">
      <c r="A984" s="68"/>
      <c r="B984" s="337"/>
      <c r="C984" s="337"/>
      <c r="D984" s="68"/>
      <c r="E984" s="68"/>
      <c r="F984" s="337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ht="15.75" customHeight="1">
      <c r="A985" s="68"/>
      <c r="B985" s="337"/>
      <c r="C985" s="337"/>
      <c r="D985" s="68"/>
      <c r="E985" s="68"/>
      <c r="F985" s="337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ht="15.75" customHeight="1">
      <c r="A986" s="68"/>
      <c r="B986" s="337"/>
      <c r="C986" s="337"/>
      <c r="D986" s="68"/>
      <c r="E986" s="68"/>
      <c r="F986" s="337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ht="15.75" customHeight="1">
      <c r="A987" s="68"/>
      <c r="B987" s="337"/>
      <c r="C987" s="337"/>
      <c r="D987" s="68"/>
      <c r="E987" s="68"/>
      <c r="F987" s="337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ht="15.75" customHeight="1">
      <c r="A988" s="68"/>
      <c r="B988" s="337"/>
      <c r="C988" s="337"/>
      <c r="D988" s="68"/>
      <c r="E988" s="68"/>
      <c r="F988" s="337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ht="15.75" customHeight="1">
      <c r="A989" s="68"/>
      <c r="B989" s="337"/>
      <c r="C989" s="337"/>
      <c r="D989" s="68"/>
      <c r="E989" s="68"/>
      <c r="F989" s="337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ht="15.75" customHeight="1">
      <c r="A990" s="68"/>
      <c r="B990" s="337"/>
      <c r="C990" s="337"/>
      <c r="D990" s="68"/>
      <c r="E990" s="68"/>
      <c r="F990" s="337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ht="15.75" customHeight="1">
      <c r="A991" s="68"/>
      <c r="B991" s="337"/>
      <c r="C991" s="337"/>
      <c r="D991" s="68"/>
      <c r="E991" s="68"/>
      <c r="F991" s="337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ht="15.75" customHeight="1">
      <c r="A992" s="68"/>
      <c r="B992" s="337"/>
      <c r="C992" s="337"/>
      <c r="D992" s="68"/>
      <c r="E992" s="68"/>
      <c r="F992" s="337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ht="15.75" customHeight="1">
      <c r="A993" s="68"/>
      <c r="B993" s="337"/>
      <c r="C993" s="337"/>
      <c r="D993" s="68"/>
      <c r="E993" s="68"/>
      <c r="F993" s="337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ht="15.75" customHeight="1">
      <c r="A994" s="68"/>
      <c r="B994" s="337"/>
      <c r="C994" s="337"/>
      <c r="D994" s="68"/>
      <c r="E994" s="68"/>
      <c r="F994" s="337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ht="15.75" customHeight="1">
      <c r="A995" s="68"/>
      <c r="B995" s="337"/>
      <c r="C995" s="337"/>
      <c r="D995" s="68"/>
      <c r="E995" s="68"/>
      <c r="F995" s="337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ht="15.75" customHeight="1">
      <c r="A996" s="68"/>
      <c r="B996" s="337"/>
      <c r="C996" s="337"/>
      <c r="D996" s="68"/>
      <c r="E996" s="68"/>
      <c r="F996" s="337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ht="15.75" customHeight="1">
      <c r="A997" s="68"/>
      <c r="B997" s="337"/>
      <c r="C997" s="337"/>
      <c r="D997" s="68"/>
      <c r="E997" s="68"/>
      <c r="F997" s="337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ht="15.75" customHeight="1">
      <c r="A998" s="68"/>
      <c r="B998" s="337"/>
      <c r="C998" s="337"/>
      <c r="D998" s="68"/>
      <c r="E998" s="68"/>
      <c r="F998" s="337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ht="15.75" customHeight="1">
      <c r="A999" s="68"/>
      <c r="B999" s="337"/>
      <c r="C999" s="337"/>
      <c r="D999" s="68"/>
      <c r="E999" s="68"/>
      <c r="F999" s="337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ht="15.75" customHeight="1">
      <c r="A1000" s="68"/>
      <c r="B1000" s="337"/>
      <c r="C1000" s="337"/>
      <c r="D1000" s="68"/>
      <c r="E1000" s="68"/>
      <c r="F1000" s="337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mergeCells count="5">
    <mergeCell ref="B4:B11"/>
    <mergeCell ref="B13:B20"/>
    <mergeCell ref="B22:B29"/>
    <mergeCell ref="B31:B38"/>
    <mergeCell ref="B49:D49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2019-10-22T05:19:00Z</dcterms:created>
  <dc:creator>BHAGYA LAKSHMI SUNDARA SUBRAMANIAN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88C5961A658B4DBA87F497208B9AFF83_13</vt:lpwstr>
  </property>
  <property fmtid="{D5CDD505-2E9C-101B-9397-08002B2CF9AE}" pid="3" name="KSOProductBuildVer">
    <vt:lpwstr>1033-12.2.0.20326</vt:lpwstr>
  </property>
</Properties>
</file>