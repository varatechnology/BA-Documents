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Sheet2" sheetId="2" r:id="rId6"/>
  </sheets>
  <definedNames/>
  <calcPr/>
</workbook>
</file>

<file path=xl/sharedStrings.xml><?xml version="1.0" encoding="utf-8"?>
<sst xmlns="http://schemas.openxmlformats.org/spreadsheetml/2006/main" count="97" uniqueCount="63">
  <si>
    <t>1 PW</t>
  </si>
  <si>
    <t>1 PM</t>
  </si>
  <si>
    <t>Loaded Cost</t>
  </si>
  <si>
    <t>Profit Margin</t>
  </si>
  <si>
    <t>Tax</t>
  </si>
  <si>
    <t>Discount</t>
  </si>
  <si>
    <t>Total Cost</t>
  </si>
  <si>
    <t>With Profit</t>
  </si>
  <si>
    <t>With GST (18%)</t>
  </si>
  <si>
    <t>Net (Total + Profit + GST - Discount)</t>
  </si>
  <si>
    <t>Particulars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</si>
  <si>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</si>
  <si>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</si>
  <si>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</si>
  <si>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</si>
  <si>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</si>
  <si>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</si>
  <si>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</si>
  <si>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</si>
  <si>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</si>
  <si>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W10</t>
  </si>
  <si>
    <t>W11</t>
  </si>
  <si>
    <t>W12</t>
  </si>
  <si>
    <t>W13</t>
  </si>
  <si>
    <t>W14</t>
  </si>
  <si>
    <t>W15</t>
  </si>
  <si>
    <t>W16</t>
  </si>
  <si>
    <t>W17</t>
  </si>
  <si>
    <t>W18</t>
  </si>
  <si>
    <t>W19</t>
  </si>
  <si>
    <t>W20</t>
  </si>
  <si>
    <t>W21</t>
  </si>
  <si>
    <t>W22</t>
  </si>
  <si>
    <t>W23</t>
  </si>
  <si>
    <t>W24</t>
  </si>
  <si>
    <t>Preparation &amp; Infrastructure Setup</t>
  </si>
  <si>
    <t>MVP - Workflow Digitization</t>
  </si>
  <si>
    <t>Manufacturing &amp; Quality Control</t>
  </si>
  <si>
    <t>Integration, Security Hardening</t>
  </si>
  <si>
    <t>Scale, Analytics &amp; Reporting, SIT</t>
  </si>
  <si>
    <t>UAT, Deployment, Training &amp; Handover</t>
  </si>
  <si>
    <t>Role</t>
  </si>
  <si>
    <t>Salary PM</t>
  </si>
  <si>
    <t>Person Weeks ()</t>
  </si>
  <si>
    <t>Total (PW)</t>
  </si>
  <si>
    <t>Total (PD)</t>
  </si>
  <si>
    <t>Cost Per Day</t>
  </si>
  <si>
    <t>Cost</t>
  </si>
  <si>
    <t>PM</t>
  </si>
  <si>
    <t>BA</t>
  </si>
  <si>
    <t>Architect/Tech Lead</t>
  </si>
  <si>
    <t>DE1</t>
  </si>
  <si>
    <t>FE1 - Junior</t>
  </si>
  <si>
    <t>FE2 - Senior</t>
  </si>
  <si>
    <t>BE1 - Junior</t>
  </si>
  <si>
    <t>BE2 - Senior</t>
  </si>
  <si>
    <t>BC1 - Junior</t>
  </si>
  <si>
    <t>BC2 - Senior</t>
  </si>
  <si>
    <t>QA1 - Junior</t>
  </si>
  <si>
    <t>QA2.- Senior</t>
  </si>
  <si>
    <t>Total</t>
  </si>
  <si>
    <t>With Tax</t>
  </si>
  <si>
    <t>Net 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</si>
</sst>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color theme="1"/>
      <name val="Arial"/>
      <scheme val="minor"/>
    </font>
    <font>
      <b/>
      <sz val="14.0"/>
      <color theme="1"/>
      <name val="Arial"/>
      <scheme val="minor"/>
    </font>
    <font>
      <b/>
      <color rgb="FFFFFFFF"/>
      <name val="Arial"/>
      <scheme val="minor"/>
    </font>
    <font/>
  </fonts>
  <fills count="13">
    <fill>
      <patternFill patternType="none"/>
    </fill>
    <fill>
      <patternFill patternType="lightGray"/>
    </fill>
    <fill>
      <patternFill patternType="solid">
        <fgColor rgb="FF00FF00"/>
        <bgColor rgb="FF00FF00"/>
      </patternFill>
    </fill>
    <fill>
      <patternFill patternType="solid">
        <fgColor rgb="FF6FA8DC"/>
        <bgColor rgb="FF6FA8DC"/>
      </patternFill>
    </fill>
    <fill>
      <patternFill patternType="solid">
        <fgColor rgb="FFFFFF00"/>
        <bgColor rgb="FFFFFF00"/>
      </patternFill>
    </fill>
    <fill>
      <patternFill patternType="solid">
        <fgColor rgb="FF3D85C6"/>
        <bgColor rgb="FF3D85C6"/>
      </patternFill>
    </fill>
    <fill>
      <patternFill patternType="solid">
        <fgColor rgb="FFFF9900"/>
        <bgColor rgb="FFFF9900"/>
      </patternFill>
    </fill>
    <fill>
      <patternFill patternType="solid">
        <fgColor rgb="FFB6D7A8"/>
        <bgColor rgb="FFB6D7A8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F4CCCC"/>
        <bgColor rgb="FFF4CCCC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9" xfId="0" applyAlignment="1" applyFont="1" applyNumberFormat="1">
      <alignment readingOrder="0"/>
    </xf>
    <xf borderId="0" fillId="2" fontId="1" numFmtId="4" xfId="0" applyFill="1" applyFont="1" applyNumberFormat="1"/>
    <xf borderId="0" fillId="0" fontId="1" numFmtId="4" xfId="0" applyFont="1" applyNumberFormat="1"/>
    <xf borderId="0" fillId="3" fontId="1" numFmtId="4" xfId="0" applyFill="1" applyFont="1" applyNumberFormat="1"/>
    <xf borderId="0" fillId="4" fontId="2" numFmtId="4" xfId="0" applyFill="1" applyFont="1" applyNumberFormat="1"/>
    <xf borderId="1" fillId="5" fontId="3" numFmtId="0" xfId="0" applyAlignment="1" applyBorder="1" applyFill="1" applyFont="1">
      <alignment readingOrder="0"/>
    </xf>
    <xf borderId="1" fillId="5" fontId="3" numFmtId="0" xfId="0" applyBorder="1" applyFont="1"/>
    <xf borderId="1" fillId="0" fontId="1" numFmtId="0" xfId="0" applyBorder="1" applyFont="1"/>
    <xf borderId="1" fillId="0" fontId="1" numFmtId="0" xfId="0" applyAlignment="1" applyBorder="1" applyFont="1">
      <alignment readingOrder="0"/>
    </xf>
    <xf borderId="1" fillId="6" fontId="1" numFmtId="0" xfId="0" applyBorder="1" applyFill="1" applyFont="1"/>
    <xf borderId="2" fillId="5" fontId="3" numFmtId="0" xfId="0" applyAlignment="1" applyBorder="1" applyFont="1">
      <alignment horizontal="center" readingOrder="0"/>
    </xf>
    <xf borderId="3" fillId="0" fontId="4" numFmtId="0" xfId="0" applyBorder="1" applyFont="1"/>
    <xf borderId="4" fillId="0" fontId="4" numFmtId="0" xfId="0" applyBorder="1" applyFont="1"/>
    <xf borderId="1" fillId="7" fontId="1" numFmtId="0" xfId="0" applyAlignment="1" applyBorder="1" applyFill="1" applyFont="1">
      <alignment readingOrder="0"/>
    </xf>
    <xf borderId="1" fillId="4" fontId="1" numFmtId="0" xfId="0" applyAlignment="1" applyBorder="1" applyFont="1">
      <alignment readingOrder="0"/>
    </xf>
    <xf borderId="1" fillId="0" fontId="1" numFmtId="2" xfId="0" applyAlignment="1" applyBorder="1" applyFont="1" applyNumberFormat="1">
      <alignment readingOrder="0"/>
    </xf>
    <xf borderId="1" fillId="8" fontId="1" numFmtId="0" xfId="0" applyAlignment="1" applyBorder="1" applyFill="1" applyFont="1">
      <alignment readingOrder="0"/>
    </xf>
    <xf borderId="1" fillId="9" fontId="1" numFmtId="0" xfId="0" applyAlignment="1" applyBorder="1" applyFill="1" applyFont="1">
      <alignment readingOrder="0"/>
    </xf>
    <xf borderId="1" fillId="10" fontId="1" numFmtId="0" xfId="0" applyAlignment="1" applyBorder="1" applyFill="1" applyFont="1">
      <alignment readingOrder="0"/>
    </xf>
    <xf borderId="1" fillId="11" fontId="1" numFmtId="0" xfId="0" applyAlignment="1" applyBorder="1" applyFill="1" applyFont="1">
      <alignment readingOrder="0"/>
    </xf>
    <xf borderId="1" fillId="12" fontId="1" numFmtId="0" xfId="0" applyAlignment="1" applyBorder="1" applyFill="1" applyFont="1">
      <alignment readingOrder="0"/>
    </xf>
    <xf borderId="0" fillId="0" fontId="1" numFmtId="0" xfId="0" applyFont="1"/>
    <xf borderId="1" fillId="2" fontId="1" numFmtId="0" xfId="0" applyAlignment="1" applyBorder="1" applyFont="1">
      <alignment readingOrder="0"/>
    </xf>
    <xf borderId="1" fillId="2" fontId="1" numFmtId="2" xfId="0" applyBorder="1" applyFont="1" applyNumberFormat="1"/>
    <xf borderId="1" fillId="2" fontId="1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35.38"/>
    <col customWidth="1" min="3" max="3" width="15.75"/>
    <col customWidth="1" min="4" max="12" width="3.5"/>
    <col customWidth="1" min="13" max="13" width="4.38"/>
    <col customWidth="1" min="14" max="14" width="4.25"/>
    <col customWidth="1" min="15" max="28" width="4.38"/>
    <col customWidth="1" min="29" max="29" width="8.75"/>
    <col customWidth="1" min="30" max="30" width="8.38"/>
    <col customWidth="1" min="31" max="31" width="10.88"/>
    <col customWidth="1" min="32" max="32" width="15.38"/>
    <col customWidth="1" min="33" max="33" width="10.88"/>
    <col customWidth="1" min="34" max="39" width="4.38"/>
  </cols>
  <sheetData>
    <row r="1">
      <c r="B1" s="1" t="s">
        <v>0</v>
      </c>
      <c r="C1" s="1">
        <v>5.0</v>
      </c>
    </row>
    <row r="2">
      <c r="B2" s="2" t="s">
        <v>1</v>
      </c>
      <c r="C2" s="1">
        <v>22.0</v>
      </c>
      <c r="D2" s="1"/>
    </row>
    <row r="3">
      <c r="B3" s="1" t="s">
        <v>2</v>
      </c>
      <c r="C3" s="3">
        <v>0.25</v>
      </c>
      <c r="D3" s="1"/>
    </row>
    <row r="4">
      <c r="B4" s="1" t="s">
        <v>3</v>
      </c>
      <c r="C4" s="3">
        <v>1.0</v>
      </c>
    </row>
    <row r="5">
      <c r="B5" s="1" t="s">
        <v>4</v>
      </c>
      <c r="C5" s="3">
        <v>0.18</v>
      </c>
    </row>
    <row r="6">
      <c r="B6" s="1" t="s">
        <v>5</v>
      </c>
      <c r="C6" s="3">
        <v>0.0</v>
      </c>
    </row>
    <row r="8">
      <c r="B8" s="1" t="s">
        <v>6</v>
      </c>
      <c r="C8" s="4">
        <f t="shared" ref="C8:C10" si="1">AG37</f>
        <v>8528409.091</v>
      </c>
    </row>
    <row r="9">
      <c r="B9" s="1" t="s">
        <v>7</v>
      </c>
      <c r="C9" s="5">
        <f t="shared" si="1"/>
        <v>17056818.18</v>
      </c>
    </row>
    <row r="10">
      <c r="B10" s="1" t="s">
        <v>8</v>
      </c>
      <c r="C10" s="6">
        <f t="shared" si="1"/>
        <v>20127045.45</v>
      </c>
      <c r="AF10" s="1"/>
      <c r="AG10" s="1"/>
    </row>
    <row r="11">
      <c r="B11" s="1" t="s">
        <v>9</v>
      </c>
      <c r="C11" s="7">
        <f>AG41</f>
        <v>20127045.45</v>
      </c>
      <c r="AF11" s="1"/>
      <c r="AG11" s="1"/>
    </row>
    <row r="12">
      <c r="B12" s="1"/>
      <c r="AF12" s="1"/>
      <c r="AG12" s="1"/>
    </row>
    <row r="13">
      <c r="B13" s="8" t="s">
        <v>10</v>
      </c>
      <c r="C13" s="9"/>
      <c r="D13" s="8" t="s">
        <v>11</v>
      </c>
      <c r="E13" s="8" t="s">
        <v>12</v>
      </c>
      <c r="F13" s="8" t="s">
        <v>13</v>
      </c>
      <c r="G13" s="8" t="s">
        <v>14</v>
      </c>
      <c r="H13" s="8" t="s">
        <v>15</v>
      </c>
      <c r="I13" s="8" t="s">
        <v>16</v>
      </c>
      <c r="J13" s="8" t="s">
        <v>17</v>
      </c>
      <c r="K13" s="8" t="s">
        <v>18</v>
      </c>
      <c r="L13" s="8" t="s">
        <v>19</v>
      </c>
      <c r="M13" s="8" t="s">
        <v>20</v>
      </c>
      <c r="N13" s="8" t="s">
        <v>21</v>
      </c>
      <c r="O13" s="8" t="s">
        <v>22</v>
      </c>
      <c r="P13" s="8" t="s">
        <v>23</v>
      </c>
      <c r="Q13" s="8" t="s">
        <v>24</v>
      </c>
      <c r="R13" s="8" t="s">
        <v>25</v>
      </c>
      <c r="S13" s="8" t="s">
        <v>26</v>
      </c>
      <c r="T13" s="8" t="s">
        <v>27</v>
      </c>
      <c r="U13" s="8" t="s">
        <v>28</v>
      </c>
      <c r="V13" s="8" t="s">
        <v>29</v>
      </c>
      <c r="W13" s="8" t="s">
        <v>30</v>
      </c>
      <c r="X13" s="8" t="s">
        <v>31</v>
      </c>
      <c r="Y13" s="8" t="s">
        <v>32</v>
      </c>
      <c r="Z13" s="8" t="s">
        <v>33</v>
      </c>
      <c r="AA13" s="8" t="s">
        <v>34</v>
      </c>
      <c r="AB13" s="1"/>
      <c r="AF13" s="1"/>
      <c r="AG13" s="1"/>
      <c r="AH13" s="1"/>
      <c r="AI13" s="1"/>
      <c r="AJ13" s="1"/>
      <c r="AK13" s="1"/>
      <c r="AL13" s="1"/>
      <c r="AM13" s="1"/>
    </row>
    <row r="14"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</row>
    <row r="15">
      <c r="B15" s="11" t="s">
        <v>35</v>
      </c>
      <c r="C15" s="10"/>
      <c r="D15" s="12">
        <f t="shared" ref="D15:F15" si="2">SUM(D24:D35)</f>
        <v>6</v>
      </c>
      <c r="E15" s="12">
        <f t="shared" si="2"/>
        <v>10</v>
      </c>
      <c r="F15" s="12">
        <f t="shared" si="2"/>
        <v>10</v>
      </c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</row>
    <row r="16">
      <c r="B16" s="11" t="s">
        <v>36</v>
      </c>
      <c r="C16" s="10"/>
      <c r="D16" s="10"/>
      <c r="E16" s="10"/>
      <c r="F16" s="12">
        <f t="shared" ref="F16:K16" si="3">SUM(F24:F35)</f>
        <v>10</v>
      </c>
      <c r="G16" s="12">
        <f t="shared" si="3"/>
        <v>10</v>
      </c>
      <c r="H16" s="12">
        <f t="shared" si="3"/>
        <v>12</v>
      </c>
      <c r="I16" s="12">
        <f t="shared" si="3"/>
        <v>12</v>
      </c>
      <c r="J16" s="12">
        <f t="shared" si="3"/>
        <v>14</v>
      </c>
      <c r="K16" s="12">
        <f t="shared" si="3"/>
        <v>13.4</v>
      </c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</row>
    <row r="17">
      <c r="B17" s="11" t="s">
        <v>37</v>
      </c>
      <c r="C17" s="10"/>
      <c r="D17" s="10"/>
      <c r="E17" s="10"/>
      <c r="F17" s="10"/>
      <c r="G17" s="10"/>
      <c r="H17" s="10"/>
      <c r="I17" s="10"/>
      <c r="J17" s="12">
        <f t="shared" ref="J17:P17" si="4">SUM(J24:J35)</f>
        <v>14</v>
      </c>
      <c r="K17" s="12">
        <f t="shared" si="4"/>
        <v>13.4</v>
      </c>
      <c r="L17" s="12">
        <f t="shared" si="4"/>
        <v>13.4</v>
      </c>
      <c r="M17" s="12">
        <f t="shared" si="4"/>
        <v>11.6</v>
      </c>
      <c r="N17" s="12">
        <f t="shared" si="4"/>
        <v>11.6</v>
      </c>
      <c r="O17" s="12">
        <f t="shared" si="4"/>
        <v>11.6</v>
      </c>
      <c r="P17" s="12">
        <f t="shared" si="4"/>
        <v>13.2</v>
      </c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</row>
    <row r="18">
      <c r="B18" s="11" t="s">
        <v>38</v>
      </c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2">
        <f t="shared" ref="P18:S18" si="5">SUM(P24:P35)</f>
        <v>13.2</v>
      </c>
      <c r="Q18" s="12">
        <f t="shared" si="5"/>
        <v>12.2</v>
      </c>
      <c r="R18" s="12">
        <f t="shared" si="5"/>
        <v>11.2</v>
      </c>
      <c r="S18" s="12">
        <f t="shared" si="5"/>
        <v>10.6</v>
      </c>
      <c r="T18" s="10"/>
      <c r="U18" s="10"/>
      <c r="V18" s="10"/>
      <c r="W18" s="10"/>
      <c r="X18" s="10"/>
      <c r="Y18" s="10"/>
      <c r="Z18" s="10"/>
      <c r="AA18" s="10"/>
    </row>
    <row r="19">
      <c r="B19" s="11" t="s">
        <v>39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2">
        <f t="shared" ref="R19:Y19" si="6">SUM(R24:R35)</f>
        <v>11.2</v>
      </c>
      <c r="S19" s="12">
        <f t="shared" si="6"/>
        <v>10.6</v>
      </c>
      <c r="T19" s="12">
        <f t="shared" si="6"/>
        <v>10.6</v>
      </c>
      <c r="U19" s="12">
        <f t="shared" si="6"/>
        <v>11.7</v>
      </c>
      <c r="V19" s="12">
        <f t="shared" si="6"/>
        <v>11.7</v>
      </c>
      <c r="W19" s="12">
        <f t="shared" si="6"/>
        <v>12.2</v>
      </c>
      <c r="X19" s="12">
        <f t="shared" si="6"/>
        <v>10.6</v>
      </c>
      <c r="Y19" s="12">
        <f t="shared" si="6"/>
        <v>10.6</v>
      </c>
      <c r="Z19" s="10"/>
      <c r="AA19" s="10"/>
    </row>
    <row r="20">
      <c r="B20" s="11" t="s">
        <v>40</v>
      </c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2">
        <f t="shared" ref="X20:AA20" si="7">SUM(X24:X35)</f>
        <v>10.6</v>
      </c>
      <c r="Y20" s="12">
        <f t="shared" si="7"/>
        <v>10.6</v>
      </c>
      <c r="Z20" s="12">
        <f t="shared" si="7"/>
        <v>10.6</v>
      </c>
      <c r="AA20" s="12">
        <f t="shared" si="7"/>
        <v>8</v>
      </c>
    </row>
    <row r="22">
      <c r="B22" s="8" t="s">
        <v>41</v>
      </c>
      <c r="C22" s="8" t="s">
        <v>42</v>
      </c>
      <c r="D22" s="13" t="s">
        <v>43</v>
      </c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5"/>
      <c r="AB22" s="9"/>
      <c r="AC22" s="8" t="s">
        <v>44</v>
      </c>
      <c r="AD22" s="8" t="s">
        <v>45</v>
      </c>
      <c r="AE22" s="8" t="s">
        <v>46</v>
      </c>
      <c r="AF22" s="8" t="s">
        <v>2</v>
      </c>
      <c r="AG22" s="8" t="s">
        <v>47</v>
      </c>
    </row>
    <row r="23">
      <c r="B23" s="11"/>
      <c r="C23" s="11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1"/>
      <c r="AD23" s="11"/>
      <c r="AE23" s="11"/>
      <c r="AF23" s="11"/>
      <c r="AG23" s="11"/>
    </row>
    <row r="24">
      <c r="B24" s="11" t="s">
        <v>48</v>
      </c>
      <c r="C24" s="11">
        <v>200000.0</v>
      </c>
      <c r="D24" s="16">
        <v>1.0</v>
      </c>
      <c r="E24" s="16">
        <v>1.0</v>
      </c>
      <c r="F24" s="16">
        <v>1.0</v>
      </c>
      <c r="G24" s="16">
        <v>1.0</v>
      </c>
      <c r="H24" s="16">
        <v>1.0</v>
      </c>
      <c r="I24" s="16">
        <v>1.0</v>
      </c>
      <c r="J24" s="16">
        <v>1.0</v>
      </c>
      <c r="K24" s="16">
        <v>1.0</v>
      </c>
      <c r="L24" s="16">
        <v>1.0</v>
      </c>
      <c r="M24" s="16">
        <v>1.0</v>
      </c>
      <c r="N24" s="16">
        <v>1.0</v>
      </c>
      <c r="O24" s="16">
        <v>1.0</v>
      </c>
      <c r="P24" s="16">
        <v>1.0</v>
      </c>
      <c r="Q24" s="16">
        <v>1.0</v>
      </c>
      <c r="R24" s="16">
        <v>1.0</v>
      </c>
      <c r="S24" s="16">
        <v>1.0</v>
      </c>
      <c r="T24" s="16">
        <v>1.0</v>
      </c>
      <c r="U24" s="16">
        <v>1.0</v>
      </c>
      <c r="V24" s="16">
        <v>1.0</v>
      </c>
      <c r="W24" s="16">
        <v>1.0</v>
      </c>
      <c r="X24" s="16">
        <v>1.0</v>
      </c>
      <c r="Y24" s="16">
        <v>1.0</v>
      </c>
      <c r="Z24" s="16">
        <v>1.0</v>
      </c>
      <c r="AA24" s="16">
        <v>1.0</v>
      </c>
      <c r="AB24" s="11"/>
      <c r="AC24" s="17">
        <f t="shared" ref="AC24:AC35" si="8">SUM(D24:AA24)</f>
        <v>24</v>
      </c>
      <c r="AD24" s="11">
        <f t="shared" ref="AD24:AD35" si="9">AC24*C$1</f>
        <v>120</v>
      </c>
      <c r="AE24" s="18">
        <f t="shared" ref="AE24:AE35" si="10">C24/C$2</f>
        <v>9090.909091</v>
      </c>
      <c r="AF24" s="18">
        <f t="shared" ref="AF24:AF35" si="11">AE24*(1+C$3)</f>
        <v>11363.63636</v>
      </c>
      <c r="AG24" s="18">
        <f t="shared" ref="AG24:AG35" si="12">AF24*AD24</f>
        <v>1363636.364</v>
      </c>
      <c r="AH24" s="1"/>
      <c r="AI24" s="1"/>
      <c r="AJ24" s="1"/>
      <c r="AK24" s="1"/>
      <c r="AL24" s="1"/>
      <c r="AM24" s="1"/>
    </row>
    <row r="25">
      <c r="B25" s="11" t="s">
        <v>49</v>
      </c>
      <c r="C25" s="11">
        <v>150000.0</v>
      </c>
      <c r="D25" s="19">
        <v>1.0</v>
      </c>
      <c r="E25" s="19">
        <v>1.0</v>
      </c>
      <c r="F25" s="19">
        <v>1.0</v>
      </c>
      <c r="G25" s="19">
        <v>1.0</v>
      </c>
      <c r="H25" s="19">
        <v>1.0</v>
      </c>
      <c r="I25" s="19">
        <v>1.0</v>
      </c>
      <c r="J25" s="19">
        <v>1.0</v>
      </c>
      <c r="K25" s="19">
        <v>0.4</v>
      </c>
      <c r="L25" s="19">
        <v>0.4</v>
      </c>
      <c r="M25" s="19">
        <v>0.4</v>
      </c>
      <c r="N25" s="19">
        <v>0.4</v>
      </c>
      <c r="O25" s="19">
        <v>0.4</v>
      </c>
      <c r="P25" s="19">
        <v>1.0</v>
      </c>
      <c r="Q25" s="19">
        <v>1.0</v>
      </c>
      <c r="R25" s="19">
        <v>1.0</v>
      </c>
      <c r="S25" s="19">
        <v>0.4</v>
      </c>
      <c r="T25" s="19">
        <v>0.4</v>
      </c>
      <c r="U25" s="19">
        <v>1.0</v>
      </c>
      <c r="V25" s="19">
        <v>1.0</v>
      </c>
      <c r="W25" s="19">
        <v>1.0</v>
      </c>
      <c r="X25" s="19">
        <v>0.4</v>
      </c>
      <c r="Y25" s="19">
        <v>0.4</v>
      </c>
      <c r="Z25" s="19">
        <v>0.4</v>
      </c>
      <c r="AA25" s="19">
        <v>1.0</v>
      </c>
      <c r="AB25" s="11"/>
      <c r="AC25" s="17">
        <f t="shared" si="8"/>
        <v>18</v>
      </c>
      <c r="AD25" s="11">
        <f t="shared" si="9"/>
        <v>90</v>
      </c>
      <c r="AE25" s="18">
        <f t="shared" si="10"/>
        <v>6818.181818</v>
      </c>
      <c r="AF25" s="18">
        <f t="shared" si="11"/>
        <v>8522.727273</v>
      </c>
      <c r="AG25" s="18">
        <f t="shared" si="12"/>
        <v>767045.4545</v>
      </c>
      <c r="AH25" s="1"/>
      <c r="AI25" s="1"/>
      <c r="AJ25" s="1"/>
      <c r="AK25" s="1"/>
      <c r="AL25" s="1"/>
      <c r="AM25" s="1"/>
    </row>
    <row r="26">
      <c r="B26" s="11" t="s">
        <v>50</v>
      </c>
      <c r="C26" s="11">
        <v>250000.0</v>
      </c>
      <c r="D26" s="20">
        <v>1.0</v>
      </c>
      <c r="E26" s="20">
        <v>1.0</v>
      </c>
      <c r="F26" s="20">
        <v>1.0</v>
      </c>
      <c r="G26" s="20">
        <v>1.0</v>
      </c>
      <c r="H26" s="20">
        <v>1.0</v>
      </c>
      <c r="I26" s="20">
        <v>1.0</v>
      </c>
      <c r="J26" s="20">
        <v>1.0</v>
      </c>
      <c r="K26" s="20">
        <v>1.0</v>
      </c>
      <c r="L26" s="20">
        <v>1.0</v>
      </c>
      <c r="M26" s="20">
        <v>1.0</v>
      </c>
      <c r="N26" s="20">
        <v>1.0</v>
      </c>
      <c r="O26" s="20">
        <v>1.0</v>
      </c>
      <c r="P26" s="20">
        <v>1.0</v>
      </c>
      <c r="Q26" s="20">
        <v>1.0</v>
      </c>
      <c r="R26" s="20">
        <v>1.0</v>
      </c>
      <c r="S26" s="20">
        <v>1.0</v>
      </c>
      <c r="T26" s="20">
        <v>1.0</v>
      </c>
      <c r="U26" s="20">
        <v>0.5</v>
      </c>
      <c r="V26" s="20">
        <v>0.5</v>
      </c>
      <c r="W26" s="20">
        <v>0.5</v>
      </c>
      <c r="X26" s="20">
        <v>0.5</v>
      </c>
      <c r="Y26" s="20">
        <v>0.5</v>
      </c>
      <c r="Z26" s="20">
        <v>0.5</v>
      </c>
      <c r="AA26" s="20">
        <v>1.0</v>
      </c>
      <c r="AB26" s="11"/>
      <c r="AC26" s="17">
        <f t="shared" si="8"/>
        <v>21</v>
      </c>
      <c r="AD26" s="11">
        <f t="shared" si="9"/>
        <v>105</v>
      </c>
      <c r="AE26" s="18">
        <f t="shared" si="10"/>
        <v>11363.63636</v>
      </c>
      <c r="AF26" s="18">
        <f t="shared" si="11"/>
        <v>14204.54545</v>
      </c>
      <c r="AG26" s="18">
        <f t="shared" si="12"/>
        <v>1491477.273</v>
      </c>
      <c r="AH26" s="1"/>
      <c r="AI26" s="1"/>
      <c r="AJ26" s="1"/>
      <c r="AK26" s="1"/>
      <c r="AL26" s="1"/>
      <c r="AM26" s="1"/>
    </row>
    <row r="27">
      <c r="B27" s="11" t="s">
        <v>51</v>
      </c>
      <c r="C27" s="11">
        <v>50000.0</v>
      </c>
      <c r="D27" s="11"/>
      <c r="E27" s="21">
        <v>1.0</v>
      </c>
      <c r="F27" s="21">
        <v>1.0</v>
      </c>
      <c r="G27" s="21">
        <v>1.0</v>
      </c>
      <c r="H27" s="21">
        <v>1.0</v>
      </c>
      <c r="I27" s="21">
        <v>1.0</v>
      </c>
      <c r="J27" s="21">
        <v>1.0</v>
      </c>
      <c r="K27" s="21">
        <v>1.0</v>
      </c>
      <c r="L27" s="21">
        <v>1.0</v>
      </c>
      <c r="M27" s="10"/>
      <c r="N27" s="10"/>
      <c r="O27" s="10"/>
      <c r="P27" s="21">
        <v>1.0</v>
      </c>
      <c r="Q27" s="21">
        <v>1.0</v>
      </c>
      <c r="R27" s="10"/>
      <c r="S27" s="10"/>
      <c r="U27" s="21">
        <v>1.0</v>
      </c>
      <c r="V27" s="21">
        <v>1.0</v>
      </c>
      <c r="W27" s="21">
        <v>1.0</v>
      </c>
      <c r="X27" s="21"/>
      <c r="Y27" s="10"/>
      <c r="Z27" s="10"/>
      <c r="AA27" s="10"/>
      <c r="AB27" s="10"/>
      <c r="AC27" s="17">
        <f t="shared" si="8"/>
        <v>13</v>
      </c>
      <c r="AD27" s="11">
        <f t="shared" si="9"/>
        <v>65</v>
      </c>
      <c r="AE27" s="18">
        <f t="shared" si="10"/>
        <v>2272.727273</v>
      </c>
      <c r="AF27" s="18">
        <f t="shared" si="11"/>
        <v>2840.909091</v>
      </c>
      <c r="AG27" s="18">
        <f t="shared" si="12"/>
        <v>184659.0909</v>
      </c>
    </row>
    <row r="28">
      <c r="B28" s="11" t="s">
        <v>52</v>
      </c>
      <c r="C28" s="11">
        <v>50000.0</v>
      </c>
      <c r="D28" s="10"/>
      <c r="E28" s="16">
        <v>1.0</v>
      </c>
      <c r="F28" s="16">
        <v>1.0</v>
      </c>
      <c r="G28" s="16">
        <v>1.0</v>
      </c>
      <c r="H28" s="16">
        <v>1.0</v>
      </c>
      <c r="I28" s="16">
        <v>1.0</v>
      </c>
      <c r="J28" s="16">
        <v>1.0</v>
      </c>
      <c r="K28" s="16">
        <v>1.0</v>
      </c>
      <c r="L28" s="16">
        <v>1.0</v>
      </c>
      <c r="M28" s="16">
        <v>1.0</v>
      </c>
      <c r="N28" s="16">
        <v>1.0</v>
      </c>
      <c r="O28" s="16">
        <v>1.0</v>
      </c>
      <c r="P28" s="16">
        <v>1.0</v>
      </c>
      <c r="Q28" s="16">
        <v>1.0</v>
      </c>
      <c r="R28" s="16">
        <v>1.0</v>
      </c>
      <c r="S28" s="16">
        <v>1.0</v>
      </c>
      <c r="T28" s="16">
        <v>1.0</v>
      </c>
      <c r="U28" s="16">
        <v>1.0</v>
      </c>
      <c r="V28" s="16">
        <v>1.0</v>
      </c>
      <c r="W28" s="16">
        <v>1.0</v>
      </c>
      <c r="X28" s="16">
        <v>1.0</v>
      </c>
      <c r="Y28" s="16">
        <v>1.0</v>
      </c>
      <c r="Z28" s="16">
        <v>1.0</v>
      </c>
      <c r="AA28" s="16"/>
      <c r="AB28" s="10"/>
      <c r="AC28" s="17">
        <f t="shared" si="8"/>
        <v>22</v>
      </c>
      <c r="AD28" s="11">
        <f t="shared" si="9"/>
        <v>110</v>
      </c>
      <c r="AE28" s="18">
        <f t="shared" si="10"/>
        <v>2272.727273</v>
      </c>
      <c r="AF28" s="18">
        <f t="shared" si="11"/>
        <v>2840.909091</v>
      </c>
      <c r="AG28" s="18">
        <f t="shared" si="12"/>
        <v>312500</v>
      </c>
    </row>
    <row r="29">
      <c r="B29" s="11" t="s">
        <v>53</v>
      </c>
      <c r="C29" s="11">
        <v>150000.0</v>
      </c>
      <c r="D29" s="16">
        <v>1.0</v>
      </c>
      <c r="E29" s="16">
        <v>1.0</v>
      </c>
      <c r="F29" s="16">
        <v>1.0</v>
      </c>
      <c r="G29" s="16">
        <v>1.0</v>
      </c>
      <c r="H29" s="16">
        <v>1.0</v>
      </c>
      <c r="I29" s="16">
        <v>1.0</v>
      </c>
      <c r="J29" s="16">
        <v>1.0</v>
      </c>
      <c r="K29" s="16">
        <v>1.0</v>
      </c>
      <c r="L29" s="16">
        <v>1.0</v>
      </c>
      <c r="M29" s="16">
        <v>1.0</v>
      </c>
      <c r="N29" s="16">
        <v>1.0</v>
      </c>
      <c r="O29" s="16">
        <v>1.0</v>
      </c>
      <c r="P29" s="16">
        <v>1.0</v>
      </c>
      <c r="Q29" s="16">
        <v>0.5</v>
      </c>
      <c r="R29" s="16">
        <v>0.5</v>
      </c>
      <c r="S29" s="16">
        <v>0.5</v>
      </c>
      <c r="T29" s="16">
        <v>0.5</v>
      </c>
      <c r="U29" s="16">
        <v>0.5</v>
      </c>
      <c r="V29" s="16">
        <v>0.5</v>
      </c>
      <c r="W29" s="16">
        <v>0.5</v>
      </c>
      <c r="X29" s="16">
        <v>0.5</v>
      </c>
      <c r="Y29" s="16">
        <v>0.5</v>
      </c>
      <c r="Z29" s="16">
        <v>0.5</v>
      </c>
      <c r="AA29" s="16">
        <v>1.0</v>
      </c>
      <c r="AB29" s="10"/>
      <c r="AC29" s="17">
        <f t="shared" si="8"/>
        <v>19</v>
      </c>
      <c r="AD29" s="11">
        <f t="shared" si="9"/>
        <v>95</v>
      </c>
      <c r="AE29" s="18">
        <f t="shared" si="10"/>
        <v>6818.181818</v>
      </c>
      <c r="AF29" s="18">
        <f t="shared" si="11"/>
        <v>8522.727273</v>
      </c>
      <c r="AG29" s="18">
        <f t="shared" si="12"/>
        <v>809659.0909</v>
      </c>
    </row>
    <row r="30">
      <c r="B30" s="11" t="s">
        <v>54</v>
      </c>
      <c r="C30" s="11">
        <v>50000.0</v>
      </c>
      <c r="D30" s="10"/>
      <c r="E30" s="21">
        <v>1.0</v>
      </c>
      <c r="F30" s="21">
        <v>1.0</v>
      </c>
      <c r="G30" s="21">
        <v>1.0</v>
      </c>
      <c r="H30" s="21">
        <v>1.0</v>
      </c>
      <c r="I30" s="21">
        <v>1.0</v>
      </c>
      <c r="J30" s="21">
        <v>3.0</v>
      </c>
      <c r="K30" s="21">
        <v>3.0</v>
      </c>
      <c r="L30" s="21">
        <v>3.0</v>
      </c>
      <c r="M30" s="21">
        <v>3.0</v>
      </c>
      <c r="N30" s="21">
        <v>3.0</v>
      </c>
      <c r="O30" s="21">
        <v>3.0</v>
      </c>
      <c r="P30" s="21">
        <v>3.0</v>
      </c>
      <c r="Q30" s="21">
        <v>3.0</v>
      </c>
      <c r="R30" s="21">
        <v>3.0</v>
      </c>
      <c r="S30" s="21">
        <v>3.0</v>
      </c>
      <c r="T30" s="21">
        <v>3.0</v>
      </c>
      <c r="U30" s="21">
        <v>3.0</v>
      </c>
      <c r="V30" s="21">
        <v>3.0</v>
      </c>
      <c r="W30" s="21">
        <v>3.0</v>
      </c>
      <c r="X30" s="21">
        <v>3.0</v>
      </c>
      <c r="Y30" s="21">
        <v>3.0</v>
      </c>
      <c r="Z30" s="21">
        <v>3.0</v>
      </c>
      <c r="AA30" s="21"/>
      <c r="AB30" s="10"/>
      <c r="AC30" s="17">
        <f t="shared" si="8"/>
        <v>56</v>
      </c>
      <c r="AD30" s="11">
        <f t="shared" si="9"/>
        <v>280</v>
      </c>
      <c r="AE30" s="18">
        <f t="shared" si="10"/>
        <v>2272.727273</v>
      </c>
      <c r="AF30" s="18">
        <f t="shared" si="11"/>
        <v>2840.909091</v>
      </c>
      <c r="AG30" s="18">
        <f t="shared" si="12"/>
        <v>795454.5455</v>
      </c>
    </row>
    <row r="31">
      <c r="B31" s="11" t="s">
        <v>55</v>
      </c>
      <c r="C31" s="11">
        <v>150000.0</v>
      </c>
      <c r="D31" s="21">
        <v>1.0</v>
      </c>
      <c r="E31" s="21">
        <v>1.0</v>
      </c>
      <c r="F31" s="21">
        <v>1.0</v>
      </c>
      <c r="G31" s="21">
        <v>1.0</v>
      </c>
      <c r="H31" s="21">
        <v>1.0</v>
      </c>
      <c r="I31" s="21">
        <v>1.0</v>
      </c>
      <c r="J31" s="21">
        <v>1.0</v>
      </c>
      <c r="K31" s="21">
        <v>1.0</v>
      </c>
      <c r="L31" s="21">
        <v>1.0</v>
      </c>
      <c r="M31" s="21">
        <v>1.0</v>
      </c>
      <c r="N31" s="21">
        <v>1.0</v>
      </c>
      <c r="O31" s="21">
        <v>1.0</v>
      </c>
      <c r="P31" s="21">
        <v>1.0</v>
      </c>
      <c r="Q31" s="21">
        <v>0.5</v>
      </c>
      <c r="R31" s="21">
        <v>0.5</v>
      </c>
      <c r="S31" s="21">
        <v>0.5</v>
      </c>
      <c r="T31" s="21">
        <v>0.5</v>
      </c>
      <c r="U31" s="21">
        <v>0.5</v>
      </c>
      <c r="V31" s="21">
        <v>0.5</v>
      </c>
      <c r="W31" s="21">
        <v>1.0</v>
      </c>
      <c r="X31" s="21">
        <v>1.0</v>
      </c>
      <c r="Y31" s="21">
        <v>1.0</v>
      </c>
      <c r="Z31" s="21">
        <v>1.0</v>
      </c>
      <c r="AA31" s="21">
        <v>1.0</v>
      </c>
      <c r="AB31" s="10"/>
      <c r="AC31" s="17">
        <f t="shared" si="8"/>
        <v>21</v>
      </c>
      <c r="AD31" s="11">
        <f t="shared" si="9"/>
        <v>105</v>
      </c>
      <c r="AE31" s="18">
        <f t="shared" si="10"/>
        <v>6818.181818</v>
      </c>
      <c r="AF31" s="18">
        <f t="shared" si="11"/>
        <v>8522.727273</v>
      </c>
      <c r="AG31" s="18">
        <f t="shared" si="12"/>
        <v>894886.3636</v>
      </c>
    </row>
    <row r="32">
      <c r="B32" s="11" t="s">
        <v>56</v>
      </c>
      <c r="C32" s="11">
        <v>80000.0</v>
      </c>
      <c r="D32" s="10"/>
      <c r="E32" s="22">
        <v>1.0</v>
      </c>
      <c r="F32" s="22">
        <v>1.0</v>
      </c>
      <c r="G32" s="22">
        <v>1.0</v>
      </c>
      <c r="H32" s="22">
        <v>1.0</v>
      </c>
      <c r="I32" s="22">
        <v>1.0</v>
      </c>
      <c r="J32" s="22">
        <v>1.0</v>
      </c>
      <c r="K32" s="22">
        <v>1.0</v>
      </c>
      <c r="L32" s="22">
        <v>1.0</v>
      </c>
      <c r="M32" s="22">
        <v>1.0</v>
      </c>
      <c r="N32" s="22">
        <v>1.0</v>
      </c>
      <c r="O32" s="22">
        <v>1.0</v>
      </c>
      <c r="P32" s="22">
        <v>1.0</v>
      </c>
      <c r="Q32" s="22">
        <v>1.0</v>
      </c>
      <c r="R32" s="22">
        <v>1.0</v>
      </c>
      <c r="S32" s="22">
        <v>1.0</v>
      </c>
      <c r="T32" s="22">
        <v>1.0</v>
      </c>
      <c r="U32" s="22">
        <v>1.0</v>
      </c>
      <c r="V32" s="22">
        <v>1.0</v>
      </c>
      <c r="W32" s="22">
        <v>1.0</v>
      </c>
      <c r="X32" s="22">
        <v>1.0</v>
      </c>
      <c r="Y32" s="22">
        <v>1.0</v>
      </c>
      <c r="Z32" s="22">
        <v>1.0</v>
      </c>
      <c r="AA32" s="22"/>
      <c r="AB32" s="10"/>
      <c r="AC32" s="17">
        <f t="shared" si="8"/>
        <v>22</v>
      </c>
      <c r="AD32" s="11">
        <f t="shared" si="9"/>
        <v>110</v>
      </c>
      <c r="AE32" s="18">
        <f t="shared" si="10"/>
        <v>3636.363636</v>
      </c>
      <c r="AF32" s="18">
        <f t="shared" si="11"/>
        <v>4545.454545</v>
      </c>
      <c r="AG32" s="18">
        <f t="shared" si="12"/>
        <v>500000</v>
      </c>
    </row>
    <row r="33">
      <c r="B33" s="11" t="s">
        <v>57</v>
      </c>
      <c r="C33" s="11">
        <v>200000.0</v>
      </c>
      <c r="D33" s="22">
        <v>1.0</v>
      </c>
      <c r="E33" s="22">
        <v>1.0</v>
      </c>
      <c r="F33" s="22">
        <v>1.0</v>
      </c>
      <c r="G33" s="22">
        <v>1.0</v>
      </c>
      <c r="H33" s="22">
        <v>1.0</v>
      </c>
      <c r="I33" s="22">
        <v>1.0</v>
      </c>
      <c r="J33" s="22">
        <v>1.0</v>
      </c>
      <c r="K33" s="22">
        <v>1.0</v>
      </c>
      <c r="L33" s="22">
        <v>1.0</v>
      </c>
      <c r="M33" s="22">
        <v>0.2</v>
      </c>
      <c r="N33" s="22">
        <v>0.2</v>
      </c>
      <c r="O33" s="22">
        <v>0.2</v>
      </c>
      <c r="P33" s="22">
        <v>0.2</v>
      </c>
      <c r="Q33" s="22">
        <v>0.2</v>
      </c>
      <c r="R33" s="22">
        <v>0.2</v>
      </c>
      <c r="S33" s="22">
        <v>0.2</v>
      </c>
      <c r="T33" s="22">
        <v>0.2</v>
      </c>
      <c r="U33" s="22">
        <v>0.2</v>
      </c>
      <c r="V33" s="22">
        <v>0.2</v>
      </c>
      <c r="W33" s="22">
        <v>0.2</v>
      </c>
      <c r="X33" s="22">
        <v>0.2</v>
      </c>
      <c r="Y33" s="22">
        <v>0.2</v>
      </c>
      <c r="Z33" s="22">
        <v>0.2</v>
      </c>
      <c r="AA33" s="22">
        <v>1.0</v>
      </c>
      <c r="AB33" s="10"/>
      <c r="AC33" s="17">
        <f t="shared" si="8"/>
        <v>12.8</v>
      </c>
      <c r="AD33" s="11">
        <f t="shared" si="9"/>
        <v>64</v>
      </c>
      <c r="AE33" s="18">
        <f t="shared" si="10"/>
        <v>9090.909091</v>
      </c>
      <c r="AF33" s="18">
        <f t="shared" si="11"/>
        <v>11363.63636</v>
      </c>
      <c r="AG33" s="18">
        <f t="shared" si="12"/>
        <v>727272.7273</v>
      </c>
    </row>
    <row r="34">
      <c r="B34" s="11" t="s">
        <v>58</v>
      </c>
      <c r="C34" s="11">
        <v>40000.0</v>
      </c>
      <c r="D34" s="10"/>
      <c r="E34" s="10"/>
      <c r="F34" s="10"/>
      <c r="G34" s="10"/>
      <c r="H34" s="23">
        <v>1.0</v>
      </c>
      <c r="I34" s="23">
        <v>1.0</v>
      </c>
      <c r="J34" s="23">
        <v>1.0</v>
      </c>
      <c r="K34" s="23">
        <v>1.0</v>
      </c>
      <c r="L34" s="23">
        <v>1.0</v>
      </c>
      <c r="M34" s="23">
        <v>1.0</v>
      </c>
      <c r="N34" s="23">
        <v>1.0</v>
      </c>
      <c r="O34" s="23">
        <v>1.0</v>
      </c>
      <c r="P34" s="23">
        <v>1.0</v>
      </c>
      <c r="Q34" s="23">
        <v>1.0</v>
      </c>
      <c r="R34" s="23">
        <v>1.0</v>
      </c>
      <c r="S34" s="23">
        <v>1.0</v>
      </c>
      <c r="T34" s="23">
        <v>1.0</v>
      </c>
      <c r="U34" s="23">
        <v>1.0</v>
      </c>
      <c r="V34" s="23">
        <v>1.0</v>
      </c>
      <c r="W34" s="23">
        <v>1.0</v>
      </c>
      <c r="X34" s="23">
        <v>1.0</v>
      </c>
      <c r="Y34" s="23">
        <v>1.0</v>
      </c>
      <c r="Z34" s="23">
        <v>1.0</v>
      </c>
      <c r="AA34" s="23">
        <v>1.0</v>
      </c>
      <c r="AB34" s="11"/>
      <c r="AC34" s="17">
        <f t="shared" si="8"/>
        <v>20</v>
      </c>
      <c r="AD34" s="11">
        <f t="shared" si="9"/>
        <v>100</v>
      </c>
      <c r="AE34" s="18">
        <f t="shared" si="10"/>
        <v>1818.181818</v>
      </c>
      <c r="AF34" s="18">
        <f t="shared" si="11"/>
        <v>2272.727273</v>
      </c>
      <c r="AG34" s="18">
        <f t="shared" si="12"/>
        <v>227272.7273</v>
      </c>
      <c r="AH34" s="1"/>
      <c r="AI34" s="1"/>
      <c r="AJ34" s="1"/>
      <c r="AK34" s="1"/>
      <c r="AL34" s="1"/>
      <c r="AM34" s="1"/>
    </row>
    <row r="35">
      <c r="B35" s="11" t="s">
        <v>59</v>
      </c>
      <c r="C35" s="11">
        <v>80000.0</v>
      </c>
      <c r="D35" s="10"/>
      <c r="E35" s="10"/>
      <c r="F35" s="10"/>
      <c r="G35" s="10"/>
      <c r="H35" s="23">
        <v>1.0</v>
      </c>
      <c r="I35" s="23">
        <v>1.0</v>
      </c>
      <c r="J35" s="23">
        <v>1.0</v>
      </c>
      <c r="K35" s="23">
        <v>1.0</v>
      </c>
      <c r="L35" s="23">
        <v>1.0</v>
      </c>
      <c r="M35" s="23">
        <v>1.0</v>
      </c>
      <c r="N35" s="23">
        <v>1.0</v>
      </c>
      <c r="O35" s="23">
        <v>1.0</v>
      </c>
      <c r="P35" s="23">
        <v>1.0</v>
      </c>
      <c r="Q35" s="23">
        <v>1.0</v>
      </c>
      <c r="R35" s="23">
        <v>1.0</v>
      </c>
      <c r="S35" s="23">
        <v>1.0</v>
      </c>
      <c r="T35" s="23">
        <v>1.0</v>
      </c>
      <c r="U35" s="23">
        <v>1.0</v>
      </c>
      <c r="V35" s="23">
        <v>1.0</v>
      </c>
      <c r="W35" s="23">
        <v>1.0</v>
      </c>
      <c r="X35" s="23">
        <v>1.0</v>
      </c>
      <c r="Y35" s="23">
        <v>1.0</v>
      </c>
      <c r="Z35" s="23">
        <v>1.0</v>
      </c>
      <c r="AA35" s="23">
        <v>1.0</v>
      </c>
      <c r="AB35" s="11"/>
      <c r="AC35" s="17">
        <f t="shared" si="8"/>
        <v>20</v>
      </c>
      <c r="AD35" s="11">
        <f t="shared" si="9"/>
        <v>100</v>
      </c>
      <c r="AE35" s="18">
        <f t="shared" si="10"/>
        <v>3636.363636</v>
      </c>
      <c r="AF35" s="18">
        <f t="shared" si="11"/>
        <v>4545.454545</v>
      </c>
      <c r="AG35" s="18">
        <f t="shared" si="12"/>
        <v>454545.4545</v>
      </c>
      <c r="AH35" s="1"/>
      <c r="AI35" s="1"/>
      <c r="AJ35" s="1"/>
      <c r="AK35" s="1"/>
      <c r="AL35" s="1"/>
      <c r="AM35" s="1"/>
    </row>
    <row r="36">
      <c r="AF36" s="10"/>
      <c r="AG36" s="10"/>
    </row>
    <row r="37">
      <c r="AC37" s="24">
        <f>SUM(AC24:AC35)</f>
        <v>268.8</v>
      </c>
      <c r="AF37" s="25" t="s">
        <v>60</v>
      </c>
      <c r="AG37" s="26">
        <f>SUM(AG24:AG35)</f>
        <v>8528409.091</v>
      </c>
    </row>
    <row r="38">
      <c r="AF38" s="25" t="s">
        <v>7</v>
      </c>
      <c r="AG38" s="27">
        <f t="shared" ref="AG38:AG39" si="13">AG37*(1+C4)</f>
        <v>17056818.18</v>
      </c>
    </row>
    <row r="39">
      <c r="AF39" s="25" t="s">
        <v>61</v>
      </c>
      <c r="AG39" s="27">
        <f t="shared" si="13"/>
        <v>20127045.45</v>
      </c>
    </row>
    <row r="40">
      <c r="AF40" s="1" t="s">
        <v>5</v>
      </c>
      <c r="AG40" s="24">
        <f>AG39*C6</f>
        <v>0</v>
      </c>
    </row>
    <row r="41">
      <c r="AF41" s="1" t="s">
        <v>62</v>
      </c>
      <c r="AG41" s="24">
        <f>AG39-AG40</f>
        <v>20127045.45</v>
      </c>
    </row>
  </sheetData>
  <mergeCells count="1">
    <mergeCell ref="D22:AA2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30.0"/>
    <col customWidth="1" min="4" max="12" width="3.5"/>
    <col customWidth="1" min="13" max="27" width="4.38"/>
  </cols>
  <sheetData>
    <row r="9">
      <c r="C9" s="8" t="s">
        <v>10</v>
      </c>
      <c r="D9" s="8" t="s">
        <v>11</v>
      </c>
      <c r="E9" s="8" t="s">
        <v>12</v>
      </c>
      <c r="F9" s="8" t="s">
        <v>13</v>
      </c>
      <c r="G9" s="8" t="s">
        <v>14</v>
      </c>
      <c r="H9" s="8" t="s">
        <v>15</v>
      </c>
      <c r="I9" s="8" t="s">
        <v>16</v>
      </c>
      <c r="J9" s="8" t="s">
        <v>17</v>
      </c>
      <c r="K9" s="8" t="s">
        <v>18</v>
      </c>
      <c r="L9" s="8" t="s">
        <v>19</v>
      </c>
      <c r="M9" s="8" t="s">
        <v>20</v>
      </c>
      <c r="N9" s="8" t="s">
        <v>21</v>
      </c>
      <c r="O9" s="8" t="s">
        <v>22</v>
      </c>
      <c r="P9" s="8" t="s">
        <v>23</v>
      </c>
      <c r="Q9" s="8" t="s">
        <v>24</v>
      </c>
      <c r="R9" s="8" t="s">
        <v>25</v>
      </c>
      <c r="S9" s="8" t="s">
        <v>26</v>
      </c>
      <c r="T9" s="8" t="s">
        <v>27</v>
      </c>
      <c r="U9" s="8" t="s">
        <v>28</v>
      </c>
      <c r="V9" s="8" t="s">
        <v>29</v>
      </c>
      <c r="W9" s="8" t="s">
        <v>30</v>
      </c>
      <c r="X9" s="8" t="s">
        <v>31</v>
      </c>
      <c r="Y9" s="8" t="s">
        <v>32</v>
      </c>
      <c r="Z9" s="8" t="s">
        <v>33</v>
      </c>
      <c r="AA9" s="8" t="s">
        <v>34</v>
      </c>
    </row>
    <row r="10"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</row>
    <row r="11">
      <c r="C11" s="11" t="s">
        <v>35</v>
      </c>
      <c r="D11" s="12"/>
      <c r="E11" s="12"/>
      <c r="F11" s="12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</row>
    <row r="12">
      <c r="C12" s="11" t="s">
        <v>36</v>
      </c>
      <c r="D12" s="10"/>
      <c r="E12" s="10"/>
      <c r="F12" s="12"/>
      <c r="G12" s="12"/>
      <c r="H12" s="12"/>
      <c r="I12" s="12"/>
      <c r="J12" s="12"/>
      <c r="K12" s="12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</row>
    <row r="13">
      <c r="C13" s="11" t="s">
        <v>37</v>
      </c>
      <c r="D13" s="10"/>
      <c r="E13" s="10"/>
      <c r="F13" s="10"/>
      <c r="G13" s="10"/>
      <c r="H13" s="10"/>
      <c r="I13" s="10"/>
      <c r="J13" s="12"/>
      <c r="K13" s="12"/>
      <c r="L13" s="12"/>
      <c r="M13" s="12"/>
      <c r="N13" s="12"/>
      <c r="O13" s="12"/>
      <c r="P13" s="12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</row>
    <row r="14">
      <c r="C14" s="11" t="s">
        <v>38</v>
      </c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2"/>
      <c r="Q14" s="12"/>
      <c r="R14" s="12"/>
      <c r="S14" s="12"/>
      <c r="T14" s="10"/>
      <c r="U14" s="10"/>
      <c r="V14" s="10"/>
      <c r="W14" s="10"/>
      <c r="X14" s="10"/>
      <c r="Y14" s="10"/>
      <c r="Z14" s="10"/>
      <c r="AA14" s="10"/>
    </row>
    <row r="15">
      <c r="C15" s="11" t="s">
        <v>39</v>
      </c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2"/>
      <c r="S15" s="12"/>
      <c r="T15" s="12"/>
      <c r="U15" s="12"/>
      <c r="V15" s="12"/>
      <c r="W15" s="12"/>
      <c r="X15" s="12"/>
      <c r="Y15" s="12"/>
      <c r="Z15" s="10"/>
      <c r="AA15" s="10"/>
    </row>
    <row r="16">
      <c r="C16" s="11" t="s">
        <v>40</v>
      </c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2"/>
      <c r="Y16" s="12"/>
      <c r="Z16" s="12"/>
      <c r="AA16" s="12"/>
    </row>
  </sheetData>
  <drawing r:id="rId1"/>
</worksheet>
</file>