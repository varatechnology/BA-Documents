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<sst xmlns="http://schemas.openxmlformats.org/spreadsheetml/2006/main" count="443" uniqueCount="98">
  <si>
    <t xml:space="preserve">Company_Code</t>
  </si>
  <si>
    <t xml:space="preserve">Company_Name</t>
  </si>
  <si>
    <t xml:space="preserve">SAP_Doc_Number</t>
  </si>
  <si>
    <t xml:space="preserve">Reference</t>
  </si>
  <si>
    <t xml:space="preserve">Document_Type</t>
  </si>
  <si>
    <t xml:space="preserve">Business_Area</t>
  </si>
  <si>
    <t xml:space="preserve">Fiscal_Year</t>
  </si>
  <si>
    <t xml:space="preserve">Posting_Period</t>
  </si>
  <si>
    <t xml:space="preserve">DocChq_Date</t>
  </si>
  <si>
    <t xml:space="preserve">Posting_Date</t>
  </si>
  <si>
    <t xml:space="preserve">Amount_in_Local_Currency</t>
  </si>
  <si>
    <t xml:space="preserve">SOA</t>
  </si>
  <si>
    <t xml:space="preserve">Local_Currency</t>
  </si>
  <si>
    <t xml:space="preserve">Amount_in_Document_Currency</t>
  </si>
  <si>
    <t xml:space="preserve">Document_Currency</t>
  </si>
  <si>
    <t xml:space="preserve">Discount_Base_Amount</t>
  </si>
  <si>
    <t xml:space="preserve">GST_Amount</t>
  </si>
  <si>
    <t xml:space="preserve">Net_Amount</t>
  </si>
  <si>
    <t xml:space="preserve">Withholding_Tax_Base_Amount</t>
  </si>
  <si>
    <t xml:space="preserve">Withholding_Tax_Amount</t>
  </si>
  <si>
    <t xml:space="preserve">VendorCustomer</t>
  </si>
  <si>
    <t xml:space="preserve">VendorCustomer_Name</t>
  </si>
  <si>
    <t xml:space="preserve">Trading_Partner</t>
  </si>
  <si>
    <t xml:space="preserve">Text_                                                                                                    </t>
  </si>
  <si>
    <t xml:space="preserve">HDR_Text                                                                                                    </t>
  </si>
  <si>
    <t xml:space="preserve">InvSO_Reference</t>
  </si>
  <si>
    <t xml:space="preserve">Plant</t>
  </si>
  <si>
    <t xml:space="preserve">Purchasing_Document</t>
  </si>
  <si>
    <t xml:space="preserve">Delivery_Note</t>
  </si>
  <si>
    <t xml:space="preserve">Account</t>
  </si>
  <si>
    <t xml:space="preserve">Account_Description</t>
  </si>
  <si>
    <t xml:space="preserve">Offsetting_Account</t>
  </si>
  <si>
    <t xml:space="preserve">Offsetting_Acct_Name</t>
  </si>
  <si>
    <t xml:space="preserve">GRIR_Offsetting_Account</t>
  </si>
  <si>
    <t xml:space="preserve">Final_Offsetting_Account</t>
  </si>
  <si>
    <t xml:space="preserve">Final_Offsetting_Acct_Name</t>
  </si>
  <si>
    <t xml:space="preserve">WBS_Element</t>
  </si>
  <si>
    <t xml:space="preserve">Posting_Key</t>
  </si>
  <si>
    <t xml:space="preserve">DebitCredit</t>
  </si>
  <si>
    <t xml:space="preserve">Special_GL_Ind</t>
  </si>
  <si>
    <t xml:space="preserve">Reversal_Indicator</t>
  </si>
  <si>
    <t xml:space="preserve">Clearing_Doc</t>
  </si>
  <si>
    <t xml:space="preserve">Clearing_Date</t>
  </si>
  <si>
    <t xml:space="preserve">Entry_date</t>
  </si>
  <si>
    <t xml:space="preserve">Entry_Time</t>
  </si>
  <si>
    <t xml:space="preserve">Notional_GST</t>
  </si>
  <si>
    <t xml:space="preserve">Gross_Amount_In_Local_Currency</t>
  </si>
  <si>
    <t xml:space="preserve">DE_Indicator</t>
  </si>
  <si>
    <t xml:space="preserve">PO_Line</t>
  </si>
  <si>
    <t xml:space="preserve">Entry_Line</t>
  </si>
  <si>
    <t xml:space="preserve">Amount Diff</t>
  </si>
  <si>
    <t xml:space="preserve">1000</t>
  </si>
  <si>
    <t xml:space="preserve">Tata Steel Limited</t>
  </si>
  <si>
    <t xml:space="preserve">CI1901100397</t>
  </si>
  <si>
    <t xml:space="preserve">RE</t>
  </si>
  <si>
    <t xml:space="preserve">7000</t>
  </si>
  <si>
    <t xml:space="preserve">2020</t>
  </si>
  <si>
    <t xml:space="preserve">2</t>
  </si>
  <si>
    <t xml:space="preserve">INR</t>
  </si>
  <si>
    <t xml:space="preserve">T018</t>
  </si>
  <si>
    <t xml:space="preserve">TATA BLUESCOPE STEEL PRIVATE  LIMIT</t>
  </si>
  <si>
    <t xml:space="preserve">Design, Manufacture and  ,Supply of Part</t>
  </si>
  <si>
    <t xml:space="preserve">2300050954</t>
  </si>
  <si>
    <t xml:space="preserve">51129414</t>
  </si>
  <si>
    <t xml:space="preserve">2408402</t>
  </si>
  <si>
    <t xml:space="preserve">Vendor Reconciliation Account - Domestic</t>
  </si>
  <si>
    <t xml:space="preserve">2408424</t>
  </si>
  <si>
    <t xml:space="preserve">GR/IR Account  -  Capital (Project System)</t>
  </si>
  <si>
    <t xml:space="preserve">5149106</t>
  </si>
  <si>
    <t xml:space="preserve">CAPITAL EXPENSES</t>
  </si>
  <si>
    <t xml:space="preserve">0</t>
  </si>
  <si>
    <t xml:space="preserve">31</t>
  </si>
  <si>
    <t xml:space="preserve">H</t>
  </si>
  <si>
    <t xml:space="preserve">45167654</t>
  </si>
  <si>
    <t xml:space="preserve">30-10-2019</t>
  </si>
  <si>
    <t xml:space="preserve">31-05-2019</t>
  </si>
  <si>
    <t xml:space="preserve">11:03:58</t>
  </si>
  <si>
    <t xml:space="preserve">10</t>
  </si>
  <si>
    <t xml:space="preserve">45063145</t>
  </si>
  <si>
    <t xml:space="preserve">10-06-2019</t>
  </si>
  <si>
    <t xml:space="preserve">7</t>
  </si>
  <si>
    <t xml:space="preserve">9</t>
  </si>
  <si>
    <t xml:space="preserve">8</t>
  </si>
  <si>
    <t xml:space="preserve">Tata BlueScope Steel Ltd</t>
  </si>
  <si>
    <t xml:space="preserve">RV</t>
  </si>
  <si>
    <t xml:space="preserve">Customer - Domestic</t>
  </si>
  <si>
    <t xml:space="preserve">Project Revenue - Domestic</t>
  </si>
  <si>
    <t xml:space="preserve">S</t>
  </si>
  <si>
    <t xml:space="preserve">CI1901100349</t>
  </si>
  <si>
    <t xml:space="preserve">51129338</t>
  </si>
  <si>
    <t xml:space="preserve">10:46:13</t>
  </si>
  <si>
    <t xml:space="preserve">11</t>
  </si>
  <si>
    <t xml:space="preserve">CI1901100002</t>
  </si>
  <si>
    <t xml:space="preserve">51083808</t>
  </si>
  <si>
    <t xml:space="preserve">13-05-2019</t>
  </si>
  <si>
    <t xml:space="preserve">10:10:31</t>
  </si>
  <si>
    <t xml:space="preserve">45053254</t>
  </si>
  <si>
    <t xml:space="preserve">28-05-2019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</si>
</sst>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* #,##0.00\ ;* \(#,##0.00\);* \-#\ ;@\ "/>
    <numFmt numFmtId="167" formatCode="#,##0.00"/>
    <numFmt numFmtId="168" formatCode="* #,##0.00\ ;* \-#,##0.00\ ;* \-#\ ;@\ 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0"/>
      <name val="Arial"/>
      <family val="2"/>
    </font>
    <font>
      <sz val="10"/>
      <color rgb="FF000000"/>
      <name val="Calibri"/>
      <family val="2"/>
      <charset val="1"/>
    </font>
    <font>
      <sz val="9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5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2" borderId="1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7" fillId="4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9" activeCellId="0" sqref="D19"/>
    </sheetView>
  </sheetViews>
  <sheetFormatPr defaultRowHeight="12.8" zeroHeight="false" outlineLevelRow="0" outlineLevelCol="0"/>
  <cols>
    <col collapsed="false" customWidth="false" hidden="false" outlineLevel="0" max="3" min="1" style="0" width="11.52"/>
    <col collapsed="false" customWidth="true" hidden="false" outlineLevel="0" max="4" min="4" style="0" width="14.9"/>
    <col collapsed="false" customWidth="false" hidden="false" outlineLevel="0" max="1025" min="5" style="0" width="11.52"/>
  </cols>
  <sheetData>
    <row r="1" s="8" customFormat="true" ht="43.6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3" t="s">
        <v>9</v>
      </c>
      <c r="K1" s="4" t="s">
        <v>10</v>
      </c>
      <c r="L1" s="5" t="s">
        <v>11</v>
      </c>
      <c r="M1" s="2" t="s">
        <v>12</v>
      </c>
      <c r="N1" s="4" t="s">
        <v>13</v>
      </c>
      <c r="O1" s="2" t="s">
        <v>14</v>
      </c>
      <c r="P1" s="2" t="s">
        <v>15</v>
      </c>
      <c r="Q1" s="1" t="s">
        <v>16</v>
      </c>
      <c r="R1" s="6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1" t="s">
        <v>33</v>
      </c>
      <c r="AI1" s="7" t="s">
        <v>34</v>
      </c>
      <c r="AJ1" s="1" t="s">
        <v>35</v>
      </c>
      <c r="AK1" s="1" t="s">
        <v>36</v>
      </c>
      <c r="AL1" s="2" t="s">
        <v>37</v>
      </c>
      <c r="AM1" s="1" t="s">
        <v>38</v>
      </c>
      <c r="AN1" s="2" t="s">
        <v>39</v>
      </c>
      <c r="AO1" s="1" t="s">
        <v>40</v>
      </c>
      <c r="AP1" s="1" t="s">
        <v>41</v>
      </c>
      <c r="AQ1" s="3" t="s">
        <v>42</v>
      </c>
      <c r="AR1" s="3" t="s">
        <v>43</v>
      </c>
      <c r="AS1" s="1" t="s">
        <v>44</v>
      </c>
      <c r="AT1" s="1" t="s">
        <v>45</v>
      </c>
      <c r="AU1" s="1" t="s">
        <v>46</v>
      </c>
      <c r="AV1" s="2" t="s">
        <v>47</v>
      </c>
      <c r="AW1" s="1" t="s">
        <v>48</v>
      </c>
      <c r="AX1" s="1" t="s">
        <v>49</v>
      </c>
      <c r="ALU1" s="0"/>
      <c r="ALV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3" customFormat="false" ht="12.8" hidden="false" customHeight="false" outlineLevel="0" collapsed="false">
      <c r="A3" s="0" t="s">
        <v>50</v>
      </c>
      <c r="B3" s="9" t="n">
        <v>18.54</v>
      </c>
    </row>
    <row r="4" s="10" customFormat="true" ht="12.8" hidden="false" customHeight="false" outlineLevel="0" collapsed="false">
      <c r="A4" s="10" t="s">
        <v>51</v>
      </c>
      <c r="B4" s="10" t="s">
        <v>52</v>
      </c>
      <c r="C4" s="10" t="n">
        <v>51129414</v>
      </c>
      <c r="D4" s="10" t="s">
        <v>53</v>
      </c>
      <c r="E4" s="10" t="s">
        <v>54</v>
      </c>
      <c r="F4" s="10" t="s">
        <v>55</v>
      </c>
      <c r="G4" s="10" t="s">
        <v>56</v>
      </c>
      <c r="H4" s="10" t="s">
        <v>57</v>
      </c>
      <c r="I4" s="11" t="n">
        <v>43599</v>
      </c>
      <c r="J4" s="11" t="n">
        <v>43616</v>
      </c>
      <c r="K4" s="12" t="n">
        <v>-79107.28</v>
      </c>
      <c r="L4" s="12" t="n">
        <f aca="false">K4-Q4+T4</f>
        <v>-67040.07</v>
      </c>
      <c r="M4" s="10" t="s">
        <v>58</v>
      </c>
      <c r="N4" s="12" t="n">
        <v>-79107.28</v>
      </c>
      <c r="O4" s="10" t="s">
        <v>58</v>
      </c>
      <c r="P4" s="12" t="n">
        <v>-79107.28</v>
      </c>
      <c r="Q4" s="12" t="n">
        <v>-12067.21</v>
      </c>
      <c r="R4" s="12" t="n">
        <v>-67040.07</v>
      </c>
      <c r="S4" s="12" t="n">
        <v>0</v>
      </c>
      <c r="T4" s="12" t="n">
        <v>0</v>
      </c>
      <c r="U4" s="10" t="s">
        <v>59</v>
      </c>
      <c r="V4" s="10" t="s">
        <v>60</v>
      </c>
      <c r="X4" s="10" t="s">
        <v>61</v>
      </c>
      <c r="Y4" s="10" t="s">
        <v>62</v>
      </c>
      <c r="Z4" s="10" t="s">
        <v>63</v>
      </c>
      <c r="AB4" s="10" t="s">
        <v>62</v>
      </c>
      <c r="AD4" s="10" t="s">
        <v>64</v>
      </c>
      <c r="AE4" s="10" t="s">
        <v>65</v>
      </c>
      <c r="AF4" s="10" t="s">
        <v>66</v>
      </c>
      <c r="AG4" s="10" t="s">
        <v>67</v>
      </c>
      <c r="AH4" s="10" t="s">
        <v>68</v>
      </c>
      <c r="AI4" s="10" t="s">
        <v>68</v>
      </c>
      <c r="AJ4" s="10" t="s">
        <v>69</v>
      </c>
      <c r="AK4" s="10" t="s">
        <v>70</v>
      </c>
      <c r="AL4" s="10" t="s">
        <v>71</v>
      </c>
      <c r="AM4" s="10" t="s">
        <v>72</v>
      </c>
      <c r="AP4" s="10" t="s">
        <v>73</v>
      </c>
      <c r="AQ4" s="10" t="s">
        <v>74</v>
      </c>
      <c r="AR4" s="10" t="s">
        <v>75</v>
      </c>
      <c r="AS4" s="10" t="s">
        <v>76</v>
      </c>
      <c r="AT4" s="12" t="n">
        <v>0</v>
      </c>
      <c r="AU4" s="12" t="n">
        <v>-79107.28</v>
      </c>
      <c r="AX4" s="10" t="s">
        <v>77</v>
      </c>
      <c r="AMH4" s="0"/>
      <c r="AMI4" s="0"/>
      <c r="AMJ4" s="0"/>
    </row>
    <row r="5" s="10" customFormat="true" ht="12.8" hidden="false" customHeight="false" outlineLevel="0" collapsed="false">
      <c r="A5" s="10" t="s">
        <v>51</v>
      </c>
      <c r="B5" s="10" t="s">
        <v>52</v>
      </c>
      <c r="C5" s="10" t="n">
        <v>51129414</v>
      </c>
      <c r="D5" s="10" t="s">
        <v>53</v>
      </c>
      <c r="E5" s="10" t="s">
        <v>54</v>
      </c>
      <c r="F5" s="10" t="s">
        <v>55</v>
      </c>
      <c r="G5" s="10" t="s">
        <v>56</v>
      </c>
      <c r="H5" s="10" t="s">
        <v>57</v>
      </c>
      <c r="I5" s="11" t="n">
        <v>43599</v>
      </c>
      <c r="J5" s="11" t="n">
        <v>43616</v>
      </c>
      <c r="K5" s="12" t="n">
        <v>-1344823.88</v>
      </c>
      <c r="L5" s="12" t="n">
        <f aca="false">K5-Q5+T5</f>
        <v>-1139681.26</v>
      </c>
      <c r="M5" s="10" t="s">
        <v>58</v>
      </c>
      <c r="N5" s="12" t="n">
        <v>-1344823.88</v>
      </c>
      <c r="O5" s="10" t="s">
        <v>58</v>
      </c>
      <c r="P5" s="12" t="n">
        <v>-1344823.88</v>
      </c>
      <c r="Q5" s="12" t="n">
        <v>-205142.62</v>
      </c>
      <c r="R5" s="12" t="n">
        <v>-1139681.26</v>
      </c>
      <c r="S5" s="12" t="n">
        <v>0</v>
      </c>
      <c r="T5" s="12" t="n">
        <v>0</v>
      </c>
      <c r="U5" s="10" t="s">
        <v>59</v>
      </c>
      <c r="V5" s="10" t="s">
        <v>60</v>
      </c>
      <c r="X5" s="10" t="s">
        <v>61</v>
      </c>
      <c r="Y5" s="10" t="s">
        <v>62</v>
      </c>
      <c r="Z5" s="10" t="s">
        <v>63</v>
      </c>
      <c r="AB5" s="10" t="s">
        <v>62</v>
      </c>
      <c r="AD5" s="10" t="s">
        <v>64</v>
      </c>
      <c r="AE5" s="10" t="s">
        <v>65</v>
      </c>
      <c r="AF5" s="10" t="s">
        <v>66</v>
      </c>
      <c r="AG5" s="10" t="s">
        <v>67</v>
      </c>
      <c r="AH5" s="10" t="s">
        <v>68</v>
      </c>
      <c r="AI5" s="10" t="s">
        <v>68</v>
      </c>
      <c r="AJ5" s="10" t="s">
        <v>69</v>
      </c>
      <c r="AK5" s="10" t="s">
        <v>70</v>
      </c>
      <c r="AL5" s="10" t="s">
        <v>71</v>
      </c>
      <c r="AM5" s="10" t="s">
        <v>72</v>
      </c>
      <c r="AP5" s="10" t="s">
        <v>78</v>
      </c>
      <c r="AQ5" s="10" t="s">
        <v>79</v>
      </c>
      <c r="AR5" s="10" t="s">
        <v>75</v>
      </c>
      <c r="AS5" s="10" t="s">
        <v>76</v>
      </c>
      <c r="AT5" s="12" t="n">
        <v>0</v>
      </c>
      <c r="AU5" s="12" t="n">
        <v>-1344823.88</v>
      </c>
      <c r="AX5" s="10" t="s">
        <v>80</v>
      </c>
      <c r="AMH5" s="0"/>
      <c r="AMI5" s="0"/>
      <c r="AMJ5" s="0"/>
    </row>
    <row r="6" s="10" customFormat="true" ht="12.8" hidden="false" customHeight="false" outlineLevel="0" collapsed="false">
      <c r="A6" s="10" t="s">
        <v>51</v>
      </c>
      <c r="B6" s="10" t="s">
        <v>52</v>
      </c>
      <c r="C6" s="10" t="n">
        <v>51129414</v>
      </c>
      <c r="D6" s="10" t="s">
        <v>53</v>
      </c>
      <c r="E6" s="10" t="s">
        <v>54</v>
      </c>
      <c r="F6" s="10" t="s">
        <v>55</v>
      </c>
      <c r="G6" s="10" t="s">
        <v>56</v>
      </c>
      <c r="H6" s="10" t="s">
        <v>57</v>
      </c>
      <c r="I6" s="11" t="n">
        <v>43599</v>
      </c>
      <c r="J6" s="11" t="n">
        <v>43616</v>
      </c>
      <c r="K6" s="12" t="n">
        <v>-79107.29</v>
      </c>
      <c r="L6" s="12" t="n">
        <f aca="false">K6-Q6+T6</f>
        <v>-67040.08</v>
      </c>
      <c r="M6" s="10" t="s">
        <v>58</v>
      </c>
      <c r="N6" s="12" t="n">
        <v>-79107.29</v>
      </c>
      <c r="O6" s="10" t="s">
        <v>58</v>
      </c>
      <c r="P6" s="12" t="n">
        <v>-79107.29</v>
      </c>
      <c r="Q6" s="12" t="n">
        <v>-12067.21</v>
      </c>
      <c r="R6" s="12" t="n">
        <v>-67040.08</v>
      </c>
      <c r="S6" s="12" t="n">
        <v>0</v>
      </c>
      <c r="T6" s="12" t="n">
        <v>0</v>
      </c>
      <c r="U6" s="10" t="s">
        <v>59</v>
      </c>
      <c r="V6" s="10" t="s">
        <v>60</v>
      </c>
      <c r="X6" s="10" t="s">
        <v>61</v>
      </c>
      <c r="Y6" s="10" t="s">
        <v>62</v>
      </c>
      <c r="Z6" s="10" t="s">
        <v>63</v>
      </c>
      <c r="AB6" s="10" t="s">
        <v>62</v>
      </c>
      <c r="AD6" s="10" t="s">
        <v>64</v>
      </c>
      <c r="AE6" s="10" t="s">
        <v>65</v>
      </c>
      <c r="AF6" s="10" t="s">
        <v>66</v>
      </c>
      <c r="AG6" s="10" t="s">
        <v>67</v>
      </c>
      <c r="AH6" s="10" t="s">
        <v>68</v>
      </c>
      <c r="AI6" s="10" t="s">
        <v>68</v>
      </c>
      <c r="AJ6" s="10" t="s">
        <v>69</v>
      </c>
      <c r="AK6" s="10" t="s">
        <v>70</v>
      </c>
      <c r="AL6" s="10" t="s">
        <v>71</v>
      </c>
      <c r="AM6" s="10" t="s">
        <v>72</v>
      </c>
      <c r="AP6" s="10" t="s">
        <v>73</v>
      </c>
      <c r="AQ6" s="10" t="s">
        <v>74</v>
      </c>
      <c r="AR6" s="10" t="s">
        <v>75</v>
      </c>
      <c r="AS6" s="10" t="s">
        <v>76</v>
      </c>
      <c r="AT6" s="12" t="n">
        <v>0</v>
      </c>
      <c r="AU6" s="12" t="n">
        <v>-79107.29</v>
      </c>
      <c r="AX6" s="10" t="s">
        <v>81</v>
      </c>
      <c r="AMH6" s="0"/>
      <c r="AMI6" s="0"/>
      <c r="AMJ6" s="0"/>
    </row>
    <row r="7" s="10" customFormat="true" ht="12.8" hidden="false" customHeight="false" outlineLevel="0" collapsed="false">
      <c r="A7" s="10" t="s">
        <v>51</v>
      </c>
      <c r="B7" s="10" t="s">
        <v>52</v>
      </c>
      <c r="C7" s="10" t="n">
        <v>51129414</v>
      </c>
      <c r="D7" s="10" t="s">
        <v>53</v>
      </c>
      <c r="E7" s="10" t="s">
        <v>54</v>
      </c>
      <c r="F7" s="10" t="s">
        <v>55</v>
      </c>
      <c r="G7" s="10" t="s">
        <v>56</v>
      </c>
      <c r="H7" s="10" t="s">
        <v>57</v>
      </c>
      <c r="I7" s="11" t="n">
        <v>43599</v>
      </c>
      <c r="J7" s="11" t="n">
        <v>43616</v>
      </c>
      <c r="K7" s="12" t="n">
        <v>-79107.29</v>
      </c>
      <c r="L7" s="12" t="n">
        <f aca="false">K7-Q7+T7</f>
        <v>-67040.08</v>
      </c>
      <c r="M7" s="10" t="s">
        <v>58</v>
      </c>
      <c r="N7" s="12" t="n">
        <v>-79107.29</v>
      </c>
      <c r="O7" s="10" t="s">
        <v>58</v>
      </c>
      <c r="P7" s="12" t="n">
        <v>-79107.29</v>
      </c>
      <c r="Q7" s="12" t="n">
        <v>-12067.21</v>
      </c>
      <c r="R7" s="12" t="n">
        <v>-67040.08</v>
      </c>
      <c r="S7" s="12" t="n">
        <v>0</v>
      </c>
      <c r="T7" s="12" t="n">
        <v>0</v>
      </c>
      <c r="U7" s="10" t="s">
        <v>59</v>
      </c>
      <c r="V7" s="10" t="s">
        <v>60</v>
      </c>
      <c r="X7" s="10" t="s">
        <v>61</v>
      </c>
      <c r="Y7" s="10" t="s">
        <v>62</v>
      </c>
      <c r="Z7" s="10" t="s">
        <v>63</v>
      </c>
      <c r="AB7" s="10" t="s">
        <v>62</v>
      </c>
      <c r="AD7" s="10" t="s">
        <v>64</v>
      </c>
      <c r="AE7" s="10" t="s">
        <v>65</v>
      </c>
      <c r="AF7" s="10" t="s">
        <v>66</v>
      </c>
      <c r="AG7" s="10" t="s">
        <v>67</v>
      </c>
      <c r="AH7" s="10" t="s">
        <v>68</v>
      </c>
      <c r="AI7" s="10" t="s">
        <v>68</v>
      </c>
      <c r="AJ7" s="10" t="s">
        <v>69</v>
      </c>
      <c r="AK7" s="10" t="s">
        <v>70</v>
      </c>
      <c r="AL7" s="10" t="s">
        <v>71</v>
      </c>
      <c r="AM7" s="10" t="s">
        <v>72</v>
      </c>
      <c r="AP7" s="10" t="s">
        <v>73</v>
      </c>
      <c r="AQ7" s="10" t="s">
        <v>74</v>
      </c>
      <c r="AR7" s="10" t="s">
        <v>75</v>
      </c>
      <c r="AS7" s="10" t="s">
        <v>76</v>
      </c>
      <c r="AT7" s="12" t="n">
        <v>0</v>
      </c>
      <c r="AU7" s="12" t="n">
        <v>-79107.29</v>
      </c>
      <c r="AX7" s="10" t="s">
        <v>82</v>
      </c>
      <c r="AMH7" s="0"/>
      <c r="AMI7" s="0"/>
      <c r="AMJ7" s="0"/>
    </row>
    <row r="8" s="13" customFormat="true" ht="12.8" hidden="false" customHeight="false" outlineLevel="0" collapsed="false">
      <c r="A8" s="13" t="n">
        <v>1000</v>
      </c>
      <c r="B8" s="13" t="s">
        <v>83</v>
      </c>
      <c r="C8" s="13" t="n">
        <v>101575</v>
      </c>
      <c r="D8" s="13" t="s">
        <v>53</v>
      </c>
      <c r="E8" s="13" t="s">
        <v>84</v>
      </c>
      <c r="F8" s="13" t="n">
        <v>1101</v>
      </c>
      <c r="G8" s="13" t="n">
        <v>2019</v>
      </c>
      <c r="H8" s="13" t="n">
        <v>2</v>
      </c>
      <c r="I8" s="14" t="n">
        <v>43599</v>
      </c>
      <c r="J8" s="14" t="n">
        <v>43599</v>
      </c>
      <c r="K8" s="15" t="n">
        <v>1582164.28</v>
      </c>
      <c r="L8" s="16" t="n">
        <f aca="false">K8-Q8+T8</f>
        <v>1340817.18</v>
      </c>
      <c r="M8" s="13" t="s">
        <v>58</v>
      </c>
      <c r="N8" s="13" t="n">
        <v>1582164.28</v>
      </c>
      <c r="O8" s="13" t="s">
        <v>58</v>
      </c>
      <c r="P8" s="13" t="n">
        <v>0</v>
      </c>
      <c r="Q8" s="15" t="n">
        <v>241347.1</v>
      </c>
      <c r="R8" s="13" t="n">
        <v>1340817.18</v>
      </c>
      <c r="S8" s="13" t="n">
        <v>0</v>
      </c>
      <c r="T8" s="13" t="n">
        <v>0</v>
      </c>
      <c r="U8" s="13" t="n">
        <v>318999</v>
      </c>
      <c r="V8" s="13" t="s">
        <v>52</v>
      </c>
      <c r="Z8" s="13" t="n">
        <v>101575</v>
      </c>
      <c r="AD8" s="13" t="n">
        <v>110000</v>
      </c>
      <c r="AE8" s="13" t="s">
        <v>85</v>
      </c>
      <c r="AF8" s="13" t="n">
        <v>501040</v>
      </c>
      <c r="AG8" s="13" t="s">
        <v>86</v>
      </c>
      <c r="AI8" s="13" t="n">
        <v>501040</v>
      </c>
      <c r="AJ8" s="13" t="s">
        <v>86</v>
      </c>
      <c r="AK8" s="13" t="n">
        <v>0</v>
      </c>
      <c r="AL8" s="13" t="n">
        <v>1</v>
      </c>
      <c r="AM8" s="13" t="s">
        <v>87</v>
      </c>
      <c r="AP8" s="13" t="n">
        <v>100022980</v>
      </c>
      <c r="AQ8" s="14" t="n">
        <v>43616</v>
      </c>
      <c r="AR8" s="14" t="n">
        <v>43599</v>
      </c>
      <c r="AS8" s="13" t="n">
        <v>0.460416666666667</v>
      </c>
      <c r="AT8" s="13" t="n">
        <v>0</v>
      </c>
      <c r="AU8" s="13" t="n">
        <v>0</v>
      </c>
      <c r="AX8" s="13" t="n">
        <v>1</v>
      </c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</row>
    <row r="11" customFormat="false" ht="12.8" hidden="false" customHeight="false" outlineLevel="0" collapsed="false">
      <c r="A11" s="0" t="s">
        <v>50</v>
      </c>
      <c r="B11" s="9" t="n">
        <v>6.78</v>
      </c>
    </row>
    <row r="12" s="13" customFormat="true" ht="12.8" hidden="false" customHeight="false" outlineLevel="0" collapsed="false">
      <c r="A12" s="13" t="n">
        <v>1000</v>
      </c>
      <c r="B12" s="13" t="s">
        <v>83</v>
      </c>
      <c r="C12" s="13" t="n">
        <v>101401</v>
      </c>
      <c r="D12" s="13" t="s">
        <v>88</v>
      </c>
      <c r="E12" s="13" t="s">
        <v>84</v>
      </c>
      <c r="F12" s="13" t="n">
        <v>1101</v>
      </c>
      <c r="G12" s="13" t="n">
        <v>2019</v>
      </c>
      <c r="H12" s="13" t="n">
        <v>2</v>
      </c>
      <c r="I12" s="14" t="n">
        <v>43594</v>
      </c>
      <c r="J12" s="14" t="n">
        <v>43594</v>
      </c>
      <c r="K12" s="15" t="n">
        <v>948480.78</v>
      </c>
      <c r="L12" s="16" t="n">
        <f aca="false">K12-Q12+T12</f>
        <v>803797.28</v>
      </c>
      <c r="M12" s="13" t="s">
        <v>58</v>
      </c>
      <c r="N12" s="13" t="n">
        <v>948480.78</v>
      </c>
      <c r="O12" s="13" t="s">
        <v>58</v>
      </c>
      <c r="P12" s="13" t="n">
        <v>0</v>
      </c>
      <c r="Q12" s="15" t="n">
        <v>144683.5</v>
      </c>
      <c r="R12" s="13" t="n">
        <v>803797.28</v>
      </c>
      <c r="S12" s="13" t="n">
        <v>0</v>
      </c>
      <c r="T12" s="13" t="n">
        <v>0</v>
      </c>
      <c r="U12" s="13" t="n">
        <v>318999</v>
      </c>
      <c r="V12" s="13" t="s">
        <v>52</v>
      </c>
      <c r="Z12" s="13" t="n">
        <v>101401</v>
      </c>
      <c r="AD12" s="13" t="n">
        <v>110000</v>
      </c>
      <c r="AE12" s="13" t="s">
        <v>85</v>
      </c>
      <c r="AF12" s="13" t="n">
        <v>501040</v>
      </c>
      <c r="AG12" s="13" t="s">
        <v>86</v>
      </c>
      <c r="AI12" s="13" t="n">
        <v>501040</v>
      </c>
      <c r="AJ12" s="13" t="s">
        <v>86</v>
      </c>
      <c r="AK12" s="13" t="n">
        <v>0</v>
      </c>
      <c r="AL12" s="13" t="n">
        <v>1</v>
      </c>
      <c r="AM12" s="13" t="s">
        <v>87</v>
      </c>
      <c r="AP12" s="13" t="n">
        <v>100022980</v>
      </c>
      <c r="AQ12" s="14" t="n">
        <v>43616</v>
      </c>
      <c r="AR12" s="14" t="n">
        <v>43594</v>
      </c>
      <c r="AS12" s="13" t="n">
        <v>0.721678240740741</v>
      </c>
      <c r="AT12" s="13" t="n">
        <v>0</v>
      </c>
      <c r="AU12" s="13" t="n">
        <v>0</v>
      </c>
      <c r="AX12" s="13" t="n">
        <v>1</v>
      </c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</row>
    <row r="13" s="10" customFormat="true" ht="12.8" hidden="false" customHeight="false" outlineLevel="0" collapsed="false">
      <c r="A13" s="10" t="s">
        <v>51</v>
      </c>
      <c r="B13" s="10" t="s">
        <v>52</v>
      </c>
      <c r="C13" s="10" t="n">
        <v>51129338</v>
      </c>
      <c r="D13" s="10" t="s">
        <v>88</v>
      </c>
      <c r="E13" s="10" t="s">
        <v>54</v>
      </c>
      <c r="F13" s="10" t="s">
        <v>55</v>
      </c>
      <c r="G13" s="10" t="s">
        <v>56</v>
      </c>
      <c r="H13" s="10" t="s">
        <v>57</v>
      </c>
      <c r="I13" s="11" t="n">
        <v>43594</v>
      </c>
      <c r="J13" s="11" t="n">
        <v>43616</v>
      </c>
      <c r="K13" s="12" t="n">
        <v>-47423.7</v>
      </c>
      <c r="L13" s="12" t="n">
        <f aca="false">K13-Q13+T13</f>
        <v>-40189.58</v>
      </c>
      <c r="M13" s="10" t="s">
        <v>58</v>
      </c>
      <c r="N13" s="12" t="n">
        <v>-47423.7</v>
      </c>
      <c r="O13" s="10" t="s">
        <v>58</v>
      </c>
      <c r="P13" s="12" t="n">
        <v>-47423.7</v>
      </c>
      <c r="Q13" s="12" t="n">
        <v>-7234.12</v>
      </c>
      <c r="R13" s="12" t="n">
        <v>-40189.58</v>
      </c>
      <c r="S13" s="12" t="n">
        <v>0</v>
      </c>
      <c r="T13" s="12" t="n">
        <v>0</v>
      </c>
      <c r="U13" s="10" t="s">
        <v>59</v>
      </c>
      <c r="V13" s="10" t="s">
        <v>60</v>
      </c>
      <c r="X13" s="10" t="s">
        <v>61</v>
      </c>
      <c r="Y13" s="10" t="s">
        <v>62</v>
      </c>
      <c r="Z13" s="10" t="s">
        <v>89</v>
      </c>
      <c r="AB13" s="10" t="s">
        <v>62</v>
      </c>
      <c r="AD13" s="10" t="s">
        <v>64</v>
      </c>
      <c r="AE13" s="10" t="s">
        <v>65</v>
      </c>
      <c r="AF13" s="10" t="s">
        <v>66</v>
      </c>
      <c r="AG13" s="10" t="s">
        <v>67</v>
      </c>
      <c r="AH13" s="10" t="s">
        <v>68</v>
      </c>
      <c r="AI13" s="10" t="s">
        <v>68</v>
      </c>
      <c r="AJ13" s="10" t="s">
        <v>69</v>
      </c>
      <c r="AK13" s="10" t="s">
        <v>70</v>
      </c>
      <c r="AL13" s="10" t="s">
        <v>71</v>
      </c>
      <c r="AM13" s="10" t="s">
        <v>72</v>
      </c>
      <c r="AP13" s="10" t="s">
        <v>73</v>
      </c>
      <c r="AQ13" s="10" t="s">
        <v>74</v>
      </c>
      <c r="AR13" s="10" t="s">
        <v>75</v>
      </c>
      <c r="AS13" s="10" t="s">
        <v>90</v>
      </c>
      <c r="AT13" s="12" t="n">
        <v>0</v>
      </c>
      <c r="AU13" s="12" t="n">
        <v>-47423.7</v>
      </c>
      <c r="AX13" s="10" t="s">
        <v>81</v>
      </c>
      <c r="AMH13" s="0"/>
      <c r="AMI13" s="0"/>
      <c r="AMJ13" s="0"/>
    </row>
    <row r="14" s="10" customFormat="true" ht="12.8" hidden="false" customHeight="false" outlineLevel="0" collapsed="false">
      <c r="A14" s="10" t="s">
        <v>51</v>
      </c>
      <c r="B14" s="10" t="s">
        <v>52</v>
      </c>
      <c r="C14" s="10" t="n">
        <v>51129338</v>
      </c>
      <c r="D14" s="10" t="s">
        <v>88</v>
      </c>
      <c r="E14" s="10" t="s">
        <v>54</v>
      </c>
      <c r="F14" s="10" t="s">
        <v>55</v>
      </c>
      <c r="G14" s="10" t="s">
        <v>56</v>
      </c>
      <c r="H14" s="10" t="s">
        <v>57</v>
      </c>
      <c r="I14" s="11" t="n">
        <v>43594</v>
      </c>
      <c r="J14" s="11" t="n">
        <v>43616</v>
      </c>
      <c r="K14" s="12" t="n">
        <v>-47423.7</v>
      </c>
      <c r="L14" s="12" t="n">
        <f aca="false">K14-Q14+T14</f>
        <v>-40189.58</v>
      </c>
      <c r="M14" s="10" t="s">
        <v>58</v>
      </c>
      <c r="N14" s="12" t="n">
        <v>-47423.7</v>
      </c>
      <c r="O14" s="10" t="s">
        <v>58</v>
      </c>
      <c r="P14" s="12" t="n">
        <v>-47423.7</v>
      </c>
      <c r="Q14" s="12" t="n">
        <v>-7234.12</v>
      </c>
      <c r="R14" s="12" t="n">
        <v>-40189.58</v>
      </c>
      <c r="S14" s="12" t="n">
        <v>0</v>
      </c>
      <c r="T14" s="12" t="n">
        <v>0</v>
      </c>
      <c r="U14" s="10" t="s">
        <v>59</v>
      </c>
      <c r="V14" s="10" t="s">
        <v>60</v>
      </c>
      <c r="X14" s="10" t="s">
        <v>61</v>
      </c>
      <c r="Y14" s="10" t="s">
        <v>62</v>
      </c>
      <c r="Z14" s="10" t="s">
        <v>89</v>
      </c>
      <c r="AB14" s="10" t="s">
        <v>62</v>
      </c>
      <c r="AD14" s="10" t="s">
        <v>64</v>
      </c>
      <c r="AE14" s="10" t="s">
        <v>65</v>
      </c>
      <c r="AF14" s="10" t="s">
        <v>66</v>
      </c>
      <c r="AG14" s="10" t="s">
        <v>67</v>
      </c>
      <c r="AH14" s="10" t="s">
        <v>68</v>
      </c>
      <c r="AI14" s="10" t="s">
        <v>68</v>
      </c>
      <c r="AJ14" s="10" t="s">
        <v>69</v>
      </c>
      <c r="AK14" s="10" t="s">
        <v>70</v>
      </c>
      <c r="AL14" s="10" t="s">
        <v>71</v>
      </c>
      <c r="AM14" s="10" t="s">
        <v>72</v>
      </c>
      <c r="AP14" s="10" t="s">
        <v>73</v>
      </c>
      <c r="AQ14" s="10" t="s">
        <v>74</v>
      </c>
      <c r="AR14" s="10" t="s">
        <v>75</v>
      </c>
      <c r="AS14" s="10" t="s">
        <v>90</v>
      </c>
      <c r="AT14" s="12" t="n">
        <v>0</v>
      </c>
      <c r="AU14" s="12" t="n">
        <v>-47423.7</v>
      </c>
      <c r="AX14" s="10" t="s">
        <v>77</v>
      </c>
      <c r="AMH14" s="0"/>
      <c r="AMI14" s="0"/>
      <c r="AMJ14" s="0"/>
    </row>
    <row r="15" s="10" customFormat="true" ht="12.8" hidden="false" customHeight="false" outlineLevel="0" collapsed="false">
      <c r="A15" s="10" t="s">
        <v>51</v>
      </c>
      <c r="B15" s="10" t="s">
        <v>52</v>
      </c>
      <c r="C15" s="10" t="n">
        <v>51129338</v>
      </c>
      <c r="D15" s="10" t="s">
        <v>88</v>
      </c>
      <c r="E15" s="10" t="s">
        <v>54</v>
      </c>
      <c r="F15" s="10" t="s">
        <v>55</v>
      </c>
      <c r="G15" s="10" t="s">
        <v>56</v>
      </c>
      <c r="H15" s="10" t="s">
        <v>57</v>
      </c>
      <c r="I15" s="11" t="n">
        <v>43594</v>
      </c>
      <c r="J15" s="11" t="n">
        <v>43616</v>
      </c>
      <c r="K15" s="12" t="n">
        <v>-806202.9</v>
      </c>
      <c r="L15" s="12" t="n">
        <f aca="false">K15-Q15+T15</f>
        <v>-683222.79</v>
      </c>
      <c r="M15" s="10" t="s">
        <v>58</v>
      </c>
      <c r="N15" s="12" t="n">
        <v>-806202.9</v>
      </c>
      <c r="O15" s="10" t="s">
        <v>58</v>
      </c>
      <c r="P15" s="12" t="n">
        <v>-806202.9</v>
      </c>
      <c r="Q15" s="12" t="n">
        <v>-122980.11</v>
      </c>
      <c r="R15" s="12" t="n">
        <v>-683222.79</v>
      </c>
      <c r="S15" s="12" t="n">
        <v>0</v>
      </c>
      <c r="T15" s="12" t="n">
        <v>0</v>
      </c>
      <c r="U15" s="10" t="s">
        <v>59</v>
      </c>
      <c r="V15" s="10" t="s">
        <v>60</v>
      </c>
      <c r="X15" s="10" t="s">
        <v>61</v>
      </c>
      <c r="Y15" s="10" t="s">
        <v>62</v>
      </c>
      <c r="Z15" s="10" t="s">
        <v>89</v>
      </c>
      <c r="AB15" s="10" t="s">
        <v>62</v>
      </c>
      <c r="AD15" s="10" t="s">
        <v>64</v>
      </c>
      <c r="AE15" s="10" t="s">
        <v>65</v>
      </c>
      <c r="AF15" s="10" t="s">
        <v>66</v>
      </c>
      <c r="AG15" s="10" t="s">
        <v>67</v>
      </c>
      <c r="AH15" s="10" t="s">
        <v>68</v>
      </c>
      <c r="AI15" s="10" t="s">
        <v>68</v>
      </c>
      <c r="AJ15" s="10" t="s">
        <v>69</v>
      </c>
      <c r="AK15" s="10" t="s">
        <v>70</v>
      </c>
      <c r="AL15" s="10" t="s">
        <v>71</v>
      </c>
      <c r="AM15" s="10" t="s">
        <v>72</v>
      </c>
      <c r="AP15" s="10" t="s">
        <v>78</v>
      </c>
      <c r="AQ15" s="10" t="s">
        <v>79</v>
      </c>
      <c r="AR15" s="10" t="s">
        <v>75</v>
      </c>
      <c r="AS15" s="10" t="s">
        <v>90</v>
      </c>
      <c r="AT15" s="12" t="n">
        <v>0</v>
      </c>
      <c r="AU15" s="12" t="n">
        <v>-806202.9</v>
      </c>
      <c r="AX15" s="10" t="s">
        <v>82</v>
      </c>
      <c r="AMH15" s="0"/>
      <c r="AMI15" s="0"/>
      <c r="AMJ15" s="0"/>
    </row>
    <row r="16" s="10" customFormat="true" ht="12.8" hidden="false" customHeight="false" outlineLevel="0" collapsed="false">
      <c r="A16" s="10" t="s">
        <v>51</v>
      </c>
      <c r="B16" s="10" t="s">
        <v>52</v>
      </c>
      <c r="C16" s="10" t="n">
        <v>51129338</v>
      </c>
      <c r="D16" s="10" t="s">
        <v>88</v>
      </c>
      <c r="E16" s="10" t="s">
        <v>54</v>
      </c>
      <c r="F16" s="10" t="s">
        <v>55</v>
      </c>
      <c r="G16" s="10" t="s">
        <v>56</v>
      </c>
      <c r="H16" s="10" t="s">
        <v>57</v>
      </c>
      <c r="I16" s="11" t="n">
        <v>43594</v>
      </c>
      <c r="J16" s="11" t="n">
        <v>43616</v>
      </c>
      <c r="K16" s="12" t="n">
        <v>-47423.7</v>
      </c>
      <c r="L16" s="12" t="n">
        <f aca="false">K16-Q16+T16</f>
        <v>-40189.58</v>
      </c>
      <c r="M16" s="10" t="s">
        <v>58</v>
      </c>
      <c r="N16" s="12" t="n">
        <v>-47423.7</v>
      </c>
      <c r="O16" s="10" t="s">
        <v>58</v>
      </c>
      <c r="P16" s="12" t="n">
        <v>-47423.7</v>
      </c>
      <c r="Q16" s="12" t="n">
        <v>-7234.12</v>
      </c>
      <c r="R16" s="12" t="n">
        <v>-40189.58</v>
      </c>
      <c r="S16" s="12" t="n">
        <v>0</v>
      </c>
      <c r="T16" s="12" t="n">
        <v>0</v>
      </c>
      <c r="U16" s="10" t="s">
        <v>59</v>
      </c>
      <c r="V16" s="10" t="s">
        <v>60</v>
      </c>
      <c r="X16" s="10" t="s">
        <v>61</v>
      </c>
      <c r="Y16" s="10" t="s">
        <v>62</v>
      </c>
      <c r="Z16" s="10" t="s">
        <v>89</v>
      </c>
      <c r="AB16" s="10" t="s">
        <v>62</v>
      </c>
      <c r="AD16" s="10" t="s">
        <v>64</v>
      </c>
      <c r="AE16" s="10" t="s">
        <v>65</v>
      </c>
      <c r="AF16" s="10" t="s">
        <v>66</v>
      </c>
      <c r="AG16" s="10" t="s">
        <v>67</v>
      </c>
      <c r="AH16" s="10" t="s">
        <v>68</v>
      </c>
      <c r="AI16" s="10" t="s">
        <v>68</v>
      </c>
      <c r="AJ16" s="10" t="s">
        <v>69</v>
      </c>
      <c r="AK16" s="10" t="s">
        <v>70</v>
      </c>
      <c r="AL16" s="10" t="s">
        <v>71</v>
      </c>
      <c r="AM16" s="10" t="s">
        <v>72</v>
      </c>
      <c r="AP16" s="10" t="s">
        <v>73</v>
      </c>
      <c r="AQ16" s="10" t="s">
        <v>74</v>
      </c>
      <c r="AR16" s="10" t="s">
        <v>75</v>
      </c>
      <c r="AS16" s="10" t="s">
        <v>90</v>
      </c>
      <c r="AT16" s="12" t="n">
        <v>0</v>
      </c>
      <c r="AU16" s="12" t="n">
        <v>-47423.7</v>
      </c>
      <c r="AX16" s="10" t="s">
        <v>91</v>
      </c>
      <c r="AMH16" s="0"/>
      <c r="AMI16" s="0"/>
      <c r="AMJ16" s="0"/>
    </row>
    <row r="19" customFormat="false" ht="12.8" hidden="false" customHeight="false" outlineLevel="0" collapsed="false">
      <c r="A19" s="0" t="s">
        <v>50</v>
      </c>
    </row>
    <row r="20" s="10" customFormat="true" ht="12.8" hidden="false" customHeight="false" outlineLevel="0" collapsed="false">
      <c r="A20" s="10" t="s">
        <v>51</v>
      </c>
      <c r="B20" s="10" t="s">
        <v>52</v>
      </c>
      <c r="C20" s="10" t="n">
        <v>51083808</v>
      </c>
      <c r="D20" s="10" t="s">
        <v>92</v>
      </c>
      <c r="E20" s="10" t="s">
        <v>54</v>
      </c>
      <c r="F20" s="10" t="s">
        <v>55</v>
      </c>
      <c r="G20" s="10" t="s">
        <v>56</v>
      </c>
      <c r="H20" s="10" t="s">
        <v>57</v>
      </c>
      <c r="I20" s="11" t="n">
        <v>43558</v>
      </c>
      <c r="J20" s="11" t="n">
        <v>43598</v>
      </c>
      <c r="K20" s="12" t="n">
        <v>-26808.76</v>
      </c>
      <c r="L20" s="12" t="n">
        <f aca="false">K20-Q20+T20</f>
        <v>-22719.29</v>
      </c>
      <c r="M20" s="10" t="s">
        <v>58</v>
      </c>
      <c r="N20" s="12" t="n">
        <v>-26808.76</v>
      </c>
      <c r="O20" s="10" t="s">
        <v>58</v>
      </c>
      <c r="P20" s="12" t="n">
        <v>-26808.76</v>
      </c>
      <c r="Q20" s="12" t="n">
        <v>-4089.47</v>
      </c>
      <c r="R20" s="12" t="n">
        <v>-22719.29</v>
      </c>
      <c r="S20" s="12" t="n">
        <v>0</v>
      </c>
      <c r="T20" s="12" t="n">
        <v>0</v>
      </c>
      <c r="U20" s="10" t="s">
        <v>59</v>
      </c>
      <c r="V20" s="10" t="s">
        <v>60</v>
      </c>
      <c r="X20" s="10" t="s">
        <v>61</v>
      </c>
      <c r="Y20" s="10" t="s">
        <v>62</v>
      </c>
      <c r="Z20" s="10" t="s">
        <v>93</v>
      </c>
      <c r="AB20" s="10" t="s">
        <v>62</v>
      </c>
      <c r="AD20" s="10" t="s">
        <v>64</v>
      </c>
      <c r="AE20" s="10" t="s">
        <v>65</v>
      </c>
      <c r="AF20" s="10" t="s">
        <v>66</v>
      </c>
      <c r="AG20" s="10" t="s">
        <v>67</v>
      </c>
      <c r="AH20" s="10" t="s">
        <v>68</v>
      </c>
      <c r="AI20" s="10" t="s">
        <v>68</v>
      </c>
      <c r="AJ20" s="10" t="s">
        <v>69</v>
      </c>
      <c r="AK20" s="10" t="s">
        <v>70</v>
      </c>
      <c r="AL20" s="10" t="s">
        <v>71</v>
      </c>
      <c r="AM20" s="10" t="s">
        <v>72</v>
      </c>
      <c r="AP20" s="10" t="s">
        <v>73</v>
      </c>
      <c r="AQ20" s="10" t="s">
        <v>74</v>
      </c>
      <c r="AR20" s="10" t="s">
        <v>94</v>
      </c>
      <c r="AS20" s="10" t="s">
        <v>95</v>
      </c>
      <c r="AT20" s="12" t="n">
        <v>0</v>
      </c>
      <c r="AU20" s="12" t="n">
        <v>-26808.76</v>
      </c>
      <c r="AX20" s="10" t="s">
        <v>82</v>
      </c>
      <c r="AMH20" s="0"/>
      <c r="AMI20" s="0"/>
      <c r="AMJ20" s="0"/>
    </row>
    <row r="21" s="10" customFormat="true" ht="12.8" hidden="false" customHeight="false" outlineLevel="0" collapsed="false">
      <c r="A21" s="10" t="s">
        <v>51</v>
      </c>
      <c r="B21" s="10" t="s">
        <v>52</v>
      </c>
      <c r="C21" s="10" t="n">
        <v>51083808</v>
      </c>
      <c r="D21" s="10" t="s">
        <v>92</v>
      </c>
      <c r="E21" s="10" t="s">
        <v>54</v>
      </c>
      <c r="F21" s="10" t="s">
        <v>55</v>
      </c>
      <c r="G21" s="10" t="s">
        <v>56</v>
      </c>
      <c r="H21" s="10" t="s">
        <v>57</v>
      </c>
      <c r="I21" s="11" t="n">
        <v>43558</v>
      </c>
      <c r="J21" s="11" t="n">
        <v>43598</v>
      </c>
      <c r="K21" s="12" t="n">
        <v>-455749</v>
      </c>
      <c r="L21" s="12" t="n">
        <f aca="false">K21-Q21+T21</f>
        <v>-386227.96</v>
      </c>
      <c r="M21" s="10" t="s">
        <v>58</v>
      </c>
      <c r="N21" s="12" t="n">
        <v>-455749</v>
      </c>
      <c r="O21" s="10" t="s">
        <v>58</v>
      </c>
      <c r="P21" s="12" t="n">
        <v>-455749</v>
      </c>
      <c r="Q21" s="12" t="n">
        <v>-69521.04</v>
      </c>
      <c r="R21" s="12" t="n">
        <v>-386227.96</v>
      </c>
      <c r="S21" s="12" t="n">
        <v>0</v>
      </c>
      <c r="T21" s="12" t="n">
        <v>0</v>
      </c>
      <c r="U21" s="10" t="s">
        <v>59</v>
      </c>
      <c r="V21" s="10" t="s">
        <v>60</v>
      </c>
      <c r="X21" s="10" t="s">
        <v>61</v>
      </c>
      <c r="Y21" s="10" t="s">
        <v>62</v>
      </c>
      <c r="Z21" s="10" t="s">
        <v>93</v>
      </c>
      <c r="AB21" s="10" t="s">
        <v>62</v>
      </c>
      <c r="AD21" s="10" t="s">
        <v>64</v>
      </c>
      <c r="AE21" s="10" t="s">
        <v>65</v>
      </c>
      <c r="AF21" s="10" t="s">
        <v>66</v>
      </c>
      <c r="AG21" s="10" t="s">
        <v>67</v>
      </c>
      <c r="AH21" s="10" t="s">
        <v>68</v>
      </c>
      <c r="AI21" s="10" t="s">
        <v>68</v>
      </c>
      <c r="AJ21" s="10" t="s">
        <v>69</v>
      </c>
      <c r="AK21" s="10" t="s">
        <v>70</v>
      </c>
      <c r="AL21" s="10" t="s">
        <v>71</v>
      </c>
      <c r="AM21" s="10" t="s">
        <v>72</v>
      </c>
      <c r="AP21" s="10" t="s">
        <v>96</v>
      </c>
      <c r="AQ21" s="10" t="s">
        <v>97</v>
      </c>
      <c r="AR21" s="10" t="s">
        <v>94</v>
      </c>
      <c r="AS21" s="10" t="s">
        <v>95</v>
      </c>
      <c r="AT21" s="12" t="n">
        <v>0</v>
      </c>
      <c r="AU21" s="12" t="n">
        <v>-455749</v>
      </c>
      <c r="AX21" s="10" t="s">
        <v>80</v>
      </c>
      <c r="AMH21" s="0"/>
      <c r="AMI21" s="0"/>
      <c r="AMJ21" s="0"/>
    </row>
    <row r="22" s="10" customFormat="true" ht="12.8" hidden="false" customHeight="false" outlineLevel="0" collapsed="false">
      <c r="A22" s="10" t="s">
        <v>51</v>
      </c>
      <c r="B22" s="10" t="s">
        <v>52</v>
      </c>
      <c r="C22" s="10" t="n">
        <v>51083808</v>
      </c>
      <c r="D22" s="10" t="s">
        <v>92</v>
      </c>
      <c r="E22" s="10" t="s">
        <v>54</v>
      </c>
      <c r="F22" s="10" t="s">
        <v>55</v>
      </c>
      <c r="G22" s="10" t="s">
        <v>56</v>
      </c>
      <c r="H22" s="10" t="s">
        <v>57</v>
      </c>
      <c r="I22" s="11" t="n">
        <v>43558</v>
      </c>
      <c r="J22" s="11" t="n">
        <v>43598</v>
      </c>
      <c r="K22" s="12" t="n">
        <v>-26808.76</v>
      </c>
      <c r="L22" s="12" t="n">
        <f aca="false">K22-Q22+T22</f>
        <v>-22719.29</v>
      </c>
      <c r="M22" s="10" t="s">
        <v>58</v>
      </c>
      <c r="N22" s="12" t="n">
        <v>-26808.76</v>
      </c>
      <c r="O22" s="10" t="s">
        <v>58</v>
      </c>
      <c r="P22" s="12" t="n">
        <v>-26808.76</v>
      </c>
      <c r="Q22" s="12" t="n">
        <v>-4089.47</v>
      </c>
      <c r="R22" s="12" t="n">
        <v>-22719.29</v>
      </c>
      <c r="S22" s="12" t="n">
        <v>0</v>
      </c>
      <c r="T22" s="12" t="n">
        <v>0</v>
      </c>
      <c r="U22" s="10" t="s">
        <v>59</v>
      </c>
      <c r="V22" s="10" t="s">
        <v>60</v>
      </c>
      <c r="X22" s="10" t="s">
        <v>61</v>
      </c>
      <c r="Y22" s="10" t="s">
        <v>62</v>
      </c>
      <c r="Z22" s="10" t="s">
        <v>93</v>
      </c>
      <c r="AB22" s="10" t="s">
        <v>62</v>
      </c>
      <c r="AD22" s="10" t="s">
        <v>64</v>
      </c>
      <c r="AE22" s="10" t="s">
        <v>65</v>
      </c>
      <c r="AF22" s="10" t="s">
        <v>66</v>
      </c>
      <c r="AG22" s="10" t="s">
        <v>67</v>
      </c>
      <c r="AH22" s="10" t="s">
        <v>68</v>
      </c>
      <c r="AI22" s="10" t="s">
        <v>68</v>
      </c>
      <c r="AJ22" s="10" t="s">
        <v>69</v>
      </c>
      <c r="AK22" s="10" t="s">
        <v>70</v>
      </c>
      <c r="AL22" s="10" t="s">
        <v>71</v>
      </c>
      <c r="AM22" s="10" t="s">
        <v>72</v>
      </c>
      <c r="AP22" s="10" t="s">
        <v>73</v>
      </c>
      <c r="AQ22" s="10" t="s">
        <v>74</v>
      </c>
      <c r="AR22" s="10" t="s">
        <v>94</v>
      </c>
      <c r="AS22" s="10" t="s">
        <v>95</v>
      </c>
      <c r="AT22" s="12" t="n">
        <v>0</v>
      </c>
      <c r="AU22" s="12" t="n">
        <v>-26808.76</v>
      </c>
      <c r="AX22" s="10" t="s">
        <v>81</v>
      </c>
      <c r="AMH22" s="0"/>
      <c r="AMI22" s="0"/>
      <c r="AMJ22" s="0"/>
    </row>
    <row r="23" s="10" customFormat="true" ht="12.8" hidden="false" customHeight="false" outlineLevel="0" collapsed="false">
      <c r="A23" s="10" t="s">
        <v>51</v>
      </c>
      <c r="B23" s="10" t="s">
        <v>52</v>
      </c>
      <c r="C23" s="10" t="n">
        <v>51083808</v>
      </c>
      <c r="D23" s="10" t="s">
        <v>92</v>
      </c>
      <c r="E23" s="10" t="s">
        <v>54</v>
      </c>
      <c r="F23" s="10" t="s">
        <v>55</v>
      </c>
      <c r="G23" s="10" t="s">
        <v>56</v>
      </c>
      <c r="H23" s="10" t="s">
        <v>57</v>
      </c>
      <c r="I23" s="11" t="n">
        <v>43558</v>
      </c>
      <c r="J23" s="11" t="n">
        <v>43598</v>
      </c>
      <c r="K23" s="12" t="n">
        <v>-26808.77</v>
      </c>
      <c r="L23" s="12" t="n">
        <f aca="false">K23-Q23+T23</f>
        <v>-22719.3</v>
      </c>
      <c r="M23" s="10" t="s">
        <v>58</v>
      </c>
      <c r="N23" s="12" t="n">
        <v>-26808.77</v>
      </c>
      <c r="O23" s="10" t="s">
        <v>58</v>
      </c>
      <c r="P23" s="12" t="n">
        <v>-26808.77</v>
      </c>
      <c r="Q23" s="12" t="n">
        <v>-4089.47</v>
      </c>
      <c r="R23" s="12" t="n">
        <v>-22719.3</v>
      </c>
      <c r="S23" s="12" t="n">
        <v>0</v>
      </c>
      <c r="T23" s="12" t="n">
        <v>0</v>
      </c>
      <c r="U23" s="10" t="s">
        <v>59</v>
      </c>
      <c r="V23" s="10" t="s">
        <v>60</v>
      </c>
      <c r="X23" s="10" t="s">
        <v>61</v>
      </c>
      <c r="Y23" s="10" t="s">
        <v>62</v>
      </c>
      <c r="Z23" s="10" t="s">
        <v>93</v>
      </c>
      <c r="AB23" s="10" t="s">
        <v>62</v>
      </c>
      <c r="AD23" s="10" t="s">
        <v>64</v>
      </c>
      <c r="AE23" s="10" t="s">
        <v>65</v>
      </c>
      <c r="AF23" s="10" t="s">
        <v>66</v>
      </c>
      <c r="AG23" s="10" t="s">
        <v>67</v>
      </c>
      <c r="AH23" s="10" t="s">
        <v>68</v>
      </c>
      <c r="AI23" s="10" t="s">
        <v>68</v>
      </c>
      <c r="AJ23" s="10" t="s">
        <v>69</v>
      </c>
      <c r="AK23" s="10" t="s">
        <v>70</v>
      </c>
      <c r="AL23" s="10" t="s">
        <v>71</v>
      </c>
      <c r="AM23" s="10" t="s">
        <v>72</v>
      </c>
      <c r="AP23" s="10" t="s">
        <v>73</v>
      </c>
      <c r="AQ23" s="10" t="s">
        <v>74</v>
      </c>
      <c r="AR23" s="10" t="s">
        <v>94</v>
      </c>
      <c r="AS23" s="10" t="s">
        <v>95</v>
      </c>
      <c r="AT23" s="12" t="n">
        <v>0</v>
      </c>
      <c r="AU23" s="12" t="n">
        <v>-26808.77</v>
      </c>
      <c r="AX23" s="10" t="s">
        <v>77</v>
      </c>
      <c r="AMH23" s="0"/>
      <c r="AMI23" s="0"/>
      <c r="AMJ23" s="0"/>
    </row>
    <row r="24" s="13" customFormat="true" ht="12.8" hidden="false" customHeight="false" outlineLevel="0" collapsed="false">
      <c r="A24" s="13" t="n">
        <v>1000</v>
      </c>
      <c r="B24" s="13" t="s">
        <v>83</v>
      </c>
      <c r="C24" s="13" t="n">
        <v>100008</v>
      </c>
      <c r="D24" s="13" t="s">
        <v>92</v>
      </c>
      <c r="E24" s="13" t="s">
        <v>84</v>
      </c>
      <c r="F24" s="13" t="n">
        <v>1101</v>
      </c>
      <c r="G24" s="13" t="n">
        <v>2019</v>
      </c>
      <c r="H24" s="13" t="n">
        <v>1</v>
      </c>
      <c r="I24" s="14" t="n">
        <v>43558</v>
      </c>
      <c r="J24" s="14" t="n">
        <v>43558</v>
      </c>
      <c r="K24" s="15" t="n">
        <v>536187.32</v>
      </c>
      <c r="L24" s="16" t="n">
        <f aca="false">K24-Q24+T24</f>
        <v>454396.04</v>
      </c>
      <c r="M24" s="13" t="s">
        <v>58</v>
      </c>
      <c r="N24" s="13" t="n">
        <v>536187.32</v>
      </c>
      <c r="O24" s="13" t="s">
        <v>58</v>
      </c>
      <c r="P24" s="13" t="n">
        <v>0</v>
      </c>
      <c r="Q24" s="15" t="n">
        <v>81791.28</v>
      </c>
      <c r="R24" s="13" t="n">
        <v>454396.04</v>
      </c>
      <c r="S24" s="13" t="n">
        <v>0</v>
      </c>
      <c r="T24" s="13" t="n">
        <v>0</v>
      </c>
      <c r="U24" s="13" t="n">
        <v>318999</v>
      </c>
      <c r="V24" s="13" t="s">
        <v>52</v>
      </c>
      <c r="Z24" s="13" t="n">
        <v>100008</v>
      </c>
      <c r="AD24" s="13" t="n">
        <v>110000</v>
      </c>
      <c r="AE24" s="13" t="s">
        <v>85</v>
      </c>
      <c r="AF24" s="13" t="n">
        <v>501040</v>
      </c>
      <c r="AG24" s="13" t="s">
        <v>86</v>
      </c>
      <c r="AI24" s="13" t="n">
        <v>501040</v>
      </c>
      <c r="AJ24" s="13" t="s">
        <v>86</v>
      </c>
      <c r="AK24" s="13" t="n">
        <v>0</v>
      </c>
      <c r="AL24" s="13" t="n">
        <v>1</v>
      </c>
      <c r="AM24" s="13" t="s">
        <v>87</v>
      </c>
      <c r="AP24" s="13" t="n">
        <v>100005246</v>
      </c>
      <c r="AQ24" s="14" t="n">
        <v>43585</v>
      </c>
      <c r="AR24" s="14" t="n">
        <v>43558</v>
      </c>
      <c r="AS24" s="13" t="n">
        <v>0.652488425925926</v>
      </c>
      <c r="AT24" s="13" t="n">
        <v>0</v>
      </c>
      <c r="AU24" s="13" t="n">
        <v>0</v>
      </c>
      <c r="AX24" s="13" t="n">
        <v>1</v>
      </c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2021-02-23T12:24:57Z</dcterms:created>
  <dc:creator/>
  <dc:description/>
  <dc:language>en-IN</dc:language>
  <cp:lastModifiedBy/>
  <dcterms:modified xsi:type="dcterms:W3CDTF">2021-02-23T12:51:32Z</dcterms:modified>
  <cp:revision>1</cp:revision>
  <dc:subject/>
  <dc:title/>
</cp:coreProperties>
</file>